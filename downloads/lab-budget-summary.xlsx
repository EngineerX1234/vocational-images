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y Job Role" sheetId="1" state="visible" r:id="rId3"/>
    <sheet name="By Sector" sheetId="2" state="visible" r:id="rId4"/>
    <sheet name="Top 20 Costliest Labs" sheetId="3" state="visible" r:id="rId5"/>
    <sheet name="Data" sheetId="4" state="visible" r:id="rId6"/>
  </sheets>
  <definedNames>
    <definedName function="false" hidden="true" localSheetId="0" name="_xlnm._FilterDatabase" vbProcedure="false">'By Job Role'!$A$4:$K$177</definedName>
    <definedName function="false" hidden="true" localSheetId="3" name="_xlnm._FilterDatabase" vbProcedure="false">Data!$A$1:$M$7199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<sst xmlns="http://schemas.openxmlformats.org/spreadsheetml/2006/main" count="72919" uniqueCount="7793">
  <si>
    <t xml:space="preserve">Lab Setup Budget - by Job Role (PSSCIVE labs + Additional NSDC / Delhi CBSE / NVS labs)</t>
  </si>
  <si>
    <t xml:space="preserve">Prices: approximate Indian market rates (Oct 2026, incl. GST) for budget planning only, not quotations. Quantity: as given in the PSSCIVE curriculum where available; 'per student' items assume a batch of 20; otherwise 1 unit is assumed. Additional labs (NSDC, Delhi CBSE, NVS PM SHRI - outside PSSCIVE) are listed at the end with tender-list quantities. Blue cells are inputs you can change. Prepared by - Subodh Kumar</t>
  </si>
  <si>
    <t xml:space="preserve">Sector</t>
  </si>
  <si>
    <t xml:space="preserve">Job Role</t>
  </si>
  <si>
    <t xml:space="preserve">QP Code</t>
  </si>
  <si>
    <t xml:space="preserve">Class</t>
  </si>
  <si>
    <t xml:space="preserve">Approved (list of 88)</t>
  </si>
  <si>
    <t xml:space="preserve">No. of items</t>
  </si>
  <si>
    <t xml:space="preserve">Tools &amp; Equipment (INR)</t>
  </si>
  <si>
    <t xml:space="preserve">Other Lab Items (INR)</t>
  </si>
  <si>
    <t xml:space="preserve">Consumables (INR)</t>
  </si>
  <si>
    <t xml:space="preserve">Total (INR)</t>
  </si>
  <si>
    <t xml:space="preserve">Total (INR lakh)</t>
  </si>
  <si>
    <t xml:space="preserve">Agriculture</t>
  </si>
  <si>
    <t xml:space="preserve">Agriculture Extension Service Provider</t>
  </si>
  <si>
    <t xml:space="preserve">AGR/Q7601</t>
  </si>
  <si>
    <t xml:space="preserve">XI-XII</t>
  </si>
  <si>
    <t xml:space="preserve">No</t>
  </si>
  <si>
    <t xml:space="preserve">Agriculture Machinery Operator</t>
  </si>
  <si>
    <t xml:space="preserve">AGR/Q1103</t>
  </si>
  <si>
    <t xml:space="preserve">Animal Health Worker</t>
  </si>
  <si>
    <t xml:space="preserve">AGR/Q4804</t>
  </si>
  <si>
    <t xml:space="preserve">IX-X</t>
  </si>
  <si>
    <t xml:space="preserve">Bamboo Grower</t>
  </si>
  <si>
    <t xml:space="preserve">AGR/Q6101</t>
  </si>
  <si>
    <t xml:space="preserve">Cereal Crop Grower</t>
  </si>
  <si>
    <t xml:space="preserve">AGR/Q0105</t>
  </si>
  <si>
    <t xml:space="preserve">Citrus Fruit Grower</t>
  </si>
  <si>
    <t xml:space="preserve">AGR/Q0303</t>
  </si>
  <si>
    <t xml:space="preserve">Dairy Farmer/ Entrepreneur</t>
  </si>
  <si>
    <t xml:space="preserve">AGR/Q4101</t>
  </si>
  <si>
    <t xml:space="preserve">Yes</t>
  </si>
  <si>
    <t xml:space="preserve">Dairy Worker</t>
  </si>
  <si>
    <t xml:space="preserve">AGR/Q4102</t>
  </si>
  <si>
    <t xml:space="preserve">Fish Seed Grower</t>
  </si>
  <si>
    <t xml:space="preserve">AGR/Q4908</t>
  </si>
  <si>
    <t xml:space="preserve">Floriculturist (Open Cultivation)</t>
  </si>
  <si>
    <t xml:space="preserve">AGR/Q0701</t>
  </si>
  <si>
    <t xml:space="preserve">Floriculturist - Protected Cultivation</t>
  </si>
  <si>
    <t xml:space="preserve">AGR/Q0702</t>
  </si>
  <si>
    <t xml:space="preserve">Gardener</t>
  </si>
  <si>
    <t xml:space="preserve">AGR/Q0801</t>
  </si>
  <si>
    <t xml:space="preserve">Hydroponics Technician</t>
  </si>
  <si>
    <t xml:space="preserve">AGR/Q0808</t>
  </si>
  <si>
    <t xml:space="preserve">Irrigation Service Technician</t>
  </si>
  <si>
    <t xml:space="preserve">AGR/Q1104</t>
  </si>
  <si>
    <t xml:space="preserve">Kisan Drone Operator</t>
  </si>
  <si>
    <t xml:space="preserve">AGR/Q1006</t>
  </si>
  <si>
    <t xml:space="preserve">Mango Grower</t>
  </si>
  <si>
    <t xml:space="preserve">AGR/Q0302</t>
  </si>
  <si>
    <t xml:space="preserve">Micro-irrigation Technician</t>
  </si>
  <si>
    <t xml:space="preserve">AGR/Q1002</t>
  </si>
  <si>
    <t xml:space="preserve">Oilseed Crop Grower</t>
  </si>
  <si>
    <t xml:space="preserve">AGR/Q0201</t>
  </si>
  <si>
    <t xml:space="preserve">Paddy Farmer</t>
  </si>
  <si>
    <t xml:space="preserve">AGR/Q0101</t>
  </si>
  <si>
    <t xml:space="preserve">Plant Tissue Culture Technician</t>
  </si>
  <si>
    <t xml:space="preserve">AGR/Q8101</t>
  </si>
  <si>
    <t xml:space="preserve">Quality Seed Grower</t>
  </si>
  <si>
    <t xml:space="preserve">AGR/Q7101</t>
  </si>
  <si>
    <t xml:space="preserve">Small Poultry Farmer</t>
  </si>
  <si>
    <t xml:space="preserve">AGR/Q4306</t>
  </si>
  <si>
    <t xml:space="preserve">Solanaceous Crop Cultivator</t>
  </si>
  <si>
    <t xml:space="preserve">AGR/Q0402</t>
  </si>
  <si>
    <t xml:space="preserve">Solar Pump Technician</t>
  </si>
  <si>
    <t xml:space="preserve">AGR/6701</t>
  </si>
  <si>
    <t xml:space="preserve">Aerospace &amp; Aviation</t>
  </si>
  <si>
    <t xml:space="preserve">Drone Operator - Multi- Rotor</t>
  </si>
  <si>
    <t xml:space="preserve">AAS/Q6301</t>
  </si>
  <si>
    <t xml:space="preserve">Apparel</t>
  </si>
  <si>
    <t xml:space="preserve">Assistant Fashion Designer</t>
  </si>
  <si>
    <t xml:space="preserve">AMH/Q1210</t>
  </si>
  <si>
    <t xml:space="preserve">Embroidery Machine Operator</t>
  </si>
  <si>
    <t xml:space="preserve">AMH/Q0801</t>
  </si>
  <si>
    <t xml:space="preserve">Export Assistant</t>
  </si>
  <si>
    <t xml:space="preserve">AMH/Q1601</t>
  </si>
  <si>
    <t xml:space="preserve">Fabric Checker</t>
  </si>
  <si>
    <t xml:space="preserve">AMH/Q0101</t>
  </si>
  <si>
    <t xml:space="preserve">Finisher and packer</t>
  </si>
  <si>
    <t xml:space="preserve">AMH/Q2255</t>
  </si>
  <si>
    <t xml:space="preserve">Hand Embroiderer</t>
  </si>
  <si>
    <t xml:space="preserve">AMH/Q1001</t>
  </si>
  <si>
    <t xml:space="preserve">Hand Embroiderer (Addawala)</t>
  </si>
  <si>
    <t xml:space="preserve">AMH/Q1010</t>
  </si>
  <si>
    <t xml:space="preserve">Inline Checker</t>
  </si>
  <si>
    <t xml:space="preserve">AMH/Q0102</t>
  </si>
  <si>
    <t xml:space="preserve">Self Employed Tailor</t>
  </si>
  <si>
    <t xml:space="preserve">AMH/Q1947</t>
  </si>
  <si>
    <t xml:space="preserve">Sewing Machine Operator</t>
  </si>
  <si>
    <t xml:space="preserve">AMH/Q0301</t>
  </si>
  <si>
    <t xml:space="preserve">Specialized Sewing Machine Operator</t>
  </si>
  <si>
    <t xml:space="preserve">AMH/Q2301</t>
  </si>
  <si>
    <t xml:space="preserve">Store Keeper</t>
  </si>
  <si>
    <t xml:space="preserve">AMH/Q0501</t>
  </si>
  <si>
    <t xml:space="preserve">Automotive</t>
  </si>
  <si>
    <t xml:space="preserve">Auto Electrical Design Technician</t>
  </si>
  <si>
    <t xml:space="preserve">2022/AUT/KSDC/05919</t>
  </si>
  <si>
    <t xml:space="preserve">Auto Service Technician (Two and Three Wheeler)</t>
  </si>
  <si>
    <t xml:space="preserve">ASC/Q1411</t>
  </si>
  <si>
    <t xml:space="preserve">Automotive IIOT Application Technician</t>
  </si>
  <si>
    <t xml:space="preserve">ASC/Q6413</t>
  </si>
  <si>
    <t xml:space="preserve">Electric Vehicle Service Assistant</t>
  </si>
  <si>
    <t xml:space="preserve">ASC/Q1435</t>
  </si>
  <si>
    <t xml:space="preserve">Four Wheeler Service Assistant (Old Auto Service Technician L3)</t>
  </si>
  <si>
    <t xml:space="preserve">ASC/Q1401</t>
  </si>
  <si>
    <t xml:space="preserve">Four Wheeler Service Technician (Old Auto Service Technician L4)</t>
  </si>
  <si>
    <t xml:space="preserve">ASC/Q1402</t>
  </si>
  <si>
    <t xml:space="preserve">BFSI</t>
  </si>
  <si>
    <t xml:space="preserve">Back Office Associate - Financial Services</t>
  </si>
  <si>
    <t xml:space="preserve">BSC/Q2101</t>
  </si>
  <si>
    <t xml:space="preserve">Bancassurance Relationship Associate</t>
  </si>
  <si>
    <t xml:space="preserve">BSC/Q8403</t>
  </si>
  <si>
    <t xml:space="preserve">Business Correspondent/ Facilitator</t>
  </si>
  <si>
    <t xml:space="preserve">BSC/Q8401</t>
  </si>
  <si>
    <t xml:space="preserve">Customer Service Associate - Financial Services</t>
  </si>
  <si>
    <t xml:space="preserve">BSC/Q8406</t>
  </si>
  <si>
    <t xml:space="preserve">MIS Data Analyst -Financial Services</t>
  </si>
  <si>
    <t xml:space="preserve">BSC/Q4101</t>
  </si>
  <si>
    <t xml:space="preserve">Microfinance Executive</t>
  </si>
  <si>
    <t xml:space="preserve">BSC/Q2401</t>
  </si>
  <si>
    <t xml:space="preserve">Beauty &amp; Wellness</t>
  </si>
  <si>
    <t xml:space="preserve">Assistant Beauty Therapist</t>
  </si>
  <si>
    <t xml:space="preserve">BWS/Q0101</t>
  </si>
  <si>
    <t xml:space="preserve">Assistant Beauty Wellness Consultant</t>
  </si>
  <si>
    <t xml:space="preserve">BWS/Q4001</t>
  </si>
  <si>
    <t xml:space="preserve">Assistant Hair Stylist</t>
  </si>
  <si>
    <t xml:space="preserve">BWS/Q0201</t>
  </si>
  <si>
    <t xml:space="preserve">Beauty Therapist</t>
  </si>
  <si>
    <t xml:space="preserve">BWS/Q0102</t>
  </si>
  <si>
    <t xml:space="preserve">Hair Stylist</t>
  </si>
  <si>
    <t xml:space="preserve">BWS/Q0202</t>
  </si>
  <si>
    <t xml:space="preserve">Yoga Instructor</t>
  </si>
  <si>
    <t xml:space="preserve">BWS/Q2201</t>
  </si>
  <si>
    <t xml:space="preserve">Capital Goods</t>
  </si>
  <si>
    <t xml:space="preserve">Draughtsman Mechanical</t>
  </si>
  <si>
    <t xml:space="preserve">CSC/Q0402</t>
  </si>
  <si>
    <t xml:space="preserve">Construction</t>
  </si>
  <si>
    <t xml:space="preserve">Assistant Mason</t>
  </si>
  <si>
    <t xml:space="preserve">CON/Q0102</t>
  </si>
  <si>
    <t xml:space="preserve">Brick Mason</t>
  </si>
  <si>
    <t xml:space="preserve">CON/Q0113</t>
  </si>
  <si>
    <t xml:space="preserve">Construction Painter and Decorator</t>
  </si>
  <si>
    <t xml:space="preserve">CON/Q0503</t>
  </si>
  <si>
    <t xml:space="preserve">Draughtsman Civil</t>
  </si>
  <si>
    <t xml:space="preserve">QG-05-CO-00943-2023-V2-DGT</t>
  </si>
  <si>
    <t xml:space="preserve">General Mason</t>
  </si>
  <si>
    <t xml:space="preserve">CON/Q0103</t>
  </si>
  <si>
    <t xml:space="preserve">Electronics</t>
  </si>
  <si>
    <t xml:space="preserve">Assistant Technician Computing and Peripherals</t>
  </si>
  <si>
    <t xml:space="preserve">ELE/Q4609</t>
  </si>
  <si>
    <t xml:space="preserve">CCTV Installation Technician</t>
  </si>
  <si>
    <t xml:space="preserve">ELE/Q4605</t>
  </si>
  <si>
    <t xml:space="preserve">Drone Service Technician</t>
  </si>
  <si>
    <t xml:space="preserve">ELE/Q7003</t>
  </si>
  <si>
    <t xml:space="preserve">Field Technician Air Conditioner</t>
  </si>
  <si>
    <t xml:space="preserve">ELE/Q3102</t>
  </si>
  <si>
    <t xml:space="preserve">Field Technician Computing and Peripherals</t>
  </si>
  <si>
    <t xml:space="preserve">ELE/Q4601</t>
  </si>
  <si>
    <t xml:space="preserve">Field Technician Other Home Appliances</t>
  </si>
  <si>
    <t xml:space="preserve">ELE/Q3104</t>
  </si>
  <si>
    <t xml:space="preserve">Junior Field Technician Home Appliances</t>
  </si>
  <si>
    <t xml:space="preserve">ELE/Q3117</t>
  </si>
  <si>
    <t xml:space="preserve">Solar Panel Installation Technician</t>
  </si>
  <si>
    <t xml:space="preserve">SGJ/Q0101</t>
  </si>
  <si>
    <t xml:space="preserve">Wireman Control Panel Electronics</t>
  </si>
  <si>
    <t xml:space="preserve">ELE/Q7302</t>
  </si>
  <si>
    <t xml:space="preserve">Food Processing</t>
  </si>
  <si>
    <t xml:space="preserve">Baking Technician</t>
  </si>
  <si>
    <t xml:space="preserve">FIC/Q5005</t>
  </si>
  <si>
    <t xml:space="preserve">Craft Baker</t>
  </si>
  <si>
    <t xml:space="preserve">FIC/Q5002</t>
  </si>
  <si>
    <t xml:space="preserve">Dairy Product Processor</t>
  </si>
  <si>
    <t xml:space="preserve">FIC/Q2001</t>
  </si>
  <si>
    <t xml:space="preserve">Food Analyst</t>
  </si>
  <si>
    <t xml:space="preserve">FIC/Q7607</t>
  </si>
  <si>
    <t xml:space="preserve">Ice Cream Processing Technician</t>
  </si>
  <si>
    <t xml:space="preserve">FIC/Q2004</t>
  </si>
  <si>
    <t xml:space="preserve">Jam, Jelly and Ketchup Processing Technician</t>
  </si>
  <si>
    <t xml:space="preserve">FIC/Q0103</t>
  </si>
  <si>
    <t xml:space="preserve">Millet Product Processor</t>
  </si>
  <si>
    <t xml:space="preserve">FIC/Q1011</t>
  </si>
  <si>
    <t xml:space="preserve">Soya Products Processor</t>
  </si>
  <si>
    <t xml:space="preserve">FICSI/Q8004</t>
  </si>
  <si>
    <t xml:space="preserve">Green Jobs</t>
  </si>
  <si>
    <t xml:space="preserve">Green Hydrogen Plant Technician</t>
  </si>
  <si>
    <t xml:space="preserve">SGJ/Q0120</t>
  </si>
  <si>
    <t xml:space="preserve">Installation of Solar PV System and Maintenance</t>
  </si>
  <si>
    <t xml:space="preserve">Certificate-Course</t>
  </si>
  <si>
    <t xml:space="preserve">Junior Technician Solar EV Charging Station</t>
  </si>
  <si>
    <t xml:space="preserve">SGJ/Q4001</t>
  </si>
  <si>
    <t xml:space="preserve">Solar EV Charging Entrepreneur</t>
  </si>
  <si>
    <t xml:space="preserve">SGJ/Q1801</t>
  </si>
  <si>
    <t xml:space="preserve">Solar PV Installer Civil</t>
  </si>
  <si>
    <t xml:space="preserve">SGJ/Q0103</t>
  </si>
  <si>
    <t xml:space="preserve">Handicrafts &amp; Carpet</t>
  </si>
  <si>
    <t xml:space="preserve">Bamboo Work Artisan</t>
  </si>
  <si>
    <t xml:space="preserve">HCS/Q8702</t>
  </si>
  <si>
    <t xml:space="preserve">Hand Block Printer</t>
  </si>
  <si>
    <t xml:space="preserve">HCS/Q7201</t>
  </si>
  <si>
    <t xml:space="preserve">Jute Products Artisan</t>
  </si>
  <si>
    <t xml:space="preserve">HCS/Q7405</t>
  </si>
  <si>
    <t xml:space="preserve">Paper Mache Products Artisan</t>
  </si>
  <si>
    <t xml:space="preserve">HCS/Q4401</t>
  </si>
  <si>
    <t xml:space="preserve">Healthcare</t>
  </si>
  <si>
    <t xml:space="preserve">General Duty Assistant - Trainee</t>
  </si>
  <si>
    <t xml:space="preserve">HSS/Q5107</t>
  </si>
  <si>
    <t xml:space="preserve">Geriatric Care Assistant</t>
  </si>
  <si>
    <t xml:space="preserve">HSS/Q6001</t>
  </si>
  <si>
    <t xml:space="preserve">Home Health Aide - Trainee</t>
  </si>
  <si>
    <t xml:space="preserve">HSS/Q5106</t>
  </si>
  <si>
    <t xml:space="preserve">Panchakarma Assistant</t>
  </si>
  <si>
    <t xml:space="preserve">QG-03-HE-03621-2025-V2-HSSC</t>
  </si>
  <si>
    <t xml:space="preserve">Telehealth Services Coordinator</t>
  </si>
  <si>
    <t xml:space="preserve">HSS/Q5801</t>
  </si>
  <si>
    <t xml:space="preserve">Yoga Therapy Assistant</t>
  </si>
  <si>
    <t xml:space="preserve">HSS/Q4001</t>
  </si>
  <si>
    <t xml:space="preserve">Home Management &amp; Care Giving</t>
  </si>
  <si>
    <t xml:space="preserve">Elderly Care Companion</t>
  </si>
  <si>
    <t xml:space="preserve">DWC/Q0802</t>
  </si>
  <si>
    <t xml:space="preserve">Professional Cook (Household &amp; Small Establishment)</t>
  </si>
  <si>
    <t xml:space="preserve">DWC/Q1701</t>
  </si>
  <si>
    <t xml:space="preserve">IT-ITeS</t>
  </si>
  <si>
    <t xml:space="preserve">Artificial Intelligence Assistant</t>
  </si>
  <si>
    <t xml:space="preserve">NIE/SSC/Q1003</t>
  </si>
  <si>
    <t xml:space="preserve">Artificial Intelligence Associate</t>
  </si>
  <si>
    <t xml:space="preserve">NIE/SSC/Q1004</t>
  </si>
  <si>
    <t xml:space="preserve">Cloud Computing Assistant</t>
  </si>
  <si>
    <t xml:space="preserve">NIE/ITS/Q1201</t>
  </si>
  <si>
    <t xml:space="preserve">Cyber Security Assistant</t>
  </si>
  <si>
    <t xml:space="preserve">QG-03-IT-00350-2023-V1-NIELIT</t>
  </si>
  <si>
    <t xml:space="preserve">Data Annotator</t>
  </si>
  <si>
    <t xml:space="preserve">SSC/Q8120</t>
  </si>
  <si>
    <t xml:space="preserve">Domestic Biometric Data Operator</t>
  </si>
  <si>
    <t xml:space="preserve">SSC/Q2213</t>
  </si>
  <si>
    <t xml:space="preserve">Domestic CRM Voice</t>
  </si>
  <si>
    <t xml:space="preserve">SSC/Q2210</t>
  </si>
  <si>
    <t xml:space="preserve">Domestic Data Entry Operator</t>
  </si>
  <si>
    <t xml:space="preserve">SSC/Q2212</t>
  </si>
  <si>
    <t xml:space="preserve">Junior Cloud Computing Associate</t>
  </si>
  <si>
    <t xml:space="preserve">QG-04-IT-00354-2023-V1-NIELIT</t>
  </si>
  <si>
    <t xml:space="preserve">Junior Cyber Security Associate</t>
  </si>
  <si>
    <t xml:space="preserve">QG-04-IT-00351-2023-V1-NIELIT</t>
  </si>
  <si>
    <t xml:space="preserve">Junior Software Developer</t>
  </si>
  <si>
    <t xml:space="preserve">SSC/Q0508</t>
  </si>
  <si>
    <t xml:space="preserve">Web Developer</t>
  </si>
  <si>
    <t xml:space="preserve">SSC/Q0503</t>
  </si>
  <si>
    <t xml:space="preserve">Logistics</t>
  </si>
  <si>
    <t xml:space="preserve">Documentation Assistant</t>
  </si>
  <si>
    <t xml:space="preserve">LSC/Q1122</t>
  </si>
  <si>
    <t xml:space="preserve">E-commerce Delivery Associate</t>
  </si>
  <si>
    <t xml:space="preserve">LSC/Q2603</t>
  </si>
  <si>
    <t xml:space="preserve">Land Transportation Associate</t>
  </si>
  <si>
    <t xml:space="preserve">LSC/Q1001</t>
  </si>
  <si>
    <t xml:space="preserve">Supply Chain Executive</t>
  </si>
  <si>
    <t xml:space="preserve">LSC/Q3302</t>
  </si>
  <si>
    <t xml:space="preserve">Warehouse Associate</t>
  </si>
  <si>
    <t xml:space="preserve">LSC/Q0101</t>
  </si>
  <si>
    <t xml:space="preserve">Warehouse Binner</t>
  </si>
  <si>
    <t xml:space="preserve">LSC/Q2105</t>
  </si>
  <si>
    <t xml:space="preserve">Warehouse Claims Coordinator</t>
  </si>
  <si>
    <t xml:space="preserve">LSC/Q2117</t>
  </si>
  <si>
    <t xml:space="preserve">Management &amp; Entrepreneurship</t>
  </si>
  <si>
    <t xml:space="preserve">Office Assistant</t>
  </si>
  <si>
    <t xml:space="preserve">MEP/Q0202</t>
  </si>
  <si>
    <t xml:space="preserve">Office Executive</t>
  </si>
  <si>
    <t xml:space="preserve">MEP/Q0211</t>
  </si>
  <si>
    <t xml:space="preserve">Office Operations Executive</t>
  </si>
  <si>
    <t xml:space="preserve">MEP/Q0207</t>
  </si>
  <si>
    <t xml:space="preserve">Secretary</t>
  </si>
  <si>
    <t xml:space="preserve">MEP/Q0201</t>
  </si>
  <si>
    <t xml:space="preserve">Udyami Mitra</t>
  </si>
  <si>
    <t xml:space="preserve">MEP/Q5105</t>
  </si>
  <si>
    <t xml:space="preserve">Media &amp; Entertainment</t>
  </si>
  <si>
    <t xml:space="preserve">Animator</t>
  </si>
  <si>
    <t xml:space="preserve">MES/Q0701</t>
  </si>
  <si>
    <t xml:space="preserve">Character Designer</t>
  </si>
  <si>
    <t xml:space="preserve">MES/Q0502</t>
  </si>
  <si>
    <t xml:space="preserve">Roto Artist</t>
  </si>
  <si>
    <t xml:space="preserve">MES/Q3504</t>
  </si>
  <si>
    <t xml:space="preserve">Story Board Artist</t>
  </si>
  <si>
    <t xml:space="preserve">MES/Q0507</t>
  </si>
  <si>
    <t xml:space="preserve">Texturing Artist</t>
  </si>
  <si>
    <t xml:space="preserve">MES/Q2503</t>
  </si>
  <si>
    <t xml:space="preserve">Organised Retail</t>
  </si>
  <si>
    <t xml:space="preserve">Digital Cataloguer</t>
  </si>
  <si>
    <t xml:space="preserve">RAS/Q0302</t>
  </si>
  <si>
    <t xml:space="preserve">Distributor Salesman</t>
  </si>
  <si>
    <t xml:space="preserve">RAS/Q0604</t>
  </si>
  <si>
    <t xml:space="preserve">Individual Sales Professional</t>
  </si>
  <si>
    <t xml:space="preserve">RAS/Q0201</t>
  </si>
  <si>
    <t xml:space="preserve">Retail Associate cum Cashier</t>
  </si>
  <si>
    <t xml:space="preserve">RAS/Q0108</t>
  </si>
  <si>
    <t xml:space="preserve">Retail Cashier</t>
  </si>
  <si>
    <t xml:space="preserve">RAS/Q0102</t>
  </si>
  <si>
    <t xml:space="preserve">Retail Sales Associate</t>
  </si>
  <si>
    <t xml:space="preserve">RAS/Q0104</t>
  </si>
  <si>
    <t xml:space="preserve">Retail Sales Executive</t>
  </si>
  <si>
    <t xml:space="preserve">RAS/Q0109</t>
  </si>
  <si>
    <t xml:space="preserve">Retail Store Operations Assistant</t>
  </si>
  <si>
    <t xml:space="preserve">RAS/Q0101</t>
  </si>
  <si>
    <t xml:space="preserve">Retail Trainee Associate</t>
  </si>
  <si>
    <t xml:space="preserve">RAS/Q0103</t>
  </si>
  <si>
    <t xml:space="preserve">Seller Activation Executive</t>
  </si>
  <si>
    <t xml:space="preserve">RAS/Q0301</t>
  </si>
  <si>
    <t xml:space="preserve">Physical Education &amp; Sports</t>
  </si>
  <si>
    <t xml:space="preserve">Fitness Trainer</t>
  </si>
  <si>
    <t xml:space="preserve">SPF/Q1102</t>
  </si>
  <si>
    <t xml:space="preserve">General Fitness Trainer</t>
  </si>
  <si>
    <t xml:space="preserve">SPF/Q1107</t>
  </si>
  <si>
    <t xml:space="preserve">Physical Education Assistant (Early Years)</t>
  </si>
  <si>
    <t xml:space="preserve">SPF/Q4004</t>
  </si>
  <si>
    <t xml:space="preserve">Physical Education Assistant (Primary Years)</t>
  </si>
  <si>
    <t xml:space="preserve">SPF/Q4005</t>
  </si>
  <si>
    <t xml:space="preserve">Self Defence Trainer</t>
  </si>
  <si>
    <t xml:space="preserve">SPF/Q1119</t>
  </si>
  <si>
    <t xml:space="preserve">Plumbing</t>
  </si>
  <si>
    <t xml:space="preserve">Advance Plumbing Technician</t>
  </si>
  <si>
    <t xml:space="preserve">QF-1023</t>
  </si>
  <si>
    <t xml:space="preserve">Assistant Plumber General</t>
  </si>
  <si>
    <t xml:space="preserve">PSC/Q0102</t>
  </si>
  <si>
    <t xml:space="preserve">Plumber-General</t>
  </si>
  <si>
    <t xml:space="preserve">PSC/Q0104</t>
  </si>
  <si>
    <t xml:space="preserve">Power</t>
  </si>
  <si>
    <t xml:space="preserve">Consumer Energy Meter Technician</t>
  </si>
  <si>
    <t xml:space="preserve">PSS/Q0107</t>
  </si>
  <si>
    <t xml:space="preserve">Distribution Lineman</t>
  </si>
  <si>
    <t xml:space="preserve">PSS/Q0102</t>
  </si>
  <si>
    <t xml:space="preserve">Private Security</t>
  </si>
  <si>
    <t xml:space="preserve">CCTV Video Footage Auditor</t>
  </si>
  <si>
    <t xml:space="preserve">MEP/Q7205</t>
  </si>
  <si>
    <t xml:space="preserve">Personal Security Officer</t>
  </si>
  <si>
    <t xml:space="preserve">MEP/Q7103</t>
  </si>
  <si>
    <t xml:space="preserve">Unarmed Security Guard</t>
  </si>
  <si>
    <t xml:space="preserve">MEP/Q7101</t>
  </si>
  <si>
    <t xml:space="preserve">Rubber</t>
  </si>
  <si>
    <t xml:space="preserve">Operator- Plastic 3D Printing</t>
  </si>
  <si>
    <t xml:space="preserve">RSC/Q8009</t>
  </si>
  <si>
    <t xml:space="preserve">Telecom</t>
  </si>
  <si>
    <t xml:space="preserve">AI Devices Installation Operator</t>
  </si>
  <si>
    <t xml:space="preserve">TEL/Q6102</t>
  </si>
  <si>
    <t xml:space="preserve">Optical Fiber Splicer</t>
  </si>
  <si>
    <t xml:space="preserve">TEL/Q6400</t>
  </si>
  <si>
    <t xml:space="preserve">Optical Fiber Technician</t>
  </si>
  <si>
    <t xml:space="preserve">TEL/Q6401</t>
  </si>
  <si>
    <t xml:space="preserve">Telecom Technician - IoT Device/ Systems</t>
  </si>
  <si>
    <t xml:space="preserve">TEL/Q6210</t>
  </si>
  <si>
    <t xml:space="preserve">Tourism &amp; Hospitality</t>
  </si>
  <si>
    <t xml:space="preserve">Counter Sales Executive</t>
  </si>
  <si>
    <t xml:space="preserve">THC/Q3902</t>
  </si>
  <si>
    <t xml:space="preserve">Customer Service Executive (Meet and Greet)</t>
  </si>
  <si>
    <t xml:space="preserve">THC/Q0101</t>
  </si>
  <si>
    <t xml:space="preserve">Food and Beverage Service - Steward</t>
  </si>
  <si>
    <t xml:space="preserve">THC/Q0301</t>
  </si>
  <si>
    <t xml:space="preserve">Food and Beverage Service Trainee</t>
  </si>
  <si>
    <t xml:space="preserve">THC/Q0307</t>
  </si>
  <si>
    <t xml:space="preserve">Guest Service Associate (Front Office)</t>
  </si>
  <si>
    <t xml:space="preserve">THC/Q0102</t>
  </si>
  <si>
    <t xml:space="preserve">Heritage Tour Guide</t>
  </si>
  <si>
    <t xml:space="preserve">THC/Q4501</t>
  </si>
  <si>
    <t xml:space="preserve">Nature Guide</t>
  </si>
  <si>
    <t xml:space="preserve">THC/Q8701</t>
  </si>
  <si>
    <t xml:space="preserve">Tour Guide</t>
  </si>
  <si>
    <t xml:space="preserve">THC/Q4502</t>
  </si>
  <si>
    <t xml:space="preserve">Travel Advisor</t>
  </si>
  <si>
    <t xml:space="preserve">THC/Q4404</t>
  </si>
  <si>
    <t xml:space="preserve">Walk Tour Facilitator</t>
  </si>
  <si>
    <t xml:space="preserve">THC/Q4408</t>
  </si>
  <si>
    <t xml:space="preserve">NSDC (Additional Labs)</t>
  </si>
  <si>
    <t xml:space="preserve">AI Lab</t>
  </si>
  <si>
    <t xml:space="preserve">NSDC-AI</t>
  </si>
  <si>
    <t xml:space="preserve">School</t>
  </si>
  <si>
    <t xml:space="preserve">-</t>
  </si>
  <si>
    <t xml:space="preserve">AR-VR Lab</t>
  </si>
  <si>
    <t xml:space="preserve">NSDC-ARVR</t>
  </si>
  <si>
    <t xml:space="preserve">Financial Markets Management (FMM) Lab</t>
  </si>
  <si>
    <t xml:space="preserve">NSDC-FMM</t>
  </si>
  <si>
    <t xml:space="preserve">Multi Skills Foundation Course (MSFC) Lab</t>
  </si>
  <si>
    <t xml:space="preserve">NSDC-MSFC</t>
  </si>
  <si>
    <t xml:space="preserve">Delhi CBSE (Additional Labs)</t>
  </si>
  <si>
    <t xml:space="preserve">DL-CBSE-FMM</t>
  </si>
  <si>
    <t xml:space="preserve">Medical Diagnostics Lab</t>
  </si>
  <si>
    <t xml:space="preserve">DL-CBSE-MLT</t>
  </si>
  <si>
    <t xml:space="preserve">Multimedia Lab</t>
  </si>
  <si>
    <t xml:space="preserve">DL-CBSE-MM</t>
  </si>
  <si>
    <t xml:space="preserve">Taxation Lab</t>
  </si>
  <si>
    <t xml:space="preserve">DL-CBSE-TAX</t>
  </si>
  <si>
    <t xml:space="preserve">NVS PM SHRI (Additional Labs)</t>
  </si>
  <si>
    <t xml:space="preserve">Multi-Skill Lab</t>
  </si>
  <si>
    <t xml:space="preserve">NVS-MSL</t>
  </si>
  <si>
    <t xml:space="preserve">GRAND TOTAL</t>
  </si>
  <si>
    <t xml:space="preserve">Lab Setup Budget - by Sector</t>
  </si>
  <si>
    <t xml:space="preserve">Job roles</t>
  </si>
  <si>
    <t xml:space="preserve">Total for all roles (INR)</t>
  </si>
  <si>
    <t xml:space="preserve">Average per role (INR lakh)</t>
  </si>
  <si>
    <t xml:space="preserve">Top 20 costliest labs (by total)</t>
  </si>
  <si>
    <t xml:space="preserve">Rank</t>
  </si>
  <si>
    <t xml:space="preserve">Item</t>
  </si>
  <si>
    <t xml:space="preserve">Type</t>
  </si>
  <si>
    <t xml:space="preserve">Item ID</t>
  </si>
  <si>
    <t xml:space="preserve">Qty (planning)</t>
  </si>
  <si>
    <t xml:space="preserve">Qty basis</t>
  </si>
  <si>
    <t xml:space="preserve">Unit</t>
  </si>
  <si>
    <t xml:space="preserve">Price (INR)</t>
  </si>
  <si>
    <t xml:space="preserve">Amount (INR)</t>
  </si>
  <si>
    <t xml:space="preserve">Visual</t>
  </si>
  <si>
    <t xml:space="preserve">Burdizzo castrator</t>
  </si>
  <si>
    <t xml:space="preserve">Tools &amp; Equipment</t>
  </si>
  <si>
    <t xml:space="preserve">P1765</t>
  </si>
  <si>
    <t xml:space="preserve">assumed 1</t>
  </si>
  <si>
    <t xml:space="preserve">pcs</t>
  </si>
  <si>
    <t xml:space="preserve">Click here</t>
  </si>
  <si>
    <t xml:space="preserve">Tagging set</t>
  </si>
  <si>
    <t xml:space="preserve">P2985</t>
  </si>
  <si>
    <t xml:space="preserve">kit</t>
  </si>
  <si>
    <t xml:space="preserve">Tattooing set</t>
  </si>
  <si>
    <t xml:space="preserve">P2997</t>
  </si>
  <si>
    <t xml:space="preserve">set</t>
  </si>
  <si>
    <t xml:space="preserve">Branding numbers</t>
  </si>
  <si>
    <t xml:space="preserve">P1744</t>
  </si>
  <si>
    <t xml:space="preserve">Drenching bottles</t>
  </si>
  <si>
    <t xml:space="preserve">P1971</t>
  </si>
  <si>
    <t xml:space="preserve">Mouth gags</t>
  </si>
  <si>
    <t xml:space="preserve">P2484</t>
  </si>
  <si>
    <t xml:space="preserve">Muzzle</t>
  </si>
  <si>
    <t xml:space="preserve">P2494</t>
  </si>
  <si>
    <t xml:space="preserve">Hoof trimmer</t>
  </si>
  <si>
    <t xml:space="preserve">P2249</t>
  </si>
  <si>
    <t xml:space="preserve">Ropes</t>
  </si>
  <si>
    <t xml:space="preserve">P2723</t>
  </si>
  <si>
    <t xml:space="preserve">m</t>
  </si>
  <si>
    <t xml:space="preserve">Metal chains</t>
  </si>
  <si>
    <t xml:space="preserve">P2434</t>
  </si>
  <si>
    <t xml:space="preserve">kg</t>
  </si>
  <si>
    <t xml:space="preserve">Bull nose ring</t>
  </si>
  <si>
    <t xml:space="preserve">P1764</t>
  </si>
  <si>
    <t xml:space="preserve">Bull nose punch</t>
  </si>
  <si>
    <t xml:space="preserve">P1763</t>
  </si>
  <si>
    <t xml:space="preserve">Bull leader</t>
  </si>
  <si>
    <t xml:space="preserve">P1762</t>
  </si>
  <si>
    <t xml:space="preserve">Hosepipe</t>
  </si>
  <si>
    <t xml:space="preserve">P2253</t>
  </si>
  <si>
    <t xml:space="preserve">Grooming brush</t>
  </si>
  <si>
    <t xml:space="preserve">P2160</t>
  </si>
  <si>
    <t xml:space="preserve">Milking bucket</t>
  </si>
  <si>
    <t xml:space="preserve">P2457</t>
  </si>
  <si>
    <t xml:space="preserve">Milk strainer</t>
  </si>
  <si>
    <t xml:space="preserve">P2456</t>
  </si>
  <si>
    <t xml:space="preserve">Broom</t>
  </si>
  <si>
    <t xml:space="preserve">P1750</t>
  </si>
  <si>
    <t xml:space="preserve">Trocar and cannula</t>
  </si>
  <si>
    <t xml:space="preserve">P3070</t>
  </si>
  <si>
    <t xml:space="preserve">CMT Paddle (for detection of mastitis)</t>
  </si>
  <si>
    <t xml:space="preserve">P1836</t>
  </si>
  <si>
    <t xml:space="preserve">Electric dehorner</t>
  </si>
  <si>
    <t xml:space="preserve">P2004</t>
  </si>
  <si>
    <t xml:space="preserve">Animal awakener</t>
  </si>
  <si>
    <t xml:space="preserve">P1634</t>
  </si>
  <si>
    <t xml:space="preserve">Artificial insemination (AI) cylinder</t>
  </si>
  <si>
    <t xml:space="preserve">P1646</t>
  </si>
  <si>
    <t xml:space="preserve">AI gun</t>
  </si>
  <si>
    <t xml:space="preserve">P1605</t>
  </si>
  <si>
    <t xml:space="preserve">Measuring appliances</t>
  </si>
  <si>
    <t xml:space="preserve">P2405</t>
  </si>
  <si>
    <t xml:space="preserve">Milk can</t>
  </si>
  <si>
    <t xml:space="preserve">P2451</t>
  </si>
  <si>
    <t xml:space="preserve">Bull exerciser</t>
  </si>
  <si>
    <t xml:space="preserve">P1761</t>
  </si>
  <si>
    <t xml:space="preserve">Thermometer</t>
  </si>
  <si>
    <t xml:space="preserve">P3021</t>
  </si>
  <si>
    <t xml:space="preserve">Apron</t>
  </si>
  <si>
    <t xml:space="preserve">Other Lab Items</t>
  </si>
  <si>
    <t xml:space="preserve">P0547</t>
  </si>
  <si>
    <t xml:space="preserve">Gloves</t>
  </si>
  <si>
    <t xml:space="preserve">P0924</t>
  </si>
  <si>
    <t xml:space="preserve">as in curriculum</t>
  </si>
  <si>
    <t xml:space="preserve">pair</t>
  </si>
  <si>
    <t xml:space="preserve">Gumboots</t>
  </si>
  <si>
    <t xml:space="preserve">P0936</t>
  </si>
  <si>
    <t xml:space="preserve">Masks</t>
  </si>
  <si>
    <t xml:space="preserve">P1087</t>
  </si>
  <si>
    <t xml:space="preserve">box</t>
  </si>
  <si>
    <t xml:space="preserve">Dangris</t>
  </si>
  <si>
    <t xml:space="preserve">P0737</t>
  </si>
  <si>
    <t xml:space="preserve">Housing models</t>
  </si>
  <si>
    <t xml:space="preserve">P0971</t>
  </si>
  <si>
    <t xml:space="preserve">Models of different breeds</t>
  </si>
  <si>
    <t xml:space="preserve">P1106</t>
  </si>
  <si>
    <t xml:space="preserve">Liquid nitrogen</t>
  </si>
  <si>
    <t xml:space="preserve">Consumables</t>
  </si>
  <si>
    <t xml:space="preserve">P0250</t>
  </si>
  <si>
    <t xml:space="preserve">litre</t>
  </si>
  <si>
    <t xml:space="preserve">Semen straw</t>
  </si>
  <si>
    <t xml:space="preserve">P0407</t>
  </si>
  <si>
    <t xml:space="preserve">Various feeds and fodders</t>
  </si>
  <si>
    <t xml:space="preserve">P0494</t>
  </si>
  <si>
    <t xml:space="preserve">Post milking teat dip</t>
  </si>
  <si>
    <t xml:space="preserve">P0357</t>
  </si>
  <si>
    <t xml:space="preserve">Disinfectants</t>
  </si>
  <si>
    <t xml:space="preserve">P0128</t>
  </si>
  <si>
    <t xml:space="preserve">Medicines</t>
  </si>
  <si>
    <t xml:space="preserve">P0278</t>
  </si>
  <si>
    <t xml:space="preserve">CMT reagent (for detection of mastitis)</t>
  </si>
  <si>
    <t xml:space="preserve">P0086</t>
  </si>
  <si>
    <t xml:space="preserve">bottle</t>
  </si>
  <si>
    <t xml:space="preserve">pH strip</t>
  </si>
  <si>
    <t xml:space="preserve">P0343</t>
  </si>
  <si>
    <t xml:space="preserve">pack</t>
  </si>
  <si>
    <t xml:space="preserve">Garden Hand Tools</t>
  </si>
  <si>
    <t xml:space="preserve">P2121</t>
  </si>
  <si>
    <t xml:space="preserve">Round Scrapping Knife</t>
  </si>
  <si>
    <t xml:space="preserve">P2731</t>
  </si>
  <si>
    <t xml:space="preserve">Scrapping Knife</t>
  </si>
  <si>
    <t xml:space="preserve">P2763</t>
  </si>
  <si>
    <t xml:space="preserve">Double edged cleaning knife</t>
  </si>
  <si>
    <t xml:space="preserve">P1951</t>
  </si>
  <si>
    <t xml:space="preserve">Chisel edged cleaning knife</t>
  </si>
  <si>
    <t xml:space="preserve">P1811</t>
  </si>
  <si>
    <t xml:space="preserve">Indian Foldable knife</t>
  </si>
  <si>
    <t xml:space="preserve">P2280</t>
  </si>
  <si>
    <t xml:space="preserve">Indian Splitting knife</t>
  </si>
  <si>
    <t xml:space="preserve">P2281</t>
  </si>
  <si>
    <t xml:space="preserve">Garden/Digging Fork</t>
  </si>
  <si>
    <t xml:space="preserve">P2128</t>
  </si>
  <si>
    <t xml:space="preserve">Bow hand drill</t>
  </si>
  <si>
    <t xml:space="preserve">P1734</t>
  </si>
  <si>
    <t xml:space="preserve">Hand Drill</t>
  </si>
  <si>
    <t xml:space="preserve">P2191</t>
  </si>
  <si>
    <t xml:space="preserve">Powered Hand drill</t>
  </si>
  <si>
    <t xml:space="preserve">P2649</t>
  </si>
  <si>
    <t xml:space="preserve">Pruners</t>
  </si>
  <si>
    <t xml:space="preserve">P2663</t>
  </si>
  <si>
    <t xml:space="preserve">Rabbiting Spade</t>
  </si>
  <si>
    <t xml:space="preserve">P2682</t>
  </si>
  <si>
    <t xml:space="preserve">Secateurs</t>
  </si>
  <si>
    <t xml:space="preserve">P2781</t>
  </si>
  <si>
    <t xml:space="preserve">Shovels and Specialty Spades</t>
  </si>
  <si>
    <t xml:space="preserve">P2821</t>
  </si>
  <si>
    <t xml:space="preserve">Dutch Hand Hoe</t>
  </si>
  <si>
    <t xml:space="preserve">P1990</t>
  </si>
  <si>
    <t xml:space="preserve">Trowels</t>
  </si>
  <si>
    <t xml:space="preserve">P3073</t>
  </si>
  <si>
    <t xml:space="preserve">Sprinkler Irrigation Unit</t>
  </si>
  <si>
    <t xml:space="preserve">P2920</t>
  </si>
  <si>
    <t xml:space="preserve">unit</t>
  </si>
  <si>
    <t xml:space="preserve">Drip Irrigation Unit</t>
  </si>
  <si>
    <t xml:space="preserve">P1982</t>
  </si>
  <si>
    <t xml:space="preserve">Poly bags</t>
  </si>
  <si>
    <t xml:space="preserve">P0352</t>
  </si>
  <si>
    <t xml:space="preserve">Plug trays</t>
  </si>
  <si>
    <t xml:space="preserve">P0351</t>
  </si>
  <si>
    <t xml:space="preserve">Auger</t>
  </si>
  <si>
    <t xml:space="preserve">P1651</t>
  </si>
  <si>
    <t xml:space="preserve">Digging Spade</t>
  </si>
  <si>
    <t xml:space="preserve">P1929</t>
  </si>
  <si>
    <t xml:space="preserve">Hoe</t>
  </si>
  <si>
    <t xml:space="preserve">P2243</t>
  </si>
  <si>
    <t xml:space="preserve">Levelers</t>
  </si>
  <si>
    <t xml:space="preserve">P2350</t>
  </si>
  <si>
    <t xml:space="preserve">Long Handle Hoes</t>
  </si>
  <si>
    <t xml:space="preserve">P2371</t>
  </si>
  <si>
    <t xml:space="preserve">Plastics Baskets</t>
  </si>
  <si>
    <t xml:space="preserve">P2618</t>
  </si>
  <si>
    <t xml:space="preserve">Knapsack Sprayer</t>
  </si>
  <si>
    <t xml:space="preserve">P2320</t>
  </si>
  <si>
    <t xml:space="preserve">Seed Treating Equipment</t>
  </si>
  <si>
    <t xml:space="preserve">P2793</t>
  </si>
  <si>
    <t xml:space="preserve">Soil testing kit</t>
  </si>
  <si>
    <t xml:space="preserve">P2859</t>
  </si>
  <si>
    <t xml:space="preserve">Measuring cylinder</t>
  </si>
  <si>
    <t xml:space="preserve">P2411</t>
  </si>
  <si>
    <t xml:space="preserve">Power sprayer</t>
  </si>
  <si>
    <t xml:space="preserve">P2644</t>
  </si>
  <si>
    <t xml:space="preserve">Weighing machine</t>
  </si>
  <si>
    <t xml:space="preserve">P3149</t>
  </si>
  <si>
    <t xml:space="preserve">Moisture meter</t>
  </si>
  <si>
    <t xml:space="preserve">P2473</t>
  </si>
  <si>
    <t xml:space="preserve">Disc Harrow</t>
  </si>
  <si>
    <t xml:space="preserve">P1940</t>
  </si>
  <si>
    <t xml:space="preserve">Plough</t>
  </si>
  <si>
    <t xml:space="preserve">P2627</t>
  </si>
  <si>
    <t xml:space="preserve">Pump sets</t>
  </si>
  <si>
    <t xml:space="preserve">P2672</t>
  </si>
  <si>
    <t xml:space="preserve">Rigid Tillers</t>
  </si>
  <si>
    <t xml:space="preserve">P2714</t>
  </si>
  <si>
    <t xml:space="preserve">Rotary Tiller</t>
  </si>
  <si>
    <t xml:space="preserve">P2726</t>
  </si>
  <si>
    <t xml:space="preserve">Seed-cum-Fertilizer Drill</t>
  </si>
  <si>
    <t xml:space="preserve">P2794</t>
  </si>
  <si>
    <t xml:space="preserve">Straw Reaper</t>
  </si>
  <si>
    <t xml:space="preserve">P2958</t>
  </si>
  <si>
    <t xml:space="preserve">Tractor</t>
  </si>
  <si>
    <t xml:space="preserve">P3058</t>
  </si>
  <si>
    <t xml:space="preserve">Farmyard Manure</t>
  </si>
  <si>
    <t xml:space="preserve">P0163</t>
  </si>
  <si>
    <t xml:space="preserve">Fertilisers</t>
  </si>
  <si>
    <t xml:space="preserve">P0169</t>
  </si>
  <si>
    <t xml:space="preserve">Pesticides</t>
  </si>
  <si>
    <t xml:space="preserve">P0340</t>
  </si>
  <si>
    <t xml:space="preserve">Pheromone traps</t>
  </si>
  <si>
    <t xml:space="preserve">P0345</t>
  </si>
  <si>
    <t xml:space="preserve">Kodali</t>
  </si>
  <si>
    <t xml:space="preserve">P2326</t>
  </si>
  <si>
    <t xml:space="preserve">Pronged hoes</t>
  </si>
  <si>
    <t xml:space="preserve">P2661</t>
  </si>
  <si>
    <t xml:space="preserve">Spade</t>
  </si>
  <si>
    <t xml:space="preserve">P2892</t>
  </si>
  <si>
    <t xml:space="preserve">Fork</t>
  </si>
  <si>
    <t xml:space="preserve">P2096</t>
  </si>
  <si>
    <t xml:space="preserve">Hoe-cum-rack</t>
  </si>
  <si>
    <t xml:space="preserve">P2244</t>
  </si>
  <si>
    <t xml:space="preserve">Shovel</t>
  </si>
  <si>
    <t xml:space="preserve">P2818</t>
  </si>
  <si>
    <t xml:space="preserve">Garden Rake</t>
  </si>
  <si>
    <t xml:space="preserve">P2126</t>
  </si>
  <si>
    <t xml:space="preserve">Hand Leveller</t>
  </si>
  <si>
    <t xml:space="preserve">P2198</t>
  </si>
  <si>
    <t xml:space="preserve">Crow-Bar</t>
  </si>
  <si>
    <t xml:space="preserve">P1878</t>
  </si>
  <si>
    <t xml:space="preserve">Axe</t>
  </si>
  <si>
    <t xml:space="preserve">P1658</t>
  </si>
  <si>
    <t xml:space="preserve">Budding Knife</t>
  </si>
  <si>
    <t xml:space="preserve">P1758</t>
  </si>
  <si>
    <t xml:space="preserve">Grafting knife</t>
  </si>
  <si>
    <t xml:space="preserve">P2153</t>
  </si>
  <si>
    <t xml:space="preserve">Budding and grafting knife</t>
  </si>
  <si>
    <t xml:space="preserve">P1757</t>
  </si>
  <si>
    <t xml:space="preserve">Pruning knife</t>
  </si>
  <si>
    <t xml:space="preserve">P2664</t>
  </si>
  <si>
    <t xml:space="preserve">Secateur</t>
  </si>
  <si>
    <t xml:space="preserve">P2780</t>
  </si>
  <si>
    <t xml:space="preserve">Pruning Saw</t>
  </si>
  <si>
    <t xml:space="preserve">P2665</t>
  </si>
  <si>
    <t xml:space="preserve">Hedge Shear</t>
  </si>
  <si>
    <t xml:space="preserve">P2233</t>
  </si>
  <si>
    <t xml:space="preserve">Tree Pruner</t>
  </si>
  <si>
    <t xml:space="preserve">P3063</t>
  </si>
  <si>
    <t xml:space="preserve">Lopping Shear</t>
  </si>
  <si>
    <t xml:space="preserve">P2375</t>
  </si>
  <si>
    <t xml:space="preserve">Grass Shear</t>
  </si>
  <si>
    <t xml:space="preserve">P2155</t>
  </si>
  <si>
    <t xml:space="preserve">Khurpi</t>
  </si>
  <si>
    <t xml:space="preserve">P2315</t>
  </si>
  <si>
    <t xml:space="preserve">Weeding Hook</t>
  </si>
  <si>
    <t xml:space="preserve">P3144</t>
  </si>
  <si>
    <t xml:space="preserve">Straight Blade Hand Hoe</t>
  </si>
  <si>
    <t xml:space="preserve">P2952</t>
  </si>
  <si>
    <t xml:space="preserve">Hand Cultivator</t>
  </si>
  <si>
    <t xml:space="preserve">P2190</t>
  </si>
  <si>
    <t xml:space="preserve">Sickle</t>
  </si>
  <si>
    <t xml:space="preserve">P2823</t>
  </si>
  <si>
    <t xml:space="preserve">Hedge cutter</t>
  </si>
  <si>
    <t xml:space="preserve">P2232</t>
  </si>
  <si>
    <t xml:space="preserve">Cutting knife</t>
  </si>
  <si>
    <t xml:space="preserve">P1893</t>
  </si>
  <si>
    <t xml:space="preserve">Peeling knife</t>
  </si>
  <si>
    <t xml:space="preserve">P2574</t>
  </si>
  <si>
    <t xml:space="preserve">Coring knife</t>
  </si>
  <si>
    <t xml:space="preserve">P1866</t>
  </si>
  <si>
    <t xml:space="preserve">Can opener</t>
  </si>
  <si>
    <t xml:space="preserve">P1784</t>
  </si>
  <si>
    <t xml:space="preserve">Hand rotary sieve</t>
  </si>
  <si>
    <t xml:space="preserve">P2209</t>
  </si>
  <si>
    <t xml:space="preserve">Hand tools like shovels, rakes, scythes, picks</t>
  </si>
  <si>
    <t xml:space="preserve">P2217</t>
  </si>
  <si>
    <t xml:space="preserve">Rocker Sprayer</t>
  </si>
  <si>
    <t xml:space="preserve">P2718</t>
  </si>
  <si>
    <t xml:space="preserve">Foot Sprayer</t>
  </si>
  <si>
    <t xml:space="preserve">P2093</t>
  </si>
  <si>
    <t xml:space="preserve">Hand Sprayer</t>
  </si>
  <si>
    <t xml:space="preserve">P2214</t>
  </si>
  <si>
    <t xml:space="preserve">Hand rotary duster</t>
  </si>
  <si>
    <t xml:space="preserve">P2208</t>
  </si>
  <si>
    <t xml:space="preserve">Hydrometer</t>
  </si>
  <si>
    <t xml:space="preserve">P2268</t>
  </si>
  <si>
    <t xml:space="preserve">Can sealer</t>
  </si>
  <si>
    <t xml:space="preserve">P1785</t>
  </si>
  <si>
    <t xml:space="preserve">Dehydrator</t>
  </si>
  <si>
    <t xml:space="preserve">P1909</t>
  </si>
  <si>
    <t xml:space="preserve">Crown corking machine</t>
  </si>
  <si>
    <t xml:space="preserve">P1879</t>
  </si>
  <si>
    <t xml:space="preserve">Forking machine</t>
  </si>
  <si>
    <t xml:space="preserve">P2099</t>
  </si>
  <si>
    <t xml:space="preserve">Hand Refractometer</t>
  </si>
  <si>
    <t xml:space="preserve">P2207</t>
  </si>
  <si>
    <t xml:space="preserve">Screw type juice extractor</t>
  </si>
  <si>
    <t xml:space="preserve">P2771</t>
  </si>
  <si>
    <t xml:space="preserve">Levellers</t>
  </si>
  <si>
    <t xml:space="preserve">P2351</t>
  </si>
  <si>
    <t xml:space="preserve">Cultivator</t>
  </si>
  <si>
    <t xml:space="preserve">P1881</t>
  </si>
  <si>
    <t xml:space="preserve">A compact spreader</t>
  </si>
  <si>
    <t xml:space="preserve">P1588</t>
  </si>
  <si>
    <t xml:space="preserve">Sorting machines</t>
  </si>
  <si>
    <t xml:space="preserve">P2885</t>
  </si>
  <si>
    <t xml:space="preserve">Power tiller</t>
  </si>
  <si>
    <t xml:space="preserve">P2647</t>
  </si>
  <si>
    <t xml:space="preserve">CMT Paddle</t>
  </si>
  <si>
    <t xml:space="preserve">P1835</t>
  </si>
  <si>
    <t xml:space="preserve">Dangris (dungarees)</t>
  </si>
  <si>
    <t xml:space="preserve">P0738</t>
  </si>
  <si>
    <t xml:space="preserve">Liquid nitrogen and semen straw</t>
  </si>
  <si>
    <t xml:space="preserve">P0251</t>
  </si>
  <si>
    <t xml:space="preserve">CMT reagent</t>
  </si>
  <si>
    <t xml:space="preserve">P0085</t>
  </si>
  <si>
    <t xml:space="preserve">Crow –Bar</t>
  </si>
  <si>
    <t xml:space="preserve">Hand tools like; shovels, rakes, scythes, picks</t>
  </si>
  <si>
    <t xml:space="preserve">Cono weeder</t>
  </si>
  <si>
    <t xml:space="preserve">P1859</t>
  </si>
  <si>
    <t xml:space="preserve">Paddy Thresher</t>
  </si>
  <si>
    <t xml:space="preserve">P2548</t>
  </si>
  <si>
    <t xml:space="preserve">Paddy rotrivator</t>
  </si>
  <si>
    <t xml:space="preserve">P2547</t>
  </si>
  <si>
    <t xml:space="preserve">Paddy drum seeder</t>
  </si>
  <si>
    <t xml:space="preserve">P2545</t>
  </si>
  <si>
    <t xml:space="preserve">Paddy transplanter</t>
  </si>
  <si>
    <t xml:space="preserve">P2549</t>
  </si>
  <si>
    <t xml:space="preserve">Improved paddy biasi plough</t>
  </si>
  <si>
    <t xml:space="preserve">P2275</t>
  </si>
  <si>
    <t xml:space="preserve">Paddy cultivator &amp; puddler</t>
  </si>
  <si>
    <t xml:space="preserve">P2544</t>
  </si>
  <si>
    <t xml:space="preserve">Paddy combiner (small)</t>
  </si>
  <si>
    <t xml:space="preserve">P2543</t>
  </si>
  <si>
    <t xml:space="preserve">Paddy reaper</t>
  </si>
  <si>
    <t xml:space="preserve">P2546</t>
  </si>
  <si>
    <t xml:space="preserve">Biofertilizers</t>
  </si>
  <si>
    <t xml:space="preserve">P0037</t>
  </si>
  <si>
    <t xml:space="preserve">Fertilizers</t>
  </si>
  <si>
    <t xml:space="preserve">P0170</t>
  </si>
  <si>
    <t xml:space="preserve">Garden Hoes</t>
  </si>
  <si>
    <t xml:space="preserve">P2124</t>
  </si>
  <si>
    <t xml:space="preserve">Garden Knife</t>
  </si>
  <si>
    <t xml:space="preserve">P2125</t>
  </si>
  <si>
    <t xml:space="preserve">Garden/Digging Spade</t>
  </si>
  <si>
    <t xml:space="preserve">P2129</t>
  </si>
  <si>
    <t xml:space="preserve">Hand Screens/Sieves</t>
  </si>
  <si>
    <t xml:space="preserve">P2211</t>
  </si>
  <si>
    <t xml:space="preserve">Hori Hori Knife</t>
  </si>
  <si>
    <t xml:space="preserve">P2251</t>
  </si>
  <si>
    <t xml:space="preserve">Leaf Rake</t>
  </si>
  <si>
    <t xml:space="preserve">P2347</t>
  </si>
  <si>
    <t xml:space="preserve">Loppers or Pruning Saw</t>
  </si>
  <si>
    <t xml:space="preserve">P2374</t>
  </si>
  <si>
    <t xml:space="preserve">Soil Scoop</t>
  </si>
  <si>
    <t xml:space="preserve">P2858</t>
  </si>
  <si>
    <t xml:space="preserve">Water Hose</t>
  </si>
  <si>
    <t xml:space="preserve">P3130</t>
  </si>
  <si>
    <t xml:space="preserve">Watering Can</t>
  </si>
  <si>
    <t xml:space="preserve">P3140</t>
  </si>
  <si>
    <t xml:space="preserve">Wheelbarrow or Garden Cart</t>
  </si>
  <si>
    <t xml:space="preserve">P3160</t>
  </si>
  <si>
    <t xml:space="preserve">Seed Cleaner</t>
  </si>
  <si>
    <t xml:space="preserve">P2785</t>
  </si>
  <si>
    <t xml:space="preserve">Poly bags (different sizes)</t>
  </si>
  <si>
    <t xml:space="preserve">P0353</t>
  </si>
  <si>
    <t xml:space="preserve">Sanitizers</t>
  </si>
  <si>
    <t xml:space="preserve">P0401</t>
  </si>
  <si>
    <t xml:space="preserve">Vermicompost</t>
  </si>
  <si>
    <t xml:space="preserve">P0498</t>
  </si>
  <si>
    <t xml:space="preserve">Embroidery Frames or Hoop</t>
  </si>
  <si>
    <t xml:space="preserve">P2023</t>
  </si>
  <si>
    <t xml:space="preserve">Hand Needles</t>
  </si>
  <si>
    <t xml:space="preserve">P2201</t>
  </si>
  <si>
    <t xml:space="preserve">packet</t>
  </si>
  <si>
    <t xml:space="preserve">Needle Threader</t>
  </si>
  <si>
    <t xml:space="preserve">P2505</t>
  </si>
  <si>
    <t xml:space="preserve">Seam ripper</t>
  </si>
  <si>
    <t xml:space="preserve">P2778</t>
  </si>
  <si>
    <t xml:space="preserve">Ruler or Scale</t>
  </si>
  <si>
    <t xml:space="preserve">P2735</t>
  </si>
  <si>
    <t xml:space="preserve">Sharpener</t>
  </si>
  <si>
    <t xml:space="preserve">P2812</t>
  </si>
  <si>
    <t xml:space="preserve">Scissors</t>
  </si>
  <si>
    <t xml:space="preserve">P2755</t>
  </si>
  <si>
    <t xml:space="preserve">Thread Cutter</t>
  </si>
  <si>
    <t xml:space="preserve">P3029</t>
  </si>
  <si>
    <t xml:space="preserve">Thimble</t>
  </si>
  <si>
    <t xml:space="preserve">P3024</t>
  </si>
  <si>
    <t xml:space="preserve">Measuring Tape</t>
  </si>
  <si>
    <t xml:space="preserve">P2422</t>
  </si>
  <si>
    <t xml:space="preserve">Iron</t>
  </si>
  <si>
    <t xml:space="preserve">P2297</t>
  </si>
  <si>
    <t xml:space="preserve">Iron Table</t>
  </si>
  <si>
    <t xml:space="preserve">P1012</t>
  </si>
  <si>
    <t xml:space="preserve">Embroidery Samples</t>
  </si>
  <si>
    <t xml:space="preserve">P0829</t>
  </si>
  <si>
    <t xml:space="preserve">Embroidery designs catalogue</t>
  </si>
  <si>
    <t xml:space="preserve">P0828</t>
  </si>
  <si>
    <t xml:space="preserve">Textbooks related to hand embroidery</t>
  </si>
  <si>
    <t xml:space="preserve">P1476</t>
  </si>
  <si>
    <t xml:space="preserve">Embroidery Threads</t>
  </si>
  <si>
    <t xml:space="preserve">P0149</t>
  </si>
  <si>
    <t xml:space="preserve">spool</t>
  </si>
  <si>
    <t xml:space="preserve">Fabric</t>
  </si>
  <si>
    <t xml:space="preserve">P0158</t>
  </si>
  <si>
    <t xml:space="preserve">Tracing paper or Butter Paper</t>
  </si>
  <si>
    <t xml:space="preserve">P0482</t>
  </si>
  <si>
    <t xml:space="preserve">sheet</t>
  </si>
  <si>
    <t xml:space="preserve">Carbon Paper</t>
  </si>
  <si>
    <t xml:space="preserve">P0057</t>
  </si>
  <si>
    <t xml:space="preserve">Glue (to stick the stones)</t>
  </si>
  <si>
    <t xml:space="preserve">P0200</t>
  </si>
  <si>
    <t xml:space="preserve">Pencil, Colour Pencils</t>
  </si>
  <si>
    <t xml:space="preserve">P0338</t>
  </si>
  <si>
    <t xml:space="preserve">Tailor's Chalk</t>
  </si>
  <si>
    <t xml:space="preserve">P0463</t>
  </si>
  <si>
    <t xml:space="preserve">Zari</t>
  </si>
  <si>
    <t xml:space="preserve">P0518</t>
  </si>
  <si>
    <t xml:space="preserve">roll</t>
  </si>
  <si>
    <t xml:space="preserve">Beads</t>
  </si>
  <si>
    <t xml:space="preserve">P0029</t>
  </si>
  <si>
    <t xml:space="preserve">Sequins</t>
  </si>
  <si>
    <t xml:space="preserve">P0408</t>
  </si>
  <si>
    <t xml:space="preserve">Pearls</t>
  </si>
  <si>
    <t xml:space="preserve">P0332</t>
  </si>
  <si>
    <t xml:space="preserve">Gotta</t>
  </si>
  <si>
    <t xml:space="preserve">P0203</t>
  </si>
  <si>
    <t xml:space="preserve">Mirrors (plastic, Glass)</t>
  </si>
  <si>
    <t xml:space="preserve">P0282</t>
  </si>
  <si>
    <t xml:space="preserve">Ribbon</t>
  </si>
  <si>
    <t xml:space="preserve">P0385</t>
  </si>
  <si>
    <t xml:space="preserve">Fabric Glue (to stick the stones)</t>
  </si>
  <si>
    <t xml:space="preserve">P0160</t>
  </si>
  <si>
    <t xml:space="preserve">Beaded Pins</t>
  </si>
  <si>
    <t xml:space="preserve">P0028</t>
  </si>
  <si>
    <t xml:space="preserve">Zigzag/ Pinking shear</t>
  </si>
  <si>
    <t xml:space="preserve">P3191</t>
  </si>
  <si>
    <t xml:space="preserve">Ruler</t>
  </si>
  <si>
    <t xml:space="preserve">P2734</t>
  </si>
  <si>
    <t xml:space="preserve">Design templates</t>
  </si>
  <si>
    <t xml:space="preserve">P1913</t>
  </si>
  <si>
    <t xml:space="preserve">Pins and pin cushion</t>
  </si>
  <si>
    <t xml:space="preserve">P2601</t>
  </si>
  <si>
    <t xml:space="preserve">Adda Frame</t>
  </si>
  <si>
    <t xml:space="preserve">P1595</t>
  </si>
  <si>
    <t xml:space="preserve">Aari Needles</t>
  </si>
  <si>
    <t xml:space="preserve">P0002</t>
  </si>
  <si>
    <t xml:space="preserve">Tracing paper</t>
  </si>
  <si>
    <t xml:space="preserve">P0481</t>
  </si>
  <si>
    <t xml:space="preserve">Pencil</t>
  </si>
  <si>
    <t xml:space="preserve">P0336</t>
  </si>
  <si>
    <t xml:space="preserve">Butter Paper</t>
  </si>
  <si>
    <t xml:space="preserve">P0046</t>
  </si>
  <si>
    <t xml:space="preserve">Stones</t>
  </si>
  <si>
    <t xml:space="preserve">P0449</t>
  </si>
  <si>
    <t xml:space="preserve">Crystals</t>
  </si>
  <si>
    <t xml:space="preserve">P0111</t>
  </si>
  <si>
    <t xml:space="preserve">Zari thread</t>
  </si>
  <si>
    <t xml:space="preserve">P0519</t>
  </si>
  <si>
    <t xml:space="preserve">Kora</t>
  </si>
  <si>
    <t xml:space="preserve">P0238</t>
  </si>
  <si>
    <t xml:space="preserve">Precious stones, Semi precious stones</t>
  </si>
  <si>
    <t xml:space="preserve">P0361</t>
  </si>
  <si>
    <t xml:space="preserve">Mirrors</t>
  </si>
  <si>
    <t xml:space="preserve">P0281</t>
  </si>
  <si>
    <t xml:space="preserve">Fabric Glue</t>
  </si>
  <si>
    <t xml:space="preserve">P0159</t>
  </si>
  <si>
    <t xml:space="preserve">Backing paper</t>
  </si>
  <si>
    <t xml:space="preserve">P0020</t>
  </si>
  <si>
    <t xml:space="preserve">Tracing material</t>
  </si>
  <si>
    <t xml:space="preserve">P0480</t>
  </si>
  <si>
    <t xml:space="preserve">Tape Measure</t>
  </si>
  <si>
    <t xml:space="preserve">P2993</t>
  </si>
  <si>
    <t xml:space="preserve">Sewing Gauge</t>
  </si>
  <si>
    <t xml:space="preserve">P2804</t>
  </si>
  <si>
    <t xml:space="preserve">Clear Ruler</t>
  </si>
  <si>
    <t xml:space="preserve">P1831</t>
  </si>
  <si>
    <t xml:space="preserve">Skirt- Hem Marker</t>
  </si>
  <si>
    <t xml:space="preserve">P2833</t>
  </si>
  <si>
    <t xml:space="preserve">Retractable Tape Measure</t>
  </si>
  <si>
    <t xml:space="preserve">P2712</t>
  </si>
  <si>
    <t xml:space="preserve">Zipper Guide</t>
  </si>
  <si>
    <t xml:space="preserve">P3192</t>
  </si>
  <si>
    <t xml:space="preserve">Adhesive- Backed Rulers</t>
  </si>
  <si>
    <t xml:space="preserve">P1597</t>
  </si>
  <si>
    <t xml:space="preserve">Pin Cushions</t>
  </si>
  <si>
    <t xml:space="preserve">P2597</t>
  </si>
  <si>
    <t xml:space="preserve">Tracing Wheel</t>
  </si>
  <si>
    <t xml:space="preserve">P3056</t>
  </si>
  <si>
    <t xml:space="preserve">Shears</t>
  </si>
  <si>
    <t xml:space="preserve">P2813</t>
  </si>
  <si>
    <t xml:space="preserve">Pinking shears</t>
  </si>
  <si>
    <t xml:space="preserve">P2599</t>
  </si>
  <si>
    <t xml:space="preserve">Seam Ripper</t>
  </si>
  <si>
    <t xml:space="preserve">Thread Clipper</t>
  </si>
  <si>
    <t xml:space="preserve">P3028</t>
  </si>
  <si>
    <t xml:space="preserve">Needle threader</t>
  </si>
  <si>
    <t xml:space="preserve">Bobbin</t>
  </si>
  <si>
    <t xml:space="preserve">P1722</t>
  </si>
  <si>
    <t xml:space="preserve">Loop turner</t>
  </si>
  <si>
    <t xml:space="preserve">P2372</t>
  </si>
  <si>
    <t xml:space="preserve">Sewing Box</t>
  </si>
  <si>
    <t xml:space="preserve">P2803</t>
  </si>
  <si>
    <t xml:space="preserve">Hip Curve</t>
  </si>
  <si>
    <t xml:space="preserve">P2242</t>
  </si>
  <si>
    <t xml:space="preserve">Yardstick/Meter-stick</t>
  </si>
  <si>
    <t xml:space="preserve">P3186</t>
  </si>
  <si>
    <t xml:space="preserve">Press cloth</t>
  </si>
  <si>
    <t xml:space="preserve">P2651</t>
  </si>
  <si>
    <t xml:space="preserve">Sleeve board</t>
  </si>
  <si>
    <t xml:space="preserve">P2835</t>
  </si>
  <si>
    <t xml:space="preserve">Seam roll</t>
  </si>
  <si>
    <t xml:space="preserve">P2779</t>
  </si>
  <si>
    <t xml:space="preserve">Dress Model</t>
  </si>
  <si>
    <t xml:space="preserve">P1972</t>
  </si>
  <si>
    <t xml:space="preserve">Sewing Machine</t>
  </si>
  <si>
    <t xml:space="preserve">P2805</t>
  </si>
  <si>
    <t xml:space="preserve">Iron box</t>
  </si>
  <si>
    <t xml:space="preserve">P2300</t>
  </si>
  <si>
    <t xml:space="preserve">Ironing board</t>
  </si>
  <si>
    <t xml:space="preserve">P2301</t>
  </si>
  <si>
    <t xml:space="preserve">Wooden Table</t>
  </si>
  <si>
    <t xml:space="preserve">P1562</t>
  </si>
  <si>
    <t xml:space="preserve">Brown sheet</t>
  </si>
  <si>
    <t xml:space="preserve">P0045</t>
  </si>
  <si>
    <t xml:space="preserve">Ball pin</t>
  </si>
  <si>
    <t xml:space="preserve">P0021</t>
  </si>
  <si>
    <t xml:space="preserve">Colour Pencil</t>
  </si>
  <si>
    <t xml:space="preserve">P0092</t>
  </si>
  <si>
    <t xml:space="preserve">Marking chalk</t>
  </si>
  <si>
    <t xml:space="preserve">P0264</t>
  </si>
  <si>
    <t xml:space="preserve">Needles</t>
  </si>
  <si>
    <t xml:space="preserve">P0295</t>
  </si>
  <si>
    <t xml:space="preserve">Thread</t>
  </si>
  <si>
    <t xml:space="preserve">P0472</t>
  </si>
  <si>
    <t xml:space="preserve">Screw Drivers (Insulated)</t>
  </si>
  <si>
    <t xml:space="preserve">P2769</t>
  </si>
  <si>
    <t xml:space="preserve">Screw Drivers</t>
  </si>
  <si>
    <t xml:space="preserve">P2768</t>
  </si>
  <si>
    <t xml:space="preserve">Socket spanner (Insulates)</t>
  </si>
  <si>
    <t xml:space="preserve">P2851</t>
  </si>
  <si>
    <t xml:space="preserve">Insulated Plier</t>
  </si>
  <si>
    <t xml:space="preserve">P2293</t>
  </si>
  <si>
    <t xml:space="preserve">Insulated monkey plier</t>
  </si>
  <si>
    <t xml:space="preserve">P2291</t>
  </si>
  <si>
    <t xml:space="preserve">Insulated outer inner plier</t>
  </si>
  <si>
    <t xml:space="preserve">P2292</t>
  </si>
  <si>
    <t xml:space="preserve">T spanner set insulated</t>
  </si>
  <si>
    <t xml:space="preserve">P2979</t>
  </si>
  <si>
    <t xml:space="preserve">Allen key set (Insulated)</t>
  </si>
  <si>
    <t xml:space="preserve">P1622</t>
  </si>
  <si>
    <t xml:space="preserve">Hammer (set of 4)</t>
  </si>
  <si>
    <t xml:space="preserve">P2183</t>
  </si>
  <si>
    <t xml:space="preserve">Oil can</t>
  </si>
  <si>
    <t xml:space="preserve">P2518</t>
  </si>
  <si>
    <t xml:space="preserve">Bench vice</t>
  </si>
  <si>
    <t xml:space="preserve">P1702</t>
  </si>
  <si>
    <t xml:space="preserve">Hand tools kits</t>
  </si>
  <si>
    <t xml:space="preserve">P2216</t>
  </si>
  <si>
    <t xml:space="preserve">Air rachet</t>
  </si>
  <si>
    <t xml:space="preserve">P1615</t>
  </si>
  <si>
    <t xml:space="preserve">D.E spanner (insulated)</t>
  </si>
  <si>
    <t xml:space="preserve">P1898</t>
  </si>
  <si>
    <t xml:space="preserve">Ring spanner (insulated)</t>
  </si>
  <si>
    <t xml:space="preserve">P2716</t>
  </si>
  <si>
    <t xml:space="preserve">Stud remover</t>
  </si>
  <si>
    <t xml:space="preserve">P2962</t>
  </si>
  <si>
    <t xml:space="preserve">Stud remover with socket handle</t>
  </si>
  <si>
    <t xml:space="preserve">P2963</t>
  </si>
  <si>
    <t xml:space="preserve">Tap or die</t>
  </si>
  <si>
    <t xml:space="preserve">P2991</t>
  </si>
  <si>
    <t xml:space="preserve">Torque wrench</t>
  </si>
  <si>
    <t xml:space="preserve">P3053</t>
  </si>
  <si>
    <t xml:space="preserve">Tubeless tyre repair kits</t>
  </si>
  <si>
    <t xml:space="preserve">P3078</t>
  </si>
  <si>
    <t xml:space="preserve">Thread wear indicator</t>
  </si>
  <si>
    <t xml:space="preserve">P3031</t>
  </si>
  <si>
    <t xml:space="preserve">Pneumatic gun</t>
  </si>
  <si>
    <t xml:space="preserve">P2631</t>
  </si>
  <si>
    <t xml:space="preserve">Air pressure gun</t>
  </si>
  <si>
    <t xml:space="preserve">P1611</t>
  </si>
  <si>
    <t xml:space="preserve">Tappet puller</t>
  </si>
  <si>
    <t xml:space="preserve">P2995</t>
  </si>
  <si>
    <t xml:space="preserve">Tappet gauge</t>
  </si>
  <si>
    <t xml:space="preserve">P2994</t>
  </si>
  <si>
    <t xml:space="preserve">Drain pan</t>
  </si>
  <si>
    <t xml:space="preserve">P1966</t>
  </si>
  <si>
    <t xml:space="preserve">Pneumatic tool</t>
  </si>
  <si>
    <t xml:space="preserve">P2633</t>
  </si>
  <si>
    <t xml:space="preserve">Alignment wrenches</t>
  </si>
  <si>
    <t xml:space="preserve">P1617</t>
  </si>
  <si>
    <t xml:space="preserve">Chain wrenches</t>
  </si>
  <si>
    <t xml:space="preserve">P1804</t>
  </si>
  <si>
    <t xml:space="preserve">Locking wrenches</t>
  </si>
  <si>
    <t xml:space="preserve">P2370</t>
  </si>
  <si>
    <t xml:space="preserve">Lug wrenches</t>
  </si>
  <si>
    <t xml:space="preserve">P2376</t>
  </si>
  <si>
    <t xml:space="preserve">Carbon scrapers</t>
  </si>
  <si>
    <t xml:space="preserve">P1788</t>
  </si>
  <si>
    <t xml:space="preserve">Gasket scrapers</t>
  </si>
  <si>
    <t xml:space="preserve">P2132</t>
  </si>
  <si>
    <t xml:space="preserve">Scrapers</t>
  </si>
  <si>
    <t xml:space="preserve">P2761</t>
  </si>
  <si>
    <t xml:space="preserve">Spoons</t>
  </si>
  <si>
    <t xml:space="preserve">P2915</t>
  </si>
  <si>
    <t xml:space="preserve">Hand tools</t>
  </si>
  <si>
    <t xml:space="preserve">P2215</t>
  </si>
  <si>
    <t xml:space="preserve">Power tools</t>
  </si>
  <si>
    <t xml:space="preserve">P2648</t>
  </si>
  <si>
    <t xml:space="preserve">Tools for other tasks such as cleaning of vehicles, tools, equipment and workshop</t>
  </si>
  <si>
    <t xml:space="preserve">P3047</t>
  </si>
  <si>
    <t xml:space="preserve">Electric Vehicle Kit (two-wheeler)</t>
  </si>
  <si>
    <t xml:space="preserve">P2008</t>
  </si>
  <si>
    <t xml:space="preserve">DC fast Charger</t>
  </si>
  <si>
    <t xml:space="preserve">P1900</t>
  </si>
  <si>
    <t xml:space="preserve">Digital multimeter</t>
  </si>
  <si>
    <t xml:space="preserve">P1935</t>
  </si>
  <si>
    <t xml:space="preserve">Tyre pressure gauge</t>
  </si>
  <si>
    <t xml:space="preserve">P3087</t>
  </si>
  <si>
    <t xml:space="preserve">Vernier caliper (electronics)</t>
  </si>
  <si>
    <t xml:space="preserve">P3107</t>
  </si>
  <si>
    <t xml:space="preserve">Micrometer</t>
  </si>
  <si>
    <t xml:space="preserve">P2444</t>
  </si>
  <si>
    <t xml:space="preserve">Temperature gauge</t>
  </si>
  <si>
    <t xml:space="preserve">P3010</t>
  </si>
  <si>
    <t xml:space="preserve">4-point relay</t>
  </si>
  <si>
    <t xml:space="preserve">P1583</t>
  </si>
  <si>
    <t xml:space="preserve">5-point relay</t>
  </si>
  <si>
    <t xml:space="preserve">P1585</t>
  </si>
  <si>
    <t xml:space="preserve">Two-wheeler</t>
  </si>
  <si>
    <t xml:space="preserve">P3085</t>
  </si>
  <si>
    <t xml:space="preserve">Jack hydraulic</t>
  </si>
  <si>
    <t xml:space="preserve">P2304</t>
  </si>
  <si>
    <t xml:space="preserve">Ramp</t>
  </si>
  <si>
    <t xml:space="preserve">P2688</t>
  </si>
  <si>
    <t xml:space="preserve">Equipment stands</t>
  </si>
  <si>
    <t xml:space="preserve">P2038</t>
  </si>
  <si>
    <t xml:space="preserve">Oil pressure gauges</t>
  </si>
  <si>
    <t xml:space="preserve">P2522</t>
  </si>
  <si>
    <t xml:space="preserve">Tire pressure gauges</t>
  </si>
  <si>
    <t xml:space="preserve">P3035</t>
  </si>
  <si>
    <t xml:space="preserve">Vernier</t>
  </si>
  <si>
    <t xml:space="preserve">P3105</t>
  </si>
  <si>
    <t xml:space="preserve">Calipers</t>
  </si>
  <si>
    <t xml:space="preserve">P1776</t>
  </si>
  <si>
    <t xml:space="preserve">Feeler gauges</t>
  </si>
  <si>
    <t xml:space="preserve">P2063</t>
  </si>
  <si>
    <t xml:space="preserve">Multi-metre</t>
  </si>
  <si>
    <t xml:space="preserve">P2488</t>
  </si>
  <si>
    <t xml:space="preserve">Flow meter</t>
  </si>
  <si>
    <t xml:space="preserve">P2084</t>
  </si>
  <si>
    <t xml:space="preserve">Temp gauge</t>
  </si>
  <si>
    <t xml:space="preserve">P3007</t>
  </si>
  <si>
    <t xml:space="preserve">Dial gauge</t>
  </si>
  <si>
    <t xml:space="preserve">P1923</t>
  </si>
  <si>
    <t xml:space="preserve">Lifting and jacking equipment</t>
  </si>
  <si>
    <t xml:space="preserve">P2353</t>
  </si>
  <si>
    <t xml:space="preserve">Tensioning equipment</t>
  </si>
  <si>
    <t xml:space="preserve">P3015</t>
  </si>
  <si>
    <t xml:space="preserve">Suspension activation</t>
  </si>
  <si>
    <t xml:space="preserve">P2970</t>
  </si>
  <si>
    <t xml:space="preserve">Security activator</t>
  </si>
  <si>
    <t xml:space="preserve">P2783</t>
  </si>
  <si>
    <t xml:space="preserve">Compressor</t>
  </si>
  <si>
    <t xml:space="preserve">P1854</t>
  </si>
  <si>
    <t xml:space="preserve">Brake roller tester</t>
  </si>
  <si>
    <t xml:space="preserve">P1742</t>
  </si>
  <si>
    <t xml:space="preserve">Chassis dynamometer</t>
  </si>
  <si>
    <t xml:space="preserve">P1806</t>
  </si>
  <si>
    <t xml:space="preserve">LCD Projector</t>
  </si>
  <si>
    <t xml:space="preserve">P1045</t>
  </si>
  <si>
    <t xml:space="preserve">Computer system</t>
  </si>
  <si>
    <t xml:space="preserve">P0704</t>
  </si>
  <si>
    <t xml:space="preserve">UPS</t>
  </si>
  <si>
    <t xml:space="preserve">P1517</t>
  </si>
  <si>
    <t xml:space="preserve">CBTs</t>
  </si>
  <si>
    <t xml:space="preserve">P0638</t>
  </si>
  <si>
    <t xml:space="preserve">CBTs on working on computer</t>
  </si>
  <si>
    <t xml:space="preserve">P0639</t>
  </si>
  <si>
    <t xml:space="preserve">Two-wheeler workbench</t>
  </si>
  <si>
    <t xml:space="preserve">P1510</t>
  </si>
  <si>
    <t xml:space="preserve">Tool trolley</t>
  </si>
  <si>
    <t xml:space="preserve">P1479</t>
  </si>
  <si>
    <t xml:space="preserve">Safety glasses</t>
  </si>
  <si>
    <t xml:space="preserve">P1299</t>
  </si>
  <si>
    <t xml:space="preserve">Head protection</t>
  </si>
  <si>
    <t xml:space="preserve">P0956</t>
  </si>
  <si>
    <t xml:space="preserve">Safety rescue hook</t>
  </si>
  <si>
    <t xml:space="preserve">P1310</t>
  </si>
  <si>
    <t xml:space="preserve">Insulated Rubber mating</t>
  </si>
  <si>
    <t xml:space="preserve">P0997</t>
  </si>
  <si>
    <t xml:space="preserve">sq m</t>
  </si>
  <si>
    <t xml:space="preserve">Warning sign stickers</t>
  </si>
  <si>
    <t xml:space="preserve">P1541</t>
  </si>
  <si>
    <t xml:space="preserve">Post and chain</t>
  </si>
  <si>
    <t xml:space="preserve">P1210</t>
  </si>
  <si>
    <t xml:space="preserve">Face mask</t>
  </si>
  <si>
    <t xml:space="preserve">P0853</t>
  </si>
  <si>
    <t xml:space="preserve">Safety shoes</t>
  </si>
  <si>
    <t xml:space="preserve">P1311</t>
  </si>
  <si>
    <t xml:space="preserve">Fire extinguisher</t>
  </si>
  <si>
    <t xml:space="preserve">P0868</t>
  </si>
  <si>
    <t xml:space="preserve">Dielectric safety gloves</t>
  </si>
  <si>
    <t xml:space="preserve">P0762</t>
  </si>
  <si>
    <t xml:space="preserve">Leather over gloves</t>
  </si>
  <si>
    <t xml:space="preserve">P1053</t>
  </si>
  <si>
    <t xml:space="preserve">Safety Shoes</t>
  </si>
  <si>
    <t xml:space="preserve">Goggles</t>
  </si>
  <si>
    <t xml:space="preserve">P0926</t>
  </si>
  <si>
    <t xml:space="preserve">Ear plugs</t>
  </si>
  <si>
    <t xml:space="preserve">P0818</t>
  </si>
  <si>
    <t xml:space="preserve">Boiler suit</t>
  </si>
  <si>
    <t xml:space="preserve">P0616</t>
  </si>
  <si>
    <t xml:space="preserve">Insulated rescue pole</t>
  </si>
  <si>
    <t xml:space="preserve">P0996</t>
  </si>
  <si>
    <t xml:space="preserve">Fire extinguishers</t>
  </si>
  <si>
    <t xml:space="preserve">P0870</t>
  </si>
  <si>
    <t xml:space="preserve">First Aid</t>
  </si>
  <si>
    <t xml:space="preserve">P0875</t>
  </si>
  <si>
    <t xml:space="preserve">Four wheeler Electric vehicle model</t>
  </si>
  <si>
    <t xml:space="preserve">P0904</t>
  </si>
  <si>
    <t xml:space="preserve">Old second hand cut section lead acid battery</t>
  </si>
  <si>
    <t xml:space="preserve">P1137</t>
  </si>
  <si>
    <t xml:space="preserve">Old second hand pressure cap</t>
  </si>
  <si>
    <t xml:space="preserve">P1141</t>
  </si>
  <si>
    <t xml:space="preserve">Old second hand thermostat</t>
  </si>
  <si>
    <t xml:space="preserve">P1143</t>
  </si>
  <si>
    <t xml:space="preserve">Old second hand disc brake</t>
  </si>
  <si>
    <t xml:space="preserve">P1138</t>
  </si>
  <si>
    <t xml:space="preserve">Four wheelers old second hand Electric vehicle</t>
  </si>
  <si>
    <t xml:space="preserve">P0905</t>
  </si>
  <si>
    <t xml:space="preserve">Working model system Electric vehicle</t>
  </si>
  <si>
    <t xml:space="preserve">P1571</t>
  </si>
  <si>
    <t xml:space="preserve">Seal</t>
  </si>
  <si>
    <t xml:space="preserve">P1360</t>
  </si>
  <si>
    <t xml:space="preserve">Gaskets</t>
  </si>
  <si>
    <t xml:space="preserve">P0923</t>
  </si>
  <si>
    <t xml:space="preserve">Clutch plate</t>
  </si>
  <si>
    <t xml:space="preserve">P0675</t>
  </si>
  <si>
    <t xml:space="preserve">Brake shoes</t>
  </si>
  <si>
    <t xml:space="preserve">P0624</t>
  </si>
  <si>
    <t xml:space="preserve">Brake pads</t>
  </si>
  <si>
    <t xml:space="preserve">P0623</t>
  </si>
  <si>
    <t xml:space="preserve">Oil filter</t>
  </si>
  <si>
    <t xml:space="preserve">P1136</t>
  </si>
  <si>
    <t xml:space="preserve">Air cleaner</t>
  </si>
  <si>
    <t xml:space="preserve">P0533</t>
  </si>
  <si>
    <t xml:space="preserve">Charts</t>
  </si>
  <si>
    <t xml:space="preserve">P0649</t>
  </si>
  <si>
    <t xml:space="preserve">Videos</t>
  </si>
  <si>
    <t xml:space="preserve">P1535</t>
  </si>
  <si>
    <t xml:space="preserve">SOP Charts on safety norms and drills</t>
  </si>
  <si>
    <t xml:space="preserve">P1408</t>
  </si>
  <si>
    <t xml:space="preserve">Charts of dos and Don’ts in work area</t>
  </si>
  <si>
    <t xml:space="preserve">P0656</t>
  </si>
  <si>
    <t xml:space="preserve">Audio/video on English, Hindi or local language course</t>
  </si>
  <si>
    <t xml:space="preserve">P0563</t>
  </si>
  <si>
    <t xml:space="preserve">Reference books</t>
  </si>
  <si>
    <t xml:space="preserve">P1271</t>
  </si>
  <si>
    <t xml:space="preserve">Work books</t>
  </si>
  <si>
    <t xml:space="preserve">P1563</t>
  </si>
  <si>
    <t xml:space="preserve">Study for Soft Skills</t>
  </si>
  <si>
    <t xml:space="preserve">P1444</t>
  </si>
  <si>
    <t xml:space="preserve">Vehicle service manuals, vehicle hand book, job card, work order, completion material requests, Technical reference books</t>
  </si>
  <si>
    <t xml:space="preserve">P1526</t>
  </si>
  <si>
    <t xml:space="preserve">Cotton waste</t>
  </si>
  <si>
    <t xml:space="preserve">P0107</t>
  </si>
  <si>
    <t xml:space="preserve">Petrol/diesel</t>
  </si>
  <si>
    <t xml:space="preserve">P0341</t>
  </si>
  <si>
    <t xml:space="preserve">Lubricant</t>
  </si>
  <si>
    <t xml:space="preserve">P0253</t>
  </si>
  <si>
    <t xml:space="preserve">Grease</t>
  </si>
  <si>
    <t xml:space="preserve">P0204</t>
  </si>
  <si>
    <t xml:space="preserve">Storage containers</t>
  </si>
  <si>
    <t xml:space="preserve">P0450</t>
  </si>
  <si>
    <t xml:space="preserve">Air filters</t>
  </si>
  <si>
    <t xml:space="preserve">P0011</t>
  </si>
  <si>
    <t xml:space="preserve">Oil filters</t>
  </si>
  <si>
    <t xml:space="preserve">P0308</t>
  </si>
  <si>
    <t xml:space="preserve">Spark plugs</t>
  </si>
  <si>
    <t xml:space="preserve">P0430</t>
  </si>
  <si>
    <t xml:space="preserve">Glow plugs</t>
  </si>
  <si>
    <t xml:space="preserve">P0198</t>
  </si>
  <si>
    <t xml:space="preserve">Cleaning equipment and solutions</t>
  </si>
  <si>
    <t xml:space="preserve">P0080</t>
  </si>
  <si>
    <t xml:space="preserve">Screw driver (Star &amp; minus)</t>
  </si>
  <si>
    <t xml:space="preserve">P2766</t>
  </si>
  <si>
    <t xml:space="preserve">Double End Ring spanner</t>
  </si>
  <si>
    <t xml:space="preserve">P1952</t>
  </si>
  <si>
    <t xml:space="preserve">Open and Close (Fix) spanner</t>
  </si>
  <si>
    <t xml:space="preserve">P2524</t>
  </si>
  <si>
    <t xml:space="preserve">Socket (Goti) spanner</t>
  </si>
  <si>
    <t xml:space="preserve">P2850</t>
  </si>
  <si>
    <t xml:space="preserve">Plier</t>
  </si>
  <si>
    <t xml:space="preserve">P2622</t>
  </si>
  <si>
    <t xml:space="preserve">Monkey plier</t>
  </si>
  <si>
    <t xml:space="preserve">P2475</t>
  </si>
  <si>
    <t xml:space="preserve">Outer and inner plier</t>
  </si>
  <si>
    <t xml:space="preserve">P2532</t>
  </si>
  <si>
    <t xml:space="preserve">Tool box</t>
  </si>
  <si>
    <t xml:space="preserve">P3039</t>
  </si>
  <si>
    <t xml:space="preserve">T spanner (tommy) set</t>
  </si>
  <si>
    <t xml:space="preserve">P2978</t>
  </si>
  <si>
    <t xml:space="preserve">Allen key set</t>
  </si>
  <si>
    <t xml:space="preserve">P1621</t>
  </si>
  <si>
    <t xml:space="preserve">Hammer</t>
  </si>
  <si>
    <t xml:space="preserve">P2180</t>
  </si>
  <si>
    <t xml:space="preserve">Oil measure container, funnel</t>
  </si>
  <si>
    <t xml:space="preserve">P2521</t>
  </si>
  <si>
    <t xml:space="preserve">Magnetic bar</t>
  </si>
  <si>
    <t xml:space="preserve">P2384</t>
  </si>
  <si>
    <t xml:space="preserve">Specialty wrenches</t>
  </si>
  <si>
    <t xml:space="preserve">P2903</t>
  </si>
  <si>
    <t xml:space="preserve">Trim or moulding tools</t>
  </si>
  <si>
    <t xml:space="preserve">P3068</t>
  </si>
  <si>
    <t xml:space="preserve">Other tools</t>
  </si>
  <si>
    <t xml:space="preserve">P2530</t>
  </si>
  <si>
    <t xml:space="preserve">Spark plug cleaning machine</t>
  </si>
  <si>
    <t xml:space="preserve">P2897</t>
  </si>
  <si>
    <t xml:space="preserve">Multimeter</t>
  </si>
  <si>
    <t xml:space="preserve">P2490</t>
  </si>
  <si>
    <t xml:space="preserve">Tachometer</t>
  </si>
  <si>
    <t xml:space="preserve">P2983</t>
  </si>
  <si>
    <t xml:space="preserve">Compressor gauge</t>
  </si>
  <si>
    <t xml:space="preserve">P1855</t>
  </si>
  <si>
    <t xml:space="preserve">Workshop tool/equipment</t>
  </si>
  <si>
    <t xml:space="preserve">P3182</t>
  </si>
  <si>
    <t xml:space="preserve">Pressure indicators</t>
  </si>
  <si>
    <t xml:space="preserve">P2655</t>
  </si>
  <si>
    <t xml:space="preserve">Measuring equipment</t>
  </si>
  <si>
    <t xml:space="preserve">P2415</t>
  </si>
  <si>
    <t xml:space="preserve">Cleaning equipment</t>
  </si>
  <si>
    <t xml:space="preserve">P1827</t>
  </si>
  <si>
    <t xml:space="preserve">Tools trolley</t>
  </si>
  <si>
    <t xml:space="preserve">P1480</t>
  </si>
  <si>
    <t xml:space="preserve">Personal Protection Equipment</t>
  </si>
  <si>
    <t xml:space="preserve">P1177</t>
  </si>
  <si>
    <t xml:space="preserve">Workshop Safety: Fire extinguishers</t>
  </si>
  <si>
    <t xml:space="preserve">P1572</t>
  </si>
  <si>
    <t xml:space="preserve">Worn out/ defective/ spurious samples</t>
  </si>
  <si>
    <t xml:space="preserve">P1573</t>
  </si>
  <si>
    <t xml:space="preserve">Charts of do's and Don'ts in work area</t>
  </si>
  <si>
    <t xml:space="preserve">Four stroke working petrol engines or diesel engines model</t>
  </si>
  <si>
    <t xml:space="preserve">P0903</t>
  </si>
  <si>
    <t xml:space="preserve">Old second hand Radiator</t>
  </si>
  <si>
    <t xml:space="preserve">P1142</t>
  </si>
  <si>
    <t xml:space="preserve">Four wheelers old second hand vehicle</t>
  </si>
  <si>
    <t xml:space="preserve">P0906</t>
  </si>
  <si>
    <t xml:space="preserve">MPFI working model system</t>
  </si>
  <si>
    <t xml:space="preserve">P1112</t>
  </si>
  <si>
    <t xml:space="preserve">Old second hand motor cycle</t>
  </si>
  <si>
    <t xml:space="preserve">P1140</t>
  </si>
  <si>
    <t xml:space="preserve">Consumable items</t>
  </si>
  <si>
    <t xml:space="preserve">P0103</t>
  </si>
  <si>
    <t xml:space="preserve">Cleaning solutions</t>
  </si>
  <si>
    <t xml:space="preserve">P0082</t>
  </si>
  <si>
    <t xml:space="preserve">Money Currency Counting Machine with Built-In-Fake Note Detector</t>
  </si>
  <si>
    <t xml:space="preserve">P2474</t>
  </si>
  <si>
    <t xml:space="preserve">Overhead projector</t>
  </si>
  <si>
    <t xml:space="preserve">P1162</t>
  </si>
  <si>
    <t xml:space="preserve">Laptop/Desktop</t>
  </si>
  <si>
    <t xml:space="preserve">P1034</t>
  </si>
  <si>
    <t xml:space="preserve">Internet access</t>
  </si>
  <si>
    <t xml:space="preserve">P1004</t>
  </si>
  <si>
    <t xml:space="preserve">Scanner</t>
  </si>
  <si>
    <t xml:space="preserve">P1354</t>
  </si>
  <si>
    <t xml:space="preserve">Multimedia Projector</t>
  </si>
  <si>
    <t xml:space="preserve">P1118</t>
  </si>
  <si>
    <t xml:space="preserve">Projector Screen</t>
  </si>
  <si>
    <t xml:space="preserve">P1242</t>
  </si>
  <si>
    <t xml:space="preserve">White board marker</t>
  </si>
  <si>
    <t xml:space="preserve">P0509</t>
  </si>
  <si>
    <t xml:space="preserve">All in one Eyelash Brush/Comb</t>
  </si>
  <si>
    <t xml:space="preserve">P1618</t>
  </si>
  <si>
    <t xml:space="preserve">All Propose Comb</t>
  </si>
  <si>
    <t xml:space="preserve">P1619</t>
  </si>
  <si>
    <t xml:space="preserve">Applicator Brush</t>
  </si>
  <si>
    <t xml:space="preserve">P1636</t>
  </si>
  <si>
    <t xml:space="preserve">Barber Brush</t>
  </si>
  <si>
    <t xml:space="preserve">P1681</t>
  </si>
  <si>
    <t xml:space="preserve">Bath Comb</t>
  </si>
  <si>
    <t xml:space="preserve">P1691</t>
  </si>
  <si>
    <t xml:space="preserve">Blackhead Remover</t>
  </si>
  <si>
    <t xml:space="preserve">P1710</t>
  </si>
  <si>
    <t xml:space="preserve">Bleach Brush</t>
  </si>
  <si>
    <t xml:space="preserve">P1714</t>
  </si>
  <si>
    <t xml:space="preserve">Bowles</t>
  </si>
  <si>
    <t xml:space="preserve">P1736</t>
  </si>
  <si>
    <t xml:space="preserve">Complete Make Up Brushes Set</t>
  </si>
  <si>
    <t xml:space="preserve">P1852</t>
  </si>
  <si>
    <t xml:space="preserve">Curling Rods</t>
  </si>
  <si>
    <t xml:space="preserve">P1886</t>
  </si>
  <si>
    <t xml:space="preserve">Cuticle knife, Buffers, Pedicure rasp (hard skin removal), Nail scissors, Clippers, Hard skin remover, nipper (for pedicure)</t>
  </si>
  <si>
    <t xml:space="preserve">P1888</t>
  </si>
  <si>
    <t xml:space="preserve">Cutting Scissors</t>
  </si>
  <si>
    <t xml:space="preserve">P1897</t>
  </si>
  <si>
    <t xml:space="preserve">Eyebrow Pencil Sharpener</t>
  </si>
  <si>
    <t xml:space="preserve">P2054</t>
  </si>
  <si>
    <t xml:space="preserve">Foot Scraper</t>
  </si>
  <si>
    <t xml:space="preserve">P2091</t>
  </si>
  <si>
    <t xml:space="preserve">Frosting Cap</t>
  </si>
  <si>
    <t xml:space="preserve">P2106</t>
  </si>
  <si>
    <t xml:space="preserve">Hair Brush</t>
  </si>
  <si>
    <t xml:space="preserve">P2173</t>
  </si>
  <si>
    <t xml:space="preserve">Hair Clips set</t>
  </si>
  <si>
    <t xml:space="preserve">P2174</t>
  </si>
  <si>
    <t xml:space="preserve">Hair Connector</t>
  </si>
  <si>
    <t xml:space="preserve">P2175</t>
  </si>
  <si>
    <t xml:space="preserve">Hair Cutting Comb</t>
  </si>
  <si>
    <t xml:space="preserve">P2176</t>
  </si>
  <si>
    <t xml:space="preserve">Hand Mirrors</t>
  </si>
  <si>
    <t xml:space="preserve">P2199</t>
  </si>
  <si>
    <t xml:space="preserve">Jumbo Rollers set</t>
  </si>
  <si>
    <t xml:space="preserve">P2309</t>
  </si>
  <si>
    <t xml:space="preserve">Large Size Rollers</t>
  </si>
  <si>
    <t xml:space="preserve">P2342</t>
  </si>
  <si>
    <t xml:space="preserve">Large Tooth Comb</t>
  </si>
  <si>
    <t xml:space="preserve">P2343</t>
  </si>
  <si>
    <t xml:space="preserve">Magnifying Glass</t>
  </si>
  <si>
    <t xml:space="preserve">P2387</t>
  </si>
  <si>
    <t xml:space="preserve">Make up Palate</t>
  </si>
  <si>
    <t xml:space="preserve">P2389</t>
  </si>
  <si>
    <t xml:space="preserve">Manicure Set</t>
  </si>
  <si>
    <t xml:space="preserve">P2391</t>
  </si>
  <si>
    <t xml:space="preserve">Measuring Cup sets</t>
  </si>
  <si>
    <t xml:space="preserve">P2408</t>
  </si>
  <si>
    <t xml:space="preserve">Measuring Glass sets</t>
  </si>
  <si>
    <t xml:space="preserve">P2417</t>
  </si>
  <si>
    <t xml:space="preserve">Measuring Spoon sets</t>
  </si>
  <si>
    <t xml:space="preserve">P2421</t>
  </si>
  <si>
    <t xml:space="preserve">Medium Size Rollers</t>
  </si>
  <si>
    <t xml:space="preserve">P2432</t>
  </si>
  <si>
    <t xml:space="preserve">Mixing Bowles set</t>
  </si>
  <si>
    <t xml:space="preserve">P2468</t>
  </si>
  <si>
    <t xml:space="preserve">Mop</t>
  </si>
  <si>
    <t xml:space="preserve">P2476</t>
  </si>
  <si>
    <t xml:space="preserve">Needle for Striking</t>
  </si>
  <si>
    <t xml:space="preserve">P2504</t>
  </si>
  <si>
    <t xml:space="preserve">Pedicure Set</t>
  </si>
  <si>
    <t xml:space="preserve">P2572</t>
  </si>
  <si>
    <t xml:space="preserve">Perming Cap</t>
  </si>
  <si>
    <t xml:space="preserve">P2580</t>
  </si>
  <si>
    <t xml:space="preserve">Razor with blade</t>
  </si>
  <si>
    <t xml:space="preserve">P2694</t>
  </si>
  <si>
    <t xml:space="preserve">Roller Brush set 5 in 1</t>
  </si>
  <si>
    <t xml:space="preserve">P2719</t>
  </si>
  <si>
    <t xml:space="preserve">Small Scissors</t>
  </si>
  <si>
    <t xml:space="preserve">P2844</t>
  </si>
  <si>
    <t xml:space="preserve">Small Size Hair Rollers Wires</t>
  </si>
  <si>
    <t xml:space="preserve">P2845</t>
  </si>
  <si>
    <t xml:space="preserve">Spatula</t>
  </si>
  <si>
    <t xml:space="preserve">P2898</t>
  </si>
  <si>
    <t xml:space="preserve">Spray Bottle</t>
  </si>
  <si>
    <t xml:space="preserve">P2917</t>
  </si>
  <si>
    <t xml:space="preserve">Stone Therapy set</t>
  </si>
  <si>
    <t xml:space="preserve">P2948</t>
  </si>
  <si>
    <t xml:space="preserve">Tail Comb</t>
  </si>
  <si>
    <t xml:space="preserve">P2986</t>
  </si>
  <si>
    <t xml:space="preserve">Thinning Scissors</t>
  </si>
  <si>
    <t xml:space="preserve">P3026</t>
  </si>
  <si>
    <t xml:space="preserve">Tinting Brush with Comb</t>
  </si>
  <si>
    <t xml:space="preserve">P3034</t>
  </si>
  <si>
    <t xml:space="preserve">Tweezer</t>
  </si>
  <si>
    <t xml:space="preserve">P3080</t>
  </si>
  <si>
    <t xml:space="preserve">Wide Toothed Comb</t>
  </si>
  <si>
    <t xml:space="preserve">P3164</t>
  </si>
  <si>
    <t xml:space="preserve">Brushing Machine 10 in 1</t>
  </si>
  <si>
    <t xml:space="preserve">P1755</t>
  </si>
  <si>
    <t xml:space="preserve">Crimpers</t>
  </si>
  <si>
    <t xml:space="preserve">P1871</t>
  </si>
  <si>
    <t xml:space="preserve">Curling Iron</t>
  </si>
  <si>
    <t xml:space="preserve">P1885</t>
  </si>
  <si>
    <t xml:space="preserve">Double Wax heater</t>
  </si>
  <si>
    <t xml:space="preserve">P1956</t>
  </si>
  <si>
    <t xml:space="preserve">Electric Curler</t>
  </si>
  <si>
    <t xml:space="preserve">P2003</t>
  </si>
  <si>
    <t xml:space="preserve">Exfoliation machine</t>
  </si>
  <si>
    <t xml:space="preserve">P2050</t>
  </si>
  <si>
    <t xml:space="preserve">Facial Steamer</t>
  </si>
  <si>
    <t xml:space="preserve">P2057</t>
  </si>
  <si>
    <t xml:space="preserve">Foot spa</t>
  </si>
  <si>
    <t xml:space="preserve">P2092</t>
  </si>
  <si>
    <t xml:space="preserve">Galvanic Machine</t>
  </si>
  <si>
    <t xml:space="preserve">P2120</t>
  </si>
  <si>
    <t xml:space="preserve">Hair Dryer</t>
  </si>
  <si>
    <t xml:space="preserve">P2177</t>
  </si>
  <si>
    <t xml:space="preserve">Hair Steamer</t>
  </si>
  <si>
    <t xml:space="preserve">P2178</t>
  </si>
  <si>
    <t xml:space="preserve">Infrared Lamp</t>
  </si>
  <si>
    <t xml:space="preserve">P2286</t>
  </si>
  <si>
    <t xml:space="preserve">Paraffin Heater</t>
  </si>
  <si>
    <t xml:space="preserve">P2564</t>
  </si>
  <si>
    <t xml:space="preserve">Shampoo Bowl Set</t>
  </si>
  <si>
    <t xml:space="preserve">P2809</t>
  </si>
  <si>
    <t xml:space="preserve">Shampoo Unit</t>
  </si>
  <si>
    <t xml:space="preserve">P2810</t>
  </si>
  <si>
    <t xml:space="preserve">Sterilizer</t>
  </si>
  <si>
    <t xml:space="preserve">P2943</t>
  </si>
  <si>
    <t xml:space="preserve">Straightening Iron</t>
  </si>
  <si>
    <t xml:space="preserve">P2954</t>
  </si>
  <si>
    <t xml:space="preserve">Timer</t>
  </si>
  <si>
    <t xml:space="preserve">P3033</t>
  </si>
  <si>
    <t xml:space="preserve">Computer with Internet</t>
  </si>
  <si>
    <t xml:space="preserve">P0709</t>
  </si>
  <si>
    <t xml:space="preserve">Arm Chair</t>
  </si>
  <si>
    <t xml:space="preserve">P0555</t>
  </si>
  <si>
    <t xml:space="preserve">Body Massage Bed</t>
  </si>
  <si>
    <t xml:space="preserve">P0615</t>
  </si>
  <si>
    <t xml:space="preserve">Facial Bed</t>
  </si>
  <si>
    <t xml:space="preserve">P0856</t>
  </si>
  <si>
    <t xml:space="preserve">Hair Dresses Chair/Stool</t>
  </si>
  <si>
    <t xml:space="preserve">P0941</t>
  </si>
  <si>
    <t xml:space="preserve">High Chair</t>
  </si>
  <si>
    <t xml:space="preserve">P0961</t>
  </si>
  <si>
    <t xml:space="preserve">Hydraulic Chair</t>
  </si>
  <si>
    <t xml:space="preserve">P0977</t>
  </si>
  <si>
    <t xml:space="preserve">Large Stools</t>
  </si>
  <si>
    <t xml:space="preserve">P1038</t>
  </si>
  <si>
    <t xml:space="preserve">Rack</t>
  </si>
  <si>
    <t xml:space="preserve">P1260</t>
  </si>
  <si>
    <t xml:space="preserve">Manicure Table</t>
  </si>
  <si>
    <t xml:space="preserve">P1076</t>
  </si>
  <si>
    <t xml:space="preserve">Modular Mirrors</t>
  </si>
  <si>
    <t xml:space="preserve">P1109</t>
  </si>
  <si>
    <t xml:space="preserve">Small Stools</t>
  </si>
  <si>
    <t xml:space="preserve">P1392</t>
  </si>
  <si>
    <t xml:space="preserve">Working and facial Trolleys</t>
  </si>
  <si>
    <t xml:space="preserve">P1568</t>
  </si>
  <si>
    <t xml:space="preserve">Ladies/kids Cut Catalogues</t>
  </si>
  <si>
    <t xml:space="preserve">P1026</t>
  </si>
  <si>
    <t xml:space="preserve">Magazines/Books</t>
  </si>
  <si>
    <t xml:space="preserve">P1071</t>
  </si>
  <si>
    <t xml:space="preserve">Make up Catalogues</t>
  </si>
  <si>
    <t xml:space="preserve">P1074</t>
  </si>
  <si>
    <t xml:space="preserve">White Board</t>
  </si>
  <si>
    <t xml:space="preserve">P1551</t>
  </si>
  <si>
    <t xml:space="preserve">Cutting Sheets</t>
  </si>
  <si>
    <t xml:space="preserve">P0115</t>
  </si>
  <si>
    <t xml:space="preserve">Decorative Pins Boxes</t>
  </si>
  <si>
    <t xml:space="preserve">P0118</t>
  </si>
  <si>
    <t xml:space="preserve">Garbage Bags</t>
  </si>
  <si>
    <t xml:space="preserve">P0190</t>
  </si>
  <si>
    <t xml:space="preserve">Hair Pins Boxes</t>
  </si>
  <si>
    <t xml:space="preserve">P0210</t>
  </si>
  <si>
    <t xml:space="preserve">Invisible Pins Boxes</t>
  </si>
  <si>
    <t xml:space="preserve">P0230</t>
  </si>
  <si>
    <t xml:space="preserve">Markers Set</t>
  </si>
  <si>
    <t xml:space="preserve">P0262</t>
  </si>
  <si>
    <t xml:space="preserve">Pin Curl Clips Boxes</t>
  </si>
  <si>
    <t xml:space="preserve">P0347</t>
  </si>
  <si>
    <t xml:space="preserve">Roller pins</t>
  </si>
  <si>
    <t xml:space="preserve">P0387</t>
  </si>
  <si>
    <t xml:space="preserve">Shower Cap</t>
  </si>
  <si>
    <t xml:space="preserve">P0413</t>
  </si>
  <si>
    <t xml:space="preserve">Dustbin</t>
  </si>
  <si>
    <t xml:space="preserve">P0810</t>
  </si>
  <si>
    <t xml:space="preserve">Garbage Bin</t>
  </si>
  <si>
    <t xml:space="preserve">P0918</t>
  </si>
  <si>
    <t xml:space="preserve">Analyzer Machines</t>
  </si>
  <si>
    <t xml:space="preserve">P1631</t>
  </si>
  <si>
    <t xml:space="preserve">Sterilizers</t>
  </si>
  <si>
    <t xml:space="preserve">P2944</t>
  </si>
  <si>
    <t xml:space="preserve">First aid kit</t>
  </si>
  <si>
    <t xml:space="preserve">P0879</t>
  </si>
  <si>
    <t xml:space="preserve">Fire Extinguisher</t>
  </si>
  <si>
    <t xml:space="preserve">Anatomy and physiology charts</t>
  </si>
  <si>
    <t xml:space="preserve">P0538</t>
  </si>
  <si>
    <t xml:space="preserve">Display Material</t>
  </si>
  <si>
    <t xml:space="preserve">P0781</t>
  </si>
  <si>
    <t xml:space="preserve">Magazines/Books with rack</t>
  </si>
  <si>
    <t xml:space="preserve">P1072</t>
  </si>
  <si>
    <t xml:space="preserve">Promotional Material</t>
  </si>
  <si>
    <t xml:space="preserve">P0366</t>
  </si>
  <si>
    <t xml:space="preserve">Labelling Material</t>
  </si>
  <si>
    <t xml:space="preserve">P0240</t>
  </si>
  <si>
    <t xml:space="preserve">Record book</t>
  </si>
  <si>
    <t xml:space="preserve">P0377</t>
  </si>
  <si>
    <t xml:space="preserve">Schedule Register</t>
  </si>
  <si>
    <t xml:space="preserve">P0404</t>
  </si>
  <si>
    <t xml:space="preserve">Receipt Book</t>
  </si>
  <si>
    <t xml:space="preserve">P0373</t>
  </si>
  <si>
    <t xml:space="preserve">Inventory List</t>
  </si>
  <si>
    <t xml:space="preserve">P0228</t>
  </si>
  <si>
    <t xml:space="preserve">Garbage Bin/Bags</t>
  </si>
  <si>
    <t xml:space="preserve">P0192</t>
  </si>
  <si>
    <t xml:space="preserve">Waste Disposal Bins</t>
  </si>
  <si>
    <t xml:space="preserve">P1544</t>
  </si>
  <si>
    <t xml:space="preserve">All Purpose Comb</t>
  </si>
  <si>
    <t xml:space="preserve">P1620</t>
  </si>
  <si>
    <t xml:space="preserve">Round Brushes (various diameters)</t>
  </si>
  <si>
    <t xml:space="preserve">P2729</t>
  </si>
  <si>
    <t xml:space="preserve">Flat Brushes</t>
  </si>
  <si>
    <t xml:space="preserve">P2079</t>
  </si>
  <si>
    <t xml:space="preserve">Paddle Bristle Brushes</t>
  </si>
  <si>
    <t xml:space="preserve">P2542</t>
  </si>
  <si>
    <t xml:space="preserve">Vent Dressing comb</t>
  </si>
  <si>
    <t xml:space="preserve">P3103</t>
  </si>
  <si>
    <t xml:space="preserve">Back comb</t>
  </si>
  <si>
    <t xml:space="preserve">P1661</t>
  </si>
  <si>
    <t xml:space="preserve">Bendy rollers</t>
  </si>
  <si>
    <t xml:space="preserve">P1703</t>
  </si>
  <si>
    <t xml:space="preserve">Velcro rollers</t>
  </si>
  <si>
    <t xml:space="preserve">P3102</t>
  </si>
  <si>
    <t xml:space="preserve">Pin curl clips</t>
  </si>
  <si>
    <t xml:space="preserve">P2596</t>
  </si>
  <si>
    <t xml:space="preserve">Perm curlers (various sizes)</t>
  </si>
  <si>
    <t xml:space="preserve">P2579</t>
  </si>
  <si>
    <t xml:space="preserve">Colour brushes</t>
  </si>
  <si>
    <t xml:space="preserve">P1842</t>
  </si>
  <si>
    <t xml:space="preserve">Bowls</t>
  </si>
  <si>
    <t xml:space="preserve">P1737</t>
  </si>
  <si>
    <t xml:space="preserve">Curling Rods (Small, Medium, Large)</t>
  </si>
  <si>
    <t xml:space="preserve">P1887</t>
  </si>
  <si>
    <t xml:space="preserve">Mixing Bowls set</t>
  </si>
  <si>
    <t xml:space="preserve">P2471</t>
  </si>
  <si>
    <t xml:space="preserve">Hand held dryer and attachments</t>
  </si>
  <si>
    <t xml:space="preserve">P2195</t>
  </si>
  <si>
    <t xml:space="preserve">Scalp steamer</t>
  </si>
  <si>
    <t xml:space="preserve">P2752</t>
  </si>
  <si>
    <t xml:space="preserve">Climazone</t>
  </si>
  <si>
    <t xml:space="preserve">P1832</t>
  </si>
  <si>
    <t xml:space="preserve">Hot rollers with pins</t>
  </si>
  <si>
    <t xml:space="preserve">P2257</t>
  </si>
  <si>
    <t xml:space="preserve">Hood dryer</t>
  </si>
  <si>
    <t xml:space="preserve">P2248</t>
  </si>
  <si>
    <t xml:space="preserve">Head steamer</t>
  </si>
  <si>
    <t xml:space="preserve">P2227</t>
  </si>
  <si>
    <t xml:space="preserve">Clippers</t>
  </si>
  <si>
    <t xml:space="preserve">P1833</t>
  </si>
  <si>
    <t xml:space="preserve">Derma scope</t>
  </si>
  <si>
    <t xml:space="preserve">P1911</t>
  </si>
  <si>
    <t xml:space="preserve">Trolley</t>
  </si>
  <si>
    <t xml:space="preserve">P1508</t>
  </si>
  <si>
    <t xml:space="preserve">Hair Dresser Chair/ Stool</t>
  </si>
  <si>
    <t xml:space="preserve">P0940</t>
  </si>
  <si>
    <t xml:space="preserve">Apron and cape</t>
  </si>
  <si>
    <t xml:space="preserve">P0549</t>
  </si>
  <si>
    <t xml:space="preserve">Wraps</t>
  </si>
  <si>
    <t xml:space="preserve">P0515</t>
  </si>
  <si>
    <t xml:space="preserve">Foil</t>
  </si>
  <si>
    <t xml:space="preserve">P0182</t>
  </si>
  <si>
    <t xml:space="preserve">Hi/lo-lighting cap</t>
  </si>
  <si>
    <t xml:space="preserve">P0217</t>
  </si>
  <si>
    <t xml:space="preserve">End papers</t>
  </si>
  <si>
    <t xml:space="preserve">P0150</t>
  </si>
  <si>
    <t xml:space="preserve">Cotton wool</t>
  </si>
  <si>
    <t xml:space="preserve">P0108</t>
  </si>
  <si>
    <t xml:space="preserve">Towels (White and brown)</t>
  </si>
  <si>
    <t xml:space="preserve">P0479</t>
  </si>
  <si>
    <t xml:space="preserve">Tissue Paper</t>
  </si>
  <si>
    <t xml:space="preserve">P0473</t>
  </si>
  <si>
    <t xml:space="preserve">Disposable gloves</t>
  </si>
  <si>
    <t xml:space="preserve">P0129</t>
  </si>
  <si>
    <t xml:space="preserve">Trowel</t>
  </si>
  <si>
    <t xml:space="preserve">P3071</t>
  </si>
  <si>
    <t xml:space="preserve">Plumb rule and Bob</t>
  </si>
  <si>
    <t xml:space="preserve">P2629</t>
  </si>
  <si>
    <t xml:space="preserve">Spirit level</t>
  </si>
  <si>
    <t xml:space="preserve">P2909</t>
  </si>
  <si>
    <t xml:space="preserve">Square</t>
  </si>
  <si>
    <t xml:space="preserve">P2922</t>
  </si>
  <si>
    <t xml:space="preserve">Line and pins</t>
  </si>
  <si>
    <t xml:space="preserve">P2360</t>
  </si>
  <si>
    <t xml:space="preserve">Bolster</t>
  </si>
  <si>
    <t xml:space="preserve">P1727</t>
  </si>
  <si>
    <t xml:space="preserve">Brick hammer</t>
  </si>
  <si>
    <t xml:space="preserve">P1749</t>
  </si>
  <si>
    <t xml:space="preserve">Scutch</t>
  </si>
  <si>
    <t xml:space="preserve">P2776</t>
  </si>
  <si>
    <t xml:space="preserve">Pick Axe</t>
  </si>
  <si>
    <t xml:space="preserve">P2591</t>
  </si>
  <si>
    <t xml:space="preserve">Crowbar</t>
  </si>
  <si>
    <t xml:space="preserve">Chisel</t>
  </si>
  <si>
    <t xml:space="preserve">P1809</t>
  </si>
  <si>
    <t xml:space="preserve">Mash Hammer</t>
  </si>
  <si>
    <t xml:space="preserve">P2402</t>
  </si>
  <si>
    <t xml:space="preserve">Boaster</t>
  </si>
  <si>
    <t xml:space="preserve">P1721</t>
  </si>
  <si>
    <t xml:space="preserve">Spall Hammer</t>
  </si>
  <si>
    <t xml:space="preserve">P2893</t>
  </si>
  <si>
    <t xml:space="preserve">Scrabbling Hammer</t>
  </si>
  <si>
    <t xml:space="preserve">P2760</t>
  </si>
  <si>
    <t xml:space="preserve">Bevel</t>
  </si>
  <si>
    <t xml:space="preserve">P1705</t>
  </si>
  <si>
    <t xml:space="preserve">Picks and Beaters</t>
  </si>
  <si>
    <t xml:space="preserve">P2594</t>
  </si>
  <si>
    <t xml:space="preserve">Wooden Float</t>
  </si>
  <si>
    <t xml:space="preserve">P3178</t>
  </si>
  <si>
    <t xml:space="preserve">Metal Float</t>
  </si>
  <si>
    <t xml:space="preserve">P2435</t>
  </si>
  <si>
    <t xml:space="preserve">Floating Rule</t>
  </si>
  <si>
    <t xml:space="preserve">P2082</t>
  </si>
  <si>
    <t xml:space="preserve">Raking Needle</t>
  </si>
  <si>
    <t xml:space="preserve">P2687</t>
  </si>
  <si>
    <t xml:space="preserve">Hacking tool</t>
  </si>
  <si>
    <t xml:space="preserve">P2166</t>
  </si>
  <si>
    <t xml:space="preserve">Scratcher</t>
  </si>
  <si>
    <t xml:space="preserve">P2764</t>
  </si>
  <si>
    <t xml:space="preserve">Trowel (Khurpi)</t>
  </si>
  <si>
    <t xml:space="preserve">P3072</t>
  </si>
  <si>
    <t xml:space="preserve">Bricks</t>
  </si>
  <si>
    <t xml:space="preserve">P0044</t>
  </si>
  <si>
    <t xml:space="preserve">Stone</t>
  </si>
  <si>
    <t xml:space="preserve">P0448</t>
  </si>
  <si>
    <t xml:space="preserve">Sand</t>
  </si>
  <si>
    <t xml:space="preserve">P0397</t>
  </si>
  <si>
    <t xml:space="preserve">Concrete block</t>
  </si>
  <si>
    <t xml:space="preserve">P0100</t>
  </si>
  <si>
    <t xml:space="preserve">Cement</t>
  </si>
  <si>
    <t xml:space="preserve">P0066</t>
  </si>
  <si>
    <t xml:space="preserve">Water</t>
  </si>
  <si>
    <t xml:space="preserve">P0500</t>
  </si>
  <si>
    <t xml:space="preserve">Crimping Tool</t>
  </si>
  <si>
    <t xml:space="preserve">P1872</t>
  </si>
  <si>
    <t xml:space="preserve">Screw Driver Set</t>
  </si>
  <si>
    <t xml:space="preserve">P2767</t>
  </si>
  <si>
    <t xml:space="preserve">Digital Multimeter</t>
  </si>
  <si>
    <t xml:space="preserve">Lan Tester</t>
  </si>
  <si>
    <t xml:space="preserve">P2340</t>
  </si>
  <si>
    <t xml:space="preserve">Motherboard Diagnoser</t>
  </si>
  <si>
    <t xml:space="preserve">P2480</t>
  </si>
  <si>
    <t xml:space="preserve">Soldering Iron</t>
  </si>
  <si>
    <t xml:space="preserve">P2880</t>
  </si>
  <si>
    <t xml:space="preserve">Desktop Computer System and Parts</t>
  </si>
  <si>
    <t xml:space="preserve">P0754</t>
  </si>
  <si>
    <t xml:space="preserve">Laptop and Parts</t>
  </si>
  <si>
    <t xml:space="preserve">P1029</t>
  </si>
  <si>
    <t xml:space="preserve">Printer</t>
  </si>
  <si>
    <t xml:space="preserve">P1226</t>
  </si>
  <si>
    <t xml:space="preserve">Dot Matrix Printer</t>
  </si>
  <si>
    <t xml:space="preserve">P0793</t>
  </si>
  <si>
    <t xml:space="preserve">Laser Printer</t>
  </si>
  <si>
    <t xml:space="preserve">P1040</t>
  </si>
  <si>
    <t xml:space="preserve">Inkjet Printer</t>
  </si>
  <si>
    <t xml:space="preserve">P0991</t>
  </si>
  <si>
    <t xml:space="preserve">Multi-Function Laser Printer</t>
  </si>
  <si>
    <t xml:space="preserve">P1117</t>
  </si>
  <si>
    <t xml:space="preserve">Speakers</t>
  </si>
  <si>
    <t xml:space="preserve">P1411</t>
  </si>
  <si>
    <t xml:space="preserve">Network Switch</t>
  </si>
  <si>
    <t xml:space="preserve">P1125</t>
  </si>
  <si>
    <t xml:space="preserve">Computer or laptop attached to LCD projector</t>
  </si>
  <si>
    <t xml:space="preserve">P0700</t>
  </si>
  <si>
    <t xml:space="preserve">Computer speakers</t>
  </si>
  <si>
    <t xml:space="preserve">P0703</t>
  </si>
  <si>
    <t xml:space="preserve">ESD Gloves</t>
  </si>
  <si>
    <t xml:space="preserve">P0839</t>
  </si>
  <si>
    <t xml:space="preserve">Rubber gloves</t>
  </si>
  <si>
    <t xml:space="preserve">P1287</t>
  </si>
  <si>
    <t xml:space="preserve">Safety footwear</t>
  </si>
  <si>
    <t xml:space="preserve">P1297</t>
  </si>
  <si>
    <t xml:space="preserve">Warning signs and tapes</t>
  </si>
  <si>
    <t xml:space="preserve">P1543</t>
  </si>
  <si>
    <t xml:space="preserve">Warning signs</t>
  </si>
  <si>
    <t xml:space="preserve">P1542</t>
  </si>
  <si>
    <t xml:space="preserve">Job sheets</t>
  </si>
  <si>
    <t xml:space="preserve">P1017</t>
  </si>
  <si>
    <t xml:space="preserve">Report formats</t>
  </si>
  <si>
    <t xml:space="preserve">P1277</t>
  </si>
  <si>
    <t xml:space="preserve">Whiteboard</t>
  </si>
  <si>
    <t xml:space="preserve">Cables and Connectors</t>
  </si>
  <si>
    <t xml:space="preserve">P0053</t>
  </si>
  <si>
    <t xml:space="preserve">Cable</t>
  </si>
  <si>
    <t xml:space="preserve">P0049</t>
  </si>
  <si>
    <t xml:space="preserve">Insulation Tape</t>
  </si>
  <si>
    <t xml:space="preserve">P0226</t>
  </si>
  <si>
    <t xml:space="preserve">Lead Solder</t>
  </si>
  <si>
    <t xml:space="preserve">P0243</t>
  </si>
  <si>
    <t xml:space="preserve">Soldering Flux</t>
  </si>
  <si>
    <t xml:space="preserve">P0427</t>
  </si>
  <si>
    <t xml:space="preserve">Marker pen</t>
  </si>
  <si>
    <t xml:space="preserve">P0258</t>
  </si>
  <si>
    <t xml:space="preserve">Phase tester</t>
  </si>
  <si>
    <t xml:space="preserve">P2586</t>
  </si>
  <si>
    <t xml:space="preserve">Screwdriver set</t>
  </si>
  <si>
    <t xml:space="preserve">Nut driver set</t>
  </si>
  <si>
    <t xml:space="preserve">P2513</t>
  </si>
  <si>
    <t xml:space="preserve">Combination Plier</t>
  </si>
  <si>
    <t xml:space="preserve">P1844</t>
  </si>
  <si>
    <t xml:space="preserve">Spanner set</t>
  </si>
  <si>
    <t xml:space="preserve">P2895</t>
  </si>
  <si>
    <t xml:space="preserve">Soldering kit</t>
  </si>
  <si>
    <t xml:space="preserve">P2882</t>
  </si>
  <si>
    <t xml:space="preserve">Drill machine</t>
  </si>
  <si>
    <t xml:space="preserve">P1975</t>
  </si>
  <si>
    <t xml:space="preserve">Measuring tape</t>
  </si>
  <si>
    <t xml:space="preserve">Hacksaw</t>
  </si>
  <si>
    <t xml:space="preserve">P2167</t>
  </si>
  <si>
    <t xml:space="preserve">Scissor</t>
  </si>
  <si>
    <t xml:space="preserve">P2754</t>
  </si>
  <si>
    <t xml:space="preserve">Clamp-meter</t>
  </si>
  <si>
    <t xml:space="preserve">P1820</t>
  </si>
  <si>
    <t xml:space="preserve">Temperature meter</t>
  </si>
  <si>
    <t xml:space="preserve">P3011</t>
  </si>
  <si>
    <t xml:space="preserve">Cable Connector</t>
  </si>
  <si>
    <t xml:space="preserve">P1770</t>
  </si>
  <si>
    <t xml:space="preserve">Continuity Tester</t>
  </si>
  <si>
    <t xml:space="preserve">P1860</t>
  </si>
  <si>
    <t xml:space="preserve">Ohm’s Law kit</t>
  </si>
  <si>
    <t xml:space="preserve">P2517</t>
  </si>
  <si>
    <t xml:space="preserve">Kirchhoff’s Law kit</t>
  </si>
  <si>
    <t xml:space="preserve">P2318</t>
  </si>
  <si>
    <t xml:space="preserve">AC and DC motors</t>
  </si>
  <si>
    <t xml:space="preserve">P1593</t>
  </si>
  <si>
    <t xml:space="preserve">Regulated power supply kit</t>
  </si>
  <si>
    <t xml:space="preserve">P2705</t>
  </si>
  <si>
    <t xml:space="preserve">Sensor</t>
  </si>
  <si>
    <t xml:space="preserve">P2795</t>
  </si>
  <si>
    <t xml:space="preserve">Projector</t>
  </si>
  <si>
    <t xml:space="preserve">P1240</t>
  </si>
  <si>
    <t xml:space="preserve">Laptop</t>
  </si>
  <si>
    <t xml:space="preserve">P1027</t>
  </si>
  <si>
    <t xml:space="preserve">Personal Protective Equipment</t>
  </si>
  <si>
    <t xml:space="preserve">P1179</t>
  </si>
  <si>
    <t xml:space="preserve">Wiring layout</t>
  </si>
  <si>
    <t xml:space="preserve">P1560</t>
  </si>
  <si>
    <t xml:space="preserve">Colour code chart of resistor</t>
  </si>
  <si>
    <t xml:space="preserve">P0681</t>
  </si>
  <si>
    <t xml:space="preserve">Code chart of capacitor</t>
  </si>
  <si>
    <t xml:space="preserve">P0676</t>
  </si>
  <si>
    <t xml:space="preserve">Datasheet of Integrated Circuit</t>
  </si>
  <si>
    <t xml:space="preserve">P0741</t>
  </si>
  <si>
    <t xml:space="preserve">Trainer Guide</t>
  </si>
  <si>
    <t xml:space="preserve">P1490</t>
  </si>
  <si>
    <t xml:space="preserve">Presentations</t>
  </si>
  <si>
    <t xml:space="preserve">P1224</t>
  </si>
  <si>
    <t xml:space="preserve">Electrical tape</t>
  </si>
  <si>
    <t xml:space="preserve">P0145</t>
  </si>
  <si>
    <t xml:space="preserve">Electrical and electronic components</t>
  </si>
  <si>
    <t xml:space="preserve">P0144</t>
  </si>
  <si>
    <t xml:space="preserve">Wire</t>
  </si>
  <si>
    <t xml:space="preserve">P0513</t>
  </si>
  <si>
    <t xml:space="preserve">Printed Circuit Board</t>
  </si>
  <si>
    <t xml:space="preserve">P0363</t>
  </si>
  <si>
    <t xml:space="preserve">Marker</t>
  </si>
  <si>
    <t xml:space="preserve">P0257</t>
  </si>
  <si>
    <t xml:space="preserve">Serrated Bread Knife</t>
  </si>
  <si>
    <t xml:space="preserve">P2797</t>
  </si>
  <si>
    <t xml:space="preserve">Bread tin/ mould</t>
  </si>
  <si>
    <t xml:space="preserve">P1748</t>
  </si>
  <si>
    <t xml:space="preserve">Aluminium Cake pan</t>
  </si>
  <si>
    <t xml:space="preserve">P1626</t>
  </si>
  <si>
    <t xml:space="preserve">Cooling racks</t>
  </si>
  <si>
    <t xml:space="preserve">P1865</t>
  </si>
  <si>
    <t xml:space="preserve">Dough scrappers and plastic</t>
  </si>
  <si>
    <t xml:space="preserve">P1963</t>
  </si>
  <si>
    <t xml:space="preserve">Flour sifter/ sieves</t>
  </si>
  <si>
    <t xml:space="preserve">P2083</t>
  </si>
  <si>
    <t xml:space="preserve">Icing comb</t>
  </si>
  <si>
    <t xml:space="preserve">P2274</t>
  </si>
  <si>
    <t xml:space="preserve">Measuring cup and Measuring jug</t>
  </si>
  <si>
    <t xml:space="preserve">P2407</t>
  </si>
  <si>
    <t xml:space="preserve">Measuring spoon</t>
  </si>
  <si>
    <t xml:space="preserve">P2420</t>
  </si>
  <si>
    <t xml:space="preserve">Mixing bowl/vessels</t>
  </si>
  <si>
    <t xml:space="preserve">P2467</t>
  </si>
  <si>
    <t xml:space="preserve">Moulds/cutter</t>
  </si>
  <si>
    <t xml:space="preserve">P2483</t>
  </si>
  <si>
    <t xml:space="preserve">Muffin tray</t>
  </si>
  <si>
    <t xml:space="preserve">P2485</t>
  </si>
  <si>
    <t xml:space="preserve">Nozzle set</t>
  </si>
  <si>
    <t xml:space="preserve">P2511</t>
  </si>
  <si>
    <t xml:space="preserve">Pallet knife straight and bent</t>
  </si>
  <si>
    <t xml:space="preserve">P2557</t>
  </si>
  <si>
    <t xml:space="preserve">Piping bag</t>
  </si>
  <si>
    <t xml:space="preserve">P2606</t>
  </si>
  <si>
    <t xml:space="preserve">Plates</t>
  </si>
  <si>
    <t xml:space="preserve">P2619</t>
  </si>
  <si>
    <t xml:space="preserve">Rolling pin</t>
  </si>
  <si>
    <t xml:space="preserve">P2721</t>
  </si>
  <si>
    <t xml:space="preserve">Cake rings</t>
  </si>
  <si>
    <t xml:space="preserve">P1774</t>
  </si>
  <si>
    <t xml:space="preserve">Spatula and pastry brush</t>
  </si>
  <si>
    <t xml:space="preserve">P2899</t>
  </si>
  <si>
    <t xml:space="preserve">Spoon (big and small)</t>
  </si>
  <si>
    <t xml:space="preserve">P2914</t>
  </si>
  <si>
    <t xml:space="preserve">Strainer</t>
  </si>
  <si>
    <t xml:space="preserve">P2955</t>
  </si>
  <si>
    <t xml:space="preserve">Turn table</t>
  </si>
  <si>
    <t xml:space="preserve">P3079</t>
  </si>
  <si>
    <t xml:space="preserve">Wire whiskers</t>
  </si>
  <si>
    <t xml:space="preserve">P3175</t>
  </si>
  <si>
    <t xml:space="preserve">Pizza cutter</t>
  </si>
  <si>
    <t xml:space="preserve">P2607</t>
  </si>
  <si>
    <t xml:space="preserve">Hand blender cum mixer</t>
  </si>
  <si>
    <t xml:space="preserve">P2188</t>
  </si>
  <si>
    <t xml:space="preserve">Mixer and grinder</t>
  </si>
  <si>
    <t xml:space="preserve">P2465</t>
  </si>
  <si>
    <t xml:space="preserve">Planetary mixer</t>
  </si>
  <si>
    <t xml:space="preserve">P2608</t>
  </si>
  <si>
    <t xml:space="preserve">Spiral mixer</t>
  </si>
  <si>
    <t xml:space="preserve">P2908</t>
  </si>
  <si>
    <t xml:space="preserve">Refrigerator two door</t>
  </si>
  <si>
    <t xml:space="preserve">P2704</t>
  </si>
  <si>
    <t xml:space="preserve">Vertical four door Freezer</t>
  </si>
  <si>
    <t xml:space="preserve">P3110</t>
  </si>
  <si>
    <t xml:space="preserve">Weighing scale</t>
  </si>
  <si>
    <t xml:space="preserve">P3150</t>
  </si>
  <si>
    <t xml:space="preserve">Baking oven</t>
  </si>
  <si>
    <t xml:space="preserve">P1662</t>
  </si>
  <si>
    <t xml:space="preserve">Dough sheeter</t>
  </si>
  <si>
    <t xml:space="preserve">P1964</t>
  </si>
  <si>
    <t xml:space="preserve">Marble Table top</t>
  </si>
  <si>
    <t xml:space="preserve">P1082</t>
  </si>
  <si>
    <t xml:space="preserve">Apron &amp; head gear</t>
  </si>
  <si>
    <t xml:space="preserve">P0548</t>
  </si>
  <si>
    <t xml:space="preserve">Hand towels</t>
  </si>
  <si>
    <t xml:space="preserve">P0214</t>
  </si>
  <si>
    <t xml:space="preserve">Parchment paper</t>
  </si>
  <si>
    <t xml:space="preserve">P0328</t>
  </si>
  <si>
    <t xml:space="preserve">Packaging material food grade</t>
  </si>
  <si>
    <t xml:space="preserve">P0315</t>
  </si>
  <si>
    <t xml:space="preserve">Water storage can</t>
  </si>
  <si>
    <t xml:space="preserve">P1549</t>
  </si>
  <si>
    <t xml:space="preserve">Baking Trays, Moulds, Pans</t>
  </si>
  <si>
    <t xml:space="preserve">P1664</t>
  </si>
  <si>
    <t xml:space="preserve">Cleaning &amp; Maintenance Tools</t>
  </si>
  <si>
    <t xml:space="preserve">P1824</t>
  </si>
  <si>
    <t xml:space="preserve">Washing and Soaking Tanks</t>
  </si>
  <si>
    <t xml:space="preserve">P3120</t>
  </si>
  <si>
    <t xml:space="preserve">Cookie Depositor / Moulds</t>
  </si>
  <si>
    <t xml:space="preserve">P1862</t>
  </si>
  <si>
    <t xml:space="preserve">Bread Proofer (Optional)</t>
  </si>
  <si>
    <t xml:space="preserve">P1747</t>
  </si>
  <si>
    <t xml:space="preserve">Sealing Machine</t>
  </si>
  <si>
    <t xml:space="preserve">P2777</t>
  </si>
  <si>
    <t xml:space="preserve">Storage Bins / Silos</t>
  </si>
  <si>
    <t xml:space="preserve">P2950</t>
  </si>
  <si>
    <t xml:space="preserve">Millet Cleaning Machine</t>
  </si>
  <si>
    <t xml:space="preserve">P2458</t>
  </si>
  <si>
    <t xml:space="preserve">Dehulling Machine</t>
  </si>
  <si>
    <t xml:space="preserve">P1908</t>
  </si>
  <si>
    <t xml:space="preserve">Grading Machine</t>
  </si>
  <si>
    <t xml:space="preserve">P2151</t>
  </si>
  <si>
    <t xml:space="preserve">Hammer Mill / Pulverizer</t>
  </si>
  <si>
    <t xml:space="preserve">P2184</t>
  </si>
  <si>
    <t xml:space="preserve">Stone Mill / Roller Mill</t>
  </si>
  <si>
    <t xml:space="preserve">P2947</t>
  </si>
  <si>
    <t xml:space="preserve">Roaster / Dryer</t>
  </si>
  <si>
    <t xml:space="preserve">P2717</t>
  </si>
  <si>
    <t xml:space="preserve">Hot Extruder Machine</t>
  </si>
  <si>
    <t xml:space="preserve">P2255</t>
  </si>
  <si>
    <t xml:space="preserve">Cold Extrusion Machine</t>
  </si>
  <si>
    <t xml:space="preserve">P1841</t>
  </si>
  <si>
    <t xml:space="preserve">Flaking / Puffing Machine</t>
  </si>
  <si>
    <t xml:space="preserve">P2076</t>
  </si>
  <si>
    <t xml:space="preserve">Dough Mixer / Blender</t>
  </si>
  <si>
    <t xml:space="preserve">P1961</t>
  </si>
  <si>
    <t xml:space="preserve">Sheeter / Cutter</t>
  </si>
  <si>
    <t xml:space="preserve">P2814</t>
  </si>
  <si>
    <t xml:space="preserve">Commercial Oven (Deck/Convection)</t>
  </si>
  <si>
    <t xml:space="preserve">P1849</t>
  </si>
  <si>
    <t xml:space="preserve">Weighing and Filling Machine</t>
  </si>
  <si>
    <t xml:space="preserve">P3145</t>
  </si>
  <si>
    <t xml:space="preserve">Packaging Materials</t>
  </si>
  <si>
    <t xml:space="preserve">P0316</t>
  </si>
  <si>
    <t xml:space="preserve">Tool kit</t>
  </si>
  <si>
    <t xml:space="preserve">P3041</t>
  </si>
  <si>
    <t xml:space="preserve">Electrician knife</t>
  </si>
  <si>
    <t xml:space="preserve">P2011</t>
  </si>
  <si>
    <t xml:space="preserve">Water level indicator</t>
  </si>
  <si>
    <t xml:space="preserve">P3133</t>
  </si>
  <si>
    <t xml:space="preserve">PVC mallet</t>
  </si>
  <si>
    <t xml:space="preserve">P2679</t>
  </si>
  <si>
    <t xml:space="preserve">Fuse puller</t>
  </si>
  <si>
    <t xml:space="preserve">P2119</t>
  </si>
  <si>
    <t xml:space="preserve">Compass</t>
  </si>
  <si>
    <t xml:space="preserve">P1850</t>
  </si>
  <si>
    <t xml:space="preserve">Spirit level/water level</t>
  </si>
  <si>
    <t xml:space="preserve">P2910</t>
  </si>
  <si>
    <t xml:space="preserve">Double-ended flat and ring spanner</t>
  </si>
  <si>
    <t xml:space="preserve">P1957</t>
  </si>
  <si>
    <t xml:space="preserve">Combination plier</t>
  </si>
  <si>
    <t xml:space="preserve">Side cutting plier</t>
  </si>
  <si>
    <t xml:space="preserve">P2824</t>
  </si>
  <si>
    <t xml:space="preserve">Nose pliers</t>
  </si>
  <si>
    <t xml:space="preserve">P2510</t>
  </si>
  <si>
    <t xml:space="preserve">Wire stripper</t>
  </si>
  <si>
    <t xml:space="preserve">P3173</t>
  </si>
  <si>
    <t xml:space="preserve">Hacksaw frame with the blade</t>
  </si>
  <si>
    <t xml:space="preserve">P2170</t>
  </si>
  <si>
    <t xml:space="preserve">Screwdriver</t>
  </si>
  <si>
    <t xml:space="preserve">P2772</t>
  </si>
  <si>
    <t xml:space="preserve">Line dori</t>
  </si>
  <si>
    <t xml:space="preserve">P2361</t>
  </si>
  <si>
    <t xml:space="preserve">Plumb bob</t>
  </si>
  <si>
    <t xml:space="preserve">P2628</t>
  </si>
  <si>
    <t xml:space="preserve">Vernier calliper</t>
  </si>
  <si>
    <t xml:space="preserve">P3109</t>
  </si>
  <si>
    <t xml:space="preserve">Centre punch</t>
  </si>
  <si>
    <t xml:space="preserve">P1796</t>
  </si>
  <si>
    <t xml:space="preserve">Standard wire gauge</t>
  </si>
  <si>
    <t xml:space="preserve">P2929</t>
  </si>
  <si>
    <t xml:space="preserve">Cable cutter</t>
  </si>
  <si>
    <t xml:space="preserve">P1771</t>
  </si>
  <si>
    <t xml:space="preserve">Screw driver set</t>
  </si>
  <si>
    <t xml:space="preserve">A complete unit of Solar photovoltaic system</t>
  </si>
  <si>
    <t xml:space="preserve">P1589</t>
  </si>
  <si>
    <t xml:space="preserve">Solar power meter (pyranometer)</t>
  </si>
  <si>
    <t xml:space="preserve">P2873</t>
  </si>
  <si>
    <t xml:space="preserve">Solar photovoltaic inverter</t>
  </si>
  <si>
    <t xml:space="preserve">P2871</t>
  </si>
  <si>
    <t xml:space="preserve">Energy meter</t>
  </si>
  <si>
    <t xml:space="preserve">P2034</t>
  </si>
  <si>
    <t xml:space="preserve">Battery</t>
  </si>
  <si>
    <t xml:space="preserve">P1692</t>
  </si>
  <si>
    <t xml:space="preserve">Tong tester AC/DC</t>
  </si>
  <si>
    <t xml:space="preserve">P3038</t>
  </si>
  <si>
    <t xml:space="preserve">Soldering iron</t>
  </si>
  <si>
    <t xml:space="preserve">Phase sequence meter</t>
  </si>
  <si>
    <t xml:space="preserve">P2585</t>
  </si>
  <si>
    <t xml:space="preserve">Inclinometer</t>
  </si>
  <si>
    <t xml:space="preserve">P2277</t>
  </si>
  <si>
    <t xml:space="preserve">Clamp meter</t>
  </si>
  <si>
    <t xml:space="preserve">Earth tester</t>
  </si>
  <si>
    <t xml:space="preserve">P1994</t>
  </si>
  <si>
    <t xml:space="preserve">Lux meter</t>
  </si>
  <si>
    <t xml:space="preserve">P2377</t>
  </si>
  <si>
    <t xml:space="preserve">Charge controller</t>
  </si>
  <si>
    <t xml:space="preserve">P1805</t>
  </si>
  <si>
    <t xml:space="preserve">Load (AC/DC)</t>
  </si>
  <si>
    <t xml:space="preserve">P2368</t>
  </si>
  <si>
    <t xml:space="preserve">Solar conversion kits</t>
  </si>
  <si>
    <t xml:space="preserve">P2861</t>
  </si>
  <si>
    <t xml:space="preserve">Solar panels</t>
  </si>
  <si>
    <t xml:space="preserve">P2869</t>
  </si>
  <si>
    <t xml:space="preserve">Safety helmet</t>
  </si>
  <si>
    <t xml:space="preserve">P1303</t>
  </si>
  <si>
    <t xml:space="preserve">Safety belt</t>
  </si>
  <si>
    <t xml:space="preserve">P1294</t>
  </si>
  <si>
    <t xml:space="preserve">Nose mask</t>
  </si>
  <si>
    <t xml:space="preserve">P1130</t>
  </si>
  <si>
    <t xml:space="preserve">Safety goggles</t>
  </si>
  <si>
    <t xml:space="preserve">P1301</t>
  </si>
  <si>
    <t xml:space="preserve">Ear plug</t>
  </si>
  <si>
    <t xml:space="preserve">P0817</t>
  </si>
  <si>
    <t xml:space="preserve">Cotton hand glove</t>
  </si>
  <si>
    <t xml:space="preserve">P0722</t>
  </si>
  <si>
    <t xml:space="preserve">First Aid kit</t>
  </si>
  <si>
    <t xml:space="preserve">Solar chart</t>
  </si>
  <si>
    <t xml:space="preserve">P1406</t>
  </si>
  <si>
    <t xml:space="preserve">Charts of dos and Don'ts in the work area</t>
  </si>
  <si>
    <t xml:space="preserve">P0655</t>
  </si>
  <si>
    <t xml:space="preserve">Audio/video on English, Hindi, or local language course</t>
  </si>
  <si>
    <t xml:space="preserve">Workbooks</t>
  </si>
  <si>
    <t xml:space="preserve">CBTs on working on the computer</t>
  </si>
  <si>
    <t xml:space="preserve">P0641</t>
  </si>
  <si>
    <t xml:space="preserve">Earthing rod</t>
  </si>
  <si>
    <t xml:space="preserve">P0142</t>
  </si>
  <si>
    <t xml:space="preserve">Flux</t>
  </si>
  <si>
    <t xml:space="preserve">P0181</t>
  </si>
  <si>
    <t xml:space="preserve">Cable ties</t>
  </si>
  <si>
    <t xml:space="preserve">P0050</t>
  </si>
  <si>
    <t xml:space="preserve">Connecting wires</t>
  </si>
  <si>
    <t xml:space="preserve">P0101</t>
  </si>
  <si>
    <t xml:space="preserve">Lead solder</t>
  </si>
  <si>
    <t xml:space="preserve">MC4 connectors</t>
  </si>
  <si>
    <t xml:space="preserve">P0274</t>
  </si>
  <si>
    <t xml:space="preserve">Mechanical fixtures required for panel installation</t>
  </si>
  <si>
    <t xml:space="preserve">P0277</t>
  </si>
  <si>
    <t xml:space="preserve">Soldering flux</t>
  </si>
  <si>
    <t xml:space="preserve">PUCs</t>
  </si>
  <si>
    <t xml:space="preserve">P1256</t>
  </si>
  <si>
    <t xml:space="preserve">Oxygen Key</t>
  </si>
  <si>
    <t xml:space="preserve">P2539</t>
  </si>
  <si>
    <t xml:space="preserve">Kidney Tray</t>
  </si>
  <si>
    <t xml:space="preserve">P2316</t>
  </si>
  <si>
    <t xml:space="preserve">Comb</t>
  </si>
  <si>
    <t xml:space="preserve">P1843</t>
  </si>
  <si>
    <t xml:space="preserve">Transfer forceps</t>
  </si>
  <si>
    <t xml:space="preserve">P3060</t>
  </si>
  <si>
    <t xml:space="preserve">Tourniquet</t>
  </si>
  <si>
    <t xml:space="preserve">P3055</t>
  </si>
  <si>
    <t xml:space="preserve">Ambu Mask (Adult)</t>
  </si>
  <si>
    <t xml:space="preserve">P1629</t>
  </si>
  <si>
    <t xml:space="preserve">Pocket Mask</t>
  </si>
  <si>
    <t xml:space="preserve">P2634</t>
  </si>
  <si>
    <t xml:space="preserve">Stop Watch</t>
  </si>
  <si>
    <t xml:space="preserve">P2949</t>
  </si>
  <si>
    <t xml:space="preserve">Oxygen Cylinder</t>
  </si>
  <si>
    <t xml:space="preserve">P2537</t>
  </si>
  <si>
    <t xml:space="preserve">Wheel Chair</t>
  </si>
  <si>
    <t xml:space="preserve">P3157</t>
  </si>
  <si>
    <t xml:space="preserve">Walker</t>
  </si>
  <si>
    <t xml:space="preserve">P3114</t>
  </si>
  <si>
    <t xml:space="preserve">Crutch</t>
  </si>
  <si>
    <t xml:space="preserve">P1880</t>
  </si>
  <si>
    <t xml:space="preserve">Stretcher</t>
  </si>
  <si>
    <t xml:space="preserve">P2959</t>
  </si>
  <si>
    <t xml:space="preserve">Cane</t>
  </si>
  <si>
    <t xml:space="preserve">P1786</t>
  </si>
  <si>
    <t xml:space="preserve">Spine Board</t>
  </si>
  <si>
    <t xml:space="preserve">P2906</t>
  </si>
  <si>
    <t xml:space="preserve">IV Stand</t>
  </si>
  <si>
    <t xml:space="preserve">P2303</t>
  </si>
  <si>
    <t xml:space="preserve">Measuring Glass</t>
  </si>
  <si>
    <t xml:space="preserve">P2416</t>
  </si>
  <si>
    <t xml:space="preserve">Syringe destroyer</t>
  </si>
  <si>
    <t xml:space="preserve">P2974</t>
  </si>
  <si>
    <t xml:space="preserve">Syringe Sterilizer</t>
  </si>
  <si>
    <t xml:space="preserve">P2976</t>
  </si>
  <si>
    <t xml:space="preserve">Needle burner</t>
  </si>
  <si>
    <t xml:space="preserve">P2502</t>
  </si>
  <si>
    <t xml:space="preserve">B.P. Monitoring Machine</t>
  </si>
  <si>
    <t xml:space="preserve">P1660</t>
  </si>
  <si>
    <t xml:space="preserve">Call bell</t>
  </si>
  <si>
    <t xml:space="preserve">P1778</t>
  </si>
  <si>
    <t xml:space="preserve">Drum</t>
  </si>
  <si>
    <t xml:space="preserve">P1984</t>
  </si>
  <si>
    <t xml:space="preserve">Suction Apparatus</t>
  </si>
  <si>
    <t xml:space="preserve">P2966</t>
  </si>
  <si>
    <t xml:space="preserve">Speaker</t>
  </si>
  <si>
    <t xml:space="preserve">P1410</t>
  </si>
  <si>
    <t xml:space="preserve">Oxygen Cylinder Trolley</t>
  </si>
  <si>
    <t xml:space="preserve">P1164</t>
  </si>
  <si>
    <t xml:space="preserve">Hospital Bed</t>
  </si>
  <si>
    <t xml:space="preserve">P0963</t>
  </si>
  <si>
    <t xml:space="preserve">Bedside Locker</t>
  </si>
  <si>
    <t xml:space="preserve">P0599</t>
  </si>
  <si>
    <t xml:space="preserve">Cardiac Table</t>
  </si>
  <si>
    <t xml:space="preserve">P0634</t>
  </si>
  <si>
    <t xml:space="preserve">Student Chair</t>
  </si>
  <si>
    <t xml:space="preserve">P1439</t>
  </si>
  <si>
    <t xml:space="preserve">Table (3 ft by 6 ft)</t>
  </si>
  <si>
    <t xml:space="preserve">P1454</t>
  </si>
  <si>
    <t xml:space="preserve">Cupboard</t>
  </si>
  <si>
    <t xml:space="preserve">P0728</t>
  </si>
  <si>
    <t xml:space="preserve">Back Rest, Foot Rest</t>
  </si>
  <si>
    <t xml:space="preserve">P0570</t>
  </si>
  <si>
    <t xml:space="preserve">Examination table</t>
  </si>
  <si>
    <t xml:space="preserve">P0840</t>
  </si>
  <si>
    <t xml:space="preserve">Gown</t>
  </si>
  <si>
    <t xml:space="preserve">P0929</t>
  </si>
  <si>
    <t xml:space="preserve">Mask</t>
  </si>
  <si>
    <t xml:space="preserve">P1085</t>
  </si>
  <si>
    <t xml:space="preserve">Shoe Cover</t>
  </si>
  <si>
    <t xml:space="preserve">P1375</t>
  </si>
  <si>
    <t xml:space="preserve">Hair Cap</t>
  </si>
  <si>
    <t xml:space="preserve">P0938</t>
  </si>
  <si>
    <t xml:space="preserve">Little Anne</t>
  </si>
  <si>
    <t xml:space="preserve">P1061</t>
  </si>
  <si>
    <t xml:space="preserve">AED Trainer with Adult Pad</t>
  </si>
  <si>
    <t xml:space="preserve">P0532</t>
  </si>
  <si>
    <t xml:space="preserve">Writing Pad</t>
  </si>
  <si>
    <t xml:space="preserve">P0516</t>
  </si>
  <si>
    <t xml:space="preserve">Gloves (disposable), Gloves (surgical)</t>
  </si>
  <si>
    <t xml:space="preserve">P0195</t>
  </si>
  <si>
    <t xml:space="preserve">Liquid</t>
  </si>
  <si>
    <t xml:space="preserve">P0247</t>
  </si>
  <si>
    <t xml:space="preserve">Soap Bottle</t>
  </si>
  <si>
    <t xml:space="preserve">P0419</t>
  </si>
  <si>
    <t xml:space="preserve">Sponge Cloth</t>
  </si>
  <si>
    <t xml:space="preserve">P0435</t>
  </si>
  <si>
    <t xml:space="preserve">Wet Wipes</t>
  </si>
  <si>
    <t xml:space="preserve">P0507</t>
  </si>
  <si>
    <t xml:space="preserve">Tooth Brush</t>
  </si>
  <si>
    <t xml:space="preserve">P0476</t>
  </si>
  <si>
    <t xml:space="preserve">Toothpaste</t>
  </si>
  <si>
    <t xml:space="preserve">P0477</t>
  </si>
  <si>
    <t xml:space="preserve">tube</t>
  </si>
  <si>
    <t xml:space="preserve">Hair Oil</t>
  </si>
  <si>
    <t xml:space="preserve">P0209</t>
  </si>
  <si>
    <t xml:space="preserve">Shampoo Bottle</t>
  </si>
  <si>
    <t xml:space="preserve">P0410</t>
  </si>
  <si>
    <t xml:space="preserve">Bath Soap</t>
  </si>
  <si>
    <t xml:space="preserve">P0025</t>
  </si>
  <si>
    <t xml:space="preserve">Talcum powder</t>
  </si>
  <si>
    <t xml:space="preserve">P0464</t>
  </si>
  <si>
    <t xml:space="preserve">Different Colur Plastic Bags</t>
  </si>
  <si>
    <t xml:space="preserve">P0122</t>
  </si>
  <si>
    <t xml:space="preserve">Uro bag</t>
  </si>
  <si>
    <t xml:space="preserve">P0487</t>
  </si>
  <si>
    <t xml:space="preserve">Sample Collection Bottle</t>
  </si>
  <si>
    <t xml:space="preserve">P0395</t>
  </si>
  <si>
    <t xml:space="preserve">Gauze Piece (4X4)</t>
  </si>
  <si>
    <t xml:space="preserve">P0193</t>
  </si>
  <si>
    <t xml:space="preserve">Betadine Solution Bottle</t>
  </si>
  <si>
    <t xml:space="preserve">P0031</t>
  </si>
  <si>
    <t xml:space="preserve">Cotton Rolls</t>
  </si>
  <si>
    <t xml:space="preserve">P0106</t>
  </si>
  <si>
    <t xml:space="preserve">Normal Saline Bottle</t>
  </si>
  <si>
    <t xml:space="preserve">P0301</t>
  </si>
  <si>
    <t xml:space="preserve">Micropore</t>
  </si>
  <si>
    <t xml:space="preserve">P0279</t>
  </si>
  <si>
    <t xml:space="preserve">Blood Concentrate</t>
  </si>
  <si>
    <t xml:space="preserve">P0040</t>
  </si>
  <si>
    <t xml:space="preserve">Hydrogen Peroxide Bottle</t>
  </si>
  <si>
    <t xml:space="preserve">P0220</t>
  </si>
  <si>
    <t xml:space="preserve">Cleaning Solution (Colin)</t>
  </si>
  <si>
    <t xml:space="preserve">P0081</t>
  </si>
  <si>
    <t xml:space="preserve">Syringe 50 cc/ml</t>
  </si>
  <si>
    <t xml:space="preserve">P0457</t>
  </si>
  <si>
    <t xml:space="preserve">Folley catheter</t>
  </si>
  <si>
    <t xml:space="preserve">P0184</t>
  </si>
  <si>
    <t xml:space="preserve">Euro bags</t>
  </si>
  <si>
    <t xml:space="preserve">P0155</t>
  </si>
  <si>
    <t xml:space="preserve">Suction Catheter</t>
  </si>
  <si>
    <t xml:space="preserve">P0451</t>
  </si>
  <si>
    <t xml:space="preserve">Ryle's tube</t>
  </si>
  <si>
    <t xml:space="preserve">P0393</t>
  </si>
  <si>
    <t xml:space="preserve">Vaccutainer (red/black/violet)</t>
  </si>
  <si>
    <t xml:space="preserve">P0493</t>
  </si>
  <si>
    <t xml:space="preserve">Bed Sheet</t>
  </si>
  <si>
    <t xml:space="preserve">P0595</t>
  </si>
  <si>
    <t xml:space="preserve">Pillow with Pillow Cover</t>
  </si>
  <si>
    <t xml:space="preserve">P1195</t>
  </si>
  <si>
    <t xml:space="preserve">Blanket</t>
  </si>
  <si>
    <t xml:space="preserve">P0609</t>
  </si>
  <si>
    <t xml:space="preserve">Steel Basin</t>
  </si>
  <si>
    <t xml:space="preserve">P1420</t>
  </si>
  <si>
    <t xml:space="preserve">Bed pan</t>
  </si>
  <si>
    <t xml:space="preserve">P0594</t>
  </si>
  <si>
    <t xml:space="preserve">Urinal (Male &amp; Female)</t>
  </si>
  <si>
    <t xml:space="preserve">P1519</t>
  </si>
  <si>
    <t xml:space="preserve">Steel Plate</t>
  </si>
  <si>
    <t xml:space="preserve">P1425</t>
  </si>
  <si>
    <t xml:space="preserve">Steel Glass</t>
  </si>
  <si>
    <t xml:space="preserve">P1423</t>
  </si>
  <si>
    <t xml:space="preserve">Steel Bowl</t>
  </si>
  <si>
    <t xml:space="preserve">P1421</t>
  </si>
  <si>
    <t xml:space="preserve">Spoon</t>
  </si>
  <si>
    <t xml:space="preserve">P1416</t>
  </si>
  <si>
    <t xml:space="preserve">Steel Jug</t>
  </si>
  <si>
    <t xml:space="preserve">P1424</t>
  </si>
  <si>
    <t xml:space="preserve">Bath Tub</t>
  </si>
  <si>
    <t xml:space="preserve">P0590</t>
  </si>
  <si>
    <t xml:space="preserve">Extension Cord</t>
  </si>
  <si>
    <t xml:space="preserve">P0848</t>
  </si>
  <si>
    <t xml:space="preserve">Towel</t>
  </si>
  <si>
    <t xml:space="preserve">P1487</t>
  </si>
  <si>
    <t xml:space="preserve">Mackintosh</t>
  </si>
  <si>
    <t xml:space="preserve">P1070</t>
  </si>
  <si>
    <t xml:space="preserve">Dustbins</t>
  </si>
  <si>
    <t xml:space="preserve">P0812</t>
  </si>
  <si>
    <t xml:space="preserve">Enamel basin</t>
  </si>
  <si>
    <t xml:space="preserve">P0833</t>
  </si>
  <si>
    <t xml:space="preserve">Hot Water Bottle</t>
  </si>
  <si>
    <t xml:space="preserve">P0967</t>
  </si>
  <si>
    <t xml:space="preserve">Ice caps</t>
  </si>
  <si>
    <t xml:space="preserve">P0980</t>
  </si>
  <si>
    <t xml:space="preserve">Rubber sheet</t>
  </si>
  <si>
    <t xml:space="preserve">P1289</t>
  </si>
  <si>
    <t xml:space="preserve">Draw Sheet</t>
  </si>
  <si>
    <t xml:space="preserve">P0797</t>
  </si>
  <si>
    <t xml:space="preserve">Desktop computers</t>
  </si>
  <si>
    <t xml:space="preserve">P0755</t>
  </si>
  <si>
    <t xml:space="preserve">Software</t>
  </si>
  <si>
    <t xml:space="preserve">P1399</t>
  </si>
  <si>
    <t xml:space="preserve">Student Table</t>
  </si>
  <si>
    <t xml:space="preserve">P1440</t>
  </si>
  <si>
    <t xml:space="preserve">Pin-up Board</t>
  </si>
  <si>
    <t xml:space="preserve">P1197</t>
  </si>
  <si>
    <t xml:space="preserve">Microphone / voice system for lecture and class activities</t>
  </si>
  <si>
    <t xml:space="preserve">P2446</t>
  </si>
  <si>
    <t xml:space="preserve">Laptop for presentations</t>
  </si>
  <si>
    <t xml:space="preserve">P1031</t>
  </si>
  <si>
    <t xml:space="preserve">PCs/Laptops</t>
  </si>
  <si>
    <t xml:space="preserve">P1173</t>
  </si>
  <si>
    <t xml:space="preserve">Internet with Wi-Fi</t>
  </si>
  <si>
    <t xml:space="preserve">P1008</t>
  </si>
  <si>
    <t xml:space="preserve">Computer Lab with 1:1 PC: trainee ratio and having internet connection</t>
  </si>
  <si>
    <t xml:space="preserve">P0696</t>
  </si>
  <si>
    <t xml:space="preserve">MS Office / Open office, Browser, Outlook / Any other Email Client, and chat tools</t>
  </si>
  <si>
    <t xml:space="preserve">P1114</t>
  </si>
  <si>
    <t xml:space="preserve">Kali Linux / Ubuntu, Windows 10/11, VirtualBox / VMware, Wireshark, Nmap, Metasploit, Nessus / OpenVAS</t>
  </si>
  <si>
    <t xml:space="preserve">P1018</t>
  </si>
  <si>
    <t xml:space="preserve">NIST Cybersecurity Framework, CEH / Security+ guides</t>
  </si>
  <si>
    <t xml:space="preserve">P1128</t>
  </si>
  <si>
    <t xml:space="preserve">Markers</t>
  </si>
  <si>
    <t xml:space="preserve">P0261</t>
  </si>
  <si>
    <t xml:space="preserve">Chart paper and sketch pens</t>
  </si>
  <si>
    <t xml:space="preserve">P0071</t>
  </si>
  <si>
    <t xml:space="preserve">Air Conditioner 1.5 tonne</t>
  </si>
  <si>
    <t xml:space="preserve">P1609</t>
  </si>
  <si>
    <t xml:space="preserve">Computer</t>
  </si>
  <si>
    <t xml:space="preserve">P0691</t>
  </si>
  <si>
    <t xml:space="preserve">Laser Printer Black</t>
  </si>
  <si>
    <t xml:space="preserve">P1041</t>
  </si>
  <si>
    <t xml:space="preserve">Inkjet Printers (Colour &amp; Black)</t>
  </si>
  <si>
    <t xml:space="preserve">P0992</t>
  </si>
  <si>
    <t xml:space="preserve">Online UPS 5 KVA</t>
  </si>
  <si>
    <t xml:space="preserve">P1148</t>
  </si>
  <si>
    <t xml:space="preserve">16 Port Switches</t>
  </si>
  <si>
    <t xml:space="preserve">P0522</t>
  </si>
  <si>
    <t xml:space="preserve">Telephone line (For Internet)</t>
  </si>
  <si>
    <t xml:space="preserve">P1470</t>
  </si>
  <si>
    <t xml:space="preserve">Operating System Linux and Windows</t>
  </si>
  <si>
    <t xml:space="preserve">P1152</t>
  </si>
  <si>
    <t xml:space="preserve">Anti Virus Latest version</t>
  </si>
  <si>
    <t xml:space="preserve">P0541</t>
  </si>
  <si>
    <t xml:space="preserve">LibreOffice or MS Office latest version</t>
  </si>
  <si>
    <t xml:space="preserve">P1057</t>
  </si>
  <si>
    <t xml:space="preserve">Class room chairs and desks</t>
  </si>
  <si>
    <t xml:space="preserve">P0669</t>
  </si>
  <si>
    <t xml:space="preserve">Computer Tables</t>
  </si>
  <si>
    <t xml:space="preserve">P0708</t>
  </si>
  <si>
    <t xml:space="preserve">Straight back revolving &amp; adjustable chairs (Computer Chairs)</t>
  </si>
  <si>
    <t xml:space="preserve">P1438</t>
  </si>
  <si>
    <t xml:space="preserve">Printer Tables</t>
  </si>
  <si>
    <t xml:space="preserve">P1228</t>
  </si>
  <si>
    <t xml:space="preserve">Trainers Table</t>
  </si>
  <si>
    <t xml:space="preserve">P1492</t>
  </si>
  <si>
    <t xml:space="preserve">Trainers Chair</t>
  </si>
  <si>
    <t xml:space="preserve">P1491</t>
  </si>
  <si>
    <t xml:space="preserve">Steel cupboards drawer type</t>
  </si>
  <si>
    <t xml:space="preserve">P1422</t>
  </si>
  <si>
    <t xml:space="preserve">Cabinet with drawer</t>
  </si>
  <si>
    <t xml:space="preserve">P0631</t>
  </si>
  <si>
    <t xml:space="preserve">Steel almirah big size</t>
  </si>
  <si>
    <t xml:space="preserve">P1418</t>
  </si>
  <si>
    <t xml:space="preserve">Steel almirah small size</t>
  </si>
  <si>
    <t xml:space="preserve">P1419</t>
  </si>
  <si>
    <t xml:space="preserve">Sieve Set</t>
  </si>
  <si>
    <t xml:space="preserve">P2827</t>
  </si>
  <si>
    <t xml:space="preserve">Scoops (different sizes)</t>
  </si>
  <si>
    <t xml:space="preserve">P2759</t>
  </si>
  <si>
    <t xml:space="preserve">Forceps and brushes</t>
  </si>
  <si>
    <t xml:space="preserve">P2095</t>
  </si>
  <si>
    <t xml:space="preserve">Enamel plates with smooth white surface (30 cm dia with raised rims)</t>
  </si>
  <si>
    <t xml:space="preserve">P2032</t>
  </si>
  <si>
    <t xml:space="preserve">Parkhi (Bag trier)</t>
  </si>
  <si>
    <t xml:space="preserve">P2565</t>
  </si>
  <si>
    <t xml:space="preserve">Sample seal</t>
  </si>
  <si>
    <t xml:space="preserve">P2745</t>
  </si>
  <si>
    <t xml:space="preserve">Magnifying glass (magnification 10X)</t>
  </si>
  <si>
    <t xml:space="preserve">P2388</t>
  </si>
  <si>
    <t xml:space="preserve">Rat cages (wonder traps)</t>
  </si>
  <si>
    <t xml:space="preserve">P2693</t>
  </si>
  <si>
    <t xml:space="preserve">Ladder</t>
  </si>
  <si>
    <t xml:space="preserve">P2335</t>
  </si>
  <si>
    <t xml:space="preserve">Vernier Caliper (manual/Digital)</t>
  </si>
  <si>
    <t xml:space="preserve">P3108</t>
  </si>
  <si>
    <t xml:space="preserve">Metal Probe (12 ft long for introducing ALP tablets)</t>
  </si>
  <si>
    <t xml:space="preserve">P2437</t>
  </si>
  <si>
    <t xml:space="preserve">Tool Box (for minor repairs of pesticide application equipment)</t>
  </si>
  <si>
    <t xml:space="preserve">P3040</t>
  </si>
  <si>
    <t xml:space="preserve">Mops</t>
  </si>
  <si>
    <t xml:space="preserve">P2478</t>
  </si>
  <si>
    <t xml:space="preserve">Physical balance(01mg) / Counter Balance (01gm sensitivity)</t>
  </si>
  <si>
    <t xml:space="preserve">P2589</t>
  </si>
  <si>
    <t xml:space="preserve">Digital moisture meter calibrated for all the commodities to be stored/ handled</t>
  </si>
  <si>
    <t xml:space="preserve">P1934</t>
  </si>
  <si>
    <t xml:space="preserve">Weight Box (1mg to 200gm)</t>
  </si>
  <si>
    <t xml:space="preserve">P3152</t>
  </si>
  <si>
    <t xml:space="preserve">Petri dish (80X70 mm)</t>
  </si>
  <si>
    <t xml:space="preserve">P2582</t>
  </si>
  <si>
    <t xml:space="preserve">Measuring Cylinders (5ml to 50ml) graduated</t>
  </si>
  <si>
    <t xml:space="preserve">P2412</t>
  </si>
  <si>
    <t xml:space="preserve">Foot / Hand sprayers</t>
  </si>
  <si>
    <t xml:space="preserve">P2090</t>
  </si>
  <si>
    <t xml:space="preserve">Platform Scales</t>
  </si>
  <si>
    <t xml:space="preserve">P2621</t>
  </si>
  <si>
    <t xml:space="preserve">Hectolitre weight apparatus</t>
  </si>
  <si>
    <t xml:space="preserve">P2231</t>
  </si>
  <si>
    <t xml:space="preserve">Sample Divider</t>
  </si>
  <si>
    <t xml:space="preserve">P2744</t>
  </si>
  <si>
    <t xml:space="preserve">Thermo-hygrometer</t>
  </si>
  <si>
    <t xml:space="preserve">P3020</t>
  </si>
  <si>
    <t xml:space="preserve">Glass wares (Beakers 500 ml, Funnels, Flasks conical 200 ml &amp; 500 ml)</t>
  </si>
  <si>
    <t xml:space="preserve">P2142</t>
  </si>
  <si>
    <t xml:space="preserve">Glass tubes</t>
  </si>
  <si>
    <t xml:space="preserve">P2140</t>
  </si>
  <si>
    <t xml:space="preserve">Phosphine Alert personal monitor</t>
  </si>
  <si>
    <t xml:space="preserve">P2587</t>
  </si>
  <si>
    <t xml:space="preserve">Phosphine gas Monitor</t>
  </si>
  <si>
    <t xml:space="preserve">P2588</t>
  </si>
  <si>
    <t xml:space="preserve">Resuscitator</t>
  </si>
  <si>
    <t xml:space="preserve">P2711</t>
  </si>
  <si>
    <t xml:space="preserve">Vacuum cleaner</t>
  </si>
  <si>
    <t xml:space="preserve">P3095</t>
  </si>
  <si>
    <t xml:space="preserve">Cleaning Robots</t>
  </si>
  <si>
    <t xml:space="preserve">P1829</t>
  </si>
  <si>
    <t xml:space="preserve">Air purifiers</t>
  </si>
  <si>
    <t xml:space="preserve">P1614</t>
  </si>
  <si>
    <t xml:space="preserve">Filtering machines</t>
  </si>
  <si>
    <t xml:space="preserve">P2068</t>
  </si>
  <si>
    <t xml:space="preserve">Waste disposal equipment's such as scrap bins, recyclers, waste processing machines etc</t>
  </si>
  <si>
    <t xml:space="preserve">P3124</t>
  </si>
  <si>
    <t xml:space="preserve">Material Handling Equipment</t>
  </si>
  <si>
    <t xml:space="preserve">P2403</t>
  </si>
  <si>
    <t xml:space="preserve">IT Systems</t>
  </si>
  <si>
    <t xml:space="preserve">P1015</t>
  </si>
  <si>
    <t xml:space="preserve">Security cameras</t>
  </si>
  <si>
    <t xml:space="preserve">P1363</t>
  </si>
  <si>
    <t xml:space="preserve">LCD screens</t>
  </si>
  <si>
    <t xml:space="preserve">P1049</t>
  </si>
  <si>
    <t xml:space="preserve">Storage racks</t>
  </si>
  <si>
    <t xml:space="preserve">P1434</t>
  </si>
  <si>
    <t xml:space="preserve">First Aid box</t>
  </si>
  <si>
    <t xml:space="preserve">P0876</t>
  </si>
  <si>
    <t xml:space="preserve">Fire buckets</t>
  </si>
  <si>
    <t xml:space="preserve">P0867</t>
  </si>
  <si>
    <t xml:space="preserve">Gum boots</t>
  </si>
  <si>
    <t xml:space="preserve">Gas Mask (full vision facemask) &amp; Canister for use with ALP</t>
  </si>
  <si>
    <t xml:space="preserve">P0922</t>
  </si>
  <si>
    <t xml:space="preserve">Dust Mask</t>
  </si>
  <si>
    <t xml:space="preserve">P0807</t>
  </si>
  <si>
    <t xml:space="preserve">Aprons</t>
  </si>
  <si>
    <t xml:space="preserve">P0551</t>
  </si>
  <si>
    <t xml:space="preserve">First Aid Kit</t>
  </si>
  <si>
    <t xml:space="preserve">Safety sign boards</t>
  </si>
  <si>
    <t xml:space="preserve">P1312</t>
  </si>
  <si>
    <t xml:space="preserve">Personal protective equipments (PPE) like gloves, helmets, ear plugs, jackets, harness, boiler suit etc.</t>
  </si>
  <si>
    <t xml:space="preserve">P1187</t>
  </si>
  <si>
    <t xml:space="preserve">Dummy Truck</t>
  </si>
  <si>
    <t xml:space="preserve">P0805</t>
  </si>
  <si>
    <t xml:space="preserve">Sample documents</t>
  </si>
  <si>
    <t xml:space="preserve">P1322</t>
  </si>
  <si>
    <t xml:space="preserve">Sample SOP documents</t>
  </si>
  <si>
    <t xml:space="preserve">P1336</t>
  </si>
  <si>
    <t xml:space="preserve">Basic 5s charts</t>
  </si>
  <si>
    <t xml:space="preserve">P0585</t>
  </si>
  <si>
    <t xml:space="preserve">Projection Screen</t>
  </si>
  <si>
    <t xml:space="preserve">P1239</t>
  </si>
  <si>
    <t xml:space="preserve">White/Black Boards</t>
  </si>
  <si>
    <t xml:space="preserve">P1554</t>
  </si>
  <si>
    <t xml:space="preserve">Flip Charts</t>
  </si>
  <si>
    <t xml:space="preserve">P0893</t>
  </si>
  <si>
    <t xml:space="preserve">Sample bags-polythene and cloth</t>
  </si>
  <si>
    <t xml:space="preserve">P0394</t>
  </si>
  <si>
    <t xml:space="preserve">Recommended Pesticides (for prophylactic and curative treatments) and rat control</t>
  </si>
  <si>
    <t xml:space="preserve">P0376</t>
  </si>
  <si>
    <t xml:space="preserve">Thermoplastic fumigation covers (IS 13217:1991)</t>
  </si>
  <si>
    <t xml:space="preserve">P0471</t>
  </si>
  <si>
    <t xml:space="preserve">Multilayered cross laminated fumigation sheets/covers (IS 14611:1998)</t>
  </si>
  <si>
    <t xml:space="preserve">P0286</t>
  </si>
  <si>
    <t xml:space="preserve">Adhesive tape</t>
  </si>
  <si>
    <t xml:space="preserve">P0006</t>
  </si>
  <si>
    <t xml:space="preserve">Polythene film</t>
  </si>
  <si>
    <t xml:space="preserve">P0356</t>
  </si>
  <si>
    <t xml:space="preserve">Filter papers</t>
  </si>
  <si>
    <t xml:space="preserve">P0174</t>
  </si>
  <si>
    <t xml:space="preserve">Chemical reagents</t>
  </si>
  <si>
    <t xml:space="preserve">P0073</t>
  </si>
  <si>
    <t xml:space="preserve">Shrink wraps, Dunnage</t>
  </si>
  <si>
    <t xml:space="preserve">P0414</t>
  </si>
  <si>
    <t xml:space="preserve">Cleaning chemicals</t>
  </si>
  <si>
    <t xml:space="preserve">P0078</t>
  </si>
  <si>
    <t xml:space="preserve">Spill Absorbents</t>
  </si>
  <si>
    <t xml:space="preserve">P0431</t>
  </si>
  <si>
    <t xml:space="preserve">Sand snakes</t>
  </si>
  <si>
    <t xml:space="preserve">P1353</t>
  </si>
  <si>
    <t xml:space="preserve">Tarpaulin</t>
  </si>
  <si>
    <t xml:space="preserve">P1462</t>
  </si>
  <si>
    <t xml:space="preserve">Bamboo mats</t>
  </si>
  <si>
    <t xml:space="preserve">P0576</t>
  </si>
  <si>
    <t xml:space="preserve">Wooden crates/polycrates</t>
  </si>
  <si>
    <t xml:space="preserve">P1561</t>
  </si>
  <si>
    <t xml:space="preserve">Pallets, Totes, Storage Bins</t>
  </si>
  <si>
    <t xml:space="preserve">P1168</t>
  </si>
  <si>
    <t xml:space="preserve">Locking systems</t>
  </si>
  <si>
    <t xml:space="preserve">P1066</t>
  </si>
  <si>
    <t xml:space="preserve">Any other equipment mentioned in the student's manual can be sighted during the field visit</t>
  </si>
  <si>
    <t xml:space="preserve">P0546</t>
  </si>
  <si>
    <t xml:space="preserve">Enamel plates with smooth white surface</t>
  </si>
  <si>
    <t xml:space="preserve">P2031</t>
  </si>
  <si>
    <t xml:space="preserve">Metal Probe</t>
  </si>
  <si>
    <t xml:space="preserve">P2436</t>
  </si>
  <si>
    <t xml:space="preserve">Tool Box</t>
  </si>
  <si>
    <t xml:space="preserve">Physical balance (01mg) / Counter Balance (01gm sensitivity)</t>
  </si>
  <si>
    <t xml:space="preserve">Digital moisture meter</t>
  </si>
  <si>
    <t xml:space="preserve">P1933</t>
  </si>
  <si>
    <t xml:space="preserve">Glass wares</t>
  </si>
  <si>
    <t xml:space="preserve">P2141</t>
  </si>
  <si>
    <t xml:space="preserve">Fork lifts</t>
  </si>
  <si>
    <t xml:space="preserve">P2098</t>
  </si>
  <si>
    <t xml:space="preserve">Reach trucks</t>
  </si>
  <si>
    <t xml:space="preserve">P2695</t>
  </si>
  <si>
    <t xml:space="preserve">Trolleys</t>
  </si>
  <si>
    <t xml:space="preserve">P1509</t>
  </si>
  <si>
    <t xml:space="preserve">Personal protective equipment's (PPE) like gloves, helmets, jackets, harness etc.</t>
  </si>
  <si>
    <t xml:space="preserve">P1185</t>
  </si>
  <si>
    <t xml:space="preserve">Organizational Chart of the warehouse</t>
  </si>
  <si>
    <t xml:space="preserve">P1159</t>
  </si>
  <si>
    <t xml:space="preserve">Recommended Pesticides</t>
  </si>
  <si>
    <t xml:space="preserve">P0375</t>
  </si>
  <si>
    <t xml:space="preserve">Shelf designs</t>
  </si>
  <si>
    <t xml:space="preserve">P1372</t>
  </si>
  <si>
    <t xml:space="preserve">Shelf marks</t>
  </si>
  <si>
    <t xml:space="preserve">P1373</t>
  </si>
  <si>
    <t xml:space="preserve">Any other automatic and semi-automatic equipment used on site</t>
  </si>
  <si>
    <t xml:space="preserve">P0544</t>
  </si>
  <si>
    <t xml:space="preserve">Instruments used for opening packages and resealing packages like cutters and strapping machines, clips etc.</t>
  </si>
  <si>
    <t xml:space="preserve">P2290</t>
  </si>
  <si>
    <t xml:space="preserve">Charts of handling equipment's</t>
  </si>
  <si>
    <t xml:space="preserve">P0660</t>
  </si>
  <si>
    <t xml:space="preserve">Charts of marks and labels used on packages and boards</t>
  </si>
  <si>
    <t xml:space="preserve">P0661</t>
  </si>
  <si>
    <t xml:space="preserve">Samples of packaging material</t>
  </si>
  <si>
    <t xml:space="preserve">P1350</t>
  </si>
  <si>
    <t xml:space="preserve">Sample copies of warehouse register format used by binner for learning data entry</t>
  </si>
  <si>
    <t xml:space="preserve">P1319</t>
  </si>
  <si>
    <t xml:space="preserve">Sample formats as given in the student's handbook</t>
  </si>
  <si>
    <t xml:space="preserve">P1324</t>
  </si>
  <si>
    <t xml:space="preserve">Prepare the charts of organizational hierarchy and process charts (as included in the student's handbook)</t>
  </si>
  <si>
    <t xml:space="preserve">P1220</t>
  </si>
  <si>
    <t xml:space="preserve">Unitization devices such as pallets and packing net</t>
  </si>
  <si>
    <t xml:space="preserve">P1516</t>
  </si>
  <si>
    <t xml:space="preserve">Lap Top</t>
  </si>
  <si>
    <t xml:space="preserve">Color Printer</t>
  </si>
  <si>
    <t xml:space="preserve">P0679</t>
  </si>
  <si>
    <t xml:space="preserve">Photocopier</t>
  </si>
  <si>
    <t xml:space="preserve">P1188</t>
  </si>
  <si>
    <t xml:space="preserve">Overhead/ Multimedia projector and Projector Screen</t>
  </si>
  <si>
    <t xml:space="preserve">P1163</t>
  </si>
  <si>
    <t xml:space="preserve">EPABX</t>
  </si>
  <si>
    <t xml:space="preserve">P0836</t>
  </si>
  <si>
    <t xml:space="preserve">Table</t>
  </si>
  <si>
    <t xml:space="preserve">P1453</t>
  </si>
  <si>
    <t xml:space="preserve">Chair</t>
  </si>
  <si>
    <t xml:space="preserve">P0644</t>
  </si>
  <si>
    <t xml:space="preserve">Side table</t>
  </si>
  <si>
    <t xml:space="preserve">P1380</t>
  </si>
  <si>
    <t xml:space="preserve">Necessary Stationaries</t>
  </si>
  <si>
    <t xml:space="preserve">P0290</t>
  </si>
  <si>
    <t xml:space="preserve">per student x20</t>
  </si>
  <si>
    <t xml:space="preserve">Paper cutter</t>
  </si>
  <si>
    <t xml:space="preserve">P2560</t>
  </si>
  <si>
    <t xml:space="preserve">Brush</t>
  </si>
  <si>
    <t xml:space="preserve">P1752</t>
  </si>
  <si>
    <t xml:space="preserve">Shading stump</t>
  </si>
  <si>
    <t xml:space="preserve">P2808</t>
  </si>
  <si>
    <t xml:space="preserve">Drawing board</t>
  </si>
  <si>
    <t xml:space="preserve">P1968</t>
  </si>
  <si>
    <t xml:space="preserve">Air Conditioner</t>
  </si>
  <si>
    <t xml:space="preserve">P1608</t>
  </si>
  <si>
    <t xml:space="preserve">Touch-pad and Digital Pen</t>
  </si>
  <si>
    <t xml:space="preserve">P1482</t>
  </si>
  <si>
    <t xml:space="preserve">Color Laser Printer</t>
  </si>
  <si>
    <t xml:space="preserve">P0678</t>
  </si>
  <si>
    <t xml:space="preserve">Operating System</t>
  </si>
  <si>
    <t xml:space="preserve">P1151</t>
  </si>
  <si>
    <t xml:space="preserve">Anti Virus</t>
  </si>
  <si>
    <t xml:space="preserve">P0540</t>
  </si>
  <si>
    <t xml:space="preserve">LibreOffice or MS Office</t>
  </si>
  <si>
    <t xml:space="preserve">P1056</t>
  </si>
  <si>
    <t xml:space="preserve">Adobe Photoshop</t>
  </si>
  <si>
    <t xml:space="preserve">P0531</t>
  </si>
  <si>
    <t xml:space="preserve">Storyboard Pro</t>
  </si>
  <si>
    <t xml:space="preserve">P1436</t>
  </si>
  <si>
    <t xml:space="preserve">Computer Table</t>
  </si>
  <si>
    <t xml:space="preserve">P0707</t>
  </si>
  <si>
    <t xml:space="preserve">Computer Chairs</t>
  </si>
  <si>
    <t xml:space="preserve">P0694</t>
  </si>
  <si>
    <t xml:space="preserve">Drawing table</t>
  </si>
  <si>
    <t xml:space="preserve">P0799</t>
  </si>
  <si>
    <t xml:space="preserve">Different sets of pencils</t>
  </si>
  <si>
    <t xml:space="preserve">P0123</t>
  </si>
  <si>
    <t xml:space="preserve">Charcol pencil</t>
  </si>
  <si>
    <t xml:space="preserve">P0070</t>
  </si>
  <si>
    <t xml:space="preserve">Eraser</t>
  </si>
  <si>
    <t xml:space="preserve">P0153</t>
  </si>
  <si>
    <t xml:space="preserve">Different size of papers</t>
  </si>
  <si>
    <t xml:space="preserve">P0124</t>
  </si>
  <si>
    <t xml:space="preserve">Color pencils</t>
  </si>
  <si>
    <t xml:space="preserve">P0090</t>
  </si>
  <si>
    <t xml:space="preserve">Color pens</t>
  </si>
  <si>
    <t xml:space="preserve">P0091</t>
  </si>
  <si>
    <t xml:space="preserve">Color</t>
  </si>
  <si>
    <t xml:space="preserve">P0089</t>
  </si>
  <si>
    <t xml:space="preserve">Bar Code Machine</t>
  </si>
  <si>
    <t xml:space="preserve">P0578</t>
  </si>
  <si>
    <t xml:space="preserve">Shelves for Stacking Products</t>
  </si>
  <si>
    <t xml:space="preserve">P1374</t>
  </si>
  <si>
    <t xml:space="preserve">Shopping Cart</t>
  </si>
  <si>
    <t xml:space="preserve">P1377</t>
  </si>
  <si>
    <t xml:space="preserve">Gondola</t>
  </si>
  <si>
    <t xml:space="preserve">P0927</t>
  </si>
  <si>
    <t xml:space="preserve">Personal protective equipments (PPE)</t>
  </si>
  <si>
    <t xml:space="preserve">P1186</t>
  </si>
  <si>
    <t xml:space="preserve">Products for display (Dummy Cameras and Mobiles)</t>
  </si>
  <si>
    <t xml:space="preserve">P1237</t>
  </si>
  <si>
    <t xml:space="preserve">Big Poster (at POS) for offer related advertisement</t>
  </si>
  <si>
    <t xml:space="preserve">P0033</t>
  </si>
  <si>
    <t xml:space="preserve">Danglers</t>
  </si>
  <si>
    <t xml:space="preserve">P0116</t>
  </si>
  <si>
    <t xml:space="preserve">Coupons and Vouchers</t>
  </si>
  <si>
    <t xml:space="preserve">P0109</t>
  </si>
  <si>
    <t xml:space="preserve">Carry Bags</t>
  </si>
  <si>
    <t xml:space="preserve">P0059</t>
  </si>
  <si>
    <t xml:space="preserve">Physical Bill Copy</t>
  </si>
  <si>
    <t xml:space="preserve">P0346</t>
  </si>
  <si>
    <t xml:space="preserve">Customer Feedback Form</t>
  </si>
  <si>
    <t xml:space="preserve">P0113</t>
  </si>
  <si>
    <t xml:space="preserve">Signage Board Retail</t>
  </si>
  <si>
    <t xml:space="preserve">P1383</t>
  </si>
  <si>
    <t xml:space="preserve">Offer / Policy Signage</t>
  </si>
  <si>
    <t xml:space="preserve">P1132</t>
  </si>
  <si>
    <t xml:space="preserve">Video and audio recorders</t>
  </si>
  <si>
    <t xml:space="preserve">P1530</t>
  </si>
  <si>
    <t xml:space="preserve">Products for display</t>
  </si>
  <si>
    <t xml:space="preserve">P1236</t>
  </si>
  <si>
    <t xml:space="preserve">Big Poster</t>
  </si>
  <si>
    <t xml:space="preserve">P0032</t>
  </si>
  <si>
    <t xml:space="preserve">Termite treatment</t>
  </si>
  <si>
    <t xml:space="preserve">P0469</t>
  </si>
  <si>
    <t xml:space="preserve">Soft Balls (small)</t>
  </si>
  <si>
    <t xml:space="preserve">P2855</t>
  </si>
  <si>
    <t xml:space="preserve">Plyometric Box</t>
  </si>
  <si>
    <t xml:space="preserve">P2630</t>
  </si>
  <si>
    <t xml:space="preserve">Plastic Balls</t>
  </si>
  <si>
    <t xml:space="preserve">P2611</t>
  </si>
  <si>
    <t xml:space="preserve">Soft Ball (big)</t>
  </si>
  <si>
    <t xml:space="preserve">P2854</t>
  </si>
  <si>
    <t xml:space="preserve">Joining Clips</t>
  </si>
  <si>
    <t xml:space="preserve">P2307</t>
  </si>
  <si>
    <t xml:space="preserve">Plastic Cricket Bat</t>
  </si>
  <si>
    <t xml:space="preserve">P2612</t>
  </si>
  <si>
    <t xml:space="preserve">Soft Flyer</t>
  </si>
  <si>
    <t xml:space="preserve">P2857</t>
  </si>
  <si>
    <t xml:space="preserve">Multi-coloured Hula Hoops</t>
  </si>
  <si>
    <t xml:space="preserve">P2487</t>
  </si>
  <si>
    <t xml:space="preserve">Foam Paddle Bat (Red, Green, Yellow)</t>
  </si>
  <si>
    <t xml:space="preserve">P2086</t>
  </si>
  <si>
    <t xml:space="preserve">Swimming Ring</t>
  </si>
  <si>
    <t xml:space="preserve">P2972</t>
  </si>
  <si>
    <t xml:space="preserve">Balance Beam Set</t>
  </si>
  <si>
    <t xml:space="preserve">P1665</t>
  </si>
  <si>
    <t xml:space="preserve">Saucer Cone</t>
  </si>
  <si>
    <t xml:space="preserve">P2749</t>
  </si>
  <si>
    <t xml:space="preserve">6 Step Training Hurdle</t>
  </si>
  <si>
    <t xml:space="preserve">P1586</t>
  </si>
  <si>
    <t xml:space="preserve">Training Arch</t>
  </si>
  <si>
    <t xml:space="preserve">P3059</t>
  </si>
  <si>
    <t xml:space="preserve">Alphabet Cards Set (A - Z)</t>
  </si>
  <si>
    <t xml:space="preserve">P0537</t>
  </si>
  <si>
    <t xml:space="preserve">Pipe wrench</t>
  </si>
  <si>
    <t xml:space="preserve">P2605</t>
  </si>
  <si>
    <t xml:space="preserve">Parrot pliers</t>
  </si>
  <si>
    <t xml:space="preserve">P2566</t>
  </si>
  <si>
    <t xml:space="preserve">Slide wrench</t>
  </si>
  <si>
    <t xml:space="preserve">P2837</t>
  </si>
  <si>
    <t xml:space="preserve">Die set complete</t>
  </si>
  <si>
    <t xml:space="preserve">P1925</t>
  </si>
  <si>
    <t xml:space="preserve">Pipe vice</t>
  </si>
  <si>
    <t xml:space="preserve">P2604</t>
  </si>
  <si>
    <t xml:space="preserve">Screw drivers set</t>
  </si>
  <si>
    <t xml:space="preserve">P2770</t>
  </si>
  <si>
    <t xml:space="preserve">Double Ended spanner set</t>
  </si>
  <si>
    <t xml:space="preserve">P1955</t>
  </si>
  <si>
    <t xml:space="preserve">Allen Key set</t>
  </si>
  <si>
    <t xml:space="preserve">Drill bit set</t>
  </si>
  <si>
    <t xml:space="preserve">P1973</t>
  </si>
  <si>
    <t xml:space="preserve">Caulking tools</t>
  </si>
  <si>
    <t xml:space="preserve">P1792</t>
  </si>
  <si>
    <t xml:space="preserve">Hammers</t>
  </si>
  <si>
    <t xml:space="preserve">P2186</t>
  </si>
  <si>
    <t xml:space="preserve">Measuring tape, plumb</t>
  </si>
  <si>
    <t xml:space="preserve">P2426</t>
  </si>
  <si>
    <t xml:space="preserve">L-Square</t>
  </si>
  <si>
    <t xml:space="preserve">P2329</t>
  </si>
  <si>
    <t xml:space="preserve">Spirit Level</t>
  </si>
  <si>
    <t xml:space="preserve">Drilling Machine</t>
  </si>
  <si>
    <t xml:space="preserve">P1979</t>
  </si>
  <si>
    <t xml:space="preserve">Hydraulic Testing Machine</t>
  </si>
  <si>
    <t xml:space="preserve">P2265</t>
  </si>
  <si>
    <t xml:space="preserve">Smoke Generator for testing of pipes and joints</t>
  </si>
  <si>
    <t xml:space="preserve">P2849</t>
  </si>
  <si>
    <t xml:space="preserve">Pressure gauge</t>
  </si>
  <si>
    <t xml:space="preserve">P2654</t>
  </si>
  <si>
    <t xml:space="preserve">Geyser</t>
  </si>
  <si>
    <t xml:space="preserve">P2135</t>
  </si>
  <si>
    <t xml:space="preserve">Powered pipe threading machine</t>
  </si>
  <si>
    <t xml:space="preserve">P2650</t>
  </si>
  <si>
    <t xml:space="preserve">Clamps and Hangers</t>
  </si>
  <si>
    <t xml:space="preserve">P0076</t>
  </si>
  <si>
    <t xml:space="preserve">Pipes</t>
  </si>
  <si>
    <t xml:space="preserve">P0349</t>
  </si>
  <si>
    <t xml:space="preserve">Fittings and accessories</t>
  </si>
  <si>
    <t xml:space="preserve">P0178</t>
  </si>
  <si>
    <t xml:space="preserve">Taps/faucets</t>
  </si>
  <si>
    <t xml:space="preserve">P1461</t>
  </si>
  <si>
    <t xml:space="preserve">Shower head complete</t>
  </si>
  <si>
    <t xml:space="preserve">P1378</t>
  </si>
  <si>
    <t xml:space="preserve">Sink</t>
  </si>
  <si>
    <t xml:space="preserve">P1388</t>
  </si>
  <si>
    <t xml:space="preserve">Flushing tanks</t>
  </si>
  <si>
    <t xml:space="preserve">P0899</t>
  </si>
  <si>
    <t xml:space="preserve">Urinal</t>
  </si>
  <si>
    <t xml:space="preserve">P1518</t>
  </si>
  <si>
    <t xml:space="preserve">Urinal flush</t>
  </si>
  <si>
    <t xml:space="preserve">P1520</t>
  </si>
  <si>
    <t xml:space="preserve">Bidet</t>
  </si>
  <si>
    <t xml:space="preserve">P0600</t>
  </si>
  <si>
    <t xml:space="preserve">Bath tub</t>
  </si>
  <si>
    <t xml:space="preserve">Special tools</t>
  </si>
  <si>
    <t xml:space="preserve">P2902</t>
  </si>
  <si>
    <t xml:space="preserve">Special fixtures and fittings</t>
  </si>
  <si>
    <t xml:space="preserve">P1412</t>
  </si>
  <si>
    <t xml:space="preserve">Pliers</t>
  </si>
  <si>
    <t xml:space="preserve">P2625</t>
  </si>
  <si>
    <t xml:space="preserve">Screwdrivers and nut drivers</t>
  </si>
  <si>
    <t xml:space="preserve">P2774</t>
  </si>
  <si>
    <t xml:space="preserve">Wire strippers</t>
  </si>
  <si>
    <t xml:space="preserve">P3174</t>
  </si>
  <si>
    <t xml:space="preserve">Fishing tools</t>
  </si>
  <si>
    <t xml:space="preserve">P2073</t>
  </si>
  <si>
    <t xml:space="preserve">Hammer/drills</t>
  </si>
  <si>
    <t xml:space="preserve">P2185</t>
  </si>
  <si>
    <t xml:space="preserve">Circuit Testers</t>
  </si>
  <si>
    <t xml:space="preserve">P1817</t>
  </si>
  <si>
    <t xml:space="preserve">Knife</t>
  </si>
  <si>
    <t xml:space="preserve">P2321</t>
  </si>
  <si>
    <t xml:space="preserve">A Tool Pouch</t>
  </si>
  <si>
    <t xml:space="preserve">P1591</t>
  </si>
  <si>
    <t xml:space="preserve">Ladders and Step Stools</t>
  </si>
  <si>
    <t xml:space="preserve">P2336</t>
  </si>
  <si>
    <t xml:space="preserve">Allen Wrench Set (Hex Set)</t>
  </si>
  <si>
    <t xml:space="preserve">P1625</t>
  </si>
  <si>
    <t xml:space="preserve">Wire Crimpers</t>
  </si>
  <si>
    <t xml:space="preserve">P3168</t>
  </si>
  <si>
    <t xml:space="preserve">Tester</t>
  </si>
  <si>
    <t xml:space="preserve">P3018</t>
  </si>
  <si>
    <t xml:space="preserve">Voltmeter</t>
  </si>
  <si>
    <t xml:space="preserve">P3113</t>
  </si>
  <si>
    <t xml:space="preserve">Ammeter</t>
  </si>
  <si>
    <t xml:space="preserve">P1630</t>
  </si>
  <si>
    <t xml:space="preserve">Labelling machines</t>
  </si>
  <si>
    <t xml:space="preserve">P2331</t>
  </si>
  <si>
    <t xml:space="preserve">Power drills and drivers</t>
  </si>
  <si>
    <t xml:space="preserve">P2641</t>
  </si>
  <si>
    <t xml:space="preserve">Non-contact Voltage Detector</t>
  </si>
  <si>
    <t xml:space="preserve">P2509</t>
  </si>
  <si>
    <t xml:space="preserve">Electrical Tape</t>
  </si>
  <si>
    <t xml:space="preserve">Duct Tape</t>
  </si>
  <si>
    <t xml:space="preserve">P0140</t>
  </si>
  <si>
    <t xml:space="preserve">Handcuffs</t>
  </si>
  <si>
    <t xml:space="preserve">P2221</t>
  </si>
  <si>
    <t xml:space="preserve">Padlocks together with chains</t>
  </si>
  <si>
    <t xml:space="preserve">P2550</t>
  </si>
  <si>
    <t xml:space="preserve">Under Chassis Inspection Mirror (UCIM)</t>
  </si>
  <si>
    <t xml:space="preserve">P3089</t>
  </si>
  <si>
    <t xml:space="preserve">Alarm Panels</t>
  </si>
  <si>
    <t xml:space="preserve">P1616</t>
  </si>
  <si>
    <t xml:space="preserve">Door Frame Metal Detector (DFMD)</t>
  </si>
  <si>
    <t xml:space="preserve">P1950</t>
  </si>
  <si>
    <t xml:space="preserve">Emergency Flood Lights</t>
  </si>
  <si>
    <t xml:space="preserve">P2029</t>
  </si>
  <si>
    <t xml:space="preserve">Emergency Warning Lights</t>
  </si>
  <si>
    <t xml:space="preserve">P2030</t>
  </si>
  <si>
    <t xml:space="preserve">Explosive Vapour Detector (EVD)</t>
  </si>
  <si>
    <t xml:space="preserve">P2051</t>
  </si>
  <si>
    <t xml:space="preserve">Hand Held Metal Detector (HHMD)</t>
  </si>
  <si>
    <t xml:space="preserve">P2196</t>
  </si>
  <si>
    <t xml:space="preserve">Public Address System</t>
  </si>
  <si>
    <t xml:space="preserve">P2668</t>
  </si>
  <si>
    <t xml:space="preserve">Torch Light</t>
  </si>
  <si>
    <t xml:space="preserve">P3051</t>
  </si>
  <si>
    <t xml:space="preserve">Two Way Radios and Chargers</t>
  </si>
  <si>
    <t xml:space="preserve">P3082</t>
  </si>
  <si>
    <t xml:space="preserve">CCTV Cameras</t>
  </si>
  <si>
    <t xml:space="preserve">P0642</t>
  </si>
  <si>
    <t xml:space="preserve">Digital Video Recorder</t>
  </si>
  <si>
    <t xml:space="preserve">P0776</t>
  </si>
  <si>
    <t xml:space="preserve">Dome Camera</t>
  </si>
  <si>
    <t xml:space="preserve">P0792</t>
  </si>
  <si>
    <t xml:space="preserve">Infrared Ray based Camera</t>
  </si>
  <si>
    <t xml:space="preserve">P0989</t>
  </si>
  <si>
    <t xml:space="preserve">Pan Tilt and Zoom (PTZ) Camera</t>
  </si>
  <si>
    <t xml:space="preserve">P1169</t>
  </si>
  <si>
    <t xml:space="preserve">Batons</t>
  </si>
  <si>
    <t xml:space="preserve">P0592</t>
  </si>
  <si>
    <t xml:space="preserve">Boots</t>
  </si>
  <si>
    <t xml:space="preserve">P0620</t>
  </si>
  <si>
    <t xml:space="preserve">Duty Uniform</t>
  </si>
  <si>
    <t xml:space="preserve">P0814</t>
  </si>
  <si>
    <t xml:space="preserve">Fire Extinguishers</t>
  </si>
  <si>
    <t xml:space="preserve">First Aid Equipment</t>
  </si>
  <si>
    <t xml:space="preserve">P0878</t>
  </si>
  <si>
    <t xml:space="preserve">Signages</t>
  </si>
  <si>
    <t xml:space="preserve">P1384</t>
  </si>
  <si>
    <t xml:space="preserve">Safety helmets</t>
  </si>
  <si>
    <t xml:space="preserve">P1304</t>
  </si>
  <si>
    <t xml:space="preserve">Security Guard Belts</t>
  </si>
  <si>
    <t xml:space="preserve">P1364</t>
  </si>
  <si>
    <t xml:space="preserve">Smoke Detectors</t>
  </si>
  <si>
    <t xml:space="preserve">P1397</t>
  </si>
  <si>
    <t xml:space="preserve">Specimen Challan</t>
  </si>
  <si>
    <t xml:space="preserve">P1413</t>
  </si>
  <si>
    <t xml:space="preserve">Specimen Identity Card</t>
  </si>
  <si>
    <t xml:space="preserve">P1414</t>
  </si>
  <si>
    <t xml:space="preserve">Specimen Invoice</t>
  </si>
  <si>
    <t xml:space="preserve">P1415</t>
  </si>
  <si>
    <t xml:space="preserve">Notebook</t>
  </si>
  <si>
    <t xml:space="preserve">P0302</t>
  </si>
  <si>
    <t xml:space="preserve">Pen</t>
  </si>
  <si>
    <t xml:space="preserve">P0334</t>
  </si>
  <si>
    <t xml:space="preserve">Rope</t>
  </si>
  <si>
    <t xml:space="preserve">P0389</t>
  </si>
  <si>
    <t xml:space="preserve">Spare Batteries and Bulbs</t>
  </si>
  <si>
    <t xml:space="preserve">P0429</t>
  </si>
  <si>
    <t xml:space="preserve">Temporary Pass</t>
  </si>
  <si>
    <t xml:space="preserve">P0467</t>
  </si>
  <si>
    <t xml:space="preserve">Clock</t>
  </si>
  <si>
    <t xml:space="preserve">P0672</t>
  </si>
  <si>
    <t xml:space="preserve">Key Boards</t>
  </si>
  <si>
    <t xml:space="preserve">P1019</t>
  </si>
  <si>
    <t xml:space="preserve">Tools and equipment</t>
  </si>
  <si>
    <t xml:space="preserve">P3045</t>
  </si>
  <si>
    <t xml:space="preserve">Different AI devices</t>
  </si>
  <si>
    <t xml:space="preserve">P1926</t>
  </si>
  <si>
    <t xml:space="preserve">Processors, controllers, sensors and communication hardware</t>
  </si>
  <si>
    <t xml:space="preserve">P2659</t>
  </si>
  <si>
    <t xml:space="preserve">Microprocessor boards</t>
  </si>
  <si>
    <t xml:space="preserve">P2447</t>
  </si>
  <si>
    <t xml:space="preserve">Devices such as humidity sensor, temperature sensor, gyro meter, accelerometer, video surveillance cameras</t>
  </si>
  <si>
    <t xml:space="preserve">P1921</t>
  </si>
  <si>
    <t xml:space="preserve">Service Manual/User Manuals, Customer Registration, Program Authentication Form, Customer Feedback form</t>
  </si>
  <si>
    <t xml:space="preserve">P1369</t>
  </si>
  <si>
    <t xml:space="preserve">Documents of standard operating procedures, code of conduct, checklists, schedules tools and equipment, status report</t>
  </si>
  <si>
    <t xml:space="preserve">P0790</t>
  </si>
  <si>
    <t xml:space="preserve">OTDR</t>
  </si>
  <si>
    <t xml:space="preserve">P2529</t>
  </si>
  <si>
    <t xml:space="preserve">Power Meter</t>
  </si>
  <si>
    <t xml:space="preserve">P2642</t>
  </si>
  <si>
    <t xml:space="preserve">Tea Strainer</t>
  </si>
  <si>
    <t xml:space="preserve">P3003</t>
  </si>
  <si>
    <t xml:space="preserve">Bar tool kit</t>
  </si>
  <si>
    <t xml:space="preserve">P1679</t>
  </si>
  <si>
    <t xml:space="preserve">Cocktail Shaker</t>
  </si>
  <si>
    <t xml:space="preserve">P1839</t>
  </si>
  <si>
    <t xml:space="preserve">Dinner Plate 11"</t>
  </si>
  <si>
    <t xml:space="preserve">P1939</t>
  </si>
  <si>
    <t xml:space="preserve">Dessert Plate 9"</t>
  </si>
  <si>
    <t xml:space="preserve">P1920</t>
  </si>
  <si>
    <t xml:space="preserve">B&amp;B Plate</t>
  </si>
  <si>
    <t xml:space="preserve">P1659</t>
  </si>
  <si>
    <t xml:space="preserve">Tea Cup</t>
  </si>
  <si>
    <t xml:space="preserve">P2999</t>
  </si>
  <si>
    <t xml:space="preserve">Tea Saucer</t>
  </si>
  <si>
    <t xml:space="preserve">P3000</t>
  </si>
  <si>
    <t xml:space="preserve">Soup Bowl</t>
  </si>
  <si>
    <t xml:space="preserve">P2886</t>
  </si>
  <si>
    <t xml:space="preserve">Soup Bowl 4.5" Chinese</t>
  </si>
  <si>
    <t xml:space="preserve">P2887</t>
  </si>
  <si>
    <t xml:space="preserve">Soup Spoon Chinese</t>
  </si>
  <si>
    <t xml:space="preserve">P2889</t>
  </si>
  <si>
    <t xml:space="preserve">Service Bowl 1 Port 6</t>
  </si>
  <si>
    <t xml:space="preserve">P2798</t>
  </si>
  <si>
    <t xml:space="preserve">Service Bowl 2 Port 7</t>
  </si>
  <si>
    <t xml:space="preserve">P2799</t>
  </si>
  <si>
    <t xml:space="preserve">Service Platter 1 Port 10"</t>
  </si>
  <si>
    <t xml:space="preserve">P2800</t>
  </si>
  <si>
    <t xml:space="preserve">Service Platter 2 Port 12"</t>
  </si>
  <si>
    <t xml:space="preserve">P2801</t>
  </si>
  <si>
    <t xml:space="preserve">Pasta Plate 11"</t>
  </si>
  <si>
    <t xml:space="preserve">P2567</t>
  </si>
  <si>
    <t xml:space="preserve">Cereal Bowl</t>
  </si>
  <si>
    <t xml:space="preserve">P1798</t>
  </si>
  <si>
    <t xml:space="preserve">Chutney Bowl Small</t>
  </si>
  <si>
    <t xml:space="preserve">P1815</t>
  </si>
  <si>
    <t xml:space="preserve">Tea Spoon</t>
  </si>
  <si>
    <t xml:space="preserve">P3002</t>
  </si>
  <si>
    <t xml:space="preserve">Dessert (A.P) Spoon</t>
  </si>
  <si>
    <t xml:space="preserve">P1918</t>
  </si>
  <si>
    <t xml:space="preserve">Dessert (A.P) Fork</t>
  </si>
  <si>
    <t xml:space="preserve">P1917</t>
  </si>
  <si>
    <t xml:space="preserve">Soup Spoon</t>
  </si>
  <si>
    <t xml:space="preserve">P2888</t>
  </si>
  <si>
    <t xml:space="preserve">Dessert Knife</t>
  </si>
  <si>
    <t xml:space="preserve">P1919</t>
  </si>
  <si>
    <t xml:space="preserve">Table Service Spoon</t>
  </si>
  <si>
    <t xml:space="preserve">P2982</t>
  </si>
  <si>
    <t xml:space="preserve">Table Service Fork</t>
  </si>
  <si>
    <t xml:space="preserve">P2981</t>
  </si>
  <si>
    <t xml:space="preserve">Tea Set</t>
  </si>
  <si>
    <t xml:space="preserve">P3001</t>
  </si>
  <si>
    <t xml:space="preserve">Water Jug</t>
  </si>
  <si>
    <t xml:space="preserve">P3131</t>
  </si>
  <si>
    <t xml:space="preserve">Salt And Pepper Set</t>
  </si>
  <si>
    <t xml:space="preserve">P2742</t>
  </si>
  <si>
    <t xml:space="preserve">Tooth Pick Holder</t>
  </si>
  <si>
    <t xml:space="preserve">P3049</t>
  </si>
  <si>
    <t xml:space="preserve">Straw Holder</t>
  </si>
  <si>
    <t xml:space="preserve">P2957</t>
  </si>
  <si>
    <t xml:space="preserve">Sugar Sachet Holder</t>
  </si>
  <si>
    <t xml:space="preserve">P2967</t>
  </si>
  <si>
    <t xml:space="preserve">Napkin Holder</t>
  </si>
  <si>
    <t xml:space="preserve">P2500</t>
  </si>
  <si>
    <t xml:space="preserve">Finger Bowl Large With Under Liner</t>
  </si>
  <si>
    <t xml:space="preserve">P2071</t>
  </si>
  <si>
    <t xml:space="preserve">Entree Dish Round With Lid (1 Portion)</t>
  </si>
  <si>
    <t xml:space="preserve">P2035</t>
  </si>
  <si>
    <t xml:space="preserve">Entree Dish Round With Lid (2 Portion)</t>
  </si>
  <si>
    <t xml:space="preserve">P2036</t>
  </si>
  <si>
    <t xml:space="preserve">Oval Platter</t>
  </si>
  <si>
    <t xml:space="preserve">P2533</t>
  </si>
  <si>
    <t xml:space="preserve">Round Service Tray</t>
  </si>
  <si>
    <t xml:space="preserve">P2732</t>
  </si>
  <si>
    <t xml:space="preserve">Rectangular Service Tray</t>
  </si>
  <si>
    <t xml:space="preserve">P2696</t>
  </si>
  <si>
    <t xml:space="preserve">Ash Tray</t>
  </si>
  <si>
    <t xml:space="preserve">P1647</t>
  </si>
  <si>
    <t xml:space="preserve">Tom Collins</t>
  </si>
  <si>
    <t xml:space="preserve">P3037</t>
  </si>
  <si>
    <t xml:space="preserve">Hi Ball</t>
  </si>
  <si>
    <t xml:space="preserve">P2238</t>
  </si>
  <si>
    <t xml:space="preserve">Pilsner</t>
  </si>
  <si>
    <t xml:space="preserve">P2595</t>
  </si>
  <si>
    <t xml:space="preserve">Decanter Small</t>
  </si>
  <si>
    <t xml:space="preserve">P1905</t>
  </si>
  <si>
    <t xml:space="preserve">Decanter Large</t>
  </si>
  <si>
    <t xml:space="preserve">P1904</t>
  </si>
  <si>
    <t xml:space="preserve">Wine Glass</t>
  </si>
  <si>
    <t xml:space="preserve">P3165</t>
  </si>
  <si>
    <t xml:space="preserve">POS/ Computer</t>
  </si>
  <si>
    <t xml:space="preserve">P1209</t>
  </si>
  <si>
    <t xml:space="preserve">Tables</t>
  </si>
  <si>
    <t xml:space="preserve">P1458</t>
  </si>
  <si>
    <t xml:space="preserve">Dining Chairs</t>
  </si>
  <si>
    <t xml:space="preserve">P0777</t>
  </si>
  <si>
    <t xml:space="preserve">Side Station</t>
  </si>
  <si>
    <t xml:space="preserve">P1379</t>
  </si>
  <si>
    <t xml:space="preserve">Bar Counter</t>
  </si>
  <si>
    <t xml:space="preserve">P0579</t>
  </si>
  <si>
    <t xml:space="preserve">Hostess Desk</t>
  </si>
  <si>
    <t xml:space="preserve">P0966</t>
  </si>
  <si>
    <t xml:space="preserve">Storage Cabinet</t>
  </si>
  <si>
    <t xml:space="preserve">P1430</t>
  </si>
  <si>
    <t xml:space="preserve">Reserved</t>
  </si>
  <si>
    <t xml:space="preserve">P1282</t>
  </si>
  <si>
    <t xml:space="preserve">Free</t>
  </si>
  <si>
    <t xml:space="preserve">Table Cloths</t>
  </si>
  <si>
    <t xml:space="preserve">P1456</t>
  </si>
  <si>
    <t xml:space="preserve">Table Napkins</t>
  </si>
  <si>
    <t xml:space="preserve">P1457</t>
  </si>
  <si>
    <t xml:space="preserve">dozen</t>
  </si>
  <si>
    <t xml:space="preserve">Magnetic Propeller Balancer</t>
  </si>
  <si>
    <t xml:space="preserve">P2385</t>
  </si>
  <si>
    <t xml:space="preserve">Digital Calliper</t>
  </si>
  <si>
    <t xml:space="preserve">P1930</t>
  </si>
  <si>
    <t xml:space="preserve">Magnetic Tray</t>
  </si>
  <si>
    <t xml:space="preserve">P2386</t>
  </si>
  <si>
    <t xml:space="preserve">Soldering Kits – Basic and Battery powered</t>
  </si>
  <si>
    <t xml:space="preserve">P2884</t>
  </si>
  <si>
    <t xml:space="preserve">Hand Driller Kit</t>
  </si>
  <si>
    <t xml:space="preserve">P2193</t>
  </si>
  <si>
    <t xml:space="preserve">Glue Gun</t>
  </si>
  <si>
    <t xml:space="preserve">P2147</t>
  </si>
  <si>
    <t xml:space="preserve">Cutting Mat</t>
  </si>
  <si>
    <t xml:space="preserve">P1895</t>
  </si>
  <si>
    <t xml:space="preserve">Allen Key Set</t>
  </si>
  <si>
    <t xml:space="preserve">Knife Set</t>
  </si>
  <si>
    <t xml:space="preserve">P2322</t>
  </si>
  <si>
    <t xml:space="preserve">Plier Set</t>
  </si>
  <si>
    <t xml:space="preserve">P2624</t>
  </si>
  <si>
    <t xml:space="preserve">Commercial drone</t>
  </si>
  <si>
    <t xml:space="preserve">P1848</t>
  </si>
  <si>
    <t xml:space="preserve">Hexacopter</t>
  </si>
  <si>
    <t xml:space="preserve">P2237</t>
  </si>
  <si>
    <t xml:space="preserve">Plastic Hexacopter with Propulsion Kit</t>
  </si>
  <si>
    <t xml:space="preserve">P2613</t>
  </si>
  <si>
    <t xml:space="preserve">Quadcopter drone Combo with Pix hawk Kit for beginner</t>
  </si>
  <si>
    <t xml:space="preserve">P2681</t>
  </si>
  <si>
    <t xml:space="preserve">Micro Quadcopter kit</t>
  </si>
  <si>
    <t xml:space="preserve">P2440</t>
  </si>
  <si>
    <t xml:space="preserve">Fixed Wing UAV</t>
  </si>
  <si>
    <t xml:space="preserve">P2075</t>
  </si>
  <si>
    <t xml:space="preserve">Thrust Measuring Stand</t>
  </si>
  <si>
    <t xml:space="preserve">P3032</t>
  </si>
  <si>
    <t xml:space="preserve">Anemometer</t>
  </si>
  <si>
    <t xml:space="preserve">P1632</t>
  </si>
  <si>
    <t xml:space="preserve">Laser Tachometer</t>
  </si>
  <si>
    <t xml:space="preserve">P2345</t>
  </si>
  <si>
    <t xml:space="preserve">Multi-meter</t>
  </si>
  <si>
    <t xml:space="preserve">Electronic Hanging Balance</t>
  </si>
  <si>
    <t xml:space="preserve">P2016</t>
  </si>
  <si>
    <t xml:space="preserve">Motor</t>
  </si>
  <si>
    <t xml:space="preserve">P2481</t>
  </si>
  <si>
    <t xml:space="preserve">Electronic Speed Controller</t>
  </si>
  <si>
    <t xml:space="preserve">P2019</t>
  </si>
  <si>
    <t xml:space="preserve">LiPo Battery</t>
  </si>
  <si>
    <t xml:space="preserve">P2365</t>
  </si>
  <si>
    <t xml:space="preserve">Battery Charger</t>
  </si>
  <si>
    <t xml:space="preserve">P1693</t>
  </si>
  <si>
    <t xml:space="preserve">LiPo Battery Checker</t>
  </si>
  <si>
    <t xml:space="preserve">P2367</t>
  </si>
  <si>
    <t xml:space="preserve">Arducopter Flight Controller with GPS</t>
  </si>
  <si>
    <t xml:space="preserve">P1640</t>
  </si>
  <si>
    <t xml:space="preserve">Ardino Uno Micro Controller</t>
  </si>
  <si>
    <t xml:space="preserve">P1639</t>
  </si>
  <si>
    <t xml:space="preserve">Ultrasonic Sensor (upto 400 cm)</t>
  </si>
  <si>
    <t xml:space="preserve">P3088</t>
  </si>
  <si>
    <t xml:space="preserve">Inertia Measurement Unit</t>
  </si>
  <si>
    <t xml:space="preserve">P2284</t>
  </si>
  <si>
    <t xml:space="preserve">Inertial Sensors</t>
  </si>
  <si>
    <t xml:space="preserve">P2285</t>
  </si>
  <si>
    <t xml:space="preserve">Distance and Gesture Sensor Module</t>
  </si>
  <si>
    <t xml:space="preserve">P1946</t>
  </si>
  <si>
    <t xml:space="preserve">Raspberry Pi Kit</t>
  </si>
  <si>
    <t xml:space="preserve">P2691</t>
  </si>
  <si>
    <t xml:space="preserve">Humidity and Temperature Sensor</t>
  </si>
  <si>
    <t xml:space="preserve">P2261</t>
  </si>
  <si>
    <t xml:space="preserve">Gas Sensor</t>
  </si>
  <si>
    <t xml:space="preserve">P2131</t>
  </si>
  <si>
    <t xml:space="preserve">433 MHz Telemetry</t>
  </si>
  <si>
    <t xml:space="preserve">P1584</t>
  </si>
  <si>
    <t xml:space="preserve">RC Flight Simulator</t>
  </si>
  <si>
    <t xml:space="preserve">P1265</t>
  </si>
  <si>
    <t xml:space="preserve">Furniture's Storage Cabinets (open and shuttered) for Lab setup</t>
  </si>
  <si>
    <t xml:space="preserve">P0917</t>
  </si>
  <si>
    <t xml:space="preserve">Lab Safety/Emergency Booth</t>
  </si>
  <si>
    <t xml:space="preserve">P1024</t>
  </si>
  <si>
    <t xml:space="preserve">Propellers</t>
  </si>
  <si>
    <t xml:space="preserve">P0367</t>
  </si>
  <si>
    <t xml:space="preserve">Foldable Air Frame – Aluminium &amp; Glass Fibre</t>
  </si>
  <si>
    <t xml:space="preserve">P0183</t>
  </si>
  <si>
    <t xml:space="preserve">Projection Equipment</t>
  </si>
  <si>
    <t xml:space="preserve">P1238</t>
  </si>
  <si>
    <t xml:space="preserve">Power Point Software</t>
  </si>
  <si>
    <t xml:space="preserve">P1216</t>
  </si>
  <si>
    <t xml:space="preserve">Open end spanner set</t>
  </si>
  <si>
    <t xml:space="preserve">P2525</t>
  </si>
  <si>
    <t xml:space="preserve">Ring end spanner set</t>
  </si>
  <si>
    <t xml:space="preserve">P2715</t>
  </si>
  <si>
    <t xml:space="preserve">Socket spanner set</t>
  </si>
  <si>
    <t xml:space="preserve">P2852</t>
  </si>
  <si>
    <t xml:space="preserve">Wrenches</t>
  </si>
  <si>
    <t xml:space="preserve">P3183</t>
  </si>
  <si>
    <t xml:space="preserve">Punches</t>
  </si>
  <si>
    <t xml:space="preserve">P2674</t>
  </si>
  <si>
    <t xml:space="preserve">File set</t>
  </si>
  <si>
    <t xml:space="preserve">P2065</t>
  </si>
  <si>
    <t xml:space="preserve">Combination set</t>
  </si>
  <si>
    <t xml:space="preserve">P1847</t>
  </si>
  <si>
    <t xml:space="preserve">Steel scale</t>
  </si>
  <si>
    <t xml:space="preserve">P2938</t>
  </si>
  <si>
    <t xml:space="preserve">Wheel jack</t>
  </si>
  <si>
    <t xml:space="preserve">P3159</t>
  </si>
  <si>
    <t xml:space="preserve">Oil cane</t>
  </si>
  <si>
    <t xml:space="preserve">P2519</t>
  </si>
  <si>
    <t xml:space="preserve">Grease gun</t>
  </si>
  <si>
    <t xml:space="preserve">P2157</t>
  </si>
  <si>
    <t xml:space="preserve">Line tester</t>
  </si>
  <si>
    <t xml:space="preserve">P2362</t>
  </si>
  <si>
    <t xml:space="preserve">Circlip pliers</t>
  </si>
  <si>
    <t xml:space="preserve">P1816</t>
  </si>
  <si>
    <t xml:space="preserve">Chain wrench</t>
  </si>
  <si>
    <t xml:space="preserve">P1803</t>
  </si>
  <si>
    <t xml:space="preserve">Chisel set</t>
  </si>
  <si>
    <t xml:space="preserve">P1813</t>
  </si>
  <si>
    <t xml:space="preserve">Manual dibbler</t>
  </si>
  <si>
    <t xml:space="preserve">P2396</t>
  </si>
  <si>
    <t xml:space="preserve">Grass cutter</t>
  </si>
  <si>
    <t xml:space="preserve">P2154</t>
  </si>
  <si>
    <t xml:space="preserve">Hand hoe (Khurpi)</t>
  </si>
  <si>
    <t xml:space="preserve">P2197</t>
  </si>
  <si>
    <t xml:space="preserve">Pickaxe</t>
  </si>
  <si>
    <t xml:space="preserve">Manual weeder</t>
  </si>
  <si>
    <t xml:space="preserve">P2400</t>
  </si>
  <si>
    <t xml:space="preserve">Stop watch</t>
  </si>
  <si>
    <t xml:space="preserve">Battery charger</t>
  </si>
  <si>
    <t xml:space="preserve">Cell tester</t>
  </si>
  <si>
    <t xml:space="preserve">P1795</t>
  </si>
  <si>
    <t xml:space="preserve">Battery operated sprayer</t>
  </si>
  <si>
    <t xml:space="preserve">P1695</t>
  </si>
  <si>
    <t xml:space="preserve">Manual fertilizer broadcaster</t>
  </si>
  <si>
    <t xml:space="preserve">P2398</t>
  </si>
  <si>
    <t xml:space="preserve">MB Plough</t>
  </si>
  <si>
    <t xml:space="preserve">P2404</t>
  </si>
  <si>
    <t xml:space="preserve">Disc plough</t>
  </si>
  <si>
    <t xml:space="preserve">P1941</t>
  </si>
  <si>
    <t xml:space="preserve">Disc harrow</t>
  </si>
  <si>
    <t xml:space="preserve">Rotavator</t>
  </si>
  <si>
    <t xml:space="preserve">P2727</t>
  </si>
  <si>
    <t xml:space="preserve">Seed cum fertilizer</t>
  </si>
  <si>
    <t xml:space="preserve">P2788</t>
  </si>
  <si>
    <t xml:space="preserve">Manual transplanter</t>
  </si>
  <si>
    <t xml:space="preserve">P2399</t>
  </si>
  <si>
    <t xml:space="preserve">Hose pipe</t>
  </si>
  <si>
    <t xml:space="preserve">Ph strips</t>
  </si>
  <si>
    <t xml:space="preserve">P0344</t>
  </si>
  <si>
    <t xml:space="preserve">Fish net</t>
  </si>
  <si>
    <t xml:space="preserve">P2072</t>
  </si>
  <si>
    <t xml:space="preserve">Feeding trays for fish fry</t>
  </si>
  <si>
    <t xml:space="preserve">P2062</t>
  </si>
  <si>
    <t xml:space="preserve">Hand net for transferring fish fry</t>
  </si>
  <si>
    <t xml:space="preserve">P2202</t>
  </si>
  <si>
    <t xml:space="preserve">Syringe and droppers</t>
  </si>
  <si>
    <t xml:space="preserve">P2973</t>
  </si>
  <si>
    <t xml:space="preserve">Magnifying glass</t>
  </si>
  <si>
    <t xml:space="preserve">Plastic syringes and hormone applicators</t>
  </si>
  <si>
    <t xml:space="preserve">P2616</t>
  </si>
  <si>
    <t xml:space="preserve">Basic tools for cleaning of tanks</t>
  </si>
  <si>
    <t xml:space="preserve">P1687</t>
  </si>
  <si>
    <t xml:space="preserve">Small fish rearing tanks</t>
  </si>
  <si>
    <t xml:space="preserve">P2840</t>
  </si>
  <si>
    <t xml:space="preserve">pH meter</t>
  </si>
  <si>
    <t xml:space="preserve">P2583</t>
  </si>
  <si>
    <t xml:space="preserve">Dissolved Oxygen (DO) meter</t>
  </si>
  <si>
    <t xml:space="preserve">P1945</t>
  </si>
  <si>
    <t xml:space="preserve">Water testing kit</t>
  </si>
  <si>
    <t xml:space="preserve">P3139</t>
  </si>
  <si>
    <t xml:space="preserve">Weighing balance</t>
  </si>
  <si>
    <t xml:space="preserve">P3146</t>
  </si>
  <si>
    <t xml:space="preserve">Microscope</t>
  </si>
  <si>
    <t xml:space="preserve">P2448</t>
  </si>
  <si>
    <t xml:space="preserve">Measuring cylinders and beakers</t>
  </si>
  <si>
    <t xml:space="preserve">P2413</t>
  </si>
  <si>
    <t xml:space="preserve">Plastic or glass breeding tanks</t>
  </si>
  <si>
    <t xml:space="preserve">P2614</t>
  </si>
  <si>
    <t xml:space="preserve">Hatchery jars</t>
  </si>
  <si>
    <t xml:space="preserve">P2225</t>
  </si>
  <si>
    <t xml:space="preserve">Mini water filtration unit</t>
  </si>
  <si>
    <t xml:space="preserve">P2461</t>
  </si>
  <si>
    <t xml:space="preserve">Digital electronic temperature indicator</t>
  </si>
  <si>
    <t xml:space="preserve">P1932</t>
  </si>
  <si>
    <t xml:space="preserve">Hygrometer</t>
  </si>
  <si>
    <t xml:space="preserve">P2269</t>
  </si>
  <si>
    <t xml:space="preserve">Light meter</t>
  </si>
  <si>
    <t xml:space="preserve">P2355</t>
  </si>
  <si>
    <t xml:space="preserve">Aquarium heater</t>
  </si>
  <si>
    <t xml:space="preserve">P1637</t>
  </si>
  <si>
    <t xml:space="preserve">Oxygenation system</t>
  </si>
  <si>
    <t xml:space="preserve">P2540</t>
  </si>
  <si>
    <t xml:space="preserve">Hand gloves and aprons</t>
  </si>
  <si>
    <t xml:space="preserve">P0945</t>
  </si>
  <si>
    <t xml:space="preserve">Biosecurity materials</t>
  </si>
  <si>
    <t xml:space="preserve">P0039</t>
  </si>
  <si>
    <t xml:space="preserve">Fish seed transport bags</t>
  </si>
  <si>
    <t xml:space="preserve">P0175</t>
  </si>
  <si>
    <t xml:space="preserve">Plastic buckets and containers</t>
  </si>
  <si>
    <t xml:space="preserve">P1199</t>
  </si>
  <si>
    <t xml:space="preserve">Cross staff</t>
  </si>
  <si>
    <t xml:space="preserve">P1876</t>
  </si>
  <si>
    <t xml:space="preserve">Tape</t>
  </si>
  <si>
    <t xml:space="preserve">P2992</t>
  </si>
  <si>
    <t xml:space="preserve">Crow bar</t>
  </si>
  <si>
    <t xml:space="preserve">Pick axe</t>
  </si>
  <si>
    <t xml:space="preserve">Kudali</t>
  </si>
  <si>
    <t xml:space="preserve">P2328</t>
  </si>
  <si>
    <t xml:space="preserve">Wheel hoe</t>
  </si>
  <si>
    <t xml:space="preserve">P3158</t>
  </si>
  <si>
    <t xml:space="preserve">Trenching hoe</t>
  </si>
  <si>
    <t xml:space="preserve">P3064</t>
  </si>
  <si>
    <t xml:space="preserve">Transplanting trowel</t>
  </si>
  <si>
    <t xml:space="preserve">P3062</t>
  </si>
  <si>
    <t xml:space="preserve">Dibbler</t>
  </si>
  <si>
    <t xml:space="preserve">P1924</t>
  </si>
  <si>
    <t xml:space="preserve">Planting board</t>
  </si>
  <si>
    <t xml:space="preserve">P2609</t>
  </si>
  <si>
    <t xml:space="preserve">Mixed budding and grafting knife</t>
  </si>
  <si>
    <t xml:space="preserve">P2464</t>
  </si>
  <si>
    <t xml:space="preserve">Garden hatchet</t>
  </si>
  <si>
    <t xml:space="preserve">P2122</t>
  </si>
  <si>
    <t xml:space="preserve">Looping shear</t>
  </si>
  <si>
    <t xml:space="preserve">P2373</t>
  </si>
  <si>
    <t xml:space="preserve">Water can</t>
  </si>
  <si>
    <t xml:space="preserve">P3128</t>
  </si>
  <si>
    <t xml:space="preserve">Pegs</t>
  </si>
  <si>
    <t xml:space="preserve">P2575</t>
  </si>
  <si>
    <t xml:space="preserve">Ranging rod</t>
  </si>
  <si>
    <t xml:space="preserve">P2689</t>
  </si>
  <si>
    <t xml:space="preserve">Budding knife</t>
  </si>
  <si>
    <t xml:space="preserve">Hand cultivator</t>
  </si>
  <si>
    <t xml:space="preserve">Hand weeder</t>
  </si>
  <si>
    <t xml:space="preserve">P2219</t>
  </si>
  <si>
    <t xml:space="preserve">Weeding fork</t>
  </si>
  <si>
    <t xml:space="preserve">P3143</t>
  </si>
  <si>
    <t xml:space="preserve">Garden hoe</t>
  </si>
  <si>
    <t xml:space="preserve">P2123</t>
  </si>
  <si>
    <t xml:space="preserve">Digging fork</t>
  </si>
  <si>
    <t xml:space="preserve">P1928</t>
  </si>
  <si>
    <t xml:space="preserve">Garden rake</t>
  </si>
  <si>
    <t xml:space="preserve">Grass shear</t>
  </si>
  <si>
    <t xml:space="preserve">Hedge shear</t>
  </si>
  <si>
    <t xml:space="preserve">Tree pruner</t>
  </si>
  <si>
    <t xml:space="preserve">Pruning saw</t>
  </si>
  <si>
    <t xml:space="preserve">Bill hook</t>
  </si>
  <si>
    <t xml:space="preserve">P1707</t>
  </si>
  <si>
    <t xml:space="preserve">Dutch-hoe</t>
  </si>
  <si>
    <t xml:space="preserve">P1991</t>
  </si>
  <si>
    <t xml:space="preserve">Bonsai set</t>
  </si>
  <si>
    <t xml:space="preserve">P1730</t>
  </si>
  <si>
    <t xml:space="preserve">Bonsai Cutter</t>
  </si>
  <si>
    <t xml:space="preserve">P1729</t>
  </si>
  <si>
    <t xml:space="preserve">Small Trowel</t>
  </si>
  <si>
    <t xml:space="preserve">P2847</t>
  </si>
  <si>
    <t xml:space="preserve">Big Trowel</t>
  </si>
  <si>
    <t xml:space="preserve">P1706</t>
  </si>
  <si>
    <t xml:space="preserve">Rake</t>
  </si>
  <si>
    <t xml:space="preserve">P2686</t>
  </si>
  <si>
    <t xml:space="preserve">Trowels and rake</t>
  </si>
  <si>
    <t xml:space="preserve">P3074</t>
  </si>
  <si>
    <t xml:space="preserve">Sprinkler</t>
  </si>
  <si>
    <t xml:space="preserve">P2919</t>
  </si>
  <si>
    <t xml:space="preserve">Sprayer</t>
  </si>
  <si>
    <t xml:space="preserve">P2918</t>
  </si>
  <si>
    <t xml:space="preserve">Duster</t>
  </si>
  <si>
    <t xml:space="preserve">P1988</t>
  </si>
  <si>
    <t xml:space="preserve">Garden tractor</t>
  </si>
  <si>
    <t xml:space="preserve">P2127</t>
  </si>
  <si>
    <t xml:space="preserve">Compost</t>
  </si>
  <si>
    <t xml:space="preserve">P0098</t>
  </si>
  <si>
    <t xml:space="preserve">Farm yard manure</t>
  </si>
  <si>
    <t xml:space="preserve">Oil cake</t>
  </si>
  <si>
    <t xml:space="preserve">P0307</t>
  </si>
  <si>
    <t xml:space="preserve">Leaf manure</t>
  </si>
  <si>
    <t xml:space="preserve">P0244</t>
  </si>
  <si>
    <t xml:space="preserve">Urea</t>
  </si>
  <si>
    <t xml:space="preserve">P0486</t>
  </si>
  <si>
    <t xml:space="preserve">DAP</t>
  </si>
  <si>
    <t xml:space="preserve">P0117</t>
  </si>
  <si>
    <t xml:space="preserve">Ammonium sulphate</t>
  </si>
  <si>
    <t xml:space="preserve">P0016</t>
  </si>
  <si>
    <t xml:space="preserve">Complex fertilizers</t>
  </si>
  <si>
    <t xml:space="preserve">P0097</t>
  </si>
  <si>
    <t xml:space="preserve">Potassium sulphate</t>
  </si>
  <si>
    <t xml:space="preserve">P0360</t>
  </si>
  <si>
    <t xml:space="preserve">Murate of potash</t>
  </si>
  <si>
    <t xml:space="preserve">P0287</t>
  </si>
  <si>
    <t xml:space="preserve">Systemic fungicides</t>
  </si>
  <si>
    <t xml:space="preserve">P0459</t>
  </si>
  <si>
    <t xml:space="preserve">Non-systemic fungicides</t>
  </si>
  <si>
    <t xml:space="preserve">P0299</t>
  </si>
  <si>
    <t xml:space="preserve">Biopesticides</t>
  </si>
  <si>
    <t xml:space="preserve">P0038</t>
  </si>
  <si>
    <t xml:space="preserve">Peat</t>
  </si>
  <si>
    <t xml:space="preserve">P0333</t>
  </si>
  <si>
    <t xml:space="preserve">Formalin</t>
  </si>
  <si>
    <t xml:space="preserve">P0186</t>
  </si>
  <si>
    <t xml:space="preserve">Bavestin</t>
  </si>
  <si>
    <t xml:space="preserve">P0027</t>
  </si>
  <si>
    <t xml:space="preserve">Sulphur</t>
  </si>
  <si>
    <t xml:space="preserve">P0453</t>
  </si>
  <si>
    <t xml:space="preserve">Insecticide</t>
  </si>
  <si>
    <t xml:space="preserve">P0225</t>
  </si>
  <si>
    <t xml:space="preserve">Indofil-45</t>
  </si>
  <si>
    <t xml:space="preserve">P0223</t>
  </si>
  <si>
    <t xml:space="preserve">Neem cake</t>
  </si>
  <si>
    <t xml:space="preserve">P0296</t>
  </si>
  <si>
    <t xml:space="preserve">Growth regulator/ harmone</t>
  </si>
  <si>
    <t xml:space="preserve">P0206</t>
  </si>
  <si>
    <t xml:space="preserve">Super cut</t>
  </si>
  <si>
    <t xml:space="preserve">P2968</t>
  </si>
  <si>
    <t xml:space="preserve">Thinning scissor</t>
  </si>
  <si>
    <t xml:space="preserve">P3025</t>
  </si>
  <si>
    <t xml:space="preserve">Temperature &amp; humidity control system</t>
  </si>
  <si>
    <t xml:space="preserve">P3008</t>
  </si>
  <si>
    <t xml:space="preserve">Automatic shade system</t>
  </si>
  <si>
    <t xml:space="preserve">P1655</t>
  </si>
  <si>
    <t xml:space="preserve">Fogging and blackout</t>
  </si>
  <si>
    <t xml:space="preserve">P2088</t>
  </si>
  <si>
    <t xml:space="preserve">Irrigation system</t>
  </si>
  <si>
    <t xml:space="preserve">P2302</t>
  </si>
  <si>
    <t xml:space="preserve">Fan</t>
  </si>
  <si>
    <t xml:space="preserve">P2058</t>
  </si>
  <si>
    <t xml:space="preserve">Pad</t>
  </si>
  <si>
    <t xml:space="preserve">P2541</t>
  </si>
  <si>
    <t xml:space="preserve">Ventilator</t>
  </si>
  <si>
    <t xml:space="preserve">P3104</t>
  </si>
  <si>
    <t xml:space="preserve">Lux meter/Light meter</t>
  </si>
  <si>
    <t xml:space="preserve">P2378</t>
  </si>
  <si>
    <t xml:space="preserve">Misting</t>
  </si>
  <si>
    <t xml:space="preserve">P2463</t>
  </si>
  <si>
    <t xml:space="preserve">Radiation measuring instrument</t>
  </si>
  <si>
    <t xml:space="preserve">P2684</t>
  </si>
  <si>
    <t xml:space="preserve">Drip and sprinkler</t>
  </si>
  <si>
    <t xml:space="preserve">P1980</t>
  </si>
  <si>
    <t xml:space="preserve">Mobile benches</t>
  </si>
  <si>
    <t xml:space="preserve">P1098</t>
  </si>
  <si>
    <t xml:space="preserve">Dry and liquid fertiliser</t>
  </si>
  <si>
    <t xml:space="preserve">P0139</t>
  </si>
  <si>
    <t xml:space="preserve">Plant Growth regulator/hormones</t>
  </si>
  <si>
    <t xml:space="preserve">P0350</t>
  </si>
  <si>
    <t xml:space="preserve">Hori Knife</t>
  </si>
  <si>
    <t xml:space="preserve">P2252</t>
  </si>
  <si>
    <t xml:space="preserve">Pruning Knife</t>
  </si>
  <si>
    <t xml:space="preserve">Pruning Shears</t>
  </si>
  <si>
    <t xml:space="preserve">P2666</t>
  </si>
  <si>
    <t xml:space="preserve">Polybags (different sizes)</t>
  </si>
  <si>
    <t xml:space="preserve">Seed boxes</t>
  </si>
  <si>
    <t xml:space="preserve">P2784</t>
  </si>
  <si>
    <t xml:space="preserve">Plastic applicators</t>
  </si>
  <si>
    <t xml:space="preserve">P2610</t>
  </si>
  <si>
    <t xml:space="preserve">Plastic recipients</t>
  </si>
  <si>
    <t xml:space="preserve">P2615</t>
  </si>
  <si>
    <t xml:space="preserve">Growing chamber</t>
  </si>
  <si>
    <t xml:space="preserve">P2162</t>
  </si>
  <si>
    <t xml:space="preserve">Reservoir/ Water tank</t>
  </si>
  <si>
    <t xml:space="preserve">P2708</t>
  </si>
  <si>
    <t xml:space="preserve">EC meter</t>
  </si>
  <si>
    <t xml:space="preserve">P1996</t>
  </si>
  <si>
    <t xml:space="preserve">Submersible pump</t>
  </si>
  <si>
    <t xml:space="preserve">P2965</t>
  </si>
  <si>
    <t xml:space="preserve">Delivery system</t>
  </si>
  <si>
    <t xml:space="preserve">P1910</t>
  </si>
  <si>
    <t xml:space="preserve">Simple timer</t>
  </si>
  <si>
    <t xml:space="preserve">P2829</t>
  </si>
  <si>
    <t xml:space="preserve">Nutrient pump/ Fertigation Unit</t>
  </si>
  <si>
    <t xml:space="preserve">P2514</t>
  </si>
  <si>
    <t xml:space="preserve">Air pumps</t>
  </si>
  <si>
    <t xml:space="preserve">P1612</t>
  </si>
  <si>
    <t xml:space="preserve">Grow lights</t>
  </si>
  <si>
    <t xml:space="preserve">P2161</t>
  </si>
  <si>
    <t xml:space="preserve">Drip and sprinkler system</t>
  </si>
  <si>
    <t xml:space="preserve">P1981</t>
  </si>
  <si>
    <t xml:space="preserve">Green house/ Hydroponics Unit</t>
  </si>
  <si>
    <t xml:space="preserve">P2158</t>
  </si>
  <si>
    <t xml:space="preserve">Liquid fertilizer</t>
  </si>
  <si>
    <t xml:space="preserve">P0249</t>
  </si>
  <si>
    <t xml:space="preserve">Growing medium (Cocopeat, Vermiculite, perlite etc.)</t>
  </si>
  <si>
    <t xml:space="preserve">P0205</t>
  </si>
  <si>
    <t xml:space="preserve">bag</t>
  </si>
  <si>
    <t xml:space="preserve">Fungicide</t>
  </si>
  <si>
    <t xml:space="preserve">P0188</t>
  </si>
  <si>
    <t xml:space="preserve">Plant Growth regulator/ hormones</t>
  </si>
  <si>
    <t xml:space="preserve">Hand drill guide</t>
  </si>
  <si>
    <t xml:space="preserve">P2192</t>
  </si>
  <si>
    <t xml:space="preserve">Screwdriver and pliers</t>
  </si>
  <si>
    <t xml:space="preserve">P2773</t>
  </si>
  <si>
    <t xml:space="preserve">Hacksaw blade with frame and one spare blade</t>
  </si>
  <si>
    <t xml:space="preserve">P2168</t>
  </si>
  <si>
    <t xml:space="preserve">Measuring tape and scale</t>
  </si>
  <si>
    <t xml:space="preserve">P2424</t>
  </si>
  <si>
    <t xml:space="preserve">Straight or ejecto punch</t>
  </si>
  <si>
    <t xml:space="preserve">P2953</t>
  </si>
  <si>
    <t xml:space="preserve">Hand punch</t>
  </si>
  <si>
    <t xml:space="preserve">P2206</t>
  </si>
  <si>
    <t xml:space="preserve">Plier punch</t>
  </si>
  <si>
    <t xml:space="preserve">P2623</t>
  </si>
  <si>
    <t xml:space="preserve">Take-off tool</t>
  </si>
  <si>
    <t xml:space="preserve">P2989</t>
  </si>
  <si>
    <t xml:space="preserve">Pickaxe and spade</t>
  </si>
  <si>
    <t xml:space="preserve">P2593</t>
  </si>
  <si>
    <t xml:space="preserve">Mortar pan</t>
  </si>
  <si>
    <t xml:space="preserve">P2479</t>
  </si>
  <si>
    <t xml:space="preserve">Chisel and Hammer</t>
  </si>
  <si>
    <t xml:space="preserve">P1810</t>
  </si>
  <si>
    <t xml:space="preserve">Wooden hammer</t>
  </si>
  <si>
    <t xml:space="preserve">P3179</t>
  </si>
  <si>
    <t xml:space="preserve">Bucket</t>
  </si>
  <si>
    <t xml:space="preserve">P1756</t>
  </si>
  <si>
    <t xml:space="preserve">Micro-irrigation kit</t>
  </si>
  <si>
    <t xml:space="preserve">P2441</t>
  </si>
  <si>
    <t xml:space="preserve">Drill machine with drill bits of different sizes</t>
  </si>
  <si>
    <t xml:space="preserve">P1977</t>
  </si>
  <si>
    <t xml:space="preserve">S-hose pump</t>
  </si>
  <si>
    <t xml:space="preserve">P2738</t>
  </si>
  <si>
    <t xml:space="preserve">Tensiometer</t>
  </si>
  <si>
    <t xml:space="preserve">P3014</t>
  </si>
  <si>
    <t xml:space="preserve">Oven</t>
  </si>
  <si>
    <t xml:space="preserve">P2534</t>
  </si>
  <si>
    <t xml:space="preserve">Water meter</t>
  </si>
  <si>
    <t xml:space="preserve">P3136</t>
  </si>
  <si>
    <t xml:space="preserve">Measuring Cylinder</t>
  </si>
  <si>
    <t xml:space="preserve">Solvent cement</t>
  </si>
  <si>
    <t xml:space="preserve">P0428</t>
  </si>
  <si>
    <t xml:space="preserve">Teflon tape</t>
  </si>
  <si>
    <t xml:space="preserve">P0465</t>
  </si>
  <si>
    <t xml:space="preserve">Jute</t>
  </si>
  <si>
    <t xml:space="preserve">P0233</t>
  </si>
  <si>
    <t xml:space="preserve">GI threaded joint’s synthetic compound</t>
  </si>
  <si>
    <t xml:space="preserve">P0194</t>
  </si>
  <si>
    <t xml:space="preserve">Pencil or marker</t>
  </si>
  <si>
    <t xml:space="preserve">P0337</t>
  </si>
  <si>
    <t xml:space="preserve">Furniture’s Storage Cabinets (open and shuttered) for Lab setup</t>
  </si>
  <si>
    <t xml:space="preserve">Wash bottles</t>
  </si>
  <si>
    <t xml:space="preserve">P3118</t>
  </si>
  <si>
    <t xml:space="preserve">Brushes</t>
  </si>
  <si>
    <t xml:space="preserve">P1753</t>
  </si>
  <si>
    <t xml:space="preserve">Forceps</t>
  </si>
  <si>
    <t xml:space="preserve">P2094</t>
  </si>
  <si>
    <t xml:space="preserve">Weighing balance (electronic)</t>
  </si>
  <si>
    <t xml:space="preserve">P3147</t>
  </si>
  <si>
    <t xml:space="preserve">Hot plate/stirrer</t>
  </si>
  <si>
    <t xml:space="preserve">P2256</t>
  </si>
  <si>
    <t xml:space="preserve">Refrigerator and freezer</t>
  </si>
  <si>
    <t xml:space="preserve">P2703</t>
  </si>
  <si>
    <t xml:space="preserve">Laminar flow transfer hood</t>
  </si>
  <si>
    <t xml:space="preserve">P2339</t>
  </si>
  <si>
    <t xml:space="preserve">Glassware/ Beakers</t>
  </si>
  <si>
    <t xml:space="preserve">P2145</t>
  </si>
  <si>
    <t xml:space="preserve">Culture tubes</t>
  </si>
  <si>
    <t xml:space="preserve">P1883</t>
  </si>
  <si>
    <t xml:space="preserve">Culture tube racks</t>
  </si>
  <si>
    <t xml:space="preserve">P1882</t>
  </si>
  <si>
    <t xml:space="preserve">Sterilizers, autoclave</t>
  </si>
  <si>
    <t xml:space="preserve">P2945</t>
  </si>
  <si>
    <t xml:space="preserve">Glass pipettes</t>
  </si>
  <si>
    <t xml:space="preserve">P2139</t>
  </si>
  <si>
    <t xml:space="preserve">Graduated cylinders</t>
  </si>
  <si>
    <t xml:space="preserve">P2152</t>
  </si>
  <si>
    <t xml:space="preserve">Thermometers</t>
  </si>
  <si>
    <t xml:space="preserve">P3022</t>
  </si>
  <si>
    <t xml:space="preserve">Vacuum Pump</t>
  </si>
  <si>
    <t xml:space="preserve">P3099</t>
  </si>
  <si>
    <t xml:space="preserve">Distillation Plant</t>
  </si>
  <si>
    <t xml:space="preserve">P1947</t>
  </si>
  <si>
    <t xml:space="preserve">Centrifuge</t>
  </si>
  <si>
    <t xml:space="preserve">P1797</t>
  </si>
  <si>
    <t xml:space="preserve">Incubator</t>
  </si>
  <si>
    <t xml:space="preserve">P2278</t>
  </si>
  <si>
    <t xml:space="preserve">Aspiration pump (peristaltic or vaccum)</t>
  </si>
  <si>
    <t xml:space="preserve">P1648</t>
  </si>
  <si>
    <t xml:space="preserve">Chlorine bleach (Sodium hypochlorite)</t>
  </si>
  <si>
    <t xml:space="preserve">P0075</t>
  </si>
  <si>
    <t xml:space="preserve">Lab markers</t>
  </si>
  <si>
    <t xml:space="preserve">P0239</t>
  </si>
  <si>
    <t xml:space="preserve">Culture dishes</t>
  </si>
  <si>
    <t xml:space="preserve">P0112</t>
  </si>
  <si>
    <t xml:space="preserve">Cell culture vessels</t>
  </si>
  <si>
    <t xml:space="preserve">P0064</t>
  </si>
  <si>
    <t xml:space="preserve">Stocks of isopropyl alcohol</t>
  </si>
  <si>
    <t xml:space="preserve">P0447</t>
  </si>
  <si>
    <t xml:space="preserve">Room for plant tissue culture lab</t>
  </si>
  <si>
    <t xml:space="preserve">P1285</t>
  </si>
  <si>
    <t xml:space="preserve">Green house</t>
  </si>
  <si>
    <t xml:space="preserve">P0931</t>
  </si>
  <si>
    <t xml:space="preserve">Hand sieves</t>
  </si>
  <si>
    <t xml:space="preserve">P2213</t>
  </si>
  <si>
    <t xml:space="preserve">Winnowing fans</t>
  </si>
  <si>
    <t xml:space="preserve">P3166</t>
  </si>
  <si>
    <t xml:space="preserve">Seed germination chamber / incubator</t>
  </si>
  <si>
    <t xml:space="preserve">P2790</t>
  </si>
  <si>
    <t xml:space="preserve">Tetrazolium testing kit</t>
  </si>
  <si>
    <t xml:space="preserve">P3019</t>
  </si>
  <si>
    <t xml:space="preserve">Seed moisture tester</t>
  </si>
  <si>
    <t xml:space="preserve">P2792</t>
  </si>
  <si>
    <t xml:space="preserve">Seed counters</t>
  </si>
  <si>
    <t xml:space="preserve">P2787</t>
  </si>
  <si>
    <t xml:space="preserve">Seed drying trays / racks</t>
  </si>
  <si>
    <t xml:space="preserve">P2789</t>
  </si>
  <si>
    <t xml:space="preserve">Solar dryers</t>
  </si>
  <si>
    <t xml:space="preserve">P2863</t>
  </si>
  <si>
    <t xml:space="preserve">Small-scale seed threshers</t>
  </si>
  <si>
    <t xml:space="preserve">P2848</t>
  </si>
  <si>
    <t xml:space="preserve">Seed cleaning machines</t>
  </si>
  <si>
    <t xml:space="preserve">P2786</t>
  </si>
  <si>
    <t xml:space="preserve">Seed graders / seed separators</t>
  </si>
  <si>
    <t xml:space="preserve">P2791</t>
  </si>
  <si>
    <t xml:space="preserve">Packaging bag for storage</t>
  </si>
  <si>
    <t xml:space="preserve">P0312</t>
  </si>
  <si>
    <t xml:space="preserve">Moisture-proof storage containers</t>
  </si>
  <si>
    <t xml:space="preserve">P1110</t>
  </si>
  <si>
    <t xml:space="preserve">Automatic Vaccinator</t>
  </si>
  <si>
    <t xml:space="preserve">P1656</t>
  </si>
  <si>
    <t xml:space="preserve">Beak Trimmer</t>
  </si>
  <si>
    <t xml:space="preserve">P1698</t>
  </si>
  <si>
    <t xml:space="preserve">Bell Type Automatic Waterer</t>
  </si>
  <si>
    <t xml:space="preserve">P1701</t>
  </si>
  <si>
    <t xml:space="preserve">Chick box</t>
  </si>
  <si>
    <t xml:space="preserve">P1807</t>
  </si>
  <si>
    <t xml:space="preserve">Circular Feeder</t>
  </si>
  <si>
    <t xml:space="preserve">P1818</t>
  </si>
  <si>
    <t xml:space="preserve">Egg candler</t>
  </si>
  <si>
    <t xml:space="preserve">P2000</t>
  </si>
  <si>
    <t xml:space="preserve">Egg Washer</t>
  </si>
  <si>
    <t xml:space="preserve">P2002</t>
  </si>
  <si>
    <t xml:space="preserve">Hatching egg trays</t>
  </si>
  <si>
    <t xml:space="preserve">P2226</t>
  </si>
  <si>
    <t xml:space="preserve">Laying Boxes</t>
  </si>
  <si>
    <t xml:space="preserve">P2346</t>
  </si>
  <si>
    <t xml:space="preserve">Linear Feeder</t>
  </si>
  <si>
    <t xml:space="preserve">P2363</t>
  </si>
  <si>
    <t xml:space="preserve">Linear Waterer/Channel Type Waterer</t>
  </si>
  <si>
    <t xml:space="preserve">P2364</t>
  </si>
  <si>
    <t xml:space="preserve">Manual Drinker</t>
  </si>
  <si>
    <t xml:space="preserve">P2397</t>
  </si>
  <si>
    <t xml:space="preserve">Nest Boxes</t>
  </si>
  <si>
    <t xml:space="preserve">P2506</t>
  </si>
  <si>
    <t xml:space="preserve">Nipple Drinker</t>
  </si>
  <si>
    <t xml:space="preserve">P2508</t>
  </si>
  <si>
    <t xml:space="preserve">Pan and Jar Type Waterer</t>
  </si>
  <si>
    <t xml:space="preserve">P2558</t>
  </si>
  <si>
    <t xml:space="preserve">Reflectors/ Hovers</t>
  </si>
  <si>
    <t xml:space="preserve">P2698</t>
  </si>
  <si>
    <t xml:space="preserve">Water basins</t>
  </si>
  <si>
    <t xml:space="preserve">P3126</t>
  </si>
  <si>
    <t xml:space="preserve">Weighing Balances</t>
  </si>
  <si>
    <t xml:space="preserve">P3148</t>
  </si>
  <si>
    <t xml:space="preserve">Egg Packing Machine</t>
  </si>
  <si>
    <t xml:space="preserve">P2001</t>
  </si>
  <si>
    <t xml:space="preserve">Drugs/Medicines</t>
  </si>
  <si>
    <t xml:space="preserve">P0138</t>
  </si>
  <si>
    <t xml:space="preserve">Feed</t>
  </si>
  <si>
    <t xml:space="preserve">P0166</t>
  </si>
  <si>
    <t xml:space="preserve">Water leveller</t>
  </si>
  <si>
    <t xml:space="preserve">P3135</t>
  </si>
  <si>
    <t xml:space="preserve">Double ended flat and ring spanner</t>
  </si>
  <si>
    <t xml:space="preserve">Hacksaw frame with blade</t>
  </si>
  <si>
    <t xml:space="preserve">P2169</t>
  </si>
  <si>
    <t xml:space="preserve">Screw driver</t>
  </si>
  <si>
    <t xml:space="preserve">Vernier caliper</t>
  </si>
  <si>
    <t xml:space="preserve">P3106</t>
  </si>
  <si>
    <t xml:space="preserve">Multi meter</t>
  </si>
  <si>
    <t xml:space="preserve">Water testing instrument (TDS meter)</t>
  </si>
  <si>
    <t xml:space="preserve">P3138</t>
  </si>
  <si>
    <t xml:space="preserve">Solar home lighting system</t>
  </si>
  <si>
    <t xml:space="preserve">P2865</t>
  </si>
  <si>
    <t xml:space="preserve">Solar lantern</t>
  </si>
  <si>
    <t xml:space="preserve">P2866</t>
  </si>
  <si>
    <t xml:space="preserve">Solar torch</t>
  </si>
  <si>
    <t xml:space="preserve">P2876</t>
  </si>
  <si>
    <t xml:space="preserve">Solar water heater</t>
  </si>
  <si>
    <t xml:space="preserve">P2877</t>
  </si>
  <si>
    <t xml:space="preserve">Solar cooker</t>
  </si>
  <si>
    <t xml:space="preserve">P2862</t>
  </si>
  <si>
    <t xml:space="preserve">Solar power bank</t>
  </si>
  <si>
    <t xml:space="preserve">P2872</t>
  </si>
  <si>
    <t xml:space="preserve">Solar street light</t>
  </si>
  <si>
    <t xml:space="preserve">P2875</t>
  </si>
  <si>
    <t xml:space="preserve">Solar charging station</t>
  </si>
  <si>
    <t xml:space="preserve">P2860</t>
  </si>
  <si>
    <t xml:space="preserve">Solar water pump</t>
  </si>
  <si>
    <t xml:space="preserve">P2878</t>
  </si>
  <si>
    <t xml:space="preserve">Solar e-rickshaw</t>
  </si>
  <si>
    <t xml:space="preserve">P2864</t>
  </si>
  <si>
    <t xml:space="preserve">Charts of dos and Don'ts in work area</t>
  </si>
  <si>
    <t xml:space="preserve">Drawing Board (any size wooden)</t>
  </si>
  <si>
    <t xml:space="preserve">P1969</t>
  </si>
  <si>
    <t xml:space="preserve">Types of Scales: normal straight big ruler, hip curve, leg shaper, pattern master, French curve etc.; Sewing kit (Includes thread clipper/hand trimmer, seam ripper, fabric cutting scissors, tracing wheel, measuring tape etc.)</t>
  </si>
  <si>
    <t xml:space="preserve">P3086</t>
  </si>
  <si>
    <t xml:space="preserve">Machine tool kit (screw driver, screw etc.)</t>
  </si>
  <si>
    <t xml:space="preserve">P2381</t>
  </si>
  <si>
    <t xml:space="preserve">Attachments for sewing machine</t>
  </si>
  <si>
    <t xml:space="preserve">P1650</t>
  </si>
  <si>
    <t xml:space="preserve">Button hole scissor</t>
  </si>
  <si>
    <t xml:space="preserve">P1767</t>
  </si>
  <si>
    <t xml:space="preserve">Hand notcher (pattern notcher)</t>
  </si>
  <si>
    <t xml:space="preserve">P2203</t>
  </si>
  <si>
    <t xml:space="preserve">Bobbins, Bobbin case</t>
  </si>
  <si>
    <t xml:space="preserve">P1725</t>
  </si>
  <si>
    <t xml:space="preserve">Hanger</t>
  </si>
  <si>
    <t xml:space="preserve">P2224</t>
  </si>
  <si>
    <t xml:space="preserve">Embroidery frame</t>
  </si>
  <si>
    <t xml:space="preserve">P2022</t>
  </si>
  <si>
    <t xml:space="preserve">Paper Cutter</t>
  </si>
  <si>
    <t xml:space="preserve">Scissors (plastic handled scissor for cutting paper), Pinking Shears</t>
  </si>
  <si>
    <t xml:space="preserve">P2756</t>
  </si>
  <si>
    <t xml:space="preserve">Paint Brushes (different sizes), colour mixing plates</t>
  </si>
  <si>
    <t xml:space="preserve">P2551</t>
  </si>
  <si>
    <t xml:space="preserve">Stapler (small and big size)</t>
  </si>
  <si>
    <t xml:space="preserve">P2931</t>
  </si>
  <si>
    <t xml:space="preserve">Punching Machine</t>
  </si>
  <si>
    <t xml:space="preserve">P2675</t>
  </si>
  <si>
    <t xml:space="preserve">Mannequin (Male or female, Size M)</t>
  </si>
  <si>
    <t xml:space="preserve">P2394</t>
  </si>
  <si>
    <t xml:space="preserve">Sewing Machines with tables</t>
  </si>
  <si>
    <t xml:space="preserve">P2806</t>
  </si>
  <si>
    <t xml:space="preserve">Over lock Machine (5 thread over lock machine)</t>
  </si>
  <si>
    <t xml:space="preserve">P2535</t>
  </si>
  <si>
    <t xml:space="preserve">Embroidery machine with stool and table</t>
  </si>
  <si>
    <t xml:space="preserve">P2026</t>
  </si>
  <si>
    <t xml:space="preserve">Press/iron (any type) with table</t>
  </si>
  <si>
    <t xml:space="preserve">P2652</t>
  </si>
  <si>
    <t xml:space="preserve">Computer and Computer Peripherals</t>
  </si>
  <si>
    <t xml:space="preserve">P0693</t>
  </si>
  <si>
    <t xml:space="preserve">Design software (Coral, Photoshop, Illustrator, etc.)</t>
  </si>
  <si>
    <t xml:space="preserve">P0747</t>
  </si>
  <si>
    <t xml:space="preserve">Ironing Workstation with stools</t>
  </si>
  <si>
    <t xml:space="preserve">P1014</t>
  </si>
  <si>
    <t xml:space="preserve">Pattern Table/cutting table, Stools</t>
  </si>
  <si>
    <t xml:space="preserve">P1172</t>
  </si>
  <si>
    <t xml:space="preserve">Magnetic White Board/black board Eraser</t>
  </si>
  <si>
    <t xml:space="preserve">P1073</t>
  </si>
  <si>
    <t xml:space="preserve">Blackboard/Whiteboard</t>
  </si>
  <si>
    <t xml:space="preserve">P0608</t>
  </si>
  <si>
    <t xml:space="preserve">Pantone Shade Card, Fashion Forecasting Books/Journals/Magazines</t>
  </si>
  <si>
    <t xml:space="preserve">P1170</t>
  </si>
  <si>
    <t xml:space="preserve">Buyer Requirement/comment Sheet</t>
  </si>
  <si>
    <t xml:space="preserve">P0630</t>
  </si>
  <si>
    <t xml:space="preserve">Measurement Sheet/Size Chart, Trims/Accessory/fabric and embroideries samples/swatch file</t>
  </si>
  <si>
    <t xml:space="preserve">P1090</t>
  </si>
  <si>
    <t xml:space="preserve">Tech Pack/Specification Sheet Template</t>
  </si>
  <si>
    <t xml:space="preserve">P1467</t>
  </si>
  <si>
    <t xml:space="preserve">Machine oil, Machine Needle and hand needles (Various Gauges), embroidery needles</t>
  </si>
  <si>
    <t xml:space="preserve">P0256</t>
  </si>
  <si>
    <t xml:space="preserve">Sewing Threads</t>
  </si>
  <si>
    <t xml:space="preserve">P0409</t>
  </si>
  <si>
    <t xml:space="preserve">Embroidery thread</t>
  </si>
  <si>
    <t xml:space="preserve">P0148</t>
  </si>
  <si>
    <t xml:space="preserve">Fabric Yardages, surplus fabric, Trim/Accessory buttons, surface embellishments, zippers, assorted needles and Pin Cushion etc.</t>
  </si>
  <si>
    <t xml:space="preserve">P0161</t>
  </si>
  <si>
    <t xml:space="preserve">Push Pins</t>
  </si>
  <si>
    <t xml:space="preserve">P0368</t>
  </si>
  <si>
    <t xml:space="preserve">Dress Maker's Pin, Fabric Pins</t>
  </si>
  <si>
    <t xml:space="preserve">P0137</t>
  </si>
  <si>
    <t xml:space="preserve">Design Transferring Paper</t>
  </si>
  <si>
    <t xml:space="preserve">P0120</t>
  </si>
  <si>
    <t xml:space="preserve">Pattern Drafting Paper, Paper</t>
  </si>
  <si>
    <t xml:space="preserve">P0329</t>
  </si>
  <si>
    <t xml:space="preserve">Labels &amp; Stickers</t>
  </si>
  <si>
    <t xml:space="preserve">P0241</t>
  </si>
  <si>
    <t xml:space="preserve">Marking Chalk (yellow/pink/green/blue coloured), Tailor's Chalk, Carbon paper (A4, yellow, red and white carbon)</t>
  </si>
  <si>
    <t xml:space="preserve">P0265</t>
  </si>
  <si>
    <t xml:space="preserve">Colouring material (Poster colour, Water colour, Acrylics, Pastels, fabric printing dyes and colors and materials etc)</t>
  </si>
  <si>
    <t xml:space="preserve">P0094</t>
  </si>
  <si>
    <t xml:space="preserve">Glue Stick/Fevicol/Adhesive, Fabric Glue, Cello-Tape (Transparent and Foam Double sided tapes, Single sided tapes)</t>
  </si>
  <si>
    <t xml:space="preserve">P0201</t>
  </si>
  <si>
    <t xml:space="preserve">White/Black Board Marker</t>
  </si>
  <si>
    <t xml:space="preserve">P0511</t>
  </si>
  <si>
    <t xml:space="preserve">Dustbin, Boxes and pouches for storing Items</t>
  </si>
  <si>
    <t xml:space="preserve">P0811</t>
  </si>
  <si>
    <t xml:space="preserve">Bobbin case</t>
  </si>
  <si>
    <t xml:space="preserve">P1723</t>
  </si>
  <si>
    <t xml:space="preserve">Embroidery Snips</t>
  </si>
  <si>
    <t xml:space="preserve">P2028</t>
  </si>
  <si>
    <t xml:space="preserve">Cone Thread Holder</t>
  </si>
  <si>
    <t xml:space="preserve">P1857</t>
  </si>
  <si>
    <t xml:space="preserve">Embroidery hoop</t>
  </si>
  <si>
    <t xml:space="preserve">P2024</t>
  </si>
  <si>
    <t xml:space="preserve">Embroidery scissors</t>
  </si>
  <si>
    <t xml:space="preserve">P2027</t>
  </si>
  <si>
    <t xml:space="preserve">Pinking Shears</t>
  </si>
  <si>
    <t xml:space="preserve">Meter Stick/Yardstick</t>
  </si>
  <si>
    <t xml:space="preserve">P2438</t>
  </si>
  <si>
    <t xml:space="preserve">Scale Variety</t>
  </si>
  <si>
    <t xml:space="preserve">P2751</t>
  </si>
  <si>
    <t xml:space="preserve">Bobbins and other Sewing Machine Attachments</t>
  </si>
  <si>
    <t xml:space="preserve">P1724</t>
  </si>
  <si>
    <t xml:space="preserve">Toolkit</t>
  </si>
  <si>
    <t xml:space="preserve">Embroidery Design template</t>
  </si>
  <si>
    <t xml:space="preserve">P2021</t>
  </si>
  <si>
    <t xml:space="preserve">Tailor's Awl</t>
  </si>
  <si>
    <t xml:space="preserve">P2988</t>
  </si>
  <si>
    <t xml:space="preserve">Brother PE800 Embroidery Machine</t>
  </si>
  <si>
    <t xml:space="preserve">P1751</t>
  </si>
  <si>
    <t xml:space="preserve">Steam iron</t>
  </si>
  <si>
    <t xml:space="preserve">P2932</t>
  </si>
  <si>
    <t xml:space="preserve">Embroidery machine</t>
  </si>
  <si>
    <t xml:space="preserve">P2025</t>
  </si>
  <si>
    <t xml:space="preserve">Printer/scanner</t>
  </si>
  <si>
    <t xml:space="preserve">P1229</t>
  </si>
  <si>
    <t xml:space="preserve">Cutting Table</t>
  </si>
  <si>
    <t xml:space="preserve">P0736</t>
  </si>
  <si>
    <t xml:space="preserve">Handbooks of Embroidery Motives</t>
  </si>
  <si>
    <t xml:space="preserve">P0949</t>
  </si>
  <si>
    <t xml:space="preserve">Stabilizer</t>
  </si>
  <si>
    <t xml:space="preserve">P0438</t>
  </si>
  <si>
    <t xml:space="preserve">Iron-On Tear-Away Stabilizer</t>
  </si>
  <si>
    <t xml:space="preserve">P0232</t>
  </si>
  <si>
    <t xml:space="preserve">Water Soluble Embroidery Stabilizer &amp; Topping</t>
  </si>
  <si>
    <t xml:space="preserve">P0504</t>
  </si>
  <si>
    <t xml:space="preserve">Self-Adhesive Sticky Peel N Stick Tear Away Embroidery Stabilizer</t>
  </si>
  <si>
    <t xml:space="preserve">P0406</t>
  </si>
  <si>
    <t xml:space="preserve">Fusible No-show Polymesh Plus Embroidery Stabilizer</t>
  </si>
  <si>
    <t xml:space="preserve">P0189</t>
  </si>
  <si>
    <t xml:space="preserve">Cut Away Machine Embroidery Stabilizer</t>
  </si>
  <si>
    <t xml:space="preserve">P0114</t>
  </si>
  <si>
    <t xml:space="preserve">Temporary Adhesive Spray</t>
  </si>
  <si>
    <t xml:space="preserve">P0466</t>
  </si>
  <si>
    <t xml:space="preserve">Embroidery Thread</t>
  </si>
  <si>
    <t xml:space="preserve">Over the Back Fusible Interface</t>
  </si>
  <si>
    <t xml:space="preserve">P0311</t>
  </si>
  <si>
    <t xml:space="preserve">Disappearing Ink Pen</t>
  </si>
  <si>
    <t xml:space="preserve">P0125</t>
  </si>
  <si>
    <t xml:space="preserve">Fabric glue</t>
  </si>
  <si>
    <t xml:space="preserve">Machine Oil</t>
  </si>
  <si>
    <t xml:space="preserve">P0255</t>
  </si>
  <si>
    <t xml:space="preserve">Rulers</t>
  </si>
  <si>
    <t xml:space="preserve">P2736</t>
  </si>
  <si>
    <t xml:space="preserve">Calculator</t>
  </si>
  <si>
    <t xml:space="preserve">P1775</t>
  </si>
  <si>
    <t xml:space="preserve">Computer Peripherals</t>
  </si>
  <si>
    <t xml:space="preserve">P0702</t>
  </si>
  <si>
    <t xml:space="preserve">Garment Samples</t>
  </si>
  <si>
    <t xml:space="preserve">P0920</t>
  </si>
  <si>
    <t xml:space="preserve">Documents</t>
  </si>
  <si>
    <t xml:space="preserve">P0789</t>
  </si>
  <si>
    <t xml:space="preserve">Company Quality Standards Handbook/Guidelines</t>
  </si>
  <si>
    <t xml:space="preserve">P0688</t>
  </si>
  <si>
    <t xml:space="preserve">Fashion Forecasting Books/Journals/Magazines</t>
  </si>
  <si>
    <t xml:space="preserve">P0860</t>
  </si>
  <si>
    <t xml:space="preserve">Swatch File</t>
  </si>
  <si>
    <t xml:space="preserve">P1449</t>
  </si>
  <si>
    <t xml:space="preserve">Buyer Requirement/ Size Chart</t>
  </si>
  <si>
    <t xml:space="preserve">P0629</t>
  </si>
  <si>
    <t xml:space="preserve">Trims/Accessory samples</t>
  </si>
  <si>
    <t xml:space="preserve">P1507</t>
  </si>
  <si>
    <t xml:space="preserve">Tech Pack/ Foreign Trade Policies</t>
  </si>
  <si>
    <t xml:space="preserve">P1466</t>
  </si>
  <si>
    <t xml:space="preserve">Introductory notes on apparel, made-ups and home furnishing</t>
  </si>
  <si>
    <t xml:space="preserve">P1009</t>
  </si>
  <si>
    <t xml:space="preserve">Export Documentation</t>
  </si>
  <si>
    <t xml:space="preserve">P0847</t>
  </si>
  <si>
    <t xml:space="preserve">Books and various Export Documents</t>
  </si>
  <si>
    <t xml:space="preserve">P0618</t>
  </si>
  <si>
    <t xml:space="preserve">Documents on Foreign Trade Logistics</t>
  </si>
  <si>
    <t xml:space="preserve">P0791</t>
  </si>
  <si>
    <t xml:space="preserve">Books on International</t>
  </si>
  <si>
    <t xml:space="preserve">P0619</t>
  </si>
  <si>
    <t xml:space="preserve">Trade/ Marketing</t>
  </si>
  <si>
    <t xml:space="preserve">P1489</t>
  </si>
  <si>
    <t xml:space="preserve">Market Entry and pricing</t>
  </si>
  <si>
    <t xml:space="preserve">P1083</t>
  </si>
  <si>
    <t xml:space="preserve">Pen/Paper</t>
  </si>
  <si>
    <t xml:space="preserve">P0335</t>
  </si>
  <si>
    <t xml:space="preserve">Machine toolkit</t>
  </si>
  <si>
    <t xml:space="preserve">P2382</t>
  </si>
  <si>
    <t xml:space="preserve">Thread Sucking Machine</t>
  </si>
  <si>
    <t xml:space="preserve">P3030</t>
  </si>
  <si>
    <t xml:space="preserve">GSM Cutter</t>
  </si>
  <si>
    <t xml:space="preserve">P2163</t>
  </si>
  <si>
    <t xml:space="preserve">Weighing Machine</t>
  </si>
  <si>
    <t xml:space="preserve">Spotting Gun</t>
  </si>
  <si>
    <t xml:space="preserve">P2916</t>
  </si>
  <si>
    <t xml:space="preserve">Needle Detector</t>
  </si>
  <si>
    <t xml:space="preserve">P2503</t>
  </si>
  <si>
    <t xml:space="preserve">Fabric checking machine</t>
  </si>
  <si>
    <t xml:space="preserve">P2055</t>
  </si>
  <si>
    <t xml:space="preserve">Garment Checking Workstation</t>
  </si>
  <si>
    <t xml:space="preserve">P0919</t>
  </si>
  <si>
    <t xml:space="preserve">Pins</t>
  </si>
  <si>
    <t xml:space="preserve">P0348</t>
  </si>
  <si>
    <t xml:space="preserve">Colour Pencil (Red &amp; Blue)</t>
  </si>
  <si>
    <t xml:space="preserve">P0093</t>
  </si>
  <si>
    <t xml:space="preserve">Instruments used for opening packages and resealing packages</t>
  </si>
  <si>
    <t xml:space="preserve">P2289</t>
  </si>
  <si>
    <t xml:space="preserve">Paper Scissors</t>
  </si>
  <si>
    <t xml:space="preserve">P2561</t>
  </si>
  <si>
    <t xml:space="preserve">Fabric Scissors</t>
  </si>
  <si>
    <t xml:space="preserve">P2056</t>
  </si>
  <si>
    <t xml:space="preserve">Rotary Cutter</t>
  </si>
  <si>
    <t xml:space="preserve">P2724</t>
  </si>
  <si>
    <t xml:space="preserve">L-square</t>
  </si>
  <si>
    <t xml:space="preserve">Cleaning Brush</t>
  </si>
  <si>
    <t xml:space="preserve">P1825</t>
  </si>
  <si>
    <t xml:space="preserve">Stapler</t>
  </si>
  <si>
    <t xml:space="preserve">P2930</t>
  </si>
  <si>
    <t xml:space="preserve">Stain Removing Machines (Spot Gun)</t>
  </si>
  <si>
    <t xml:space="preserve">P2925</t>
  </si>
  <si>
    <t xml:space="preserve">Tagging Machine</t>
  </si>
  <si>
    <t xml:space="preserve">P2984</t>
  </si>
  <si>
    <t xml:space="preserve">MS Office Software</t>
  </si>
  <si>
    <t xml:space="preserve">P1116</t>
  </si>
  <si>
    <t xml:space="preserve">Finishing/Cleaning Table</t>
  </si>
  <si>
    <t xml:space="preserve">P0866</t>
  </si>
  <si>
    <t xml:space="preserve">Packing Table</t>
  </si>
  <si>
    <t xml:space="preserve">P1166</t>
  </si>
  <si>
    <t xml:space="preserve">Furniture (Working Table, cabinets, Stools, etc.), For 15 students</t>
  </si>
  <si>
    <t xml:space="preserve">P0915</t>
  </si>
  <si>
    <t xml:space="preserve">Teacher's Table and Chair</t>
  </si>
  <si>
    <t xml:space="preserve">P1465</t>
  </si>
  <si>
    <t xml:space="preserve">First aid Box</t>
  </si>
  <si>
    <t xml:space="preserve">Charts of finishing agents</t>
  </si>
  <si>
    <t xml:space="preserve">P0657</t>
  </si>
  <si>
    <t xml:space="preserve">Samples of packing material</t>
  </si>
  <si>
    <t xml:space="preserve">P1351</t>
  </si>
  <si>
    <t xml:space="preserve">Sample copies of packing list, job card, specification sheet and other record documents for learning data entry</t>
  </si>
  <si>
    <t xml:space="preserve">P1318</t>
  </si>
  <si>
    <t xml:space="preserve">Charts of organizational hierarchy and process charts (as included in the student's handbook)</t>
  </si>
  <si>
    <t xml:space="preserve">P0662</t>
  </si>
  <si>
    <t xml:space="preserve">Organizational Chart of the industry</t>
  </si>
  <si>
    <t xml:space="preserve">P1157</t>
  </si>
  <si>
    <t xml:space="preserve">Sample of packing and shipping list and other documents</t>
  </si>
  <si>
    <t xml:space="preserve">P1331</t>
  </si>
  <si>
    <t xml:space="preserve">Samples of different types of labels</t>
  </si>
  <si>
    <t xml:space="preserve">P1344</t>
  </si>
  <si>
    <t xml:space="preserve">Types of Stains Swatches file or samples</t>
  </si>
  <si>
    <t xml:space="preserve">P1511</t>
  </si>
  <si>
    <t xml:space="preserve">Trims and Accessories sample swatch file</t>
  </si>
  <si>
    <t xml:space="preserve">P1506</t>
  </si>
  <si>
    <t xml:space="preserve">Students Manual</t>
  </si>
  <si>
    <t xml:space="preserve">P1442</t>
  </si>
  <si>
    <t xml:space="preserve">Garments Made Ups and Home Furnishing Articles</t>
  </si>
  <si>
    <t xml:space="preserve">P0921</t>
  </si>
  <si>
    <t xml:space="preserve">White Board/Black Board</t>
  </si>
  <si>
    <t xml:space="preserve">P1552</t>
  </si>
  <si>
    <t xml:space="preserve">Packing Materials</t>
  </si>
  <si>
    <t xml:space="preserve">P0319</t>
  </si>
  <si>
    <t xml:space="preserve">Chemicals</t>
  </si>
  <si>
    <t xml:space="preserve">P0074</t>
  </si>
  <si>
    <t xml:space="preserve">Tags</t>
  </si>
  <si>
    <t xml:space="preserve">P0462</t>
  </si>
  <si>
    <t xml:space="preserve">Clips, Pins (Boxes)</t>
  </si>
  <si>
    <t xml:space="preserve">P0084</t>
  </si>
  <si>
    <t xml:space="preserve">Inventory/Stock Register</t>
  </si>
  <si>
    <t xml:space="preserve">P0229</t>
  </si>
  <si>
    <t xml:space="preserve">Record Maintenance Sheet</t>
  </si>
  <si>
    <t xml:space="preserve">P0378</t>
  </si>
  <si>
    <t xml:space="preserve">Marker/Chalk</t>
  </si>
  <si>
    <t xml:space="preserve">P0260</t>
  </si>
  <si>
    <t xml:space="preserve">Marking Pencils and Pens</t>
  </si>
  <si>
    <t xml:space="preserve">P0268</t>
  </si>
  <si>
    <t xml:space="preserve">Basic Stationery Set</t>
  </si>
  <si>
    <t xml:space="preserve">P0024</t>
  </si>
  <si>
    <t xml:space="preserve">Stapler Pins</t>
  </si>
  <si>
    <t xml:space="preserve">P0440</t>
  </si>
  <si>
    <t xml:space="preserve">Files and folders</t>
  </si>
  <si>
    <t xml:space="preserve">P0173</t>
  </si>
  <si>
    <t xml:space="preserve">Cartons</t>
  </si>
  <si>
    <t xml:space="preserve">P0060</t>
  </si>
  <si>
    <t xml:space="preserve">Polybags (assortment in sizes and variety)</t>
  </si>
  <si>
    <t xml:space="preserve">P0354</t>
  </si>
  <si>
    <t xml:space="preserve">Reporting Formats</t>
  </si>
  <si>
    <t xml:space="preserve">P0383</t>
  </si>
  <si>
    <t xml:space="preserve">Unitization devices</t>
  </si>
  <si>
    <t xml:space="preserve">P1515</t>
  </si>
  <si>
    <t xml:space="preserve">Hangers</t>
  </si>
  <si>
    <t xml:space="preserve">P0953</t>
  </si>
  <si>
    <t xml:space="preserve">Small Tub</t>
  </si>
  <si>
    <t xml:space="preserve">P1394</t>
  </si>
  <si>
    <t xml:space="preserve">Rotary cutter</t>
  </si>
  <si>
    <t xml:space="preserve">Measuring tape and/or a ruler</t>
  </si>
  <si>
    <t xml:space="preserve">P2425</t>
  </si>
  <si>
    <t xml:space="preserve">Pincushion</t>
  </si>
  <si>
    <t xml:space="preserve">P2598</t>
  </si>
  <si>
    <t xml:space="preserve">Hem Gauge</t>
  </si>
  <si>
    <t xml:space="preserve">P2236</t>
  </si>
  <si>
    <t xml:space="preserve">Yardstick/Meterstick</t>
  </si>
  <si>
    <t xml:space="preserve">Hand Needle</t>
  </si>
  <si>
    <t xml:space="preserve">P2200</t>
  </si>
  <si>
    <t xml:space="preserve">Punch Needle</t>
  </si>
  <si>
    <t xml:space="preserve">P2673</t>
  </si>
  <si>
    <t xml:space="preserve">Bent neck, metallic Tweezer</t>
  </si>
  <si>
    <t xml:space="preserve">P1704</t>
  </si>
  <si>
    <t xml:space="preserve">Pick glass</t>
  </si>
  <si>
    <t xml:space="preserve">P2592</t>
  </si>
  <si>
    <t xml:space="preserve">Iron and Ironing Board</t>
  </si>
  <si>
    <t xml:space="preserve">P2299</t>
  </si>
  <si>
    <t xml:space="preserve">Sewing Mannequin</t>
  </si>
  <si>
    <t xml:space="preserve">P2807</t>
  </si>
  <si>
    <t xml:space="preserve">Greyscale</t>
  </si>
  <si>
    <t xml:space="preserve">P2159</t>
  </si>
  <si>
    <t xml:space="preserve">Hand embroidery book</t>
  </si>
  <si>
    <t xml:space="preserve">P0942</t>
  </si>
  <si>
    <t xml:space="preserve">Novelty Yarns</t>
  </si>
  <si>
    <t xml:space="preserve">P0306</t>
  </si>
  <si>
    <t xml:space="preserve">Masking tape</t>
  </si>
  <si>
    <t xml:space="preserve">P0270</t>
  </si>
  <si>
    <t xml:space="preserve">Pattern making paper</t>
  </si>
  <si>
    <t xml:space="preserve">P0330</t>
  </si>
  <si>
    <t xml:space="preserve">Nonwoven Non-fusible Backing Paper</t>
  </si>
  <si>
    <t xml:space="preserve">P0300</t>
  </si>
  <si>
    <t xml:space="preserve">Surface ornamentation material (Beads, Sequins)</t>
  </si>
  <si>
    <t xml:space="preserve">P0454</t>
  </si>
  <si>
    <t xml:space="preserve">Buttons</t>
  </si>
  <si>
    <t xml:space="preserve">P0048</t>
  </si>
  <si>
    <t xml:space="preserve">Hooks</t>
  </si>
  <si>
    <t xml:space="preserve">P0219</t>
  </si>
  <si>
    <t xml:space="preserve">Trims</t>
  </si>
  <si>
    <t xml:space="preserve">P0484</t>
  </si>
  <si>
    <t xml:space="preserve">Lace</t>
  </si>
  <si>
    <t xml:space="preserve">P0242</t>
  </si>
  <si>
    <t xml:space="preserve">Zipper</t>
  </si>
  <si>
    <t xml:space="preserve">P0521</t>
  </si>
  <si>
    <t xml:space="preserve">Pant hooks</t>
  </si>
  <si>
    <t xml:space="preserve">P0321</t>
  </si>
  <si>
    <t xml:space="preserve">Chain stitch machine</t>
  </si>
  <si>
    <t xml:space="preserve">P1802</t>
  </si>
  <si>
    <t xml:space="preserve">Over-lock machine</t>
  </si>
  <si>
    <t xml:space="preserve">P2536</t>
  </si>
  <si>
    <t xml:space="preserve">Button hole sewing machine</t>
  </si>
  <si>
    <t xml:space="preserve">P1768</t>
  </si>
  <si>
    <t xml:space="preserve">Button sewing machine</t>
  </si>
  <si>
    <t xml:space="preserve">P1769</t>
  </si>
  <si>
    <t xml:space="preserve">Zigzag sewing machine</t>
  </si>
  <si>
    <t xml:space="preserve">P3190</t>
  </si>
  <si>
    <t xml:space="preserve">Lock stitch machine</t>
  </si>
  <si>
    <t xml:space="preserve">P2369</t>
  </si>
  <si>
    <t xml:space="preserve">Feed of arm machine</t>
  </si>
  <si>
    <t xml:space="preserve">P2061</t>
  </si>
  <si>
    <t xml:space="preserve">Bar-tack machine</t>
  </si>
  <si>
    <t xml:space="preserve">P1680</t>
  </si>
  <si>
    <t xml:space="preserve">Blind stitch machine</t>
  </si>
  <si>
    <t xml:space="preserve">P1715</t>
  </si>
  <si>
    <t xml:space="preserve">High speed sewing machine</t>
  </si>
  <si>
    <t xml:space="preserve">P2241</t>
  </si>
  <si>
    <t xml:space="preserve">High speed interlock machine</t>
  </si>
  <si>
    <t xml:space="preserve">P2240</t>
  </si>
  <si>
    <t xml:space="preserve">Picture (Apparel magazines)</t>
  </si>
  <si>
    <t xml:space="preserve">P1191</t>
  </si>
  <si>
    <t xml:space="preserve">Needle</t>
  </si>
  <si>
    <t xml:space="preserve">P0293</t>
  </si>
  <si>
    <t xml:space="preserve">Button</t>
  </si>
  <si>
    <t xml:space="preserve">P0047</t>
  </si>
  <si>
    <t xml:space="preserve">Chalk</t>
  </si>
  <si>
    <t xml:space="preserve">P0068</t>
  </si>
  <si>
    <t xml:space="preserve">Sheets</t>
  </si>
  <si>
    <t xml:space="preserve">P0412</t>
  </si>
  <si>
    <t xml:space="preserve">Paper</t>
  </si>
  <si>
    <t xml:space="preserve">P0322</t>
  </si>
  <si>
    <t xml:space="preserve">Projector/LCD</t>
  </si>
  <si>
    <t xml:space="preserve">P1245</t>
  </si>
  <si>
    <t xml:space="preserve">Teacher's Table &amp; chair</t>
  </si>
  <si>
    <t xml:space="preserve">P1464</t>
  </si>
  <si>
    <t xml:space="preserve">Big Table</t>
  </si>
  <si>
    <t xml:space="preserve">P0601</t>
  </si>
  <si>
    <t xml:space="preserve">Chairs</t>
  </si>
  <si>
    <t xml:space="preserve">P0646</t>
  </si>
  <si>
    <t xml:space="preserve">File Cabinet</t>
  </si>
  <si>
    <t xml:space="preserve">P0863</t>
  </si>
  <si>
    <t xml:space="preserve">Students Chairs With Table Arms, trainees stools</t>
  </si>
  <si>
    <t xml:space="preserve">P1441</t>
  </si>
  <si>
    <t xml:space="preserve">First Aid Box</t>
  </si>
  <si>
    <t xml:space="preserve">Fire Safety Equipment</t>
  </si>
  <si>
    <t xml:space="preserve">P0874</t>
  </si>
  <si>
    <t xml:space="preserve">Display Board</t>
  </si>
  <si>
    <t xml:space="preserve">P0780</t>
  </si>
  <si>
    <t xml:space="preserve">Black Board/White Board</t>
  </si>
  <si>
    <t xml:space="preserve">Company Quality Standards Handbook</t>
  </si>
  <si>
    <t xml:space="preserve">P0687</t>
  </si>
  <si>
    <t xml:space="preserve">Students Manual/notes</t>
  </si>
  <si>
    <t xml:space="preserve">P1443</t>
  </si>
  <si>
    <t xml:space="preserve">Swatch File, Buyer Requirement</t>
  </si>
  <si>
    <t xml:space="preserve">P1450</t>
  </si>
  <si>
    <t xml:space="preserve">BOM &amp; documents required in store</t>
  </si>
  <si>
    <t xml:space="preserve">P0617</t>
  </si>
  <si>
    <t xml:space="preserve">Size Chart</t>
  </si>
  <si>
    <t xml:space="preserve">P1389</t>
  </si>
  <si>
    <t xml:space="preserve">Accessories &amp; Trims file</t>
  </si>
  <si>
    <t xml:space="preserve">P0528</t>
  </si>
  <si>
    <t xml:space="preserve">file</t>
  </si>
  <si>
    <t xml:space="preserve">Basic Stationary Items</t>
  </si>
  <si>
    <t xml:space="preserve">P0023</t>
  </si>
  <si>
    <t xml:space="preserve">Defected fabric, trims, accessories</t>
  </si>
  <si>
    <t xml:space="preserve">P0119</t>
  </si>
  <si>
    <t xml:space="preserve">Comment Sheet</t>
  </si>
  <si>
    <t xml:space="preserve">P0095</t>
  </si>
  <si>
    <t xml:space="preserve">Measurement Sheet, spec sheet other, size chart</t>
  </si>
  <si>
    <t xml:space="preserve">P0275</t>
  </si>
  <si>
    <t xml:space="preserve">Invoices, purchase order</t>
  </si>
  <si>
    <t xml:space="preserve">P0231</t>
  </si>
  <si>
    <t xml:space="preserve">Packaging materials related to fabric packaging</t>
  </si>
  <si>
    <t xml:space="preserve">P0317</t>
  </si>
  <si>
    <t xml:space="preserve">Fabrics</t>
  </si>
  <si>
    <t xml:space="preserve">P0162</t>
  </si>
  <si>
    <t xml:space="preserve">Boxes/baskets For Storage</t>
  </si>
  <si>
    <t xml:space="preserve">P0622</t>
  </si>
  <si>
    <t xml:space="preserve">Electric Vehicle Training Kit</t>
  </si>
  <si>
    <t xml:space="preserve">P2009</t>
  </si>
  <si>
    <t xml:space="preserve">Transmission / Gearbox Demonstration Kit</t>
  </si>
  <si>
    <t xml:space="preserve">P3061</t>
  </si>
  <si>
    <t xml:space="preserve">TATA ACE – Chassis with Axle and wheels</t>
  </si>
  <si>
    <t xml:space="preserve">P2996</t>
  </si>
  <si>
    <t xml:space="preserve">Automotive Cooling System</t>
  </si>
  <si>
    <t xml:space="preserve">P1657</t>
  </si>
  <si>
    <t xml:space="preserve">Fuel supply System &amp; Urea Handling (Diesel)</t>
  </si>
  <si>
    <t xml:space="preserve">P2115</t>
  </si>
  <si>
    <t xml:space="preserve">Suspension Steering Wheel and Tyre Systems</t>
  </si>
  <si>
    <t xml:space="preserve">P2971</t>
  </si>
  <si>
    <t xml:space="preserve">Brakes &amp; Controls</t>
  </si>
  <si>
    <t xml:space="preserve">P1743</t>
  </si>
  <si>
    <t xml:space="preserve">HVAC Demonstration Kit</t>
  </si>
  <si>
    <t xml:space="preserve">P2263</t>
  </si>
  <si>
    <t xml:space="preserve">Electronic Ignition System of An Automobile 4-Wheeler</t>
  </si>
  <si>
    <t xml:space="preserve">P2017</t>
  </si>
  <si>
    <t xml:space="preserve">Instruction Kit for Charging and Starting System</t>
  </si>
  <si>
    <t xml:space="preserve">P2288</t>
  </si>
  <si>
    <t xml:space="preserve">Lighting and Wiring System (two-wheeler)</t>
  </si>
  <si>
    <t xml:space="preserve">P2357</t>
  </si>
  <si>
    <t xml:space="preserve">Dashboard with indicators</t>
  </si>
  <si>
    <t xml:space="preserve">P1899</t>
  </si>
  <si>
    <t xml:space="preserve">Washer and wiper demonstration kit</t>
  </si>
  <si>
    <t xml:space="preserve">P3119</t>
  </si>
  <si>
    <t xml:space="preserve">Oil Pressure Gauges</t>
  </si>
  <si>
    <t xml:space="preserve">Tire Pressure Gauges</t>
  </si>
  <si>
    <t xml:space="preserve">Car lift -4Ton</t>
  </si>
  <si>
    <t xml:space="preserve">P1787</t>
  </si>
  <si>
    <t xml:space="preserve">Computer System</t>
  </si>
  <si>
    <t xml:space="preserve">Computer system with UPS</t>
  </si>
  <si>
    <t xml:space="preserve">P0706</t>
  </si>
  <si>
    <t xml:space="preserve">Auto CAD Software</t>
  </si>
  <si>
    <t xml:space="preserve">P0564</t>
  </si>
  <si>
    <t xml:space="preserve">Working model of EV Vehicle</t>
  </si>
  <si>
    <t xml:space="preserve">P1570</t>
  </si>
  <si>
    <t xml:space="preserve">Demonstration Board of Working Model MPFI System with Motorized Control</t>
  </si>
  <si>
    <t xml:space="preserve">P0742</t>
  </si>
  <si>
    <t xml:space="preserve">Four-wheeler Electric vehicle model</t>
  </si>
  <si>
    <t xml:space="preserve">Old second-hand cut section leads to acid battery</t>
  </si>
  <si>
    <t xml:space="preserve">P1144</t>
  </si>
  <si>
    <t xml:space="preserve">Old second-hand pressure cap</t>
  </si>
  <si>
    <t xml:space="preserve">Old second-hand thermostat</t>
  </si>
  <si>
    <t xml:space="preserve">Old second-hand disc brake</t>
  </si>
  <si>
    <t xml:space="preserve">Four wheelers old second-hand Electric vehicle</t>
  </si>
  <si>
    <t xml:space="preserve">Old second hand Electric two-wheeler</t>
  </si>
  <si>
    <t xml:space="preserve">P1139</t>
  </si>
  <si>
    <t xml:space="preserve">Cut a section of 2-stroke/ 4-Stroke Engine</t>
  </si>
  <si>
    <t xml:space="preserve">P0734</t>
  </si>
  <si>
    <t xml:space="preserve">Different types of sheet metal brackets</t>
  </si>
  <si>
    <t xml:space="preserve">P0767</t>
  </si>
  <si>
    <t xml:space="preserve">Clutch puller</t>
  </si>
  <si>
    <t xml:space="preserve">P1834</t>
  </si>
  <si>
    <t xml:space="preserve">Stud extractor</t>
  </si>
  <si>
    <t xml:space="preserve">P2961</t>
  </si>
  <si>
    <t xml:space="preserve">drain pan</t>
  </si>
  <si>
    <t xml:space="preserve">oil can</t>
  </si>
  <si>
    <t xml:space="preserve">bench vice</t>
  </si>
  <si>
    <t xml:space="preserve">special maintenance tools</t>
  </si>
  <si>
    <t xml:space="preserve">P2901</t>
  </si>
  <si>
    <t xml:space="preserve">Ball joint separators</t>
  </si>
  <si>
    <t xml:space="preserve">P1667</t>
  </si>
  <si>
    <t xml:space="preserve">bearing pullers</t>
  </si>
  <si>
    <t xml:space="preserve">P1699</t>
  </si>
  <si>
    <t xml:space="preserve">gear puller tools</t>
  </si>
  <si>
    <t xml:space="preserve">P2133</t>
  </si>
  <si>
    <t xml:space="preserve">slide hammers</t>
  </si>
  <si>
    <t xml:space="preserve">P2836</t>
  </si>
  <si>
    <t xml:space="preserve">alignment wrenches</t>
  </si>
  <si>
    <t xml:space="preserve">chain wrenches</t>
  </si>
  <si>
    <t xml:space="preserve">locking wrenches</t>
  </si>
  <si>
    <t xml:space="preserve">lug wrenches</t>
  </si>
  <si>
    <t xml:space="preserve">carbon scrapers</t>
  </si>
  <si>
    <t xml:space="preserve">gasket scrapers</t>
  </si>
  <si>
    <t xml:space="preserve">scrapers</t>
  </si>
  <si>
    <t xml:space="preserve">spoons</t>
  </si>
  <si>
    <t xml:space="preserve">hand tools</t>
  </si>
  <si>
    <t xml:space="preserve">power tools</t>
  </si>
  <si>
    <t xml:space="preserve">CO Machine /Emission check machine</t>
  </si>
  <si>
    <t xml:space="preserve">P1838</t>
  </si>
  <si>
    <t xml:space="preserve">Arbour press</t>
  </si>
  <si>
    <t xml:space="preserve">P1638</t>
  </si>
  <si>
    <t xml:space="preserve">jack hydraulic</t>
  </si>
  <si>
    <t xml:space="preserve">ramp</t>
  </si>
  <si>
    <t xml:space="preserve">pneumatic tool</t>
  </si>
  <si>
    <t xml:space="preserve">fuel pressure testers</t>
  </si>
  <si>
    <t xml:space="preserve">P2114</t>
  </si>
  <si>
    <t xml:space="preserve">manifold gauge sets</t>
  </si>
  <si>
    <t xml:space="preserve">P2393</t>
  </si>
  <si>
    <t xml:space="preserve">oil pressure gauges</t>
  </si>
  <si>
    <t xml:space="preserve">tire pressure gauges</t>
  </si>
  <si>
    <t xml:space="preserve">calipers</t>
  </si>
  <si>
    <t xml:space="preserve">micrometer</t>
  </si>
  <si>
    <t xml:space="preserve">feeler gauges</t>
  </si>
  <si>
    <t xml:space="preserve">multi-metre</t>
  </si>
  <si>
    <t xml:space="preserve">flow meter</t>
  </si>
  <si>
    <t xml:space="preserve">temp gauge</t>
  </si>
  <si>
    <t xml:space="preserve">dial gauge</t>
  </si>
  <si>
    <t xml:space="preserve">lifting and jacking equipment</t>
  </si>
  <si>
    <t xml:space="preserve">tensioning equipment</t>
  </si>
  <si>
    <t xml:space="preserve">brake roller tester</t>
  </si>
  <si>
    <t xml:space="preserve">suspension activation</t>
  </si>
  <si>
    <t xml:space="preserve">security activator</t>
  </si>
  <si>
    <t xml:space="preserve">Fork Lift</t>
  </si>
  <si>
    <t xml:space="preserve">P2097</t>
  </si>
  <si>
    <t xml:space="preserve">air compressor</t>
  </si>
  <si>
    <t xml:space="preserve">P1606</t>
  </si>
  <si>
    <t xml:space="preserve">chassis dynamometer</t>
  </si>
  <si>
    <t xml:space="preserve">Internet connection</t>
  </si>
  <si>
    <t xml:space="preserve">P1005</t>
  </si>
  <si>
    <t xml:space="preserve">bins/ racks</t>
  </si>
  <si>
    <t xml:space="preserve">P0602</t>
  </si>
  <si>
    <t xml:space="preserve">trolley</t>
  </si>
  <si>
    <t xml:space="preserve">equipment stands</t>
  </si>
  <si>
    <t xml:space="preserve">goggles</t>
  </si>
  <si>
    <t xml:space="preserve">ear plugs</t>
  </si>
  <si>
    <t xml:space="preserve">boiler suit</t>
  </si>
  <si>
    <t xml:space="preserve">Engines and fuel system</t>
  </si>
  <si>
    <t xml:space="preserve">P0835</t>
  </si>
  <si>
    <t xml:space="preserve">Cooling system</t>
  </si>
  <si>
    <t xml:space="preserve">P0721</t>
  </si>
  <si>
    <t xml:space="preserve">Emission and exhaust system</t>
  </si>
  <si>
    <t xml:space="preserve">P0832</t>
  </si>
  <si>
    <t xml:space="preserve">Clutch assembly</t>
  </si>
  <si>
    <t xml:space="preserve">P0674</t>
  </si>
  <si>
    <t xml:space="preserve">Transmission /Transaxle</t>
  </si>
  <si>
    <t xml:space="preserve">P1499</t>
  </si>
  <si>
    <t xml:space="preserve">Disc &amp; drum brakes system</t>
  </si>
  <si>
    <t xml:space="preserve">P0779</t>
  </si>
  <si>
    <t xml:space="preserve">Suspension system</t>
  </si>
  <si>
    <t xml:space="preserve">P1448</t>
  </si>
  <si>
    <t xml:space="preserve">Tyres and wheel alignment</t>
  </si>
  <si>
    <t xml:space="preserve">P1512</t>
  </si>
  <si>
    <t xml:space="preserve">Electrical, ignition, electronic and air-conditioning system</t>
  </si>
  <si>
    <t xml:space="preserve">P0822</t>
  </si>
  <si>
    <t xml:space="preserve">seal</t>
  </si>
  <si>
    <t xml:space="preserve">gaskets</t>
  </si>
  <si>
    <t xml:space="preserve">clutch plate</t>
  </si>
  <si>
    <t xml:space="preserve">brake shoes</t>
  </si>
  <si>
    <t xml:space="preserve">brake pads</t>
  </si>
  <si>
    <t xml:space="preserve">spark plug</t>
  </si>
  <si>
    <t xml:space="preserve">P1409</t>
  </si>
  <si>
    <t xml:space="preserve">oil filter</t>
  </si>
  <si>
    <t xml:space="preserve">air cleaner</t>
  </si>
  <si>
    <t xml:space="preserve">Vehicle service manuals, vehicle hand book, work order/job card, Technical reference books</t>
  </si>
  <si>
    <t xml:space="preserve">P1527</t>
  </si>
  <si>
    <t xml:space="preserve">cotton waste</t>
  </si>
  <si>
    <t xml:space="preserve">petrol/diesel</t>
  </si>
  <si>
    <t xml:space="preserve">lubricant</t>
  </si>
  <si>
    <t xml:space="preserve">grease</t>
  </si>
  <si>
    <t xml:space="preserve">storage containers</t>
  </si>
  <si>
    <t xml:space="preserve">air filters</t>
  </si>
  <si>
    <t xml:space="preserve">oil filters</t>
  </si>
  <si>
    <t xml:space="preserve">spark plugs</t>
  </si>
  <si>
    <t xml:space="preserve">glow plugs</t>
  </si>
  <si>
    <t xml:space="preserve">oil seals</t>
  </si>
  <si>
    <t xml:space="preserve">P0309</t>
  </si>
  <si>
    <t xml:space="preserve">sealants</t>
  </si>
  <si>
    <t xml:space="preserve">P0405</t>
  </si>
  <si>
    <t xml:space="preserve">fittings</t>
  </si>
  <si>
    <t xml:space="preserve">P0177</t>
  </si>
  <si>
    <t xml:space="preserve">fasteners</t>
  </si>
  <si>
    <t xml:space="preserve">P0164</t>
  </si>
  <si>
    <t xml:space="preserve">Serviceable training Vehicle</t>
  </si>
  <si>
    <t xml:space="preserve">P1370</t>
  </si>
  <si>
    <t xml:space="preserve">Soldering Kit with Accessories</t>
  </si>
  <si>
    <t xml:space="preserve">P2883</t>
  </si>
  <si>
    <t xml:space="preserve">Tool Kit</t>
  </si>
  <si>
    <t xml:space="preserve">Arduino Boards (UNO/Nano)</t>
  </si>
  <si>
    <t xml:space="preserve">P1642</t>
  </si>
  <si>
    <t xml:space="preserve">Basic Sensors</t>
  </si>
  <si>
    <t xml:space="preserve">P1685</t>
  </si>
  <si>
    <t xml:space="preserve">Small DC Motors and Servo Motors</t>
  </si>
  <si>
    <t xml:space="preserve">P2839</t>
  </si>
  <si>
    <t xml:space="preserve">Power Supply Adapters (5V/12V DC)</t>
  </si>
  <si>
    <t xml:space="preserve">P2646</t>
  </si>
  <si>
    <t xml:space="preserve">Relays and Switch Modules</t>
  </si>
  <si>
    <t xml:space="preserve">P2707</t>
  </si>
  <si>
    <t xml:space="preserve">Wi-Fi Module (ESP8266/ESP32)</t>
  </si>
  <si>
    <t xml:space="preserve">P3163</t>
  </si>
  <si>
    <t xml:space="preserve">Laptops/PCs</t>
  </si>
  <si>
    <t xml:space="preserve">P1037</t>
  </si>
  <si>
    <t xml:space="preserve">Arduino IDE &amp; Free IoT Platforms (like ThingSpeak)</t>
  </si>
  <si>
    <t xml:space="preserve">P0554</t>
  </si>
  <si>
    <t xml:space="preserve">Safety Kit</t>
  </si>
  <si>
    <t xml:space="preserve">P1306</t>
  </si>
  <si>
    <t xml:space="preserve">Mini Project Kits</t>
  </si>
  <si>
    <t xml:space="preserve">P1093</t>
  </si>
  <si>
    <t xml:space="preserve">Breadboards and Jumper Wires</t>
  </si>
  <si>
    <t xml:space="preserve">P0043</t>
  </si>
  <si>
    <t xml:space="preserve">LED, Resistors, Capacitors (Basic Electronic Components kits)</t>
  </si>
  <si>
    <t xml:space="preserve">P0245</t>
  </si>
  <si>
    <t xml:space="preserve">Double End Ring Spanner</t>
  </si>
  <si>
    <t xml:space="preserve">Oil measure container</t>
  </si>
  <si>
    <t xml:space="preserve">P2520</t>
  </si>
  <si>
    <t xml:space="preserve">Funnel</t>
  </si>
  <si>
    <t xml:space="preserve">P2117</t>
  </si>
  <si>
    <t xml:space="preserve">Basic Tool Box</t>
  </si>
  <si>
    <t xml:space="preserve">P1686</t>
  </si>
  <si>
    <t xml:space="preserve">CBTs on working on Computer system</t>
  </si>
  <si>
    <t xml:space="preserve">P0640</t>
  </si>
  <si>
    <t xml:space="preserve">Spark plug</t>
  </si>
  <si>
    <t xml:space="preserve">Four-wheeler old second-hand Vehicle</t>
  </si>
  <si>
    <t xml:space="preserve">P0907</t>
  </si>
  <si>
    <t xml:space="preserve">Paper Shredders</t>
  </si>
  <si>
    <t xml:space="preserve">P2562</t>
  </si>
  <si>
    <t xml:space="preserve">Desktop Computers / Laptops</t>
  </si>
  <si>
    <t xml:space="preserve">P0756</t>
  </si>
  <si>
    <t xml:space="preserve">Printers and Scanners</t>
  </si>
  <si>
    <t xml:space="preserve">P1231</t>
  </si>
  <si>
    <t xml:space="preserve">External Storage Devices</t>
  </si>
  <si>
    <t xml:space="preserve">P0850</t>
  </si>
  <si>
    <t xml:space="preserve">Uninterruptible Power Supply (UPS)</t>
  </si>
  <si>
    <t xml:space="preserve">P1514</t>
  </si>
  <si>
    <t xml:space="preserve">Document Management Systems</t>
  </si>
  <si>
    <t xml:space="preserve">P0786</t>
  </si>
  <si>
    <t xml:space="preserve">Accounting Software</t>
  </si>
  <si>
    <t xml:space="preserve">P0529</t>
  </si>
  <si>
    <t xml:space="preserve">Data Analysis and Reporting Tools</t>
  </si>
  <si>
    <t xml:space="preserve">P0739</t>
  </si>
  <si>
    <t xml:space="preserve">Compliance and Risk Management Tools</t>
  </si>
  <si>
    <t xml:space="preserve">P0689</t>
  </si>
  <si>
    <t xml:space="preserve">Email Systems</t>
  </si>
  <si>
    <t xml:space="preserve">P0826</t>
  </si>
  <si>
    <t xml:space="preserve">Internal Communication Platforms</t>
  </si>
  <si>
    <t xml:space="preserve">P1002</t>
  </si>
  <si>
    <t xml:space="preserve">Online Learning Platforms</t>
  </si>
  <si>
    <t xml:space="preserve">P1146</t>
  </si>
  <si>
    <t xml:space="preserve">Simulated Environments for Practice</t>
  </si>
  <si>
    <t xml:space="preserve">P1385</t>
  </si>
  <si>
    <t xml:space="preserve">Helpdesk Software</t>
  </si>
  <si>
    <t xml:space="preserve">P0959</t>
  </si>
  <si>
    <t xml:space="preserve">Chatbots and Virtual Assistants</t>
  </si>
  <si>
    <t xml:space="preserve">P0665</t>
  </si>
  <si>
    <t xml:space="preserve">Knowledge Management Systems</t>
  </si>
  <si>
    <t xml:space="preserve">P1022</t>
  </si>
  <si>
    <t xml:space="preserve">Filing Cabinets</t>
  </si>
  <si>
    <t xml:space="preserve">P0864</t>
  </si>
  <si>
    <t xml:space="preserve">Training Manuals and Documentation</t>
  </si>
  <si>
    <t xml:space="preserve">P1496</t>
  </si>
  <si>
    <t xml:space="preserve">Forms and Templates</t>
  </si>
  <si>
    <t xml:space="preserve">P0902</t>
  </si>
  <si>
    <t xml:space="preserve">Reports and Dashboards</t>
  </si>
  <si>
    <t xml:space="preserve">P1278</t>
  </si>
  <si>
    <t xml:space="preserve">Stationery</t>
  </si>
  <si>
    <t xml:space="preserve">P0442</t>
  </si>
  <si>
    <t xml:space="preserve">Binders and Folders</t>
  </si>
  <si>
    <t xml:space="preserve">P0035</t>
  </si>
  <si>
    <t xml:space="preserve">Financial Calculators</t>
  </si>
  <si>
    <t xml:space="preserve">P2070</t>
  </si>
  <si>
    <t xml:space="preserve">Computer Workstations</t>
  </si>
  <si>
    <t xml:space="preserve">P0712</t>
  </si>
  <si>
    <t xml:space="preserve">Projector and Screen</t>
  </si>
  <si>
    <t xml:space="preserve">P1241</t>
  </si>
  <si>
    <t xml:space="preserve">Point of Sale (POS) Systems</t>
  </si>
  <si>
    <t xml:space="preserve">P1200</t>
  </si>
  <si>
    <t xml:space="preserve">Client Management Systems (CMS)</t>
  </si>
  <si>
    <t xml:space="preserve">P0670</t>
  </si>
  <si>
    <t xml:space="preserve">Insurance Policy Management Software</t>
  </si>
  <si>
    <t xml:space="preserve">P0998</t>
  </si>
  <si>
    <t xml:space="preserve">Customer Feedback Systems</t>
  </si>
  <si>
    <t xml:space="preserve">P0733</t>
  </si>
  <si>
    <t xml:space="preserve">Role-Play Kits</t>
  </si>
  <si>
    <t xml:space="preserve">P1284</t>
  </si>
  <si>
    <t xml:space="preserve">Bancassurance Product Brochures</t>
  </si>
  <si>
    <t xml:space="preserve">P0577</t>
  </si>
  <si>
    <t xml:space="preserve">Presentation Slides</t>
  </si>
  <si>
    <t xml:space="preserve">P1222</t>
  </si>
  <si>
    <t xml:space="preserve">Handouts and Manuals</t>
  </si>
  <si>
    <t xml:space="preserve">P0951</t>
  </si>
  <si>
    <t xml:space="preserve">Interactive Learning Modules</t>
  </si>
  <si>
    <t xml:space="preserve">P1000</t>
  </si>
  <si>
    <t xml:space="preserve">Case Study Materials</t>
  </si>
  <si>
    <t xml:space="preserve">P0636</t>
  </si>
  <si>
    <t xml:space="preserve">Assessment Tools</t>
  </si>
  <si>
    <t xml:space="preserve">P0558</t>
  </si>
  <si>
    <t xml:space="preserve">Market Research Tools</t>
  </si>
  <si>
    <t xml:space="preserve">P1084</t>
  </si>
  <si>
    <t xml:space="preserve">External Storage Devices (External Hard Drives, USB Flash Drives)</t>
  </si>
  <si>
    <t xml:space="preserve">P0851</t>
  </si>
  <si>
    <t xml:space="preserve">Laptop with Charger</t>
  </si>
  <si>
    <t xml:space="preserve">P1032</t>
  </si>
  <si>
    <t xml:space="preserve">Laptop External Speakers</t>
  </si>
  <si>
    <t xml:space="preserve">P1030</t>
  </si>
  <si>
    <t xml:space="preserve">Document Management Systems (e.g., M-Files, DocuSign)</t>
  </si>
  <si>
    <t xml:space="preserve">P0787</t>
  </si>
  <si>
    <t xml:space="preserve">Data Analysis and Reporting Tools (e.g., Excel)</t>
  </si>
  <si>
    <t xml:space="preserve">P0740</t>
  </si>
  <si>
    <t xml:space="preserve">Email Systems (e.g., Microsoft Outlook, Google Workspace)</t>
  </si>
  <si>
    <t xml:space="preserve">P0827</t>
  </si>
  <si>
    <t xml:space="preserve">Internal Communication Platforms (e.g., Microsoft Teams)</t>
  </si>
  <si>
    <t xml:space="preserve">P1003</t>
  </si>
  <si>
    <t xml:space="preserve">Online Learning Platforms (e.g., LinkedIn Learning, Coursera)</t>
  </si>
  <si>
    <t xml:space="preserve">P1147</t>
  </si>
  <si>
    <t xml:space="preserve">Helpdesk Software (e.g., Zendesk, Freshdesk)</t>
  </si>
  <si>
    <t xml:space="preserve">P0960</t>
  </si>
  <si>
    <t xml:space="preserve">Reports and Dashboards (financial, performance, compliance reports)</t>
  </si>
  <si>
    <t xml:space="preserve">P1279</t>
  </si>
  <si>
    <t xml:space="preserve">Flip Chart</t>
  </si>
  <si>
    <t xml:space="preserve">P0889</t>
  </si>
  <si>
    <t xml:space="preserve">Power Point Presentation</t>
  </si>
  <si>
    <t xml:space="preserve">P1215</t>
  </si>
  <si>
    <t xml:space="preserve">Stationery (pens, notebooks, paper clips)</t>
  </si>
  <si>
    <t xml:space="preserve">P0443</t>
  </si>
  <si>
    <t xml:space="preserve">Forms and Templates (loan, insurance, account opening forms)</t>
  </si>
  <si>
    <t xml:space="preserve">P0187</t>
  </si>
  <si>
    <t xml:space="preserve">Hair Dresses Chair/ Stool</t>
  </si>
  <si>
    <t xml:space="preserve">Section Clips</t>
  </si>
  <si>
    <t xml:space="preserve">P2782</t>
  </si>
  <si>
    <t xml:space="preserve">Bowl and colour Brush</t>
  </si>
  <si>
    <t xml:space="preserve">P1735</t>
  </si>
  <si>
    <t xml:space="preserve">Round Brushes</t>
  </si>
  <si>
    <t xml:space="preserve">P2728</t>
  </si>
  <si>
    <t xml:space="preserve">Pins curl clips</t>
  </si>
  <si>
    <t xml:space="preserve">P2602</t>
  </si>
  <si>
    <t xml:space="preserve">Perm curlers</t>
  </si>
  <si>
    <t xml:space="preserve">P2578</t>
  </si>
  <si>
    <t xml:space="preserve">Tail Comb, cutting comb</t>
  </si>
  <si>
    <t xml:space="preserve">P2987</t>
  </si>
  <si>
    <t xml:space="preserve">Thinning Scissors, cutting scissor</t>
  </si>
  <si>
    <t xml:space="preserve">P3027</t>
  </si>
  <si>
    <t xml:space="preserve">High frequency</t>
  </si>
  <si>
    <t xml:space="preserve">P2239</t>
  </si>
  <si>
    <t xml:space="preserve">Blow dryer</t>
  </si>
  <si>
    <t xml:space="preserve">P1719</t>
  </si>
  <si>
    <t xml:space="preserve">Apron self and client</t>
  </si>
  <si>
    <t xml:space="preserve">P0550</t>
  </si>
  <si>
    <t xml:space="preserve">Towels</t>
  </si>
  <si>
    <t xml:space="preserve">P0478</t>
  </si>
  <si>
    <t xml:space="preserve">Yoga Mats</t>
  </si>
  <si>
    <t xml:space="preserve">P3188</t>
  </si>
  <si>
    <t xml:space="preserve">Straps</t>
  </si>
  <si>
    <t xml:space="preserve">P2956</t>
  </si>
  <si>
    <t xml:space="preserve">Blankets</t>
  </si>
  <si>
    <t xml:space="preserve">P1712</t>
  </si>
  <si>
    <t xml:space="preserve">Blocks</t>
  </si>
  <si>
    <t xml:space="preserve">P1716</t>
  </si>
  <si>
    <t xml:space="preserve">Bolsters</t>
  </si>
  <si>
    <t xml:space="preserve">P1728</t>
  </si>
  <si>
    <t xml:space="preserve">Meditation cushions</t>
  </si>
  <si>
    <t xml:space="preserve">P2431</t>
  </si>
  <si>
    <t xml:space="preserve">Eye pillows (tissues or washable cloth to cover them)</t>
  </si>
  <si>
    <t xml:space="preserve">P2053</t>
  </si>
  <si>
    <t xml:space="preserve">Yoga Mat</t>
  </si>
  <si>
    <t xml:space="preserve">P3187</t>
  </si>
  <si>
    <t xml:space="preserve">Neti Pot</t>
  </si>
  <si>
    <t xml:space="preserve">P2507</t>
  </si>
  <si>
    <t xml:space="preserve">Temperature control, fans, portable heaters if needed</t>
  </si>
  <si>
    <t xml:space="preserve">P3009</t>
  </si>
  <si>
    <t xml:space="preserve">Lighting system that allows for dimming</t>
  </si>
  <si>
    <t xml:space="preserve">P2359</t>
  </si>
  <si>
    <t xml:space="preserve">Effective sound system</t>
  </si>
  <si>
    <t xml:space="preserve">P1999</t>
  </si>
  <si>
    <t xml:space="preserve">Projector/ Display Screen</t>
  </si>
  <si>
    <t xml:space="preserve">P1244</t>
  </si>
  <si>
    <t xml:space="preserve">Mat cleaning wipes</t>
  </si>
  <si>
    <t xml:space="preserve">P0273</t>
  </si>
  <si>
    <t xml:space="preserve">Tissue papers</t>
  </si>
  <si>
    <t xml:space="preserve">P0474</t>
  </si>
  <si>
    <t xml:space="preserve">Candles/ Lamp</t>
  </si>
  <si>
    <t xml:space="preserve">P0055</t>
  </si>
  <si>
    <t xml:space="preserve">Mild soothing fragrance</t>
  </si>
  <si>
    <t xml:space="preserve">P0280</t>
  </si>
  <si>
    <t xml:space="preserve">Hand Sanitizer</t>
  </si>
  <si>
    <t xml:space="preserve">P0213</t>
  </si>
  <si>
    <t xml:space="preserve">Comfortable clothing</t>
  </si>
  <si>
    <t xml:space="preserve">P0684</t>
  </si>
  <si>
    <t xml:space="preserve">Small Towel</t>
  </si>
  <si>
    <t xml:space="preserve">P1393</t>
  </si>
  <si>
    <t xml:space="preserve">Water Bottle</t>
  </si>
  <si>
    <t xml:space="preserve">P1546</t>
  </si>
  <si>
    <t xml:space="preserve">Pencil sharpener</t>
  </si>
  <si>
    <t xml:space="preserve">P2577</t>
  </si>
  <si>
    <t xml:space="preserve">Triangular scales</t>
  </si>
  <si>
    <t xml:space="preserve">P3067</t>
  </si>
  <si>
    <t xml:space="preserve">Erasing shield</t>
  </si>
  <si>
    <t xml:space="preserve">P2042</t>
  </si>
  <si>
    <t xml:space="preserve">T-square</t>
  </si>
  <si>
    <t xml:space="preserve">P2980</t>
  </si>
  <si>
    <t xml:space="preserve">Triangles (30°-60° and 45°)</t>
  </si>
  <si>
    <t xml:space="preserve">P3066</t>
  </si>
  <si>
    <t xml:space="preserve">Divider</t>
  </si>
  <si>
    <t xml:space="preserve">P1949</t>
  </si>
  <si>
    <t xml:space="preserve">Protractor</t>
  </si>
  <si>
    <t xml:space="preserve">P2662</t>
  </si>
  <si>
    <t xml:space="preserve">Templates</t>
  </si>
  <si>
    <t xml:space="preserve">P3012</t>
  </si>
  <si>
    <t xml:space="preserve">Portable drafting board</t>
  </si>
  <si>
    <t xml:space="preserve">P2636</t>
  </si>
  <si>
    <t xml:space="preserve">French curve</t>
  </si>
  <si>
    <t xml:space="preserve">P2103</t>
  </si>
  <si>
    <t xml:space="preserve">Ruling pen</t>
  </si>
  <si>
    <t xml:space="preserve">P2737</t>
  </si>
  <si>
    <t xml:space="preserve">Speedball pens</t>
  </si>
  <si>
    <t xml:space="preserve">P2904</t>
  </si>
  <si>
    <t xml:space="preserve">Drafting machine</t>
  </si>
  <si>
    <t xml:space="preserve">P1965</t>
  </si>
  <si>
    <t xml:space="preserve">Blueprint machine</t>
  </si>
  <si>
    <t xml:space="preserve">P1720</t>
  </si>
  <si>
    <t xml:space="preserve">AutoCAD</t>
  </si>
  <si>
    <t xml:space="preserve">P0565</t>
  </si>
  <si>
    <t xml:space="preserve">SolidWork</t>
  </si>
  <si>
    <t xml:space="preserve">P1407</t>
  </si>
  <si>
    <t xml:space="preserve">Tinkercad</t>
  </si>
  <si>
    <t xml:space="preserve">P1478</t>
  </si>
  <si>
    <t xml:space="preserve">Drafting table</t>
  </si>
  <si>
    <t xml:space="preserve">P0796</t>
  </si>
  <si>
    <t xml:space="preserve">Drafting stool</t>
  </si>
  <si>
    <t xml:space="preserve">P0795</t>
  </si>
  <si>
    <t xml:space="preserve">Drawing paper</t>
  </si>
  <si>
    <t xml:space="preserve">P0133</t>
  </si>
  <si>
    <t xml:space="preserve">Drawing pencils</t>
  </si>
  <si>
    <t xml:space="preserve">P0135</t>
  </si>
  <si>
    <t xml:space="preserve">Drawing ink</t>
  </si>
  <si>
    <t xml:space="preserve">P0132</t>
  </si>
  <si>
    <t xml:space="preserve">Watercolor</t>
  </si>
  <si>
    <t xml:space="preserve">P0505</t>
  </si>
  <si>
    <t xml:space="preserve">Drafting tape</t>
  </si>
  <si>
    <t xml:space="preserve">P0131</t>
  </si>
  <si>
    <t xml:space="preserve">Double ended flat spanner</t>
  </si>
  <si>
    <t xml:space="preserve">P1953</t>
  </si>
  <si>
    <t xml:space="preserve">Double ended ring spanner</t>
  </si>
  <si>
    <t xml:space="preserve">P1954</t>
  </si>
  <si>
    <t xml:space="preserve">Combination pliers</t>
  </si>
  <si>
    <t xml:space="preserve">P1845</t>
  </si>
  <si>
    <t xml:space="preserve">Side cutting pliers</t>
  </si>
  <si>
    <t xml:space="preserve">P2825</t>
  </si>
  <si>
    <t xml:space="preserve">Hack saw frame with blade</t>
  </si>
  <si>
    <t xml:space="preserve">Hand crimping tools</t>
  </si>
  <si>
    <t xml:space="preserve">P2189</t>
  </si>
  <si>
    <t xml:space="preserve">Water level</t>
  </si>
  <si>
    <t xml:space="preserve">P3132</t>
  </si>
  <si>
    <t xml:space="preserve">Vanier calliper</t>
  </si>
  <si>
    <t xml:space="preserve">P3100</t>
  </si>
  <si>
    <t xml:space="preserve">Sprit level</t>
  </si>
  <si>
    <t xml:space="preserve">P2921</t>
  </si>
  <si>
    <t xml:space="preserve">Flat file</t>
  </si>
  <si>
    <t xml:space="preserve">P2080</t>
  </si>
  <si>
    <t xml:space="preserve">Round file</t>
  </si>
  <si>
    <t xml:space="preserve">P2730</t>
  </si>
  <si>
    <t xml:space="preserve">Triangle file</t>
  </si>
  <si>
    <t xml:space="preserve">P3065</t>
  </si>
  <si>
    <t xml:space="preserve">Hand saw</t>
  </si>
  <si>
    <t xml:space="preserve">P2210</t>
  </si>
  <si>
    <t xml:space="preserve">hammer</t>
  </si>
  <si>
    <t xml:space="preserve">Sequence Meter</t>
  </si>
  <si>
    <t xml:space="preserve">P2796</t>
  </si>
  <si>
    <t xml:space="preserve">Megger</t>
  </si>
  <si>
    <t xml:space="preserve">P2433</t>
  </si>
  <si>
    <t xml:space="preserve">Pyranometer</t>
  </si>
  <si>
    <t xml:space="preserve">P2680</t>
  </si>
  <si>
    <t xml:space="preserve">Infrared Thermometer</t>
  </si>
  <si>
    <t xml:space="preserve">P2287</t>
  </si>
  <si>
    <t xml:space="preserve">Computer/laptops</t>
  </si>
  <si>
    <t xml:space="preserve">P0714</t>
  </si>
  <si>
    <t xml:space="preserve">Internet connectivity</t>
  </si>
  <si>
    <t xml:space="preserve">P1007</t>
  </si>
  <si>
    <t xml:space="preserve">PVC hand glove</t>
  </si>
  <si>
    <t xml:space="preserve">P1257</t>
  </si>
  <si>
    <t xml:space="preserve">Reflective jacket</t>
  </si>
  <si>
    <t xml:space="preserve">P1273</t>
  </si>
  <si>
    <t xml:space="preserve">Safety Gloves</t>
  </si>
  <si>
    <t xml:space="preserve">P1300</t>
  </si>
  <si>
    <t xml:space="preserve">Line Dori</t>
  </si>
  <si>
    <t xml:space="preserve">Earthing Rod</t>
  </si>
  <si>
    <t xml:space="preserve">Racking Needle</t>
  </si>
  <si>
    <t xml:space="preserve">P2683</t>
  </si>
  <si>
    <t xml:space="preserve">Measuring tape/ruler</t>
  </si>
  <si>
    <t xml:space="preserve">P2427</t>
  </si>
  <si>
    <t xml:space="preserve">Scale</t>
  </si>
  <si>
    <t xml:space="preserve">P2750</t>
  </si>
  <si>
    <t xml:space="preserve">Water Level Tube</t>
  </si>
  <si>
    <t xml:space="preserve">P3134</t>
  </si>
  <si>
    <t xml:space="preserve">Plumb Bob</t>
  </si>
  <si>
    <t xml:space="preserve">Rollers</t>
  </si>
  <si>
    <t xml:space="preserve">P2720</t>
  </si>
  <si>
    <t xml:space="preserve">Paint Bucket</t>
  </si>
  <si>
    <t xml:space="preserve">P2553</t>
  </si>
  <si>
    <t xml:space="preserve">Paint Stirrers</t>
  </si>
  <si>
    <t xml:space="preserve">P2554</t>
  </si>
  <si>
    <t xml:space="preserve">Scrappers</t>
  </si>
  <si>
    <t xml:space="preserve">P2762</t>
  </si>
  <si>
    <t xml:space="preserve">Putty Knife</t>
  </si>
  <si>
    <t xml:space="preserve">P2678</t>
  </si>
  <si>
    <t xml:space="preserve">Chisel Knife</t>
  </si>
  <si>
    <t xml:space="preserve">P1812</t>
  </si>
  <si>
    <t xml:space="preserve">Knotting Brush</t>
  </si>
  <si>
    <t xml:space="preserve">P2325</t>
  </si>
  <si>
    <t xml:space="preserve">Nail Punch</t>
  </si>
  <si>
    <t xml:space="preserve">P2499</t>
  </si>
  <si>
    <t xml:space="preserve">Dusting Brush</t>
  </si>
  <si>
    <t xml:space="preserve">P1989</t>
  </si>
  <si>
    <t xml:space="preserve">Wire Brushes</t>
  </si>
  <si>
    <t xml:space="preserve">P3167</t>
  </si>
  <si>
    <t xml:space="preserve">Filling Knife</t>
  </si>
  <si>
    <t xml:space="preserve">P2067</t>
  </si>
  <si>
    <t xml:space="preserve">Filling Board</t>
  </si>
  <si>
    <t xml:space="preserve">P2066</t>
  </si>
  <si>
    <t xml:space="preserve">Painting Edger</t>
  </si>
  <si>
    <t xml:space="preserve">P2555</t>
  </si>
  <si>
    <t xml:space="preserve">Sanders/Grinders</t>
  </si>
  <si>
    <t xml:space="preserve">P2746</t>
  </si>
  <si>
    <t xml:space="preserve">Projector/LED Monitor</t>
  </si>
  <si>
    <t xml:space="preserve">P1246</t>
  </si>
  <si>
    <t xml:space="preserve">Dust Masks</t>
  </si>
  <si>
    <t xml:space="preserve">P0809</t>
  </si>
  <si>
    <t xml:space="preserve">Hand gloves</t>
  </si>
  <si>
    <t xml:space="preserve">P0943</t>
  </si>
  <si>
    <t xml:space="preserve">Safety harness</t>
  </si>
  <si>
    <t xml:space="preserve">P1302</t>
  </si>
  <si>
    <t xml:space="preserve">Knee pad</t>
  </si>
  <si>
    <t xml:space="preserve">P1021</t>
  </si>
  <si>
    <t xml:space="preserve">Reflective jackets</t>
  </si>
  <si>
    <t xml:space="preserve">P1274</t>
  </si>
  <si>
    <t xml:space="preserve">Barricading/caution tape</t>
  </si>
  <si>
    <t xml:space="preserve">P0584</t>
  </si>
  <si>
    <t xml:space="preserve">Black/White board</t>
  </si>
  <si>
    <t xml:space="preserve">P0607</t>
  </si>
  <si>
    <t xml:space="preserve">e-Skill content</t>
  </si>
  <si>
    <t xml:space="preserve">P0816</t>
  </si>
  <si>
    <t xml:space="preserve">Trade specific charts</t>
  </si>
  <si>
    <t xml:space="preserve">P1488</t>
  </si>
  <si>
    <t xml:space="preserve">Safety tags</t>
  </si>
  <si>
    <t xml:space="preserve">P1315</t>
  </si>
  <si>
    <t xml:space="preserve">Safety Notice board</t>
  </si>
  <si>
    <t xml:space="preserve">P1308</t>
  </si>
  <si>
    <t xml:space="preserve">Registers and other teaching aids</t>
  </si>
  <si>
    <t xml:space="preserve">P1275</t>
  </si>
  <si>
    <t xml:space="preserve">Sponges</t>
  </si>
  <si>
    <t xml:space="preserve">P0436</t>
  </si>
  <si>
    <t xml:space="preserve">Tack Rags</t>
  </si>
  <si>
    <t xml:space="preserve">P0460</t>
  </si>
  <si>
    <t xml:space="preserve">Sand Paper</t>
  </si>
  <si>
    <t xml:space="preserve">P0398</t>
  </si>
  <si>
    <t xml:space="preserve">Masking Tape</t>
  </si>
  <si>
    <t xml:space="preserve">Chain and tape</t>
  </si>
  <si>
    <t xml:space="preserve">P1801</t>
  </si>
  <si>
    <t xml:space="preserve">Arrows</t>
  </si>
  <si>
    <t xml:space="preserve">P1644</t>
  </si>
  <si>
    <t xml:space="preserve">Ranging Rod</t>
  </si>
  <si>
    <t xml:space="preserve">Offset rod</t>
  </si>
  <si>
    <t xml:space="preserve">P2516</t>
  </si>
  <si>
    <t xml:space="preserve">Levelling staff</t>
  </si>
  <si>
    <t xml:space="preserve">P2352</t>
  </si>
  <si>
    <t xml:space="preserve">Prismatic and Surveyor compass</t>
  </si>
  <si>
    <t xml:space="preserve">P2658</t>
  </si>
  <si>
    <t xml:space="preserve">Tripod</t>
  </si>
  <si>
    <t xml:space="preserve">P3069</t>
  </si>
  <si>
    <t xml:space="preserve">Dumpy Level</t>
  </si>
  <si>
    <t xml:space="preserve">P1986</t>
  </si>
  <si>
    <t xml:space="preserve">Total station with prism and prism pole</t>
  </si>
  <si>
    <t xml:space="preserve">P3054</t>
  </si>
  <si>
    <t xml:space="preserve">AutoCAD software</t>
  </si>
  <si>
    <t xml:space="preserve">Measuring thread</t>
  </si>
  <si>
    <t xml:space="preserve">P0276</t>
  </si>
  <si>
    <t xml:space="preserve">Marking powder</t>
  </si>
  <si>
    <t xml:space="preserve">P0269</t>
  </si>
  <si>
    <t xml:space="preserve">Stakes/pins</t>
  </si>
  <si>
    <t xml:space="preserve">P0439</t>
  </si>
  <si>
    <t xml:space="preserve">Marking paint</t>
  </si>
  <si>
    <t xml:space="preserve">P0267</t>
  </si>
  <si>
    <t xml:space="preserve">Marking flag</t>
  </si>
  <si>
    <t xml:space="preserve">P0266</t>
  </si>
  <si>
    <t xml:space="preserve">Spray paint/ chalk</t>
  </si>
  <si>
    <t xml:space="preserve">P0437</t>
  </si>
  <si>
    <t xml:space="preserve">Batteries for total station</t>
  </si>
  <si>
    <t xml:space="preserve">P0026</t>
  </si>
  <si>
    <t xml:space="preserve">Water colour</t>
  </si>
  <si>
    <t xml:space="preserve">P0502</t>
  </si>
  <si>
    <t xml:space="preserve">Cleaning Brushes</t>
  </si>
  <si>
    <t xml:space="preserve">P1826</t>
  </si>
  <si>
    <t xml:space="preserve">Refrigerator</t>
  </si>
  <si>
    <t xml:space="preserve">P2701</t>
  </si>
  <si>
    <t xml:space="preserve">Deep Freezer</t>
  </si>
  <si>
    <t xml:space="preserve">P1907</t>
  </si>
  <si>
    <t xml:space="preserve">Stainless Steel Utensils</t>
  </si>
  <si>
    <t xml:space="preserve">P2928</t>
  </si>
  <si>
    <t xml:space="preserve">Milk Cans</t>
  </si>
  <si>
    <t xml:space="preserve">P2452</t>
  </si>
  <si>
    <t xml:space="preserve">Multipurpose Stainless Steel Vat</t>
  </si>
  <si>
    <t xml:space="preserve">P2493</t>
  </si>
  <si>
    <t xml:space="preserve">Small Pasteurizer</t>
  </si>
  <si>
    <t xml:space="preserve">P2843</t>
  </si>
  <si>
    <t xml:space="preserve">Mini Cream Separator</t>
  </si>
  <si>
    <t xml:space="preserve">P2460</t>
  </si>
  <si>
    <t xml:space="preserve">Small Homogenizer</t>
  </si>
  <si>
    <t xml:space="preserve">P2841</t>
  </si>
  <si>
    <t xml:space="preserve">Paneer Press</t>
  </si>
  <si>
    <t xml:space="preserve">P2559</t>
  </si>
  <si>
    <t xml:space="preserve">Butter Churner</t>
  </si>
  <si>
    <t xml:space="preserve">P1766</t>
  </si>
  <si>
    <t xml:space="preserve">Ghee Boiler</t>
  </si>
  <si>
    <t xml:space="preserve">P2137</t>
  </si>
  <si>
    <t xml:space="preserve">Ice Cream Maker</t>
  </si>
  <si>
    <t xml:space="preserve">P2272</t>
  </si>
  <si>
    <t xml:space="preserve">Small Incubation Box/Curd Maker</t>
  </si>
  <si>
    <t xml:space="preserve">P2842</t>
  </si>
  <si>
    <t xml:space="preserve">Khoa/Mawa Making Pan</t>
  </si>
  <si>
    <t xml:space="preserve">P2314</t>
  </si>
  <si>
    <t xml:space="preserve">Rasgulla/Rabri Cooking Vessel</t>
  </si>
  <si>
    <t xml:space="preserve">P2690</t>
  </si>
  <si>
    <t xml:space="preserve">Hand Sealer/Pouch Sealer</t>
  </si>
  <si>
    <t xml:space="preserve">P2212</t>
  </si>
  <si>
    <t xml:space="preserve">Cup Sealer</t>
  </si>
  <si>
    <t xml:space="preserve">P1884</t>
  </si>
  <si>
    <t xml:space="preserve">Digital Weighing Balance</t>
  </si>
  <si>
    <t xml:space="preserve">P1937</t>
  </si>
  <si>
    <t xml:space="preserve">Display Cabinet/Showcase</t>
  </si>
  <si>
    <t xml:space="preserve">P1943</t>
  </si>
  <si>
    <t xml:space="preserve">Lactometer</t>
  </si>
  <si>
    <t xml:space="preserve">P2334</t>
  </si>
  <si>
    <t xml:space="preserve">Gerber Centrifuge</t>
  </si>
  <si>
    <t xml:space="preserve">P2134</t>
  </si>
  <si>
    <t xml:space="preserve">Ph Paper Strips/Small pH Meter</t>
  </si>
  <si>
    <t xml:space="preserve">P2584</t>
  </si>
  <si>
    <t xml:space="preserve">School-level Milk Testing Kit</t>
  </si>
  <si>
    <t xml:space="preserve">P2753</t>
  </si>
  <si>
    <t xml:space="preserve">Racks</t>
  </si>
  <si>
    <t xml:space="preserve">P1261</t>
  </si>
  <si>
    <t xml:space="preserve">SS Tables</t>
  </si>
  <si>
    <t xml:space="preserve">P1417</t>
  </si>
  <si>
    <t xml:space="preserve">Aprons, Gloves, Head Caps</t>
  </si>
  <si>
    <t xml:space="preserve">P0553</t>
  </si>
  <si>
    <t xml:space="preserve">Crimping tools</t>
  </si>
  <si>
    <t xml:space="preserve">P1873</t>
  </si>
  <si>
    <t xml:space="preserve">Drill machines</t>
  </si>
  <si>
    <t xml:space="preserve">P1978</t>
  </si>
  <si>
    <t xml:space="preserve">Tool kits</t>
  </si>
  <si>
    <t xml:space="preserve">P3044</t>
  </si>
  <si>
    <t xml:space="preserve">Cable testers, multimeters, and continuity testers</t>
  </si>
  <si>
    <t xml:space="preserve">P1773</t>
  </si>
  <si>
    <t xml:space="preserve">Different types of CCTV cameras</t>
  </si>
  <si>
    <t xml:space="preserve">P0766</t>
  </si>
  <si>
    <t xml:space="preserve">DVRs, NVRs, storage devices, and monitors</t>
  </si>
  <si>
    <t xml:space="preserve">P0815</t>
  </si>
  <si>
    <t xml:space="preserve">Power supplies, PoE switches, adapters, and UPS systems</t>
  </si>
  <si>
    <t xml:space="preserve">P1217</t>
  </si>
  <si>
    <t xml:space="preserve">Networking equipment</t>
  </si>
  <si>
    <t xml:space="preserve">P1126</t>
  </si>
  <si>
    <t xml:space="preserve">Software for remote access, cloud monitoring, and video analytics</t>
  </si>
  <si>
    <t xml:space="preserve">P1401</t>
  </si>
  <si>
    <t xml:space="preserve">Safety gear (gloves, goggles, helmets)</t>
  </si>
  <si>
    <t xml:space="preserve">P1298</t>
  </si>
  <si>
    <t xml:space="preserve">Coaxial cables, CAT5/CAT6 cables, HDMI/VGA cables</t>
  </si>
  <si>
    <t xml:space="preserve">P0088</t>
  </si>
  <si>
    <t xml:space="preserve">BNC/RJ45 connectors</t>
  </si>
  <si>
    <t xml:space="preserve">P0041</t>
  </si>
  <si>
    <t xml:space="preserve">Torque Screwdriver</t>
  </si>
  <si>
    <t xml:space="preserve">P3052</t>
  </si>
  <si>
    <t xml:space="preserve">Nut Driver</t>
  </si>
  <si>
    <t xml:space="preserve">P2512</t>
  </si>
  <si>
    <t xml:space="preserve">Safety Knife</t>
  </si>
  <si>
    <t xml:space="preserve">P2741</t>
  </si>
  <si>
    <t xml:space="preserve">Wire Strippers</t>
  </si>
  <si>
    <t xml:space="preserve">Wire Cutters</t>
  </si>
  <si>
    <t xml:space="preserve">P3170</t>
  </si>
  <si>
    <t xml:space="preserve">Tweezers</t>
  </si>
  <si>
    <t xml:space="preserve">P3081</t>
  </si>
  <si>
    <t xml:space="preserve">GPS Module</t>
  </si>
  <si>
    <t xml:space="preserve">P2150</t>
  </si>
  <si>
    <t xml:space="preserve">Frame</t>
  </si>
  <si>
    <t xml:space="preserve">P2101</t>
  </si>
  <si>
    <t xml:space="preserve">BLDC Motors</t>
  </si>
  <si>
    <t xml:space="preserve">P1713</t>
  </si>
  <si>
    <t xml:space="preserve">ESC (Electronic Speed controllers)</t>
  </si>
  <si>
    <t xml:space="preserve">P2043</t>
  </si>
  <si>
    <t xml:space="preserve">FCB (Flight Controller Board)</t>
  </si>
  <si>
    <t xml:space="preserve">P2059</t>
  </si>
  <si>
    <t xml:space="preserve">Camera</t>
  </si>
  <si>
    <t xml:space="preserve">P1779</t>
  </si>
  <si>
    <t xml:space="preserve">Guard</t>
  </si>
  <si>
    <t xml:space="preserve">P2164</t>
  </si>
  <si>
    <t xml:space="preserve">Lipo Battery and Charger</t>
  </si>
  <si>
    <t xml:space="preserve">P2366</t>
  </si>
  <si>
    <t xml:space="preserve">RF Transmitter and receiver</t>
  </si>
  <si>
    <t xml:space="preserve">P2713</t>
  </si>
  <si>
    <t xml:space="preserve">Drone base</t>
  </si>
  <si>
    <t xml:space="preserve">P1983</t>
  </si>
  <si>
    <t xml:space="preserve">Hovering function using LiDAR sensor</t>
  </si>
  <si>
    <t xml:space="preserve">P2260</t>
  </si>
  <si>
    <t xml:space="preserve">Heat Gun</t>
  </si>
  <si>
    <t xml:space="preserve">P2229</t>
  </si>
  <si>
    <t xml:space="preserve">Desk Light and Magnifier</t>
  </si>
  <si>
    <t xml:space="preserve">P1916</t>
  </si>
  <si>
    <t xml:space="preserve">Digital Weighing Scale</t>
  </si>
  <si>
    <t xml:space="preserve">P1938</t>
  </si>
  <si>
    <t xml:space="preserve">Wattmeter and Clamp meter</t>
  </si>
  <si>
    <t xml:space="preserve">P3142</t>
  </si>
  <si>
    <t xml:space="preserve">Motor Thrust Stand</t>
  </si>
  <si>
    <t xml:space="preserve">P2482</t>
  </si>
  <si>
    <t xml:space="preserve">Different MODEL of drone</t>
  </si>
  <si>
    <t xml:space="preserve">P1927</t>
  </si>
  <si>
    <t xml:space="preserve">Charts of dos and Don’ts in the work area</t>
  </si>
  <si>
    <t xml:space="preserve">Receiver cables</t>
  </si>
  <si>
    <t xml:space="preserve">P0374</t>
  </si>
  <si>
    <t xml:space="preserve">Connectors</t>
  </si>
  <si>
    <t xml:space="preserve">P0102</t>
  </si>
  <si>
    <t xml:space="preserve">Flaring tool</t>
  </si>
  <si>
    <t xml:space="preserve">P2077</t>
  </si>
  <si>
    <t xml:space="preserve">Tube Bender</t>
  </si>
  <si>
    <t xml:space="preserve">P3075</t>
  </si>
  <si>
    <t xml:space="preserve">Tube cutter</t>
  </si>
  <si>
    <t xml:space="preserve">P3077</t>
  </si>
  <si>
    <t xml:space="preserve">Wire gauge</t>
  </si>
  <si>
    <t xml:space="preserve">P3171</t>
  </si>
  <si>
    <t xml:space="preserve">Pipe cutter</t>
  </si>
  <si>
    <t xml:space="preserve">P2603</t>
  </si>
  <si>
    <t xml:space="preserve">Peltzier</t>
  </si>
  <si>
    <t xml:space="preserve">P2576</t>
  </si>
  <si>
    <t xml:space="preserve">Allen wrench</t>
  </si>
  <si>
    <t xml:space="preserve">P1623</t>
  </si>
  <si>
    <t xml:space="preserve">Adjustable wrench</t>
  </si>
  <si>
    <t xml:space="preserve">P1599</t>
  </si>
  <si>
    <t xml:space="preserve">Yoke vise</t>
  </si>
  <si>
    <t xml:space="preserve">P3189</t>
  </si>
  <si>
    <t xml:space="preserve">Brazing tool</t>
  </si>
  <si>
    <t xml:space="preserve">P1745</t>
  </si>
  <si>
    <t xml:space="preserve">Weight scale</t>
  </si>
  <si>
    <t xml:space="preserve">P3155</t>
  </si>
  <si>
    <t xml:space="preserve">Cathode Ray Oscilloscope (CRO)</t>
  </si>
  <si>
    <t xml:space="preserve">P1791</t>
  </si>
  <si>
    <t xml:space="preserve">Brazing torch</t>
  </si>
  <si>
    <t xml:space="preserve">P1746</t>
  </si>
  <si>
    <t xml:space="preserve">Vaccum pump</t>
  </si>
  <si>
    <t xml:space="preserve">P3094</t>
  </si>
  <si>
    <t xml:space="preserve">Micron Gauge</t>
  </si>
  <si>
    <t xml:space="preserve">P2445</t>
  </si>
  <si>
    <t xml:space="preserve">Leak Detector</t>
  </si>
  <si>
    <t xml:space="preserve">P2348</t>
  </si>
  <si>
    <t xml:space="preserve">Manifold Gauge</t>
  </si>
  <si>
    <t xml:space="preserve">P2392</t>
  </si>
  <si>
    <t xml:space="preserve">Pressure Gauge</t>
  </si>
  <si>
    <t xml:space="preserve">Astable, Monostable, Bistable Multivibrator kit</t>
  </si>
  <si>
    <t xml:space="preserve">P1649</t>
  </si>
  <si>
    <t xml:space="preserve">Microcontroller</t>
  </si>
  <si>
    <t xml:space="preserve">P2442</t>
  </si>
  <si>
    <t xml:space="preserve">Condenser</t>
  </si>
  <si>
    <t xml:space="preserve">P1856</t>
  </si>
  <si>
    <t xml:space="preserve">Wifi</t>
  </si>
  <si>
    <t xml:space="preserve">P1558</t>
  </si>
  <si>
    <t xml:space="preserve">Bluetooth</t>
  </si>
  <si>
    <t xml:space="preserve">P0613</t>
  </si>
  <si>
    <t xml:space="preserve">Network cable</t>
  </si>
  <si>
    <t xml:space="preserve">P1123</t>
  </si>
  <si>
    <t xml:space="preserve">Smart phone</t>
  </si>
  <si>
    <t xml:space="preserve">P1396</t>
  </si>
  <si>
    <t xml:space="preserve">Error Code chart for IoT</t>
  </si>
  <si>
    <t xml:space="preserve">P0838</t>
  </si>
  <si>
    <t xml:space="preserve">Refrigerant</t>
  </si>
  <si>
    <t xml:space="preserve">P0380</t>
  </si>
  <si>
    <t xml:space="preserve">Capillary tube</t>
  </si>
  <si>
    <t xml:space="preserve">P0056</t>
  </si>
  <si>
    <t xml:space="preserve">Machine tools for servicing the computer</t>
  </si>
  <si>
    <t xml:space="preserve">P2383</t>
  </si>
  <si>
    <t xml:space="preserve">Cutters</t>
  </si>
  <si>
    <t xml:space="preserve">P1891</t>
  </si>
  <si>
    <t xml:space="preserve">Screw drivers</t>
  </si>
  <si>
    <t xml:space="preserve">Flashlights</t>
  </si>
  <si>
    <t xml:space="preserve">P2078</t>
  </si>
  <si>
    <t xml:space="preserve">Sharp pointed tweezers</t>
  </si>
  <si>
    <t xml:space="preserve">P2811</t>
  </si>
  <si>
    <t xml:space="preserve">Mirror (inspection)</t>
  </si>
  <si>
    <t xml:space="preserve">P2462</t>
  </si>
  <si>
    <t xml:space="preserve">De-soldering pump</t>
  </si>
  <si>
    <t xml:space="preserve">P1903</t>
  </si>
  <si>
    <t xml:space="preserve">Screw Driver</t>
  </si>
  <si>
    <t xml:space="preserve">Multi-tester</t>
  </si>
  <si>
    <t xml:space="preserve">P2489</t>
  </si>
  <si>
    <t xml:space="preserve">Soldering equipment</t>
  </si>
  <si>
    <t xml:space="preserve">P2879</t>
  </si>
  <si>
    <t xml:space="preserve">CRO</t>
  </si>
  <si>
    <t xml:space="preserve">P1874</t>
  </si>
  <si>
    <t xml:space="preserve">Function generator</t>
  </si>
  <si>
    <t xml:space="preserve">P2116</t>
  </si>
  <si>
    <t xml:space="preserve">Power supply</t>
  </si>
  <si>
    <t xml:space="preserve">P2645</t>
  </si>
  <si>
    <t xml:space="preserve">Power meter</t>
  </si>
  <si>
    <t xml:space="preserve">Signal detector</t>
  </si>
  <si>
    <t xml:space="preserve">P2828</t>
  </si>
  <si>
    <t xml:space="preserve">Hubs</t>
  </si>
  <si>
    <t xml:space="preserve">P0973</t>
  </si>
  <si>
    <t xml:space="preserve">Switches</t>
  </si>
  <si>
    <t xml:space="preserve">P1451</t>
  </si>
  <si>
    <t xml:space="preserve">Modem/ router</t>
  </si>
  <si>
    <t xml:space="preserve">P1108</t>
  </si>
  <si>
    <t xml:space="preserve">Computers</t>
  </si>
  <si>
    <t xml:space="preserve">P0715</t>
  </si>
  <si>
    <t xml:space="preserve">Laptops</t>
  </si>
  <si>
    <t xml:space="preserve">P1035</t>
  </si>
  <si>
    <t xml:space="preserve">Laser Printers</t>
  </si>
  <si>
    <t xml:space="preserve">P1042</t>
  </si>
  <si>
    <t xml:space="preserve">Ink Jet Printers</t>
  </si>
  <si>
    <t xml:space="preserve">P0990</t>
  </si>
  <si>
    <t xml:space="preserve">Dot Matrix Printers</t>
  </si>
  <si>
    <t xml:space="preserve">P0794</t>
  </si>
  <si>
    <t xml:space="preserve">Scanners</t>
  </si>
  <si>
    <t xml:space="preserve">P1356</t>
  </si>
  <si>
    <t xml:space="preserve">Network switch</t>
  </si>
  <si>
    <t xml:space="preserve">Windows 10, 11</t>
  </si>
  <si>
    <t xml:space="preserve">P1559</t>
  </si>
  <si>
    <t xml:space="preserve">Linux Ubuntu</t>
  </si>
  <si>
    <t xml:space="preserve">P1059</t>
  </si>
  <si>
    <t xml:space="preserve">Antivirus software</t>
  </si>
  <si>
    <t xml:space="preserve">P0543</t>
  </si>
  <si>
    <t xml:space="preserve">Antistatic wrist wrap</t>
  </si>
  <si>
    <t xml:space="preserve">P0542</t>
  </si>
  <si>
    <t xml:space="preserve">Fire extinguishers and warning signs</t>
  </si>
  <si>
    <t xml:space="preserve">P0871</t>
  </si>
  <si>
    <t xml:space="preserve">Training Kit (Trainer Guide, Presentations)</t>
  </si>
  <si>
    <t xml:space="preserve">P1493</t>
  </si>
  <si>
    <t xml:space="preserve">Schematic diagrams</t>
  </si>
  <si>
    <t xml:space="preserve">P1358</t>
  </si>
  <si>
    <t xml:space="preserve">Block diagrams</t>
  </si>
  <si>
    <t xml:space="preserve">P0612</t>
  </si>
  <si>
    <t xml:space="preserve">Layout plans</t>
  </si>
  <si>
    <t xml:space="preserve">P1044</t>
  </si>
  <si>
    <t xml:space="preserve">Location Plans</t>
  </si>
  <si>
    <t xml:space="preserve">P1064</t>
  </si>
  <si>
    <t xml:space="preserve">Instrumentation diagrams</t>
  </si>
  <si>
    <t xml:space="preserve">P0995</t>
  </si>
  <si>
    <t xml:space="preserve">Loop diagrams</t>
  </si>
  <si>
    <t xml:space="preserve">P1067</t>
  </si>
  <si>
    <t xml:space="preserve">System Control diagrams</t>
  </si>
  <si>
    <t xml:space="preserve">P1452</t>
  </si>
  <si>
    <t xml:space="preserve">Printed Circuit Board (PCB)</t>
  </si>
  <si>
    <t xml:space="preserve">P0364</t>
  </si>
  <si>
    <t xml:space="preserve">Glue</t>
  </si>
  <si>
    <t xml:space="preserve">P0199</t>
  </si>
  <si>
    <t xml:space="preserve">Adhesive</t>
  </si>
  <si>
    <t xml:space="preserve">P0005</t>
  </si>
  <si>
    <t xml:space="preserve">Cables</t>
  </si>
  <si>
    <t xml:space="preserve">P0052</t>
  </si>
  <si>
    <t xml:space="preserve">Electronic Components – Active and Passive</t>
  </si>
  <si>
    <t xml:space="preserve">P0146</t>
  </si>
  <si>
    <t xml:space="preserve">ICs</t>
  </si>
  <si>
    <t xml:space="preserve">P0222</t>
  </si>
  <si>
    <t xml:space="preserve">PCB</t>
  </si>
  <si>
    <t xml:space="preserve">P0331</t>
  </si>
  <si>
    <t xml:space="preserve">CD / DVDs</t>
  </si>
  <si>
    <t xml:space="preserve">P0062</t>
  </si>
  <si>
    <t xml:space="preserve">UTP Cat. 5E/ 6 cables</t>
  </si>
  <si>
    <t xml:space="preserve">P0491</t>
  </si>
  <si>
    <t xml:space="preserve">RJ 45 modular plug</t>
  </si>
  <si>
    <t xml:space="preserve">P0386</t>
  </si>
  <si>
    <t xml:space="preserve">Board marker</t>
  </si>
  <si>
    <t xml:space="preserve">P0042</t>
  </si>
  <si>
    <t xml:space="preserve">Hacksaw, Hammer, Scissor</t>
  </si>
  <si>
    <t xml:space="preserve">P2171</t>
  </si>
  <si>
    <t xml:space="preserve">Tube Bender, Tube cutter</t>
  </si>
  <si>
    <t xml:space="preserve">P3076</t>
  </si>
  <si>
    <t xml:space="preserve">Multimeter, Clamp-meter</t>
  </si>
  <si>
    <t xml:space="preserve">P2491</t>
  </si>
  <si>
    <t xml:space="preserve">Vacuum pump</t>
  </si>
  <si>
    <t xml:space="preserve">Raw materials and parts of RO Water Purifier, Mixer/ Grinder/ Juicer, and Microwave Oven</t>
  </si>
  <si>
    <t xml:space="preserve">P0371</t>
  </si>
  <si>
    <t xml:space="preserve">Drill machine and torque wrench</t>
  </si>
  <si>
    <t xml:space="preserve">P1976</t>
  </si>
  <si>
    <t xml:space="preserve">A complete unit of Solar photovoltaic system model of solar photovoltaic power plant</t>
  </si>
  <si>
    <t xml:space="preserve">P1590</t>
  </si>
  <si>
    <t xml:space="preserve">Home lighting system</t>
  </si>
  <si>
    <t xml:space="preserve">P2246</t>
  </si>
  <si>
    <t xml:space="preserve">Lantern</t>
  </si>
  <si>
    <t xml:space="preserve">P2341</t>
  </si>
  <si>
    <t xml:space="preserve">Wire Simpers</t>
  </si>
  <si>
    <t xml:space="preserve">P3172</t>
  </si>
  <si>
    <t xml:space="preserve">Cutting board</t>
  </si>
  <si>
    <t xml:space="preserve">P1892</t>
  </si>
  <si>
    <t xml:space="preserve">Dough scrapers and plastic</t>
  </si>
  <si>
    <t xml:space="preserve">P1962</t>
  </si>
  <si>
    <t xml:space="preserve">Measuring cup</t>
  </si>
  <si>
    <t xml:space="preserve">P2406</t>
  </si>
  <si>
    <t xml:space="preserve">Measuring jug</t>
  </si>
  <si>
    <t xml:space="preserve">P2418</t>
  </si>
  <si>
    <t xml:space="preserve">Deck Oven</t>
  </si>
  <si>
    <t xml:space="preserve">P1906</t>
  </si>
  <si>
    <t xml:space="preserve">Convection Oven</t>
  </si>
  <si>
    <t xml:space="preserve">P1861</t>
  </si>
  <si>
    <t xml:space="preserve">Rotary Oven</t>
  </si>
  <si>
    <t xml:space="preserve">P2725</t>
  </si>
  <si>
    <t xml:space="preserve">pH Meter</t>
  </si>
  <si>
    <t xml:space="preserve">Refractometer</t>
  </si>
  <si>
    <t xml:space="preserve">P2699</t>
  </si>
  <si>
    <t xml:space="preserve">Viscometer</t>
  </si>
  <si>
    <t xml:space="preserve">P3111</t>
  </si>
  <si>
    <t xml:space="preserve">Autoclave</t>
  </si>
  <si>
    <t xml:space="preserve">P1653</t>
  </si>
  <si>
    <t xml:space="preserve">Laminar Air Flow (LAF) Cabinet</t>
  </si>
  <si>
    <t xml:space="preserve">P2338</t>
  </si>
  <si>
    <t xml:space="preserve">Incubators</t>
  </si>
  <si>
    <t xml:space="preserve">P2279</t>
  </si>
  <si>
    <t xml:space="preserve">Weighing Balance</t>
  </si>
  <si>
    <t xml:space="preserve">Water Bath</t>
  </si>
  <si>
    <t xml:space="preserve">P3127</t>
  </si>
  <si>
    <t xml:space="preserve">Hot Air Oven</t>
  </si>
  <si>
    <t xml:space="preserve">P2254</t>
  </si>
  <si>
    <t xml:space="preserve">Glassware</t>
  </si>
  <si>
    <t xml:space="preserve">P2143</t>
  </si>
  <si>
    <t xml:space="preserve">Filtration System</t>
  </si>
  <si>
    <t xml:space="preserve">P2069</t>
  </si>
  <si>
    <t xml:space="preserve">Milk collection and handling accessories</t>
  </si>
  <si>
    <t xml:space="preserve">P2453</t>
  </si>
  <si>
    <t xml:space="preserve">Freezers</t>
  </si>
  <si>
    <t xml:space="preserve">P2102</t>
  </si>
  <si>
    <t xml:space="preserve">Milk storage tanks (50 liter)</t>
  </si>
  <si>
    <t xml:space="preserve">P2455</t>
  </si>
  <si>
    <t xml:space="preserve">Cream separator</t>
  </si>
  <si>
    <t xml:space="preserve">P1868</t>
  </si>
  <si>
    <t xml:space="preserve">Milk Filter machine</t>
  </si>
  <si>
    <t xml:space="preserve">P2454</t>
  </si>
  <si>
    <t xml:space="preserve">Chiller</t>
  </si>
  <si>
    <t xml:space="preserve">P1808</t>
  </si>
  <si>
    <t xml:space="preserve">Pasteurizer</t>
  </si>
  <si>
    <t xml:space="preserve">P2568</t>
  </si>
  <si>
    <t xml:space="preserve">Homogenizer</t>
  </si>
  <si>
    <t xml:space="preserve">P2247</t>
  </si>
  <si>
    <t xml:space="preserve">Bulk milk Cooler</t>
  </si>
  <si>
    <t xml:space="preserve">P1760</t>
  </si>
  <si>
    <t xml:space="preserve">Ice Bar Packaging machine</t>
  </si>
  <si>
    <t xml:space="preserve">P2270</t>
  </si>
  <si>
    <t xml:space="preserve">Miscellaneous</t>
  </si>
  <si>
    <t xml:space="preserve">P1096</t>
  </si>
  <si>
    <t xml:space="preserve">S.S. Patila</t>
  </si>
  <si>
    <t xml:space="preserve">P2740</t>
  </si>
  <si>
    <t xml:space="preserve">S.S. Karchi</t>
  </si>
  <si>
    <t xml:space="preserve">P2739</t>
  </si>
  <si>
    <t xml:space="preserve">Fruit grader</t>
  </si>
  <si>
    <t xml:space="preserve">P2108</t>
  </si>
  <si>
    <t xml:space="preserve">Fruit and vegetable washer</t>
  </si>
  <si>
    <t xml:space="preserve">P2107</t>
  </si>
  <si>
    <t xml:space="preserve">Fruit pulper</t>
  </si>
  <si>
    <t xml:space="preserve">P2112</t>
  </si>
  <si>
    <t xml:space="preserve">Fruit mill</t>
  </si>
  <si>
    <t xml:space="preserve">P2111</t>
  </si>
  <si>
    <t xml:space="preserve">Fruit juice extractor</t>
  </si>
  <si>
    <t xml:space="preserve">P2109</t>
  </si>
  <si>
    <t xml:space="preserve">Halving machine</t>
  </si>
  <si>
    <t xml:space="preserve">P2179</t>
  </si>
  <si>
    <t xml:space="preserve">Cutting machine</t>
  </si>
  <si>
    <t xml:space="preserve">P1894</t>
  </si>
  <si>
    <t xml:space="preserve">Fruit juice pasteurizer</t>
  </si>
  <si>
    <t xml:space="preserve">P2110</t>
  </si>
  <si>
    <t xml:space="preserve">Can float body reformer</t>
  </si>
  <si>
    <t xml:space="preserve">P1783</t>
  </si>
  <si>
    <t xml:space="preserve">Leg cup sealing machine</t>
  </si>
  <si>
    <t xml:space="preserve">P2349</t>
  </si>
  <si>
    <t xml:space="preserve">Bottle washing machine</t>
  </si>
  <si>
    <t xml:space="preserve">P1733</t>
  </si>
  <si>
    <t xml:space="preserve">Syrup mixing tank</t>
  </si>
  <si>
    <t xml:space="preserve">P2977</t>
  </si>
  <si>
    <t xml:space="preserve">Juice and pulp transfer pump stainless steel</t>
  </si>
  <si>
    <t xml:space="preserve">P2308</t>
  </si>
  <si>
    <t xml:space="preserve">Hand refractometer</t>
  </si>
  <si>
    <t xml:space="preserve">Bottle flesh pasteurizer</t>
  </si>
  <si>
    <t xml:space="preserve">P1732</t>
  </si>
  <si>
    <t xml:space="preserve">Steam jacket kettles</t>
  </si>
  <si>
    <t xml:space="preserve">P2933</t>
  </si>
  <si>
    <t xml:space="preserve">Water and juice analysis machine</t>
  </si>
  <si>
    <t xml:space="preserve">P3125</t>
  </si>
  <si>
    <t xml:space="preserve">Electronic top pan balance</t>
  </si>
  <si>
    <t xml:space="preserve">P2020</t>
  </si>
  <si>
    <t xml:space="preserve">Lye peeling machine</t>
  </si>
  <si>
    <t xml:space="preserve">P2379</t>
  </si>
  <si>
    <t xml:space="preserve">Vegetable bleacher</t>
  </si>
  <si>
    <t xml:space="preserve">P3101</t>
  </si>
  <si>
    <t xml:space="preserve">Glass beakers</t>
  </si>
  <si>
    <t xml:space="preserve">P2138</t>
  </si>
  <si>
    <t xml:space="preserve">Vacuum evaporator</t>
  </si>
  <si>
    <t xml:space="preserve">P3097</t>
  </si>
  <si>
    <t xml:space="preserve">Boiler</t>
  </si>
  <si>
    <t xml:space="preserve">P1726</t>
  </si>
  <si>
    <t xml:space="preserve">Receiving table</t>
  </si>
  <si>
    <t xml:space="preserve">P1268</t>
  </si>
  <si>
    <t xml:space="preserve">Fruit sorting table</t>
  </si>
  <si>
    <t xml:space="preserve">P0910</t>
  </si>
  <si>
    <t xml:space="preserve">Sodium hydroxide pellets</t>
  </si>
  <si>
    <t xml:space="preserve">P0421</t>
  </si>
  <si>
    <t xml:space="preserve">Potassium meta bisulphite</t>
  </si>
  <si>
    <t xml:space="preserve">P0359</t>
  </si>
  <si>
    <t xml:space="preserve">Sodium benzoate</t>
  </si>
  <si>
    <t xml:space="preserve">P0420</t>
  </si>
  <si>
    <t xml:space="preserve">Common salt</t>
  </si>
  <si>
    <t xml:space="preserve">P0096</t>
  </si>
  <si>
    <t xml:space="preserve">Sugar</t>
  </si>
  <si>
    <t xml:space="preserve">P0452</t>
  </si>
  <si>
    <t xml:space="preserve">Aluminium/ Poly bags</t>
  </si>
  <si>
    <t xml:space="preserve">P0014</t>
  </si>
  <si>
    <t xml:space="preserve">Inter connecting piping</t>
  </si>
  <si>
    <t xml:space="preserve">P0999</t>
  </si>
  <si>
    <t xml:space="preserve">Storage bins</t>
  </si>
  <si>
    <t xml:space="preserve">P1428</t>
  </si>
  <si>
    <t xml:space="preserve">Tofu hand press</t>
  </si>
  <si>
    <t xml:space="preserve">P3036</t>
  </si>
  <si>
    <t xml:space="preserve">Blanching Unit</t>
  </si>
  <si>
    <t xml:space="preserve">P1711</t>
  </si>
  <si>
    <t xml:space="preserve">Mixer Grinder</t>
  </si>
  <si>
    <t xml:space="preserve">P2466</t>
  </si>
  <si>
    <t xml:space="preserve">Soy milk bottle sealing machine manual</t>
  </si>
  <si>
    <t xml:space="preserve">P2890</t>
  </si>
  <si>
    <t xml:space="preserve">Sealing machine</t>
  </si>
  <si>
    <t xml:space="preserve">Soy milk plant</t>
  </si>
  <si>
    <t xml:space="preserve">P2891</t>
  </si>
  <si>
    <t xml:space="preserve">Automatic bottle sealing unit</t>
  </si>
  <si>
    <t xml:space="preserve">P1654</t>
  </si>
  <si>
    <t xml:space="preserve">Vacuum packaging machine</t>
  </si>
  <si>
    <t xml:space="preserve">P3098</t>
  </si>
  <si>
    <t xml:space="preserve">Milling machine</t>
  </si>
  <si>
    <t xml:space="preserve">P2459</t>
  </si>
  <si>
    <t xml:space="preserve">Cleaner, grader</t>
  </si>
  <si>
    <t xml:space="preserve">P1823</t>
  </si>
  <si>
    <t xml:space="preserve">De-huller</t>
  </si>
  <si>
    <t xml:space="preserve">P1902</t>
  </si>
  <si>
    <t xml:space="preserve">Pneumatic press</t>
  </si>
  <si>
    <t xml:space="preserve">P2632</t>
  </si>
  <si>
    <t xml:space="preserve">Tools required for laying water pipelines</t>
  </si>
  <si>
    <t xml:space="preserve">P3048</t>
  </si>
  <si>
    <t xml:space="preserve">Double-ended flat spanner (1 set)</t>
  </si>
  <si>
    <t xml:space="preserve">P1958</t>
  </si>
  <si>
    <t xml:space="preserve">Double-ended ring spanner (1 set)</t>
  </si>
  <si>
    <t xml:space="preserve">P1959</t>
  </si>
  <si>
    <t xml:space="preserve">Wrenches (1 set)</t>
  </si>
  <si>
    <t xml:space="preserve">P3184</t>
  </si>
  <si>
    <t xml:space="preserve">Combination pliers (1 set)</t>
  </si>
  <si>
    <t xml:space="preserve">P1846</t>
  </si>
  <si>
    <t xml:space="preserve">Side cutting pliers (1 set)</t>
  </si>
  <si>
    <t xml:space="preserve">P2826</t>
  </si>
  <si>
    <t xml:space="preserve">Screw driver (1 set)</t>
  </si>
  <si>
    <t xml:space="preserve">P2765</t>
  </si>
  <si>
    <t xml:space="preserve">Hammer (1 set)</t>
  </si>
  <si>
    <t xml:space="preserve">P2182</t>
  </si>
  <si>
    <t xml:space="preserve">Stripping &amp; Crimping Tools (1 set)</t>
  </si>
  <si>
    <t xml:space="preserve">P2960</t>
  </si>
  <si>
    <t xml:space="preserve">Small size/demonstration units of transformer</t>
  </si>
  <si>
    <t xml:space="preserve">P2846</t>
  </si>
  <si>
    <t xml:space="preserve">Rectifier</t>
  </si>
  <si>
    <t xml:space="preserve">P2697</t>
  </si>
  <si>
    <t xml:space="preserve">Electrolyser</t>
  </si>
  <si>
    <t xml:space="preserve">P2013</t>
  </si>
  <si>
    <t xml:space="preserve">Solar power plant</t>
  </si>
  <si>
    <t xml:space="preserve">P2874</t>
  </si>
  <si>
    <t xml:space="preserve">Frequency meter</t>
  </si>
  <si>
    <t xml:space="preserve">P2104</t>
  </si>
  <si>
    <t xml:space="preserve">Pressure meter</t>
  </si>
  <si>
    <t xml:space="preserve">P2656</t>
  </si>
  <si>
    <t xml:space="preserve">Hand driven Megger</t>
  </si>
  <si>
    <t xml:space="preserve">P2194</t>
  </si>
  <si>
    <t xml:space="preserve">Hydrogen purification systems with alert labels at important parts</t>
  </si>
  <si>
    <t xml:space="preserve">P2267</t>
  </si>
  <si>
    <t xml:space="preserve">IR Thermometer</t>
  </si>
  <si>
    <t xml:space="preserve">P2296</t>
  </si>
  <si>
    <t xml:space="preserve">Barometer</t>
  </si>
  <si>
    <t xml:space="preserve">P1682</t>
  </si>
  <si>
    <t xml:space="preserve">Electronic pressure gauge</t>
  </si>
  <si>
    <t xml:space="preserve">P2018</t>
  </si>
  <si>
    <t xml:space="preserve">KOH concentration measuring tools</t>
  </si>
  <si>
    <t xml:space="preserve">P2327</t>
  </si>
  <si>
    <t xml:space="preserve">Gas leakage detector</t>
  </si>
  <si>
    <t xml:space="preserve">P2130</t>
  </si>
  <si>
    <t xml:space="preserve">Chemical Mask</t>
  </si>
  <si>
    <t xml:space="preserve">P0668</t>
  </si>
  <si>
    <t xml:space="preserve">Leather gloves</t>
  </si>
  <si>
    <t xml:space="preserve">P1052</t>
  </si>
  <si>
    <t xml:space="preserve">Flame proof aprons</t>
  </si>
  <si>
    <t xml:space="preserve">P0883</t>
  </si>
  <si>
    <t xml:space="preserve">Flame proof overalls buttoned to neck</t>
  </si>
  <si>
    <t xml:space="preserve">P0884</t>
  </si>
  <si>
    <t xml:space="preserve">Helmets/hard hats</t>
  </si>
  <si>
    <t xml:space="preserve">P0958</t>
  </si>
  <si>
    <t xml:space="preserve">Full body harness</t>
  </si>
  <si>
    <t xml:space="preserve">P0911</t>
  </si>
  <si>
    <t xml:space="preserve">Hand shields</t>
  </si>
  <si>
    <t xml:space="preserve">P0947</t>
  </si>
  <si>
    <t xml:space="preserve">First aid equipment</t>
  </si>
  <si>
    <t xml:space="preserve">Colour code nomenclature chart of Hydrogen</t>
  </si>
  <si>
    <t xml:space="preserve">P0682</t>
  </si>
  <si>
    <t xml:space="preserve">Hydrogen production flowchart</t>
  </si>
  <si>
    <t xml:space="preserve">P0978</t>
  </si>
  <si>
    <t xml:space="preserve">Hydrogen supply chain flow chart</t>
  </si>
  <si>
    <t xml:space="preserve">P0979</t>
  </si>
  <si>
    <t xml:space="preserve">Schematics of Green Hydrogen Production Plant</t>
  </si>
  <si>
    <t xml:space="preserve">P1359</t>
  </si>
  <si>
    <t xml:space="preserve">Sample signs</t>
  </si>
  <si>
    <t xml:space="preserve">P1335</t>
  </si>
  <si>
    <t xml:space="preserve">Block diagram/flow chart of hydrogen compression</t>
  </si>
  <si>
    <t xml:space="preserve">P0611</t>
  </si>
  <si>
    <t xml:space="preserve">Material Safety Data Sheet</t>
  </si>
  <si>
    <t xml:space="preserve">P1088</t>
  </si>
  <si>
    <t xml:space="preserve">Display of emergency contact numbers (including hospitals having dedicated treatment facility for hydrogen-related accidents)</t>
  </si>
  <si>
    <t xml:space="preserve">P0782</t>
  </si>
  <si>
    <t xml:space="preserve">Associated plumbing accessories</t>
  </si>
  <si>
    <t xml:space="preserve">P0019</t>
  </si>
  <si>
    <t xml:space="preserve">Adjustable Wrench</t>
  </si>
  <si>
    <t xml:space="preserve">Hammer &amp; Pliers</t>
  </si>
  <si>
    <t xml:space="preserve">P2181</t>
  </si>
  <si>
    <t xml:space="preserve">Spanner and allen key set</t>
  </si>
  <si>
    <t xml:space="preserve">P2894</t>
  </si>
  <si>
    <t xml:space="preserve">Shovel/Trowel/Bucket</t>
  </si>
  <si>
    <t xml:space="preserve">P2820</t>
  </si>
  <si>
    <t xml:space="preserve">Solar Panel Mounting System</t>
  </si>
  <si>
    <t xml:space="preserve">P2868</t>
  </si>
  <si>
    <t xml:space="preserve">Solar Panels for Demonstration</t>
  </si>
  <si>
    <t xml:space="preserve">P2870</t>
  </si>
  <si>
    <t xml:space="preserve">Solar Panel Mounting Brackets &amp; Rails</t>
  </si>
  <si>
    <t xml:space="preserve">P2867</t>
  </si>
  <si>
    <t xml:space="preserve">EV Charging Gun (Type-2)</t>
  </si>
  <si>
    <t xml:space="preserve">P2044</t>
  </si>
  <si>
    <t xml:space="preserve">AC EV Charger (Slow)</t>
  </si>
  <si>
    <t xml:space="preserve">P1594</t>
  </si>
  <si>
    <t xml:space="preserve">DC Fast Charger (Demo Unit)</t>
  </si>
  <si>
    <t xml:space="preserve">P1901</t>
  </si>
  <si>
    <t xml:space="preserve">Inverter (String / Hybrid)</t>
  </si>
  <si>
    <t xml:space="preserve">P2295</t>
  </si>
  <si>
    <t xml:space="preserve">Battery Storage Unit (Lithium-ion)</t>
  </si>
  <si>
    <t xml:space="preserve">P1696</t>
  </si>
  <si>
    <t xml:space="preserve">Distribution Box (MCB, RCCB, Isolator)</t>
  </si>
  <si>
    <t xml:space="preserve">P1948</t>
  </si>
  <si>
    <t xml:space="preserve">Earthing Kit (Copper Rod, Plate)</t>
  </si>
  <si>
    <t xml:space="preserve">P1995</t>
  </si>
  <si>
    <t xml:space="preserve">Safety Accessories (Gloves, Helmet, Shoes)</t>
  </si>
  <si>
    <t xml:space="preserve">P1292</t>
  </si>
  <si>
    <t xml:space="preserve">Solar panels clips and fasterners (AC/DC)</t>
  </si>
  <si>
    <t xml:space="preserve">P0426</t>
  </si>
  <si>
    <t xml:space="preserve">PVC Pipes (For conduits)</t>
  </si>
  <si>
    <t xml:space="preserve">P0369</t>
  </si>
  <si>
    <t xml:space="preserve">Cable Ties and clamps</t>
  </si>
  <si>
    <t xml:space="preserve">P0051</t>
  </si>
  <si>
    <t xml:space="preserve">Pliers (Combination)</t>
  </si>
  <si>
    <t xml:space="preserve">P2626</t>
  </si>
  <si>
    <t xml:space="preserve">Utility Knife</t>
  </si>
  <si>
    <t xml:space="preserve">P3092</t>
  </si>
  <si>
    <t xml:space="preserve">Spanner Set</t>
  </si>
  <si>
    <t xml:space="preserve">Allen Wrench Set</t>
  </si>
  <si>
    <t xml:space="preserve">P1624</t>
  </si>
  <si>
    <t xml:space="preserve">Shovel (Small)</t>
  </si>
  <si>
    <t xml:space="preserve">P2819</t>
  </si>
  <si>
    <t xml:space="preserve">Hand Trowel</t>
  </si>
  <si>
    <t xml:space="preserve">P2218</t>
  </si>
  <si>
    <t xml:space="preserve">Handsaw</t>
  </si>
  <si>
    <t xml:space="preserve">Sledge Hammer</t>
  </si>
  <si>
    <t xml:space="preserve">P2834</t>
  </si>
  <si>
    <t xml:space="preserve">Clamp (C-Clamp)</t>
  </si>
  <si>
    <t xml:space="preserve">P1819</t>
  </si>
  <si>
    <t xml:space="preserve">Small Bucket (For mixing)</t>
  </si>
  <si>
    <t xml:space="preserve">P2838</t>
  </si>
  <si>
    <t xml:space="preserve">Cement Bag</t>
  </si>
  <si>
    <t xml:space="preserve">P0067</t>
  </si>
  <si>
    <t xml:space="preserve">Coarse Aggregates (per cu. m)</t>
  </si>
  <si>
    <t xml:space="preserve">P0087</t>
  </si>
  <si>
    <t xml:space="preserve">cu m</t>
  </si>
  <si>
    <t xml:space="preserve">Water as required</t>
  </si>
  <si>
    <t xml:space="preserve">P0501</t>
  </si>
  <si>
    <t xml:space="preserve">Saw Blade (For basic cutting)</t>
  </si>
  <si>
    <t xml:space="preserve">P0402</t>
  </si>
  <si>
    <t xml:space="preserve">Solar Panel Mounting Brackets</t>
  </si>
  <si>
    <t xml:space="preserve">P0424</t>
  </si>
  <si>
    <t xml:space="preserve">Solar Panel Clips</t>
  </si>
  <si>
    <t xml:space="preserve">P0423</t>
  </si>
  <si>
    <t xml:space="preserve">Solar Cable Connectors</t>
  </si>
  <si>
    <t xml:space="preserve">P0422</t>
  </si>
  <si>
    <t xml:space="preserve">Mounting Rails</t>
  </si>
  <si>
    <t xml:space="preserve">P0283</t>
  </si>
  <si>
    <t xml:space="preserve">Solar Panel Support Blocks</t>
  </si>
  <si>
    <t xml:space="preserve">P0425</t>
  </si>
  <si>
    <t xml:space="preserve">Fasteners (Nuts, Bolts, Washers)</t>
  </si>
  <si>
    <t xml:space="preserve">P0165</t>
  </si>
  <si>
    <t xml:space="preserve">Cable Ties</t>
  </si>
  <si>
    <t xml:space="preserve">Machete/Chopper</t>
  </si>
  <si>
    <t xml:space="preserve">P2380</t>
  </si>
  <si>
    <t xml:space="preserve">Crosscut Saw</t>
  </si>
  <si>
    <t xml:space="preserve">P1877</t>
  </si>
  <si>
    <t xml:space="preserve">Bamboo Hand Splitter</t>
  </si>
  <si>
    <t xml:space="preserve">P1669</t>
  </si>
  <si>
    <t xml:space="preserve">Bamboo Knife</t>
  </si>
  <si>
    <t xml:space="preserve">P1670</t>
  </si>
  <si>
    <t xml:space="preserve">Hand Plane</t>
  </si>
  <si>
    <t xml:space="preserve">P2205</t>
  </si>
  <si>
    <t xml:space="preserve">Draw Knife</t>
  </si>
  <si>
    <t xml:space="preserve">P1967</t>
  </si>
  <si>
    <t xml:space="preserve">Lacquering/Polishing Tools</t>
  </si>
  <si>
    <t xml:space="preserve">P2333</t>
  </si>
  <si>
    <t xml:space="preserve">Glue Gun/Adhesive Tools</t>
  </si>
  <si>
    <t xml:space="preserve">P2148</t>
  </si>
  <si>
    <t xml:space="preserve">Spokeshave</t>
  </si>
  <si>
    <t xml:space="preserve">P2913</t>
  </si>
  <si>
    <t xml:space="preserve">Wooden Mallet</t>
  </si>
  <si>
    <t xml:space="preserve">P3180</t>
  </si>
  <si>
    <t xml:space="preserve">Bamboo Splitter</t>
  </si>
  <si>
    <t xml:space="preserve">P1675</t>
  </si>
  <si>
    <t xml:space="preserve">Equipment used for developing bamboo products</t>
  </si>
  <si>
    <t xml:space="preserve">P2039</t>
  </si>
  <si>
    <t xml:space="preserve">Heat Gun/Torch</t>
  </si>
  <si>
    <t xml:space="preserve">P2230</t>
  </si>
  <si>
    <t xml:space="preserve">Sanding Machine</t>
  </si>
  <si>
    <t xml:space="preserve">P2747</t>
  </si>
  <si>
    <t xml:space="preserve">Jig Saw</t>
  </si>
  <si>
    <t xml:space="preserve">P2306</t>
  </si>
  <si>
    <t xml:space="preserve">Nail Gun</t>
  </si>
  <si>
    <t xml:space="preserve">P2498</t>
  </si>
  <si>
    <t xml:space="preserve">Waste disposal equipment's such as scrap bins, recyclers, waste processing machines etc.</t>
  </si>
  <si>
    <t xml:space="preserve">Bamboo Shaving Machine</t>
  </si>
  <si>
    <t xml:space="preserve">P1673</t>
  </si>
  <si>
    <t xml:space="preserve">Bamboo Splitting Machine</t>
  </si>
  <si>
    <t xml:space="preserve">P1676</t>
  </si>
  <si>
    <t xml:space="preserve">Bamboo Planer Machine</t>
  </si>
  <si>
    <t xml:space="preserve">P1672</t>
  </si>
  <si>
    <t xml:space="preserve">Bamboo Sliver Making Machine</t>
  </si>
  <si>
    <t xml:space="preserve">P1674</t>
  </si>
  <si>
    <t xml:space="preserve">Bamboo Mat Weaving Loom</t>
  </si>
  <si>
    <t xml:space="preserve">P1671</t>
  </si>
  <si>
    <t xml:space="preserve">Bamboo Bending Machine</t>
  </si>
  <si>
    <t xml:space="preserve">P1668</t>
  </si>
  <si>
    <t xml:space="preserve">CNC Machine</t>
  </si>
  <si>
    <t xml:space="preserve">P1837</t>
  </si>
  <si>
    <t xml:space="preserve">Bamboo Strip Sizing Machine</t>
  </si>
  <si>
    <t xml:space="preserve">P1677</t>
  </si>
  <si>
    <t xml:space="preserve">Bamboo Veneer Slicing Machine</t>
  </si>
  <si>
    <t xml:space="preserve">P1678</t>
  </si>
  <si>
    <t xml:space="preserve">Gloves and Goggles</t>
  </si>
  <si>
    <t xml:space="preserve">P0925</t>
  </si>
  <si>
    <t xml:space="preserve">Dust Mask/Respirator</t>
  </si>
  <si>
    <t xml:space="preserve">P0808</t>
  </si>
  <si>
    <t xml:space="preserve">Ear Protection</t>
  </si>
  <si>
    <t xml:space="preserve">P0819</t>
  </si>
  <si>
    <t xml:space="preserve">Bamboo Gloves</t>
  </si>
  <si>
    <t xml:space="preserve">P0575</t>
  </si>
  <si>
    <t xml:space="preserve">Charts of different process related to bamboo products</t>
  </si>
  <si>
    <t xml:space="preserve">P0652</t>
  </si>
  <si>
    <t xml:space="preserve">Samples of bamboo products</t>
  </si>
  <si>
    <t xml:space="preserve">P1343</t>
  </si>
  <si>
    <t xml:space="preserve">Samples of bamboo and sliver</t>
  </si>
  <si>
    <t xml:space="preserve">P1342</t>
  </si>
  <si>
    <t xml:space="preserve">Chart of bamboo processing</t>
  </si>
  <si>
    <t xml:space="preserve">P0648</t>
  </si>
  <si>
    <t xml:space="preserve">Organisational Chart of the bamboo industry/workshop</t>
  </si>
  <si>
    <t xml:space="preserve">P1155</t>
  </si>
  <si>
    <t xml:space="preserve">Wooden blocks used for hand block printing</t>
  </si>
  <si>
    <t xml:space="preserve">P3176</t>
  </si>
  <si>
    <t xml:space="preserve">Wooden printing blocks</t>
  </si>
  <si>
    <t xml:space="preserve">P3181</t>
  </si>
  <si>
    <t xml:space="preserve">Measuring cups</t>
  </si>
  <si>
    <t xml:space="preserve">P2409</t>
  </si>
  <si>
    <t xml:space="preserve">Mixing bowls</t>
  </si>
  <si>
    <t xml:space="preserve">P2469</t>
  </si>
  <si>
    <t xml:space="preserve">Brushes (Various sizes)</t>
  </si>
  <si>
    <t xml:space="preserve">P1754</t>
  </si>
  <si>
    <t xml:space="preserve">Spatulas</t>
  </si>
  <si>
    <t xml:space="preserve">P2900</t>
  </si>
  <si>
    <t xml:space="preserve">Squeegees</t>
  </si>
  <si>
    <t xml:space="preserve">P2923</t>
  </si>
  <si>
    <t xml:space="preserve">Water sprayers</t>
  </si>
  <si>
    <t xml:space="preserve">P3137</t>
  </si>
  <si>
    <t xml:space="preserve">Stencil cutting tools</t>
  </si>
  <si>
    <t xml:space="preserve">P2941</t>
  </si>
  <si>
    <t xml:space="preserve">Equipment used for developing hand block printed products</t>
  </si>
  <si>
    <t xml:space="preserve">P2040</t>
  </si>
  <si>
    <t xml:space="preserve">Dyeing units</t>
  </si>
  <si>
    <t xml:space="preserve">P1993</t>
  </si>
  <si>
    <t xml:space="preserve">Any other automatic and semi-automatic equipment used on-site</t>
  </si>
  <si>
    <t xml:space="preserve">Waste disposal equipment such as scrap bins, recyclers, waste processing machines, etc.</t>
  </si>
  <si>
    <t xml:space="preserve">P3122</t>
  </si>
  <si>
    <t xml:space="preserve">Steam press</t>
  </si>
  <si>
    <t xml:space="preserve">P2934</t>
  </si>
  <si>
    <t xml:space="preserve">Fixation chamber</t>
  </si>
  <si>
    <t xml:space="preserve">P2074</t>
  </si>
  <si>
    <t xml:space="preserve">Digital weighing scale</t>
  </si>
  <si>
    <t xml:space="preserve">Large-scale printing tables and workstations</t>
  </si>
  <si>
    <t xml:space="preserve">P1039</t>
  </si>
  <si>
    <t xml:space="preserve">Printing table</t>
  </si>
  <si>
    <t xml:space="preserve">P1232</t>
  </si>
  <si>
    <t xml:space="preserve">Ironing table</t>
  </si>
  <si>
    <t xml:space="preserve">P1013</t>
  </si>
  <si>
    <t xml:space="preserve">Drying rack</t>
  </si>
  <si>
    <t xml:space="preserve">P0804</t>
  </si>
  <si>
    <t xml:space="preserve">Personal protective equipment (PPE) like gloves, helmets, jackets, harness etc.</t>
  </si>
  <si>
    <t xml:space="preserve">P1182</t>
  </si>
  <si>
    <t xml:space="preserve">Charts of handling equipment</t>
  </si>
  <si>
    <t xml:space="preserve">P0659</t>
  </si>
  <si>
    <t xml:space="preserve">Charts of different processes related to hand block printing</t>
  </si>
  <si>
    <t xml:space="preserve">P0654</t>
  </si>
  <si>
    <t xml:space="preserve">Samples of hand block printed textiles</t>
  </si>
  <si>
    <t xml:space="preserve">P1346</t>
  </si>
  <si>
    <t xml:space="preserve">Organizational chart of the hand block printing industry/workshop</t>
  </si>
  <si>
    <t xml:space="preserve">P1156</t>
  </si>
  <si>
    <t xml:space="preserve">Cotton fabric (Meters)</t>
  </si>
  <si>
    <t xml:space="preserve">P0105</t>
  </si>
  <si>
    <t xml:space="preserve">Silk fabric (Meters)</t>
  </si>
  <si>
    <t xml:space="preserve">P0415</t>
  </si>
  <si>
    <t xml:space="preserve">Natural dyes (kg)</t>
  </si>
  <si>
    <t xml:space="preserve">P0289</t>
  </si>
  <si>
    <t xml:space="preserve">Synthetic dyes (kg)</t>
  </si>
  <si>
    <t xml:space="preserve">P0456</t>
  </si>
  <si>
    <t xml:space="preserve">Masking tape (Rolls)</t>
  </si>
  <si>
    <t xml:space="preserve">P0271</t>
  </si>
  <si>
    <t xml:space="preserve">Packaging material (Rolls)</t>
  </si>
  <si>
    <t xml:space="preserve">P0314</t>
  </si>
  <si>
    <t xml:space="preserve">Paper towels (Packs)</t>
  </si>
  <si>
    <t xml:space="preserve">P0327</t>
  </si>
  <si>
    <t xml:space="preserve">Any other equipment mentioned in the student's manual can be observed during the field visit</t>
  </si>
  <si>
    <t xml:space="preserve">P0545</t>
  </si>
  <si>
    <t xml:space="preserve">Waste disposal bins</t>
  </si>
  <si>
    <t xml:space="preserve">Crochet Needle Set</t>
  </si>
  <si>
    <t xml:space="preserve">P1875</t>
  </si>
  <si>
    <t xml:space="preserve">Pins and Pin Cushion</t>
  </si>
  <si>
    <t xml:space="preserve">Pick Glass</t>
  </si>
  <si>
    <t xml:space="preserve">Equipments used for developing jute products</t>
  </si>
  <si>
    <t xml:space="preserve">P2041</t>
  </si>
  <si>
    <t xml:space="preserve">Handloom Set Up</t>
  </si>
  <si>
    <t xml:space="preserve">P2222</t>
  </si>
  <si>
    <t xml:space="preserve">Dyeing Set Up Equipment</t>
  </si>
  <si>
    <t xml:space="preserve">P1992</t>
  </si>
  <si>
    <t xml:space="preserve">Printing Set Up Equipment</t>
  </si>
  <si>
    <t xml:space="preserve">P2657</t>
  </si>
  <si>
    <t xml:space="preserve">Electric Stove</t>
  </si>
  <si>
    <t xml:space="preserve">P2007</t>
  </si>
  <si>
    <t xml:space="preserve">Laboratory Fabric Streamer</t>
  </si>
  <si>
    <t xml:space="preserve">P2332</t>
  </si>
  <si>
    <t xml:space="preserve">Spinning Machine</t>
  </si>
  <si>
    <t xml:space="preserve">P2907</t>
  </si>
  <si>
    <t xml:space="preserve">Handloom/Power loom</t>
  </si>
  <si>
    <t xml:space="preserve">P2223</t>
  </si>
  <si>
    <t xml:space="preserve">Jute Fibre Straightening Machine</t>
  </si>
  <si>
    <t xml:space="preserve">P2312</t>
  </si>
  <si>
    <t xml:space="preserve">Jute Fabric Cutting Machine</t>
  </si>
  <si>
    <t xml:space="preserve">P2311</t>
  </si>
  <si>
    <t xml:space="preserve">Jute Article Finishing Machine</t>
  </si>
  <si>
    <t xml:space="preserve">P2310</t>
  </si>
  <si>
    <t xml:space="preserve">Furniture (Working Table, Stools, etc.)</t>
  </si>
  <si>
    <t xml:space="preserve">P0916</t>
  </si>
  <si>
    <t xml:space="preserve">Charts of different process related to jute products</t>
  </si>
  <si>
    <t xml:space="preserve">P0653</t>
  </si>
  <si>
    <t xml:space="preserve">Samples of jute products</t>
  </si>
  <si>
    <t xml:space="preserve">P1349</t>
  </si>
  <si>
    <t xml:space="preserve">Samples of jute fibre and yarn</t>
  </si>
  <si>
    <t xml:space="preserve">P1348</t>
  </si>
  <si>
    <t xml:space="preserve">Different jute fabric swatches</t>
  </si>
  <si>
    <t xml:space="preserve">P0763</t>
  </si>
  <si>
    <t xml:space="preserve">Organizational Chart of the Jute industry/workshop</t>
  </si>
  <si>
    <t xml:space="preserve">P1158</t>
  </si>
  <si>
    <t xml:space="preserve">Dyes (kg)</t>
  </si>
  <si>
    <t xml:space="preserve">P0141</t>
  </si>
  <si>
    <t xml:space="preserve">Jute Fibre (per kg)</t>
  </si>
  <si>
    <t xml:space="preserve">P0235</t>
  </si>
  <si>
    <t xml:space="preserve">Jute Fabrics (meter)</t>
  </si>
  <si>
    <t xml:space="preserve">P0234</t>
  </si>
  <si>
    <t xml:space="preserve">Yarn Spools (Set of 3)</t>
  </si>
  <si>
    <t xml:space="preserve">P0517</t>
  </si>
  <si>
    <t xml:space="preserve">Embellishment Material Sequins, mirrors, beads, etc.</t>
  </si>
  <si>
    <t xml:space="preserve">P0147</t>
  </si>
  <si>
    <t xml:space="preserve">Pattern Making Paper</t>
  </si>
  <si>
    <t xml:space="preserve">Tracing Paper</t>
  </si>
  <si>
    <t xml:space="preserve">Non-woven Non-fusible Backing Paper</t>
  </si>
  <si>
    <t xml:space="preserve">Trims and Laces</t>
  </si>
  <si>
    <t xml:space="preserve">P0485</t>
  </si>
  <si>
    <t xml:space="preserve">Tools and equipment used for paper mache crafting such as sculpting tools, molds, brushes</t>
  </si>
  <si>
    <t xml:space="preserve">P3046</t>
  </si>
  <si>
    <t xml:space="preserve">Sculpting hand tools</t>
  </si>
  <si>
    <t xml:space="preserve">P2775</t>
  </si>
  <si>
    <t xml:space="preserve">One-piece and two-piece molds</t>
  </si>
  <si>
    <t xml:space="preserve">P2523</t>
  </si>
  <si>
    <t xml:space="preserve">Adhesive preparation and mixing tools</t>
  </si>
  <si>
    <t xml:space="preserve">P1596</t>
  </si>
  <si>
    <t xml:space="preserve">Paint Brushes (various sizes)</t>
  </si>
  <si>
    <t xml:space="preserve">P2552</t>
  </si>
  <si>
    <t xml:space="preserve">Cutter (utility knife)</t>
  </si>
  <si>
    <t xml:space="preserve">P1890</t>
  </si>
  <si>
    <t xml:space="preserve">Palette / Colour mixing plates</t>
  </si>
  <si>
    <t xml:space="preserve">P2556</t>
  </si>
  <si>
    <t xml:space="preserve">Scissors (sharp, medium size)</t>
  </si>
  <si>
    <t xml:space="preserve">P2757</t>
  </si>
  <si>
    <t xml:space="preserve">Wire Cutter</t>
  </si>
  <si>
    <t xml:space="preserve">P3169</t>
  </si>
  <si>
    <t xml:space="preserve">Cutting Pliers</t>
  </si>
  <si>
    <t xml:space="preserve">P1896</t>
  </si>
  <si>
    <t xml:space="preserve">Pedi (flattening tool)</t>
  </si>
  <si>
    <t xml:space="preserve">P2571</t>
  </si>
  <si>
    <t xml:space="preserve">Knives (straight and curved)</t>
  </si>
  <si>
    <t xml:space="preserve">P2324</t>
  </si>
  <si>
    <t xml:space="preserve">Clay Modelling Tools</t>
  </si>
  <si>
    <t xml:space="preserve">P1821</t>
  </si>
  <si>
    <t xml:space="preserve">Funner (cleaning brush)</t>
  </si>
  <si>
    <t xml:space="preserve">P2118</t>
  </si>
  <si>
    <t xml:space="preserve">Stainer (strainer for adhesives)</t>
  </si>
  <si>
    <t xml:space="preserve">P2926</t>
  </si>
  <si>
    <t xml:space="preserve">Bowls and Containers</t>
  </si>
  <si>
    <t xml:space="preserve">P1739</t>
  </si>
  <si>
    <t xml:space="preserve">Measuring Tools (ruler, scale, calipers)</t>
  </si>
  <si>
    <t xml:space="preserve">P2428</t>
  </si>
  <si>
    <t xml:space="preserve">Hollander Beater, Hydra Pulper, Paper Squeezing Machine, Klin Drying Machine etc</t>
  </si>
  <si>
    <t xml:space="preserve">P2245</t>
  </si>
  <si>
    <t xml:space="preserve">Hydra Pulper (Breaking/recycling paper)</t>
  </si>
  <si>
    <t xml:space="preserve">P2264</t>
  </si>
  <si>
    <t xml:space="preserve">Paper Squeezing Machine (Water removal from pulp)</t>
  </si>
  <si>
    <t xml:space="preserve">P2563</t>
  </si>
  <si>
    <t xml:space="preserve">Work tables and drying racks for handling and curing paper mache items</t>
  </si>
  <si>
    <t xml:space="preserve">P1565</t>
  </si>
  <si>
    <t xml:space="preserve">Safety equipment like gloves, aprons, dust masks, goggles for student use during practice</t>
  </si>
  <si>
    <t xml:space="preserve">P1296</t>
  </si>
  <si>
    <t xml:space="preserve">Safety installations</t>
  </si>
  <si>
    <t xml:space="preserve">P1305</t>
  </si>
  <si>
    <t xml:space="preserve">Personal Protective Equipment (PPE)</t>
  </si>
  <si>
    <t xml:space="preserve">P1180</t>
  </si>
  <si>
    <t xml:space="preserve">Charts and posters illustrating paper mache processes, techniques, and safety protocols</t>
  </si>
  <si>
    <t xml:space="preserve">P0650</t>
  </si>
  <si>
    <t xml:space="preserve">Samples of finished paper mache products (e.g., decorative items, idols, utility objects)</t>
  </si>
  <si>
    <t xml:space="preserve">P1345</t>
  </si>
  <si>
    <t xml:space="preserve">Instructional manuals, recipe sheets for different adhesives and finishes</t>
  </si>
  <si>
    <t xml:space="preserve">P0994</t>
  </si>
  <si>
    <t xml:space="preserve">Paints</t>
  </si>
  <si>
    <t xml:space="preserve">P0320</t>
  </si>
  <si>
    <t xml:space="preserve">Raw materials like recycled paper pulp, natural adhesives (gond, wheat paste), colors, binding agents</t>
  </si>
  <si>
    <t xml:space="preserve">P0372</t>
  </si>
  <si>
    <t xml:space="preserve">Sandpaper (assorted grades)</t>
  </si>
  <si>
    <t xml:space="preserve">P0399</t>
  </si>
  <si>
    <t xml:space="preserve">Acrylic/Dust/Enamel Paints (variety)</t>
  </si>
  <si>
    <t xml:space="preserve">P0003</t>
  </si>
  <si>
    <t xml:space="preserve">Sponge (soft, for finishing)</t>
  </si>
  <si>
    <t xml:space="preserve">P0434</t>
  </si>
  <si>
    <t xml:space="preserve">Tacky Glue (500 ml bottles)</t>
  </si>
  <si>
    <t xml:space="preserve">P0461</t>
  </si>
  <si>
    <t xml:space="preserve">Cardboard sheets (large)</t>
  </si>
  <si>
    <t xml:space="preserve">P0058</t>
  </si>
  <si>
    <t xml:space="preserve">Chalk Powder/Whitening Powder</t>
  </si>
  <si>
    <t xml:space="preserve">P0069</t>
  </si>
  <si>
    <t xml:space="preserve">Wire (for armatures)</t>
  </si>
  <si>
    <t xml:space="preserve">P0514</t>
  </si>
  <si>
    <t xml:space="preserve">Flour and Rice Paste (adhesive)</t>
  </si>
  <si>
    <t xml:space="preserve">P0180</t>
  </si>
  <si>
    <t xml:space="preserve">Multani Mitti (Fuller's Earth)</t>
  </si>
  <si>
    <t xml:space="preserve">P0284</t>
  </si>
  <si>
    <t xml:space="preserve">Gond, Imli Beej (natural adhesive powders)</t>
  </si>
  <si>
    <t xml:space="preserve">P0202</t>
  </si>
  <si>
    <t xml:space="preserve">Masking/Paper Tape</t>
  </si>
  <si>
    <t xml:space="preserve">P0272</t>
  </si>
  <si>
    <t xml:space="preserve">Various Papers (newspaper, tissue, etc.)</t>
  </si>
  <si>
    <t xml:space="preserve">P0495</t>
  </si>
  <si>
    <t xml:space="preserve">Varnish/Lacquer (1 litre bottles)</t>
  </si>
  <si>
    <t xml:space="preserve">P0496</t>
  </si>
  <si>
    <t xml:space="preserve">Drying chambers or controlled rooms</t>
  </si>
  <si>
    <t xml:space="preserve">P0803</t>
  </si>
  <si>
    <t xml:space="preserve">Painting and finishing stations</t>
  </si>
  <si>
    <t xml:space="preserve">P1167</t>
  </si>
  <si>
    <t xml:space="preserve">Packaging and storage facilities</t>
  </si>
  <si>
    <t xml:space="preserve">P1165</t>
  </si>
  <si>
    <t xml:space="preserve">Artery Forceps</t>
  </si>
  <si>
    <t xml:space="preserve">P1645</t>
  </si>
  <si>
    <t xml:space="preserve">Dissecting Forceps</t>
  </si>
  <si>
    <t xml:space="preserve">P1944</t>
  </si>
  <si>
    <t xml:space="preserve">Enamel Basin</t>
  </si>
  <si>
    <t xml:space="preserve">Nail Cutter</t>
  </si>
  <si>
    <t xml:space="preserve">P2496</t>
  </si>
  <si>
    <t xml:space="preserve">Nail Filer</t>
  </si>
  <si>
    <t xml:space="preserve">P2497</t>
  </si>
  <si>
    <t xml:space="preserve">Oral care Set</t>
  </si>
  <si>
    <t xml:space="preserve">P2527</t>
  </si>
  <si>
    <t xml:space="preserve">Steel Tray</t>
  </si>
  <si>
    <t xml:space="preserve">P2939</t>
  </si>
  <si>
    <t xml:space="preserve">Urinal Set</t>
  </si>
  <si>
    <t xml:space="preserve">P3090</t>
  </si>
  <si>
    <t xml:space="preserve">Advanced Male and Female Catheterization Kit</t>
  </si>
  <si>
    <t xml:space="preserve">P1602</t>
  </si>
  <si>
    <t xml:space="preserve">Air Cushion</t>
  </si>
  <si>
    <t xml:space="preserve">P1610</t>
  </si>
  <si>
    <t xml:space="preserve">Ambu Bag with Mask (Adult)</t>
  </si>
  <si>
    <t xml:space="preserve">P1628</t>
  </si>
  <si>
    <t xml:space="preserve">Auto-loading Stretcher</t>
  </si>
  <si>
    <t xml:space="preserve">P1652</t>
  </si>
  <si>
    <t xml:space="preserve">Bed Pan</t>
  </si>
  <si>
    <t xml:space="preserve">Call Bell</t>
  </si>
  <si>
    <t xml:space="preserve">Cervical Colour Set</t>
  </si>
  <si>
    <t xml:space="preserve">P1800</t>
  </si>
  <si>
    <t xml:space="preserve">Crash Card</t>
  </si>
  <si>
    <t xml:space="preserve">P1867</t>
  </si>
  <si>
    <t xml:space="preserve">Electronic Blood Pressure Monitoring Machine</t>
  </si>
  <si>
    <t xml:space="preserve">P2014</t>
  </si>
  <si>
    <t xml:space="preserve">Malleable Splint Set</t>
  </si>
  <si>
    <t xml:space="preserve">P2390</t>
  </si>
  <si>
    <t xml:space="preserve">Oxygen Cylinder with Connector, Key, Face Mask and Tubing</t>
  </si>
  <si>
    <t xml:space="preserve">P2538</t>
  </si>
  <si>
    <t xml:space="preserve">Patient Remote Bell</t>
  </si>
  <si>
    <t xml:space="preserve">P2570</t>
  </si>
  <si>
    <t xml:space="preserve">Scoop Stretcher</t>
  </si>
  <si>
    <t xml:space="preserve">P2758</t>
  </si>
  <si>
    <t xml:space="preserve">Stethoscope</t>
  </si>
  <si>
    <t xml:space="preserve">P2946</t>
  </si>
  <si>
    <t xml:space="preserve">Syringe Destroyer and Needle Burner</t>
  </si>
  <si>
    <t xml:space="preserve">P2975</t>
  </si>
  <si>
    <t xml:space="preserve">Back Rest</t>
  </si>
  <si>
    <t xml:space="preserve">P0569</t>
  </si>
  <si>
    <t xml:space="preserve">Bed Side Locker</t>
  </si>
  <si>
    <t xml:space="preserve">Doctors Table</t>
  </si>
  <si>
    <t xml:space="preserve">P0785</t>
  </si>
  <si>
    <t xml:space="preserve">Foot Step</t>
  </si>
  <si>
    <t xml:space="preserve">P0901</t>
  </si>
  <si>
    <t xml:space="preserve">ICU Bed with Mattress</t>
  </si>
  <si>
    <t xml:space="preserve">P0981</t>
  </si>
  <si>
    <t xml:space="preserve">Patient Examination Table</t>
  </si>
  <si>
    <t xml:space="preserve">P1171</t>
  </si>
  <si>
    <t xml:space="preserve">Airway Mannequin</t>
  </si>
  <si>
    <t xml:space="preserve">P0535</t>
  </si>
  <si>
    <t xml:space="preserve">Birthing Simulator</t>
  </si>
  <si>
    <t xml:space="preserve">P0606</t>
  </si>
  <si>
    <t xml:space="preserve">CPR Mannequin</t>
  </si>
  <si>
    <t xml:space="preserve">P0725</t>
  </si>
  <si>
    <t xml:space="preserve">Full Body Mannequin – Basic</t>
  </si>
  <si>
    <t xml:space="preserve">P0912</t>
  </si>
  <si>
    <t xml:space="preserve">Male Multi-Veno Intravenous Arm</t>
  </si>
  <si>
    <t xml:space="preserve">P1075</t>
  </si>
  <si>
    <t xml:space="preserve">Simulation Equipment - Mannequins</t>
  </si>
  <si>
    <t xml:space="preserve">P1386</t>
  </si>
  <si>
    <t xml:space="preserve">Wound Care Model Anatomical</t>
  </si>
  <si>
    <t xml:space="preserve">P1574</t>
  </si>
  <si>
    <t xml:space="preserve">Bed Sheet, Blanket, Pillow with Pillow Cover</t>
  </si>
  <si>
    <t xml:space="preserve">P0030</t>
  </si>
  <si>
    <t xml:space="preserve">Rubber Sheet</t>
  </si>
  <si>
    <t xml:space="preserve">Sand Bag</t>
  </si>
  <si>
    <t xml:space="preserve">P1352</t>
  </si>
  <si>
    <t xml:space="preserve">Bedpan</t>
  </si>
  <si>
    <t xml:space="preserve">Oral Care Set</t>
  </si>
  <si>
    <t xml:space="preserve">Inch Tape</t>
  </si>
  <si>
    <t xml:space="preserve">P2276</t>
  </si>
  <si>
    <t xml:space="preserve">Splint</t>
  </si>
  <si>
    <t xml:space="preserve">P2912</t>
  </si>
  <si>
    <t xml:space="preserve">Cervical Collar</t>
  </si>
  <si>
    <t xml:space="preserve">P1799</t>
  </si>
  <si>
    <t xml:space="preserve">Pulse Oximeter</t>
  </si>
  <si>
    <t xml:space="preserve">P2670</t>
  </si>
  <si>
    <t xml:space="preserve">Steamer</t>
  </si>
  <si>
    <t xml:space="preserve">P2935</t>
  </si>
  <si>
    <t xml:space="preserve">Nebulizer</t>
  </si>
  <si>
    <t xml:space="preserve">P2501</t>
  </si>
  <si>
    <t xml:space="preserve">Hot Water bag</t>
  </si>
  <si>
    <t xml:space="preserve">P2258</t>
  </si>
  <si>
    <t xml:space="preserve">Spirometer</t>
  </si>
  <si>
    <t xml:space="preserve">P2911</t>
  </si>
  <si>
    <t xml:space="preserve">Cell Bell</t>
  </si>
  <si>
    <t xml:space="preserve">P1794</t>
  </si>
  <si>
    <t xml:space="preserve">Ice Cap</t>
  </si>
  <si>
    <t xml:space="preserve">P2271</t>
  </si>
  <si>
    <t xml:space="preserve">Bed(ICU)</t>
  </si>
  <si>
    <t xml:space="preserve">P0597</t>
  </si>
  <si>
    <t xml:space="preserve">Locker</t>
  </si>
  <si>
    <t xml:space="preserve">P1065</t>
  </si>
  <si>
    <t xml:space="preserve">Foot Rest</t>
  </si>
  <si>
    <t xml:space="preserve">P0900</t>
  </si>
  <si>
    <t xml:space="preserve">Mask-Packet</t>
  </si>
  <si>
    <t xml:space="preserve">P1086</t>
  </si>
  <si>
    <t xml:space="preserve">Shoe Cover-Packet</t>
  </si>
  <si>
    <t xml:space="preserve">P1376</t>
  </si>
  <si>
    <t xml:space="preserve">Hair Cap-Packet</t>
  </si>
  <si>
    <t xml:space="preserve">P0939</t>
  </si>
  <si>
    <t xml:space="preserve">Mannequin</t>
  </si>
  <si>
    <t xml:space="preserve">P1078</t>
  </si>
  <si>
    <t xml:space="preserve">Gloves(disposable)-Packet</t>
  </si>
  <si>
    <t xml:space="preserve">P0197</t>
  </si>
  <si>
    <t xml:space="preserve">Gloves (Surgical)-Packet</t>
  </si>
  <si>
    <t xml:space="preserve">P0196</t>
  </si>
  <si>
    <t xml:space="preserve">Liquid Soap</t>
  </si>
  <si>
    <t xml:space="preserve">P0252</t>
  </si>
  <si>
    <t xml:space="preserve">Wet Wipes -Packet</t>
  </si>
  <si>
    <t xml:space="preserve">P0508</t>
  </si>
  <si>
    <t xml:space="preserve">Talcum Powder</t>
  </si>
  <si>
    <t xml:space="preserve">Different Colour Plastic Bags with Dustbins</t>
  </si>
  <si>
    <t xml:space="preserve">P0121</t>
  </si>
  <si>
    <t xml:space="preserve">Uro Bag Sample Collection Bottle</t>
  </si>
  <si>
    <t xml:space="preserve">P0488</t>
  </si>
  <si>
    <t xml:space="preserve">Gauze Piece (4x4)</t>
  </si>
  <si>
    <t xml:space="preserve">Syringe 50cc/ml (Asepto)</t>
  </si>
  <si>
    <t xml:space="preserve">P0458</t>
  </si>
  <si>
    <t xml:space="preserve">Folley Catheter</t>
  </si>
  <si>
    <t xml:space="preserve">Euro Bags</t>
  </si>
  <si>
    <t xml:space="preserve">Adult Diaper</t>
  </si>
  <si>
    <t xml:space="preserve">P0007</t>
  </si>
  <si>
    <t xml:space="preserve">Ryle's Tube</t>
  </si>
  <si>
    <t xml:space="preserve">Register for Medications/ Daily Maintenance</t>
  </si>
  <si>
    <t xml:space="preserve">P0382</t>
  </si>
  <si>
    <t xml:space="preserve">Bottle</t>
  </si>
  <si>
    <t xml:space="preserve">P0621</t>
  </si>
  <si>
    <t xml:space="preserve">Medicine Containers</t>
  </si>
  <si>
    <t xml:space="preserve">P1092</t>
  </si>
  <si>
    <t xml:space="preserve">Steel rings</t>
  </si>
  <si>
    <t xml:space="preserve">P2936</t>
  </si>
  <si>
    <t xml:space="preserve">Mug</t>
  </si>
  <si>
    <t xml:space="preserve">P2486</t>
  </si>
  <si>
    <t xml:space="preserve">Shirobasti cap</t>
  </si>
  <si>
    <t xml:space="preserve">P2815</t>
  </si>
  <si>
    <t xml:space="preserve">Kindi/kumbhika for poring oil</t>
  </si>
  <si>
    <t xml:space="preserve">P2317</t>
  </si>
  <si>
    <t xml:space="preserve">2 litre vessel</t>
  </si>
  <si>
    <t xml:space="preserve">P1579</t>
  </si>
  <si>
    <t xml:space="preserve">Wash basin</t>
  </si>
  <si>
    <t xml:space="preserve">P3117</t>
  </si>
  <si>
    <t xml:space="preserve">Sphygmomanometer</t>
  </si>
  <si>
    <t xml:space="preserve">P2905</t>
  </si>
  <si>
    <t xml:space="preserve">Basti</t>
  </si>
  <si>
    <t xml:space="preserve">P1689</t>
  </si>
  <si>
    <t xml:space="preserve">Yantra</t>
  </si>
  <si>
    <t xml:space="preserve">P3185</t>
  </si>
  <si>
    <t xml:space="preserve">Shirodhara Stand equipment</t>
  </si>
  <si>
    <t xml:space="preserve">P2816</t>
  </si>
  <si>
    <t xml:space="preserve">Nadee Swedan Yantra</t>
  </si>
  <si>
    <t xml:space="preserve">P2495</t>
  </si>
  <si>
    <t xml:space="preserve">Basti yantra</t>
  </si>
  <si>
    <t xml:space="preserve">P1690</t>
  </si>
  <si>
    <t xml:space="preserve">Shirodhara Sweda</t>
  </si>
  <si>
    <t xml:space="preserve">P2817</t>
  </si>
  <si>
    <t xml:space="preserve">Enema can be done with tubing</t>
  </si>
  <si>
    <t xml:space="preserve">P2033</t>
  </si>
  <si>
    <t xml:space="preserve">Bashpa Swedan</t>
  </si>
  <si>
    <t xml:space="preserve">P1683</t>
  </si>
  <si>
    <t xml:space="preserve">Induction cooker</t>
  </si>
  <si>
    <t xml:space="preserve">P2282</t>
  </si>
  <si>
    <t xml:space="preserve">Computer (PC)</t>
  </si>
  <si>
    <t xml:space="preserve">P0692</t>
  </si>
  <si>
    <t xml:space="preserve">Droni</t>
  </si>
  <si>
    <t xml:space="preserve">P0802</t>
  </si>
  <si>
    <t xml:space="preserve">Ladder to climb Dhroni</t>
  </si>
  <si>
    <t xml:space="preserve">P1025</t>
  </si>
  <si>
    <t xml:space="preserve">Mirror for visualizing the complete body</t>
  </si>
  <si>
    <t xml:space="preserve">P1095</t>
  </si>
  <si>
    <t xml:space="preserve">Personal Protective Equipment Kit (PPE)</t>
  </si>
  <si>
    <t xml:space="preserve">P1184</t>
  </si>
  <si>
    <t xml:space="preserve">First-aid Kit</t>
  </si>
  <si>
    <t xml:space="preserve">Eye-caps/shield</t>
  </si>
  <si>
    <t xml:space="preserve">P0852</t>
  </si>
  <si>
    <t xml:space="preserve">Working Apron/Coat</t>
  </si>
  <si>
    <t xml:space="preserve">P1569</t>
  </si>
  <si>
    <t xml:space="preserve">Human Body Manikin</t>
  </si>
  <si>
    <t xml:space="preserve">P0975</t>
  </si>
  <si>
    <t xml:space="preserve">AV Aids</t>
  </si>
  <si>
    <t xml:space="preserve">P0567</t>
  </si>
  <si>
    <t xml:space="preserve">White Board/Smart Board</t>
  </si>
  <si>
    <t xml:space="preserve">P1553</t>
  </si>
  <si>
    <t xml:space="preserve">Hand washing</t>
  </si>
  <si>
    <t xml:space="preserve">P0216</t>
  </si>
  <si>
    <t xml:space="preserve">Paper Towel</t>
  </si>
  <si>
    <t xml:space="preserve">P0326</t>
  </si>
  <si>
    <t xml:space="preserve">Disposable Glycerine syringe</t>
  </si>
  <si>
    <t xml:space="preserve">P0130</t>
  </si>
  <si>
    <t xml:space="preserve">Linen</t>
  </si>
  <si>
    <t xml:space="preserve">P0246</t>
  </si>
  <si>
    <t xml:space="preserve">Rubber Catheter</t>
  </si>
  <si>
    <t xml:space="preserve">P0391</t>
  </si>
  <si>
    <t xml:space="preserve">Hand sanitizer</t>
  </si>
  <si>
    <t xml:space="preserve">Red rubber catheter for Basti Administration</t>
  </si>
  <si>
    <t xml:space="preserve">P0379</t>
  </si>
  <si>
    <t xml:space="preserve">Scalp vein set No 20-23 for Siravyadha</t>
  </si>
  <si>
    <t xml:space="preserve">P0403</t>
  </si>
  <si>
    <t xml:space="preserve">Oil, churna, and other material</t>
  </si>
  <si>
    <t xml:space="preserve">P0310</t>
  </si>
  <si>
    <t xml:space="preserve">Bio-Medical waste bins</t>
  </si>
  <si>
    <t xml:space="preserve">P0603</t>
  </si>
  <si>
    <t xml:space="preserve">Tool kit like hand tools</t>
  </si>
  <si>
    <t xml:space="preserve">P3043</t>
  </si>
  <si>
    <t xml:space="preserve">Electronic diagnostic devices</t>
  </si>
  <si>
    <t xml:space="preserve">P2015</t>
  </si>
  <si>
    <t xml:space="preserve">Pulse Oximeter (Finger)</t>
  </si>
  <si>
    <t xml:space="preserve">P2671</t>
  </si>
  <si>
    <t xml:space="preserve">Glucometer</t>
  </si>
  <si>
    <t xml:space="preserve">P2146</t>
  </si>
  <si>
    <t xml:space="preserve">Haemoglobin meter</t>
  </si>
  <si>
    <t xml:space="preserve">P2172</t>
  </si>
  <si>
    <t xml:space="preserve">ECG machine</t>
  </si>
  <si>
    <t xml:space="preserve">P1997</t>
  </si>
  <si>
    <t xml:space="preserve">Derma scope Auto scope</t>
  </si>
  <si>
    <t xml:space="preserve">P1912</t>
  </si>
  <si>
    <t xml:space="preserve">Weight machine</t>
  </si>
  <si>
    <t xml:space="preserve">P3153</t>
  </si>
  <si>
    <t xml:space="preserve">Ambu Bag</t>
  </si>
  <si>
    <t xml:space="preserve">P1627</t>
  </si>
  <si>
    <t xml:space="preserve">Torch</t>
  </si>
  <si>
    <t xml:space="preserve">P3050</t>
  </si>
  <si>
    <t xml:space="preserve">Physical restraints</t>
  </si>
  <si>
    <t xml:space="preserve">P2590</t>
  </si>
  <si>
    <t xml:space="preserve">Test equipment</t>
  </si>
  <si>
    <t xml:space="preserve">P3017</t>
  </si>
  <si>
    <t xml:space="preserve">Watt meter, pressure meters</t>
  </si>
  <si>
    <t xml:space="preserve">P3141</t>
  </si>
  <si>
    <t xml:space="preserve">Electrical safety analyzer</t>
  </si>
  <si>
    <t xml:space="preserve">P2010</t>
  </si>
  <si>
    <t xml:space="preserve">Diagnostic kit</t>
  </si>
  <si>
    <t xml:space="preserve">P1922</t>
  </si>
  <si>
    <t xml:space="preserve">Video conferencing tools</t>
  </si>
  <si>
    <t xml:space="preserve">P1531</t>
  </si>
  <si>
    <t xml:space="preserve">Videoconferencing units</t>
  </si>
  <si>
    <t xml:space="preserve">P1534</t>
  </si>
  <si>
    <t xml:space="preserve">Peripheral cameras, Projectors</t>
  </si>
  <si>
    <t xml:space="preserve">P1175</t>
  </si>
  <si>
    <t xml:space="preserve">Video-scopes or web cams and microphones</t>
  </si>
  <si>
    <t xml:space="preserve">P1533</t>
  </si>
  <si>
    <t xml:space="preserve">M-health equipments smart phone, tablet phone</t>
  </si>
  <si>
    <t xml:space="preserve">P1068</t>
  </si>
  <si>
    <t xml:space="preserve">Computer, LED TV</t>
  </si>
  <si>
    <t xml:space="preserve">P0713</t>
  </si>
  <si>
    <t xml:space="preserve">Telehealth software</t>
  </si>
  <si>
    <t xml:space="preserve">P1468</t>
  </si>
  <si>
    <t xml:space="preserve">Diagnostic software</t>
  </si>
  <si>
    <t xml:space="preserve">P0759</t>
  </si>
  <si>
    <t xml:space="preserve">Crash cart trolley</t>
  </si>
  <si>
    <t xml:space="preserve">P0726</t>
  </si>
  <si>
    <t xml:space="preserve">First aid box</t>
  </si>
  <si>
    <t xml:space="preserve">Personal protective equipment</t>
  </si>
  <si>
    <t xml:space="preserve">3D models of Human Body organ</t>
  </si>
  <si>
    <t xml:space="preserve">P0525</t>
  </si>
  <si>
    <t xml:space="preserve">Flip Chart on human skeleton systems</t>
  </si>
  <si>
    <t xml:space="preserve">P0891</t>
  </si>
  <si>
    <t xml:space="preserve">Chart and Posters on body systems</t>
  </si>
  <si>
    <t xml:space="preserve">P0647</t>
  </si>
  <si>
    <t xml:space="preserve">Smart Board</t>
  </si>
  <si>
    <t xml:space="preserve">P1395</t>
  </si>
  <si>
    <t xml:space="preserve">CPR Manikin</t>
  </si>
  <si>
    <t xml:space="preserve">P0723</t>
  </si>
  <si>
    <t xml:space="preserve">Sample formats hospital documents</t>
  </si>
  <si>
    <t xml:space="preserve">P1325</t>
  </si>
  <si>
    <t xml:space="preserve">Samples bills and records</t>
  </si>
  <si>
    <t xml:space="preserve">P1341</t>
  </si>
  <si>
    <t xml:space="preserve">White-Board Marker</t>
  </si>
  <si>
    <t xml:space="preserve">Ice pack</t>
  </si>
  <si>
    <t xml:space="preserve">P0221</t>
  </si>
  <si>
    <t xml:space="preserve">Hand hygiene measures</t>
  </si>
  <si>
    <t xml:space="preserve">P0212</t>
  </si>
  <si>
    <t xml:space="preserve">Sharp container</t>
  </si>
  <si>
    <t xml:space="preserve">P0411</t>
  </si>
  <si>
    <t xml:space="preserve">Biomedical dustbin</t>
  </si>
  <si>
    <t xml:space="preserve">P0605</t>
  </si>
  <si>
    <t xml:space="preserve">Jalneti pot</t>
  </si>
  <si>
    <t xml:space="preserve">P2305</t>
  </si>
  <si>
    <t xml:space="preserve">Yoga mat</t>
  </si>
  <si>
    <t xml:space="preserve">Computer with internet facility</t>
  </si>
  <si>
    <t xml:space="preserve">P0710</t>
  </si>
  <si>
    <t xml:space="preserve">Human Body Skeleton</t>
  </si>
  <si>
    <t xml:space="preserve">P0976</t>
  </si>
  <si>
    <t xml:space="preserve">Charts and Posters on body systems</t>
  </si>
  <si>
    <t xml:space="preserve">P0651</t>
  </si>
  <si>
    <t xml:space="preserve">AV Aids for understanding Human body structure and function</t>
  </si>
  <si>
    <t xml:space="preserve">P0568</t>
  </si>
  <si>
    <t xml:space="preserve">Manikin</t>
  </si>
  <si>
    <t xml:space="preserve">P1077</t>
  </si>
  <si>
    <t xml:space="preserve">Yoga Diet chart</t>
  </si>
  <si>
    <t xml:space="preserve">P1575</t>
  </si>
  <si>
    <t xml:space="preserve">Poster and charts on Yoga asanas, pranayam, mudra</t>
  </si>
  <si>
    <t xml:space="preserve">P1211</t>
  </si>
  <si>
    <t xml:space="preserve">Splints</t>
  </si>
  <si>
    <t xml:space="preserve">P0432</t>
  </si>
  <si>
    <t xml:space="preserve">Bandage</t>
  </si>
  <si>
    <t xml:space="preserve">P0022</t>
  </si>
  <si>
    <t xml:space="preserve">Anti-septic</t>
  </si>
  <si>
    <t xml:space="preserve">P0017</t>
  </si>
  <si>
    <t xml:space="preserve">Sutra Neti</t>
  </si>
  <si>
    <t xml:space="preserve">P0455</t>
  </si>
  <si>
    <t xml:space="preserve">Rubber Neti</t>
  </si>
  <si>
    <t xml:space="preserve">P0392</t>
  </si>
  <si>
    <t xml:space="preserve">Vastra Dhoti</t>
  </si>
  <si>
    <t xml:space="preserve">P0497</t>
  </si>
  <si>
    <t xml:space="preserve">Soap</t>
  </si>
  <si>
    <t xml:space="preserve">P0418</t>
  </si>
  <si>
    <t xml:space="preserve">Sample forms and Formats</t>
  </si>
  <si>
    <t xml:space="preserve">P0396</t>
  </si>
  <si>
    <t xml:space="preserve">Yoga dress for male and female</t>
  </si>
  <si>
    <t xml:space="preserve">P1576</t>
  </si>
  <si>
    <t xml:space="preserve">Face Mirror</t>
  </si>
  <si>
    <t xml:space="preserve">P0855</t>
  </si>
  <si>
    <t xml:space="preserve">Dust bean (dustbin)</t>
  </si>
  <si>
    <t xml:space="preserve">P0806</t>
  </si>
  <si>
    <t xml:space="preserve">Water pot/ Mug/ Glass</t>
  </si>
  <si>
    <t xml:space="preserve">P1548</t>
  </si>
  <si>
    <t xml:space="preserve">Wall clock</t>
  </si>
  <si>
    <t xml:space="preserve">P1540</t>
  </si>
  <si>
    <t xml:space="preserve">Tratak Stand</t>
  </si>
  <si>
    <t xml:space="preserve">P1501</t>
  </si>
  <si>
    <t xml:space="preserve">Dust Pan</t>
  </si>
  <si>
    <t xml:space="preserve">P1987</t>
  </si>
  <si>
    <t xml:space="preserve">Feather Duster - Big &amp; Small</t>
  </si>
  <si>
    <t xml:space="preserve">P2060</t>
  </si>
  <si>
    <t xml:space="preserve">Mop (Indian/Western)</t>
  </si>
  <si>
    <t xml:space="preserve">P2477</t>
  </si>
  <si>
    <t xml:space="preserve">Soft Broom (Indian)</t>
  </si>
  <si>
    <t xml:space="preserve">P2856</t>
  </si>
  <si>
    <t xml:space="preserve">Pulse oximeter</t>
  </si>
  <si>
    <t xml:space="preserve">Blood pressure monitor (manual and/or digital)</t>
  </si>
  <si>
    <t xml:space="preserve">P1718</t>
  </si>
  <si>
    <t xml:space="preserve">Mobility aids for the handicapped person</t>
  </si>
  <si>
    <t xml:space="preserve">P2472</t>
  </si>
  <si>
    <t xml:space="preserve">Cooking Range</t>
  </si>
  <si>
    <t xml:space="preserve">P1863</t>
  </si>
  <si>
    <t xml:space="preserve">Dishwasher</t>
  </si>
  <si>
    <t xml:space="preserve">P1942</t>
  </si>
  <si>
    <t xml:space="preserve">Weight Machine</t>
  </si>
  <si>
    <t xml:space="preserve">Iron and Iron Board</t>
  </si>
  <si>
    <t xml:space="preserve">P2298</t>
  </si>
  <si>
    <t xml:space="preserve">Microwave</t>
  </si>
  <si>
    <t xml:space="preserve">P2449</t>
  </si>
  <si>
    <t xml:space="preserve">Washing Machine</t>
  </si>
  <si>
    <t xml:space="preserve">P3121</t>
  </si>
  <si>
    <t xml:space="preserve">Digital thermometer</t>
  </si>
  <si>
    <t xml:space="preserve">P1936</t>
  </si>
  <si>
    <t xml:space="preserve">Height measuring rod</t>
  </si>
  <si>
    <t xml:space="preserve">P2234</t>
  </si>
  <si>
    <t xml:space="preserve">Almirah</t>
  </si>
  <si>
    <t xml:space="preserve">P0536</t>
  </si>
  <si>
    <t xml:space="preserve">Feeding table</t>
  </si>
  <si>
    <t xml:space="preserve">P0862</t>
  </si>
  <si>
    <t xml:space="preserve">Bed 6X4 feet</t>
  </si>
  <si>
    <t xml:space="preserve">P0593</t>
  </si>
  <si>
    <t xml:space="preserve">Cloth Drying Stand</t>
  </si>
  <si>
    <t xml:space="preserve">P0673</t>
  </si>
  <si>
    <t xml:space="preserve">Cupboards</t>
  </si>
  <si>
    <t xml:space="preserve">P0729</t>
  </si>
  <si>
    <t xml:space="preserve">Mattress</t>
  </si>
  <si>
    <t xml:space="preserve">P1089</t>
  </si>
  <si>
    <t xml:space="preserve">Mirror</t>
  </si>
  <si>
    <t xml:space="preserve">P1094</t>
  </si>
  <si>
    <t xml:space="preserve">Sofa Set</t>
  </si>
  <si>
    <t xml:space="preserve">P1398</t>
  </si>
  <si>
    <t xml:space="preserve">Hospital bed or adjustable bed for home care simulation</t>
  </si>
  <si>
    <t xml:space="preserve">P0964</t>
  </si>
  <si>
    <t xml:space="preserve">Personal Protection Equipment Kit</t>
  </si>
  <si>
    <t xml:space="preserve">P1178</t>
  </si>
  <si>
    <t xml:space="preserve">First Aid box with basic medicines</t>
  </si>
  <si>
    <t xml:space="preserve">P0877</t>
  </si>
  <si>
    <t xml:space="preserve">Rubber Hand Gloves</t>
  </si>
  <si>
    <t xml:space="preserve">P1288</t>
  </si>
  <si>
    <t xml:space="preserve">Mannequin (Adult)</t>
  </si>
  <si>
    <t xml:space="preserve">P1079</t>
  </si>
  <si>
    <t xml:space="preserve">Printed training manuals and handouts</t>
  </si>
  <si>
    <t xml:space="preserve">P1225</t>
  </si>
  <si>
    <t xml:space="preserve">Charts on common geriatric diseases (dementia, arthritis, diabetes)</t>
  </si>
  <si>
    <t xml:space="preserve">P0663</t>
  </si>
  <si>
    <t xml:space="preserve">Models of the human body or specific organs (optional)</t>
  </si>
  <si>
    <t xml:space="preserve">P1107</t>
  </si>
  <si>
    <t xml:space="preserve">Air Freshener</t>
  </si>
  <si>
    <t xml:space="preserve">P0012</t>
  </si>
  <si>
    <t xml:space="preserve">Notepad</t>
  </si>
  <si>
    <t xml:space="preserve">P0304</t>
  </si>
  <si>
    <t xml:space="preserve">Wet tissues</t>
  </si>
  <si>
    <t xml:space="preserve">P0506</t>
  </si>
  <si>
    <t xml:space="preserve">Garbage Bags Black</t>
  </si>
  <si>
    <t xml:space="preserve">P0191</t>
  </si>
  <si>
    <t xml:space="preserve">Hand Wash</t>
  </si>
  <si>
    <t xml:space="preserve">P0215</t>
  </si>
  <si>
    <t xml:space="preserve">Insect Killer Spray</t>
  </si>
  <si>
    <t xml:space="preserve">P0224</t>
  </si>
  <si>
    <t xml:space="preserve">Liquid Antiseptic</t>
  </si>
  <si>
    <t xml:space="preserve">P0248</t>
  </si>
  <si>
    <t xml:space="preserve">Naphthalene balls</t>
  </si>
  <si>
    <t xml:space="preserve">P0288</t>
  </si>
  <si>
    <t xml:space="preserve">Needle and Thread (different colour)</t>
  </si>
  <si>
    <t xml:space="preserve">P0294</t>
  </si>
  <si>
    <t xml:space="preserve">Paper Napkins</t>
  </si>
  <si>
    <t xml:space="preserve">P0324</t>
  </si>
  <si>
    <t xml:space="preserve">Room Freshener</t>
  </si>
  <si>
    <t xml:space="preserve">P0388</t>
  </si>
  <si>
    <t xml:space="preserve">Sponge</t>
  </si>
  <si>
    <t xml:space="preserve">P0433</t>
  </si>
  <si>
    <t xml:space="preserve">Toilet Roll</t>
  </si>
  <si>
    <t xml:space="preserve">P0475</t>
  </si>
  <si>
    <t xml:space="preserve">Urobags (Urine collecting bag)</t>
  </si>
  <si>
    <t xml:space="preserve">P0489</t>
  </si>
  <si>
    <t xml:space="preserve">Newspapers</t>
  </si>
  <si>
    <t xml:space="preserve">P0297</t>
  </si>
  <si>
    <t xml:space="preserve">Zip Lock Bags</t>
  </si>
  <si>
    <t xml:space="preserve">P0520</t>
  </si>
  <si>
    <t xml:space="preserve">Adult diapers</t>
  </si>
  <si>
    <t xml:space="preserve">P0008</t>
  </si>
  <si>
    <t xml:space="preserve">Bags</t>
  </si>
  <si>
    <t xml:space="preserve">P0573</t>
  </si>
  <si>
    <t xml:space="preserve">Cups (Tea/Coffee)</t>
  </si>
  <si>
    <t xml:space="preserve">P0730</t>
  </si>
  <si>
    <t xml:space="preserve">Bath Towels</t>
  </si>
  <si>
    <t xml:space="preserve">P0589</t>
  </si>
  <si>
    <t xml:space="preserve">Bed Sheets</t>
  </si>
  <si>
    <t xml:space="preserve">P0596</t>
  </si>
  <si>
    <t xml:space="preserve">Bedpans</t>
  </si>
  <si>
    <t xml:space="preserve">P0598</t>
  </si>
  <si>
    <t xml:space="preserve">Blanket / Quilt</t>
  </si>
  <si>
    <t xml:space="preserve">P0610</t>
  </si>
  <si>
    <t xml:space="preserve">Bucket (20 Ltr.)</t>
  </si>
  <si>
    <t xml:space="preserve">P0627</t>
  </si>
  <si>
    <t xml:space="preserve">Cooking Utensils</t>
  </si>
  <si>
    <t xml:space="preserve">P0720</t>
  </si>
  <si>
    <t xml:space="preserve">Cutlery Set</t>
  </si>
  <si>
    <t xml:space="preserve">P0735</t>
  </si>
  <si>
    <t xml:space="preserve">Dinner Set</t>
  </si>
  <si>
    <t xml:space="preserve">P0778</t>
  </si>
  <si>
    <t xml:space="preserve">Dust Bin</t>
  </si>
  <si>
    <t xml:space="preserve">Hand Towels</t>
  </si>
  <si>
    <t xml:space="preserve">Laundry Basket</t>
  </si>
  <si>
    <t xml:space="preserve">P1043</t>
  </si>
  <si>
    <t xml:space="preserve">Pillow Covers</t>
  </si>
  <si>
    <t xml:space="preserve">P1194</t>
  </si>
  <si>
    <t xml:space="preserve">Pillows</t>
  </si>
  <si>
    <t xml:space="preserve">P1196</t>
  </si>
  <si>
    <t xml:space="preserve">Rugs</t>
  </si>
  <si>
    <t xml:space="preserve">P1290</t>
  </si>
  <si>
    <t xml:space="preserve">Serving Tray Set</t>
  </si>
  <si>
    <t xml:space="preserve">P1371</t>
  </si>
  <si>
    <t xml:space="preserve">Medication organizer boxes</t>
  </si>
  <si>
    <t xml:space="preserve">P1091</t>
  </si>
  <si>
    <t xml:space="preserve">Bathing aids (e.g., shower chair, sponge, no-rinse wipes)</t>
  </si>
  <si>
    <t xml:space="preserve">P0591</t>
  </si>
  <si>
    <t xml:space="preserve">Measuring Cups &amp; Spoons</t>
  </si>
  <si>
    <t xml:space="preserve">P2410</t>
  </si>
  <si>
    <t xml:space="preserve">Chopping Boards (Colour Coded)</t>
  </si>
  <si>
    <t xml:space="preserve">P1814</t>
  </si>
  <si>
    <t xml:space="preserve">Knife Set (Chef, Paring, Serrated)</t>
  </si>
  <si>
    <t xml:space="preserve">P2323</t>
  </si>
  <si>
    <t xml:space="preserve">Peeler</t>
  </si>
  <si>
    <t xml:space="preserve">P2573</t>
  </si>
  <si>
    <t xml:space="preserve">Grater</t>
  </si>
  <si>
    <t xml:space="preserve">P2156</t>
  </si>
  <si>
    <t xml:space="preserve">Rolling Pin &amp; Board (Chakla-Belan)</t>
  </si>
  <si>
    <t xml:space="preserve">P2722</t>
  </si>
  <si>
    <t xml:space="preserve">Stainless Steel Cooking Pots &amp; Pans</t>
  </si>
  <si>
    <t xml:space="preserve">P2927</t>
  </si>
  <si>
    <t xml:space="preserve">Pressure Cookers (Different Sizes)</t>
  </si>
  <si>
    <t xml:space="preserve">P2653</t>
  </si>
  <si>
    <t xml:space="preserve">Frying Pans (Non-stick &amp; Cast Iron)</t>
  </si>
  <si>
    <t xml:space="preserve">P2113</t>
  </si>
  <si>
    <t xml:space="preserve">Baking Trays &amp; Molds</t>
  </si>
  <si>
    <t xml:space="preserve">P1663</t>
  </si>
  <si>
    <t xml:space="preserve">Mixing Bowls (Different Sizes)</t>
  </si>
  <si>
    <t xml:space="preserve">P2470</t>
  </si>
  <si>
    <t xml:space="preserve">Whisks</t>
  </si>
  <si>
    <t xml:space="preserve">P3161</t>
  </si>
  <si>
    <t xml:space="preserve">Ladles, Spoons, Tongs</t>
  </si>
  <si>
    <t xml:space="preserve">P2337</t>
  </si>
  <si>
    <t xml:space="preserve">Colanders &amp; Strainers</t>
  </si>
  <si>
    <t xml:space="preserve">P1840</t>
  </si>
  <si>
    <t xml:space="preserve">Measuring Jugs</t>
  </si>
  <si>
    <t xml:space="preserve">P2419</t>
  </si>
  <si>
    <t xml:space="preserve">Pastry Brushes</t>
  </si>
  <si>
    <t xml:space="preserve">P2569</t>
  </si>
  <si>
    <t xml:space="preserve">Serving Trays</t>
  </si>
  <si>
    <t xml:space="preserve">P2802</t>
  </si>
  <si>
    <t xml:space="preserve">Plates (Dinner, Quarter)</t>
  </si>
  <si>
    <t xml:space="preserve">P2620</t>
  </si>
  <si>
    <t xml:space="preserve">Bowls (Soup, Dessert)</t>
  </si>
  <si>
    <t xml:space="preserve">P1738</t>
  </si>
  <si>
    <t xml:space="preserve">Cutlery (Spoons, Forks, Knives)</t>
  </si>
  <si>
    <t xml:space="preserve">P1889</t>
  </si>
  <si>
    <t xml:space="preserve">Tea &amp; Coffee Cups</t>
  </si>
  <si>
    <t xml:space="preserve">P2998</t>
  </si>
  <si>
    <t xml:space="preserve">Glassware (Water, Juice)</t>
  </si>
  <si>
    <t xml:space="preserve">P2144</t>
  </si>
  <si>
    <t xml:space="preserve">Storage Containers (Airtight)</t>
  </si>
  <si>
    <t xml:space="preserve">P2951</t>
  </si>
  <si>
    <t xml:space="preserve">Plastic Wrap Dispenser</t>
  </si>
  <si>
    <t xml:space="preserve">P2617</t>
  </si>
  <si>
    <t xml:space="preserve">Ice Cube Trays</t>
  </si>
  <si>
    <t xml:space="preserve">P2273</t>
  </si>
  <si>
    <t xml:space="preserve">Cooking Range (Gas/Electric)</t>
  </si>
  <si>
    <t xml:space="preserve">P1864</t>
  </si>
  <si>
    <t xml:space="preserve">Induction Cooktop</t>
  </si>
  <si>
    <t xml:space="preserve">P2283</t>
  </si>
  <si>
    <t xml:space="preserve">Microwave Oven</t>
  </si>
  <si>
    <t xml:space="preserve">P2450</t>
  </si>
  <si>
    <t xml:space="preserve">Refrigerator (Double Door)</t>
  </si>
  <si>
    <t xml:space="preserve">P2702</t>
  </si>
  <si>
    <t xml:space="preserve">Hand Blender</t>
  </si>
  <si>
    <t xml:space="preserve">P2187</t>
  </si>
  <si>
    <t xml:space="preserve">Weighing Scale (Digital)</t>
  </si>
  <si>
    <t xml:space="preserve">P3151</t>
  </si>
  <si>
    <t xml:space="preserve">Kitchen Weighing Scale</t>
  </si>
  <si>
    <t xml:space="preserve">P2319</t>
  </si>
  <si>
    <t xml:space="preserve">Tandoor/OTG</t>
  </si>
  <si>
    <t xml:space="preserve">P2990</t>
  </si>
  <si>
    <t xml:space="preserve">Dough Kneading Machine</t>
  </si>
  <si>
    <t xml:space="preserve">P1960</t>
  </si>
  <si>
    <t xml:space="preserve">Food Thermometer</t>
  </si>
  <si>
    <t xml:space="preserve">P2089</t>
  </si>
  <si>
    <t xml:space="preserve">Laptop with Internet (For Digital Learning)</t>
  </si>
  <si>
    <t xml:space="preserve">P1033</t>
  </si>
  <si>
    <t xml:space="preserve">Projector/TV Screen (For Demonstrations)</t>
  </si>
  <si>
    <t xml:space="preserve">P1247</t>
  </si>
  <si>
    <t xml:space="preserve">Aprons &amp; Chef Hats</t>
  </si>
  <si>
    <t xml:space="preserve">P0552</t>
  </si>
  <si>
    <t xml:space="preserve">PPE Kit (For Food Safety)</t>
  </si>
  <si>
    <t xml:space="preserve">P1219</t>
  </si>
  <si>
    <t xml:space="preserve">Recipe Books &amp; Kitchen Manuals</t>
  </si>
  <si>
    <t xml:space="preserve">P1269</t>
  </si>
  <si>
    <t xml:space="preserve">Kitchen Towels</t>
  </si>
  <si>
    <t xml:space="preserve">P0237</t>
  </si>
  <si>
    <t xml:space="preserve">Hand Gloves (Disposable)</t>
  </si>
  <si>
    <t xml:space="preserve">P0211</t>
  </si>
  <si>
    <t xml:space="preserve">Food Cling Wrap</t>
  </si>
  <si>
    <t xml:space="preserve">P0185</t>
  </si>
  <si>
    <t xml:space="preserve">Aluminum Foil</t>
  </si>
  <si>
    <t xml:space="preserve">P0015</t>
  </si>
  <si>
    <t xml:space="preserve">Dishwashing Liquid &amp; Sponge</t>
  </si>
  <si>
    <t xml:space="preserve">P0126</t>
  </si>
  <si>
    <t xml:space="preserve">Kitchen Cleaning Wipes</t>
  </si>
  <si>
    <t xml:space="preserve">P0236</t>
  </si>
  <si>
    <t xml:space="preserve">Notepad &amp; Pen</t>
  </si>
  <si>
    <t xml:space="preserve">P0305</t>
  </si>
  <si>
    <t xml:space="preserve">Dustbins (Dry &amp; Wet Waste)</t>
  </si>
  <si>
    <t xml:space="preserve">P0813</t>
  </si>
  <si>
    <t xml:space="preserve">Annotation Software</t>
  </si>
  <si>
    <t xml:space="preserve">P0539</t>
  </si>
  <si>
    <t xml:space="preserve">Open-Source tools</t>
  </si>
  <si>
    <t xml:space="preserve">P1149</t>
  </si>
  <si>
    <t xml:space="preserve">Documentation tools</t>
  </si>
  <si>
    <t xml:space="preserve">P0788</t>
  </si>
  <si>
    <t xml:space="preserve">Training Kit - Trainer Guide, Presentations</t>
  </si>
  <si>
    <t xml:space="preserve">LAN tester</t>
  </si>
  <si>
    <t xml:space="preserve">Desktop Computers</t>
  </si>
  <si>
    <t xml:space="preserve">Peripherals</t>
  </si>
  <si>
    <t xml:space="preserve">P1176</t>
  </si>
  <si>
    <t xml:space="preserve">Network devices</t>
  </si>
  <si>
    <t xml:space="preserve">P1124</t>
  </si>
  <si>
    <t xml:space="preserve">Bio-metric devices</t>
  </si>
  <si>
    <t xml:space="preserve">P0604</t>
  </si>
  <si>
    <t xml:space="preserve">Digital Dongle</t>
  </si>
  <si>
    <t xml:space="preserve">P0770</t>
  </si>
  <si>
    <t xml:space="preserve">Iris scanner</t>
  </si>
  <si>
    <t xml:space="preserve">P1011</t>
  </si>
  <si>
    <t xml:space="preserve">Printers</t>
  </si>
  <si>
    <t xml:space="preserve">P1230</t>
  </si>
  <si>
    <t xml:space="preserve">Digital Camera</t>
  </si>
  <si>
    <t xml:space="preserve">P0768</t>
  </si>
  <si>
    <t xml:space="preserve">Utility software</t>
  </si>
  <si>
    <t xml:space="preserve">P1523</t>
  </si>
  <si>
    <t xml:space="preserve">Anti-static wrist wrap</t>
  </si>
  <si>
    <t xml:space="preserve">Voice recorder</t>
  </si>
  <si>
    <t xml:space="preserve">P3112</t>
  </si>
  <si>
    <t xml:space="preserve">Telephone</t>
  </si>
  <si>
    <t xml:space="preserve">P1469</t>
  </si>
  <si>
    <t xml:space="preserve">Projector with screen</t>
  </si>
  <si>
    <t xml:space="preserve">P1243</t>
  </si>
  <si>
    <t xml:space="preserve">Faculty's PC/Laptop with latest configuration and Internet connection</t>
  </si>
  <si>
    <t xml:space="preserve">P0859</t>
  </si>
  <si>
    <t xml:space="preserve">Handy Camera, Microphone / voice system for lecture and class activities</t>
  </si>
  <si>
    <t xml:space="preserve">P0952</t>
  </si>
  <si>
    <t xml:space="preserve">Computer Lab with 1:1 PC:trainee ratio and having Internet connection (for IT Lab sessions)</t>
  </si>
  <si>
    <t xml:space="preserve">P0698</t>
  </si>
  <si>
    <t xml:space="preserve">Sample CRM tool for demonstration</t>
  </si>
  <si>
    <t xml:space="preserve">P1321</t>
  </si>
  <si>
    <t xml:space="preserve">IVR</t>
  </si>
  <si>
    <t xml:space="preserve">P1016</t>
  </si>
  <si>
    <t xml:space="preserve">Software / document formats for recording call / interactions</t>
  </si>
  <si>
    <t xml:space="preserve">P1400</t>
  </si>
  <si>
    <t xml:space="preserve">Supporting software / applications for projecting audio, video, recording</t>
  </si>
  <si>
    <t xml:space="preserve">P1446</t>
  </si>
  <si>
    <t xml:space="preserve">Presentation Tools to support learning activities</t>
  </si>
  <si>
    <t xml:space="preserve">P1223</t>
  </si>
  <si>
    <t xml:space="preserve">MS Office / Open office, Browser, Outlook / Any other Email Client and chat tools</t>
  </si>
  <si>
    <t xml:space="preserve">Assessment and Test Tools for day to day online Tests and Assessments</t>
  </si>
  <si>
    <t xml:space="preserve">P0557</t>
  </si>
  <si>
    <t xml:space="preserve">Comfortable seats with adequate lighting, controlled temperature and acoustics for training and learning</t>
  </si>
  <si>
    <t xml:space="preserve">P0685</t>
  </si>
  <si>
    <t xml:space="preserve">Seating arrangement in full / half circle format for one or more teams as per planned team composition (for team discussions)</t>
  </si>
  <si>
    <t xml:space="preserve">P1361</t>
  </si>
  <si>
    <t xml:space="preserve">Flip chart with markers</t>
  </si>
  <si>
    <t xml:space="preserve">P0892</t>
  </si>
  <si>
    <t xml:space="preserve">Reading Resources</t>
  </si>
  <si>
    <t xml:space="preserve">P1267</t>
  </si>
  <si>
    <t xml:space="preserve">Stationery kit</t>
  </si>
  <si>
    <t xml:space="preserve">P0445</t>
  </si>
  <si>
    <t xml:space="preserve">PCs/Laptops with internet access</t>
  </si>
  <si>
    <t xml:space="preserve">P1174</t>
  </si>
  <si>
    <t xml:space="preserve">Computer lab with 1:1 student-to-PC ratio</t>
  </si>
  <si>
    <t xml:space="preserve">P0699</t>
  </si>
  <si>
    <t xml:space="preserve">Operating systems</t>
  </si>
  <si>
    <t xml:space="preserve">P1154</t>
  </si>
  <si>
    <t xml:space="preserve">Office Suite</t>
  </si>
  <si>
    <t xml:space="preserve">P1135</t>
  </si>
  <si>
    <t xml:space="preserve">Email client and communication tools</t>
  </si>
  <si>
    <t xml:space="preserve">P0824</t>
  </si>
  <si>
    <t xml:space="preserve">VirtualBox / VMware, Linux (Ubuntu/CentOS) &amp; Windows OS, AWS / Microsoft Azure / Google Cloud Platform (GCP) accounts, Docker &amp; Kubernetes, Git / GitHub</t>
  </si>
  <si>
    <t xml:space="preserve">P1536</t>
  </si>
  <si>
    <t xml:space="preserve">Learning Platforms</t>
  </si>
  <si>
    <t xml:space="preserve">P1051</t>
  </si>
  <si>
    <t xml:space="preserve">Audio-visual aids</t>
  </si>
  <si>
    <t xml:space="preserve">P0560</t>
  </si>
  <si>
    <t xml:space="preserve">Certification Guides</t>
  </si>
  <si>
    <t xml:space="preserve">P0643</t>
  </si>
  <si>
    <t xml:space="preserve">Chart, Sketch Pens</t>
  </si>
  <si>
    <t xml:space="preserve">P0072</t>
  </si>
  <si>
    <t xml:space="preserve">Computer Lab with 1:1 PC: trainee ratio and internet connection</t>
  </si>
  <si>
    <t xml:space="preserve">P0697</t>
  </si>
  <si>
    <t xml:space="preserve">MS Office / Open office</t>
  </si>
  <si>
    <t xml:space="preserve">P1113</t>
  </si>
  <si>
    <t xml:space="preserve">Browser</t>
  </si>
  <si>
    <t xml:space="preserve">P0626</t>
  </si>
  <si>
    <t xml:space="preserve">Outlook / Any other Email Client, and chat tools</t>
  </si>
  <si>
    <t xml:space="preserve">P1161</t>
  </si>
  <si>
    <t xml:space="preserve">HTML5, Javascript, CSS, SQL, Web Builder, Word Press, Joomla and modelling tools such as Visio, UML</t>
  </si>
  <si>
    <t xml:space="preserve">P0972</t>
  </si>
  <si>
    <t xml:space="preserve">Flash, Photoshop</t>
  </si>
  <si>
    <t xml:space="preserve">P0885</t>
  </si>
  <si>
    <t xml:space="preserve">LCD Projector and Laptop for presentations</t>
  </si>
  <si>
    <t xml:space="preserve">P1046</t>
  </si>
  <si>
    <t xml:space="preserve">Operating System – Windows and Linux</t>
  </si>
  <si>
    <t xml:space="preserve">P1153</t>
  </si>
  <si>
    <t xml:space="preserve">Python IDLE</t>
  </si>
  <si>
    <t xml:space="preserve">P1258</t>
  </si>
  <si>
    <t xml:space="preserve">RDBMS MySQL</t>
  </si>
  <si>
    <t xml:space="preserve">P1266</t>
  </si>
  <si>
    <t xml:space="preserve">Ms Office or LibreOffice</t>
  </si>
  <si>
    <t xml:space="preserve">P1115</t>
  </si>
  <si>
    <t xml:space="preserve">Computer Lab</t>
  </si>
  <si>
    <t xml:space="preserve">P0695</t>
  </si>
  <si>
    <t xml:space="preserve">Flash, Photoshop, Windows media player, Eclipse, XAMPP</t>
  </si>
  <si>
    <t xml:space="preserve">P0886</t>
  </si>
  <si>
    <t xml:space="preserve">MHE</t>
  </si>
  <si>
    <t xml:space="preserve">P2439</t>
  </si>
  <si>
    <t xml:space="preserve">PPE</t>
  </si>
  <si>
    <t xml:space="preserve">P1218</t>
  </si>
  <si>
    <t xml:space="preserve">Samples of inventory</t>
  </si>
  <si>
    <t xml:space="preserve">P1347</t>
  </si>
  <si>
    <t xml:space="preserve">Sample copies of warehouse register format used by Inventory clerk for learning data entry and data check</t>
  </si>
  <si>
    <t xml:space="preserve">P1320</t>
  </si>
  <si>
    <t xml:space="preserve">Hand Operated Pallet Truck</t>
  </si>
  <si>
    <t xml:space="preserve">P2204</t>
  </si>
  <si>
    <t xml:space="preserve">Battery Operated Pallet Truck</t>
  </si>
  <si>
    <t xml:space="preserve">P1694</t>
  </si>
  <si>
    <t xml:space="preserve">Stacker</t>
  </si>
  <si>
    <t xml:space="preserve">P2924</t>
  </si>
  <si>
    <t xml:space="preserve">Forklift etc</t>
  </si>
  <si>
    <t xml:space="preserve">P2100</t>
  </si>
  <si>
    <t xml:space="preserve">Barcode</t>
  </si>
  <si>
    <t xml:space="preserve">P0580</t>
  </si>
  <si>
    <t xml:space="preserve">Wi-Fi systems</t>
  </si>
  <si>
    <t xml:space="preserve">P1557</t>
  </si>
  <si>
    <t xml:space="preserve">Liquid Crystal Display screens</t>
  </si>
  <si>
    <t xml:space="preserve">P1060</t>
  </si>
  <si>
    <t xml:space="preserve">HOPT</t>
  </si>
  <si>
    <t xml:space="preserve">P2250</t>
  </si>
  <si>
    <t xml:space="preserve">Waste disposal equipment's</t>
  </si>
  <si>
    <t xml:space="preserve">P3123</t>
  </si>
  <si>
    <t xml:space="preserve">BOPT</t>
  </si>
  <si>
    <t xml:space="preserve">P1731</t>
  </si>
  <si>
    <t xml:space="preserve">Barcode scanners</t>
  </si>
  <si>
    <t xml:space="preserve">P0582</t>
  </si>
  <si>
    <t xml:space="preserve">Petri dish</t>
  </si>
  <si>
    <t xml:space="preserve">P2581</t>
  </si>
  <si>
    <t xml:space="preserve">Measuring Cylinders graduated</t>
  </si>
  <si>
    <t xml:space="preserve">P2414</t>
  </si>
  <si>
    <t xml:space="preserve">Thermoplastic fumigation covers</t>
  </si>
  <si>
    <t xml:space="preserve">P0470</t>
  </si>
  <si>
    <t xml:space="preserve">Multilayered cross laminated fumigation sheets/covers</t>
  </si>
  <si>
    <t xml:space="preserve">P0285</t>
  </si>
  <si>
    <t xml:space="preserve">Shredder</t>
  </si>
  <si>
    <t xml:space="preserve">P2822</t>
  </si>
  <si>
    <t xml:space="preserve">Air Purifier</t>
  </si>
  <si>
    <t xml:space="preserve">P1613</t>
  </si>
  <si>
    <t xml:space="preserve">Desk Lamps</t>
  </si>
  <si>
    <t xml:space="preserve">P1915</t>
  </si>
  <si>
    <t xml:space="preserve">Extension Cords</t>
  </si>
  <si>
    <t xml:space="preserve">P2052</t>
  </si>
  <si>
    <t xml:space="preserve">Surge Protectors</t>
  </si>
  <si>
    <t xml:space="preserve">P2969</t>
  </si>
  <si>
    <t xml:space="preserve">Digital Camera (for documentation)</t>
  </si>
  <si>
    <t xml:space="preserve">P1931</t>
  </si>
  <si>
    <t xml:space="preserve">Desktop Computer</t>
  </si>
  <si>
    <t xml:space="preserve">P0751</t>
  </si>
  <si>
    <t xml:space="preserve">Fax Machine</t>
  </si>
  <si>
    <t xml:space="preserve">P0861</t>
  </si>
  <si>
    <t xml:space="preserve">Headphones</t>
  </si>
  <si>
    <t xml:space="preserve">P0957</t>
  </si>
  <si>
    <t xml:space="preserve">Networking Equipment (Router/Switch)</t>
  </si>
  <si>
    <t xml:space="preserve">P1127</t>
  </si>
  <si>
    <t xml:space="preserve">USB Drives</t>
  </si>
  <si>
    <t xml:space="preserve">P1521</t>
  </si>
  <si>
    <t xml:space="preserve">External Hard Drive</t>
  </si>
  <si>
    <t xml:space="preserve">P0849</t>
  </si>
  <si>
    <t xml:space="preserve">Internet Connection Setup</t>
  </si>
  <si>
    <t xml:space="preserve">P1006</t>
  </si>
  <si>
    <t xml:space="preserve">A/V Equipment (for presentations)</t>
  </si>
  <si>
    <t xml:space="preserve">P0526</t>
  </si>
  <si>
    <t xml:space="preserve">Presentation Remote</t>
  </si>
  <si>
    <t xml:space="preserve">P1221</t>
  </si>
  <si>
    <t xml:space="preserve">HDMI Cables</t>
  </si>
  <si>
    <t xml:space="preserve">P0954</t>
  </si>
  <si>
    <t xml:space="preserve">VGA Cables</t>
  </si>
  <si>
    <t xml:space="preserve">P1528</t>
  </si>
  <si>
    <t xml:space="preserve">Backup Power Supply (UPS)</t>
  </si>
  <si>
    <t xml:space="preserve">P0571</t>
  </si>
  <si>
    <t xml:space="preserve">Software Licenses (Office Suite)</t>
  </si>
  <si>
    <t xml:space="preserve">P1403</t>
  </si>
  <si>
    <t xml:space="preserve">Task Management Software</t>
  </si>
  <si>
    <t xml:space="preserve">P1463</t>
  </si>
  <si>
    <t xml:space="preserve">Email Marketing Software</t>
  </si>
  <si>
    <t xml:space="preserve">P0825</t>
  </si>
  <si>
    <t xml:space="preserve">Ergonomic Chairs</t>
  </si>
  <si>
    <t xml:space="preserve">P0837</t>
  </si>
  <si>
    <t xml:space="preserve">Desks</t>
  </si>
  <si>
    <t xml:space="preserve">P0750</t>
  </si>
  <si>
    <t xml:space="preserve">Flipchart Stand</t>
  </si>
  <si>
    <t xml:space="preserve">P0895</t>
  </si>
  <si>
    <t xml:space="preserve">Training Manuals</t>
  </si>
  <si>
    <t xml:space="preserve">P1495</t>
  </si>
  <si>
    <t xml:space="preserve">Sticky Notes</t>
  </si>
  <si>
    <t xml:space="preserve">P0446</t>
  </si>
  <si>
    <t xml:space="preserve">Notebooks</t>
  </si>
  <si>
    <t xml:space="preserve">P0303</t>
  </si>
  <si>
    <t xml:space="preserve">Pens</t>
  </si>
  <si>
    <t xml:space="preserve">P0339</t>
  </si>
  <si>
    <t xml:space="preserve">Highlighters</t>
  </si>
  <si>
    <t xml:space="preserve">P0218</t>
  </si>
  <si>
    <t xml:space="preserve">Paper Clips</t>
  </si>
  <si>
    <t xml:space="preserve">P0323</t>
  </si>
  <si>
    <t xml:space="preserve">File Folders</t>
  </si>
  <si>
    <t xml:space="preserve">P0172</t>
  </si>
  <si>
    <t xml:space="preserve">Binder</t>
  </si>
  <si>
    <t xml:space="preserve">P0034</t>
  </si>
  <si>
    <t xml:space="preserve">Whiteboard Markers</t>
  </si>
  <si>
    <t xml:space="preserve">P0512</t>
  </si>
  <si>
    <t xml:space="preserve">Calendar/Planner</t>
  </si>
  <si>
    <t xml:space="preserve">P0054</t>
  </si>
  <si>
    <t xml:space="preserve">Envelopes</t>
  </si>
  <si>
    <t xml:space="preserve">P0151</t>
  </si>
  <si>
    <t xml:space="preserve">Address Labels</t>
  </si>
  <si>
    <t xml:space="preserve">P0004</t>
  </si>
  <si>
    <t xml:space="preserve">Presentation Binders</t>
  </si>
  <si>
    <t xml:space="preserve">P0362</t>
  </si>
  <si>
    <t xml:space="preserve">Rubber Bands</t>
  </si>
  <si>
    <t xml:space="preserve">P0390</t>
  </si>
  <si>
    <t xml:space="preserve">White-Out Tape</t>
  </si>
  <si>
    <t xml:space="preserve">P0510</t>
  </si>
  <si>
    <t xml:space="preserve">Computer Cleaning Kit</t>
  </si>
  <si>
    <t xml:space="preserve">P0099</t>
  </si>
  <si>
    <t xml:space="preserve">Desk Organizers</t>
  </si>
  <si>
    <t xml:space="preserve">P0749</t>
  </si>
  <si>
    <t xml:space="preserve">Business Card Holder</t>
  </si>
  <si>
    <t xml:space="preserve">P0628</t>
  </si>
  <si>
    <t xml:space="preserve">Cable Organizers</t>
  </si>
  <si>
    <t xml:space="preserve">P0632</t>
  </si>
  <si>
    <t xml:space="preserve">Storage Boxes</t>
  </si>
  <si>
    <t xml:space="preserve">P1429</t>
  </si>
  <si>
    <t xml:space="preserve">Clipboards</t>
  </si>
  <si>
    <t xml:space="preserve">P0671</t>
  </si>
  <si>
    <t xml:space="preserve">Desk Mats</t>
  </si>
  <si>
    <t xml:space="preserve">P0748</t>
  </si>
  <si>
    <t xml:space="preserve">Mouse Pads</t>
  </si>
  <si>
    <t xml:space="preserve">P1111</t>
  </si>
  <si>
    <t xml:space="preserve">Office Decorations</t>
  </si>
  <si>
    <t xml:space="preserve">P1134</t>
  </si>
  <si>
    <t xml:space="preserve">Time Management Tools</t>
  </si>
  <si>
    <t xml:space="preserve">P1477</t>
  </si>
  <si>
    <t xml:space="preserve">Telephone or Intercom System</t>
  </si>
  <si>
    <t xml:space="preserve">P3005</t>
  </si>
  <si>
    <t xml:space="preserve">Colour Printer</t>
  </si>
  <si>
    <t xml:space="preserve">P0683</t>
  </si>
  <si>
    <t xml:space="preserve">Multimedia projector and projector screen</t>
  </si>
  <si>
    <t xml:space="preserve">P1119</t>
  </si>
  <si>
    <t xml:space="preserve">Computer or Tablet</t>
  </si>
  <si>
    <t xml:space="preserve">P0701</t>
  </si>
  <si>
    <t xml:space="preserve">Security Systems</t>
  </si>
  <si>
    <t xml:space="preserve">P1365</t>
  </si>
  <si>
    <t xml:space="preserve">Side tables</t>
  </si>
  <si>
    <t xml:space="preserve">P1381</t>
  </si>
  <si>
    <t xml:space="preserve">Filling cabinet</t>
  </si>
  <si>
    <t xml:space="preserve">P0865</t>
  </si>
  <si>
    <t xml:space="preserve">White board</t>
  </si>
  <si>
    <t xml:space="preserve">Product Catalogues or Brochures</t>
  </si>
  <si>
    <t xml:space="preserve">P1233</t>
  </si>
  <si>
    <t xml:space="preserve">Manuals/Guides</t>
  </si>
  <si>
    <t xml:space="preserve">P1080</t>
  </si>
  <si>
    <t xml:space="preserve">Necessary stationeries</t>
  </si>
  <si>
    <t xml:space="preserve">P0291</t>
  </si>
  <si>
    <t xml:space="preserve">Packaging Material</t>
  </si>
  <si>
    <t xml:space="preserve">P0313</t>
  </si>
  <si>
    <t xml:space="preserve">Cleaning Supplies</t>
  </si>
  <si>
    <t xml:space="preserve">P0083</t>
  </si>
  <si>
    <t xml:space="preserve">Feedback/Complaint Forms</t>
  </si>
  <si>
    <t xml:space="preserve">P0168</t>
  </si>
  <si>
    <t xml:space="preserve">Uniform/Name Badge</t>
  </si>
  <si>
    <t xml:space="preserve">P1513</t>
  </si>
  <si>
    <t xml:space="preserve">Multimedia projector and Projector Screen</t>
  </si>
  <si>
    <t xml:space="preserve">Tool Kit (Spanners, Screwdrivers, Pliers)</t>
  </si>
  <si>
    <t xml:space="preserve">P3042</t>
  </si>
  <si>
    <t xml:space="preserve">Measuring Tape (5m)</t>
  </si>
  <si>
    <t xml:space="preserve">P2423</t>
  </si>
  <si>
    <t xml:space="preserve">Vernier Caliper</t>
  </si>
  <si>
    <t xml:space="preserve">Cleaning Equipment (Mop, Broom, Bucket)</t>
  </si>
  <si>
    <t xml:space="preserve">P1828</t>
  </si>
  <si>
    <t xml:space="preserve">Electric Drill Machine</t>
  </si>
  <si>
    <t xml:space="preserve">P2005</t>
  </si>
  <si>
    <t xml:space="preserve">Angle Grinder</t>
  </si>
  <si>
    <t xml:space="preserve">P1633</t>
  </si>
  <si>
    <t xml:space="preserve">Electric Extension Board</t>
  </si>
  <si>
    <t xml:space="preserve">P2006</t>
  </si>
  <si>
    <t xml:space="preserve">Ceiling Fan / Exhaust Fan</t>
  </si>
  <si>
    <t xml:space="preserve">P1793</t>
  </si>
  <si>
    <t xml:space="preserve">Water Dispenser / Cooler</t>
  </si>
  <si>
    <t xml:space="preserve">P3129</t>
  </si>
  <si>
    <t xml:space="preserve">Welding Machine</t>
  </si>
  <si>
    <t xml:space="preserve">P3156</t>
  </si>
  <si>
    <t xml:space="preserve">Air Compressor (Small)</t>
  </si>
  <si>
    <t xml:space="preserve">P1607</t>
  </si>
  <si>
    <t xml:space="preserve">Portable Generator (Optional)</t>
  </si>
  <si>
    <t xml:space="preserve">P2637</t>
  </si>
  <si>
    <t xml:space="preserve">Laptop / Desktop (Basic)</t>
  </si>
  <si>
    <t xml:space="preserve">P1028</t>
  </si>
  <si>
    <t xml:space="preserve">Software Subscription (Accounting/Inventory)</t>
  </si>
  <si>
    <t xml:space="preserve">P1404</t>
  </si>
  <si>
    <t xml:space="preserve">Workbench with vice</t>
  </si>
  <si>
    <t xml:space="preserve">P1566</t>
  </si>
  <si>
    <t xml:space="preserve">Storage Rack / Shelves</t>
  </si>
  <si>
    <t xml:space="preserve">P1433</t>
  </si>
  <si>
    <t xml:space="preserve">Steel Table</t>
  </si>
  <si>
    <t xml:space="preserve">P1426</t>
  </si>
  <si>
    <t xml:space="preserve">Stools / Chairs</t>
  </si>
  <si>
    <t xml:space="preserve">P1427</t>
  </si>
  <si>
    <t xml:space="preserve">Safety Helmet</t>
  </si>
  <si>
    <t xml:space="preserve">Hand Gloves (Heat &amp; Chemical Resistant)</t>
  </si>
  <si>
    <t xml:space="preserve">P0944</t>
  </si>
  <si>
    <t xml:space="preserve">Safety Goggles</t>
  </si>
  <si>
    <t xml:space="preserve">Face Mask (Reusable)</t>
  </si>
  <si>
    <t xml:space="preserve">P0854</t>
  </si>
  <si>
    <t xml:space="preserve">Fire Extinguisher (ABC Type)</t>
  </si>
  <si>
    <t xml:space="preserve">P0869</t>
  </si>
  <si>
    <t xml:space="preserve">Notice Board / Whiteboard</t>
  </si>
  <si>
    <t xml:space="preserve">P1131</t>
  </si>
  <si>
    <t xml:space="preserve">Packing Material (Boxes, Tape, Wrappers)</t>
  </si>
  <si>
    <t xml:space="preserve">P0318</t>
  </si>
  <si>
    <t xml:space="preserve">Raw Material (as per business type)</t>
  </si>
  <si>
    <t xml:space="preserve">P0370</t>
  </si>
  <si>
    <t xml:space="preserve">Register &amp; Stationery</t>
  </si>
  <si>
    <t xml:space="preserve">P0381</t>
  </si>
  <si>
    <t xml:space="preserve">LED Tube Lights (Industrial Area)</t>
  </si>
  <si>
    <t xml:space="preserve">P1054</t>
  </si>
  <si>
    <t xml:space="preserve">USB Microphone</t>
  </si>
  <si>
    <t xml:space="preserve">P3091</t>
  </si>
  <si>
    <t xml:space="preserve">Desktop Workstation</t>
  </si>
  <si>
    <t xml:space="preserve">P0757</t>
  </si>
  <si>
    <t xml:space="preserve">Faculty Computer</t>
  </si>
  <si>
    <t xml:space="preserve">P0857</t>
  </si>
  <si>
    <t xml:space="preserve">Drawing Tablets</t>
  </si>
  <si>
    <t xml:space="preserve">P0800</t>
  </si>
  <si>
    <t xml:space="preserve">Webcam/Camera</t>
  </si>
  <si>
    <t xml:space="preserve">P1550</t>
  </si>
  <si>
    <t xml:space="preserve">Autodesk Maya, Adobe Animate, Blender</t>
  </si>
  <si>
    <t xml:space="preserve">P0566</t>
  </si>
  <si>
    <t xml:space="preserve">Krita</t>
  </si>
  <si>
    <t xml:space="preserve">P1023</t>
  </si>
  <si>
    <t xml:space="preserve">OpenToonz</t>
  </si>
  <si>
    <t xml:space="preserve">P1150</t>
  </si>
  <si>
    <t xml:space="preserve">Audacity</t>
  </si>
  <si>
    <t xml:space="preserve">P0559</t>
  </si>
  <si>
    <t xml:space="preserve">LibreOffice</t>
  </si>
  <si>
    <t xml:space="preserve">P1055</t>
  </si>
  <si>
    <t xml:space="preserve">Faculty Table and Chair</t>
  </si>
  <si>
    <t xml:space="preserve">P0858</t>
  </si>
  <si>
    <t xml:space="preserve">Sketchbooks</t>
  </si>
  <si>
    <t xml:space="preserve">P0416</t>
  </si>
  <si>
    <t xml:space="preserve">Drawing Pencil Sets</t>
  </si>
  <si>
    <t xml:space="preserve">P0134</t>
  </si>
  <si>
    <t xml:space="preserve">Marker Sets</t>
  </si>
  <si>
    <t xml:space="preserve">P0259</t>
  </si>
  <si>
    <t xml:space="preserve">Tracing Paper Packs</t>
  </si>
  <si>
    <t xml:space="preserve">P0483</t>
  </si>
  <si>
    <t xml:space="preserve">Flipbooks</t>
  </si>
  <si>
    <t xml:space="preserve">P0179</t>
  </si>
  <si>
    <t xml:space="preserve">Stylus Pen</t>
  </si>
  <si>
    <t xml:space="preserve">P2964</t>
  </si>
  <si>
    <t xml:space="preserve">Stencil</t>
  </si>
  <si>
    <t xml:space="preserve">P2940</t>
  </si>
  <si>
    <t xml:space="preserve">Drawing Compass</t>
  </si>
  <si>
    <t xml:space="preserve">P1970</t>
  </si>
  <si>
    <t xml:space="preserve">Clay Tool Kit</t>
  </si>
  <si>
    <t xml:space="preserve">P1822</t>
  </si>
  <si>
    <t xml:space="preserve">Camera or Smartphone</t>
  </si>
  <si>
    <t xml:space="preserve">P1780</t>
  </si>
  <si>
    <t xml:space="preserve">Lighting Equipment kit</t>
  </si>
  <si>
    <t xml:space="preserve">P2358</t>
  </si>
  <si>
    <t xml:space="preserve">Desk Lamp</t>
  </si>
  <si>
    <t xml:space="preserve">P1914</t>
  </si>
  <si>
    <t xml:space="preserve">Digital Drawing Tablet</t>
  </si>
  <si>
    <t xml:space="preserve">P0771</t>
  </si>
  <si>
    <t xml:space="preserve">Scanner and Printer</t>
  </si>
  <si>
    <t xml:space="preserve">P1355</t>
  </si>
  <si>
    <t xml:space="preserve">3D Modelling, Sculpting and Painting Software</t>
  </si>
  <si>
    <t xml:space="preserve">P0524</t>
  </si>
  <si>
    <t xml:space="preserve">Skilled Level Software</t>
  </si>
  <si>
    <t xml:space="preserve">P1390</t>
  </si>
  <si>
    <t xml:space="preserve">Furniture (Ergonomic Chair and Adjustable Desk)</t>
  </si>
  <si>
    <t xml:space="preserve">P0914</t>
  </si>
  <si>
    <t xml:space="preserve">Color Swatches and Pantone Guides</t>
  </si>
  <si>
    <t xml:space="preserve">P0680</t>
  </si>
  <si>
    <t xml:space="preserve">Art Mannequins</t>
  </si>
  <si>
    <t xml:space="preserve">P0556</t>
  </si>
  <si>
    <t xml:space="preserve">Paper set</t>
  </si>
  <si>
    <t xml:space="preserve">P0325</t>
  </si>
  <si>
    <t xml:space="preserve">Stationary set</t>
  </si>
  <si>
    <t xml:space="preserve">P0441</t>
  </si>
  <si>
    <t xml:space="preserve">Clay</t>
  </si>
  <si>
    <t xml:space="preserve">P0077</t>
  </si>
  <si>
    <t xml:space="preserve">Polymer Clay</t>
  </si>
  <si>
    <t xml:space="preserve">P0355</t>
  </si>
  <si>
    <t xml:space="preserve">Cleaning tools</t>
  </si>
  <si>
    <t xml:space="preserve">P1830</t>
  </si>
  <si>
    <t xml:space="preserve">Electricity tester</t>
  </si>
  <si>
    <t xml:space="preserve">P2012</t>
  </si>
  <si>
    <t xml:space="preserve">LibreOffice or MS Office, Adobe Photoshop, Silhouette, Nuke, Fusion, Combustion, 3DS Max etc.</t>
  </si>
  <si>
    <t xml:space="preserve">P1058</t>
  </si>
  <si>
    <t xml:space="preserve">First-Aid Kit</t>
  </si>
  <si>
    <t xml:space="preserve">Sample pictures and videos</t>
  </si>
  <si>
    <t xml:space="preserve">P1332</t>
  </si>
  <si>
    <t xml:space="preserve">Safety and ergonomics chart</t>
  </si>
  <si>
    <t xml:space="preserve">P1293</t>
  </si>
  <si>
    <t xml:space="preserve">Local Area Network (LAN)</t>
  </si>
  <si>
    <t xml:space="preserve">P1062</t>
  </si>
  <si>
    <t xml:space="preserve">Internet Connection</t>
  </si>
  <si>
    <t xml:space="preserve">Demonstration Charts</t>
  </si>
  <si>
    <t xml:space="preserve">P0743</t>
  </si>
  <si>
    <t xml:space="preserve">Drawing sheets</t>
  </si>
  <si>
    <t xml:space="preserve">P0136</t>
  </si>
  <si>
    <t xml:space="preserve">Non-Photo Blue Pencils</t>
  </si>
  <si>
    <t xml:space="preserve">P0298</t>
  </si>
  <si>
    <t xml:space="preserve">3-Hole Punched Paper</t>
  </si>
  <si>
    <t xml:space="preserve">P0001</t>
  </si>
  <si>
    <t xml:space="preserve">Art Gum Eraser</t>
  </si>
  <si>
    <t xml:space="preserve">P0018</t>
  </si>
  <si>
    <t xml:space="preserve">Cells/Transparencies</t>
  </si>
  <si>
    <t xml:space="preserve">P0065</t>
  </si>
  <si>
    <t xml:space="preserve">Water colours, Markers, and Pastels</t>
  </si>
  <si>
    <t xml:space="preserve">P0503</t>
  </si>
  <si>
    <t xml:space="preserve">Walkie talky</t>
  </si>
  <si>
    <t xml:space="preserve">P3115</t>
  </si>
  <si>
    <t xml:space="preserve">Intercom</t>
  </si>
  <si>
    <t xml:space="preserve">P2294</t>
  </si>
  <si>
    <t xml:space="preserve">BP Machine</t>
  </si>
  <si>
    <t xml:space="preserve">P1741</t>
  </si>
  <si>
    <t xml:space="preserve">AED (Automated External defibrillator)</t>
  </si>
  <si>
    <t xml:space="preserve">P1603</t>
  </si>
  <si>
    <t xml:space="preserve">Computers – Desktops / Laptops</t>
  </si>
  <si>
    <t xml:space="preserve">P0717</t>
  </si>
  <si>
    <t xml:space="preserve">Video Footage Auditing software</t>
  </si>
  <si>
    <t xml:space="preserve">P1532</t>
  </si>
  <si>
    <t xml:space="preserve">First-aid drill, drill including CPR (Cardio pulmonary resuscitation) and Choking</t>
  </si>
  <si>
    <t xml:space="preserve">P0881</t>
  </si>
  <si>
    <t xml:space="preserve">Drill on field triage casualty evacuation techniques</t>
  </si>
  <si>
    <t xml:space="preserve">P0801</t>
  </si>
  <si>
    <t xml:space="preserve">Video and audio recorder</t>
  </si>
  <si>
    <t xml:space="preserve">P1529</t>
  </si>
  <si>
    <t xml:space="preserve">Personal protective equipments (PPE) like gloves, helmets, jackets, harness etc.</t>
  </si>
  <si>
    <t xml:space="preserve">Card Swiping Machine</t>
  </si>
  <si>
    <t xml:space="preserve">P1789</t>
  </si>
  <si>
    <t xml:space="preserve">Mannequins</t>
  </si>
  <si>
    <t xml:space="preserve">P2395</t>
  </si>
  <si>
    <t xml:space="preserve">Housekeeping equipments</t>
  </si>
  <si>
    <t xml:space="preserve">P2259</t>
  </si>
  <si>
    <t xml:space="preserve">Goods moving equipments</t>
  </si>
  <si>
    <t xml:space="preserve">P2149</t>
  </si>
  <si>
    <t xml:space="preserve">End Cap</t>
  </si>
  <si>
    <t xml:space="preserve">P0834</t>
  </si>
  <si>
    <t xml:space="preserve">Table (POS)</t>
  </si>
  <si>
    <t xml:space="preserve">P1455</t>
  </si>
  <si>
    <t xml:space="preserve">Chair (POS)</t>
  </si>
  <si>
    <t xml:space="preserve">P0645</t>
  </si>
  <si>
    <t xml:space="preserve">Gondolas</t>
  </si>
  <si>
    <t xml:space="preserve">P0928</t>
  </si>
  <si>
    <t xml:space="preserve">Signage Board</t>
  </si>
  <si>
    <t xml:space="preserve">P1382</t>
  </si>
  <si>
    <t xml:space="preserve">Offer Signage's</t>
  </si>
  <si>
    <t xml:space="preserve">P1133</t>
  </si>
  <si>
    <t xml:space="preserve">Display Photographs</t>
  </si>
  <si>
    <t xml:space="preserve">P0783</t>
  </si>
  <si>
    <t xml:space="preserve">Products</t>
  </si>
  <si>
    <t xml:space="preserve">P1235</t>
  </si>
  <si>
    <t xml:space="preserve">Currency Notes of different Denominations</t>
  </si>
  <si>
    <t xml:space="preserve">P0731</t>
  </si>
  <si>
    <t xml:space="preserve">Photographs of Stacked Notes</t>
  </si>
  <si>
    <t xml:space="preserve">P1189</t>
  </si>
  <si>
    <t xml:space="preserve">Flip Chart Holder</t>
  </si>
  <si>
    <t xml:space="preserve">P0890</t>
  </si>
  <si>
    <t xml:space="preserve">Poster (POS)</t>
  </si>
  <si>
    <t xml:space="preserve">P0358</t>
  </si>
  <si>
    <t xml:space="preserve">Credit Notes</t>
  </si>
  <si>
    <t xml:space="preserve">P0110</t>
  </si>
  <si>
    <t xml:space="preserve">Neck-Locks for Carry Bags</t>
  </si>
  <si>
    <t xml:space="preserve">P0292</t>
  </si>
  <si>
    <t xml:space="preserve">Forklift</t>
  </si>
  <si>
    <t xml:space="preserve">Picklist, BOM</t>
  </si>
  <si>
    <t xml:space="preserve">P1190</t>
  </si>
  <si>
    <t xml:space="preserve">Transportation/Truck Schedules</t>
  </si>
  <si>
    <t xml:space="preserve">P1500</t>
  </si>
  <si>
    <t xml:space="preserve">Inventory record sheet</t>
  </si>
  <si>
    <t xml:space="preserve">P1010</t>
  </si>
  <si>
    <t xml:space="preserve">Sample Inventory tracking sheet</t>
  </si>
  <si>
    <t xml:space="preserve">P1329</t>
  </si>
  <si>
    <t xml:space="preserve">Sample Inventory records</t>
  </si>
  <si>
    <t xml:space="preserve">P1328</t>
  </si>
  <si>
    <t xml:space="preserve">Requisition forms</t>
  </si>
  <si>
    <t xml:space="preserve">P1280</t>
  </si>
  <si>
    <t xml:space="preserve">Incident reports</t>
  </si>
  <si>
    <t xml:space="preserve">P0986</t>
  </si>
  <si>
    <t xml:space="preserve">Labeling Machine or Tag Gun</t>
  </si>
  <si>
    <t xml:space="preserve">P2330</t>
  </si>
  <si>
    <t xml:space="preserve">Cash Register or Cash Drawer</t>
  </si>
  <si>
    <t xml:space="preserve">P1790</t>
  </si>
  <si>
    <t xml:space="preserve">Credit/Debit Card Machine (EDC Machine)</t>
  </si>
  <si>
    <t xml:space="preserve">P1869</t>
  </si>
  <si>
    <t xml:space="preserve">Point of Sale (POS) Terminal/System</t>
  </si>
  <si>
    <t xml:space="preserve">P1201</t>
  </si>
  <si>
    <t xml:space="preserve">Barcode Scanner</t>
  </si>
  <si>
    <t xml:space="preserve">P0581</t>
  </si>
  <si>
    <t xml:space="preserve">Handheld Inventory Scanner (RFID/Barcode)</t>
  </si>
  <si>
    <t xml:space="preserve">P0950</t>
  </si>
  <si>
    <t xml:space="preserve">Weight plates, bars and other weights</t>
  </si>
  <si>
    <t xml:space="preserve">P3154</t>
  </si>
  <si>
    <t xml:space="preserve">Cable machine</t>
  </si>
  <si>
    <t xml:space="preserve">P1772</t>
  </si>
  <si>
    <t xml:space="preserve">Regular field visits</t>
  </si>
  <si>
    <t xml:space="preserve">P1276</t>
  </si>
  <si>
    <t xml:space="preserve">Exercise Ball Pump</t>
  </si>
  <si>
    <t xml:space="preserve">P2046</t>
  </si>
  <si>
    <t xml:space="preserve">Exercise/Yoga Mats</t>
  </si>
  <si>
    <t xml:space="preserve">P2049</t>
  </si>
  <si>
    <t xml:space="preserve">Dumbbells</t>
  </si>
  <si>
    <t xml:space="preserve">P1985</t>
  </si>
  <si>
    <t xml:space="preserve">Adjustable Dumbbells</t>
  </si>
  <si>
    <t xml:space="preserve">P1598</t>
  </si>
  <si>
    <t xml:space="preserve">Kettlebells</t>
  </si>
  <si>
    <t xml:space="preserve">P2313</t>
  </si>
  <si>
    <t xml:space="preserve">Resistance Bands</t>
  </si>
  <si>
    <t xml:space="preserve">P2709</t>
  </si>
  <si>
    <t xml:space="preserve">Resistance Tubes</t>
  </si>
  <si>
    <t xml:space="preserve">P2710</t>
  </si>
  <si>
    <t xml:space="preserve">Exercise/Swiss Balls</t>
  </si>
  <si>
    <t xml:space="preserve">P2048</t>
  </si>
  <si>
    <t xml:space="preserve">Medicine Balls</t>
  </si>
  <si>
    <t xml:space="preserve">P2430</t>
  </si>
  <si>
    <t xml:space="preserve">Skipping Ropes</t>
  </si>
  <si>
    <t xml:space="preserve">P2832</t>
  </si>
  <si>
    <t xml:space="preserve">Agility Ladder</t>
  </si>
  <si>
    <t xml:space="preserve">P1604</t>
  </si>
  <si>
    <t xml:space="preserve">Cones</t>
  </si>
  <si>
    <t xml:space="preserve">P1858</t>
  </si>
  <si>
    <t xml:space="preserve">Hurdles</t>
  </si>
  <si>
    <t xml:space="preserve">P2262</t>
  </si>
  <si>
    <t xml:space="preserve">Step Platform</t>
  </si>
  <si>
    <t xml:space="preserve">P2942</t>
  </si>
  <si>
    <t xml:space="preserve">Balance Board</t>
  </si>
  <si>
    <t xml:space="preserve">P1666</t>
  </si>
  <si>
    <t xml:space="preserve">Foam Roller</t>
  </si>
  <si>
    <t xml:space="preserve">P2087</t>
  </si>
  <si>
    <t xml:space="preserve">Pull-up Bar</t>
  </si>
  <si>
    <t xml:space="preserve">P2669</t>
  </si>
  <si>
    <t xml:space="preserve">Exercise Bands</t>
  </si>
  <si>
    <t xml:space="preserve">P2047</t>
  </si>
  <si>
    <t xml:space="preserve">Ankle/Wrist Weights</t>
  </si>
  <si>
    <t xml:space="preserve">P1635</t>
  </si>
  <si>
    <t xml:space="preserve">Abdominal Wheel</t>
  </si>
  <si>
    <t xml:space="preserve">P1592</t>
  </si>
  <si>
    <t xml:space="preserve">Push-up Bars</t>
  </si>
  <si>
    <t xml:space="preserve">P2677</t>
  </si>
  <si>
    <t xml:space="preserve">Height Measuring Scale</t>
  </si>
  <si>
    <t xml:space="preserve">P2235</t>
  </si>
  <si>
    <t xml:space="preserve">Stopwatch</t>
  </si>
  <si>
    <t xml:space="preserve">Heart Rate Monitor</t>
  </si>
  <si>
    <t xml:space="preserve">P2228</t>
  </si>
  <si>
    <t xml:space="preserve">Blood Pressure Monitor</t>
  </si>
  <si>
    <t xml:space="preserve">P1717</t>
  </si>
  <si>
    <t xml:space="preserve">Bluetooth Speaker</t>
  </si>
  <si>
    <t xml:space="preserve">P0614</t>
  </si>
  <si>
    <t xml:space="preserve">Gym Bench</t>
  </si>
  <si>
    <t xml:space="preserve">P0937</t>
  </si>
  <si>
    <t xml:space="preserve">Storage Rack</t>
  </si>
  <si>
    <t xml:space="preserve">P1432</t>
  </si>
  <si>
    <t xml:space="preserve">Full-Length Mirror</t>
  </si>
  <si>
    <t xml:space="preserve">P0913</t>
  </si>
  <si>
    <t xml:space="preserve">Exercise/Anatomy Posters</t>
  </si>
  <si>
    <t xml:space="preserve">P0846</t>
  </si>
  <si>
    <t xml:space="preserve">Training/Exercise Charts</t>
  </si>
  <si>
    <t xml:space="preserve">P1498</t>
  </si>
  <si>
    <t xml:space="preserve">Disinfectant/Sanitizer</t>
  </si>
  <si>
    <t xml:space="preserve">P0127</t>
  </si>
  <si>
    <t xml:space="preserve">Cleaning Cloths</t>
  </si>
  <si>
    <t xml:space="preserve">P0079</t>
  </si>
  <si>
    <t xml:space="preserve">Fitness Assessment Forms</t>
  </si>
  <si>
    <t xml:space="preserve">P0176</t>
  </si>
  <si>
    <t xml:space="preserve">Water Bottles</t>
  </si>
  <si>
    <t xml:space="preserve">P1547</t>
  </si>
  <si>
    <t xml:space="preserve">Whistle</t>
  </si>
  <si>
    <t xml:space="preserve">P3162</t>
  </si>
  <si>
    <t xml:space="preserve">Wooden Cricket Bat</t>
  </si>
  <si>
    <t xml:space="preserve">P3177</t>
  </si>
  <si>
    <t xml:space="preserve">Tennis Ball</t>
  </si>
  <si>
    <t xml:space="preserve">P3013</t>
  </si>
  <si>
    <t xml:space="preserve">Basketball - Size 5</t>
  </si>
  <si>
    <t xml:space="preserve">P1688</t>
  </si>
  <si>
    <t xml:space="preserve">Cricket Stump Set</t>
  </si>
  <si>
    <t xml:space="preserve">P1870</t>
  </si>
  <si>
    <t xml:space="preserve">PU Hand Stitched Football - Size 4</t>
  </si>
  <si>
    <t xml:space="preserve">P2667</t>
  </si>
  <si>
    <t xml:space="preserve">Rugby Ball</t>
  </si>
  <si>
    <t xml:space="preserve">P2733</t>
  </si>
  <si>
    <t xml:space="preserve">Nylon Bibs</t>
  </si>
  <si>
    <t xml:space="preserve">P2515</t>
  </si>
  <si>
    <t xml:space="preserve">1 kg Medicine Ball</t>
  </si>
  <si>
    <t xml:space="preserve">P1578</t>
  </si>
  <si>
    <t xml:space="preserve">Handball</t>
  </si>
  <si>
    <t xml:space="preserve">P2220</t>
  </si>
  <si>
    <t xml:space="preserve">Sit and Reach Box</t>
  </si>
  <si>
    <t xml:space="preserve">P2831</t>
  </si>
  <si>
    <t xml:space="preserve">Pop up Goal post</t>
  </si>
  <si>
    <t xml:space="preserve">P2635</t>
  </si>
  <si>
    <t xml:space="preserve">Tennis ball</t>
  </si>
  <si>
    <t xml:space="preserve">Frisbee</t>
  </si>
  <si>
    <t xml:space="preserve">P2105</t>
  </si>
  <si>
    <t xml:space="preserve">9 Step Hurdle</t>
  </si>
  <si>
    <t xml:space="preserve">P1587</t>
  </si>
  <si>
    <t xml:space="preserve">Flat Ring</t>
  </si>
  <si>
    <t xml:space="preserve">P2081</t>
  </si>
  <si>
    <t xml:space="preserve">Weighing Scale</t>
  </si>
  <si>
    <t xml:space="preserve">Gym Mats/Yoga Mats</t>
  </si>
  <si>
    <t xml:space="preserve">P2165</t>
  </si>
  <si>
    <t xml:space="preserve">Marking Cones</t>
  </si>
  <si>
    <t xml:space="preserve">P2401</t>
  </si>
  <si>
    <t xml:space="preserve">Relay Batons</t>
  </si>
  <si>
    <t xml:space="preserve">P2706</t>
  </si>
  <si>
    <t xml:space="preserve">Storage Cupboards/ Sandook</t>
  </si>
  <si>
    <t xml:space="preserve">P1431</t>
  </si>
  <si>
    <t xml:space="preserve">Ball Storage Duffel/Tote Bag</t>
  </si>
  <si>
    <t xml:space="preserve">P0574</t>
  </si>
  <si>
    <t xml:space="preserve">Sink auger</t>
  </si>
  <si>
    <t xml:space="preserve">P2830</t>
  </si>
  <si>
    <t xml:space="preserve">Hydraulic water pressure Machine</t>
  </si>
  <si>
    <t xml:space="preserve">P2266</t>
  </si>
  <si>
    <t xml:space="preserve">Geyser/ Water heater</t>
  </si>
  <si>
    <t xml:space="preserve">P2136</t>
  </si>
  <si>
    <t xml:space="preserve">Advance pipe fittings and fixtures</t>
  </si>
  <si>
    <t xml:space="preserve">P0010</t>
  </si>
  <si>
    <t xml:space="preserve">Advance fixtures and fittings</t>
  </si>
  <si>
    <t xml:space="preserve">P0009</t>
  </si>
  <si>
    <t xml:space="preserve">Bed leveling tools</t>
  </si>
  <si>
    <t xml:space="preserve">P1700</t>
  </si>
  <si>
    <t xml:space="preserve">Calipers and measuring tools</t>
  </si>
  <si>
    <t xml:space="preserve">P1777</t>
  </si>
  <si>
    <t xml:space="preserve">Post processing tools</t>
  </si>
  <si>
    <t xml:space="preserve">P2640</t>
  </si>
  <si>
    <t xml:space="preserve">3d filament pen</t>
  </si>
  <si>
    <t xml:space="preserve">P1580</t>
  </si>
  <si>
    <t xml:space="preserve">3D Printer</t>
  </si>
  <si>
    <t xml:space="preserve">P1581</t>
  </si>
  <si>
    <t xml:space="preserve">Build Plates</t>
  </si>
  <si>
    <t xml:space="preserve">P1759</t>
  </si>
  <si>
    <t xml:space="preserve">3D Scanners</t>
  </si>
  <si>
    <t xml:space="preserve">P1582</t>
  </si>
  <si>
    <t xml:space="preserve">UV Curing station for SLA</t>
  </si>
  <si>
    <t xml:space="preserve">P3093</t>
  </si>
  <si>
    <t xml:space="preserve">Power Protection</t>
  </si>
  <si>
    <t xml:space="preserve">P2643</t>
  </si>
  <si>
    <t xml:space="preserve">Filament dryer</t>
  </si>
  <si>
    <t xml:space="preserve">P2064</t>
  </si>
  <si>
    <t xml:space="preserve">Computer workstation</t>
  </si>
  <si>
    <t xml:space="preserve">P0711</t>
  </si>
  <si>
    <t xml:space="preserve">3D modeling software</t>
  </si>
  <si>
    <t xml:space="preserve">P0523</t>
  </si>
  <si>
    <t xml:space="preserve">Slicing Software</t>
  </si>
  <si>
    <t xml:space="preserve">P1391</t>
  </si>
  <si>
    <t xml:space="preserve">Storage Solutions</t>
  </si>
  <si>
    <t xml:space="preserve">P1435</t>
  </si>
  <si>
    <t xml:space="preserve">Workbenches and workstations</t>
  </si>
  <si>
    <t xml:space="preserve">P1567</t>
  </si>
  <si>
    <t xml:space="preserve">Safety equipment</t>
  </si>
  <si>
    <t xml:space="preserve">P1295</t>
  </si>
  <si>
    <t xml:space="preserve">Educational materials such as whiteboard, projectors etc.</t>
  </si>
  <si>
    <t xml:space="preserve">P0821</t>
  </si>
  <si>
    <t xml:space="preserve">Filament for FDM printers</t>
  </si>
  <si>
    <t xml:space="preserve">P0171</t>
  </si>
  <si>
    <t xml:space="preserve">Resin for SLA</t>
  </si>
  <si>
    <t xml:space="preserve">P0384</t>
  </si>
  <si>
    <t xml:space="preserve">Extruder Nozzles</t>
  </si>
  <si>
    <t xml:space="preserve">P0157</t>
  </si>
  <si>
    <t xml:space="preserve">Consumables such as zip ties, adhesives etc.</t>
  </si>
  <si>
    <t xml:space="preserve">P0104</t>
  </si>
  <si>
    <t xml:space="preserve">Punching Pads, Kick Shields, Focus Mitts</t>
  </si>
  <si>
    <t xml:space="preserve">P2676</t>
  </si>
  <si>
    <t xml:space="preserve">Boxing Gloves, Punching Bag</t>
  </si>
  <si>
    <t xml:space="preserve">P1740</t>
  </si>
  <si>
    <t xml:space="preserve">EVA Foam Interlocking Mats and Judo Mats</t>
  </si>
  <si>
    <t xml:space="preserve">P2045</t>
  </si>
  <si>
    <t xml:space="preserve">Walkie-Talkie / Intercom</t>
  </si>
  <si>
    <t xml:space="preserve">P3116</t>
  </si>
  <si>
    <t xml:space="preserve">Medical Equipment</t>
  </si>
  <si>
    <t xml:space="preserve">P2429</t>
  </si>
  <si>
    <t xml:space="preserve">Drill Kits for Casualty Evacuation and Triage Practice</t>
  </si>
  <si>
    <t xml:space="preserve">P1974</t>
  </si>
  <si>
    <t xml:space="preserve">Cameras / CCTV</t>
  </si>
  <si>
    <t xml:space="preserve">P0633</t>
  </si>
  <si>
    <t xml:space="preserve">Head Guards, Shin Guards, Mouth Guards</t>
  </si>
  <si>
    <t xml:space="preserve">P0955</t>
  </si>
  <si>
    <t xml:space="preserve">Audio-Visual Aids</t>
  </si>
  <si>
    <t xml:space="preserve">CPR Manikins and Choking Response Trainers</t>
  </si>
  <si>
    <t xml:space="preserve">P0724</t>
  </si>
  <si>
    <t xml:space="preserve">Charts, Posters, Manuals, and Legal Guidelines on Self Defence</t>
  </si>
  <si>
    <t xml:space="preserve">P0664</t>
  </si>
  <si>
    <t xml:space="preserve">Components / Dividers</t>
  </si>
  <si>
    <t xml:space="preserve">P1853</t>
  </si>
  <si>
    <t xml:space="preserve">Steel rule</t>
  </si>
  <si>
    <t xml:space="preserve">P2937</t>
  </si>
  <si>
    <t xml:space="preserve">Soldering irons</t>
  </si>
  <si>
    <t xml:space="preserve">P2881</t>
  </si>
  <si>
    <t xml:space="preserve">Oscilloscope</t>
  </si>
  <si>
    <t xml:space="preserve">P2528</t>
  </si>
  <si>
    <t xml:space="preserve">Multimeters</t>
  </si>
  <si>
    <t xml:space="preserve">P2492</t>
  </si>
  <si>
    <t xml:space="preserve">Hubs/switches</t>
  </si>
  <si>
    <t xml:space="preserve">P0974</t>
  </si>
  <si>
    <t xml:space="preserve">Modem/router</t>
  </si>
  <si>
    <t xml:space="preserve">Server</t>
  </si>
  <si>
    <t xml:space="preserve">P1367</t>
  </si>
  <si>
    <t xml:space="preserve">Utility softwares</t>
  </si>
  <si>
    <t xml:space="preserve">P1524</t>
  </si>
  <si>
    <t xml:space="preserve">Learning Manuals</t>
  </si>
  <si>
    <t xml:space="preserve">P1050</t>
  </si>
  <si>
    <t xml:space="preserve">Work Instruction</t>
  </si>
  <si>
    <t xml:space="preserve">P1564</t>
  </si>
  <si>
    <t xml:space="preserve">Hand-outs</t>
  </si>
  <si>
    <t xml:space="preserve">P0948</t>
  </si>
  <si>
    <t xml:space="preserve">Drawing boards</t>
  </si>
  <si>
    <t xml:space="preserve">P0798</t>
  </si>
  <si>
    <t xml:space="preserve">CDROMs</t>
  </si>
  <si>
    <t xml:space="preserve">P0063</t>
  </si>
  <si>
    <t xml:space="preserve">UTP Cat. 5 cables</t>
  </si>
  <si>
    <t xml:space="preserve">P0490</t>
  </si>
  <si>
    <t xml:space="preserve">UTP Cat. 6 cables</t>
  </si>
  <si>
    <t xml:space="preserve">P0492</t>
  </si>
  <si>
    <t xml:space="preserve">RasW</t>
  </si>
  <si>
    <t xml:space="preserve">P2692</t>
  </si>
  <si>
    <t xml:space="preserve">SODAQ</t>
  </si>
  <si>
    <t xml:space="preserve">P2853</t>
  </si>
  <si>
    <t xml:space="preserve">Tessel</t>
  </si>
  <si>
    <t xml:space="preserve">P3016</t>
  </si>
  <si>
    <t xml:space="preserve">Pinoccio</t>
  </si>
  <si>
    <t xml:space="preserve">P2600</t>
  </si>
  <si>
    <t xml:space="preserve">OpenPicus</t>
  </si>
  <si>
    <t xml:space="preserve">P2526</t>
  </si>
  <si>
    <t xml:space="preserve">Microduino</t>
  </si>
  <si>
    <t xml:space="preserve">P2443</t>
  </si>
  <si>
    <t xml:space="preserve">LightBlue Bean Punch Through</t>
  </si>
  <si>
    <t xml:space="preserve">P2356</t>
  </si>
  <si>
    <t xml:space="preserve">Flutter</t>
  </si>
  <si>
    <t xml:space="preserve">P2085</t>
  </si>
  <si>
    <t xml:space="preserve">Beagle Board</t>
  </si>
  <si>
    <t xml:space="preserve">P1697</t>
  </si>
  <si>
    <t xml:space="preserve">Arduino Yún</t>
  </si>
  <si>
    <t xml:space="preserve">P1643</t>
  </si>
  <si>
    <t xml:space="preserve">Arduino</t>
  </si>
  <si>
    <t xml:space="preserve">P1641</t>
  </si>
  <si>
    <t xml:space="preserve">Spark</t>
  </si>
  <si>
    <t xml:space="preserve">P2896</t>
  </si>
  <si>
    <t xml:space="preserve">Raspbian</t>
  </si>
  <si>
    <t xml:space="preserve">P1264</t>
  </si>
  <si>
    <t xml:space="preserve">Node-RED</t>
  </si>
  <si>
    <t xml:space="preserve">P1129</t>
  </si>
  <si>
    <t xml:space="preserve">M2MLabs Mainspring</t>
  </si>
  <si>
    <t xml:space="preserve">P1069</t>
  </si>
  <si>
    <t xml:space="preserve">Kinoma</t>
  </si>
  <si>
    <t xml:space="preserve">P1020</t>
  </si>
  <si>
    <t xml:space="preserve">Eclipse IoT Project</t>
  </si>
  <si>
    <t xml:space="preserve">P0820</t>
  </si>
  <si>
    <t xml:space="preserve">Freeboard</t>
  </si>
  <si>
    <t xml:space="preserve">P0908</t>
  </si>
  <si>
    <t xml:space="preserve">Service Manual/ User Manuals</t>
  </si>
  <si>
    <t xml:space="preserve">P1368</t>
  </si>
  <si>
    <t xml:space="preserve">Program Authentication Form</t>
  </si>
  <si>
    <t xml:space="preserve">P0365</t>
  </si>
  <si>
    <t xml:space="preserve">Customer Feedback form</t>
  </si>
  <si>
    <t xml:space="preserve">Computer system with Internet connectivity</t>
  </si>
  <si>
    <t xml:space="preserve">P0705</t>
  </si>
  <si>
    <t xml:space="preserve">Travel documents: Visa, Passports etc.</t>
  </si>
  <si>
    <t xml:space="preserve">P1503</t>
  </si>
  <si>
    <t xml:space="preserve">Travel itineraries</t>
  </si>
  <si>
    <t xml:space="preserve">P1505</t>
  </si>
  <si>
    <t xml:space="preserve">Flights tickets</t>
  </si>
  <si>
    <t xml:space="preserve">P0888</t>
  </si>
  <si>
    <t xml:space="preserve">Hotel vouchers</t>
  </si>
  <si>
    <t xml:space="preserve">P0969</t>
  </si>
  <si>
    <t xml:space="preserve">Hotel tariffs</t>
  </si>
  <si>
    <t xml:space="preserve">P0968</t>
  </si>
  <si>
    <t xml:space="preserve">Templates/brochures of companies</t>
  </si>
  <si>
    <t xml:space="preserve">P1475</t>
  </si>
  <si>
    <t xml:space="preserve">Pictures of destinations</t>
  </si>
  <si>
    <t xml:space="preserve">P1192</t>
  </si>
  <si>
    <t xml:space="preserve">Tourist maps</t>
  </si>
  <si>
    <t xml:space="preserve">P1485</t>
  </si>
  <si>
    <t xml:space="preserve">Railways time table</t>
  </si>
  <si>
    <t xml:space="preserve">P1262</t>
  </si>
  <si>
    <t xml:space="preserve">Airline time table</t>
  </si>
  <si>
    <t xml:space="preserve">P0534</t>
  </si>
  <si>
    <t xml:space="preserve">Travel agents had books</t>
  </si>
  <si>
    <t xml:space="preserve">P1502</t>
  </si>
  <si>
    <t xml:space="preserve">Placards etc.</t>
  </si>
  <si>
    <t xml:space="preserve">P1198</t>
  </si>
  <si>
    <t xml:space="preserve">Salt and Pepper Set</t>
  </si>
  <si>
    <t xml:space="preserve">Finger Bowl Large with Under Liner</t>
  </si>
  <si>
    <t xml:space="preserve">Entree Dish Round with Lid (1 Portion)</t>
  </si>
  <si>
    <t xml:space="preserve">Entree Dish Round with Lid (2 Portion)</t>
  </si>
  <si>
    <t xml:space="preserve">Refreshment trays, concierge tools</t>
  </si>
  <si>
    <t xml:space="preserve">P2700</t>
  </si>
  <si>
    <t xml:space="preserve">Telephones, headsets, and mock radio/walkie-talkie systems for communication practice</t>
  </si>
  <si>
    <t xml:space="preserve">P3006</t>
  </si>
  <si>
    <t xml:space="preserve">Telephone and intercom systems for guest communication</t>
  </si>
  <si>
    <t xml:space="preserve">P3004</t>
  </si>
  <si>
    <t xml:space="preserve">Vacuum cleaners</t>
  </si>
  <si>
    <t xml:space="preserve">P3096</t>
  </si>
  <si>
    <t xml:space="preserve">Property Management System (PMS) terminals and screens</t>
  </si>
  <si>
    <t xml:space="preserve">P1250</t>
  </si>
  <si>
    <t xml:space="preserve">Barcode scanners and card readers for guest identification and room keys</t>
  </si>
  <si>
    <t xml:space="preserve">P0583</t>
  </si>
  <si>
    <t xml:space="preserve">POS terminals for billing and payment processing</t>
  </si>
  <si>
    <t xml:space="preserve">P1208</t>
  </si>
  <si>
    <t xml:space="preserve">Digital kiosks for self-check-in/check-out</t>
  </si>
  <si>
    <t xml:space="preserve">P0773</t>
  </si>
  <si>
    <t xml:space="preserve">Security systems: cameras, guest ID scanners</t>
  </si>
  <si>
    <t xml:space="preserve">P1366</t>
  </si>
  <si>
    <t xml:space="preserve">Housekeeping communication devices and tracking systems (PMS integration)</t>
  </si>
  <si>
    <t xml:space="preserve">P0970</t>
  </si>
  <si>
    <t xml:space="preserve">CCTV cameras</t>
  </si>
  <si>
    <t xml:space="preserve">Property Management System (PMS) simulator or basic PMS software</t>
  </si>
  <si>
    <t xml:space="preserve">P1249</t>
  </si>
  <si>
    <t xml:space="preserve">Basic software for handling emails, spreadsheets, and data entry</t>
  </si>
  <si>
    <t xml:space="preserve">P0588</t>
  </si>
  <si>
    <t xml:space="preserve">Safe deposit boxes</t>
  </si>
  <si>
    <t xml:space="preserve">P1291</t>
  </si>
  <si>
    <t xml:space="preserve">Guest service desks, baggage carts, and luggage storage systems</t>
  </si>
  <si>
    <t xml:space="preserve">P0933</t>
  </si>
  <si>
    <t xml:space="preserve">Display racks for promotional material, maps, and tourist information</t>
  </si>
  <si>
    <t xml:space="preserve">P0784</t>
  </si>
  <si>
    <t xml:space="preserve">Basic first aid kit</t>
  </si>
  <si>
    <t xml:space="preserve">P0586</t>
  </si>
  <si>
    <t xml:space="preserve">Fire extinguishers, emergency exit maps, and signage</t>
  </si>
  <si>
    <t xml:space="preserve">P0872</t>
  </si>
  <si>
    <t xml:space="preserve">Security alarms and locking systems</t>
  </si>
  <si>
    <t xml:space="preserve">P1362</t>
  </si>
  <si>
    <t xml:space="preserve">Personal protective equipment (PPE) such as gloves, as applicable</t>
  </si>
  <si>
    <t xml:space="preserve">P1183</t>
  </si>
  <si>
    <t xml:space="preserve">Charts of Front Office equipment</t>
  </si>
  <si>
    <t xml:space="preserve">P0658</t>
  </si>
  <si>
    <t xml:space="preserve">Flowcharts of the check-in/check-out process and guest service protocols</t>
  </si>
  <si>
    <t xml:space="preserve">P0898</t>
  </si>
  <si>
    <t xml:space="preserve">Organizational hierarchy chart and Front Office layout</t>
  </si>
  <si>
    <t xml:space="preserve">P1160</t>
  </si>
  <si>
    <t xml:space="preserve">Reservation forms, guest registration cards, and check-in/check-out forms</t>
  </si>
  <si>
    <t xml:space="preserve">P1281</t>
  </si>
  <si>
    <t xml:space="preserve">Sample billing statements, invoices, receipts, and vouchers</t>
  </si>
  <si>
    <t xml:space="preserve">P1316</t>
  </si>
  <si>
    <t xml:space="preserve">Templates for guest feedback forms, service recovery notes, and incident reports</t>
  </si>
  <si>
    <t xml:space="preserve">P1472</t>
  </si>
  <si>
    <t xml:space="preserve">Sample interfaces or screenshots of Front Office systems</t>
  </si>
  <si>
    <t xml:space="preserve">P1327</t>
  </si>
  <si>
    <t xml:space="preserve">Name badges, mock uniforms, and role identifiers</t>
  </si>
  <si>
    <t xml:space="preserve">P1122</t>
  </si>
  <si>
    <t xml:space="preserve">Hospitality service etiquette guides, checklists for handling complaints, and service recovery protocols</t>
  </si>
  <si>
    <t xml:space="preserve">P0965</t>
  </si>
  <si>
    <t xml:space="preserve">Examples of greeting scripts, telephone scripts, and check-in/check-out dialogues</t>
  </si>
  <si>
    <t xml:space="preserve">P0843</t>
  </si>
  <si>
    <t xml:space="preserve">Mock room keycards, key holders, and room assignment sheets</t>
  </si>
  <si>
    <t xml:space="preserve">P1103</t>
  </si>
  <si>
    <t xml:space="preserve">Sample maps, brochures, and local area guides for guests</t>
  </si>
  <si>
    <t xml:space="preserve">P1330</t>
  </si>
  <si>
    <t xml:space="preserve">Guide on emergency procedures</t>
  </si>
  <si>
    <t xml:space="preserve">P0935</t>
  </si>
  <si>
    <t xml:space="preserve">Safety protocols for data security and guest information confidentiality</t>
  </si>
  <si>
    <t xml:space="preserve">P1309</t>
  </si>
  <si>
    <t xml:space="preserve">Stationery for note-taking, reservation logging, and communication</t>
  </si>
  <si>
    <t xml:space="preserve">P0444</t>
  </si>
  <si>
    <t xml:space="preserve">Guest hospitality items (e.g., welcome kits)</t>
  </si>
  <si>
    <t xml:space="preserve">P0208</t>
  </si>
  <si>
    <t xml:space="preserve">Spill absorbents</t>
  </si>
  <si>
    <t xml:space="preserve">Air fresheners and basic cleaning supplies for the front desk area</t>
  </si>
  <si>
    <t xml:space="preserve">P0013</t>
  </si>
  <si>
    <t xml:space="preserve">Sanitization supplies</t>
  </si>
  <si>
    <t xml:space="preserve">P0400</t>
  </si>
  <si>
    <t xml:space="preserve">Room readiness boards and status tracking systems</t>
  </si>
  <si>
    <t xml:space="preserve">P1286</t>
  </si>
  <si>
    <t xml:space="preserve">Waste disposal bins, recycling stations</t>
  </si>
  <si>
    <t xml:space="preserve">P1545</t>
  </si>
  <si>
    <t xml:space="preserve">Hand sanitizer stations and hygiene signage</t>
  </si>
  <si>
    <t xml:space="preserve">P0946</t>
  </si>
  <si>
    <t xml:space="preserve">Travel Information Brochures of heritages sites/destinations</t>
  </si>
  <si>
    <t xml:space="preserve">P1504</t>
  </si>
  <si>
    <t xml:space="preserve">Different kinds of luggage (sizes, materials etc)</t>
  </si>
  <si>
    <t xml:space="preserve">P0764</t>
  </si>
  <si>
    <t xml:space="preserve">Tourist maps (Site/India/World)</t>
  </si>
  <si>
    <t xml:space="preserve">P1486</t>
  </si>
  <si>
    <t xml:space="preserve">Pictures of tourism attractions</t>
  </si>
  <si>
    <t xml:space="preserve">P1193</t>
  </si>
  <si>
    <t xml:space="preserve">Tour Brochures of travel companies and tourist sites</t>
  </si>
  <si>
    <t xml:space="preserve">P1483</t>
  </si>
  <si>
    <t xml:space="preserve">Tourist Guide Book</t>
  </si>
  <si>
    <t xml:space="preserve">P1484</t>
  </si>
  <si>
    <t xml:space="preserve">Cash Receipt Book</t>
  </si>
  <si>
    <t xml:space="preserve">P0061</t>
  </si>
  <si>
    <t xml:space="preserve">Tent Cards</t>
  </si>
  <si>
    <t xml:space="preserve">P0468</t>
  </si>
  <si>
    <t xml:space="preserve">Compasses</t>
  </si>
  <si>
    <t xml:space="preserve">P1851</t>
  </si>
  <si>
    <t xml:space="preserve">Sample collection tools (where permitted)</t>
  </si>
  <si>
    <t xml:space="preserve">P2743</t>
  </si>
  <si>
    <t xml:space="preserve">Basic GPS devices</t>
  </si>
  <si>
    <t xml:space="preserve">P1684</t>
  </si>
  <si>
    <t xml:space="preserve">Binoculars, magnifying glasses, and field microscopes for plant and animal observation</t>
  </si>
  <si>
    <t xml:space="preserve">P1708</t>
  </si>
  <si>
    <t xml:space="preserve">Thermometers, barometers, and anemometers for recording weather conditions</t>
  </si>
  <si>
    <t xml:space="preserve">P3023</t>
  </si>
  <si>
    <t xml:space="preserve">Rain gauges and soil sampling kits for environmental assessments</t>
  </si>
  <si>
    <t xml:space="preserve">P2685</t>
  </si>
  <si>
    <t xml:space="preserve">Larger binoculars or spotting scopes for wildlife viewing</t>
  </si>
  <si>
    <t xml:space="preserve">P2344</t>
  </si>
  <si>
    <t xml:space="preserve">Advanced GPS devices and trail mapping tools</t>
  </si>
  <si>
    <t xml:space="preserve">P1600</t>
  </si>
  <si>
    <t xml:space="preserve">Two-way radios and emergency communication devices</t>
  </si>
  <si>
    <t xml:space="preserve">P3084</t>
  </si>
  <si>
    <t xml:space="preserve">Satellite phones for areas with limited cell service</t>
  </si>
  <si>
    <t xml:space="preserve">P2748</t>
  </si>
  <si>
    <t xml:space="preserve">Tracking devices and tags for wildlife monitoring (if applicable)</t>
  </si>
  <si>
    <t xml:space="preserve">P3057</t>
  </si>
  <si>
    <t xml:space="preserve">Camera traps for observing wildlife without human interference</t>
  </si>
  <si>
    <t xml:space="preserve">P1781</t>
  </si>
  <si>
    <t xml:space="preserve">Equipment for sample collection and environmental monitoring (e.g., soil testers, water quality kits)</t>
  </si>
  <si>
    <t xml:space="preserve">P2037</t>
  </si>
  <si>
    <t xml:space="preserve">Camping tents</t>
  </si>
  <si>
    <t xml:space="preserve">P1782</t>
  </si>
  <si>
    <t xml:space="preserve">Eco-friendly ground covers</t>
  </si>
  <si>
    <t xml:space="preserve">P1998</t>
  </si>
  <si>
    <t xml:space="preserve">Outdoor cooking equipment, such as stoves, pots, and reusable utensils</t>
  </si>
  <si>
    <t xml:space="preserve">P2531</t>
  </si>
  <si>
    <t xml:space="preserve">Light and heat sources (solar lanterns, fire starters) for extended field visits</t>
  </si>
  <si>
    <t xml:space="preserve">P2354</t>
  </si>
  <si>
    <t xml:space="preserve">Electronic tablets with species identification apps</t>
  </si>
  <si>
    <t xml:space="preserve">P0823</t>
  </si>
  <si>
    <t xml:space="preserve">Portable seating</t>
  </si>
  <si>
    <t xml:space="preserve">P1206</t>
  </si>
  <si>
    <t xml:space="preserve">Basic first aid kits</t>
  </si>
  <si>
    <t xml:space="preserve">P0587</t>
  </si>
  <si>
    <t xml:space="preserve">Personal protective equipment (PPE) like gloves, face masks, and hand sanitizers</t>
  </si>
  <si>
    <t xml:space="preserve">P1181</t>
  </si>
  <si>
    <t xml:space="preserve">UV protection and hydration tools for outdoor safety during different weather conditions</t>
  </si>
  <si>
    <t xml:space="preserve">P1525</t>
  </si>
  <si>
    <t xml:space="preserve">First aid stations and rescue kits equipped for wilderness settings</t>
  </si>
  <si>
    <t xml:space="preserve">P0880</t>
  </si>
  <si>
    <t xml:space="preserve">Emergency shelters, survival kits, and portable stretchers</t>
  </si>
  <si>
    <t xml:space="preserve">P0831</t>
  </si>
  <si>
    <t xml:space="preserve">Safety signage, including emergency exit markers and restricted area signs</t>
  </si>
  <si>
    <t xml:space="preserve">P1314</t>
  </si>
  <si>
    <t xml:space="preserve">Sturdy hiking boots, hats, and gloves suitable for fieldwork</t>
  </si>
  <si>
    <t xml:space="preserve">P1445</t>
  </si>
  <si>
    <t xml:space="preserve">High-visibility vests, mosquito nets, and sun protection gear</t>
  </si>
  <si>
    <t xml:space="preserve">P0962</t>
  </si>
  <si>
    <t xml:space="preserve">Additional protective equipment, such as knee pads and gaiters for rugged terrain</t>
  </si>
  <si>
    <t xml:space="preserve">P0530</t>
  </si>
  <si>
    <t xml:space="preserve">Diagrams of local ecosystems (e.g., forests, wetlands, grasslands) and common flora and fauna</t>
  </si>
  <si>
    <t xml:space="preserve">P0761</t>
  </si>
  <si>
    <t xml:space="preserve">Flowcharts for trail planning, safety protocols, and emergency response procedures</t>
  </si>
  <si>
    <t xml:space="preserve">P0896</t>
  </si>
  <si>
    <t xml:space="preserve">Identification charts for native plants, animals, and tracks</t>
  </si>
  <si>
    <t xml:space="preserve">P0983</t>
  </si>
  <si>
    <t xml:space="preserve">Illustrations of “Leave No Trace” principles and sustainable tourism practices</t>
  </si>
  <si>
    <t xml:space="preserve">P0984</t>
  </si>
  <si>
    <t xml:space="preserve">Sample guest briefing notes, safety checklists, and trail maps</t>
  </si>
  <si>
    <t xml:space="preserve">P1326</t>
  </si>
  <si>
    <t xml:space="preserve">Templates for wildlife sightings logs, field notes, and guest feedback forms</t>
  </si>
  <si>
    <t xml:space="preserve">P1474</t>
  </si>
  <si>
    <t xml:space="preserve">Incident report forms for documenting emergencies or unexpected events</t>
  </si>
  <si>
    <t xml:space="preserve">P0985</t>
  </si>
  <si>
    <t xml:space="preserve">Sample conservation pamphlets and eco-awareness materials for guest education</t>
  </si>
  <si>
    <t xml:space="preserve">P1317</t>
  </si>
  <si>
    <t xml:space="preserve">Topographic maps of local trails or parks</t>
  </si>
  <si>
    <t xml:space="preserve">P1481</t>
  </si>
  <si>
    <t xml:space="preserve">Map-reading guides and sample orienteering exercises</t>
  </si>
  <si>
    <t xml:space="preserve">P1081</t>
  </si>
  <si>
    <t xml:space="preserve">Name badges and role identifiers (e.g., "Guide," "Visitor")</t>
  </si>
  <si>
    <t xml:space="preserve">P1121</t>
  </si>
  <si>
    <t xml:space="preserve">Mock guest kits with items like binoculars, magnifying glasses, and small field guides</t>
  </si>
  <si>
    <t xml:space="preserve">P1102</t>
  </si>
  <si>
    <t xml:space="preserve">Props for simulating guest interactions, such as “visitor” hats or stickers</t>
  </si>
  <si>
    <t xml:space="preserve">P1253</t>
  </si>
  <si>
    <t xml:space="preserve">Conservation and eco-ethics guides, “Leave No Trace” checklists, and sustainable tourism protocols</t>
  </si>
  <si>
    <t xml:space="preserve">P0719</t>
  </si>
  <si>
    <t xml:space="preserve">Examples of interpretive storytelling techniques for guest engagement</t>
  </si>
  <si>
    <t xml:space="preserve">P0844</t>
  </si>
  <si>
    <t xml:space="preserve">Sample scripts for wildlife education, plant identification, and ecosystem explanations</t>
  </si>
  <si>
    <t xml:space="preserve">P1334</t>
  </si>
  <si>
    <t xml:space="preserve">Instructional guides on wilderness first aid</t>
  </si>
  <si>
    <t xml:space="preserve">P0993</t>
  </si>
  <si>
    <t xml:space="preserve">Emergency response guides and role-play materials for mock scenarios</t>
  </si>
  <si>
    <t xml:space="preserve">P0830</t>
  </si>
  <si>
    <t xml:space="preserve">Identification books and digital field guides for flora and fauna</t>
  </si>
  <si>
    <t xml:space="preserve">P0982</t>
  </si>
  <si>
    <t xml:space="preserve">Portable field guides</t>
  </si>
  <si>
    <t xml:space="preserve">P1204</t>
  </si>
  <si>
    <t xml:space="preserve">Small specimen jars</t>
  </si>
  <si>
    <t xml:space="preserve">P0417</t>
  </si>
  <si>
    <t xml:space="preserve">Eco-friendly guest kits with reusable water bottles, biodegradable utensils, and trash bags</t>
  </si>
  <si>
    <t xml:space="preserve">P0143</t>
  </si>
  <si>
    <t xml:space="preserve">Biodegradable trash bags</t>
  </si>
  <si>
    <t xml:space="preserve">P0036</t>
  </si>
  <si>
    <t xml:space="preserve">Environmentally friendly insect repellents, sunblock, and sanitizing supplies</t>
  </si>
  <si>
    <t xml:space="preserve">P0152</t>
  </si>
  <si>
    <t xml:space="preserve">Feedback collection materials like digital surveys or feedback cards</t>
  </si>
  <si>
    <t xml:space="preserve">P0167</t>
  </si>
  <si>
    <t xml:space="preserve">Guest activity logs and attendance records for group management</t>
  </si>
  <si>
    <t xml:space="preserve">P0207</t>
  </si>
  <si>
    <t xml:space="preserve">Flags, markers, and trail signs for navigation practice</t>
  </si>
  <si>
    <t xml:space="preserve">P0882</t>
  </si>
  <si>
    <t xml:space="preserve">Recycling stations and composting bins for waste management in natural areas</t>
  </si>
  <si>
    <t xml:space="preserve">P1270</t>
  </si>
  <si>
    <t xml:space="preserve">Reusable containers for guest use</t>
  </si>
  <si>
    <t xml:space="preserve">P1283</t>
  </si>
  <si>
    <t xml:space="preserve">Survey tools for guest satisfaction, wildlife impact, and conservation awareness</t>
  </si>
  <si>
    <t xml:space="preserve">P1447</t>
  </si>
  <si>
    <t xml:space="preserve">Different kinds of luggage (sizes, materials etc) (pictures if actual items not available)</t>
  </si>
  <si>
    <t xml:space="preserve">P0765</t>
  </si>
  <si>
    <t xml:space="preserve">Errand Card</t>
  </si>
  <si>
    <t xml:space="preserve">P0154</t>
  </si>
  <si>
    <t xml:space="preserve">Luggage Tag</t>
  </si>
  <si>
    <t xml:space="preserve">P0254</t>
  </si>
  <si>
    <t xml:space="preserve">Inventory format</t>
  </si>
  <si>
    <t xml:space="preserve">P0227</t>
  </si>
  <si>
    <t xml:space="preserve">Visitors Paid Out</t>
  </si>
  <si>
    <t xml:space="preserve">P0499</t>
  </si>
  <si>
    <t xml:space="preserve">Petty Cash Vouchers</t>
  </si>
  <si>
    <t xml:space="preserve">P0342</t>
  </si>
  <si>
    <t xml:space="preserve">Biometric and document verification tools (simulated setup)</t>
  </si>
  <si>
    <t xml:space="preserve">P1709</t>
  </si>
  <si>
    <t xml:space="preserve">Computers or laptops with internet access</t>
  </si>
  <si>
    <t xml:space="preserve">P0716</t>
  </si>
  <si>
    <t xml:space="preserve">Tablets or mobile devices</t>
  </si>
  <si>
    <t xml:space="preserve">P1460</t>
  </si>
  <si>
    <t xml:space="preserve">Online booking terminals and reservation systems (CRS/GDS)</t>
  </si>
  <si>
    <t xml:space="preserve">P1145</t>
  </si>
  <si>
    <t xml:space="preserve">Communication systems such as VoIP phones and email management tools</t>
  </si>
  <si>
    <t xml:space="preserve">P0686</t>
  </si>
  <si>
    <t xml:space="preserve">Customer feedback kiosks and digital record systems</t>
  </si>
  <si>
    <t xml:space="preserve">P0732</t>
  </si>
  <si>
    <t xml:space="preserve">Digital document scanners, printers, and secure data management systems</t>
  </si>
  <si>
    <t xml:space="preserve">P0769</t>
  </si>
  <si>
    <t xml:space="preserve">Digital screens displaying travel packages</t>
  </si>
  <si>
    <t xml:space="preserve">P0774</t>
  </si>
  <si>
    <t xml:space="preserve">Desktop computer or laptop</t>
  </si>
  <si>
    <t xml:space="preserve">P0752</t>
  </si>
  <si>
    <t xml:space="preserve">LCD projector, projection screen, and audio system</t>
  </si>
  <si>
    <t xml:space="preserve">P1048</t>
  </si>
  <si>
    <t xml:space="preserve">Portable speakers and microphones</t>
  </si>
  <si>
    <t xml:space="preserve">P1207</t>
  </si>
  <si>
    <t xml:space="preserve">Printer and scanner</t>
  </si>
  <si>
    <t xml:space="preserve">P1227</t>
  </si>
  <si>
    <t xml:space="preserve">Access to sample GDS/CRS interfaces (simulated environment)</t>
  </si>
  <si>
    <t xml:space="preserve">P0527</t>
  </si>
  <si>
    <t xml:space="preserve">Productivity and design software</t>
  </si>
  <si>
    <t xml:space="preserve">P1234</t>
  </si>
  <si>
    <t xml:space="preserve">Digital tools for creating promotional content, client surveys, and feedback analysis</t>
  </si>
  <si>
    <t xml:space="preserve">P0775</t>
  </si>
  <si>
    <t xml:space="preserve">Software for tour costing, invoicing, and client database management</t>
  </si>
  <si>
    <t xml:space="preserve">P1402</t>
  </si>
  <si>
    <t xml:space="preserve">Demonstrations of online visa application portals and insurance quote platforms</t>
  </si>
  <si>
    <t xml:space="preserve">P0746</t>
  </si>
  <si>
    <t xml:space="preserve">Demonstrations of follow-up, sales conversion, and customer relationship tools (CRM)</t>
  </si>
  <si>
    <t xml:space="preserve">P0745</t>
  </si>
  <si>
    <t xml:space="preserve">Front-desk workstations, headsets, and office organization systems</t>
  </si>
  <si>
    <t xml:space="preserve">P0909</t>
  </si>
  <si>
    <t xml:space="preserve">Fire extinguishers, first aid boxes, and workplace emergency signage</t>
  </si>
  <si>
    <t xml:space="preserve">P0873</t>
  </si>
  <si>
    <t xml:space="preserve">Infographics on India's tourism and hospitality ecosystem</t>
  </si>
  <si>
    <t xml:space="preserve">P0987</t>
  </si>
  <si>
    <t xml:space="preserve">Diagrams illustrating the travel advisory process — from client inquiry to post-travel feedback</t>
  </si>
  <si>
    <t xml:space="preserve">P0760</t>
  </si>
  <si>
    <t xml:space="preserve">Flowcharts of itinerary preparation, visa application, and travel insurance workflows</t>
  </si>
  <si>
    <t xml:space="preserve">P0897</t>
  </si>
  <si>
    <t xml:space="preserve">Posters depicting professional etiquette, communication standards, and service quality benchmarks</t>
  </si>
  <si>
    <t xml:space="preserve">P1212</t>
  </si>
  <si>
    <t xml:space="preserve">Visual aids on safety procedures, data privacy practices, and customer service excellence</t>
  </si>
  <si>
    <t xml:space="preserve">P1537</t>
  </si>
  <si>
    <t xml:space="preserve">Sample travel itineraries, tour quotations, and package brochures</t>
  </si>
  <si>
    <t xml:space="preserve">P1340</t>
  </si>
  <si>
    <t xml:space="preserve">Templates for customer profiles, feedback forms, and booking confirmations</t>
  </si>
  <si>
    <t xml:space="preserve">P1471</t>
  </si>
  <si>
    <t xml:space="preserve">Checklists for visa documentation, travel insurance, and tour costing</t>
  </si>
  <si>
    <t xml:space="preserve">P0667</t>
  </si>
  <si>
    <t xml:space="preserve">Consent forms, confidentiality agreements, and customer grievance registers</t>
  </si>
  <si>
    <t xml:space="preserve">P0718</t>
  </si>
  <si>
    <t xml:space="preserve">Policies on ethical conduct, service standards, and emergency contact protocols</t>
  </si>
  <si>
    <t xml:space="preserve">P1202</t>
  </si>
  <si>
    <t xml:space="preserve">Name badges and identifiers for role-playing</t>
  </si>
  <si>
    <t xml:space="preserve">P1120</t>
  </si>
  <si>
    <t xml:space="preserve">Props for simulating advisory interactions</t>
  </si>
  <si>
    <t xml:space="preserve">P1251</t>
  </si>
  <si>
    <t xml:space="preserve">Mock travel kits including sample itineraries, feedback forms, and information leaflets</t>
  </si>
  <si>
    <t xml:space="preserve">P1104</t>
  </si>
  <si>
    <t xml:space="preserve">Scenario-based simulation scripts for customer consultation, complaint handling, and upselling</t>
  </si>
  <si>
    <t xml:space="preserve">P1357</t>
  </si>
  <si>
    <t xml:space="preserve">Reference books and guides on world geography, travel destinations, and tourism trends</t>
  </si>
  <si>
    <t xml:space="preserve">P1272</t>
  </si>
  <si>
    <t xml:space="preserve">Catalogues or directories of airlines, hotels, and destination management companies (DMCs)</t>
  </si>
  <si>
    <t xml:space="preserve">P0637</t>
  </si>
  <si>
    <t xml:space="preserve">Policy booklets from insurance and visa agencies for classroom analysis</t>
  </si>
  <si>
    <t xml:space="preserve">P1203</t>
  </si>
  <si>
    <t xml:space="preserve">Audio-visual recordings of professional travel consultations and virtual tour presentations</t>
  </si>
  <si>
    <t xml:space="preserve">P0562</t>
  </si>
  <si>
    <t xml:space="preserve">Visual charts on emergency preparedness</t>
  </si>
  <si>
    <t xml:space="preserve">P1538</t>
  </si>
  <si>
    <t xml:space="preserve">Training mannequins or simulation tools for CPR demonstrations</t>
  </si>
  <si>
    <t xml:space="preserve">P1494</t>
  </si>
  <si>
    <t xml:space="preserve">Sample travel health advisories, vaccination requirements, and safety briefing cards</t>
  </si>
  <si>
    <t xml:space="preserve">P1339</t>
  </si>
  <si>
    <t xml:space="preserve">Posters on hygiene, workplace safety, and standard operating procedures for emergencies</t>
  </si>
  <si>
    <t xml:space="preserve">P1214</t>
  </si>
  <si>
    <t xml:space="preserve">Case studies and checklists on data protection and confidentiality in travel operations</t>
  </si>
  <si>
    <t xml:space="preserve">P0635</t>
  </si>
  <si>
    <t xml:space="preserve">Demonstration materials on secure customer data handling and record maintenance</t>
  </si>
  <si>
    <t xml:space="preserve">P0744</t>
  </si>
  <si>
    <t xml:space="preserve">Examples of confidentiality policies and cybersecurity awareness posters</t>
  </si>
  <si>
    <t xml:space="preserve">P0842</t>
  </si>
  <si>
    <t xml:space="preserve">Mock customer data templates for role-playing secure information handling</t>
  </si>
  <si>
    <t xml:space="preserve">P1100</t>
  </si>
  <si>
    <t xml:space="preserve">Safety manuals, risk assessment checklists, and health regulation posters</t>
  </si>
  <si>
    <t xml:space="preserve">P1307</t>
  </si>
  <si>
    <t xml:space="preserve">Examples of standard travel advisories, visa alerts, and regulatory circulars</t>
  </si>
  <si>
    <t xml:space="preserve">P0845</t>
  </si>
  <si>
    <t xml:space="preserve">Destination brochures, maps</t>
  </si>
  <si>
    <t xml:space="preserve">P0758</t>
  </si>
  <si>
    <t xml:space="preserve">Interactive world maps and multimedia displays for showcasing global tourism products</t>
  </si>
  <si>
    <t xml:space="preserve">P1001</t>
  </si>
  <si>
    <t xml:space="preserve">Examples of branded stationery and marketing material used by travel agencies</t>
  </si>
  <si>
    <t xml:space="preserve">P0841</t>
  </si>
  <si>
    <t xml:space="preserve">Whiteboard or smartboard</t>
  </si>
  <si>
    <t xml:space="preserve">P1556</t>
  </si>
  <si>
    <t xml:space="preserve">Flip charts</t>
  </si>
  <si>
    <t xml:space="preserve">Markers/chalk</t>
  </si>
  <si>
    <t xml:space="preserve">P0263</t>
  </si>
  <si>
    <t xml:space="preserve">Marker sets</t>
  </si>
  <si>
    <t xml:space="preserve">Training observation on live customer interactions and consultation setups</t>
  </si>
  <si>
    <t xml:space="preserve">P1497</t>
  </si>
  <si>
    <t xml:space="preserve">Professional binoculars</t>
  </si>
  <si>
    <t xml:space="preserve">P2660</t>
  </si>
  <si>
    <t xml:space="preserve">Portable PA systems or megaphones for large group management</t>
  </si>
  <si>
    <t xml:space="preserve">P2638</t>
  </si>
  <si>
    <t xml:space="preserve">Advanced GPS units</t>
  </si>
  <si>
    <t xml:space="preserve">P1601</t>
  </si>
  <si>
    <t xml:space="preserve">Two-way radios and emergency alert systems</t>
  </si>
  <si>
    <t xml:space="preserve">P3083</t>
  </si>
  <si>
    <t xml:space="preserve">Portable speakers for voice clarity during role-play or video demonstrations</t>
  </si>
  <si>
    <t xml:space="preserve">P2639</t>
  </si>
  <si>
    <t xml:space="preserve">Laptops or desktops with internet access for planning digital itineraries</t>
  </si>
  <si>
    <t xml:space="preserve">P1036</t>
  </si>
  <si>
    <t xml:space="preserve">Mobile devices or tablets for simulation of digital guest registration and feedback</t>
  </si>
  <si>
    <t xml:space="preserve">P1099</t>
  </si>
  <si>
    <t xml:space="preserve">Tablets for visual aids during storytelling</t>
  </si>
  <si>
    <t xml:space="preserve">P1459</t>
  </si>
  <si>
    <t xml:space="preserve">Digital feedback kiosks or tablets for guest surveys</t>
  </si>
  <si>
    <t xml:space="preserve">P0772</t>
  </si>
  <si>
    <t xml:space="preserve">Desktop computer or laptop for content delivery</t>
  </si>
  <si>
    <t xml:space="preserve">P0753</t>
  </si>
  <si>
    <t xml:space="preserve">LCD projector and projection screen</t>
  </si>
  <si>
    <t xml:space="preserve">P1047</t>
  </si>
  <si>
    <t xml:space="preserve">Software/app access (Google Maps, Canva, Google Forms, etc.) for mock exercises</t>
  </si>
  <si>
    <t xml:space="preserve">P1405</t>
  </si>
  <si>
    <t xml:space="preserve">QR code generators, digital survey platforms, and map creation tools</t>
  </si>
  <si>
    <t xml:space="preserve">P1259</t>
  </si>
  <si>
    <t xml:space="preserve">Mobile apps used by guides</t>
  </si>
  <si>
    <t xml:space="preserve">P1097</t>
  </si>
  <si>
    <t xml:space="preserve">Guest tracking tools and satisfaction dashboards</t>
  </si>
  <si>
    <t xml:space="preserve">P0934</t>
  </si>
  <si>
    <t xml:space="preserve">Use of QR-based storytelling or audio-guided walk tools</t>
  </si>
  <si>
    <t xml:space="preserve">P1522</t>
  </si>
  <si>
    <t xml:space="preserve">Protective items like gloves, masks, reflective vests, and sanitizers</t>
  </si>
  <si>
    <t xml:space="preserve">P1254</t>
  </si>
  <si>
    <t xml:space="preserve">Portable first aid stations, evacuation stretchers, and fire extinguishers</t>
  </si>
  <si>
    <t xml:space="preserve">P1205</t>
  </si>
  <si>
    <t xml:space="preserve">Infographics on types of walking tours: heritage, food, nature, and cultural walks</t>
  </si>
  <si>
    <t xml:space="preserve">P0988</t>
  </si>
  <si>
    <t xml:space="preserve">Storytelling structure diagrams and cultural interpretation visuals</t>
  </si>
  <si>
    <t xml:space="preserve">P1437</t>
  </si>
  <si>
    <t xml:space="preserve">Safety signage samples and accessibility maps</t>
  </si>
  <si>
    <t xml:space="preserve">P1313</t>
  </si>
  <si>
    <t xml:space="preserve">Posters on guest etiquette, service standards, and inclusive practices</t>
  </si>
  <si>
    <t xml:space="preserve">P1213</t>
  </si>
  <si>
    <t xml:space="preserve">Sample tour itineraries, guest briefing formats, and tour maps</t>
  </si>
  <si>
    <t xml:space="preserve">P1337</t>
  </si>
  <si>
    <t xml:space="preserve">Templates for guest feedback, incident reporting, and consent forms</t>
  </si>
  <si>
    <t xml:space="preserve">P1473</t>
  </si>
  <si>
    <t xml:space="preserve">Checklists for pitstop hygiene, route planning, and equipment use</t>
  </si>
  <si>
    <t xml:space="preserve">P0666</t>
  </si>
  <si>
    <t xml:space="preserve">Codes of conduct, cultural sensitivity pledges, and emergency protocols</t>
  </si>
  <si>
    <t xml:space="preserve">P0677</t>
  </si>
  <si>
    <t xml:space="preserve">Badges and identifiers for role-playing (e.g., Tour Guide, Guest, Vendor)</t>
  </si>
  <si>
    <t xml:space="preserve">P0572</t>
  </si>
  <si>
    <t xml:space="preserve">Props for simulating guest engagement (water bottles, tour brochures, hats)</t>
  </si>
  <si>
    <t xml:space="preserve">P1252</t>
  </si>
  <si>
    <t xml:space="preserve">Mock guest kits including feedback cards, info leaflets, and safety instructions</t>
  </si>
  <si>
    <t xml:space="preserve">P1101</t>
  </si>
  <si>
    <t xml:space="preserve">Sample tour kits with multilingual cue cards, storytelling scripts, and eco-pledges</t>
  </si>
  <si>
    <t xml:space="preserve">P1338</t>
  </si>
  <si>
    <t xml:space="preserve">Local heritage and folklore storybooks, reference materials, and cue cards</t>
  </si>
  <si>
    <t xml:space="preserve">P1063</t>
  </si>
  <si>
    <t xml:space="preserve">Flashcards for architecture symbolism, food trail highlights, and cultural festivals</t>
  </si>
  <si>
    <t xml:space="preserve">P0887</t>
  </si>
  <si>
    <t xml:space="preserve">Audio-visual examples of professional guided walks and narration techniques</t>
  </si>
  <si>
    <t xml:space="preserve">P0561</t>
  </si>
  <si>
    <t xml:space="preserve">Cultural artifacts and props to enrich storytelling practice</t>
  </si>
  <si>
    <t xml:space="preserve">P0727</t>
  </si>
  <si>
    <t xml:space="preserve">Visual guides for emergency response</t>
  </si>
  <si>
    <t xml:space="preserve">P1539</t>
  </si>
  <si>
    <t xml:space="preserve">Simulation tools for CPR and minor injury handling</t>
  </si>
  <si>
    <t xml:space="preserve">P1387</t>
  </si>
  <si>
    <t xml:space="preserve">Sample emergency contact sheets and site safety plans</t>
  </si>
  <si>
    <t xml:space="preserve">P1323</t>
  </si>
  <si>
    <t xml:space="preserve">“Leave No Trace” visual guides and sustainability behavior charts</t>
  </si>
  <si>
    <t xml:space="preserve">P1577</t>
  </si>
  <si>
    <t xml:space="preserve">Green audit forms and waste segregation posters</t>
  </si>
  <si>
    <t xml:space="preserve">P0930</t>
  </si>
  <si>
    <t xml:space="preserve">Sample reusable tour kits (cloth bags, refillable bottles, compostable utensils)</t>
  </si>
  <si>
    <t xml:space="preserve">P1333</t>
  </si>
  <si>
    <t xml:space="preserve">Models for clean-up drives and eco-friendly guest practices</t>
  </si>
  <si>
    <t xml:space="preserve">P1105</t>
  </si>
  <si>
    <t xml:space="preserve">Whiteboard or blackboard with markers/chalk</t>
  </si>
  <si>
    <t xml:space="preserve">P1555</t>
  </si>
  <si>
    <t xml:space="preserve">Flip charts and marker sets for group presentations</t>
  </si>
  <si>
    <t xml:space="preserve">P0894</t>
  </si>
  <si>
    <t xml:space="preserve">Examples of biodegradable guest kits and eco-packaging materials</t>
  </si>
  <si>
    <t xml:space="preserve">P0156</t>
  </si>
  <si>
    <t xml:space="preserve">Guest kits including lanyards, multilingual brochures, and city maps</t>
  </si>
  <si>
    <t xml:space="preserve">P0932</t>
  </si>
  <si>
    <t xml:space="preserve">Public recycling stations and eco-toilets on tourist routes</t>
  </si>
  <si>
    <t xml:space="preserve">P1255</t>
  </si>
  <si>
    <t xml:space="preserve">Compost bins and signage for green behavior</t>
  </si>
  <si>
    <t xml:space="preserve">P0690</t>
  </si>
  <si>
    <t xml:space="preserve">Proper guide uniforms, ID badges, hydration packs</t>
  </si>
  <si>
    <t xml:space="preserve">P1248</t>
  </si>
  <si>
    <t xml:space="preserve">Rain ponchos, sun hats, and comfortable walking shoes</t>
  </si>
  <si>
    <t xml:space="preserve">P1263</t>
  </si>
  <si>
    <t xml:space="preserve">Branded guest support kits used by local tourism departments</t>
  </si>
  <si>
    <t xml:space="preserve">P0625</t>
  </si>
  <si>
    <t xml:space="preserve">as in tender list</t>
  </si>
  <si>
    <t xml:space="preserve">Intel Brand or Equivalent Learning Kit</t>
  </si>
  <si>
    <t xml:space="preserve">X001</t>
  </si>
  <si>
    <t xml:space="preserve">Printer/Scanner/Xerox</t>
  </si>
  <si>
    <t xml:space="preserve">X002</t>
  </si>
  <si>
    <t xml:space="preserve">Local Area Network</t>
  </si>
  <si>
    <t xml:space="preserve">X003</t>
  </si>
  <si>
    <t xml:space="preserve">Lab Chairs</t>
  </si>
  <si>
    <t xml:space="preserve">X004</t>
  </si>
  <si>
    <t xml:space="preserve">USB / Pen drive</t>
  </si>
  <si>
    <t xml:space="preserve">X005</t>
  </si>
  <si>
    <t xml:space="preserve">RJ45 connecters</t>
  </si>
  <si>
    <t xml:space="preserve">X006</t>
  </si>
  <si>
    <t xml:space="preserve">pack of 100</t>
  </si>
  <si>
    <t xml:space="preserve">Anti Virus software</t>
  </si>
  <si>
    <t xml:space="preserve">Printer Cartridges (Compatible Printer Type Required)</t>
  </si>
  <si>
    <t xml:space="preserve">X007</t>
  </si>
  <si>
    <t xml:space="preserve">LibreOffice or MS Office or Equivalent</t>
  </si>
  <si>
    <t xml:space="preserve">X008</t>
  </si>
  <si>
    <t xml:space="preserve">licence</t>
  </si>
  <si>
    <t xml:space="preserve">VR Standalone Headset</t>
  </si>
  <si>
    <t xml:space="preserve">X009</t>
  </si>
  <si>
    <t xml:space="preserve">Tablets</t>
  </si>
  <si>
    <t xml:space="preserve">X010</t>
  </si>
  <si>
    <t xml:space="preserve">AR Globe Kit</t>
  </si>
  <si>
    <t xml:space="preserve">X011</t>
  </si>
  <si>
    <t xml:space="preserve">AR Cubes-based</t>
  </si>
  <si>
    <t xml:space="preserve">X012</t>
  </si>
  <si>
    <t xml:space="preserve">Laptop for Teacher</t>
  </si>
  <si>
    <t xml:space="preserve">X013</t>
  </si>
  <si>
    <t xml:space="preserve">Projector Mounting Kit</t>
  </si>
  <si>
    <t xml:space="preserve">X014</t>
  </si>
  <si>
    <t xml:space="preserve">Gaming Chair for Virtual Reality Laboratory</t>
  </si>
  <si>
    <t xml:space="preserve">X015</t>
  </si>
  <si>
    <t xml:space="preserve">Activity Table</t>
  </si>
  <si>
    <t xml:space="preserve">X016</t>
  </si>
  <si>
    <t xml:space="preserve">Teacher Table</t>
  </si>
  <si>
    <t xml:space="preserve">X017</t>
  </si>
  <si>
    <t xml:space="preserve">Activity Book for Students - English (Class 6)</t>
  </si>
  <si>
    <t xml:space="preserve">X018</t>
  </si>
  <si>
    <t xml:space="preserve">copy</t>
  </si>
  <si>
    <t xml:space="preserve">Activity Book for Students - English (Class 7)</t>
  </si>
  <si>
    <t xml:space="preserve">X019</t>
  </si>
  <si>
    <t xml:space="preserve">Activity Book for Students - English (Class 8)</t>
  </si>
  <si>
    <t xml:space="preserve">X020</t>
  </si>
  <si>
    <t xml:space="preserve">Activity Book for Students - English (Class 9)</t>
  </si>
  <si>
    <t xml:space="preserve">X021</t>
  </si>
  <si>
    <t xml:space="preserve">Activity Book for Students - English (Class 10)</t>
  </si>
  <si>
    <t xml:space="preserve">X022</t>
  </si>
  <si>
    <t xml:space="preserve">Activity Book for Students - English (Class 11)</t>
  </si>
  <si>
    <t xml:space="preserve">X023</t>
  </si>
  <si>
    <t xml:space="preserve">Software and Content for Teacher</t>
  </si>
  <si>
    <t xml:space="preserve">X024</t>
  </si>
  <si>
    <t xml:space="preserve">Software and Content for Students</t>
  </si>
  <si>
    <t xml:space="preserve">X025</t>
  </si>
  <si>
    <t xml:space="preserve">LibreOffice or MS Office or Equivalent package</t>
  </si>
  <si>
    <t xml:space="preserve">X026</t>
  </si>
  <si>
    <t xml:space="preserve">Steel Ruler</t>
  </si>
  <si>
    <t xml:space="preserve">X027</t>
  </si>
  <si>
    <t xml:space="preserve">X904</t>
  </si>
  <si>
    <t xml:space="preserve">Spirit Level Bottle</t>
  </si>
  <si>
    <t xml:space="preserve">X028</t>
  </si>
  <si>
    <t xml:space="preserve">Vernier Caliper- Digital</t>
  </si>
  <si>
    <t xml:space="preserve">X029</t>
  </si>
  <si>
    <t xml:space="preserve">Spring Caliper Inside /Outside /Divider</t>
  </si>
  <si>
    <t xml:space="preserve">X030</t>
  </si>
  <si>
    <t xml:space="preserve">Out - Side Micromet er</t>
  </si>
  <si>
    <t xml:space="preserve">X031</t>
  </si>
  <si>
    <t xml:space="preserve">Out - Side Micromet er Digital</t>
  </si>
  <si>
    <t xml:space="preserve">X032</t>
  </si>
  <si>
    <t xml:space="preserve">Threading Gauge ( Engineerin g)</t>
  </si>
  <si>
    <t xml:space="preserve">X033</t>
  </si>
  <si>
    <t xml:space="preserve">Threading Gauge ( Plumbing)</t>
  </si>
  <si>
    <t xml:space="preserve">X034</t>
  </si>
  <si>
    <t xml:space="preserve">Radius Gauge</t>
  </si>
  <si>
    <t xml:space="preserve">X035</t>
  </si>
  <si>
    <t xml:space="preserve">Try Square</t>
  </si>
  <si>
    <t xml:space="preserve">X036</t>
  </si>
  <si>
    <t xml:space="preserve">Tri-square (Welding)</t>
  </si>
  <si>
    <t xml:space="preserve">X037</t>
  </si>
  <si>
    <t xml:space="preserve">Tri-Square (Casting base) (construction and Carpentry)</t>
  </si>
  <si>
    <t xml:space="preserve">X038</t>
  </si>
  <si>
    <t xml:space="preserve">Scriber</t>
  </si>
  <si>
    <t xml:space="preserve">X039</t>
  </si>
  <si>
    <t xml:space="preserve">Claw Hammer</t>
  </si>
  <si>
    <t xml:space="preserve">X040</t>
  </si>
  <si>
    <t xml:space="preserve">Mallet Wooden</t>
  </si>
  <si>
    <t xml:space="preserve">X041</t>
  </si>
  <si>
    <t xml:space="preserve">Mallet Plastic</t>
  </si>
  <si>
    <t xml:space="preserve">X042</t>
  </si>
  <si>
    <t xml:space="preserve">Tenon Saw</t>
  </si>
  <si>
    <t xml:space="preserve">X043</t>
  </si>
  <si>
    <t xml:space="preserve">Saw</t>
  </si>
  <si>
    <t xml:space="preserve">X044</t>
  </si>
  <si>
    <t xml:space="preserve">ELECTRIC CIRCULAR SAW</t>
  </si>
  <si>
    <t xml:space="preserve">X045</t>
  </si>
  <si>
    <t xml:space="preserve">Saw small size</t>
  </si>
  <si>
    <t xml:space="preserve">X046</t>
  </si>
  <si>
    <t xml:space="preserve">Diwad Plier / Saw teeth setting plier</t>
  </si>
  <si>
    <t xml:space="preserve">X047</t>
  </si>
  <si>
    <t xml:space="preserve">Hacksaw Frame</t>
  </si>
  <si>
    <t xml:space="preserve">X048</t>
  </si>
  <si>
    <t xml:space="preserve">ADJUSTAB LE HACKSAW FRAME</t>
  </si>
  <si>
    <t xml:space="preserve">X049</t>
  </si>
  <si>
    <t xml:space="preserve">Half Round ( Wood rasp File )</t>
  </si>
  <si>
    <t xml:space="preserve">X050</t>
  </si>
  <si>
    <t xml:space="preserve">Flat file Rasp )</t>
  </si>
  <si>
    <t xml:space="preserve">X051</t>
  </si>
  <si>
    <t xml:space="preserve">Flat file Rough )</t>
  </si>
  <si>
    <t xml:space="preserve">X052</t>
  </si>
  <si>
    <t xml:space="preserve">C-Clamps (for carpentry use)</t>
  </si>
  <si>
    <t xml:space="preserve">X053</t>
  </si>
  <si>
    <t xml:space="preserve">Iron Plane</t>
  </si>
  <si>
    <t xml:space="preserve">X054</t>
  </si>
  <si>
    <t xml:space="preserve">Firmer Chisel</t>
  </si>
  <si>
    <t xml:space="preserve">X055</t>
  </si>
  <si>
    <t xml:space="preserve">Mortise / Chisel /</t>
  </si>
  <si>
    <t xml:space="preserve">X056</t>
  </si>
  <si>
    <t xml:space="preserve">Pairing Chisel )</t>
  </si>
  <si>
    <t xml:space="preserve">X057</t>
  </si>
  <si>
    <t xml:space="preserve">Hand Drill Machine</t>
  </si>
  <si>
    <t xml:space="preserve">X058</t>
  </si>
  <si>
    <t xml:space="preserve">Butt Hinges )</t>
  </si>
  <si>
    <t xml:space="preserve">X059</t>
  </si>
  <si>
    <t xml:space="preserve">Rising Butt Hinges</t>
  </si>
  <si>
    <t xml:space="preserve">X060</t>
  </si>
  <si>
    <t xml:space="preserve">T' hinges</t>
  </si>
  <si>
    <t xml:space="preserve">X061</t>
  </si>
  <si>
    <t xml:space="preserve">Parliamen t hinge</t>
  </si>
  <si>
    <t xml:space="preserve">X062</t>
  </si>
  <si>
    <t xml:space="preserve">Piano Hinges</t>
  </si>
  <si>
    <t xml:space="preserve">X063</t>
  </si>
  <si>
    <t xml:space="preserve">Sun mica Cutter</t>
  </si>
  <si>
    <t xml:space="preserve">X064</t>
  </si>
  <si>
    <t xml:space="preserve">Carbound um Stone (Emery)</t>
  </si>
  <si>
    <t xml:space="preserve">X065</t>
  </si>
  <si>
    <t xml:space="preserve">Auger Bit</t>
  </si>
  <si>
    <t xml:space="preserve">X066</t>
  </si>
  <si>
    <t xml:space="preserve">Tin Cutter (Tin cutter with spring)</t>
  </si>
  <si>
    <t xml:space="preserve">X067</t>
  </si>
  <si>
    <t xml:space="preserve">Tin Cutter -Scissor</t>
  </si>
  <si>
    <t xml:space="preserve">X068</t>
  </si>
  <si>
    <t xml:space="preserve">Blow Lamp</t>
  </si>
  <si>
    <t xml:space="preserve">X069</t>
  </si>
  <si>
    <t xml:space="preserve">Soldering Iron (khadya)</t>
  </si>
  <si>
    <t xml:space="preserve">X070</t>
  </si>
  <si>
    <t xml:space="preserve">Bench Drill Machine (With belt safety guard &amp; on/off switch facility)</t>
  </si>
  <si>
    <t xml:space="preserve">X071</t>
  </si>
  <si>
    <t xml:space="preserve">HSS Drill set</t>
  </si>
  <si>
    <t xml:space="preserve">X072</t>
  </si>
  <si>
    <t xml:space="preserve">Center Drill</t>
  </si>
  <si>
    <t xml:space="preserve">X073</t>
  </si>
  <si>
    <t xml:space="preserve">Tap Wrench</t>
  </si>
  <si>
    <t xml:space="preserve">X074</t>
  </si>
  <si>
    <t xml:space="preserve">Oil Can</t>
  </si>
  <si>
    <t xml:space="preserve">Machine vice</t>
  </si>
  <si>
    <t xml:space="preserve">X075</t>
  </si>
  <si>
    <t xml:space="preserve">Hammers B.P (Hammers ball pain)</t>
  </si>
  <si>
    <t xml:space="preserve">X076</t>
  </si>
  <si>
    <t xml:space="preserve">Hammer C.P (hammer cross pain) with handle forged steel</t>
  </si>
  <si>
    <t xml:space="preserve">X077</t>
  </si>
  <si>
    <t xml:space="preserve">Flat Chisel</t>
  </si>
  <si>
    <t xml:space="preserve">X078</t>
  </si>
  <si>
    <t xml:space="preserve">File Handle ( Wooden</t>
  </si>
  <si>
    <t xml:space="preserve">X079</t>
  </si>
  <si>
    <t xml:space="preserve">Flat Basted File</t>
  </si>
  <si>
    <t xml:space="preserve">X080</t>
  </si>
  <si>
    <t xml:space="preserve">Flat Smooth File</t>
  </si>
  <si>
    <t xml:space="preserve">X081</t>
  </si>
  <si>
    <t xml:space="preserve">Triangular files</t>
  </si>
  <si>
    <t xml:space="preserve">X082</t>
  </si>
  <si>
    <t xml:space="preserve">Round Basted File</t>
  </si>
  <si>
    <t xml:space="preserve">X083</t>
  </si>
  <si>
    <t xml:space="preserve">Bench Grinder</t>
  </si>
  <si>
    <t xml:space="preserve">X084</t>
  </si>
  <si>
    <t xml:space="preserve">Electrical hand drill machine</t>
  </si>
  <si>
    <t xml:space="preserve">X085</t>
  </si>
  <si>
    <t xml:space="preserve">Bench Vice (Code-U - 301)</t>
  </si>
  <si>
    <t xml:space="preserve">X086</t>
  </si>
  <si>
    <t xml:space="preserve">Open End Wrench/ Spanner SET</t>
  </si>
  <si>
    <t xml:space="preserve">X087</t>
  </si>
  <si>
    <t xml:space="preserve">Ring Spanner Set</t>
  </si>
  <si>
    <t xml:space="preserve">X088</t>
  </si>
  <si>
    <t xml:space="preserve">Tap &amp; Die Set</t>
  </si>
  <si>
    <t xml:space="preserve">X089</t>
  </si>
  <si>
    <t xml:space="preserve">Die wrench</t>
  </si>
  <si>
    <t xml:space="preserve">X090</t>
  </si>
  <si>
    <t xml:space="preserve">Arc Welding Machine (Transfor mer)</t>
  </si>
  <si>
    <t xml:space="preserve">X091</t>
  </si>
  <si>
    <t xml:space="preserve">Cable &amp; Lugs (Welding cable)</t>
  </si>
  <si>
    <t xml:space="preserve">X092</t>
  </si>
  <si>
    <t xml:space="preserve">metre</t>
  </si>
  <si>
    <t xml:space="preserve">Welding / Electrode Holder</t>
  </si>
  <si>
    <t xml:space="preserve">X093</t>
  </si>
  <si>
    <t xml:space="preserve">Wire Brush</t>
  </si>
  <si>
    <t xml:space="preserve">X094</t>
  </si>
  <si>
    <t xml:space="preserve">Adjustable Wrench (Adjustabl e Spanner )</t>
  </si>
  <si>
    <t xml:space="preserve">X095</t>
  </si>
  <si>
    <t xml:space="preserve">Grip-on- pliers</t>
  </si>
  <si>
    <t xml:space="preserve">X096</t>
  </si>
  <si>
    <t xml:space="preserve">Vise Grip</t>
  </si>
  <si>
    <t xml:space="preserve">X097</t>
  </si>
  <si>
    <t xml:space="preserve">Trowel (Thapi) Set</t>
  </si>
  <si>
    <t xml:space="preserve">X098</t>
  </si>
  <si>
    <t xml:space="preserve">Trowel (Thapi- Plane)</t>
  </si>
  <si>
    <t xml:space="preserve">X099</t>
  </si>
  <si>
    <t xml:space="preserve">Line Rope</t>
  </si>
  <si>
    <t xml:space="preserve">X100</t>
  </si>
  <si>
    <t xml:space="preserve">bundle</t>
  </si>
  <si>
    <t xml:space="preserve">Sand Sieve</t>
  </si>
  <si>
    <t xml:space="preserve">X101</t>
  </si>
  <si>
    <t xml:space="preserve">Masonry Drill (Concrete Drill )</t>
  </si>
  <si>
    <t xml:space="preserve">X102</t>
  </si>
  <si>
    <t xml:space="preserve">Bucket ( MS steel bucket )</t>
  </si>
  <si>
    <t xml:space="preserve">X103</t>
  </si>
  <si>
    <t xml:space="preserve">Ghamelas (MS Steel) (for construction work)</t>
  </si>
  <si>
    <t xml:space="preserve">X104</t>
  </si>
  <si>
    <t xml:space="preserve">Spade with wooden handle</t>
  </si>
  <si>
    <t xml:space="preserve">X105</t>
  </si>
  <si>
    <t xml:space="preserve">Pipe Die Set - with D/E Handle(pi pe wrench)</t>
  </si>
  <si>
    <t xml:space="preserve">X106</t>
  </si>
  <si>
    <t xml:space="preserve">Pipe Vice</t>
  </si>
  <si>
    <t xml:space="preserve">Pipe Wrench</t>
  </si>
  <si>
    <t xml:space="preserve">Water Pump Plier</t>
  </si>
  <si>
    <t xml:space="preserve">X107</t>
  </si>
  <si>
    <t xml:space="preserve">Hack Saw Blade</t>
  </si>
  <si>
    <t xml:space="preserve">X108</t>
  </si>
  <si>
    <t xml:space="preserve">Safety Goggle</t>
  </si>
  <si>
    <t xml:space="preserve">X109</t>
  </si>
  <si>
    <t xml:space="preserve">Welding Goggle</t>
  </si>
  <si>
    <t xml:space="preserve">X110</t>
  </si>
  <si>
    <t xml:space="preserve">Welding Screen with Head Band</t>
  </si>
  <si>
    <t xml:space="preserve">X111</t>
  </si>
  <si>
    <t xml:space="preserve">Overcoat - (Apron- Blue color)</t>
  </si>
  <si>
    <t xml:space="preserve">X112</t>
  </si>
  <si>
    <t xml:space="preserve">Hand Gloves (Welding leather hand gloves)</t>
  </si>
  <si>
    <t xml:space="preserve">X113</t>
  </si>
  <si>
    <t xml:space="preserve">Cotton Hand Gloves (sheet metal work)</t>
  </si>
  <si>
    <t xml:space="preserve">X114</t>
  </si>
  <si>
    <t xml:space="preserve">Hand gloves pairs (constricti on)</t>
  </si>
  <si>
    <t xml:space="preserve">X115</t>
  </si>
  <si>
    <t xml:space="preserve">Welding Apron</t>
  </si>
  <si>
    <t xml:space="preserve">X116</t>
  </si>
  <si>
    <t xml:space="preserve">Rubber Chappals</t>
  </si>
  <si>
    <t xml:space="preserve">X117</t>
  </si>
  <si>
    <t xml:space="preserve">Wattmeter</t>
  </si>
  <si>
    <t xml:space="preserve">X118</t>
  </si>
  <si>
    <t xml:space="preserve">Frequency Meter</t>
  </si>
  <si>
    <t xml:space="preserve">Voltmeter / DIGITAL MULTIMETER</t>
  </si>
  <si>
    <t xml:space="preserve">X119</t>
  </si>
  <si>
    <t xml:space="preserve">Wire Gauge</t>
  </si>
  <si>
    <t xml:space="preserve">Hydro Meter</t>
  </si>
  <si>
    <t xml:space="preserve">Fish Tape</t>
  </si>
  <si>
    <t xml:space="preserve">X120</t>
  </si>
  <si>
    <t xml:space="preserve">Linesman Pliers (Combination Pliers)</t>
  </si>
  <si>
    <t xml:space="preserve">X121</t>
  </si>
  <si>
    <t xml:space="preserve">Long Nose Pliers</t>
  </si>
  <si>
    <t xml:space="preserve">X122</t>
  </si>
  <si>
    <t xml:space="preserve">Side Cutting Player</t>
  </si>
  <si>
    <t xml:space="preserve">X123</t>
  </si>
  <si>
    <t xml:space="preserve">Screw Driver Set / Electrician-Wiremen Set</t>
  </si>
  <si>
    <t xml:space="preserve">X124</t>
  </si>
  <si>
    <t xml:space="preserve">Pokar</t>
  </si>
  <si>
    <t xml:space="preserve">X125</t>
  </si>
  <si>
    <t xml:space="preserve">Wire Stripper</t>
  </si>
  <si>
    <t xml:space="preserve">Wire Stripper (Automatic)</t>
  </si>
  <si>
    <t xml:space="preserve">X126</t>
  </si>
  <si>
    <t xml:space="preserve">Razor Blade Knife (Utility Knife)</t>
  </si>
  <si>
    <t xml:space="preserve">X127</t>
  </si>
  <si>
    <t xml:space="preserve">Hack Saw</t>
  </si>
  <si>
    <t xml:space="preserve">3 Core Flexible Cable ( For Drilling , Grinding , Welding M/c conectine )</t>
  </si>
  <si>
    <t xml:space="preserve">X128</t>
  </si>
  <si>
    <t xml:space="preserve">Sockets (Assorted) 2 Pin</t>
  </si>
  <si>
    <t xml:space="preserve">X129</t>
  </si>
  <si>
    <t xml:space="preserve">Sockets (Assorted) 3 Pin</t>
  </si>
  <si>
    <t xml:space="preserve">X130</t>
  </si>
  <si>
    <t xml:space="preserve">Plugs (Assorted) Top 2 Pin</t>
  </si>
  <si>
    <t xml:space="preserve">X131</t>
  </si>
  <si>
    <t xml:space="preserve">Plugs (Assorted) Top 3 Pin</t>
  </si>
  <si>
    <t xml:space="preserve">X132</t>
  </si>
  <si>
    <t xml:space="preserve">Switches (Assorted) One way</t>
  </si>
  <si>
    <t xml:space="preserve">X133</t>
  </si>
  <si>
    <t xml:space="preserve">Switches (Assorted) Two way</t>
  </si>
  <si>
    <t xml:space="preserve">X134</t>
  </si>
  <si>
    <t xml:space="preserve">Bell Push Switch</t>
  </si>
  <si>
    <t xml:space="preserve">X135</t>
  </si>
  <si>
    <t xml:space="preserve">Lamp Holders (Assorted) Angle</t>
  </si>
  <si>
    <t xml:space="preserve">X136</t>
  </si>
  <si>
    <t xml:space="preserve">Lamp Holders (Assorted) Bettle</t>
  </si>
  <si>
    <t xml:space="preserve">X137</t>
  </si>
  <si>
    <t xml:space="preserve">Light Emission Diode</t>
  </si>
  <si>
    <t xml:space="preserve">X138</t>
  </si>
  <si>
    <t xml:space="preserve">Pull-Push Switch</t>
  </si>
  <si>
    <t xml:space="preserve">X139</t>
  </si>
  <si>
    <t xml:space="preserve">Capacitor</t>
  </si>
  <si>
    <t xml:space="preserve">X140</t>
  </si>
  <si>
    <t xml:space="preserve">Relay</t>
  </si>
  <si>
    <t xml:space="preserve">X141</t>
  </si>
  <si>
    <t xml:space="preserve">Earthing Plate</t>
  </si>
  <si>
    <t xml:space="preserve">X142</t>
  </si>
  <si>
    <t xml:space="preserve">Earthing Pipe</t>
  </si>
  <si>
    <t xml:space="preserve">X143</t>
  </si>
  <si>
    <t xml:space="preserve">Different Type of Fuse</t>
  </si>
  <si>
    <t xml:space="preserve">X144</t>
  </si>
  <si>
    <t xml:space="preserve">Miniature Circuit Breaker</t>
  </si>
  <si>
    <t xml:space="preserve">X145</t>
  </si>
  <si>
    <t xml:space="preserve">Electric Soldering Iron</t>
  </si>
  <si>
    <t xml:space="preserve">X146</t>
  </si>
  <si>
    <t xml:space="preserve">Valve Spanner</t>
  </si>
  <si>
    <t xml:space="preserve">X147</t>
  </si>
  <si>
    <t xml:space="preserve">Nozzel/Nippl e spanner</t>
  </si>
  <si>
    <t xml:space="preserve">X148</t>
  </si>
  <si>
    <t xml:space="preserve">Wick Stove</t>
  </si>
  <si>
    <t xml:space="preserve">X149</t>
  </si>
  <si>
    <t xml:space="preserve">Pressure Stove</t>
  </si>
  <si>
    <t xml:space="preserve">X150</t>
  </si>
  <si>
    <t xml:space="preserve">DOL STARTER</t>
  </si>
  <si>
    <t xml:space="preserve">X151</t>
  </si>
  <si>
    <t xml:space="preserve">WATER PUMP 1 PHASE</t>
  </si>
  <si>
    <t xml:space="preserve">X152</t>
  </si>
  <si>
    <t xml:space="preserve">MOTER ELECTRIC 1 PHASE</t>
  </si>
  <si>
    <t xml:space="preserve">X153</t>
  </si>
  <si>
    <t xml:space="preserve">Rotary Switch</t>
  </si>
  <si>
    <t xml:space="preserve">X154</t>
  </si>
  <si>
    <t xml:space="preserve">Earthing Wire</t>
  </si>
  <si>
    <t xml:space="preserve">X155</t>
  </si>
  <si>
    <t xml:space="preserve">Electric Wires</t>
  </si>
  <si>
    <t xml:space="preserve">X156</t>
  </si>
  <si>
    <t xml:space="preserve">Electrical Hand Gloves</t>
  </si>
  <si>
    <t xml:space="preserve">X157</t>
  </si>
  <si>
    <t xml:space="preserve">Rubber Matting</t>
  </si>
  <si>
    <t xml:space="preserve">X158</t>
  </si>
  <si>
    <t xml:space="preserve">Sand Bucket</t>
  </si>
  <si>
    <t xml:space="preserve">X159</t>
  </si>
  <si>
    <t xml:space="preserve">Fire Extinguisher CO2</t>
  </si>
  <si>
    <t xml:space="preserve">X160</t>
  </si>
  <si>
    <t xml:space="preserve">Stainless steel Plates</t>
  </si>
  <si>
    <t xml:space="preserve">X161</t>
  </si>
  <si>
    <t xml:space="preserve">Sieves )</t>
  </si>
  <si>
    <t xml:space="preserve">X162</t>
  </si>
  <si>
    <t xml:space="preserve">Set of cooking spoon</t>
  </si>
  <si>
    <t xml:space="preserve">X163</t>
  </si>
  <si>
    <t xml:space="preserve">Stainless steel Containers with Cover (Pot)</t>
  </si>
  <si>
    <t xml:space="preserve">X164</t>
  </si>
  <si>
    <t xml:space="preserve">Steel Bowls</t>
  </si>
  <si>
    <t xml:space="preserve">X165</t>
  </si>
  <si>
    <t xml:space="preserve">Frying Pan (medium)- With Handle</t>
  </si>
  <si>
    <t xml:space="preserve">X166</t>
  </si>
  <si>
    <t xml:space="preserve">Grater/ Shredder</t>
  </si>
  <si>
    <t xml:space="preserve">X167</t>
  </si>
  <si>
    <t xml:space="preserve">Hand Operated Chikki Slicer (Roller), cutter</t>
  </si>
  <si>
    <t xml:space="preserve">X168</t>
  </si>
  <si>
    <t xml:space="preserve">Knives</t>
  </si>
  <si>
    <t xml:space="preserve">X169</t>
  </si>
  <si>
    <t xml:space="preserve">Polpat and Latan (Roller)</t>
  </si>
  <si>
    <t xml:space="preserve">X170</t>
  </si>
  <si>
    <t xml:space="preserve">Gas lighter</t>
  </si>
  <si>
    <t xml:space="preserve">X171</t>
  </si>
  <si>
    <t xml:space="preserve">Measuring Mug / Cup</t>
  </si>
  <si>
    <t xml:space="preserve">X172</t>
  </si>
  <si>
    <t xml:space="preserve">Measuring Spoons</t>
  </si>
  <si>
    <t xml:space="preserve">X173</t>
  </si>
  <si>
    <t xml:space="preserve">Mixer (Mixture- Grinder)</t>
  </si>
  <si>
    <t xml:space="preserve">X174</t>
  </si>
  <si>
    <t xml:space="preserve">Pressure Cooker</t>
  </si>
  <si>
    <t xml:space="preserve">X175</t>
  </si>
  <si>
    <t xml:space="preserve">Table Spoons</t>
  </si>
  <si>
    <t xml:space="preserve">X176</t>
  </si>
  <si>
    <t xml:space="preserve">Single Burner Stove</t>
  </si>
  <si>
    <t xml:space="preserve">X177</t>
  </si>
  <si>
    <t xml:space="preserve">Tong /</t>
  </si>
  <si>
    <t xml:space="preserve">X178</t>
  </si>
  <si>
    <t xml:space="preserve">Vegetable Peeler</t>
  </si>
  <si>
    <t xml:space="preserve">X179</t>
  </si>
  <si>
    <t xml:space="preserve">Water Container (Jug)</t>
  </si>
  <si>
    <t xml:space="preserve">X180</t>
  </si>
  <si>
    <t xml:space="preserve">hindalium container with lid - 3 lit - 3 3</t>
  </si>
  <si>
    <t xml:space="preserve">X181</t>
  </si>
  <si>
    <t xml:space="preserve">Sieves -</t>
  </si>
  <si>
    <t xml:space="preserve">Plastic Container -</t>
  </si>
  <si>
    <t xml:space="preserve">X182</t>
  </si>
  <si>
    <t xml:space="preserve">Glass container -</t>
  </si>
  <si>
    <t xml:space="preserve">X183</t>
  </si>
  <si>
    <t xml:space="preserve">Digital Kitchen Balance</t>
  </si>
  <si>
    <t xml:space="preserve">X184</t>
  </si>
  <si>
    <t xml:space="preserve">Plastic Bucket</t>
  </si>
  <si>
    <t xml:space="preserve">X185</t>
  </si>
  <si>
    <t xml:space="preserve">Plastic Dustbin</t>
  </si>
  <si>
    <t xml:space="preserve">X186</t>
  </si>
  <si>
    <t xml:space="preserve">Blood Pressure Measuring (Sphygmomanometer)- Mercury Free</t>
  </si>
  <si>
    <t xml:space="preserve">X187</t>
  </si>
  <si>
    <t xml:space="preserve">Thermomet er</t>
  </si>
  <si>
    <t xml:space="preserve">Weighing machine )</t>
  </si>
  <si>
    <t xml:space="preserve">First -aid Box</t>
  </si>
  <si>
    <t xml:space="preserve">Beaker</t>
  </si>
  <si>
    <t xml:space="preserve">X188</t>
  </si>
  <si>
    <t xml:space="preserve">Digital BP machine</t>
  </si>
  <si>
    <t xml:space="preserve">X189</t>
  </si>
  <si>
    <t xml:space="preserve">Digital timer</t>
  </si>
  <si>
    <t xml:space="preserve">X190</t>
  </si>
  <si>
    <t xml:space="preserve">Digital Candy Thermometer (for taking food temperature</t>
  </si>
  <si>
    <t xml:space="preserve">X191</t>
  </si>
  <si>
    <t xml:space="preserve">Apron (Cloth)</t>
  </si>
  <si>
    <t xml:space="preserve">X192</t>
  </si>
  <si>
    <t xml:space="preserve">Dish towels</t>
  </si>
  <si>
    <t xml:space="preserve">X193</t>
  </si>
  <si>
    <t xml:space="preserve">Hand Gloves</t>
  </si>
  <si>
    <t xml:space="preserve">Hand Gloves (Plastic)</t>
  </si>
  <si>
    <t xml:space="preserve">X194</t>
  </si>
  <si>
    <t xml:space="preserve">Head Caps (Cloth)</t>
  </si>
  <si>
    <t xml:space="preserve">X195</t>
  </si>
  <si>
    <t xml:space="preserve">Candles</t>
  </si>
  <si>
    <t xml:space="preserve">X196</t>
  </si>
  <si>
    <t xml:space="preserve">Aluminum foil Charts</t>
  </si>
  <si>
    <t xml:space="preserve">X197</t>
  </si>
  <si>
    <t xml:space="preserve">Food Pyramid</t>
  </si>
  <si>
    <t xml:space="preserve">X198</t>
  </si>
  <si>
    <t xml:space="preserve">Nutrition Chart</t>
  </si>
  <si>
    <t xml:space="preserve">X199</t>
  </si>
  <si>
    <t xml:space="preserve">Diseases Chart</t>
  </si>
  <si>
    <t xml:space="preserve">X200</t>
  </si>
  <si>
    <t xml:space="preserve">Budding Knife /</t>
  </si>
  <si>
    <t xml:space="preserve">Grafting Knife</t>
  </si>
  <si>
    <t xml:space="preserve">Hori Hori Knife (Soil Knife)</t>
  </si>
  <si>
    <t xml:space="preserve">X201</t>
  </si>
  <si>
    <t xml:space="preserve">Tree Cutting Shears</t>
  </si>
  <si>
    <t xml:space="preserve">X202</t>
  </si>
  <si>
    <t xml:space="preserve">Pruning Sheared / C Cutter</t>
  </si>
  <si>
    <t xml:space="preserve">X203</t>
  </si>
  <si>
    <t xml:space="preserve">Spade with wooden Handle</t>
  </si>
  <si>
    <t xml:space="preserve">Axe with wooden handle</t>
  </si>
  <si>
    <t xml:space="preserve">X204</t>
  </si>
  <si>
    <t xml:space="preserve">Pickaxe (Tikav) with wooden handle</t>
  </si>
  <si>
    <t xml:space="preserve">X205</t>
  </si>
  <si>
    <t xml:space="preserve">Leaf Rake with Handle</t>
  </si>
  <si>
    <t xml:space="preserve">X206</t>
  </si>
  <si>
    <t xml:space="preserve">Watering Can , 8 to 10 Ltr.</t>
  </si>
  <si>
    <t xml:space="preserve">X207</t>
  </si>
  <si>
    <t xml:space="preserve">Plastic Ghamale</t>
  </si>
  <si>
    <t xml:space="preserve">X208</t>
  </si>
  <si>
    <t xml:space="preserve">Crate</t>
  </si>
  <si>
    <t xml:space="preserve">X209</t>
  </si>
  <si>
    <t xml:space="preserve">Plastic Jar - 500 ml (Mug)</t>
  </si>
  <si>
    <t xml:space="preserve">X210</t>
  </si>
  <si>
    <t xml:space="preserve">Plastic Buckets , 10 Ltr</t>
  </si>
  <si>
    <t xml:space="preserve">X211</t>
  </si>
  <si>
    <t xml:space="preserve">Spraying , Pump</t>
  </si>
  <si>
    <t xml:space="preserve">X212</t>
  </si>
  <si>
    <t xml:space="preserve">Measuring 30 meter Tape</t>
  </si>
  <si>
    <t xml:space="preserve">X213</t>
  </si>
  <si>
    <t xml:space="preserve">Weighing 10 kg , Balance Capacity with minimum Division of 0.1 kg.</t>
  </si>
  <si>
    <t xml:space="preserve">X214</t>
  </si>
  <si>
    <t xml:space="preserve">Animal Digital Thermometer</t>
  </si>
  <si>
    <t xml:space="preserve">X215</t>
  </si>
  <si>
    <t xml:space="preserve">Magnifying lens(bi- concave lens)</t>
  </si>
  <si>
    <t xml:space="preserve">X216</t>
  </si>
  <si>
    <t xml:space="preserve">Seeding Trays for Nursery ?( 70 Cavity / holes )</t>
  </si>
  <si>
    <t xml:space="preserve">X217</t>
  </si>
  <si>
    <t xml:space="preserve">Sprinkler Irrigation Unit ( Lateral pipe 16mm x 20ft , Micro sprinkler &amp; micro jet 05 nos each )</t>
  </si>
  <si>
    <t xml:space="preserve">X218</t>
  </si>
  <si>
    <t xml:space="preserve">Drip Irrigation Unit ( Lateral pipe 16mm x 20 ft , Elbow , coupler , T-joint , mini valve, gurment teck, end cap , drip punch 5nos each</t>
  </si>
  <si>
    <t xml:space="preserve">X219</t>
  </si>
  <si>
    <t xml:space="preserve">Grafting transplanting bags</t>
  </si>
  <si>
    <t xml:space="preserve">X220</t>
  </si>
  <si>
    <t xml:space="preserve">Measuring 250ml Cylinder</t>
  </si>
  <si>
    <t xml:space="preserve">X221</t>
  </si>
  <si>
    <t xml:space="preserve">Beaker 250ml</t>
  </si>
  <si>
    <t xml:space="preserve">X222</t>
  </si>
  <si>
    <t xml:space="preserve">Hand Gloves (Long)</t>
  </si>
  <si>
    <t xml:space="preserve">X223</t>
  </si>
  <si>
    <t xml:space="preserve">Mask ( Canvas Mask ) Charts</t>
  </si>
  <si>
    <t xml:space="preserve">X224</t>
  </si>
  <si>
    <t xml:space="preserve">Irrigation method charts</t>
  </si>
  <si>
    <t xml:space="preserve">X225</t>
  </si>
  <si>
    <t xml:space="preserve">Artificial insemination Chart</t>
  </si>
  <si>
    <t xml:space="preserve">X226</t>
  </si>
  <si>
    <t xml:space="preserve">Breed charts Cow,Goat,Bull ock</t>
  </si>
  <si>
    <t xml:space="preserve">X227</t>
  </si>
  <si>
    <t xml:space="preserve">Display board for tools display and easy access to students</t>
  </si>
  <si>
    <t xml:space="preserve">X228</t>
  </si>
  <si>
    <t xml:space="preserve">Working Table to perform practicals for 15 students</t>
  </si>
  <si>
    <t xml:space="preserve">X229</t>
  </si>
  <si>
    <t xml:space="preserve">Machine Table for Machine Installation</t>
  </si>
  <si>
    <t xml:space="preserve">X230</t>
  </si>
  <si>
    <t xml:space="preserve">Cupboard for Storage of tools, Raw material and other Resources</t>
  </si>
  <si>
    <t xml:space="preserve">X231</t>
  </si>
  <si>
    <t xml:space="preserve">Stools for sitting</t>
  </si>
  <si>
    <t xml:space="preserve">X232</t>
  </si>
  <si>
    <t xml:space="preserve">Kitchen Table with Drawer and Storage cupboard / Working table</t>
  </si>
  <si>
    <t xml:space="preserve">X233</t>
  </si>
  <si>
    <t xml:space="preserve">Utensil Rack</t>
  </si>
  <si>
    <t xml:space="preserve">X234</t>
  </si>
  <si>
    <t xml:space="preserve">Gypsum Screw</t>
  </si>
  <si>
    <t xml:space="preserve">X235</t>
  </si>
  <si>
    <t xml:space="preserve">Clamp</t>
  </si>
  <si>
    <t xml:space="preserve">X236</t>
  </si>
  <si>
    <t xml:space="preserve">pack of 10</t>
  </si>
  <si>
    <t xml:space="preserve">Nail</t>
  </si>
  <si>
    <t xml:space="preserve">X237</t>
  </si>
  <si>
    <t xml:space="preserve">Hook</t>
  </si>
  <si>
    <t xml:space="preserve">X238</t>
  </si>
  <si>
    <t xml:space="preserve">Nut Bolt</t>
  </si>
  <si>
    <t xml:space="preserve">X239</t>
  </si>
  <si>
    <t xml:space="preserve">Floor Marking Tape</t>
  </si>
  <si>
    <t xml:space="preserve">X240</t>
  </si>
  <si>
    <t xml:space="preserve">Multi Skill Foundation Course (MSFC)</t>
  </si>
  <si>
    <t xml:space="preserve">X241</t>
  </si>
  <si>
    <t xml:space="preserve">Energy &amp; Environment (EE)</t>
  </si>
  <si>
    <t xml:space="preserve">X242</t>
  </si>
  <si>
    <t xml:space="preserve">Workshop &amp; Engineering Techniques (WET)</t>
  </si>
  <si>
    <t xml:space="preserve">X243</t>
  </si>
  <si>
    <t xml:space="preserve">Gardening, Nursery &amp; Agriculture Techniques (GNAT)</t>
  </si>
  <si>
    <t xml:space="preserve">X244</t>
  </si>
  <si>
    <t xml:space="preserve">Food Processing Techniques (FPT)</t>
  </si>
  <si>
    <t xml:space="preserve">X245</t>
  </si>
  <si>
    <t xml:space="preserve">Resource Corner</t>
  </si>
  <si>
    <t xml:space="preserve">X246</t>
  </si>
  <si>
    <t xml:space="preserve">Safety Wall</t>
  </si>
  <si>
    <t xml:space="preserve">X247</t>
  </si>
  <si>
    <t xml:space="preserve">Display Corner</t>
  </si>
  <si>
    <t xml:space="preserve">X248</t>
  </si>
  <si>
    <t xml:space="preserve">Computer / Laptop</t>
  </si>
  <si>
    <t xml:space="preserve">X249</t>
  </si>
  <si>
    <t xml:space="preserve">Microsoft Office</t>
  </si>
  <si>
    <t xml:space="preserve">X250</t>
  </si>
  <si>
    <t xml:space="preserve">AutoCAD software (to be integrated in computer)</t>
  </si>
  <si>
    <t xml:space="preserve">X251</t>
  </si>
  <si>
    <t xml:space="preserve">X902</t>
  </si>
  <si>
    <t xml:space="preserve">X903</t>
  </si>
  <si>
    <t xml:space="preserve">Power Adaptor</t>
  </si>
  <si>
    <t xml:space="preserve">X252</t>
  </si>
  <si>
    <t xml:space="preserve">Resistor Kit</t>
  </si>
  <si>
    <t xml:space="preserve">X253</t>
  </si>
  <si>
    <t xml:space="preserve">Capacitor Kit</t>
  </si>
  <si>
    <t xml:space="preserve">X254</t>
  </si>
  <si>
    <t xml:space="preserve">LDR Module</t>
  </si>
  <si>
    <t xml:space="preserve">X255</t>
  </si>
  <si>
    <t xml:space="preserve">Active Buzzer</t>
  </si>
  <si>
    <t xml:space="preserve">X256</t>
  </si>
  <si>
    <t xml:space="preserve">Jumper Cable</t>
  </si>
  <si>
    <t xml:space="preserve">X257</t>
  </si>
  <si>
    <t xml:space="preserve">RGB LEDs</t>
  </si>
  <si>
    <t xml:space="preserve">X258</t>
  </si>
  <si>
    <t xml:space="preserve">LEDs Multi Color</t>
  </si>
  <si>
    <t xml:space="preserve">X259</t>
  </si>
  <si>
    <t xml:space="preserve">Potentiometer</t>
  </si>
  <si>
    <t xml:space="preserve">X260</t>
  </si>
  <si>
    <t xml:space="preserve">Hot glue gun</t>
  </si>
  <si>
    <t xml:space="preserve">X261</t>
  </si>
  <si>
    <t xml:space="preserve">Digital Multi Meter</t>
  </si>
  <si>
    <t xml:space="preserve">Glue Sticks</t>
  </si>
  <si>
    <t xml:space="preserve">X262</t>
  </si>
  <si>
    <t xml:space="preserve">Coin Cell</t>
  </si>
  <si>
    <t xml:space="preserve">X263</t>
  </si>
  <si>
    <t xml:space="preserve">Conductive Tape or Aluminium Foil</t>
  </si>
  <si>
    <t xml:space="preserve">X264</t>
  </si>
  <si>
    <t xml:space="preserve">Hook Up Wire</t>
  </si>
  <si>
    <t xml:space="preserve">X265</t>
  </si>
  <si>
    <t xml:space="preserve">Battery Holder/Connector</t>
  </si>
  <si>
    <t xml:space="preserve">X266</t>
  </si>
  <si>
    <t xml:space="preserve">Breadboard</t>
  </si>
  <si>
    <t xml:space="preserve">X267</t>
  </si>
  <si>
    <t xml:space="preserve">Humidity Sensor</t>
  </si>
  <si>
    <t xml:space="preserve">X268</t>
  </si>
  <si>
    <t xml:space="preserve">IR Sensor</t>
  </si>
  <si>
    <t xml:space="preserve">X269</t>
  </si>
  <si>
    <t xml:space="preserve">Ultrasonic Sensor Module HC04</t>
  </si>
  <si>
    <t xml:space="preserve">X270</t>
  </si>
  <si>
    <t xml:space="preserve">Pulse Rate Heart Sensor</t>
  </si>
  <si>
    <t xml:space="preserve">X271</t>
  </si>
  <si>
    <t xml:space="preserve">Sound Sensor</t>
  </si>
  <si>
    <t xml:space="preserve">X272</t>
  </si>
  <si>
    <t xml:space="preserve">Soil Moisture Sensor</t>
  </si>
  <si>
    <t xml:space="preserve">X273</t>
  </si>
  <si>
    <t xml:space="preserve">Rain Drop Sensor</t>
  </si>
  <si>
    <t xml:space="preserve">X274</t>
  </si>
  <si>
    <t xml:space="preserve">Water Depth Sensor</t>
  </si>
  <si>
    <t xml:space="preserve">X275</t>
  </si>
  <si>
    <t xml:space="preserve">Temperature Sensor</t>
  </si>
  <si>
    <t xml:space="preserve">X276</t>
  </si>
  <si>
    <t xml:space="preserve">Smoke Sensor</t>
  </si>
  <si>
    <t xml:space="preserve">X277</t>
  </si>
  <si>
    <t xml:space="preserve">Arduino UNO</t>
  </si>
  <si>
    <t xml:space="preserve">X278</t>
  </si>
  <si>
    <t xml:space="preserve">Tinker Cad Software</t>
  </si>
  <si>
    <t xml:space="preserve">X279</t>
  </si>
  <si>
    <t xml:space="preserve">Arduino IDE Software</t>
  </si>
  <si>
    <t xml:space="preserve">X280</t>
  </si>
  <si>
    <t xml:space="preserve">Water Pump</t>
  </si>
  <si>
    <t xml:space="preserve">X281</t>
  </si>
  <si>
    <t xml:space="preserve">LCD Display</t>
  </si>
  <si>
    <t xml:space="preserve">X282</t>
  </si>
  <si>
    <t xml:space="preserve">Servo Motor</t>
  </si>
  <si>
    <t xml:space="preserve">X283</t>
  </si>
  <si>
    <t xml:space="preserve">DC Motor</t>
  </si>
  <si>
    <t xml:space="preserve">X284</t>
  </si>
  <si>
    <t xml:space="preserve">L298P Motor Driver</t>
  </si>
  <si>
    <t xml:space="preserve">X285</t>
  </si>
  <si>
    <t xml:space="preserve">ESP32</t>
  </si>
  <si>
    <t xml:space="preserve">X286</t>
  </si>
  <si>
    <t xml:space="preserve">7 Segment Display</t>
  </si>
  <si>
    <t xml:space="preserve">X287</t>
  </si>
  <si>
    <t xml:space="preserve">Battery clips with DC Jack</t>
  </si>
  <si>
    <t xml:space="preserve">X288</t>
  </si>
  <si>
    <t xml:space="preserve">Measuring Tape ISI Mark</t>
  </si>
  <si>
    <t xml:space="preserve">X289</t>
  </si>
  <si>
    <t xml:space="preserve">Out - Side Micrometer</t>
  </si>
  <si>
    <t xml:space="preserve">Out - Side Micrometer Digital</t>
  </si>
  <si>
    <t xml:space="preserve">Threading Gauge ( Engineering)</t>
  </si>
  <si>
    <t xml:space="preserve">ADJUSTABLE HACKSAW FRAME</t>
  </si>
  <si>
    <t xml:space="preserve">Half Round Wood rasp File</t>
  </si>
  <si>
    <t xml:space="preserve">Flat file Rasp</t>
  </si>
  <si>
    <t xml:space="preserve">Flat file Rough</t>
  </si>
  <si>
    <t xml:space="preserve">Mortise Chisel</t>
  </si>
  <si>
    <t xml:space="preserve">Pairing Chisel</t>
  </si>
  <si>
    <t xml:space="preserve">Butt Hinges</t>
  </si>
  <si>
    <t xml:space="preserve">Parliament hinge</t>
  </si>
  <si>
    <t xml:space="preserve">Carboundum Stone (Emery)</t>
  </si>
  <si>
    <t xml:space="preserve">File Handle Wooden</t>
  </si>
  <si>
    <t xml:space="preserve">Electrical hand drill machine MII Class 1 Compliant</t>
  </si>
  <si>
    <t xml:space="preserve">X290</t>
  </si>
  <si>
    <t xml:space="preserve">Bench Vice (Code-U -301)</t>
  </si>
  <si>
    <t xml:space="preserve">Arc Welding Machine (Transformer) NABL test certified</t>
  </si>
  <si>
    <t xml:space="preserve">X291</t>
  </si>
  <si>
    <t xml:space="preserve">Adjustable Wrench (Adjustable Spanner)</t>
  </si>
  <si>
    <t xml:space="preserve">Grip-on-pliers</t>
  </si>
  <si>
    <t xml:space="preserve">Trowel (Thapi-Plane)</t>
  </si>
  <si>
    <t xml:space="preserve">Masonry Drill (Concrete Drill)</t>
  </si>
  <si>
    <t xml:space="preserve">Bucket ( MS steel bucket)</t>
  </si>
  <si>
    <t xml:space="preserve">Pipe Die Set - with D/E Handle (pipe wrench)</t>
  </si>
  <si>
    <t xml:space="preserve">Pipe Wrench BIS certified</t>
  </si>
  <si>
    <t xml:space="preserve">X292</t>
  </si>
  <si>
    <t xml:space="preserve">Overcoat (Apron- Blue color)</t>
  </si>
  <si>
    <t xml:space="preserve">Hand gloves pairs (constriction)</t>
  </si>
  <si>
    <t xml:space="preserve">Linesman Pliers ISI Mark,RoHS</t>
  </si>
  <si>
    <t xml:space="preserve">X293</t>
  </si>
  <si>
    <t xml:space="preserve">Long Nose Pliers ISI Mark,RoHS</t>
  </si>
  <si>
    <t xml:space="preserve">X294</t>
  </si>
  <si>
    <t xml:space="preserve">Side Cutting Plier ISI Mark, RoHS</t>
  </si>
  <si>
    <t xml:space="preserve">X295</t>
  </si>
  <si>
    <t xml:space="preserve">Nozzel/Nipple spanner</t>
  </si>
  <si>
    <t xml:space="preserve">WATER PUMP 1 PHASE ISI Mark</t>
  </si>
  <si>
    <t xml:space="preserve">X296</t>
  </si>
  <si>
    <t xml:space="preserve">MOTER ELECTRIC 1 PHASE ISI Mark</t>
  </si>
  <si>
    <t xml:space="preserve">X297</t>
  </si>
  <si>
    <t xml:space="preserve">Sieves</t>
  </si>
  <si>
    <t xml:space="preserve">Pressure Cooker ISI Certified</t>
  </si>
  <si>
    <t xml:space="preserve">X298</t>
  </si>
  <si>
    <t xml:space="preserve">Tong</t>
  </si>
  <si>
    <t xml:space="preserve">hindalium container with lid - 3 lit</t>
  </si>
  <si>
    <t xml:space="preserve">X299</t>
  </si>
  <si>
    <t xml:space="preserve">Plastic Container</t>
  </si>
  <si>
    <t xml:space="preserve">Glass container</t>
  </si>
  <si>
    <t xml:space="preserve">Aluminum foil</t>
  </si>
  <si>
    <t xml:space="preserve">Spraying Pump</t>
  </si>
  <si>
    <t xml:space="preserve">X905</t>
  </si>
  <si>
    <t xml:space="preserve">Sprinkler Irrigation UTender ( Lateral pipe 16mm x 20ft , Micro sprinkler &amp; micro jet 05 nos each )</t>
  </si>
  <si>
    <t xml:space="preserve">X300</t>
  </si>
  <si>
    <t xml:space="preserve">Drip Irrigation UTender ( Lateral pipe 16mm x 20 ft , Elbow , coupler , T- joint , mini valve, gurment teck, end cap , drip punch 5nos each</t>
  </si>
  <si>
    <t xml:space="preserve">X301</t>
  </si>
  <si>
    <t xml:space="preserve">Mask ( Canvas Mask )</t>
  </si>
  <si>
    <t xml:space="preserve">X302</t>
  </si>
  <si>
    <t xml:space="preserve">Breed charts Cow, Goat, Bullock</t>
  </si>
  <si>
    <t xml:space="preserve">Anti-virus for Computer Systems</t>
  </si>
  <si>
    <t xml:space="preserve">X303</t>
  </si>
  <si>
    <t xml:space="preserve">X901</t>
  </si>
  <si>
    <t xml:space="preserve">Internet wifi setup</t>
  </si>
  <si>
    <t xml:space="preserve">X304</t>
  </si>
  <si>
    <t xml:space="preserve">Subject Specific TLM (laminated charts)</t>
  </si>
  <si>
    <t xml:space="preserve">X305</t>
  </si>
  <si>
    <t xml:space="preserve">Classroom chairs</t>
  </si>
  <si>
    <t xml:space="preserve">X306</t>
  </si>
  <si>
    <t xml:space="preserve">Computer Systems (Desktop Computer)</t>
  </si>
  <si>
    <t xml:space="preserve">X307</t>
  </si>
  <si>
    <t xml:space="preserve">Subject specific TLM(Laminated Charts)</t>
  </si>
  <si>
    <t xml:space="preserve">Computer tables</t>
  </si>
  <si>
    <t xml:space="preserve">X900</t>
  </si>
  <si>
    <t xml:space="preserve">Tax Charts</t>
  </si>
  <si>
    <t xml:space="preserve">X308</t>
  </si>
  <si>
    <t xml:space="preserve">Sample documentation kit</t>
  </si>
  <si>
    <t xml:space="preserve">X309</t>
  </si>
  <si>
    <t xml:space="preserve">Registers for documentation</t>
  </si>
  <si>
    <t xml:space="preserve">X310</t>
  </si>
  <si>
    <t xml:space="preserve">Bio hazard bags for Waste Disposal</t>
  </si>
  <si>
    <t xml:space="preserve">X311</t>
  </si>
  <si>
    <t xml:space="preserve">pack of 50</t>
  </si>
  <si>
    <t xml:space="preserve">Staining solution / reagents / Romanowsky stains</t>
  </si>
  <si>
    <t xml:space="preserve">X312</t>
  </si>
  <si>
    <t xml:space="preserve">Buffer</t>
  </si>
  <si>
    <t xml:space="preserve">X313</t>
  </si>
  <si>
    <t xml:space="preserve">RBC pipette</t>
  </si>
  <si>
    <t xml:space="preserve">X314</t>
  </si>
  <si>
    <t xml:space="preserve">WBC Pipette</t>
  </si>
  <si>
    <t xml:space="preserve">X315</t>
  </si>
  <si>
    <t xml:space="preserve">Pasteur Pipette</t>
  </si>
  <si>
    <t xml:space="preserve">X316</t>
  </si>
  <si>
    <t xml:space="preserve">piece</t>
  </si>
  <si>
    <t xml:space="preserve">Diluting fluids</t>
  </si>
  <si>
    <t xml:space="preserve">X317</t>
  </si>
  <si>
    <t xml:space="preserve">Urine Testing strips</t>
  </si>
  <si>
    <t xml:space="preserve">X318</t>
  </si>
  <si>
    <t xml:space="preserve">strip</t>
  </si>
  <si>
    <t xml:space="preserve">Occult blood strips</t>
  </si>
  <si>
    <t xml:space="preserve">X319</t>
  </si>
  <si>
    <t xml:space="preserve">test</t>
  </si>
  <si>
    <t xml:space="preserve">Bio hazard bags for Waste Disposal / Blue sharps container for waste disposal</t>
  </si>
  <si>
    <t xml:space="preserve">X320</t>
  </si>
  <si>
    <t xml:space="preserve">Spirit Lamp</t>
  </si>
  <si>
    <t xml:space="preserve">X321</t>
  </si>
  <si>
    <t xml:space="preserve">Glass Slides, coverslips &amp; mounting media</t>
  </si>
  <si>
    <t xml:space="preserve">X322</t>
  </si>
  <si>
    <t xml:space="preserve">Cedarwood oil</t>
  </si>
  <si>
    <t xml:space="preserve">X323</t>
  </si>
  <si>
    <t xml:space="preserve">Blotting paper for BT</t>
  </si>
  <si>
    <t xml:space="preserve">X324</t>
  </si>
  <si>
    <t xml:space="preserve">Capillary tube for CT</t>
  </si>
  <si>
    <t xml:space="preserve">X325</t>
  </si>
  <si>
    <t xml:space="preserve">Westergren tubes &amp; sodium citrate reagent</t>
  </si>
  <si>
    <t xml:space="preserve">X326</t>
  </si>
  <si>
    <t xml:space="preserve">Sahli's Hemoglobinometer</t>
  </si>
  <si>
    <t xml:space="preserve">X327</t>
  </si>
  <si>
    <t xml:space="preserve">Simple Balance</t>
  </si>
  <si>
    <t xml:space="preserve">X328</t>
  </si>
  <si>
    <t xml:space="preserve">Staining solution / reagents / Gram stain / AFB stain / KOH stain</t>
  </si>
  <si>
    <t xml:space="preserve">X329</t>
  </si>
  <si>
    <t xml:space="preserve">Sample Container / Swab sticks / culture bottles / Syringe &amp; Needles</t>
  </si>
  <si>
    <t xml:space="preserve">X330</t>
  </si>
  <si>
    <t xml:space="preserve">Sterile Loops</t>
  </si>
  <si>
    <t xml:space="preserve">X331</t>
  </si>
  <si>
    <t xml:space="preserve">Petridish</t>
  </si>
  <si>
    <t xml:space="preserve">Antibiotic discs</t>
  </si>
  <si>
    <t xml:space="preserve">X332</t>
  </si>
  <si>
    <t xml:space="preserve">cartridge</t>
  </si>
  <si>
    <t xml:space="preserve">Culture media</t>
  </si>
  <si>
    <t xml:space="preserve">X333</t>
  </si>
  <si>
    <t xml:space="preserve">Rapid test kits for Malaria, Dengue, HIV, HCV, Typhoid, Pregnancy</t>
  </si>
  <si>
    <t xml:space="preserve">X334</t>
  </si>
  <si>
    <t xml:space="preserve">Laminar Flow</t>
  </si>
  <si>
    <t xml:space="preserve">X335</t>
  </si>
  <si>
    <t xml:space="preserve">Autoclave - separate for media sterilization and waste disposal</t>
  </si>
  <si>
    <t xml:space="preserve">X336</t>
  </si>
  <si>
    <t xml:space="preserve">Normal Saline</t>
  </si>
  <si>
    <t xml:space="preserve">X337</t>
  </si>
  <si>
    <t xml:space="preserve">Pipettes Glass - (1 mL, 2 mL, 5 mL, 10 mL)</t>
  </si>
  <si>
    <t xml:space="preserve">X338</t>
  </si>
  <si>
    <t xml:space="preserve">X906</t>
  </si>
  <si>
    <t xml:space="preserve">Beaker / glass flask</t>
  </si>
  <si>
    <t xml:space="preserve">X339</t>
  </si>
  <si>
    <t xml:space="preserve">Distilled water</t>
  </si>
  <si>
    <t xml:space="preserve">X340</t>
  </si>
  <si>
    <t xml:space="preserve">5 L can</t>
  </si>
  <si>
    <t xml:space="preserve">Tissue paper / Filter paper / Cotton</t>
  </si>
  <si>
    <t xml:space="preserve">X341</t>
  </si>
  <si>
    <t xml:space="preserve">Tube racks / slide racks</t>
  </si>
  <si>
    <t xml:space="preserve">X342</t>
  </si>
  <si>
    <t xml:space="preserve">Working Table to perform practical for 15 students</t>
  </si>
  <si>
    <t xml:space="preserve">X343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</si>
</sst>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123B5C"/>
      <name val="Arial"/>
      <family val="0"/>
      <charset val="1"/>
    </font>
    <font>
      <i val="true"/>
      <sz val="9"/>
      <color rgb="FF6B728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1"/>
      <name val="Arial"/>
      <family val="0"/>
      <charset val="1"/>
    </font>
    <font>
      <sz val="10"/>
      <color rgb="FF0000FF"/>
      <name val="Arial"/>
      <family val="0"/>
      <charset val="1"/>
    </font>
    <font>
      <u val="single"/>
      <sz val="10"/>
      <color rgb="FF0563C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E6FA8"/>
        <bgColor rgb="FF0563C1"/>
      </patternFill>
    </fill>
    <fill>
      <patternFill patternType="solid">
        <fgColor rgb="FFE8F0F7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C5CC"/>
      </left>
      <right style="thin">
        <color rgb="FFBFC5CC"/>
      </right>
      <top style="thin">
        <color rgb="FFBFC5CC"/>
      </top>
      <bottom style="thin">
        <color rgb="FFBFC5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E6FA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0563C1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E6FA8"/>
      <rgbColor rgb="FFBFC5CC"/>
      <rgbColor rgb="FF808080"/>
      <rgbColor rgb="FF9999FF"/>
      <rgbColor rgb="FF993366"/>
      <rgbColor rgb="FFFFFFCC"/>
      <rgbColor rgb="FFE8F0F7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123B5C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hyperlink" Target="https://cdn.jsdelivr.net/gh/EngineerX1234/vocational-images@main/tools/batch-01/agriculture-burdizzo-castrator.jpg" TargetMode="External"/><Relationship Id="rId2" Type="http://schemas.openxmlformats.org/officeDocument/2006/relationships/hyperlink" Target="https://cdn.jsdelivr.net/gh/EngineerX1234/vocational-images@main/tools/batch-05/agriculture-tagging-set.jpg" TargetMode="External"/><Relationship Id="rId3" Type="http://schemas.openxmlformats.org/officeDocument/2006/relationships/hyperlink" Target="https://cdn.jsdelivr.net/gh/EngineerX1234/vocational-images@main/tools/batch-05/agriculture-tattooing-set.jpg" TargetMode="External"/><Relationship Id="rId4" Type="http://schemas.openxmlformats.org/officeDocument/2006/relationships/hyperlink" Target="https://cdn.jsdelivr.net/gh/EngineerX1234/vocational-images@main/tools/batch-01/agriculture-branding-numbers.jpg" TargetMode="External"/><Relationship Id="rId5" Type="http://schemas.openxmlformats.org/officeDocument/2006/relationships/hyperlink" Target="https://cdn.jsdelivr.net/gh/EngineerX1234/vocational-images@main/tools/batch-01/agriculture-drenching-bottles.jpg" TargetMode="External"/><Relationship Id="rId6" Type="http://schemas.openxmlformats.org/officeDocument/2006/relationships/hyperlink" Target="https://cdn.jsdelivr.net/gh/EngineerX1234/vocational-images@main/tools/batch-03/agriculture-mouth-gags.jpg" TargetMode="External"/><Relationship Id="rId7" Type="http://schemas.openxmlformats.org/officeDocument/2006/relationships/hyperlink" Target="https://cdn.jsdelivr.net/gh/EngineerX1234/vocational-images@main/tools/batch-03/agriculture-muzzle.jpg" TargetMode="External"/><Relationship Id="rId8" Type="http://schemas.openxmlformats.org/officeDocument/2006/relationships/hyperlink" Target="https://cdn.jsdelivr.net/gh/EngineerX1234/vocational-images@main/tools/batch-26/agriculture-hoof-trimmer.jpg" TargetMode="External"/><Relationship Id="rId9" Type="http://schemas.openxmlformats.org/officeDocument/2006/relationships/hyperlink" Target="https://cdn.jsdelivr.net/gh/EngineerX1234/vocational-images@main/tools/batch-24/agriculture-ropes.jpg" TargetMode="External"/><Relationship Id="rId10" Type="http://schemas.openxmlformats.org/officeDocument/2006/relationships/hyperlink" Target="https://cdn.jsdelivr.net/gh/EngineerX1234/vocational-images@main/tools/batch-03/agriculture-metal-chains.jpg" TargetMode="External"/><Relationship Id="rId11" Type="http://schemas.openxmlformats.org/officeDocument/2006/relationships/hyperlink" Target="https://cdn.jsdelivr.net/gh/EngineerX1234/vocational-images@main/tools/batch-01/agriculture-bull-nose-ring.jpg" TargetMode="External"/><Relationship Id="rId12" Type="http://schemas.openxmlformats.org/officeDocument/2006/relationships/hyperlink" Target="https://cdn.jsdelivr.net/gh/EngineerX1234/vocational-images@main/tools/batch-01/agriculture-bull-nose-punch.jpg" TargetMode="External"/><Relationship Id="rId13" Type="http://schemas.openxmlformats.org/officeDocument/2006/relationships/hyperlink" Target="https://cdn.jsdelivr.net/gh/EngineerX1234/vocational-images@main/tools/batch-01/agriculture-bull-leader.jpg" TargetMode="External"/><Relationship Id="rId14" Type="http://schemas.openxmlformats.org/officeDocument/2006/relationships/hyperlink" Target="https://cdn.jsdelivr.net/gh/EngineerX1234/vocational-images@main/tools/batch-26/agriculture-hose-pipe.jpg" TargetMode="External"/><Relationship Id="rId15" Type="http://schemas.openxmlformats.org/officeDocument/2006/relationships/hyperlink" Target="https://cdn.jsdelivr.net/gh/EngineerX1234/vocational-images@main/tools/batch-23/agriculture-grooming-brush.jpg" TargetMode="External"/><Relationship Id="rId16" Type="http://schemas.openxmlformats.org/officeDocument/2006/relationships/hyperlink" Target="https://cdn.jsdelivr.net/gh/EngineerX1234/vocational-images@main/tools/batch-03/agriculture-milking-bucket.jpg" TargetMode="External"/><Relationship Id="rId17" Type="http://schemas.openxmlformats.org/officeDocument/2006/relationships/hyperlink" Target="https://cdn.jsdelivr.net/gh/EngineerX1234/vocational-images@main/tools/batch-03/agriculture-milk-strainer.jpg" TargetMode="External"/><Relationship Id="rId18" Type="http://schemas.openxmlformats.org/officeDocument/2006/relationships/hyperlink" Target="https://cdn.jsdelivr.net/gh/EngineerX1234/vocational-images@main/tools/batch-01/agriculture-broom.jpg" TargetMode="External"/><Relationship Id="rId19" Type="http://schemas.openxmlformats.org/officeDocument/2006/relationships/hyperlink" Target="https://cdn.jsdelivr.net/gh/EngineerX1234/vocational-images@main/tools/batch-05/agriculture-trocar-and-cannula.jpg" TargetMode="External"/><Relationship Id="rId20" Type="http://schemas.openxmlformats.org/officeDocument/2006/relationships/hyperlink" Target="https://cdn.jsdelivr.net/gh/EngineerX1234/vocational-images@main/tools/batch-01/agriculture-cmt-paddle-for-detection-of-mastitis.jpg" TargetMode="External"/><Relationship Id="rId21" Type="http://schemas.openxmlformats.org/officeDocument/2006/relationships/hyperlink" Target="https://cdn.jsdelivr.net/gh/EngineerX1234/vocational-images@main/tools/batch-02/agriculture-electric-dehorner.jpg" TargetMode="External"/><Relationship Id="rId22" Type="http://schemas.openxmlformats.org/officeDocument/2006/relationships/hyperlink" Target="https://cdn.jsdelivr.net/gh/EngineerX1234/vocational-images@main/tools/batch-01/agriculture-animal-awakener.jpg" TargetMode="External"/><Relationship Id="rId23" Type="http://schemas.openxmlformats.org/officeDocument/2006/relationships/hyperlink" Target="https://cdn.jsdelivr.net/gh/EngineerX1234/vocational-images@main/tools/batch-01/agriculture-artificial-insemination-ai-cylinder.jpg" TargetMode="External"/><Relationship Id="rId24" Type="http://schemas.openxmlformats.org/officeDocument/2006/relationships/hyperlink" Target="https://cdn.jsdelivr.net/gh/EngineerX1234/vocational-images@main/tools/batch-01/agriculture-ai-gun.jpg" TargetMode="External"/><Relationship Id="rId25" Type="http://schemas.openxmlformats.org/officeDocument/2006/relationships/hyperlink" Target="https://cdn.jsdelivr.net/gh/EngineerX1234/vocational-images@main/tools/batch-03/agriculture-measuring-appliances.jpg" TargetMode="External"/><Relationship Id="rId26" Type="http://schemas.openxmlformats.org/officeDocument/2006/relationships/hyperlink" Target="https://cdn.jsdelivr.net/gh/EngineerX1234/vocational-images@main/tools/batch-03/agriculture-milk-can.jpg" TargetMode="External"/><Relationship Id="rId27" Type="http://schemas.openxmlformats.org/officeDocument/2006/relationships/hyperlink" Target="https://cdn.jsdelivr.net/gh/EngineerX1234/vocational-images@main/tools/batch-01/agriculture-bull-exerciser.jpg" TargetMode="External"/><Relationship Id="rId28" Type="http://schemas.openxmlformats.org/officeDocument/2006/relationships/hyperlink" Target="https://cdn.jsdelivr.net/gh/EngineerX1234/vocational-images@main/tools/batch-05/agriculture-thermometer.jpg" TargetMode="External"/><Relationship Id="rId29" Type="http://schemas.openxmlformats.org/officeDocument/2006/relationships/hyperlink" Target="https://cdn.jsdelivr.net/gh/EngineerX1234/vocational-images@main/tools/batch-23/agriculture-garden-hand-tools.jpg" TargetMode="External"/><Relationship Id="rId30" Type="http://schemas.openxmlformats.org/officeDocument/2006/relationships/hyperlink" Target="https://cdn.jsdelivr.net/gh/EngineerX1234/vocational-images@main/tools/batch-24/agriculture-round-scrapping-knife.jpg" TargetMode="External"/><Relationship Id="rId31" Type="http://schemas.openxmlformats.org/officeDocument/2006/relationships/hyperlink" Target="https://cdn.jsdelivr.net/gh/EngineerX1234/vocational-images@main/tools/batch-24/agriculture-scrapping-knife.jpg" TargetMode="External"/><Relationship Id="rId32" Type="http://schemas.openxmlformats.org/officeDocument/2006/relationships/hyperlink" Target="https://cdn.jsdelivr.net/gh/EngineerX1234/vocational-images@main/tools/batch-01/agriculture-double-edged-cleaning-knife.jpg" TargetMode="External"/><Relationship Id="rId33" Type="http://schemas.openxmlformats.org/officeDocument/2006/relationships/hyperlink" Target="https://cdn.jsdelivr.net/gh/EngineerX1234/vocational-images@main/tools/batch-01/agriculture-chisel-edged-cleaning-knife.jpg" TargetMode="External"/><Relationship Id="rId34" Type="http://schemas.openxmlformats.org/officeDocument/2006/relationships/hyperlink" Target="https://cdn.jsdelivr.net/gh/EngineerX1234/vocational-images@main/tools/batch-26/agriculture-indian-foldable-knife.jpg" TargetMode="External"/><Relationship Id="rId35" Type="http://schemas.openxmlformats.org/officeDocument/2006/relationships/hyperlink" Target="https://cdn.jsdelivr.net/gh/EngineerX1234/vocational-images@main/tools/batch-26/agriculture-indian-splitting-knife.jpg" TargetMode="External"/><Relationship Id="rId36" Type="http://schemas.openxmlformats.org/officeDocument/2006/relationships/hyperlink" Target="https://cdn.jsdelivr.net/gh/EngineerX1234/vocational-images@main/tools/batch-23/agriculture-garden-digging-fork.jpg" TargetMode="External"/><Relationship Id="rId37" Type="http://schemas.openxmlformats.org/officeDocument/2006/relationships/hyperlink" Target="https://cdn.jsdelivr.net/gh/EngineerX1234/vocational-images@main/tools/batch-01/agriculture-bow-hand-drill.jpg" TargetMode="External"/><Relationship Id="rId38" Type="http://schemas.openxmlformats.org/officeDocument/2006/relationships/hyperlink" Target="https://cdn.jsdelivr.net/gh/EngineerX1234/vocational-images@main/tools/batch-26/agriculture-hand-drill.jpg" TargetMode="External"/><Relationship Id="rId39" Type="http://schemas.openxmlformats.org/officeDocument/2006/relationships/hyperlink" Target="https://cdn.jsdelivr.net/gh/EngineerX1234/vocational-images@main/tools/batch-04/agriculture-powered-hand-drill.jpg" TargetMode="External"/><Relationship Id="rId40" Type="http://schemas.openxmlformats.org/officeDocument/2006/relationships/hyperlink" Target="https://cdn.jsdelivr.net/gh/EngineerX1234/vocational-images@main/tools/batch-04/agriculture-pruners.jpg" TargetMode="External"/><Relationship Id="rId41" Type="http://schemas.openxmlformats.org/officeDocument/2006/relationships/hyperlink" Target="https://cdn.jsdelivr.net/gh/EngineerX1234/vocational-images@main/tools/batch-26/agriculture-rabbiting-spade.jpg" TargetMode="External"/><Relationship Id="rId42" Type="http://schemas.openxmlformats.org/officeDocument/2006/relationships/hyperlink" Target="https://cdn.jsdelivr.net/gh/EngineerX1234/vocational-images@main/tools/batch-24/agriculture-shovels-and-specialty-spades.jpg" TargetMode="External"/><Relationship Id="rId43" Type="http://schemas.openxmlformats.org/officeDocument/2006/relationships/hyperlink" Target="https://cdn.jsdelivr.net/gh/EngineerX1234/vocational-images@main/tools/batch-02/agriculture-dutch-hand-hoe.jpg" TargetMode="External"/><Relationship Id="rId44" Type="http://schemas.openxmlformats.org/officeDocument/2006/relationships/hyperlink" Target="https://cdn.jsdelivr.net/gh/EngineerX1234/vocational-images@main/tools/batch-05/agriculture-trowels.jpg" TargetMode="External"/><Relationship Id="rId45" Type="http://schemas.openxmlformats.org/officeDocument/2006/relationships/hyperlink" Target="https://cdn.jsdelivr.net/gh/EngineerX1234/vocational-images@main/tools/batch-24/agriculture-sprinkler-irrigation-unit.jpg" TargetMode="External"/><Relationship Id="rId46" Type="http://schemas.openxmlformats.org/officeDocument/2006/relationships/hyperlink" Target="https://cdn.jsdelivr.net/gh/EngineerX1234/vocational-images@main/tools/batch-02/agriculture-drip-irrigation-unit.jpg" TargetMode="External"/><Relationship Id="rId47" Type="http://schemas.openxmlformats.org/officeDocument/2006/relationships/hyperlink" Target="https://cdn.jsdelivr.net/gh/EngineerX1234/vocational-images@main/tools/batch-01/agriculture-auger.jpg" TargetMode="External"/><Relationship Id="rId48" Type="http://schemas.openxmlformats.org/officeDocument/2006/relationships/hyperlink" Target="https://cdn.jsdelivr.net/gh/EngineerX1234/vocational-images@main/tools/batch-01/agriculture-digging-spade.jpg" TargetMode="External"/><Relationship Id="rId49" Type="http://schemas.openxmlformats.org/officeDocument/2006/relationships/hyperlink" Target="https://cdn.jsdelivr.net/gh/EngineerX1234/vocational-images@main/tools/batch-26/agriculture-hoe.jpg" TargetMode="External"/><Relationship Id="rId50" Type="http://schemas.openxmlformats.org/officeDocument/2006/relationships/hyperlink" Target="https://cdn.jsdelivr.net/gh/EngineerX1234/vocational-images@main/tools/batch-03/agriculture-levelers.jpg" TargetMode="External"/><Relationship Id="rId51" Type="http://schemas.openxmlformats.org/officeDocument/2006/relationships/hyperlink" Target="https://cdn.jsdelivr.net/gh/EngineerX1234/vocational-images@main/tools/batch-03/agriculture-long-handle-hoes.jpg" TargetMode="External"/><Relationship Id="rId52" Type="http://schemas.openxmlformats.org/officeDocument/2006/relationships/hyperlink" Target="https://cdn.jsdelivr.net/gh/EngineerX1234/vocational-images@main/tools/batch-03/agriculture-plastics-baskets.jpg" TargetMode="External"/><Relationship Id="rId53" Type="http://schemas.openxmlformats.org/officeDocument/2006/relationships/hyperlink" Target="https://cdn.jsdelivr.net/gh/EngineerX1234/vocational-images@main/tools/batch-05/agriculture-trowels.jpg" TargetMode="External"/><Relationship Id="rId54" Type="http://schemas.openxmlformats.org/officeDocument/2006/relationships/hyperlink" Target="https://cdn.jsdelivr.net/gh/EngineerX1234/vocational-images@main/tools/batch-03/agriculture-knapsack-sprayer.jpg" TargetMode="External"/><Relationship Id="rId55" Type="http://schemas.openxmlformats.org/officeDocument/2006/relationships/hyperlink" Target="https://cdn.jsdelivr.net/gh/EngineerX1234/vocational-images@main/tools/batch-24/agriculture-seed-treating-equipment.jpg" TargetMode="External"/><Relationship Id="rId56" Type="http://schemas.openxmlformats.org/officeDocument/2006/relationships/hyperlink" Target="https://cdn.jsdelivr.net/gh/EngineerX1234/vocational-images@main/tools/batch-24/agriculture-soil-testing-kit.jpg" TargetMode="External"/><Relationship Id="rId57" Type="http://schemas.openxmlformats.org/officeDocument/2006/relationships/hyperlink" Target="https://cdn.jsdelivr.net/gh/EngineerX1234/vocational-images@main/tools/batch-03/agriculture-measuring-cylinder.jpg" TargetMode="External"/><Relationship Id="rId58" Type="http://schemas.openxmlformats.org/officeDocument/2006/relationships/hyperlink" Target="https://cdn.jsdelivr.net/gh/EngineerX1234/vocational-images@main/tools/batch-03/agriculture-power-sprayer.jpg" TargetMode="External"/><Relationship Id="rId59" Type="http://schemas.openxmlformats.org/officeDocument/2006/relationships/hyperlink" Target="https://cdn.jsdelivr.net/gh/EngineerX1234/vocational-images@main/tools/batch-05/agriculture-weighing-machine.jpg" TargetMode="External"/><Relationship Id="rId60" Type="http://schemas.openxmlformats.org/officeDocument/2006/relationships/hyperlink" Target="https://cdn.jsdelivr.net/gh/EngineerX1234/vocational-images@main/tools/batch-03/agriculture-moisture-meter.jpg" TargetMode="External"/><Relationship Id="rId61" Type="http://schemas.openxmlformats.org/officeDocument/2006/relationships/hyperlink" Target="https://cdn.jsdelivr.net/gh/EngineerX1234/vocational-images@main/tools/batch-01/agriculture-disc-harrow.jpg" TargetMode="External"/><Relationship Id="rId62" Type="http://schemas.openxmlformats.org/officeDocument/2006/relationships/hyperlink" Target="https://cdn.jsdelivr.net/gh/EngineerX1234/vocational-images@main/tools/batch-03/agriculture-plough.jpg" TargetMode="External"/><Relationship Id="rId63" Type="http://schemas.openxmlformats.org/officeDocument/2006/relationships/hyperlink" Target="https://cdn.jsdelivr.net/gh/EngineerX1234/vocational-images@main/tools/batch-04/agriculture-pump-sets.jpg" TargetMode="External"/><Relationship Id="rId64" Type="http://schemas.openxmlformats.org/officeDocument/2006/relationships/hyperlink" Target="https://cdn.jsdelivr.net/gh/EngineerX1234/vocational-images@main/tools/batch-24/agriculture-rigid-tillers.jpg" TargetMode="External"/><Relationship Id="rId65" Type="http://schemas.openxmlformats.org/officeDocument/2006/relationships/hyperlink" Target="https://cdn.jsdelivr.net/gh/EngineerX1234/vocational-images@main/tools/batch-24/agriculture-rotary-tiller.jpg" TargetMode="External"/><Relationship Id="rId66" Type="http://schemas.openxmlformats.org/officeDocument/2006/relationships/hyperlink" Target="https://cdn.jsdelivr.net/gh/EngineerX1234/vocational-images@main/tools/batch-24/agriculture-seed-cum-fertilizer-drill.jpg" TargetMode="External"/><Relationship Id="rId67" Type="http://schemas.openxmlformats.org/officeDocument/2006/relationships/hyperlink" Target="https://cdn.jsdelivr.net/gh/EngineerX1234/vocational-images@main/tools/batch-24/agriculture-straw-reaper.jpg" TargetMode="External"/><Relationship Id="rId68" Type="http://schemas.openxmlformats.org/officeDocument/2006/relationships/hyperlink" Target="https://cdn.jsdelivr.net/gh/EngineerX1234/vocational-images@main/tools/batch-05/agriculture-tractor.jpg" TargetMode="External"/><Relationship Id="rId69" Type="http://schemas.openxmlformats.org/officeDocument/2006/relationships/hyperlink" Target="https://cdn.jsdelivr.net/gh/EngineerX1234/vocational-images@main/tools/batch-01/agriculture-auger.jpg" TargetMode="External"/><Relationship Id="rId70" Type="http://schemas.openxmlformats.org/officeDocument/2006/relationships/hyperlink" Target="https://cdn.jsdelivr.net/gh/EngineerX1234/vocational-images@main/tools/batch-01/agriculture-digging-spade.jpg" TargetMode="External"/><Relationship Id="rId71" Type="http://schemas.openxmlformats.org/officeDocument/2006/relationships/hyperlink" Target="https://cdn.jsdelivr.net/gh/EngineerX1234/vocational-images@main/tools/batch-26/agriculture-hoe.jpg" TargetMode="External"/><Relationship Id="rId72" Type="http://schemas.openxmlformats.org/officeDocument/2006/relationships/hyperlink" Target="https://cdn.jsdelivr.net/gh/EngineerX1234/vocational-images@main/tools/batch-03/agriculture-kodali.jpg" TargetMode="External"/><Relationship Id="rId73" Type="http://schemas.openxmlformats.org/officeDocument/2006/relationships/hyperlink" Target="https://cdn.jsdelivr.net/gh/EngineerX1234/vocational-images@main/tools/batch-04/agriculture-pronged-hoes.jpg" TargetMode="External"/><Relationship Id="rId74" Type="http://schemas.openxmlformats.org/officeDocument/2006/relationships/hyperlink" Target="https://cdn.jsdelivr.net/gh/EngineerX1234/vocational-images@main/tools/batch-24/agriculture-spade.jpg" TargetMode="External"/><Relationship Id="rId75" Type="http://schemas.openxmlformats.org/officeDocument/2006/relationships/hyperlink" Target="https://cdn.jsdelivr.net/gh/EngineerX1234/vocational-images@main/tools/batch-23/agriculture-fork.jpg" TargetMode="External"/><Relationship Id="rId76" Type="http://schemas.openxmlformats.org/officeDocument/2006/relationships/hyperlink" Target="https://cdn.jsdelivr.net/gh/EngineerX1234/vocational-images@main/tools/batch-26/agriculture-hoe-cum-rack.jpg" TargetMode="External"/><Relationship Id="rId77" Type="http://schemas.openxmlformats.org/officeDocument/2006/relationships/hyperlink" Target="https://cdn.jsdelivr.net/gh/EngineerX1234/vocational-images@main/tools/batch-24/agriculture-shovel.jpg" TargetMode="External"/><Relationship Id="rId78" Type="http://schemas.openxmlformats.org/officeDocument/2006/relationships/hyperlink" Target="https://cdn.jsdelivr.net/gh/EngineerX1234/vocational-images@main/tools/batch-23/agriculture-garden-rake.jpg" TargetMode="External"/><Relationship Id="rId79" Type="http://schemas.openxmlformats.org/officeDocument/2006/relationships/hyperlink" Target="https://cdn.jsdelivr.net/gh/EngineerX1234/vocational-images@main/tools/batch-26/agriculture-hand-leveller.jpg" TargetMode="External"/><Relationship Id="rId80" Type="http://schemas.openxmlformats.org/officeDocument/2006/relationships/hyperlink" Target="https://cdn.jsdelivr.net/gh/EngineerX1234/vocational-images@main/tools/batch-01/agriculture-crow-bar.jpg" TargetMode="External"/><Relationship Id="rId81" Type="http://schemas.openxmlformats.org/officeDocument/2006/relationships/hyperlink" Target="https://cdn.jsdelivr.net/gh/EngineerX1234/vocational-images@main/tools/batch-01/agriculture-axe.jpg" TargetMode="External"/><Relationship Id="rId82" Type="http://schemas.openxmlformats.org/officeDocument/2006/relationships/hyperlink" Target="https://cdn.jsdelivr.net/gh/EngineerX1234/vocational-images@main/tools/batch-01/agriculture-budding-knife.jpg" TargetMode="External"/><Relationship Id="rId83" Type="http://schemas.openxmlformats.org/officeDocument/2006/relationships/hyperlink" Target="https://cdn.jsdelivr.net/gh/EngineerX1234/vocational-images@main/tools/batch-23/agriculture-grafting-knife.jpg" TargetMode="External"/><Relationship Id="rId84" Type="http://schemas.openxmlformats.org/officeDocument/2006/relationships/hyperlink" Target="https://cdn.jsdelivr.net/gh/EngineerX1234/vocational-images@main/tools/batch-01/agriculture-budding-and-grafting-knife.jpg" TargetMode="External"/><Relationship Id="rId85" Type="http://schemas.openxmlformats.org/officeDocument/2006/relationships/hyperlink" Target="https://cdn.jsdelivr.net/gh/EngineerX1234/vocational-images@main/tools/batch-04/agriculture-pruning-knife.jpg" TargetMode="External"/><Relationship Id="rId86" Type="http://schemas.openxmlformats.org/officeDocument/2006/relationships/hyperlink" Target="https://cdn.jsdelivr.net/gh/EngineerX1234/vocational-images@main/tools/batch-24/agriculture-secateur.jpg" TargetMode="External"/><Relationship Id="rId87" Type="http://schemas.openxmlformats.org/officeDocument/2006/relationships/hyperlink" Target="https://cdn.jsdelivr.net/gh/EngineerX1234/vocational-images@main/tools/batch-04/agriculture-pruning-saw.jpg" TargetMode="External"/><Relationship Id="rId88" Type="http://schemas.openxmlformats.org/officeDocument/2006/relationships/hyperlink" Target="https://cdn.jsdelivr.net/gh/EngineerX1234/vocational-images@main/tools/batch-26/agriculture-hedge-shear.jpg" TargetMode="External"/><Relationship Id="rId89" Type="http://schemas.openxmlformats.org/officeDocument/2006/relationships/hyperlink" Target="https://cdn.jsdelivr.net/gh/EngineerX1234/vocational-images@main/tools/batch-05/agriculture-tree-pruner.jpg" TargetMode="External"/><Relationship Id="rId90" Type="http://schemas.openxmlformats.org/officeDocument/2006/relationships/hyperlink" Target="https://cdn.jsdelivr.net/gh/EngineerX1234/vocational-images@main/tools/batch-03/agriculture-lopping-shear.jpg" TargetMode="External"/><Relationship Id="rId91" Type="http://schemas.openxmlformats.org/officeDocument/2006/relationships/hyperlink" Target="https://cdn.jsdelivr.net/gh/EngineerX1234/vocational-images@main/tools/batch-23/agriculture-grass-shear.jpg" TargetMode="External"/><Relationship Id="rId92" Type="http://schemas.openxmlformats.org/officeDocument/2006/relationships/hyperlink" Target="https://cdn.jsdelivr.net/gh/EngineerX1234/vocational-images@main/tools/batch-26/agriculture-khurpi.jpg" TargetMode="External"/><Relationship Id="rId93" Type="http://schemas.openxmlformats.org/officeDocument/2006/relationships/hyperlink" Target="https://cdn.jsdelivr.net/gh/EngineerX1234/vocational-images@main/tools/batch-05/agriculture-weeding-hook.jpg" TargetMode="External"/><Relationship Id="rId94" Type="http://schemas.openxmlformats.org/officeDocument/2006/relationships/hyperlink" Target="https://cdn.jsdelivr.net/gh/EngineerX1234/vocational-images@main/tools/batch-24/agriculture-straight-blade-hand-hoe.jpg" TargetMode="External"/><Relationship Id="rId95" Type="http://schemas.openxmlformats.org/officeDocument/2006/relationships/hyperlink" Target="https://cdn.jsdelivr.net/gh/EngineerX1234/vocational-images@main/tools/batch-26/agriculture-hand-cultivator.jpg" TargetMode="External"/><Relationship Id="rId96" Type="http://schemas.openxmlformats.org/officeDocument/2006/relationships/hyperlink" Target="https://cdn.jsdelivr.net/gh/EngineerX1234/vocational-images@main/tools/batch-24/agriculture-sickle.jpg" TargetMode="External"/><Relationship Id="rId97" Type="http://schemas.openxmlformats.org/officeDocument/2006/relationships/hyperlink" Target="https://cdn.jsdelivr.net/gh/EngineerX1234/vocational-images@main/tools/batch-26/agriculture-hedge-cutter.jpg" TargetMode="External"/><Relationship Id="rId98" Type="http://schemas.openxmlformats.org/officeDocument/2006/relationships/hyperlink" Target="https://cdn.jsdelivr.net/gh/EngineerX1234/vocational-images@main/tools/batch-01/agriculture-cutting-knife.jpg" TargetMode="External"/><Relationship Id="rId99" Type="http://schemas.openxmlformats.org/officeDocument/2006/relationships/hyperlink" Target="https://cdn.jsdelivr.net/gh/EngineerX1234/vocational-images@main/tools/batch-03/agriculture-peeling-knife.jpg" TargetMode="External"/><Relationship Id="rId100" Type="http://schemas.openxmlformats.org/officeDocument/2006/relationships/hyperlink" Target="https://cdn.jsdelivr.net/gh/EngineerX1234/vocational-images@main/tools/batch-01/agriculture-coring-knife.jpg" TargetMode="External"/><Relationship Id="rId101" Type="http://schemas.openxmlformats.org/officeDocument/2006/relationships/hyperlink" Target="https://cdn.jsdelivr.net/gh/EngineerX1234/vocational-images@main/tools/batch-01/agriculture-can-opener.jpg" TargetMode="External"/><Relationship Id="rId102" Type="http://schemas.openxmlformats.org/officeDocument/2006/relationships/hyperlink" Target="https://cdn.jsdelivr.net/gh/EngineerX1234/vocational-images@main/tools/batch-26/agriculture-hand-rotary-sieve.jpg" TargetMode="External"/><Relationship Id="rId103" Type="http://schemas.openxmlformats.org/officeDocument/2006/relationships/hyperlink" Target="https://cdn.jsdelivr.net/gh/EngineerX1234/vocational-images@main/tools/batch-26/agriculture-hand-tools-like-shovels-rakes-scythes-picks.jpg" TargetMode="External"/><Relationship Id="rId104" Type="http://schemas.openxmlformats.org/officeDocument/2006/relationships/hyperlink" Target="https://cdn.jsdelivr.net/gh/EngineerX1234/vocational-images@main/tools/batch-03/agriculture-knapsack-sprayer.jpg" TargetMode="External"/><Relationship Id="rId105" Type="http://schemas.openxmlformats.org/officeDocument/2006/relationships/hyperlink" Target="https://cdn.jsdelivr.net/gh/EngineerX1234/vocational-images@main/tools/batch-24/agriculture-rocker-sprayer.jpg" TargetMode="External"/><Relationship Id="rId106" Type="http://schemas.openxmlformats.org/officeDocument/2006/relationships/hyperlink" Target="https://cdn.jsdelivr.net/gh/EngineerX1234/vocational-images@main/tools/batch-23/agriculture-foot-sprayer.jpg" TargetMode="External"/><Relationship Id="rId107" Type="http://schemas.openxmlformats.org/officeDocument/2006/relationships/hyperlink" Target="https://cdn.jsdelivr.net/gh/EngineerX1234/vocational-images@main/tools/batch-26/agriculture-hand-sprayer.jpg" TargetMode="External"/><Relationship Id="rId108" Type="http://schemas.openxmlformats.org/officeDocument/2006/relationships/hyperlink" Target="https://cdn.jsdelivr.net/gh/EngineerX1234/vocational-images@main/tools/batch-26/agriculture-hand-rotary-duster.jpg" TargetMode="External"/><Relationship Id="rId109" Type="http://schemas.openxmlformats.org/officeDocument/2006/relationships/hyperlink" Target="https://cdn.jsdelivr.net/gh/EngineerX1234/vocational-images@main/tools/batch-26/agriculture-hydrometer.jpg" TargetMode="External"/><Relationship Id="rId110" Type="http://schemas.openxmlformats.org/officeDocument/2006/relationships/hyperlink" Target="https://cdn.jsdelivr.net/gh/EngineerX1234/vocational-images@main/tools/batch-01/agriculture-can-sealer.jpg" TargetMode="External"/><Relationship Id="rId111" Type="http://schemas.openxmlformats.org/officeDocument/2006/relationships/hyperlink" Target="https://cdn.jsdelivr.net/gh/EngineerX1234/vocational-images@main/tools/batch-01/agriculture-dehydrator.jpg" TargetMode="External"/><Relationship Id="rId112" Type="http://schemas.openxmlformats.org/officeDocument/2006/relationships/hyperlink" Target="https://cdn.jsdelivr.net/gh/EngineerX1234/vocational-images@main/tools/batch-01/agriculture-crown-corking-machine.jpg" TargetMode="External"/><Relationship Id="rId113" Type="http://schemas.openxmlformats.org/officeDocument/2006/relationships/hyperlink" Target="https://cdn.jsdelivr.net/gh/EngineerX1234/vocational-images@main/tools/batch-23/agriculture-forking-machine.jpg" TargetMode="External"/><Relationship Id="rId114" Type="http://schemas.openxmlformats.org/officeDocument/2006/relationships/hyperlink" Target="https://cdn.jsdelivr.net/gh/EngineerX1234/vocational-images@main/tools/batch-26/agriculture-hand-refractometer.jpg" TargetMode="External"/><Relationship Id="rId115" Type="http://schemas.openxmlformats.org/officeDocument/2006/relationships/hyperlink" Target="https://cdn.jsdelivr.net/gh/EngineerX1234/vocational-images@main/tools/batch-24/agriculture-screw-type-juice-extractor.jpg" TargetMode="External"/><Relationship Id="rId116" Type="http://schemas.openxmlformats.org/officeDocument/2006/relationships/hyperlink" Target="https://cdn.jsdelivr.net/gh/EngineerX1234/vocational-images@main/tools/batch-24/agriculture-soil-testing-kit.jpg" TargetMode="External"/><Relationship Id="rId117" Type="http://schemas.openxmlformats.org/officeDocument/2006/relationships/hyperlink" Target="https://cdn.jsdelivr.net/gh/EngineerX1234/vocational-images@main/tools/batch-03/agriculture-measuring-cylinder.jpg" TargetMode="External"/><Relationship Id="rId118" Type="http://schemas.openxmlformats.org/officeDocument/2006/relationships/hyperlink" Target="https://cdn.jsdelivr.net/gh/EngineerX1234/vocational-images@main/tools/batch-03/agriculture-power-sprayer.jpg" TargetMode="External"/><Relationship Id="rId119" Type="http://schemas.openxmlformats.org/officeDocument/2006/relationships/hyperlink" Target="https://cdn.jsdelivr.net/gh/EngineerX1234/vocational-images@main/tools/batch-05/agriculture-weighing-machine.jpg" TargetMode="External"/><Relationship Id="rId120" Type="http://schemas.openxmlformats.org/officeDocument/2006/relationships/hyperlink" Target="https://cdn.jsdelivr.net/gh/EngineerX1234/vocational-images@main/tools/batch-01/agriculture-disc-harrow.jpg" TargetMode="External"/><Relationship Id="rId121" Type="http://schemas.openxmlformats.org/officeDocument/2006/relationships/hyperlink" Target="https://cdn.jsdelivr.net/gh/EngineerX1234/vocational-images@main/tools/batch-03/agriculture-levellers.jpg" TargetMode="External"/><Relationship Id="rId122" Type="http://schemas.openxmlformats.org/officeDocument/2006/relationships/hyperlink" Target="https://cdn.jsdelivr.net/gh/EngineerX1234/vocational-images@main/tools/batch-03/agriculture-plough.jpg" TargetMode="External"/><Relationship Id="rId123" Type="http://schemas.openxmlformats.org/officeDocument/2006/relationships/hyperlink" Target="https://cdn.jsdelivr.net/gh/EngineerX1234/vocational-images@main/tools/batch-04/agriculture-pump-sets.jpg" TargetMode="External"/><Relationship Id="rId124" Type="http://schemas.openxmlformats.org/officeDocument/2006/relationships/hyperlink" Target="https://cdn.jsdelivr.net/gh/EngineerX1234/vocational-images@main/tools/batch-24/agriculture-rigid-tillers.jpg" TargetMode="External"/><Relationship Id="rId125" Type="http://schemas.openxmlformats.org/officeDocument/2006/relationships/hyperlink" Target="https://cdn.jsdelivr.net/gh/EngineerX1234/vocational-images@main/tools/batch-01/agriculture-cultivator.jpg" TargetMode="External"/><Relationship Id="rId126" Type="http://schemas.openxmlformats.org/officeDocument/2006/relationships/hyperlink" Target="https://cdn.jsdelivr.net/gh/EngineerX1234/vocational-images@main/tools/batch-01/agriculture-a-compact-spreader.jpg" TargetMode="External"/><Relationship Id="rId127" Type="http://schemas.openxmlformats.org/officeDocument/2006/relationships/hyperlink" Target="https://cdn.jsdelivr.net/gh/EngineerX1234/vocational-images@main/tools/batch-05/agriculture-tractor.jpg" TargetMode="External"/><Relationship Id="rId128" Type="http://schemas.openxmlformats.org/officeDocument/2006/relationships/hyperlink" Target="https://cdn.jsdelivr.net/gh/EngineerX1234/vocational-images@main/tools/batch-24/agriculture-sorting-machines.jpg" TargetMode="External"/><Relationship Id="rId129" Type="http://schemas.openxmlformats.org/officeDocument/2006/relationships/hyperlink" Target="https://cdn.jsdelivr.net/gh/EngineerX1234/vocational-images@main/tools/batch-04/agriculture-power-tiller.jpg" TargetMode="External"/><Relationship Id="rId130" Type="http://schemas.openxmlformats.org/officeDocument/2006/relationships/hyperlink" Target="https://cdn.jsdelivr.net/gh/EngineerX1234/vocational-images@main/tools/batch-03/agriculture-plastics-baskets.jpg" TargetMode="External"/><Relationship Id="rId131" Type="http://schemas.openxmlformats.org/officeDocument/2006/relationships/hyperlink" Target="https://cdn.jsdelivr.net/gh/EngineerX1234/vocational-images@main/tools/batch-01/agriculture-burdizzo-castrator.jpg" TargetMode="External"/><Relationship Id="rId132" Type="http://schemas.openxmlformats.org/officeDocument/2006/relationships/hyperlink" Target="https://cdn.jsdelivr.net/gh/EngineerX1234/vocational-images@main/tools/batch-05/agriculture-tagging-set.jpg" TargetMode="External"/><Relationship Id="rId133" Type="http://schemas.openxmlformats.org/officeDocument/2006/relationships/hyperlink" Target="https://cdn.jsdelivr.net/gh/EngineerX1234/vocational-images@main/tools/batch-05/agriculture-tattooing-set.jpg" TargetMode="External"/><Relationship Id="rId134" Type="http://schemas.openxmlformats.org/officeDocument/2006/relationships/hyperlink" Target="https://cdn.jsdelivr.net/gh/EngineerX1234/vocational-images@main/tools/batch-01/agriculture-branding-numbers.jpg" TargetMode="External"/><Relationship Id="rId135" Type="http://schemas.openxmlformats.org/officeDocument/2006/relationships/hyperlink" Target="https://cdn.jsdelivr.net/gh/EngineerX1234/vocational-images@main/tools/batch-01/agriculture-drenching-bottles.jpg" TargetMode="External"/><Relationship Id="rId136" Type="http://schemas.openxmlformats.org/officeDocument/2006/relationships/hyperlink" Target="https://cdn.jsdelivr.net/gh/EngineerX1234/vocational-images@main/tools/batch-03/agriculture-mouth-gags.jpg" TargetMode="External"/><Relationship Id="rId137" Type="http://schemas.openxmlformats.org/officeDocument/2006/relationships/hyperlink" Target="https://cdn.jsdelivr.net/gh/EngineerX1234/vocational-images@main/tools/batch-03/agriculture-muzzle.jpg" TargetMode="External"/><Relationship Id="rId138" Type="http://schemas.openxmlformats.org/officeDocument/2006/relationships/hyperlink" Target="https://cdn.jsdelivr.net/gh/EngineerX1234/vocational-images@main/tools/batch-26/agriculture-hoof-trimmer.jpg" TargetMode="External"/><Relationship Id="rId139" Type="http://schemas.openxmlformats.org/officeDocument/2006/relationships/hyperlink" Target="https://cdn.jsdelivr.net/gh/EngineerX1234/vocational-images@main/tools/batch-03/agriculture-metal-chains.jpg" TargetMode="External"/><Relationship Id="rId140" Type="http://schemas.openxmlformats.org/officeDocument/2006/relationships/hyperlink" Target="https://cdn.jsdelivr.net/gh/EngineerX1234/vocational-images@main/tools/batch-01/agriculture-bull-nose-ring.jpg" TargetMode="External"/><Relationship Id="rId141" Type="http://schemas.openxmlformats.org/officeDocument/2006/relationships/hyperlink" Target="https://cdn.jsdelivr.net/gh/EngineerX1234/vocational-images@main/tools/batch-01/agriculture-bull-nose-punch.jpg" TargetMode="External"/><Relationship Id="rId142" Type="http://schemas.openxmlformats.org/officeDocument/2006/relationships/hyperlink" Target="https://cdn.jsdelivr.net/gh/EngineerX1234/vocational-images@main/tools/batch-01/agriculture-bull-leader.jpg" TargetMode="External"/><Relationship Id="rId143" Type="http://schemas.openxmlformats.org/officeDocument/2006/relationships/hyperlink" Target="https://cdn.jsdelivr.net/gh/EngineerX1234/vocational-images@main/tools/batch-01/agriculture-animal-awakener.jpg" TargetMode="External"/><Relationship Id="rId144" Type="http://schemas.openxmlformats.org/officeDocument/2006/relationships/hyperlink" Target="https://cdn.jsdelivr.net/gh/EngineerX1234/vocational-images@main/tools/batch-26/agriculture-hose-pipe.jpg" TargetMode="External"/><Relationship Id="rId145" Type="http://schemas.openxmlformats.org/officeDocument/2006/relationships/hyperlink" Target="https://cdn.jsdelivr.net/gh/EngineerX1234/vocational-images@main/tools/batch-23/agriculture-grooming-brush.jpg" TargetMode="External"/><Relationship Id="rId146" Type="http://schemas.openxmlformats.org/officeDocument/2006/relationships/hyperlink" Target="https://cdn.jsdelivr.net/gh/EngineerX1234/vocational-images@main/tools/batch-03/agriculture-milking-bucket.jpg" TargetMode="External"/><Relationship Id="rId147" Type="http://schemas.openxmlformats.org/officeDocument/2006/relationships/hyperlink" Target="https://cdn.jsdelivr.net/gh/EngineerX1234/vocational-images@main/tools/batch-03/agriculture-milk-can.jpg" TargetMode="External"/><Relationship Id="rId148" Type="http://schemas.openxmlformats.org/officeDocument/2006/relationships/hyperlink" Target="https://cdn.jsdelivr.net/gh/EngineerX1234/vocational-images@main/tools/batch-03/agriculture-milk-strainer.jpg" TargetMode="External"/><Relationship Id="rId149" Type="http://schemas.openxmlformats.org/officeDocument/2006/relationships/hyperlink" Target="https://cdn.jsdelivr.net/gh/EngineerX1234/vocational-images@main/tools/batch-01/agriculture-broom.jpg" TargetMode="External"/><Relationship Id="rId150" Type="http://schemas.openxmlformats.org/officeDocument/2006/relationships/hyperlink" Target="https://cdn.jsdelivr.net/gh/EngineerX1234/vocational-images@main/tools/batch-05/agriculture-trocar-and-cannula.jpg" TargetMode="External"/><Relationship Id="rId151" Type="http://schemas.openxmlformats.org/officeDocument/2006/relationships/hyperlink" Target="https://cdn.jsdelivr.net/gh/EngineerX1234/vocational-images@main/tools/batch-01/agriculture-cmt-paddle.jpg" TargetMode="External"/><Relationship Id="rId152" Type="http://schemas.openxmlformats.org/officeDocument/2006/relationships/hyperlink" Target="https://cdn.jsdelivr.net/gh/EngineerX1234/vocational-images@main/tools/batch-02/agriculture-electric-dehorner.jpg" TargetMode="External"/><Relationship Id="rId153" Type="http://schemas.openxmlformats.org/officeDocument/2006/relationships/hyperlink" Target="https://cdn.jsdelivr.net/gh/EngineerX1234/vocational-images@main/tools/batch-01/agriculture-artificial-insemination-ai-cylinder.jpg" TargetMode="External"/><Relationship Id="rId154" Type="http://schemas.openxmlformats.org/officeDocument/2006/relationships/hyperlink" Target="https://cdn.jsdelivr.net/gh/EngineerX1234/vocational-images@main/tools/batch-01/agriculture-ai-gun.jpg" TargetMode="External"/><Relationship Id="rId155" Type="http://schemas.openxmlformats.org/officeDocument/2006/relationships/hyperlink" Target="https://cdn.jsdelivr.net/gh/EngineerX1234/vocational-images@main/tools/batch-03/agriculture-measuring-appliances.jpg" TargetMode="External"/><Relationship Id="rId156" Type="http://schemas.openxmlformats.org/officeDocument/2006/relationships/hyperlink" Target="https://cdn.jsdelivr.net/gh/EngineerX1234/vocational-images@main/tools/batch-01/agriculture-bull-exerciser.jpg" TargetMode="External"/><Relationship Id="rId157" Type="http://schemas.openxmlformats.org/officeDocument/2006/relationships/hyperlink" Target="https://cdn.jsdelivr.net/gh/EngineerX1234/vocational-images@main/tools/batch-05/agriculture-thermometer.jpg" TargetMode="External"/><Relationship Id="rId158" Type="http://schemas.openxmlformats.org/officeDocument/2006/relationships/hyperlink" Target="https://cdn.jsdelivr.net/gh/EngineerX1234/vocational-images@main/tools/batch-24/agriculture-ropes.jpg" TargetMode="External"/><Relationship Id="rId159" Type="http://schemas.openxmlformats.org/officeDocument/2006/relationships/hyperlink" Target="https://cdn.jsdelivr.net/gh/EngineerX1234/vocational-images@main/tools/batch-01/agriculture-auger.jpg" TargetMode="External"/><Relationship Id="rId160" Type="http://schemas.openxmlformats.org/officeDocument/2006/relationships/hyperlink" Target="https://cdn.jsdelivr.net/gh/EngineerX1234/vocational-images@main/tools/batch-01/agriculture-digging-spade.jpg" TargetMode="External"/><Relationship Id="rId161" Type="http://schemas.openxmlformats.org/officeDocument/2006/relationships/hyperlink" Target="https://cdn.jsdelivr.net/gh/EngineerX1234/vocational-images@main/tools/batch-26/agriculture-hoe.jpg" TargetMode="External"/><Relationship Id="rId162" Type="http://schemas.openxmlformats.org/officeDocument/2006/relationships/hyperlink" Target="https://cdn.jsdelivr.net/gh/EngineerX1234/vocational-images@main/tools/batch-03/agriculture-levellers.jpg" TargetMode="External"/><Relationship Id="rId163" Type="http://schemas.openxmlformats.org/officeDocument/2006/relationships/hyperlink" Target="https://cdn.jsdelivr.net/gh/EngineerX1234/vocational-images@main/tools/batch-03/agriculture-plastics-baskets.jpg" TargetMode="External"/><Relationship Id="rId164" Type="http://schemas.openxmlformats.org/officeDocument/2006/relationships/hyperlink" Target="https://cdn.jsdelivr.net/gh/EngineerX1234/vocational-images@main/tools/batch-03/agriculture-kodali.jpg" TargetMode="External"/><Relationship Id="rId165" Type="http://schemas.openxmlformats.org/officeDocument/2006/relationships/hyperlink" Target="https://cdn.jsdelivr.net/gh/EngineerX1234/vocational-images@main/tools/batch-04/agriculture-pronged-hoes.jpg" TargetMode="External"/><Relationship Id="rId166" Type="http://schemas.openxmlformats.org/officeDocument/2006/relationships/hyperlink" Target="https://cdn.jsdelivr.net/gh/EngineerX1234/vocational-images@main/tools/batch-24/agriculture-spade.jpg" TargetMode="External"/><Relationship Id="rId167" Type="http://schemas.openxmlformats.org/officeDocument/2006/relationships/hyperlink" Target="https://cdn.jsdelivr.net/gh/EngineerX1234/vocational-images@main/tools/batch-23/agriculture-fork.jpg" TargetMode="External"/><Relationship Id="rId168" Type="http://schemas.openxmlformats.org/officeDocument/2006/relationships/hyperlink" Target="https://cdn.jsdelivr.net/gh/EngineerX1234/vocational-images@main/tools/batch-26/agriculture-hoe-cum-rack.jpg" TargetMode="External"/><Relationship Id="rId169" Type="http://schemas.openxmlformats.org/officeDocument/2006/relationships/hyperlink" Target="https://cdn.jsdelivr.net/gh/EngineerX1234/vocational-images@main/tools/batch-24/agriculture-shovel.jpg" TargetMode="External"/><Relationship Id="rId170" Type="http://schemas.openxmlformats.org/officeDocument/2006/relationships/hyperlink" Target="https://cdn.jsdelivr.net/gh/EngineerX1234/vocational-images@main/tools/batch-23/agriculture-garden-rake.jpg" TargetMode="External"/><Relationship Id="rId171" Type="http://schemas.openxmlformats.org/officeDocument/2006/relationships/hyperlink" Target="https://cdn.jsdelivr.net/gh/EngineerX1234/vocational-images@main/tools/batch-26/agriculture-hand-leveller.jpg" TargetMode="External"/><Relationship Id="rId172" Type="http://schemas.openxmlformats.org/officeDocument/2006/relationships/hyperlink" Target="https://cdn.jsdelivr.net/gh/EngineerX1234/vocational-images@main/tools/batch-01/agriculture-crow-bar.jpg" TargetMode="External"/><Relationship Id="rId173" Type="http://schemas.openxmlformats.org/officeDocument/2006/relationships/hyperlink" Target="https://cdn.jsdelivr.net/gh/EngineerX1234/vocational-images@main/tools/batch-01/agriculture-axe.jpg" TargetMode="External"/><Relationship Id="rId174" Type="http://schemas.openxmlformats.org/officeDocument/2006/relationships/hyperlink" Target="https://cdn.jsdelivr.net/gh/EngineerX1234/vocational-images@main/tools/batch-01/agriculture-budding-knife.jpg" TargetMode="External"/><Relationship Id="rId175" Type="http://schemas.openxmlformats.org/officeDocument/2006/relationships/hyperlink" Target="https://cdn.jsdelivr.net/gh/EngineerX1234/vocational-images@main/tools/batch-23/agriculture-grafting-knife.jpg" TargetMode="External"/><Relationship Id="rId176" Type="http://schemas.openxmlformats.org/officeDocument/2006/relationships/hyperlink" Target="https://cdn.jsdelivr.net/gh/EngineerX1234/vocational-images@main/tools/batch-01/agriculture-budding-and-grafting-knife.jpg" TargetMode="External"/><Relationship Id="rId177" Type="http://schemas.openxmlformats.org/officeDocument/2006/relationships/hyperlink" Target="https://cdn.jsdelivr.net/gh/EngineerX1234/vocational-images@main/tools/batch-04/agriculture-pruning-knife.jpg" TargetMode="External"/><Relationship Id="rId178" Type="http://schemas.openxmlformats.org/officeDocument/2006/relationships/hyperlink" Target="https://cdn.jsdelivr.net/gh/EngineerX1234/vocational-images@main/tools/batch-24/agriculture-secateur.jpg" TargetMode="External"/><Relationship Id="rId179" Type="http://schemas.openxmlformats.org/officeDocument/2006/relationships/hyperlink" Target="https://cdn.jsdelivr.net/gh/EngineerX1234/vocational-images@main/tools/batch-04/agriculture-pruning-saw.jpg" TargetMode="External"/><Relationship Id="rId180" Type="http://schemas.openxmlformats.org/officeDocument/2006/relationships/hyperlink" Target="https://cdn.jsdelivr.net/gh/EngineerX1234/vocational-images@main/tools/batch-26/agriculture-hedge-shear.jpg" TargetMode="External"/><Relationship Id="rId181" Type="http://schemas.openxmlformats.org/officeDocument/2006/relationships/hyperlink" Target="https://cdn.jsdelivr.net/gh/EngineerX1234/vocational-images@main/tools/batch-05/agriculture-tree-pruner.jpg" TargetMode="External"/><Relationship Id="rId182" Type="http://schemas.openxmlformats.org/officeDocument/2006/relationships/hyperlink" Target="https://cdn.jsdelivr.net/gh/EngineerX1234/vocational-images@main/tools/batch-03/agriculture-lopping-shear.jpg" TargetMode="External"/><Relationship Id="rId183" Type="http://schemas.openxmlformats.org/officeDocument/2006/relationships/hyperlink" Target="https://cdn.jsdelivr.net/gh/EngineerX1234/vocational-images@main/tools/batch-23/agriculture-grass-shear.jpg" TargetMode="External"/><Relationship Id="rId184" Type="http://schemas.openxmlformats.org/officeDocument/2006/relationships/hyperlink" Target="https://cdn.jsdelivr.net/gh/EngineerX1234/vocational-images@main/tools/batch-26/agriculture-khurpi.jpg" TargetMode="External"/><Relationship Id="rId185" Type="http://schemas.openxmlformats.org/officeDocument/2006/relationships/hyperlink" Target="https://cdn.jsdelivr.net/gh/EngineerX1234/vocational-images@main/tools/batch-05/agriculture-weeding-hook.jpg" TargetMode="External"/><Relationship Id="rId186" Type="http://schemas.openxmlformats.org/officeDocument/2006/relationships/hyperlink" Target="https://cdn.jsdelivr.net/gh/EngineerX1234/vocational-images@main/tools/batch-24/agriculture-straight-blade-hand-hoe.jpg" TargetMode="External"/><Relationship Id="rId187" Type="http://schemas.openxmlformats.org/officeDocument/2006/relationships/hyperlink" Target="https://cdn.jsdelivr.net/gh/EngineerX1234/vocational-images@main/tools/batch-26/agriculture-hand-cultivator.jpg" TargetMode="External"/><Relationship Id="rId188" Type="http://schemas.openxmlformats.org/officeDocument/2006/relationships/hyperlink" Target="https://cdn.jsdelivr.net/gh/EngineerX1234/vocational-images@main/tools/batch-24/agriculture-sickle.jpg" TargetMode="External"/><Relationship Id="rId189" Type="http://schemas.openxmlformats.org/officeDocument/2006/relationships/hyperlink" Target="https://cdn.jsdelivr.net/gh/EngineerX1234/vocational-images@main/tools/batch-01/agriculture-cutting-knife.jpg" TargetMode="External"/><Relationship Id="rId190" Type="http://schemas.openxmlformats.org/officeDocument/2006/relationships/hyperlink" Target="https://cdn.jsdelivr.net/gh/EngineerX1234/vocational-images@main/tools/batch-03/agriculture-peeling-knife.jpg" TargetMode="External"/><Relationship Id="rId191" Type="http://schemas.openxmlformats.org/officeDocument/2006/relationships/hyperlink" Target="https://cdn.jsdelivr.net/gh/EngineerX1234/vocational-images@main/tools/batch-01/agriculture-coring-knife.jpg" TargetMode="External"/><Relationship Id="rId192" Type="http://schemas.openxmlformats.org/officeDocument/2006/relationships/hyperlink" Target="https://cdn.jsdelivr.net/gh/EngineerX1234/vocational-images@main/tools/batch-01/agriculture-can-opener.jpg" TargetMode="External"/><Relationship Id="rId193" Type="http://schemas.openxmlformats.org/officeDocument/2006/relationships/hyperlink" Target="https://cdn.jsdelivr.net/gh/EngineerX1234/vocational-images@main/tools/batch-26/agriculture-hand-rotary-sieve.jpg" TargetMode="External"/><Relationship Id="rId194" Type="http://schemas.openxmlformats.org/officeDocument/2006/relationships/hyperlink" Target="https://cdn.jsdelivr.net/gh/EngineerX1234/vocational-images@main/tools/batch-26/agriculture-hand-tools-like-shovels-rakes-scythes-picks.jpg" TargetMode="External"/><Relationship Id="rId195" Type="http://schemas.openxmlformats.org/officeDocument/2006/relationships/hyperlink" Target="https://cdn.jsdelivr.net/gh/EngineerX1234/vocational-images@main/tools/batch-03/agriculture-knapsack-sprayer.jpg" TargetMode="External"/><Relationship Id="rId196" Type="http://schemas.openxmlformats.org/officeDocument/2006/relationships/hyperlink" Target="https://cdn.jsdelivr.net/gh/EngineerX1234/vocational-images@main/tools/batch-24/agriculture-rocker-sprayer.jpg" TargetMode="External"/><Relationship Id="rId197" Type="http://schemas.openxmlformats.org/officeDocument/2006/relationships/hyperlink" Target="https://cdn.jsdelivr.net/gh/EngineerX1234/vocational-images@main/tools/batch-23/agriculture-foot-sprayer.jpg" TargetMode="External"/><Relationship Id="rId198" Type="http://schemas.openxmlformats.org/officeDocument/2006/relationships/hyperlink" Target="https://cdn.jsdelivr.net/gh/EngineerX1234/vocational-images@main/tools/batch-26/agriculture-hand-sprayer.jpg" TargetMode="External"/><Relationship Id="rId199" Type="http://schemas.openxmlformats.org/officeDocument/2006/relationships/hyperlink" Target="https://cdn.jsdelivr.net/gh/EngineerX1234/vocational-images@main/tools/batch-26/agriculture-hand-rotary-duster.jpg" TargetMode="External"/><Relationship Id="rId200" Type="http://schemas.openxmlformats.org/officeDocument/2006/relationships/hyperlink" Target="https://cdn.jsdelivr.net/gh/EngineerX1234/vocational-images@main/tools/batch-26/agriculture-hedge-cutter.jpg" TargetMode="External"/><Relationship Id="rId201" Type="http://schemas.openxmlformats.org/officeDocument/2006/relationships/hyperlink" Target="https://cdn.jsdelivr.net/gh/EngineerX1234/vocational-images@main/tools/batch-26/agriculture-hydrometer.jpg" TargetMode="External"/><Relationship Id="rId202" Type="http://schemas.openxmlformats.org/officeDocument/2006/relationships/hyperlink" Target="https://cdn.jsdelivr.net/gh/EngineerX1234/vocational-images@main/tools/batch-01/agriculture-can-sealer.jpg" TargetMode="External"/><Relationship Id="rId203" Type="http://schemas.openxmlformats.org/officeDocument/2006/relationships/hyperlink" Target="https://cdn.jsdelivr.net/gh/EngineerX1234/vocational-images@main/tools/batch-01/agriculture-dehydrator.jpg" TargetMode="External"/><Relationship Id="rId204" Type="http://schemas.openxmlformats.org/officeDocument/2006/relationships/hyperlink" Target="https://cdn.jsdelivr.net/gh/EngineerX1234/vocational-images@main/tools/batch-01/agriculture-crown-corking-machine.jpg" TargetMode="External"/><Relationship Id="rId205" Type="http://schemas.openxmlformats.org/officeDocument/2006/relationships/hyperlink" Target="https://cdn.jsdelivr.net/gh/EngineerX1234/vocational-images@main/tools/batch-23/agriculture-forking-machine.jpg" TargetMode="External"/><Relationship Id="rId206" Type="http://schemas.openxmlformats.org/officeDocument/2006/relationships/hyperlink" Target="https://cdn.jsdelivr.net/gh/EngineerX1234/vocational-images@main/tools/batch-26/agriculture-hand-refractometer.jpg" TargetMode="External"/><Relationship Id="rId207" Type="http://schemas.openxmlformats.org/officeDocument/2006/relationships/hyperlink" Target="https://cdn.jsdelivr.net/gh/EngineerX1234/vocational-images@main/tools/batch-24/agriculture-screw-type-juice-extractor.jpg" TargetMode="External"/><Relationship Id="rId208" Type="http://schemas.openxmlformats.org/officeDocument/2006/relationships/hyperlink" Target="https://cdn.jsdelivr.net/gh/EngineerX1234/vocational-images@main/tools/batch-24/agriculture-soil-testing-kit.jpg" TargetMode="External"/><Relationship Id="rId209" Type="http://schemas.openxmlformats.org/officeDocument/2006/relationships/hyperlink" Target="https://cdn.jsdelivr.net/gh/EngineerX1234/vocational-images@main/tools/batch-03/agriculture-measuring-cylinder.jpg" TargetMode="External"/><Relationship Id="rId210" Type="http://schemas.openxmlformats.org/officeDocument/2006/relationships/hyperlink" Target="https://cdn.jsdelivr.net/gh/EngineerX1234/vocational-images@main/tools/batch-05/agriculture-weighing-machine.jpg" TargetMode="External"/><Relationship Id="rId211" Type="http://schemas.openxmlformats.org/officeDocument/2006/relationships/hyperlink" Target="https://cdn.jsdelivr.net/gh/EngineerX1234/vocational-images@main/tools/batch-01/agriculture-disc-harrow.jpg" TargetMode="External"/><Relationship Id="rId212" Type="http://schemas.openxmlformats.org/officeDocument/2006/relationships/hyperlink" Target="https://cdn.jsdelivr.net/gh/EngineerX1234/vocational-images@main/tools/batch-03/agriculture-plough.jpg" TargetMode="External"/><Relationship Id="rId213" Type="http://schemas.openxmlformats.org/officeDocument/2006/relationships/hyperlink" Target="https://cdn.jsdelivr.net/gh/EngineerX1234/vocational-images@main/tools/batch-04/agriculture-pump-sets.jpg" TargetMode="External"/><Relationship Id="rId214" Type="http://schemas.openxmlformats.org/officeDocument/2006/relationships/hyperlink" Target="https://cdn.jsdelivr.net/gh/EngineerX1234/vocational-images@main/tools/batch-24/agriculture-rigid-tillers.jpg" TargetMode="External"/><Relationship Id="rId215" Type="http://schemas.openxmlformats.org/officeDocument/2006/relationships/hyperlink" Target="https://cdn.jsdelivr.net/gh/EngineerX1234/vocational-images@main/tools/batch-01/agriculture-cultivator.jpg" TargetMode="External"/><Relationship Id="rId216" Type="http://schemas.openxmlformats.org/officeDocument/2006/relationships/hyperlink" Target="https://cdn.jsdelivr.net/gh/EngineerX1234/vocational-images@main/tools/batch-01/agriculture-a-compact-spreader.jpg" TargetMode="External"/><Relationship Id="rId217" Type="http://schemas.openxmlformats.org/officeDocument/2006/relationships/hyperlink" Target="https://cdn.jsdelivr.net/gh/EngineerX1234/vocational-images@main/tools/batch-05/agriculture-tractor.jpg" TargetMode="External"/><Relationship Id="rId218" Type="http://schemas.openxmlformats.org/officeDocument/2006/relationships/hyperlink" Target="https://cdn.jsdelivr.net/gh/EngineerX1234/vocational-images@main/tools/batch-24/agriculture-sorting-machines.jpg" TargetMode="External"/><Relationship Id="rId219" Type="http://schemas.openxmlformats.org/officeDocument/2006/relationships/hyperlink" Target="https://cdn.jsdelivr.net/gh/EngineerX1234/vocational-images@main/tools/batch-04/agriculture-power-tiller.jpg" TargetMode="External"/><Relationship Id="rId220" Type="http://schemas.openxmlformats.org/officeDocument/2006/relationships/hyperlink" Target="https://cdn.jsdelivr.net/gh/EngineerX1234/vocational-images@main/tools/batch-03/agriculture-power-sprayer.jpg" TargetMode="External"/><Relationship Id="rId221" Type="http://schemas.openxmlformats.org/officeDocument/2006/relationships/hyperlink" Target="https://cdn.jsdelivr.net/gh/EngineerX1234/vocational-images@main/tools/batch-01/agriculture-auger.jpg" TargetMode="External"/><Relationship Id="rId222" Type="http://schemas.openxmlformats.org/officeDocument/2006/relationships/hyperlink" Target="https://cdn.jsdelivr.net/gh/EngineerX1234/vocational-images@main/tools/batch-01/agriculture-digging-spade.jpg" TargetMode="External"/><Relationship Id="rId223" Type="http://schemas.openxmlformats.org/officeDocument/2006/relationships/hyperlink" Target="https://cdn.jsdelivr.net/gh/EngineerX1234/vocational-images@main/tools/batch-26/agriculture-hoe.jpg" TargetMode="External"/><Relationship Id="rId224" Type="http://schemas.openxmlformats.org/officeDocument/2006/relationships/hyperlink" Target="https://cdn.jsdelivr.net/gh/EngineerX1234/vocational-images@main/tools/batch-03/agriculture-long-handle-hoes.jpg" TargetMode="External"/><Relationship Id="rId225" Type="http://schemas.openxmlformats.org/officeDocument/2006/relationships/hyperlink" Target="https://cdn.jsdelivr.net/gh/EngineerX1234/vocational-images@main/tools/batch-03/agriculture-plastics-baskets.jpg" TargetMode="External"/><Relationship Id="rId226" Type="http://schemas.openxmlformats.org/officeDocument/2006/relationships/hyperlink" Target="https://cdn.jsdelivr.net/gh/EngineerX1234/vocational-images@main/tools/batch-05/agriculture-trowels.jpg" TargetMode="External"/><Relationship Id="rId227" Type="http://schemas.openxmlformats.org/officeDocument/2006/relationships/hyperlink" Target="https://cdn.jsdelivr.net/gh/EngineerX1234/vocational-images@main/tools/batch-01/agriculture-cono-weeder.jpg" TargetMode="External"/><Relationship Id="rId228" Type="http://schemas.openxmlformats.org/officeDocument/2006/relationships/hyperlink" Target="https://cdn.jsdelivr.net/gh/EngineerX1234/vocational-images@main/tools/batch-03/agriculture-knapsack-sprayer.jpg" TargetMode="External"/><Relationship Id="rId229" Type="http://schemas.openxmlformats.org/officeDocument/2006/relationships/hyperlink" Target="https://cdn.jsdelivr.net/gh/EngineerX1234/vocational-images@main/tools/batch-24/agriculture-seed-treating-equipment.jpg" TargetMode="External"/><Relationship Id="rId230" Type="http://schemas.openxmlformats.org/officeDocument/2006/relationships/hyperlink" Target="https://cdn.jsdelivr.net/gh/EngineerX1234/vocational-images@main/tools/batch-24/agriculture-soil-testing-kit.jpg" TargetMode="External"/><Relationship Id="rId231" Type="http://schemas.openxmlformats.org/officeDocument/2006/relationships/hyperlink" Target="https://cdn.jsdelivr.net/gh/EngineerX1234/vocational-images@main/tools/batch-03/agriculture-measuring-cylinder.jpg" TargetMode="External"/><Relationship Id="rId232" Type="http://schemas.openxmlformats.org/officeDocument/2006/relationships/hyperlink" Target="https://cdn.jsdelivr.net/gh/EngineerX1234/vocational-images@main/tools/batch-03/agriculture-power-sprayer.jpg" TargetMode="External"/><Relationship Id="rId233" Type="http://schemas.openxmlformats.org/officeDocument/2006/relationships/hyperlink" Target="https://cdn.jsdelivr.net/gh/EngineerX1234/vocational-images@main/tools/batch-05/agriculture-weighing-machine.jpg" TargetMode="External"/><Relationship Id="rId234" Type="http://schemas.openxmlformats.org/officeDocument/2006/relationships/hyperlink" Target="https://cdn.jsdelivr.net/gh/EngineerX1234/vocational-images@main/tools/batch-03/agriculture-moisture-meter.jpg" TargetMode="External"/><Relationship Id="rId235" Type="http://schemas.openxmlformats.org/officeDocument/2006/relationships/hyperlink" Target="https://cdn.jsdelivr.net/gh/EngineerX1234/vocational-images@main/tools/batch-01/agriculture-disc-harrow.jpg" TargetMode="External"/><Relationship Id="rId236" Type="http://schemas.openxmlformats.org/officeDocument/2006/relationships/hyperlink" Target="https://cdn.jsdelivr.net/gh/EngineerX1234/vocational-images@main/tools/batch-03/agriculture-levellers.jpg" TargetMode="External"/><Relationship Id="rId237" Type="http://schemas.openxmlformats.org/officeDocument/2006/relationships/hyperlink" Target="https://cdn.jsdelivr.net/gh/EngineerX1234/vocational-images@main/tools/batch-03/agriculture-paddy-thresher.jpg" TargetMode="External"/><Relationship Id="rId238" Type="http://schemas.openxmlformats.org/officeDocument/2006/relationships/hyperlink" Target="https://cdn.jsdelivr.net/gh/EngineerX1234/vocational-images@main/tools/batch-03/agriculture-plough.jpg" TargetMode="External"/><Relationship Id="rId239" Type="http://schemas.openxmlformats.org/officeDocument/2006/relationships/hyperlink" Target="https://cdn.jsdelivr.net/gh/EngineerX1234/vocational-images@main/tools/batch-04/agriculture-pump-sets.jpg" TargetMode="External"/><Relationship Id="rId240" Type="http://schemas.openxmlformats.org/officeDocument/2006/relationships/hyperlink" Target="https://cdn.jsdelivr.net/gh/EngineerX1234/vocational-images@main/tools/batch-24/agriculture-rigid-tillers.jpg" TargetMode="External"/><Relationship Id="rId241" Type="http://schemas.openxmlformats.org/officeDocument/2006/relationships/hyperlink" Target="https://cdn.jsdelivr.net/gh/EngineerX1234/vocational-images@main/tools/batch-24/agriculture-rotary-tiller.jpg" TargetMode="External"/><Relationship Id="rId242" Type="http://schemas.openxmlformats.org/officeDocument/2006/relationships/hyperlink" Target="https://cdn.jsdelivr.net/gh/EngineerX1234/vocational-images@main/tools/batch-24/agriculture-seed-cum-fertilizer-drill.jpg" TargetMode="External"/><Relationship Id="rId243" Type="http://schemas.openxmlformats.org/officeDocument/2006/relationships/hyperlink" Target="https://cdn.jsdelivr.net/gh/EngineerX1234/vocational-images@main/tools/batch-24/agriculture-straw-reaper.jpg" TargetMode="External"/><Relationship Id="rId244" Type="http://schemas.openxmlformats.org/officeDocument/2006/relationships/hyperlink" Target="https://cdn.jsdelivr.net/gh/EngineerX1234/vocational-images@main/tools/batch-05/agriculture-tractor.jpg" TargetMode="External"/><Relationship Id="rId245" Type="http://schemas.openxmlformats.org/officeDocument/2006/relationships/hyperlink" Target="https://cdn.jsdelivr.net/gh/EngineerX1234/vocational-images@main/tools/batch-03/agriculture-paddy-rotrivator.jpg" TargetMode="External"/><Relationship Id="rId246" Type="http://schemas.openxmlformats.org/officeDocument/2006/relationships/hyperlink" Target="https://cdn.jsdelivr.net/gh/EngineerX1234/vocational-images@main/tools/batch-03/agriculture-paddy-drum-seeder.jpg" TargetMode="External"/><Relationship Id="rId247" Type="http://schemas.openxmlformats.org/officeDocument/2006/relationships/hyperlink" Target="https://cdn.jsdelivr.net/gh/EngineerX1234/vocational-images@main/tools/batch-03/agriculture-paddy-transplanter.jpg" TargetMode="External"/><Relationship Id="rId248" Type="http://schemas.openxmlformats.org/officeDocument/2006/relationships/hyperlink" Target="https://cdn.jsdelivr.net/gh/EngineerX1234/vocational-images@main/tools/batch-04/agriculture-power-tiller.jpg" TargetMode="External"/><Relationship Id="rId249" Type="http://schemas.openxmlformats.org/officeDocument/2006/relationships/hyperlink" Target="https://cdn.jsdelivr.net/gh/EngineerX1234/vocational-images@main/tools/batch-26/agriculture-improved-paddy-biasi-plough.jpg" TargetMode="External"/><Relationship Id="rId250" Type="http://schemas.openxmlformats.org/officeDocument/2006/relationships/hyperlink" Target="https://cdn.jsdelivr.net/gh/EngineerX1234/vocational-images@main/tools/batch-03/agriculture-paddy-cultivator-and-puddler.jpg" TargetMode="External"/><Relationship Id="rId251" Type="http://schemas.openxmlformats.org/officeDocument/2006/relationships/hyperlink" Target="https://cdn.jsdelivr.net/gh/EngineerX1234/vocational-images@main/tools/batch-03/agriculture-paddy-combiner-small.jpg" TargetMode="External"/><Relationship Id="rId252" Type="http://schemas.openxmlformats.org/officeDocument/2006/relationships/hyperlink" Target="https://cdn.jsdelivr.net/gh/EngineerX1234/vocational-images@main/tools/batch-03/agriculture-paddy-reaper.jpg" TargetMode="External"/><Relationship Id="rId253" Type="http://schemas.openxmlformats.org/officeDocument/2006/relationships/hyperlink" Target="https://cdn.jsdelivr.net/gh/EngineerX1234/vocational-images@main/tools/batch-23/agriculture-garden-hand-tools.jpg" TargetMode="External"/><Relationship Id="rId254" Type="http://schemas.openxmlformats.org/officeDocument/2006/relationships/hyperlink" Target="https://cdn.jsdelivr.net/gh/EngineerX1234/vocational-images@main/tools/batch-23/agriculture-garden-hoes.jpg" TargetMode="External"/><Relationship Id="rId255" Type="http://schemas.openxmlformats.org/officeDocument/2006/relationships/hyperlink" Target="https://cdn.jsdelivr.net/gh/EngineerX1234/vocational-images@main/tools/batch-23/agriculture-garden-knife.jpg" TargetMode="External"/><Relationship Id="rId256" Type="http://schemas.openxmlformats.org/officeDocument/2006/relationships/hyperlink" Target="https://cdn.jsdelivr.net/gh/EngineerX1234/vocational-images@main/tools/batch-23/agriculture-garden-rake.jpg" TargetMode="External"/><Relationship Id="rId257" Type="http://schemas.openxmlformats.org/officeDocument/2006/relationships/hyperlink" Target="https://cdn.jsdelivr.net/gh/EngineerX1234/vocational-images@main/tools/batch-23/agriculture-garden-digging-fork.jpg" TargetMode="External"/><Relationship Id="rId258" Type="http://schemas.openxmlformats.org/officeDocument/2006/relationships/hyperlink" Target="https://cdn.jsdelivr.net/gh/EngineerX1234/vocational-images@main/tools/batch-23/agriculture-garden-digging-spade.jpg" TargetMode="External"/><Relationship Id="rId259" Type="http://schemas.openxmlformats.org/officeDocument/2006/relationships/hyperlink" Target="https://cdn.jsdelivr.net/gh/EngineerX1234/vocational-images@main/tools/batch-26/agriculture-hand-screens-sieves.jpg" TargetMode="External"/><Relationship Id="rId260" Type="http://schemas.openxmlformats.org/officeDocument/2006/relationships/hyperlink" Target="https://cdn.jsdelivr.net/gh/EngineerX1234/vocational-images@main/tools/batch-26/agriculture-hoe.jpg" TargetMode="External"/><Relationship Id="rId261" Type="http://schemas.openxmlformats.org/officeDocument/2006/relationships/hyperlink" Target="https://cdn.jsdelivr.net/gh/EngineerX1234/vocational-images@main/tools/batch-26/agriculture-hori-hori-knife.jpg" TargetMode="External"/><Relationship Id="rId262" Type="http://schemas.openxmlformats.org/officeDocument/2006/relationships/hyperlink" Target="https://cdn.jsdelivr.net/gh/EngineerX1234/vocational-images@main/tools/batch-03/agriculture-leaf-rake.jpg" TargetMode="External"/><Relationship Id="rId263" Type="http://schemas.openxmlformats.org/officeDocument/2006/relationships/hyperlink" Target="https://cdn.jsdelivr.net/gh/EngineerX1234/vocational-images@main/tools/batch-03/agriculture-long-handle-hoes.jpg" TargetMode="External"/><Relationship Id="rId264" Type="http://schemas.openxmlformats.org/officeDocument/2006/relationships/hyperlink" Target="https://cdn.jsdelivr.net/gh/EngineerX1234/vocational-images@main/tools/batch-03/agriculture-loppers-or-pruning-saw.jpg" TargetMode="External"/><Relationship Id="rId265" Type="http://schemas.openxmlformats.org/officeDocument/2006/relationships/hyperlink" Target="https://cdn.jsdelivr.net/gh/EngineerX1234/vocational-images@main/tools/batch-03/agriculture-plastics-baskets.jpg" TargetMode="External"/><Relationship Id="rId266" Type="http://schemas.openxmlformats.org/officeDocument/2006/relationships/hyperlink" Target="https://cdn.jsdelivr.net/gh/EngineerX1234/vocational-images@main/tools/batch-04/agriculture-pruners.jpg" TargetMode="External"/><Relationship Id="rId267" Type="http://schemas.openxmlformats.org/officeDocument/2006/relationships/hyperlink" Target="https://cdn.jsdelivr.net/gh/EngineerX1234/vocational-images@main/tools/batch-26/agriculture-rabbiting-spade.jpg" TargetMode="External"/><Relationship Id="rId268" Type="http://schemas.openxmlformats.org/officeDocument/2006/relationships/hyperlink" Target="https://cdn.jsdelivr.net/gh/EngineerX1234/vocational-images@main/tools/batch-24/agriculture-shovels-and-specialty-spades.jpg" TargetMode="External"/><Relationship Id="rId269" Type="http://schemas.openxmlformats.org/officeDocument/2006/relationships/hyperlink" Target="https://cdn.jsdelivr.net/gh/EngineerX1234/vocational-images@main/tools/batch-24/agriculture-soil-scoop.jpg" TargetMode="External"/><Relationship Id="rId270" Type="http://schemas.openxmlformats.org/officeDocument/2006/relationships/hyperlink" Target="https://cdn.jsdelivr.net/gh/EngineerX1234/vocational-images@main/tools/batch-02/agriculture-dutch-hand-hoe.jpg" TargetMode="External"/><Relationship Id="rId271" Type="http://schemas.openxmlformats.org/officeDocument/2006/relationships/hyperlink" Target="https://cdn.jsdelivr.net/gh/EngineerX1234/vocational-images@main/tools/batch-05/agriculture-trowels.jpg" TargetMode="External"/><Relationship Id="rId272" Type="http://schemas.openxmlformats.org/officeDocument/2006/relationships/hyperlink" Target="https://cdn.jsdelivr.net/gh/EngineerX1234/vocational-images@main/tools/batch-05/agriculture-water-hose.jpg" TargetMode="External"/><Relationship Id="rId273" Type="http://schemas.openxmlformats.org/officeDocument/2006/relationships/hyperlink" Target="https://cdn.jsdelivr.net/gh/EngineerX1234/vocational-images@main/tools/batch-05/agriculture-watering-can.jpg" TargetMode="External"/><Relationship Id="rId274" Type="http://schemas.openxmlformats.org/officeDocument/2006/relationships/hyperlink" Target="https://cdn.jsdelivr.net/gh/EngineerX1234/vocational-images@main/tools/batch-05/agriculture-wheelbarrow-or-garden-cart.jpg" TargetMode="External"/><Relationship Id="rId275" Type="http://schemas.openxmlformats.org/officeDocument/2006/relationships/hyperlink" Target="https://cdn.jsdelivr.net/gh/EngineerX1234/vocational-images@main/tools/batch-03/agriculture-knapsack-sprayer.jpg" TargetMode="External"/><Relationship Id="rId276" Type="http://schemas.openxmlformats.org/officeDocument/2006/relationships/hyperlink" Target="https://cdn.jsdelivr.net/gh/EngineerX1234/vocational-images@main/tools/batch-24/agriculture-seed-cleaner.jpg" TargetMode="External"/><Relationship Id="rId277" Type="http://schemas.openxmlformats.org/officeDocument/2006/relationships/hyperlink" Target="https://cdn.jsdelivr.net/gh/EngineerX1234/vocational-images@main/tools/batch-24/agriculture-seed-treating-equipment.jpg" TargetMode="External"/><Relationship Id="rId278" Type="http://schemas.openxmlformats.org/officeDocument/2006/relationships/hyperlink" Target="https://cdn.jsdelivr.net/gh/EngineerX1234/vocational-images@main/tools/batch-24/agriculture-sprinkler-irrigation-unit.jpg" TargetMode="External"/><Relationship Id="rId279" Type="http://schemas.openxmlformats.org/officeDocument/2006/relationships/hyperlink" Target="https://cdn.jsdelivr.net/gh/EngineerX1234/vocational-images@main/tools/batch-02/agriculture-drip-irrigation-unit.jpg" TargetMode="External"/><Relationship Id="rId280" Type="http://schemas.openxmlformats.org/officeDocument/2006/relationships/hyperlink" Target="https://cdn.jsdelivr.net/gh/EngineerX1234/vocational-images@main/tools/batch-25/apparel-needle-threader.jpg" TargetMode="External"/><Relationship Id="rId281" Type="http://schemas.openxmlformats.org/officeDocument/2006/relationships/hyperlink" Target="https://cdn.jsdelivr.net/gh/EngineerX1234/vocational-images@main/tools/batch-25/apparel-seam-ripper.jpg" TargetMode="External"/><Relationship Id="rId282" Type="http://schemas.openxmlformats.org/officeDocument/2006/relationships/hyperlink" Target="https://cdn.jsdelivr.net/gh/EngineerX1234/vocational-images@main/tools/batch-25/apparel-sharpener.jpg" TargetMode="External"/><Relationship Id="rId283" Type="http://schemas.openxmlformats.org/officeDocument/2006/relationships/hyperlink" Target="https://cdn.jsdelivr.net/gh/EngineerX1234/vocational-images@main/tools/batch-25/apparel-scissors.jpg" TargetMode="External"/><Relationship Id="rId284" Type="http://schemas.openxmlformats.org/officeDocument/2006/relationships/hyperlink" Target="https://cdn.jsdelivr.net/gh/EngineerX1234/vocational-images@main/tools/batch-25/apparel-thimble.jpg" TargetMode="External"/><Relationship Id="rId285" Type="http://schemas.openxmlformats.org/officeDocument/2006/relationships/hyperlink" Target="https://cdn.jsdelivr.net/gh/EngineerX1234/vocational-images@main/tools/batch-25/apparel-measuring-tape.jpg" TargetMode="External"/><Relationship Id="rId286" Type="http://schemas.openxmlformats.org/officeDocument/2006/relationships/hyperlink" Target="https://cdn.jsdelivr.net/gh/EngineerX1234/vocational-images@main/tools/batch-15/handicrafts-and-carpet-iron.jpg" TargetMode="External"/><Relationship Id="rId287" Type="http://schemas.openxmlformats.org/officeDocument/2006/relationships/hyperlink" Target="https://cdn.jsdelivr.net/gh/EngineerX1234/vocational-images@main/tools/batch-25/apparel-scissors.jpg" TargetMode="External"/><Relationship Id="rId288" Type="http://schemas.openxmlformats.org/officeDocument/2006/relationships/hyperlink" Target="https://cdn.jsdelivr.net/gh/EngineerX1234/vocational-images@main/tools/batch-25/apparel-needle-threader.jpg" TargetMode="External"/><Relationship Id="rId289" Type="http://schemas.openxmlformats.org/officeDocument/2006/relationships/hyperlink" Target="https://cdn.jsdelivr.net/gh/EngineerX1234/vocational-images@main/tools/batch-25/apparel-ruler.jpg" TargetMode="External"/><Relationship Id="rId290" Type="http://schemas.openxmlformats.org/officeDocument/2006/relationships/hyperlink" Target="https://cdn.jsdelivr.net/gh/EngineerX1234/vocational-images@main/tools/batch-26/apparel-design-templates.jpg" TargetMode="External"/><Relationship Id="rId291" Type="http://schemas.openxmlformats.org/officeDocument/2006/relationships/hyperlink" Target="https://cdn.jsdelivr.net/gh/EngineerX1234/vocational-images@main/tools/batch-25/apparel-seam-ripper.jpg" TargetMode="External"/><Relationship Id="rId292" Type="http://schemas.openxmlformats.org/officeDocument/2006/relationships/hyperlink" Target="https://cdn.jsdelivr.net/gh/EngineerX1234/vocational-images@main/tools/batch-15/handicrafts-and-carpet-pins-and-pin-cushion.jpg" TargetMode="External"/><Relationship Id="rId293" Type="http://schemas.openxmlformats.org/officeDocument/2006/relationships/hyperlink" Target="https://cdn.jsdelivr.net/gh/EngineerX1234/vocational-images@main/tools/batch-25/apparel-thimble.jpg" TargetMode="External"/><Relationship Id="rId294" Type="http://schemas.openxmlformats.org/officeDocument/2006/relationships/hyperlink" Target="https://cdn.jsdelivr.net/gh/EngineerX1234/vocational-images@main/tools/batch-06/apparel-adda-frame.jpg" TargetMode="External"/><Relationship Id="rId295" Type="http://schemas.openxmlformats.org/officeDocument/2006/relationships/hyperlink" Target="https://cdn.jsdelivr.net/gh/EngineerX1234/vocational-images@main/tools/batch-15/handicrafts-and-carpet-iron.jpg" TargetMode="External"/><Relationship Id="rId296" Type="http://schemas.openxmlformats.org/officeDocument/2006/relationships/hyperlink" Target="https://cdn.jsdelivr.net/gh/EngineerX1234/vocational-images@main/tools/batch-25/apparel-sewing-gauge.jpg" TargetMode="External"/><Relationship Id="rId297" Type="http://schemas.openxmlformats.org/officeDocument/2006/relationships/hyperlink" Target="https://cdn.jsdelivr.net/gh/EngineerX1234/vocational-images@main/tools/batch-26/apparel-clear-ruler.jpg" TargetMode="External"/><Relationship Id="rId298" Type="http://schemas.openxmlformats.org/officeDocument/2006/relationships/hyperlink" Target="https://cdn.jsdelivr.net/gh/EngineerX1234/vocational-images@main/tools/batch-25/apparel-skirt-hem-marker.jpg" TargetMode="External"/><Relationship Id="rId299" Type="http://schemas.openxmlformats.org/officeDocument/2006/relationships/hyperlink" Target="https://cdn.jsdelivr.net/gh/EngineerX1234/vocational-images@main/tools/batch-25/apparel-retractable-tape-measure.jpg" TargetMode="External"/><Relationship Id="rId300" Type="http://schemas.openxmlformats.org/officeDocument/2006/relationships/hyperlink" Target="https://cdn.jsdelivr.net/gh/EngineerX1234/vocational-images@main/tools/batch-25/apparel-zipper-guide.jpg" TargetMode="External"/><Relationship Id="rId301" Type="http://schemas.openxmlformats.org/officeDocument/2006/relationships/hyperlink" Target="https://cdn.jsdelivr.net/gh/EngineerX1234/vocational-images@main/tools/batch-06/apparel-adhesive-backed-rulers.jpg" TargetMode="External"/><Relationship Id="rId302" Type="http://schemas.openxmlformats.org/officeDocument/2006/relationships/hyperlink" Target="https://cdn.jsdelivr.net/gh/EngineerX1234/vocational-images@main/tools/batch-25/apparel-pin-cushions.jpg" TargetMode="External"/><Relationship Id="rId303" Type="http://schemas.openxmlformats.org/officeDocument/2006/relationships/hyperlink" Target="https://cdn.jsdelivr.net/gh/EngineerX1234/vocational-images@main/tools/batch-25/apparel-tracing-wheel.jpg" TargetMode="External"/><Relationship Id="rId304" Type="http://schemas.openxmlformats.org/officeDocument/2006/relationships/hyperlink" Target="https://cdn.jsdelivr.net/gh/EngineerX1234/vocational-images@main/tools/batch-25/apparel-scissors.jpg" TargetMode="External"/><Relationship Id="rId305" Type="http://schemas.openxmlformats.org/officeDocument/2006/relationships/hyperlink" Target="https://cdn.jsdelivr.net/gh/EngineerX1234/vocational-images@main/tools/batch-25/apparel-shears.jpg" TargetMode="External"/><Relationship Id="rId306" Type="http://schemas.openxmlformats.org/officeDocument/2006/relationships/hyperlink" Target="https://cdn.jsdelivr.net/gh/EngineerX1234/vocational-images@main/tools/batch-25/apparel-pinking-shears.jpg" TargetMode="External"/><Relationship Id="rId307" Type="http://schemas.openxmlformats.org/officeDocument/2006/relationships/hyperlink" Target="https://cdn.jsdelivr.net/gh/EngineerX1234/vocational-images@main/tools/batch-25/apparel-seam-ripper.jpg" TargetMode="External"/><Relationship Id="rId308" Type="http://schemas.openxmlformats.org/officeDocument/2006/relationships/hyperlink" Target="https://cdn.jsdelivr.net/gh/EngineerX1234/vocational-images@main/tools/batch-25/apparel-thread-clipper.jpg" TargetMode="External"/><Relationship Id="rId309" Type="http://schemas.openxmlformats.org/officeDocument/2006/relationships/hyperlink" Target="https://cdn.jsdelivr.net/gh/EngineerX1234/vocational-images@main/tools/batch-25/apparel-thimble.jpg" TargetMode="External"/><Relationship Id="rId310" Type="http://schemas.openxmlformats.org/officeDocument/2006/relationships/hyperlink" Target="https://cdn.jsdelivr.net/gh/EngineerX1234/vocational-images@main/tools/batch-25/apparel-needle-threader.jpg" TargetMode="External"/><Relationship Id="rId311" Type="http://schemas.openxmlformats.org/officeDocument/2006/relationships/hyperlink" Target="https://cdn.jsdelivr.net/gh/EngineerX1234/vocational-images@main/tools/batch-06/apparel-bobbin.jpg" TargetMode="External"/><Relationship Id="rId312" Type="http://schemas.openxmlformats.org/officeDocument/2006/relationships/hyperlink" Target="https://cdn.jsdelivr.net/gh/EngineerX1234/vocational-images@main/tools/batch-25/apparel-loop-turner.jpg" TargetMode="External"/><Relationship Id="rId313" Type="http://schemas.openxmlformats.org/officeDocument/2006/relationships/hyperlink" Target="https://cdn.jsdelivr.net/gh/EngineerX1234/vocational-images@main/tools/batch-25/apparel-sewing-box.jpg" TargetMode="External"/><Relationship Id="rId314" Type="http://schemas.openxmlformats.org/officeDocument/2006/relationships/hyperlink" Target="https://cdn.jsdelivr.net/gh/EngineerX1234/vocational-images@main/tools/batch-25/apparel-hip-curve.jpg" TargetMode="External"/><Relationship Id="rId315" Type="http://schemas.openxmlformats.org/officeDocument/2006/relationships/hyperlink" Target="https://cdn.jsdelivr.net/gh/EngineerX1234/vocational-images@main/tools/batch-25/apparel-yardstick-meter-stick.jpg" TargetMode="External"/><Relationship Id="rId316" Type="http://schemas.openxmlformats.org/officeDocument/2006/relationships/hyperlink" Target="https://cdn.jsdelivr.net/gh/EngineerX1234/vocational-images@main/tools/batch-25/apparel-press-cloth.jpg" TargetMode="External"/><Relationship Id="rId317" Type="http://schemas.openxmlformats.org/officeDocument/2006/relationships/hyperlink" Target="https://cdn.jsdelivr.net/gh/EngineerX1234/vocational-images@main/tools/batch-25/apparel-sleeve-board.jpg" TargetMode="External"/><Relationship Id="rId318" Type="http://schemas.openxmlformats.org/officeDocument/2006/relationships/hyperlink" Target="https://cdn.jsdelivr.net/gh/EngineerX1234/vocational-images@main/tools/batch-25/apparel-seam-roll.jpg" TargetMode="External"/><Relationship Id="rId319" Type="http://schemas.openxmlformats.org/officeDocument/2006/relationships/hyperlink" Target="https://cdn.jsdelivr.net/gh/EngineerX1234/vocational-images@main/tools/batch-25/apparel-sewing-machine.jpg" TargetMode="External"/><Relationship Id="rId320" Type="http://schemas.openxmlformats.org/officeDocument/2006/relationships/hyperlink" Target="https://cdn.jsdelivr.net/gh/EngineerX1234/vocational-images@main/tools/batch-25/apparel-iron-box.jpg" TargetMode="External"/><Relationship Id="rId321" Type="http://schemas.openxmlformats.org/officeDocument/2006/relationships/hyperlink" Target="https://cdn.jsdelivr.net/gh/EngineerX1234/vocational-images@main/tools/batch-25/apparel-ironing-board.jpg" TargetMode="External"/><Relationship Id="rId322" Type="http://schemas.openxmlformats.org/officeDocument/2006/relationships/hyperlink" Target="https://cdn.jsdelivr.net/gh/EngineerX1234/vocational-images@main/tools/batch-25/apparel-needles.jpg" TargetMode="External"/><Relationship Id="rId323" Type="http://schemas.openxmlformats.org/officeDocument/2006/relationships/hyperlink" Target="https://cdn.jsdelivr.net/gh/EngineerX1234/vocational-images@main/tools/batch-07/automotive-screw-drivers-insulated.jpg" TargetMode="External"/><Relationship Id="rId324" Type="http://schemas.openxmlformats.org/officeDocument/2006/relationships/hyperlink" Target="https://cdn.jsdelivr.net/gh/EngineerX1234/vocational-images@main/tools/batch-21/telecom-screw-drivers.jpg" TargetMode="External"/><Relationship Id="rId325" Type="http://schemas.openxmlformats.org/officeDocument/2006/relationships/hyperlink" Target="https://cdn.jsdelivr.net/gh/EngineerX1234/vocational-images@main/tools/batch-07/automotive-socket-spanner-insulates.jpg" TargetMode="External"/><Relationship Id="rId326" Type="http://schemas.openxmlformats.org/officeDocument/2006/relationships/hyperlink" Target="https://cdn.jsdelivr.net/gh/EngineerX1234/vocational-images@main/tools/batch-07/automotive-insulated-plier.jpg" TargetMode="External"/><Relationship Id="rId327" Type="http://schemas.openxmlformats.org/officeDocument/2006/relationships/hyperlink" Target="https://cdn.jsdelivr.net/gh/EngineerX1234/vocational-images@main/tools/batch-07/automotive-insulated-monkey-plier.jpg" TargetMode="External"/><Relationship Id="rId328" Type="http://schemas.openxmlformats.org/officeDocument/2006/relationships/hyperlink" Target="https://cdn.jsdelivr.net/gh/EngineerX1234/vocational-images@main/tools/batch-07/automotive-insulated-outer-inner-plier.jpg" TargetMode="External"/><Relationship Id="rId329" Type="http://schemas.openxmlformats.org/officeDocument/2006/relationships/hyperlink" Target="https://cdn.jsdelivr.net/gh/EngineerX1234/vocational-images@main/tools/batch-07/automotive-t-spanner-set-insulated.jpg" TargetMode="External"/><Relationship Id="rId330" Type="http://schemas.openxmlformats.org/officeDocument/2006/relationships/hyperlink" Target="https://cdn.jsdelivr.net/gh/EngineerX1234/vocational-images@main/tools/batch-07/automotive-allen-key-set-insulated.jpg" TargetMode="External"/><Relationship Id="rId331" Type="http://schemas.openxmlformats.org/officeDocument/2006/relationships/hyperlink" Target="https://cdn.jsdelivr.net/gh/EngineerX1234/vocational-images@main/tools/batch-07/automotive-hammer-set-of-4.jpg" TargetMode="External"/><Relationship Id="rId332" Type="http://schemas.openxmlformats.org/officeDocument/2006/relationships/hyperlink" Target="https://cdn.jsdelivr.net/gh/EngineerX1234/vocational-images@main/tools/batch-07/automotive-oil-can.jpg" TargetMode="External"/><Relationship Id="rId333" Type="http://schemas.openxmlformats.org/officeDocument/2006/relationships/hyperlink" Target="https://cdn.jsdelivr.net/gh/EngineerX1234/vocational-images@main/tools/batch-07/automotive-bench-vice.jpg" TargetMode="External"/><Relationship Id="rId334" Type="http://schemas.openxmlformats.org/officeDocument/2006/relationships/hyperlink" Target="https://cdn.jsdelivr.net/gh/EngineerX1234/vocational-images@main/tools/batch-07/automotive-air-rachet.jpg" TargetMode="External"/><Relationship Id="rId335" Type="http://schemas.openxmlformats.org/officeDocument/2006/relationships/hyperlink" Target="https://cdn.jsdelivr.net/gh/EngineerX1234/vocational-images@main/tools/batch-07/automotive-d-e-spanner-insulated.jpg" TargetMode="External"/><Relationship Id="rId336" Type="http://schemas.openxmlformats.org/officeDocument/2006/relationships/hyperlink" Target="https://cdn.jsdelivr.net/gh/EngineerX1234/vocational-images@main/tools/batch-07/automotive-ring-spanner-insulated.jpg" TargetMode="External"/><Relationship Id="rId337" Type="http://schemas.openxmlformats.org/officeDocument/2006/relationships/hyperlink" Target="https://cdn.jsdelivr.net/gh/EngineerX1234/vocational-images@main/tools/batch-07/automotive-tap-or-die.jpg" TargetMode="External"/><Relationship Id="rId338" Type="http://schemas.openxmlformats.org/officeDocument/2006/relationships/hyperlink" Target="https://cdn.jsdelivr.net/gh/EngineerX1234/vocational-images@main/tools/batch-08/automotive-torque-wrench.jpg" TargetMode="External"/><Relationship Id="rId339" Type="http://schemas.openxmlformats.org/officeDocument/2006/relationships/hyperlink" Target="https://cdn.jsdelivr.net/gh/EngineerX1234/vocational-images@main/tools/batch-08/automotive-tubeless-tyre-repair-kits.jpg" TargetMode="External"/><Relationship Id="rId340" Type="http://schemas.openxmlformats.org/officeDocument/2006/relationships/hyperlink" Target="https://cdn.jsdelivr.net/gh/EngineerX1234/vocational-images@main/tools/batch-08/automotive-thread-wear-indicator.jpg" TargetMode="External"/><Relationship Id="rId341" Type="http://schemas.openxmlformats.org/officeDocument/2006/relationships/hyperlink" Target="https://cdn.jsdelivr.net/gh/EngineerX1234/vocational-images@main/tools/batch-07/automotive-pneumatic-gun.jpg" TargetMode="External"/><Relationship Id="rId342" Type="http://schemas.openxmlformats.org/officeDocument/2006/relationships/hyperlink" Target="https://cdn.jsdelivr.net/gh/EngineerX1234/vocational-images@main/tools/batch-25/automotive-air-pressure-gun.jpg" TargetMode="External"/><Relationship Id="rId343" Type="http://schemas.openxmlformats.org/officeDocument/2006/relationships/hyperlink" Target="https://cdn.jsdelivr.net/gh/EngineerX1234/vocational-images@main/tools/batch-07/automotive-tappet-puller.jpg" TargetMode="External"/><Relationship Id="rId344" Type="http://schemas.openxmlformats.org/officeDocument/2006/relationships/hyperlink" Target="https://cdn.jsdelivr.net/gh/EngineerX1234/vocational-images@main/tools/batch-07/automotive-tappet-gauge.jpg" TargetMode="External"/><Relationship Id="rId345" Type="http://schemas.openxmlformats.org/officeDocument/2006/relationships/hyperlink" Target="https://cdn.jsdelivr.net/gh/EngineerX1234/vocational-images@main/tools/batch-07/automotive-drain-pan.jpg" TargetMode="External"/><Relationship Id="rId346" Type="http://schemas.openxmlformats.org/officeDocument/2006/relationships/hyperlink" Target="https://cdn.jsdelivr.net/gh/EngineerX1234/vocational-images@main/tools/batch-07/automotive-oil-can.jpg" TargetMode="External"/><Relationship Id="rId347" Type="http://schemas.openxmlformats.org/officeDocument/2006/relationships/hyperlink" Target="https://cdn.jsdelivr.net/gh/EngineerX1234/vocational-images@main/tools/batch-07/automotive-bench-vice.jpg" TargetMode="External"/><Relationship Id="rId348" Type="http://schemas.openxmlformats.org/officeDocument/2006/relationships/hyperlink" Target="https://cdn.jsdelivr.net/gh/EngineerX1234/vocational-images@main/tools/batch-07/automotive-pneumatic-tool.jpg" TargetMode="External"/><Relationship Id="rId349" Type="http://schemas.openxmlformats.org/officeDocument/2006/relationships/hyperlink" Target="https://cdn.jsdelivr.net/gh/EngineerX1234/vocational-images@main/tools/batch-07/automotive-alignment-wrenches.jpg" TargetMode="External"/><Relationship Id="rId350" Type="http://schemas.openxmlformats.org/officeDocument/2006/relationships/hyperlink" Target="https://cdn.jsdelivr.net/gh/EngineerX1234/vocational-images@main/tools/batch-07/automotive-chain-wrenches.jpg" TargetMode="External"/><Relationship Id="rId351" Type="http://schemas.openxmlformats.org/officeDocument/2006/relationships/hyperlink" Target="https://cdn.jsdelivr.net/gh/EngineerX1234/vocational-images@main/tools/batch-07/automotive-locking-wrenches.jpg" TargetMode="External"/><Relationship Id="rId352" Type="http://schemas.openxmlformats.org/officeDocument/2006/relationships/hyperlink" Target="https://cdn.jsdelivr.net/gh/EngineerX1234/vocational-images@main/tools/batch-07/automotive-lug-wrenches.jpg" TargetMode="External"/><Relationship Id="rId353" Type="http://schemas.openxmlformats.org/officeDocument/2006/relationships/hyperlink" Target="https://cdn.jsdelivr.net/gh/EngineerX1234/vocational-images@main/tools/batch-07/automotive-carbon-scrapers.jpg" TargetMode="External"/><Relationship Id="rId354" Type="http://schemas.openxmlformats.org/officeDocument/2006/relationships/hyperlink" Target="https://cdn.jsdelivr.net/gh/EngineerX1234/vocational-images@main/tools/batch-07/automotive-gasket-scrapers.jpg" TargetMode="External"/><Relationship Id="rId355" Type="http://schemas.openxmlformats.org/officeDocument/2006/relationships/hyperlink" Target="https://cdn.jsdelivr.net/gh/EngineerX1234/vocational-images@main/tools/batch-07/automotive-scrapers.jpg" TargetMode="External"/><Relationship Id="rId356" Type="http://schemas.openxmlformats.org/officeDocument/2006/relationships/hyperlink" Target="https://cdn.jsdelivr.net/gh/EngineerX1234/vocational-images@main/tools/batch-07/automotive-spoons.jpg" TargetMode="External"/><Relationship Id="rId357" Type="http://schemas.openxmlformats.org/officeDocument/2006/relationships/hyperlink" Target="https://cdn.jsdelivr.net/gh/EngineerX1234/vocational-images@main/tools/batch-07/automotive-electric-vehicle-kit-two-wheeler.jpg" TargetMode="External"/><Relationship Id="rId358" Type="http://schemas.openxmlformats.org/officeDocument/2006/relationships/hyperlink" Target="https://cdn.jsdelivr.net/gh/EngineerX1234/vocational-images@main/tools/batch-07/automotive-dc-fast-charger.jpg" TargetMode="External"/><Relationship Id="rId359" Type="http://schemas.openxmlformats.org/officeDocument/2006/relationships/hyperlink" Target="https://cdn.jsdelivr.net/gh/EngineerX1234/vocational-images@main/tools/batch-08/automotive-tyre-pressure-gauge.jpg" TargetMode="External"/><Relationship Id="rId360" Type="http://schemas.openxmlformats.org/officeDocument/2006/relationships/hyperlink" Target="https://cdn.jsdelivr.net/gh/EngineerX1234/vocational-images@main/tools/batch-08/automotive-vernier-caliper-electronics.jpg" TargetMode="External"/><Relationship Id="rId361" Type="http://schemas.openxmlformats.org/officeDocument/2006/relationships/hyperlink" Target="https://cdn.jsdelivr.net/gh/EngineerX1234/vocational-images@main/tools/batch-07/automotive-micrometer.jpg" TargetMode="External"/><Relationship Id="rId362" Type="http://schemas.openxmlformats.org/officeDocument/2006/relationships/hyperlink" Target="https://cdn.jsdelivr.net/gh/EngineerX1234/vocational-images@main/tools/batch-07/automotive-temperature-gauge.jpg" TargetMode="External"/><Relationship Id="rId363" Type="http://schemas.openxmlformats.org/officeDocument/2006/relationships/hyperlink" Target="https://cdn.jsdelivr.net/gh/EngineerX1234/vocational-images@main/tools/batch-08/automotive-two-wheeler.jpg" TargetMode="External"/><Relationship Id="rId364" Type="http://schemas.openxmlformats.org/officeDocument/2006/relationships/hyperlink" Target="https://cdn.jsdelivr.net/gh/EngineerX1234/vocational-images@main/tools/batch-07/automotive-jack-hydraulic.jpg" TargetMode="External"/><Relationship Id="rId365" Type="http://schemas.openxmlformats.org/officeDocument/2006/relationships/hyperlink" Target="https://cdn.jsdelivr.net/gh/EngineerX1234/vocational-images@main/tools/batch-07/automotive-ramp.jpg" TargetMode="External"/><Relationship Id="rId366" Type="http://schemas.openxmlformats.org/officeDocument/2006/relationships/hyperlink" Target="https://cdn.jsdelivr.net/gh/EngineerX1234/vocational-images@main/tools/batch-07/automotive-equipment-stands.jpg" TargetMode="External"/><Relationship Id="rId367" Type="http://schemas.openxmlformats.org/officeDocument/2006/relationships/hyperlink" Target="https://cdn.jsdelivr.net/gh/EngineerX1234/vocational-images@main/tools/batch-07/automotive-oil-pressure-gauges.jpg" TargetMode="External"/><Relationship Id="rId368" Type="http://schemas.openxmlformats.org/officeDocument/2006/relationships/hyperlink" Target="https://cdn.jsdelivr.net/gh/EngineerX1234/vocational-images@main/tools/batch-08/automotive-vernier.jpg" TargetMode="External"/><Relationship Id="rId369" Type="http://schemas.openxmlformats.org/officeDocument/2006/relationships/hyperlink" Target="https://cdn.jsdelivr.net/gh/EngineerX1234/vocational-images@main/tools/batch-07/automotive-micrometer.jpg" TargetMode="External"/><Relationship Id="rId370" Type="http://schemas.openxmlformats.org/officeDocument/2006/relationships/hyperlink" Target="https://cdn.jsdelivr.net/gh/EngineerX1234/vocational-images@main/tools/batch-07/automotive-feeler-gauges.jpg" TargetMode="External"/><Relationship Id="rId371" Type="http://schemas.openxmlformats.org/officeDocument/2006/relationships/hyperlink" Target="https://cdn.jsdelivr.net/gh/EngineerX1234/vocational-images@main/tools/batch-07/automotive-flow-meter.jpg" TargetMode="External"/><Relationship Id="rId372" Type="http://schemas.openxmlformats.org/officeDocument/2006/relationships/hyperlink" Target="https://cdn.jsdelivr.net/gh/EngineerX1234/vocational-images@main/tools/batch-07/automotive-dial-gauge.jpg" TargetMode="External"/><Relationship Id="rId373" Type="http://schemas.openxmlformats.org/officeDocument/2006/relationships/hyperlink" Target="https://cdn.jsdelivr.net/gh/EngineerX1234/vocational-images@main/tools/batch-08/automotive-tensioning-equipment.jpg" TargetMode="External"/><Relationship Id="rId374" Type="http://schemas.openxmlformats.org/officeDocument/2006/relationships/hyperlink" Target="https://cdn.jsdelivr.net/gh/EngineerX1234/vocational-images@main/tools/batch-07/automotive-suspension-activation.jpg" TargetMode="External"/><Relationship Id="rId375" Type="http://schemas.openxmlformats.org/officeDocument/2006/relationships/hyperlink" Target="https://cdn.jsdelivr.net/gh/EngineerX1234/vocational-images@main/tools/batch-07/automotive-security-activator.jpg" TargetMode="External"/><Relationship Id="rId376" Type="http://schemas.openxmlformats.org/officeDocument/2006/relationships/hyperlink" Target="https://cdn.jsdelivr.net/gh/EngineerX1234/vocational-images@main/tools/batch-10/electronics-compressor.jpg" TargetMode="External"/><Relationship Id="rId377" Type="http://schemas.openxmlformats.org/officeDocument/2006/relationships/hyperlink" Target="https://cdn.jsdelivr.net/gh/EngineerX1234/vocational-images@main/tools/batch-07/automotive-brake-roller-tester.jpg" TargetMode="External"/><Relationship Id="rId378" Type="http://schemas.openxmlformats.org/officeDocument/2006/relationships/hyperlink" Target="https://cdn.jsdelivr.net/gh/EngineerX1234/vocational-images@main/tools/batch-07/automotive-chassis-dynamometer.jpg" TargetMode="External"/><Relationship Id="rId379" Type="http://schemas.openxmlformats.org/officeDocument/2006/relationships/hyperlink" Target="https://cdn.jsdelivr.net/gh/EngineerX1234/vocational-images@main/tools/batch-21/tourism-and-hospitality-lcd-projector.jpg" TargetMode="External"/><Relationship Id="rId380" Type="http://schemas.openxmlformats.org/officeDocument/2006/relationships/hyperlink" Target="https://cdn.jsdelivr.net/gh/EngineerX1234/vocational-images@main/tools/batch-09/construction-computer-system.jpg" TargetMode="External"/><Relationship Id="rId381" Type="http://schemas.openxmlformats.org/officeDocument/2006/relationships/hyperlink" Target="https://cdn.jsdelivr.net/gh/EngineerX1234/vocational-images@main/tools/batch-11/electronics-ups.jpg" TargetMode="External"/><Relationship Id="rId382" Type="http://schemas.openxmlformats.org/officeDocument/2006/relationships/hyperlink" Target="https://cdn.jsdelivr.net/gh/EngineerX1234/vocational-images@main/tools/batch-13/food-processing-storage-containers.jpg" TargetMode="External"/><Relationship Id="rId383" Type="http://schemas.openxmlformats.org/officeDocument/2006/relationships/hyperlink" Target="https://cdn.jsdelivr.net/gh/EngineerX1234/vocational-images@main/tools/batch-07/automotive-screw-driver-star-and-minus.jpg" TargetMode="External"/><Relationship Id="rId384" Type="http://schemas.openxmlformats.org/officeDocument/2006/relationships/hyperlink" Target="https://cdn.jsdelivr.net/gh/EngineerX1234/vocational-images@main/tools/batch-07/automotive-double-end-ring-spanner.jpg" TargetMode="External"/><Relationship Id="rId385" Type="http://schemas.openxmlformats.org/officeDocument/2006/relationships/hyperlink" Target="https://cdn.jsdelivr.net/gh/EngineerX1234/vocational-images@main/tools/batch-07/automotive-open-and-close-fix-spanner.jpg" TargetMode="External"/><Relationship Id="rId386" Type="http://schemas.openxmlformats.org/officeDocument/2006/relationships/hyperlink" Target="https://cdn.jsdelivr.net/gh/EngineerX1234/vocational-images@main/tools/batch-07/automotive-socket-goti-spanner.jpg" TargetMode="External"/><Relationship Id="rId387" Type="http://schemas.openxmlformats.org/officeDocument/2006/relationships/hyperlink" Target="https://cdn.jsdelivr.net/gh/EngineerX1234/vocational-images@main/tools/batch-07/automotive-plier.jpg" TargetMode="External"/><Relationship Id="rId388" Type="http://schemas.openxmlformats.org/officeDocument/2006/relationships/hyperlink" Target="https://cdn.jsdelivr.net/gh/EngineerX1234/vocational-images@main/tools/batch-07/automotive-monkey-plier.jpg" TargetMode="External"/><Relationship Id="rId389" Type="http://schemas.openxmlformats.org/officeDocument/2006/relationships/hyperlink" Target="https://cdn.jsdelivr.net/gh/EngineerX1234/vocational-images@main/tools/batch-07/automotive-outer-and-inner-plier.jpg" TargetMode="External"/><Relationship Id="rId390" Type="http://schemas.openxmlformats.org/officeDocument/2006/relationships/hyperlink" Target="https://cdn.jsdelivr.net/gh/EngineerX1234/vocational-images@main/tools/batch-08/automotive-tool-box.jpg" TargetMode="External"/><Relationship Id="rId391" Type="http://schemas.openxmlformats.org/officeDocument/2006/relationships/hyperlink" Target="https://cdn.jsdelivr.net/gh/EngineerX1234/vocational-images@main/tools/batch-07/automotive-t-spanner-tommy-set.jpg" TargetMode="External"/><Relationship Id="rId392" Type="http://schemas.openxmlformats.org/officeDocument/2006/relationships/hyperlink" Target="https://cdn.jsdelivr.net/gh/EngineerX1234/vocational-images@main/tools/batch-07/automotive-allen-key-set.jpg" TargetMode="External"/><Relationship Id="rId393" Type="http://schemas.openxmlformats.org/officeDocument/2006/relationships/hyperlink" Target="https://cdn.jsdelivr.net/gh/EngineerX1234/vocational-images@main/tools/batch-07/automotive-tappet-puller.jpg" TargetMode="External"/><Relationship Id="rId394" Type="http://schemas.openxmlformats.org/officeDocument/2006/relationships/hyperlink" Target="https://cdn.jsdelivr.net/gh/EngineerX1234/vocational-images@main/tools/batch-07/automotive-tappet-gauge.jpg" TargetMode="External"/><Relationship Id="rId395" Type="http://schemas.openxmlformats.org/officeDocument/2006/relationships/hyperlink" Target="https://cdn.jsdelivr.net/gh/EngineerX1234/vocational-images@main/tools/batch-07/automotive-hammer.jpg" TargetMode="External"/><Relationship Id="rId396" Type="http://schemas.openxmlformats.org/officeDocument/2006/relationships/hyperlink" Target="https://cdn.jsdelivr.net/gh/EngineerX1234/vocational-images@main/tools/batch-07/automotive-oil-can.jpg" TargetMode="External"/><Relationship Id="rId397" Type="http://schemas.openxmlformats.org/officeDocument/2006/relationships/hyperlink" Target="https://cdn.jsdelivr.net/gh/EngineerX1234/vocational-images@main/tools/batch-07/automotive-magnetic-bar.jpg" TargetMode="External"/><Relationship Id="rId398" Type="http://schemas.openxmlformats.org/officeDocument/2006/relationships/hyperlink" Target="https://cdn.jsdelivr.net/gh/EngineerX1234/vocational-images@main/tools/batch-07/automotive-spark-plug-cleaning-machine.jpg" TargetMode="External"/><Relationship Id="rId399" Type="http://schemas.openxmlformats.org/officeDocument/2006/relationships/hyperlink" Target="https://cdn.jsdelivr.net/gh/EngineerX1234/vocational-images@main/tools/batch-07/automotive-multimeter.jpg" TargetMode="External"/><Relationship Id="rId400" Type="http://schemas.openxmlformats.org/officeDocument/2006/relationships/hyperlink" Target="https://cdn.jsdelivr.net/gh/EngineerX1234/vocational-images@main/tools/batch-07/automotive-tachometer.jpg" TargetMode="External"/><Relationship Id="rId401" Type="http://schemas.openxmlformats.org/officeDocument/2006/relationships/hyperlink" Target="https://cdn.jsdelivr.net/gh/EngineerX1234/vocational-images@main/tools/batch-07/automotive-compressor-gauge.jpg" TargetMode="External"/><Relationship Id="rId402" Type="http://schemas.openxmlformats.org/officeDocument/2006/relationships/hyperlink" Target="https://cdn.jsdelivr.net/gh/EngineerX1234/vocational-images@main/tools/batch-07/automotive-cleaning-equipment.jpg" TargetMode="External"/><Relationship Id="rId403" Type="http://schemas.openxmlformats.org/officeDocument/2006/relationships/hyperlink" Target="https://cdn.jsdelivr.net/gh/EngineerX1234/vocational-images@main/tools/batch-10/electronics-compressor.jpg" TargetMode="External"/><Relationship Id="rId404" Type="http://schemas.openxmlformats.org/officeDocument/2006/relationships/hyperlink" Target="https://cdn.jsdelivr.net/gh/EngineerX1234/vocational-images@main/tools/batch-21/tourism-and-hospitality-lcd-projector.jpg" TargetMode="External"/><Relationship Id="rId405" Type="http://schemas.openxmlformats.org/officeDocument/2006/relationships/hyperlink" Target="https://cdn.jsdelivr.net/gh/EngineerX1234/vocational-images@main/tools/batch-09/construction-computer-system.jpg" TargetMode="External"/><Relationship Id="rId406" Type="http://schemas.openxmlformats.org/officeDocument/2006/relationships/hyperlink" Target="https://cdn.jsdelivr.net/gh/EngineerX1234/vocational-images@main/tools/batch-11/electronics-ups.jpg" TargetMode="External"/><Relationship Id="rId407" Type="http://schemas.openxmlformats.org/officeDocument/2006/relationships/hyperlink" Target="https://cdn.jsdelivr.net/gh/EngineerX1234/vocational-images@main/tools/batch-08/bfsi-overhead-projector.jpg" TargetMode="External"/><Relationship Id="rId408" Type="http://schemas.openxmlformats.org/officeDocument/2006/relationships/hyperlink" Target="https://cdn.jsdelivr.net/gh/EngineerX1234/vocational-images@main/tools/batch-17/it-ites-scanner.jpg" TargetMode="External"/><Relationship Id="rId409" Type="http://schemas.openxmlformats.org/officeDocument/2006/relationships/hyperlink" Target="https://cdn.jsdelivr.net/gh/EngineerX1234/vocational-images@main/tools/batch-08/bfsi-multimedia-projector.jpg" TargetMode="External"/><Relationship Id="rId410" Type="http://schemas.openxmlformats.org/officeDocument/2006/relationships/hyperlink" Target="https://cdn.jsdelivr.net/gh/EngineerX1234/vocational-images@main/tools/batch-08/beauty-and-wellness-all-in-one-eyelash-brush-comb.jpg" TargetMode="External"/><Relationship Id="rId411" Type="http://schemas.openxmlformats.org/officeDocument/2006/relationships/hyperlink" Target="https://cdn.jsdelivr.net/gh/EngineerX1234/vocational-images@main/tools/batch-08/beauty-and-wellness-all-propose-comb.jpg" TargetMode="External"/><Relationship Id="rId412" Type="http://schemas.openxmlformats.org/officeDocument/2006/relationships/hyperlink" Target="https://cdn.jsdelivr.net/gh/EngineerX1234/vocational-images@main/tools/batch-08/beauty-and-wellness-applicator-brush.jpg" TargetMode="External"/><Relationship Id="rId413" Type="http://schemas.openxmlformats.org/officeDocument/2006/relationships/hyperlink" Target="https://cdn.jsdelivr.net/gh/EngineerX1234/vocational-images@main/tools/batch-08/beauty-and-wellness-barber-brush.jpg" TargetMode="External"/><Relationship Id="rId414" Type="http://schemas.openxmlformats.org/officeDocument/2006/relationships/hyperlink" Target="https://cdn.jsdelivr.net/gh/EngineerX1234/vocational-images@main/tools/batch-08/beauty-and-wellness-bath-comb.jpg" TargetMode="External"/><Relationship Id="rId415" Type="http://schemas.openxmlformats.org/officeDocument/2006/relationships/hyperlink" Target="https://cdn.jsdelivr.net/gh/EngineerX1234/vocational-images@main/tools/batch-08/beauty-and-wellness-blackhead-remover.jpg" TargetMode="External"/><Relationship Id="rId416" Type="http://schemas.openxmlformats.org/officeDocument/2006/relationships/hyperlink" Target="https://cdn.jsdelivr.net/gh/EngineerX1234/vocational-images@main/tools/batch-08/beauty-and-wellness-bleach-brush.jpg" TargetMode="External"/><Relationship Id="rId417" Type="http://schemas.openxmlformats.org/officeDocument/2006/relationships/hyperlink" Target="https://cdn.jsdelivr.net/gh/EngineerX1234/vocational-images@main/tools/batch-08/beauty-and-wellness-complete-make-up-brushes-set.jpg" TargetMode="External"/><Relationship Id="rId418" Type="http://schemas.openxmlformats.org/officeDocument/2006/relationships/hyperlink" Target="https://cdn.jsdelivr.net/gh/EngineerX1234/vocational-images@main/tools/batch-08/beauty-and-wellness-curling-rods.jpg" TargetMode="External"/><Relationship Id="rId419" Type="http://schemas.openxmlformats.org/officeDocument/2006/relationships/hyperlink" Target="https://cdn.jsdelivr.net/gh/EngineerX1234/vocational-images@main/tools/batch-08/beauty-and-wellness-cutting-scissors.jpg" TargetMode="External"/><Relationship Id="rId420" Type="http://schemas.openxmlformats.org/officeDocument/2006/relationships/hyperlink" Target="https://cdn.jsdelivr.net/gh/EngineerX1234/vocational-images@main/tools/batch-08/beauty-and-wellness-eyebrow-pencil-sharpener.jpg" TargetMode="External"/><Relationship Id="rId421" Type="http://schemas.openxmlformats.org/officeDocument/2006/relationships/hyperlink" Target="https://cdn.jsdelivr.net/gh/EngineerX1234/vocational-images@main/tools/batch-08/beauty-and-wellness-foot-scraper.jpg" TargetMode="External"/><Relationship Id="rId422" Type="http://schemas.openxmlformats.org/officeDocument/2006/relationships/hyperlink" Target="https://cdn.jsdelivr.net/gh/EngineerX1234/vocational-images@main/tools/batch-08/beauty-and-wellness-frosting-cap.jpg" TargetMode="External"/><Relationship Id="rId423" Type="http://schemas.openxmlformats.org/officeDocument/2006/relationships/hyperlink" Target="https://cdn.jsdelivr.net/gh/EngineerX1234/vocational-images@main/tools/batch-08/beauty-and-wellness-hair-brush.jpg" TargetMode="External"/><Relationship Id="rId424" Type="http://schemas.openxmlformats.org/officeDocument/2006/relationships/hyperlink" Target="https://cdn.jsdelivr.net/gh/EngineerX1234/vocational-images@main/tools/batch-08/beauty-and-wellness-hair-clips-set.jpg" TargetMode="External"/><Relationship Id="rId425" Type="http://schemas.openxmlformats.org/officeDocument/2006/relationships/hyperlink" Target="https://cdn.jsdelivr.net/gh/EngineerX1234/vocational-images@main/tools/batch-08/beauty-and-wellness-hair-connector.jpg" TargetMode="External"/><Relationship Id="rId426" Type="http://schemas.openxmlformats.org/officeDocument/2006/relationships/hyperlink" Target="https://cdn.jsdelivr.net/gh/EngineerX1234/vocational-images@main/tools/batch-08/beauty-and-wellness-hair-cutting-comb.jpg" TargetMode="External"/><Relationship Id="rId427" Type="http://schemas.openxmlformats.org/officeDocument/2006/relationships/hyperlink" Target="https://cdn.jsdelivr.net/gh/EngineerX1234/vocational-images@main/tools/batch-08/beauty-and-wellness-hand-mirrors.jpg" TargetMode="External"/><Relationship Id="rId428" Type="http://schemas.openxmlformats.org/officeDocument/2006/relationships/hyperlink" Target="https://cdn.jsdelivr.net/gh/EngineerX1234/vocational-images@main/tools/batch-08/beauty-and-wellness-large-tooth-comb.jpg" TargetMode="External"/><Relationship Id="rId429" Type="http://schemas.openxmlformats.org/officeDocument/2006/relationships/hyperlink" Target="https://cdn.jsdelivr.net/gh/EngineerX1234/vocational-images@main/tools/batch-08/beauty-and-wellness-magnifying-glass.jpg" TargetMode="External"/><Relationship Id="rId430" Type="http://schemas.openxmlformats.org/officeDocument/2006/relationships/hyperlink" Target="https://cdn.jsdelivr.net/gh/EngineerX1234/vocational-images@main/tools/batch-08/beauty-and-wellness-make-up-palate.jpg" TargetMode="External"/><Relationship Id="rId431" Type="http://schemas.openxmlformats.org/officeDocument/2006/relationships/hyperlink" Target="https://cdn.jsdelivr.net/gh/EngineerX1234/vocational-images@main/tools/batch-08/beauty-and-wellness-manicure-set.jpg" TargetMode="External"/><Relationship Id="rId432" Type="http://schemas.openxmlformats.org/officeDocument/2006/relationships/hyperlink" Target="https://cdn.jsdelivr.net/gh/EngineerX1234/vocational-images@main/tools/batch-08/beauty-and-wellness-measuring-spoon-sets.jpg" TargetMode="External"/><Relationship Id="rId433" Type="http://schemas.openxmlformats.org/officeDocument/2006/relationships/hyperlink" Target="https://cdn.jsdelivr.net/gh/EngineerX1234/vocational-images@main/tools/batch-08/beauty-and-wellness-mixing-bowles-set.jpg" TargetMode="External"/><Relationship Id="rId434" Type="http://schemas.openxmlformats.org/officeDocument/2006/relationships/hyperlink" Target="https://cdn.jsdelivr.net/gh/EngineerX1234/vocational-images@main/tools/batch-08/beauty-and-wellness-mop.jpg" TargetMode="External"/><Relationship Id="rId435" Type="http://schemas.openxmlformats.org/officeDocument/2006/relationships/hyperlink" Target="https://cdn.jsdelivr.net/gh/EngineerX1234/vocational-images@main/tools/batch-08/beauty-and-wellness-needle-for-striking.jpg" TargetMode="External"/><Relationship Id="rId436" Type="http://schemas.openxmlformats.org/officeDocument/2006/relationships/hyperlink" Target="https://cdn.jsdelivr.net/gh/EngineerX1234/vocational-images@main/tools/batch-08/beauty-and-wellness-pedicure-set.jpg" TargetMode="External"/><Relationship Id="rId437" Type="http://schemas.openxmlformats.org/officeDocument/2006/relationships/hyperlink" Target="https://cdn.jsdelivr.net/gh/EngineerX1234/vocational-images@main/tools/batch-08/beauty-and-wellness-perming-cap.jpg" TargetMode="External"/><Relationship Id="rId438" Type="http://schemas.openxmlformats.org/officeDocument/2006/relationships/hyperlink" Target="https://cdn.jsdelivr.net/gh/EngineerX1234/vocational-images@main/tools/batch-09/beauty-and-wellness-razor-with-blade.jpg" TargetMode="External"/><Relationship Id="rId439" Type="http://schemas.openxmlformats.org/officeDocument/2006/relationships/hyperlink" Target="https://cdn.jsdelivr.net/gh/EngineerX1234/vocational-images@main/tools/batch-09/beauty-and-wellness-roller-brush-set-5-in-1.jpg" TargetMode="External"/><Relationship Id="rId440" Type="http://schemas.openxmlformats.org/officeDocument/2006/relationships/hyperlink" Target="https://cdn.jsdelivr.net/gh/EngineerX1234/vocational-images@main/tools/batch-09/beauty-and-wellness-small-scissors.jpg" TargetMode="External"/><Relationship Id="rId441" Type="http://schemas.openxmlformats.org/officeDocument/2006/relationships/hyperlink" Target="https://cdn.jsdelivr.net/gh/EngineerX1234/vocational-images@main/tools/batch-09/beauty-and-wellness-spatula.jpg" TargetMode="External"/><Relationship Id="rId442" Type="http://schemas.openxmlformats.org/officeDocument/2006/relationships/hyperlink" Target="https://cdn.jsdelivr.net/gh/EngineerX1234/vocational-images@main/tools/batch-09/beauty-and-wellness-spray-bottle.jpg" TargetMode="External"/><Relationship Id="rId443" Type="http://schemas.openxmlformats.org/officeDocument/2006/relationships/hyperlink" Target="https://cdn.jsdelivr.net/gh/EngineerX1234/vocational-images@main/tools/batch-09/beauty-and-wellness-stone-therapy-set.jpg" TargetMode="External"/><Relationship Id="rId444" Type="http://schemas.openxmlformats.org/officeDocument/2006/relationships/hyperlink" Target="https://cdn.jsdelivr.net/gh/EngineerX1234/vocational-images@main/tools/batch-09/beauty-and-wellness-tail-comb.jpg" TargetMode="External"/><Relationship Id="rId445" Type="http://schemas.openxmlformats.org/officeDocument/2006/relationships/hyperlink" Target="https://cdn.jsdelivr.net/gh/EngineerX1234/vocational-images@main/tools/batch-09/beauty-and-wellness-thinning-scissors.jpg" TargetMode="External"/><Relationship Id="rId446" Type="http://schemas.openxmlformats.org/officeDocument/2006/relationships/hyperlink" Target="https://cdn.jsdelivr.net/gh/EngineerX1234/vocational-images@main/tools/batch-09/beauty-and-wellness-tinting-brush-with-comb.jpg" TargetMode="External"/><Relationship Id="rId447" Type="http://schemas.openxmlformats.org/officeDocument/2006/relationships/hyperlink" Target="https://cdn.jsdelivr.net/gh/EngineerX1234/vocational-images@main/tools/batch-09/beauty-and-wellness-tweezer.jpg" TargetMode="External"/><Relationship Id="rId448" Type="http://schemas.openxmlformats.org/officeDocument/2006/relationships/hyperlink" Target="https://cdn.jsdelivr.net/gh/EngineerX1234/vocational-images@main/tools/batch-09/beauty-and-wellness-wide-toothed-comb.jpg" TargetMode="External"/><Relationship Id="rId449" Type="http://schemas.openxmlformats.org/officeDocument/2006/relationships/hyperlink" Target="https://cdn.jsdelivr.net/gh/EngineerX1234/vocational-images@main/tools/batch-08/beauty-and-wellness-crimpers.jpg" TargetMode="External"/><Relationship Id="rId450" Type="http://schemas.openxmlformats.org/officeDocument/2006/relationships/hyperlink" Target="https://cdn.jsdelivr.net/gh/EngineerX1234/vocational-images@main/tools/batch-08/beauty-and-wellness-curling-iron.jpg" TargetMode="External"/><Relationship Id="rId451" Type="http://schemas.openxmlformats.org/officeDocument/2006/relationships/hyperlink" Target="https://cdn.jsdelivr.net/gh/EngineerX1234/vocational-images@main/tools/batch-08/beauty-and-wellness-double-wax-heater.jpg" TargetMode="External"/><Relationship Id="rId452" Type="http://schemas.openxmlformats.org/officeDocument/2006/relationships/hyperlink" Target="https://cdn.jsdelivr.net/gh/EngineerX1234/vocational-images@main/tools/batch-08/beauty-and-wellness-electric-curler.jpg" TargetMode="External"/><Relationship Id="rId453" Type="http://schemas.openxmlformats.org/officeDocument/2006/relationships/hyperlink" Target="https://cdn.jsdelivr.net/gh/EngineerX1234/vocational-images@main/tools/batch-08/beauty-and-wellness-exfoliation-machine.jpg" TargetMode="External"/><Relationship Id="rId454" Type="http://schemas.openxmlformats.org/officeDocument/2006/relationships/hyperlink" Target="https://cdn.jsdelivr.net/gh/EngineerX1234/vocational-images@main/tools/batch-08/beauty-and-wellness-facial-steamer.jpg" TargetMode="External"/><Relationship Id="rId455" Type="http://schemas.openxmlformats.org/officeDocument/2006/relationships/hyperlink" Target="https://cdn.jsdelivr.net/gh/EngineerX1234/vocational-images@main/tools/batch-08/beauty-and-wellness-foot-spa.jpg" TargetMode="External"/><Relationship Id="rId456" Type="http://schemas.openxmlformats.org/officeDocument/2006/relationships/hyperlink" Target="https://cdn.jsdelivr.net/gh/EngineerX1234/vocational-images@main/tools/batch-08/beauty-and-wellness-galvanic-machine.jpg" TargetMode="External"/><Relationship Id="rId457" Type="http://schemas.openxmlformats.org/officeDocument/2006/relationships/hyperlink" Target="https://cdn.jsdelivr.net/gh/EngineerX1234/vocational-images@main/tools/batch-08/beauty-and-wellness-hair-dryer.jpg" TargetMode="External"/><Relationship Id="rId458" Type="http://schemas.openxmlformats.org/officeDocument/2006/relationships/hyperlink" Target="https://cdn.jsdelivr.net/gh/EngineerX1234/vocational-images@main/tools/batch-08/beauty-and-wellness-hair-steamer.jpg" TargetMode="External"/><Relationship Id="rId459" Type="http://schemas.openxmlformats.org/officeDocument/2006/relationships/hyperlink" Target="https://cdn.jsdelivr.net/gh/EngineerX1234/vocational-images@main/tools/batch-08/beauty-and-wellness-infrared-lamp.jpg" TargetMode="External"/><Relationship Id="rId460" Type="http://schemas.openxmlformats.org/officeDocument/2006/relationships/hyperlink" Target="https://cdn.jsdelivr.net/gh/EngineerX1234/vocational-images@main/tools/batch-08/beauty-and-wellness-paraffin-heater.jpg" TargetMode="External"/><Relationship Id="rId461" Type="http://schemas.openxmlformats.org/officeDocument/2006/relationships/hyperlink" Target="https://cdn.jsdelivr.net/gh/EngineerX1234/vocational-images@main/tools/batch-09/beauty-and-wellness-shampoo-bowl-set.jpg" TargetMode="External"/><Relationship Id="rId462" Type="http://schemas.openxmlformats.org/officeDocument/2006/relationships/hyperlink" Target="https://cdn.jsdelivr.net/gh/EngineerX1234/vocational-images@main/tools/batch-09/beauty-and-wellness-shampoo-unit.jpg" TargetMode="External"/><Relationship Id="rId463" Type="http://schemas.openxmlformats.org/officeDocument/2006/relationships/hyperlink" Target="https://cdn.jsdelivr.net/gh/EngineerX1234/vocational-images@main/tools/batch-09/beauty-and-wellness-sterilizer.jpg" TargetMode="External"/><Relationship Id="rId464" Type="http://schemas.openxmlformats.org/officeDocument/2006/relationships/hyperlink" Target="https://cdn.jsdelivr.net/gh/EngineerX1234/vocational-images@main/tools/batch-09/beauty-and-wellness-straightening-iron.jpg" TargetMode="External"/><Relationship Id="rId465" Type="http://schemas.openxmlformats.org/officeDocument/2006/relationships/hyperlink" Target="https://cdn.jsdelivr.net/gh/EngineerX1234/vocational-images@main/tools/batch-09/beauty-and-wellness-timer.jpg" TargetMode="External"/><Relationship Id="rId466" Type="http://schemas.openxmlformats.org/officeDocument/2006/relationships/hyperlink" Target="https://cdn.jsdelivr.net/gh/EngineerX1234/vocational-images@main/tools/batch-08/beauty-and-wellness-computer-with-internet.jpg" TargetMode="External"/><Relationship Id="rId467" Type="http://schemas.openxmlformats.org/officeDocument/2006/relationships/hyperlink" Target="https://cdn.jsdelivr.net/gh/EngineerX1234/vocational-images@main/tools/batch-09/beauty-and-wellness-roller-pins.jpg" TargetMode="External"/><Relationship Id="rId468" Type="http://schemas.openxmlformats.org/officeDocument/2006/relationships/hyperlink" Target="https://cdn.jsdelivr.net/gh/EngineerX1234/vocational-images@main/tools/batch-08/beauty-and-wellness-all-in-one-eyelash-brush-comb.jpg" TargetMode="External"/><Relationship Id="rId469" Type="http://schemas.openxmlformats.org/officeDocument/2006/relationships/hyperlink" Target="https://cdn.jsdelivr.net/gh/EngineerX1234/vocational-images@main/tools/batch-08/beauty-and-wellness-all-propose-comb.jpg" TargetMode="External"/><Relationship Id="rId470" Type="http://schemas.openxmlformats.org/officeDocument/2006/relationships/hyperlink" Target="https://cdn.jsdelivr.net/gh/EngineerX1234/vocational-images@main/tools/batch-08/beauty-and-wellness-applicator-brush.jpg" TargetMode="External"/><Relationship Id="rId471" Type="http://schemas.openxmlformats.org/officeDocument/2006/relationships/hyperlink" Target="https://cdn.jsdelivr.net/gh/EngineerX1234/vocational-images@main/tools/batch-08/beauty-and-wellness-bath-comb.jpg" TargetMode="External"/><Relationship Id="rId472" Type="http://schemas.openxmlformats.org/officeDocument/2006/relationships/hyperlink" Target="https://cdn.jsdelivr.net/gh/EngineerX1234/vocational-images@main/tools/batch-08/beauty-and-wellness-bleach-brush.jpg" TargetMode="External"/><Relationship Id="rId473" Type="http://schemas.openxmlformats.org/officeDocument/2006/relationships/hyperlink" Target="https://cdn.jsdelivr.net/gh/EngineerX1234/vocational-images@main/tools/batch-08/beauty-and-wellness-complete-make-up-brushes-set.jpg" TargetMode="External"/><Relationship Id="rId474" Type="http://schemas.openxmlformats.org/officeDocument/2006/relationships/hyperlink" Target="https://cdn.jsdelivr.net/gh/EngineerX1234/vocational-images@main/tools/batch-08/beauty-and-wellness-eyebrow-pencil-sharpener.jpg" TargetMode="External"/><Relationship Id="rId475" Type="http://schemas.openxmlformats.org/officeDocument/2006/relationships/hyperlink" Target="https://cdn.jsdelivr.net/gh/EngineerX1234/vocational-images@main/tools/batch-08/beauty-and-wellness-hair-brush.jpg" TargetMode="External"/><Relationship Id="rId476" Type="http://schemas.openxmlformats.org/officeDocument/2006/relationships/hyperlink" Target="https://cdn.jsdelivr.net/gh/EngineerX1234/vocational-images@main/tools/batch-08/beauty-and-wellness-hair-clips-set.jpg" TargetMode="External"/><Relationship Id="rId477" Type="http://schemas.openxmlformats.org/officeDocument/2006/relationships/hyperlink" Target="https://cdn.jsdelivr.net/gh/EngineerX1234/vocational-images@main/tools/batch-08/beauty-and-wellness-hand-mirrors.jpg" TargetMode="External"/><Relationship Id="rId478" Type="http://schemas.openxmlformats.org/officeDocument/2006/relationships/hyperlink" Target="https://cdn.jsdelivr.net/gh/EngineerX1234/vocational-images@main/tools/batch-08/beauty-and-wellness-large-tooth-comb.jpg" TargetMode="External"/><Relationship Id="rId479" Type="http://schemas.openxmlformats.org/officeDocument/2006/relationships/hyperlink" Target="https://cdn.jsdelivr.net/gh/EngineerX1234/vocational-images@main/tools/batch-08/beauty-and-wellness-magnifying-glass.jpg" TargetMode="External"/><Relationship Id="rId480" Type="http://schemas.openxmlformats.org/officeDocument/2006/relationships/hyperlink" Target="https://cdn.jsdelivr.net/gh/EngineerX1234/vocational-images@main/tools/batch-08/beauty-and-wellness-make-up-palate.jpg" TargetMode="External"/><Relationship Id="rId481" Type="http://schemas.openxmlformats.org/officeDocument/2006/relationships/hyperlink" Target="https://cdn.jsdelivr.net/gh/EngineerX1234/vocational-images@main/tools/batch-08/beauty-and-wellness-mop.jpg" TargetMode="External"/><Relationship Id="rId482" Type="http://schemas.openxmlformats.org/officeDocument/2006/relationships/hyperlink" Target="https://cdn.jsdelivr.net/gh/EngineerX1234/vocational-images@main/tools/batch-09/beauty-and-wellness-small-scissors.jpg" TargetMode="External"/><Relationship Id="rId483" Type="http://schemas.openxmlformats.org/officeDocument/2006/relationships/hyperlink" Target="https://cdn.jsdelivr.net/gh/EngineerX1234/vocational-images@main/tools/batch-09/beauty-and-wellness-spatula.jpg" TargetMode="External"/><Relationship Id="rId484" Type="http://schemas.openxmlformats.org/officeDocument/2006/relationships/hyperlink" Target="https://cdn.jsdelivr.net/gh/EngineerX1234/vocational-images@main/tools/batch-09/beauty-and-wellness-spray-bottle.jpg" TargetMode="External"/><Relationship Id="rId485" Type="http://schemas.openxmlformats.org/officeDocument/2006/relationships/hyperlink" Target="https://cdn.jsdelivr.net/gh/EngineerX1234/vocational-images@main/tools/batch-09/beauty-and-wellness-sterilizer.jpg" TargetMode="External"/><Relationship Id="rId486" Type="http://schemas.openxmlformats.org/officeDocument/2006/relationships/hyperlink" Target="https://cdn.jsdelivr.net/gh/EngineerX1234/vocational-images@main/tools/batch-08/beauty-and-wellness-computer-with-internet.jpg" TargetMode="External"/><Relationship Id="rId487" Type="http://schemas.openxmlformats.org/officeDocument/2006/relationships/hyperlink" Target="https://cdn.jsdelivr.net/gh/EngineerX1234/vocational-images@main/tools/batch-08/beauty-and-wellness-barber-brush.jpg" TargetMode="External"/><Relationship Id="rId488" Type="http://schemas.openxmlformats.org/officeDocument/2006/relationships/hyperlink" Target="https://cdn.jsdelivr.net/gh/EngineerX1234/vocational-images@main/tools/batch-08/beauty-and-wellness-bath-comb.jpg" TargetMode="External"/><Relationship Id="rId489" Type="http://schemas.openxmlformats.org/officeDocument/2006/relationships/hyperlink" Target="https://cdn.jsdelivr.net/gh/EngineerX1234/vocational-images@main/tools/batch-09/beauty-and-wellness-round-brushes-various-diameters.jpg" TargetMode="External"/><Relationship Id="rId490" Type="http://schemas.openxmlformats.org/officeDocument/2006/relationships/hyperlink" Target="https://cdn.jsdelivr.net/gh/EngineerX1234/vocational-images@main/tools/batch-08/beauty-and-wellness-flat-brushes.jpg" TargetMode="External"/><Relationship Id="rId491" Type="http://schemas.openxmlformats.org/officeDocument/2006/relationships/hyperlink" Target="https://cdn.jsdelivr.net/gh/EngineerX1234/vocational-images@main/tools/batch-08/beauty-and-wellness-paddle-bristle-brushes.jpg" TargetMode="External"/><Relationship Id="rId492" Type="http://schemas.openxmlformats.org/officeDocument/2006/relationships/hyperlink" Target="https://cdn.jsdelivr.net/gh/EngineerX1234/vocational-images@main/tools/batch-09/beauty-and-wellness-vent-dressing-comb.jpg" TargetMode="External"/><Relationship Id="rId493" Type="http://schemas.openxmlformats.org/officeDocument/2006/relationships/hyperlink" Target="https://cdn.jsdelivr.net/gh/EngineerX1234/vocational-images@main/tools/batch-08/beauty-and-wellness-back-comb.jpg" TargetMode="External"/><Relationship Id="rId494" Type="http://schemas.openxmlformats.org/officeDocument/2006/relationships/hyperlink" Target="https://cdn.jsdelivr.net/gh/EngineerX1234/vocational-images@main/tools/batch-08/beauty-and-wellness-bendy-rollers.jpg" TargetMode="External"/><Relationship Id="rId495" Type="http://schemas.openxmlformats.org/officeDocument/2006/relationships/hyperlink" Target="https://cdn.jsdelivr.net/gh/EngineerX1234/vocational-images@main/tools/batch-09/beauty-and-wellness-velcro-rollers.jpg" TargetMode="External"/><Relationship Id="rId496" Type="http://schemas.openxmlformats.org/officeDocument/2006/relationships/hyperlink" Target="https://cdn.jsdelivr.net/gh/EngineerX1234/vocational-images@main/tools/batch-08/beauty-and-wellness-pin-curl-clips.jpg" TargetMode="External"/><Relationship Id="rId497" Type="http://schemas.openxmlformats.org/officeDocument/2006/relationships/hyperlink" Target="https://cdn.jsdelivr.net/gh/EngineerX1234/vocational-images@main/tools/batch-08/beauty-and-wellness-perm-curlers-various-sizes.jpg" TargetMode="External"/><Relationship Id="rId498" Type="http://schemas.openxmlformats.org/officeDocument/2006/relationships/hyperlink" Target="https://cdn.jsdelivr.net/gh/EngineerX1234/vocational-images@main/tools/batch-08/beauty-and-wellness-bowls.jpg" TargetMode="External"/><Relationship Id="rId499" Type="http://schemas.openxmlformats.org/officeDocument/2006/relationships/hyperlink" Target="https://cdn.jsdelivr.net/gh/EngineerX1234/vocational-images@main/tools/batch-08/beauty-and-wellness-cutting-scissors.jpg" TargetMode="External"/><Relationship Id="rId500" Type="http://schemas.openxmlformats.org/officeDocument/2006/relationships/hyperlink" Target="https://cdn.jsdelivr.net/gh/EngineerX1234/vocational-images@main/tools/batch-08/beauty-and-wellness-hair-clips-set.jpg" TargetMode="External"/><Relationship Id="rId501" Type="http://schemas.openxmlformats.org/officeDocument/2006/relationships/hyperlink" Target="https://cdn.jsdelivr.net/gh/EngineerX1234/vocational-images@main/tools/batch-08/beauty-and-wellness-hair-connector.jpg" TargetMode="External"/><Relationship Id="rId502" Type="http://schemas.openxmlformats.org/officeDocument/2006/relationships/hyperlink" Target="https://cdn.jsdelivr.net/gh/EngineerX1234/vocational-images@main/tools/batch-08/beauty-and-wellness-hair-cutting-comb.jpg" TargetMode="External"/><Relationship Id="rId503" Type="http://schemas.openxmlformats.org/officeDocument/2006/relationships/hyperlink" Target="https://cdn.jsdelivr.net/gh/EngineerX1234/vocational-images@main/tools/batch-08/beauty-and-wellness-hand-mirrors.jpg" TargetMode="External"/><Relationship Id="rId504" Type="http://schemas.openxmlformats.org/officeDocument/2006/relationships/hyperlink" Target="https://cdn.jsdelivr.net/gh/EngineerX1234/vocational-images@main/tools/batch-08/beauty-and-wellness-large-tooth-comb.jpg" TargetMode="External"/><Relationship Id="rId505" Type="http://schemas.openxmlformats.org/officeDocument/2006/relationships/hyperlink" Target="https://cdn.jsdelivr.net/gh/EngineerX1234/vocational-images@main/tools/batch-08/beauty-and-wellness-measuring-spoon-sets.jpg" TargetMode="External"/><Relationship Id="rId506" Type="http://schemas.openxmlformats.org/officeDocument/2006/relationships/hyperlink" Target="https://cdn.jsdelivr.net/gh/EngineerX1234/vocational-images@main/tools/batch-08/beauty-and-wellness-mop.jpg" TargetMode="External"/><Relationship Id="rId507" Type="http://schemas.openxmlformats.org/officeDocument/2006/relationships/hyperlink" Target="https://cdn.jsdelivr.net/gh/EngineerX1234/vocational-images@main/tools/batch-08/beauty-and-wellness-needle-for-striking.jpg" TargetMode="External"/><Relationship Id="rId508" Type="http://schemas.openxmlformats.org/officeDocument/2006/relationships/hyperlink" Target="https://cdn.jsdelivr.net/gh/EngineerX1234/vocational-images@main/tools/batch-09/beauty-and-wellness-razor-with-blade.jpg" TargetMode="External"/><Relationship Id="rId509" Type="http://schemas.openxmlformats.org/officeDocument/2006/relationships/hyperlink" Target="https://cdn.jsdelivr.net/gh/EngineerX1234/vocational-images@main/tools/batch-09/beauty-and-wellness-roller-brush-set-5-in-1.jpg" TargetMode="External"/><Relationship Id="rId510" Type="http://schemas.openxmlformats.org/officeDocument/2006/relationships/hyperlink" Target="https://cdn.jsdelivr.net/gh/EngineerX1234/vocational-images@main/tools/batch-09/beauty-and-wellness-small-scissors.jpg" TargetMode="External"/><Relationship Id="rId511" Type="http://schemas.openxmlformats.org/officeDocument/2006/relationships/hyperlink" Target="https://cdn.jsdelivr.net/gh/EngineerX1234/vocational-images@main/tools/batch-09/beauty-and-wellness-spatula.jpg" TargetMode="External"/><Relationship Id="rId512" Type="http://schemas.openxmlformats.org/officeDocument/2006/relationships/hyperlink" Target="https://cdn.jsdelivr.net/gh/EngineerX1234/vocational-images@main/tools/batch-09/beauty-and-wellness-spray-bottle.jpg" TargetMode="External"/><Relationship Id="rId513" Type="http://schemas.openxmlformats.org/officeDocument/2006/relationships/hyperlink" Target="https://cdn.jsdelivr.net/gh/EngineerX1234/vocational-images@main/tools/batch-09/beauty-and-wellness-tail-comb.jpg" TargetMode="External"/><Relationship Id="rId514" Type="http://schemas.openxmlformats.org/officeDocument/2006/relationships/hyperlink" Target="https://cdn.jsdelivr.net/gh/EngineerX1234/vocational-images@main/tools/batch-09/beauty-and-wellness-thinning-scissors.jpg" TargetMode="External"/><Relationship Id="rId515" Type="http://schemas.openxmlformats.org/officeDocument/2006/relationships/hyperlink" Target="https://cdn.jsdelivr.net/gh/EngineerX1234/vocational-images@main/tools/batch-09/beauty-and-wellness-tinting-brush-with-comb.jpg" TargetMode="External"/><Relationship Id="rId516" Type="http://schemas.openxmlformats.org/officeDocument/2006/relationships/hyperlink" Target="https://cdn.jsdelivr.net/gh/EngineerX1234/vocational-images@main/tools/batch-09/beauty-and-wellness-wide-toothed-comb.jpg" TargetMode="External"/><Relationship Id="rId517" Type="http://schemas.openxmlformats.org/officeDocument/2006/relationships/hyperlink" Target="https://cdn.jsdelivr.net/gh/EngineerX1234/vocational-images@main/tools/batch-08/beauty-and-wellness-climazone.jpg" TargetMode="External"/><Relationship Id="rId518" Type="http://schemas.openxmlformats.org/officeDocument/2006/relationships/hyperlink" Target="https://cdn.jsdelivr.net/gh/EngineerX1234/vocational-images@main/tools/batch-08/beauty-and-wellness-hot-rollers-with-pins.jpg" TargetMode="External"/><Relationship Id="rId519" Type="http://schemas.openxmlformats.org/officeDocument/2006/relationships/hyperlink" Target="https://cdn.jsdelivr.net/gh/EngineerX1234/vocational-images@main/tools/batch-08/beauty-and-wellness-hood-dryer.jpg" TargetMode="External"/><Relationship Id="rId520" Type="http://schemas.openxmlformats.org/officeDocument/2006/relationships/hyperlink" Target="https://cdn.jsdelivr.net/gh/EngineerX1234/vocational-images@main/tools/batch-08/beauty-and-wellness-crimpers.jpg" TargetMode="External"/><Relationship Id="rId521" Type="http://schemas.openxmlformats.org/officeDocument/2006/relationships/hyperlink" Target="https://cdn.jsdelivr.net/gh/EngineerX1234/vocational-images@main/tools/batch-08/beauty-and-wellness-curling-iron.jpg" TargetMode="External"/><Relationship Id="rId522" Type="http://schemas.openxmlformats.org/officeDocument/2006/relationships/hyperlink" Target="https://cdn.jsdelivr.net/gh/EngineerX1234/vocational-images@main/tools/batch-08/beauty-and-wellness-clippers.jpg" TargetMode="External"/><Relationship Id="rId523" Type="http://schemas.openxmlformats.org/officeDocument/2006/relationships/hyperlink" Target="https://cdn.jsdelivr.net/gh/EngineerX1234/vocational-images@main/tools/batch-08/beauty-and-wellness-electric-curler.jpg" TargetMode="External"/><Relationship Id="rId524" Type="http://schemas.openxmlformats.org/officeDocument/2006/relationships/hyperlink" Target="https://cdn.jsdelivr.net/gh/EngineerX1234/vocational-images@main/tools/batch-08/beauty-and-wellness-exfoliation-machine.jpg" TargetMode="External"/><Relationship Id="rId525" Type="http://schemas.openxmlformats.org/officeDocument/2006/relationships/hyperlink" Target="https://cdn.jsdelivr.net/gh/EngineerX1234/vocational-images@main/tools/batch-08/beauty-and-wellness-derma-scope.jpg" TargetMode="External"/><Relationship Id="rId526" Type="http://schemas.openxmlformats.org/officeDocument/2006/relationships/hyperlink" Target="https://cdn.jsdelivr.net/gh/EngineerX1234/vocational-images@main/tools/batch-08/beauty-and-wellness-hair-dryer.jpg" TargetMode="External"/><Relationship Id="rId527" Type="http://schemas.openxmlformats.org/officeDocument/2006/relationships/hyperlink" Target="https://cdn.jsdelivr.net/gh/EngineerX1234/vocational-images@main/tools/batch-08/beauty-and-wellness-hair-steamer.jpg" TargetMode="External"/><Relationship Id="rId528" Type="http://schemas.openxmlformats.org/officeDocument/2006/relationships/hyperlink" Target="https://cdn.jsdelivr.net/gh/EngineerX1234/vocational-images@main/tools/batch-09/beauty-and-wellness-sterilizer.jpg" TargetMode="External"/><Relationship Id="rId529" Type="http://schemas.openxmlformats.org/officeDocument/2006/relationships/hyperlink" Target="https://cdn.jsdelivr.net/gh/EngineerX1234/vocational-images@main/tools/batch-09/beauty-and-wellness-straightening-iron.jpg" TargetMode="External"/><Relationship Id="rId530" Type="http://schemas.openxmlformats.org/officeDocument/2006/relationships/hyperlink" Target="https://cdn.jsdelivr.net/gh/EngineerX1234/vocational-images@main/tools/batch-09/beauty-and-wellness-timer.jpg" TargetMode="External"/><Relationship Id="rId531" Type="http://schemas.openxmlformats.org/officeDocument/2006/relationships/hyperlink" Target="https://cdn.jsdelivr.net/gh/EngineerX1234/vocational-images@main/tools/batch-08/beauty-and-wellness-computer-with-internet.jpg" TargetMode="External"/><Relationship Id="rId532" Type="http://schemas.openxmlformats.org/officeDocument/2006/relationships/hyperlink" Target="https://cdn.jsdelivr.net/gh/EngineerX1234/vocational-images@main/tools/batch-09/beauty-and-wellness-shampoo-bowl-set.jpg" TargetMode="External"/><Relationship Id="rId533" Type="http://schemas.openxmlformats.org/officeDocument/2006/relationships/hyperlink" Target="https://cdn.jsdelivr.net/gh/EngineerX1234/vocational-images@main/tools/batch-09/beauty-and-wellness-shampoo-unit.jpg" TargetMode="External"/><Relationship Id="rId534" Type="http://schemas.openxmlformats.org/officeDocument/2006/relationships/hyperlink" Target="https://cdn.jsdelivr.net/gh/EngineerX1234/vocational-images@main/tools/batch-08/beauty-and-wellness-hi-lo-lighting-cap.jpg" TargetMode="External"/><Relationship Id="rId535" Type="http://schemas.openxmlformats.org/officeDocument/2006/relationships/hyperlink" Target="https://cdn.jsdelivr.net/gh/EngineerX1234/vocational-images@main/tools/batch-08/beauty-and-wellness-frosting-cap.jpg" TargetMode="External"/><Relationship Id="rId536" Type="http://schemas.openxmlformats.org/officeDocument/2006/relationships/hyperlink" Target="https://cdn.jsdelivr.net/gh/EngineerX1234/vocational-images@main/tools/batch-08/beauty-and-wellness-perming-cap.jpg" TargetMode="External"/><Relationship Id="rId537" Type="http://schemas.openxmlformats.org/officeDocument/2006/relationships/hyperlink" Target="https://cdn.jsdelivr.net/gh/EngineerX1234/vocational-images@main/tools/batch-09/beauty-and-wellness-roller-pins.jpg" TargetMode="External"/><Relationship Id="rId538" Type="http://schemas.openxmlformats.org/officeDocument/2006/relationships/hyperlink" Target="https://cdn.jsdelivr.net/gh/EngineerX1234/vocational-images@main/tools/batch-09/construction-plumb-rule-and-bob.jpg" TargetMode="External"/><Relationship Id="rId539" Type="http://schemas.openxmlformats.org/officeDocument/2006/relationships/hyperlink" Target="https://cdn.jsdelivr.net/gh/EngineerX1234/vocational-images@main/tools/batch-10/construction-spirit-level.jpg" TargetMode="External"/><Relationship Id="rId540" Type="http://schemas.openxmlformats.org/officeDocument/2006/relationships/hyperlink" Target="https://cdn.jsdelivr.net/gh/EngineerX1234/vocational-images@main/tools/batch-10/construction-square.jpg" TargetMode="External"/><Relationship Id="rId541" Type="http://schemas.openxmlformats.org/officeDocument/2006/relationships/hyperlink" Target="https://cdn.jsdelivr.net/gh/EngineerX1234/vocational-images@main/tools/batch-09/construction-line-and-pins.jpg" TargetMode="External"/><Relationship Id="rId542" Type="http://schemas.openxmlformats.org/officeDocument/2006/relationships/hyperlink" Target="https://cdn.jsdelivr.net/gh/EngineerX1234/vocational-images@main/tools/batch-09/construction-bolster.jpg" TargetMode="External"/><Relationship Id="rId543" Type="http://schemas.openxmlformats.org/officeDocument/2006/relationships/hyperlink" Target="https://cdn.jsdelivr.net/gh/EngineerX1234/vocational-images@main/tools/batch-09/construction-brick-hammer.jpg" TargetMode="External"/><Relationship Id="rId544" Type="http://schemas.openxmlformats.org/officeDocument/2006/relationships/hyperlink" Target="https://cdn.jsdelivr.net/gh/EngineerX1234/vocational-images@main/tools/batch-10/construction-scutch.jpg" TargetMode="External"/><Relationship Id="rId545" Type="http://schemas.openxmlformats.org/officeDocument/2006/relationships/hyperlink" Target="https://cdn.jsdelivr.net/gh/EngineerX1234/vocational-images@main/tools/batch-09/construction-pick-axe.jpg" TargetMode="External"/><Relationship Id="rId546" Type="http://schemas.openxmlformats.org/officeDocument/2006/relationships/hyperlink" Target="https://cdn.jsdelivr.net/gh/EngineerX1234/vocational-images@main/tools/batch-09/construction-crowbar.jpg" TargetMode="External"/><Relationship Id="rId547" Type="http://schemas.openxmlformats.org/officeDocument/2006/relationships/hyperlink" Target="https://cdn.jsdelivr.net/gh/EngineerX1234/vocational-images@main/tools/batch-09/construction-chisel.jpg" TargetMode="External"/><Relationship Id="rId548" Type="http://schemas.openxmlformats.org/officeDocument/2006/relationships/hyperlink" Target="https://cdn.jsdelivr.net/gh/EngineerX1234/vocational-images@main/tools/batch-09/construction-mash-hammer.jpg" TargetMode="External"/><Relationship Id="rId549" Type="http://schemas.openxmlformats.org/officeDocument/2006/relationships/hyperlink" Target="https://cdn.jsdelivr.net/gh/EngineerX1234/vocational-images@main/tools/batch-09/construction-boaster.jpg" TargetMode="External"/><Relationship Id="rId550" Type="http://schemas.openxmlformats.org/officeDocument/2006/relationships/hyperlink" Target="https://cdn.jsdelivr.net/gh/EngineerX1234/vocational-images@main/tools/batch-10/construction-spall-hammer.jpg" TargetMode="External"/><Relationship Id="rId551" Type="http://schemas.openxmlformats.org/officeDocument/2006/relationships/hyperlink" Target="https://cdn.jsdelivr.net/gh/EngineerX1234/vocational-images@main/tools/batch-10/construction-scrabbling-hammer.jpg" TargetMode="External"/><Relationship Id="rId552" Type="http://schemas.openxmlformats.org/officeDocument/2006/relationships/hyperlink" Target="https://cdn.jsdelivr.net/gh/EngineerX1234/vocational-images@main/tools/batch-09/construction-bevel.jpg" TargetMode="External"/><Relationship Id="rId553" Type="http://schemas.openxmlformats.org/officeDocument/2006/relationships/hyperlink" Target="https://cdn.jsdelivr.net/gh/EngineerX1234/vocational-images@main/tools/batch-10/construction-spade.jpg" TargetMode="External"/><Relationship Id="rId554" Type="http://schemas.openxmlformats.org/officeDocument/2006/relationships/hyperlink" Target="https://cdn.jsdelivr.net/gh/EngineerX1234/vocational-images@main/tools/batch-09/construction-picks-and-beaters.jpg" TargetMode="External"/><Relationship Id="rId555" Type="http://schemas.openxmlformats.org/officeDocument/2006/relationships/hyperlink" Target="https://cdn.jsdelivr.net/gh/EngineerX1234/vocational-images@main/tools/batch-10/construction-wooden-float.jpg" TargetMode="External"/><Relationship Id="rId556" Type="http://schemas.openxmlformats.org/officeDocument/2006/relationships/hyperlink" Target="https://cdn.jsdelivr.net/gh/EngineerX1234/vocational-images@main/tools/batch-09/construction-metal-float.jpg" TargetMode="External"/><Relationship Id="rId557" Type="http://schemas.openxmlformats.org/officeDocument/2006/relationships/hyperlink" Target="https://cdn.jsdelivr.net/gh/EngineerX1234/vocational-images@main/tools/batch-09/construction-floating-rule.jpg" TargetMode="External"/><Relationship Id="rId558" Type="http://schemas.openxmlformats.org/officeDocument/2006/relationships/hyperlink" Target="https://cdn.jsdelivr.net/gh/EngineerX1234/vocational-images@main/tools/batch-10/construction-raking-needle.jpg" TargetMode="External"/><Relationship Id="rId559" Type="http://schemas.openxmlformats.org/officeDocument/2006/relationships/hyperlink" Target="https://cdn.jsdelivr.net/gh/EngineerX1234/vocational-images@main/tools/batch-09/construction-hacking-tool.jpg" TargetMode="External"/><Relationship Id="rId560" Type="http://schemas.openxmlformats.org/officeDocument/2006/relationships/hyperlink" Target="https://cdn.jsdelivr.net/gh/EngineerX1234/vocational-images@main/tools/batch-10/construction-scratcher.jpg" TargetMode="External"/><Relationship Id="rId561" Type="http://schemas.openxmlformats.org/officeDocument/2006/relationships/hyperlink" Target="https://cdn.jsdelivr.net/gh/EngineerX1234/vocational-images@main/tools/batch-10/construction-spade.jpg" TargetMode="External"/><Relationship Id="rId562" Type="http://schemas.openxmlformats.org/officeDocument/2006/relationships/hyperlink" Target="https://cdn.jsdelivr.net/gh/EngineerX1234/vocational-images@main/tools/batch-10/construction-trowel-khurpi.jpg" TargetMode="External"/><Relationship Id="rId563" Type="http://schemas.openxmlformats.org/officeDocument/2006/relationships/hyperlink" Target="https://cdn.jsdelivr.net/gh/EngineerX1234/vocational-images@main/tools/batch-11/electronics-screwdriver-set.jpg" TargetMode="External"/><Relationship Id="rId564" Type="http://schemas.openxmlformats.org/officeDocument/2006/relationships/hyperlink" Target="https://cdn.jsdelivr.net/gh/EngineerX1234/vocational-images@main/tools/batch-11/electronics-lan-tester.jpg" TargetMode="External"/><Relationship Id="rId565" Type="http://schemas.openxmlformats.org/officeDocument/2006/relationships/hyperlink" Target="https://cdn.jsdelivr.net/gh/EngineerX1234/vocational-images@main/tools/batch-11/electronics-motherboard-diagnoser.jpg" TargetMode="External"/><Relationship Id="rId566" Type="http://schemas.openxmlformats.org/officeDocument/2006/relationships/hyperlink" Target="https://cdn.jsdelivr.net/gh/EngineerX1234/vocational-images@main/tools/batch-11/electronics-soldering-iron.jpg" TargetMode="External"/><Relationship Id="rId567" Type="http://schemas.openxmlformats.org/officeDocument/2006/relationships/hyperlink" Target="https://cdn.jsdelivr.net/gh/EngineerX1234/vocational-images@main/tools/batch-17/it-ites-printer.jpg" TargetMode="External"/><Relationship Id="rId568" Type="http://schemas.openxmlformats.org/officeDocument/2006/relationships/hyperlink" Target="https://cdn.jsdelivr.net/gh/EngineerX1234/vocational-images@main/tools/batch-11/electronics-multi-function-laser-printer.jpg" TargetMode="External"/><Relationship Id="rId569" Type="http://schemas.openxmlformats.org/officeDocument/2006/relationships/hyperlink" Target="https://cdn.jsdelivr.net/gh/EngineerX1234/vocational-images@main/tools/batch-17/it-ites-scanner.jpg" TargetMode="External"/><Relationship Id="rId570" Type="http://schemas.openxmlformats.org/officeDocument/2006/relationships/hyperlink" Target="https://cdn.jsdelivr.net/gh/EngineerX1234/vocational-images@main/tools/batch-11/electronics-speakers.jpg" TargetMode="External"/><Relationship Id="rId571" Type="http://schemas.openxmlformats.org/officeDocument/2006/relationships/hyperlink" Target="https://cdn.jsdelivr.net/gh/EngineerX1234/vocational-images@main/tools/batch-21/telecom-network-switch.jpg" TargetMode="External"/><Relationship Id="rId572" Type="http://schemas.openxmlformats.org/officeDocument/2006/relationships/hyperlink" Target="https://cdn.jsdelivr.net/gh/EngineerX1234/vocational-images@main/tools/batch-17/it-ites-scanner.jpg" TargetMode="External"/><Relationship Id="rId573" Type="http://schemas.openxmlformats.org/officeDocument/2006/relationships/hyperlink" Target="https://cdn.jsdelivr.net/gh/EngineerX1234/vocational-images@main/tools/batch-20/telecom-computer-speakers.jpg" TargetMode="External"/><Relationship Id="rId574" Type="http://schemas.openxmlformats.org/officeDocument/2006/relationships/hyperlink" Target="https://cdn.jsdelivr.net/gh/EngineerX1234/vocational-images@main/tools/batch-11/electronics-phase-tester.jpg" TargetMode="External"/><Relationship Id="rId575" Type="http://schemas.openxmlformats.org/officeDocument/2006/relationships/hyperlink" Target="https://cdn.jsdelivr.net/gh/EngineerX1234/vocational-images@main/tools/batch-11/electronics-screwdriver-set.jpg" TargetMode="External"/><Relationship Id="rId576" Type="http://schemas.openxmlformats.org/officeDocument/2006/relationships/hyperlink" Target="https://cdn.jsdelivr.net/gh/EngineerX1234/vocational-images@main/tools/batch-11/electronics-nut-driver-set.jpg" TargetMode="External"/><Relationship Id="rId577" Type="http://schemas.openxmlformats.org/officeDocument/2006/relationships/hyperlink" Target="https://cdn.jsdelivr.net/gh/EngineerX1234/vocational-images@main/tools/batch-10/electronics-combination-plier.jpg" TargetMode="External"/><Relationship Id="rId578" Type="http://schemas.openxmlformats.org/officeDocument/2006/relationships/hyperlink" Target="https://cdn.jsdelivr.net/gh/EngineerX1234/vocational-images@main/tools/batch-11/electronics-spanner-set.jpg" TargetMode="External"/><Relationship Id="rId579" Type="http://schemas.openxmlformats.org/officeDocument/2006/relationships/hyperlink" Target="https://cdn.jsdelivr.net/gh/EngineerX1234/vocational-images@main/tools/batch-11/electronics-soldering-kit.jpg" TargetMode="External"/><Relationship Id="rId580" Type="http://schemas.openxmlformats.org/officeDocument/2006/relationships/hyperlink" Target="https://cdn.jsdelivr.net/gh/EngineerX1234/vocational-images@main/tools/batch-10/electronics-drill-machine.jpg" TargetMode="External"/><Relationship Id="rId581" Type="http://schemas.openxmlformats.org/officeDocument/2006/relationships/hyperlink" Target="https://cdn.jsdelivr.net/gh/EngineerX1234/vocational-images@main/tools/batch-11/electronics-measuring-tape.jpg" TargetMode="External"/><Relationship Id="rId582" Type="http://schemas.openxmlformats.org/officeDocument/2006/relationships/hyperlink" Target="https://cdn.jsdelivr.net/gh/EngineerX1234/vocational-images@main/tools/batch-10/electronics-hacksaw.jpg" TargetMode="External"/><Relationship Id="rId583" Type="http://schemas.openxmlformats.org/officeDocument/2006/relationships/hyperlink" Target="https://cdn.jsdelivr.net/gh/EngineerX1234/vocational-images@main/tools/batch-10/electronics-hammer.jpg" TargetMode="External"/><Relationship Id="rId584" Type="http://schemas.openxmlformats.org/officeDocument/2006/relationships/hyperlink" Target="https://cdn.jsdelivr.net/gh/EngineerX1234/vocational-images@main/tools/batch-11/electronics-scissor.jpg" TargetMode="External"/><Relationship Id="rId585" Type="http://schemas.openxmlformats.org/officeDocument/2006/relationships/hyperlink" Target="https://cdn.jsdelivr.net/gh/EngineerX1234/vocational-images@main/tools/batch-11/electronics-multimeter.jpg" TargetMode="External"/><Relationship Id="rId586" Type="http://schemas.openxmlformats.org/officeDocument/2006/relationships/hyperlink" Target="https://cdn.jsdelivr.net/gh/EngineerX1234/vocational-images@main/tools/batch-10/electronics-clamp-meter.jpg" TargetMode="External"/><Relationship Id="rId587" Type="http://schemas.openxmlformats.org/officeDocument/2006/relationships/hyperlink" Target="https://cdn.jsdelivr.net/gh/EngineerX1234/vocational-images@main/tools/batch-11/electronics-temperature-meter.jpg" TargetMode="External"/><Relationship Id="rId588" Type="http://schemas.openxmlformats.org/officeDocument/2006/relationships/hyperlink" Target="https://cdn.jsdelivr.net/gh/EngineerX1234/vocational-images@main/tools/batch-10/electronics-cable-connector.jpg" TargetMode="External"/><Relationship Id="rId589" Type="http://schemas.openxmlformats.org/officeDocument/2006/relationships/hyperlink" Target="https://cdn.jsdelivr.net/gh/EngineerX1234/vocational-images@main/tools/batch-10/electronics-continuity-tester.jpg" TargetMode="External"/><Relationship Id="rId590" Type="http://schemas.openxmlformats.org/officeDocument/2006/relationships/hyperlink" Target="https://cdn.jsdelivr.net/gh/EngineerX1234/vocational-images@main/tools/batch-11/electronics-ohm-s-law-kit.jpg" TargetMode="External"/><Relationship Id="rId591" Type="http://schemas.openxmlformats.org/officeDocument/2006/relationships/hyperlink" Target="https://cdn.jsdelivr.net/gh/EngineerX1234/vocational-images@main/tools/batch-10/electronics-kirchhoff-s-law-kit.jpg" TargetMode="External"/><Relationship Id="rId592" Type="http://schemas.openxmlformats.org/officeDocument/2006/relationships/hyperlink" Target="https://cdn.jsdelivr.net/gh/EngineerX1234/vocational-images@main/tools/batch-10/electronics-ac-and-dc-motors.jpg" TargetMode="External"/><Relationship Id="rId593" Type="http://schemas.openxmlformats.org/officeDocument/2006/relationships/hyperlink" Target="https://cdn.jsdelivr.net/gh/EngineerX1234/vocational-images@main/tools/batch-11/electronics-regulated-power-supply-kit.jpg" TargetMode="External"/><Relationship Id="rId594" Type="http://schemas.openxmlformats.org/officeDocument/2006/relationships/hyperlink" Target="https://cdn.jsdelivr.net/gh/EngineerX1234/vocational-images@main/tools/batch-11/electronics-sensor.jpg" TargetMode="External"/><Relationship Id="rId595" Type="http://schemas.openxmlformats.org/officeDocument/2006/relationships/hyperlink" Target="https://cdn.jsdelivr.net/gh/EngineerX1234/vocational-images@main/tools/batch-11/electronics-projector.jpg" TargetMode="External"/><Relationship Id="rId596" Type="http://schemas.openxmlformats.org/officeDocument/2006/relationships/hyperlink" Target="https://cdn.jsdelivr.net/gh/EngineerX1234/vocational-images@main/tools/batch-11/electronics-laptop.jpg" TargetMode="External"/><Relationship Id="rId597" Type="http://schemas.openxmlformats.org/officeDocument/2006/relationships/hyperlink" Target="https://cdn.jsdelivr.net/gh/EngineerX1234/vocational-images@main/tools/batch-13/food-processing-serrated-bread-knife.jpg" TargetMode="External"/><Relationship Id="rId598" Type="http://schemas.openxmlformats.org/officeDocument/2006/relationships/hyperlink" Target="https://cdn.jsdelivr.net/gh/EngineerX1234/vocational-images@main/tools/batch-12/food-processing-bread-tin-mould.jpg" TargetMode="External"/><Relationship Id="rId599" Type="http://schemas.openxmlformats.org/officeDocument/2006/relationships/hyperlink" Target="https://cdn.jsdelivr.net/gh/EngineerX1234/vocational-images@main/tools/batch-11/food-processing-aluminium-cake-pan.jpg" TargetMode="External"/><Relationship Id="rId600" Type="http://schemas.openxmlformats.org/officeDocument/2006/relationships/hyperlink" Target="https://cdn.jsdelivr.net/gh/EngineerX1234/vocational-images@main/tools/batch-12/food-processing-cooling-racks.jpg" TargetMode="External"/><Relationship Id="rId601" Type="http://schemas.openxmlformats.org/officeDocument/2006/relationships/hyperlink" Target="https://cdn.jsdelivr.net/gh/EngineerX1234/vocational-images@main/tools/batch-12/food-processing-flour-sifter-sieves.jpg" TargetMode="External"/><Relationship Id="rId602" Type="http://schemas.openxmlformats.org/officeDocument/2006/relationships/hyperlink" Target="https://cdn.jsdelivr.net/gh/EngineerX1234/vocational-images@main/tools/batch-12/food-processing-icing-comb.jpg" TargetMode="External"/><Relationship Id="rId603" Type="http://schemas.openxmlformats.org/officeDocument/2006/relationships/hyperlink" Target="https://cdn.jsdelivr.net/gh/EngineerX1234/vocational-images@main/tools/batch-12/food-processing-measuring-spoon.jpg" TargetMode="External"/><Relationship Id="rId604" Type="http://schemas.openxmlformats.org/officeDocument/2006/relationships/hyperlink" Target="https://cdn.jsdelivr.net/gh/EngineerX1234/vocational-images@main/tools/batch-12/food-processing-mixing-bowl-vessels.jpg" TargetMode="External"/><Relationship Id="rId605" Type="http://schemas.openxmlformats.org/officeDocument/2006/relationships/hyperlink" Target="https://cdn.jsdelivr.net/gh/EngineerX1234/vocational-images@main/tools/batch-12/food-processing-moulds-cutter.jpg" TargetMode="External"/><Relationship Id="rId606" Type="http://schemas.openxmlformats.org/officeDocument/2006/relationships/hyperlink" Target="https://cdn.jsdelivr.net/gh/EngineerX1234/vocational-images@main/tools/batch-12/food-processing-muffin-tray.jpg" TargetMode="External"/><Relationship Id="rId607" Type="http://schemas.openxmlformats.org/officeDocument/2006/relationships/hyperlink" Target="https://cdn.jsdelivr.net/gh/EngineerX1234/vocational-images@main/tools/batch-12/food-processing-nozzle-set.jpg" TargetMode="External"/><Relationship Id="rId608" Type="http://schemas.openxmlformats.org/officeDocument/2006/relationships/hyperlink" Target="https://cdn.jsdelivr.net/gh/EngineerX1234/vocational-images@main/tools/batch-13/food-processing-piping-bag.jpg" TargetMode="External"/><Relationship Id="rId609" Type="http://schemas.openxmlformats.org/officeDocument/2006/relationships/hyperlink" Target="https://cdn.jsdelivr.net/gh/EngineerX1234/vocational-images@main/tools/batch-13/food-processing-plates.jpg" TargetMode="External"/><Relationship Id="rId610" Type="http://schemas.openxmlformats.org/officeDocument/2006/relationships/hyperlink" Target="https://cdn.jsdelivr.net/gh/EngineerX1234/vocational-images@main/tools/batch-13/food-processing-rolling-pin.jpg" TargetMode="External"/><Relationship Id="rId611" Type="http://schemas.openxmlformats.org/officeDocument/2006/relationships/hyperlink" Target="https://cdn.jsdelivr.net/gh/EngineerX1234/vocational-images@main/tools/batch-12/food-processing-cake-rings.jpg" TargetMode="External"/><Relationship Id="rId612" Type="http://schemas.openxmlformats.org/officeDocument/2006/relationships/hyperlink" Target="https://cdn.jsdelivr.net/gh/EngineerX1234/vocational-images@main/tools/batch-13/food-processing-spatula-and-pastry-brush.jpg" TargetMode="External"/><Relationship Id="rId613" Type="http://schemas.openxmlformats.org/officeDocument/2006/relationships/hyperlink" Target="https://cdn.jsdelivr.net/gh/EngineerX1234/vocational-images@main/tools/batch-13/food-processing-spoon-big-and-small.jpg" TargetMode="External"/><Relationship Id="rId614" Type="http://schemas.openxmlformats.org/officeDocument/2006/relationships/hyperlink" Target="https://cdn.jsdelivr.net/gh/EngineerX1234/vocational-images@main/tools/batch-13/food-processing-storage-containers.jpg" TargetMode="External"/><Relationship Id="rId615" Type="http://schemas.openxmlformats.org/officeDocument/2006/relationships/hyperlink" Target="https://cdn.jsdelivr.net/gh/EngineerX1234/vocational-images@main/tools/batch-13/food-processing-strainer.jpg" TargetMode="External"/><Relationship Id="rId616" Type="http://schemas.openxmlformats.org/officeDocument/2006/relationships/hyperlink" Target="https://cdn.jsdelivr.net/gh/EngineerX1234/vocational-images@main/tools/batch-13/food-processing-turn-table.jpg" TargetMode="External"/><Relationship Id="rId617" Type="http://schemas.openxmlformats.org/officeDocument/2006/relationships/hyperlink" Target="https://cdn.jsdelivr.net/gh/EngineerX1234/vocational-images@main/tools/batch-13/food-processing-pizza-cutter.jpg" TargetMode="External"/><Relationship Id="rId618" Type="http://schemas.openxmlformats.org/officeDocument/2006/relationships/hyperlink" Target="https://cdn.jsdelivr.net/gh/EngineerX1234/vocational-images@main/tools/batch-12/food-processing-hand-blender-cum-mixer.jpg" TargetMode="External"/><Relationship Id="rId619" Type="http://schemas.openxmlformats.org/officeDocument/2006/relationships/hyperlink" Target="https://cdn.jsdelivr.net/gh/EngineerX1234/vocational-images@main/tools/batch-13/food-processing-planetary-mixer.jpg" TargetMode="External"/><Relationship Id="rId620" Type="http://schemas.openxmlformats.org/officeDocument/2006/relationships/hyperlink" Target="https://cdn.jsdelivr.net/gh/EngineerX1234/vocational-images@main/tools/batch-13/food-processing-spiral-mixer.jpg" TargetMode="External"/><Relationship Id="rId621" Type="http://schemas.openxmlformats.org/officeDocument/2006/relationships/hyperlink" Target="https://cdn.jsdelivr.net/gh/EngineerX1234/vocational-images@main/tools/batch-17/home-management-and-care-giving-weighing-scale.jpg" TargetMode="External"/><Relationship Id="rId622" Type="http://schemas.openxmlformats.org/officeDocument/2006/relationships/hyperlink" Target="https://cdn.jsdelivr.net/gh/EngineerX1234/vocational-images@main/tools/batch-12/food-processing-dough-sheeter.jpg" TargetMode="External"/><Relationship Id="rId623" Type="http://schemas.openxmlformats.org/officeDocument/2006/relationships/hyperlink" Target="https://cdn.jsdelivr.net/gh/EngineerX1234/vocational-images@main/tools/batch-12/food-processing-baking-trays-moulds-pans.jpg" TargetMode="External"/><Relationship Id="rId624" Type="http://schemas.openxmlformats.org/officeDocument/2006/relationships/hyperlink" Target="https://cdn.jsdelivr.net/gh/EngineerX1234/vocational-images@main/tools/batch-13/food-processing-washing-and-soaking-tanks.jpg" TargetMode="External"/><Relationship Id="rId625" Type="http://schemas.openxmlformats.org/officeDocument/2006/relationships/hyperlink" Target="https://cdn.jsdelivr.net/gh/EngineerX1234/vocational-images@main/tools/batch-13/food-processing-sealing-machine.jpg" TargetMode="External"/><Relationship Id="rId626" Type="http://schemas.openxmlformats.org/officeDocument/2006/relationships/hyperlink" Target="https://cdn.jsdelivr.net/gh/EngineerX1234/vocational-images@main/tools/batch-13/food-processing-storage-bins-silos.jpg" TargetMode="External"/><Relationship Id="rId627" Type="http://schemas.openxmlformats.org/officeDocument/2006/relationships/hyperlink" Target="https://cdn.jsdelivr.net/gh/EngineerX1234/vocational-images@main/tools/batch-12/food-processing-millet-cleaning-machine.jpg" TargetMode="External"/><Relationship Id="rId628" Type="http://schemas.openxmlformats.org/officeDocument/2006/relationships/hyperlink" Target="https://cdn.jsdelivr.net/gh/EngineerX1234/vocational-images@main/tools/batch-12/food-processing-dehulling-machine.jpg" TargetMode="External"/><Relationship Id="rId629" Type="http://schemas.openxmlformats.org/officeDocument/2006/relationships/hyperlink" Target="https://cdn.jsdelivr.net/gh/EngineerX1234/vocational-images@main/tools/batch-12/food-processing-grading-machine.jpg" TargetMode="External"/><Relationship Id="rId630" Type="http://schemas.openxmlformats.org/officeDocument/2006/relationships/hyperlink" Target="https://cdn.jsdelivr.net/gh/EngineerX1234/vocational-images@main/tools/batch-12/food-processing-hammer-mill-pulverizer.jpg" TargetMode="External"/><Relationship Id="rId631" Type="http://schemas.openxmlformats.org/officeDocument/2006/relationships/hyperlink" Target="https://cdn.jsdelivr.net/gh/EngineerX1234/vocational-images@main/tools/batch-13/food-processing-stone-mill-roller-mill.jpg" TargetMode="External"/><Relationship Id="rId632" Type="http://schemas.openxmlformats.org/officeDocument/2006/relationships/hyperlink" Target="https://cdn.jsdelivr.net/gh/EngineerX1234/vocational-images@main/tools/batch-13/food-processing-roaster-dryer.jpg" TargetMode="External"/><Relationship Id="rId633" Type="http://schemas.openxmlformats.org/officeDocument/2006/relationships/hyperlink" Target="https://cdn.jsdelivr.net/gh/EngineerX1234/vocational-images@main/tools/batch-12/food-processing-hot-extruder-machine.jpg" TargetMode="External"/><Relationship Id="rId634" Type="http://schemas.openxmlformats.org/officeDocument/2006/relationships/hyperlink" Target="https://cdn.jsdelivr.net/gh/EngineerX1234/vocational-images@main/tools/batch-12/food-processing-cold-extrusion-machine.jpg" TargetMode="External"/><Relationship Id="rId635" Type="http://schemas.openxmlformats.org/officeDocument/2006/relationships/hyperlink" Target="https://cdn.jsdelivr.net/gh/EngineerX1234/vocational-images@main/tools/batch-12/food-processing-flaking-puffing-machine.jpg" TargetMode="External"/><Relationship Id="rId636" Type="http://schemas.openxmlformats.org/officeDocument/2006/relationships/hyperlink" Target="https://cdn.jsdelivr.net/gh/EngineerX1234/vocational-images@main/tools/batch-13/food-processing-sheeter-cutter.jpg" TargetMode="External"/><Relationship Id="rId637" Type="http://schemas.openxmlformats.org/officeDocument/2006/relationships/hyperlink" Target="https://cdn.jsdelivr.net/gh/EngineerX1234/vocational-images@main/tools/batch-13/food-processing-weighing-and-filling-machine.jpg" TargetMode="External"/><Relationship Id="rId638" Type="http://schemas.openxmlformats.org/officeDocument/2006/relationships/hyperlink" Target="https://cdn.jsdelivr.net/gh/EngineerX1234/vocational-images@main/tools/batch-14/green-jobs-tool-kit-2.jpg" TargetMode="External"/><Relationship Id="rId639" Type="http://schemas.openxmlformats.org/officeDocument/2006/relationships/hyperlink" Target="https://cdn.jsdelivr.net/gh/EngineerX1234/vocational-images@main/tools/batch-13/green-jobs-electrician-knife-2.jpg" TargetMode="External"/><Relationship Id="rId640" Type="http://schemas.openxmlformats.org/officeDocument/2006/relationships/hyperlink" Target="https://cdn.jsdelivr.net/gh/EngineerX1234/vocational-images@main/tools/batch-14/green-jobs-water-level-indicator.jpg" TargetMode="External"/><Relationship Id="rId641" Type="http://schemas.openxmlformats.org/officeDocument/2006/relationships/hyperlink" Target="https://cdn.jsdelivr.net/gh/EngineerX1234/vocational-images@main/tools/batch-14/green-jobs-pvc-mallet-2.jpg" TargetMode="External"/><Relationship Id="rId642" Type="http://schemas.openxmlformats.org/officeDocument/2006/relationships/hyperlink" Target="https://cdn.jsdelivr.net/gh/EngineerX1234/vocational-images@main/tools/batch-13/green-jobs-fuse-puller.jpg" TargetMode="External"/><Relationship Id="rId643" Type="http://schemas.openxmlformats.org/officeDocument/2006/relationships/hyperlink" Target="https://cdn.jsdelivr.net/gh/EngineerX1234/vocational-images@main/tools/batch-14/green-jobs-torque-wrench.jpg" TargetMode="External"/><Relationship Id="rId644" Type="http://schemas.openxmlformats.org/officeDocument/2006/relationships/hyperlink" Target="https://cdn.jsdelivr.net/gh/EngineerX1234/vocational-images@main/tools/batch-13/green-jobs-compass.jpg" TargetMode="External"/><Relationship Id="rId645" Type="http://schemas.openxmlformats.org/officeDocument/2006/relationships/hyperlink" Target="https://cdn.jsdelivr.net/gh/EngineerX1234/vocational-images@main/tools/batch-14/green-jobs-spirit-level-water-level.jpg" TargetMode="External"/><Relationship Id="rId646" Type="http://schemas.openxmlformats.org/officeDocument/2006/relationships/hyperlink" Target="https://cdn.jsdelivr.net/gh/EngineerX1234/vocational-images@main/tools/batch-13/green-jobs-double-ended-flat-and-ring-spanner.jpg" TargetMode="External"/><Relationship Id="rId647" Type="http://schemas.openxmlformats.org/officeDocument/2006/relationships/hyperlink" Target="https://cdn.jsdelivr.net/gh/EngineerX1234/vocational-images@main/tools/batch-13/green-jobs-combination-plier.jpg" TargetMode="External"/><Relationship Id="rId648" Type="http://schemas.openxmlformats.org/officeDocument/2006/relationships/hyperlink" Target="https://cdn.jsdelivr.net/gh/EngineerX1234/vocational-images@main/tools/batch-14/green-jobs-side-cutting-plier.jpg" TargetMode="External"/><Relationship Id="rId649" Type="http://schemas.openxmlformats.org/officeDocument/2006/relationships/hyperlink" Target="https://cdn.jsdelivr.net/gh/EngineerX1234/vocational-images@main/tools/batch-14/green-jobs-nose-pliers-2.jpg" TargetMode="External"/><Relationship Id="rId650" Type="http://schemas.openxmlformats.org/officeDocument/2006/relationships/hyperlink" Target="https://cdn.jsdelivr.net/gh/EngineerX1234/vocational-images@main/tools/batch-14/green-jobs-wire-stripper-2.jpg" TargetMode="External"/><Relationship Id="rId651" Type="http://schemas.openxmlformats.org/officeDocument/2006/relationships/hyperlink" Target="https://cdn.jsdelivr.net/gh/EngineerX1234/vocational-images@main/tools/batch-13/green-jobs-hacksaw-frame-with-the-blade.jpg" TargetMode="External"/><Relationship Id="rId652" Type="http://schemas.openxmlformats.org/officeDocument/2006/relationships/hyperlink" Target="https://cdn.jsdelivr.net/gh/EngineerX1234/vocational-images@main/tools/batch-14/green-jobs-screw-driver.jpg" TargetMode="External"/><Relationship Id="rId653" Type="http://schemas.openxmlformats.org/officeDocument/2006/relationships/hyperlink" Target="https://cdn.jsdelivr.net/gh/EngineerX1234/vocational-images@main/tools/batch-14/green-jobs-torque-wrench.jpg" TargetMode="External"/><Relationship Id="rId654" Type="http://schemas.openxmlformats.org/officeDocument/2006/relationships/hyperlink" Target="https://cdn.jsdelivr.net/gh/EngineerX1234/vocational-images@main/tools/batch-14/green-jobs-wire-stripper-2.jpg" TargetMode="External"/><Relationship Id="rId655" Type="http://schemas.openxmlformats.org/officeDocument/2006/relationships/hyperlink" Target="https://cdn.jsdelivr.net/gh/EngineerX1234/vocational-images@main/tools/batch-14/green-jobs-measuring-tape-2.jpg" TargetMode="External"/><Relationship Id="rId656" Type="http://schemas.openxmlformats.org/officeDocument/2006/relationships/hyperlink" Target="https://cdn.jsdelivr.net/gh/EngineerX1234/vocational-images@main/tools/batch-14/green-jobs-line-dori.jpg" TargetMode="External"/><Relationship Id="rId657" Type="http://schemas.openxmlformats.org/officeDocument/2006/relationships/hyperlink" Target="https://cdn.jsdelivr.net/gh/EngineerX1234/vocational-images@main/tools/batch-14/green-jobs-plumb-bob-2.jpg" TargetMode="External"/><Relationship Id="rId658" Type="http://schemas.openxmlformats.org/officeDocument/2006/relationships/hyperlink" Target="https://cdn.jsdelivr.net/gh/EngineerX1234/vocational-images@main/tools/batch-14/green-jobs-vernier-calliper-2.jpg" TargetMode="External"/><Relationship Id="rId659" Type="http://schemas.openxmlformats.org/officeDocument/2006/relationships/hyperlink" Target="https://cdn.jsdelivr.net/gh/EngineerX1234/vocational-images@main/tools/batch-13/green-jobs-allen-key-set.jpg" TargetMode="External"/><Relationship Id="rId660" Type="http://schemas.openxmlformats.org/officeDocument/2006/relationships/hyperlink" Target="https://cdn.jsdelivr.net/gh/EngineerX1234/vocational-images@main/tools/batch-13/green-jobs-centre-punch-2.jpg" TargetMode="External"/><Relationship Id="rId661" Type="http://schemas.openxmlformats.org/officeDocument/2006/relationships/hyperlink" Target="https://cdn.jsdelivr.net/gh/EngineerX1234/vocational-images@main/tools/batch-14/green-jobs-standard-wire-gauge-2.jpg" TargetMode="External"/><Relationship Id="rId662" Type="http://schemas.openxmlformats.org/officeDocument/2006/relationships/hyperlink" Target="https://cdn.jsdelivr.net/gh/EngineerX1234/vocational-images@main/tools/batch-13/green-jobs-cable-cutter-2.jpg" TargetMode="External"/><Relationship Id="rId663" Type="http://schemas.openxmlformats.org/officeDocument/2006/relationships/hyperlink" Target="https://cdn.jsdelivr.net/gh/EngineerX1234/vocational-images@main/tools/batch-11/electronics-screwdriver-set.jpg" TargetMode="External"/><Relationship Id="rId664" Type="http://schemas.openxmlformats.org/officeDocument/2006/relationships/hyperlink" Target="https://cdn.jsdelivr.net/gh/EngineerX1234/vocational-images@main/tools/batch-14/green-jobs-wire-stripper-2.jpg" TargetMode="External"/><Relationship Id="rId665" Type="http://schemas.openxmlformats.org/officeDocument/2006/relationships/hyperlink" Target="https://cdn.jsdelivr.net/gh/EngineerX1234/vocational-images@main/tools/batch-13/green-jobs-a-complete-unit-of-solar-photovoltaic-system.jpg" TargetMode="External"/><Relationship Id="rId666" Type="http://schemas.openxmlformats.org/officeDocument/2006/relationships/hyperlink" Target="https://cdn.jsdelivr.net/gh/EngineerX1234/vocational-images@main/tools/batch-14/green-jobs-solar-power-meter-pyranometer-2.jpg" TargetMode="External"/><Relationship Id="rId667" Type="http://schemas.openxmlformats.org/officeDocument/2006/relationships/hyperlink" Target="https://cdn.jsdelivr.net/gh/EngineerX1234/vocational-images@main/tools/batch-14/green-jobs-solar-photovoltaic-inverter.jpg" TargetMode="External"/><Relationship Id="rId668" Type="http://schemas.openxmlformats.org/officeDocument/2006/relationships/hyperlink" Target="https://cdn.jsdelivr.net/gh/EngineerX1234/vocational-images@main/tools/batch-13/green-jobs-energy-meter.jpg" TargetMode="External"/><Relationship Id="rId669" Type="http://schemas.openxmlformats.org/officeDocument/2006/relationships/hyperlink" Target="https://cdn.jsdelivr.net/gh/EngineerX1234/vocational-images@main/tools/batch-13/green-jobs-battery.jpg" TargetMode="External"/><Relationship Id="rId670" Type="http://schemas.openxmlformats.org/officeDocument/2006/relationships/hyperlink" Target="https://cdn.jsdelivr.net/gh/EngineerX1234/vocational-images@main/tools/batch-14/green-jobs-tong-tester-ac-dc.jpg" TargetMode="External"/><Relationship Id="rId671" Type="http://schemas.openxmlformats.org/officeDocument/2006/relationships/hyperlink" Target="https://cdn.jsdelivr.net/gh/EngineerX1234/vocational-images@main/tools/batch-14/green-jobs-multimeter-2.jpg" TargetMode="External"/><Relationship Id="rId672" Type="http://schemas.openxmlformats.org/officeDocument/2006/relationships/hyperlink" Target="https://cdn.jsdelivr.net/gh/EngineerX1234/vocational-images@main/tools/batch-14/green-jobs-soldering-iron-2.jpg" TargetMode="External"/><Relationship Id="rId673" Type="http://schemas.openxmlformats.org/officeDocument/2006/relationships/hyperlink" Target="https://cdn.jsdelivr.net/gh/EngineerX1234/vocational-images@main/tools/batch-14/green-jobs-phase-sequence-meter-2.jpg" TargetMode="External"/><Relationship Id="rId674" Type="http://schemas.openxmlformats.org/officeDocument/2006/relationships/hyperlink" Target="https://cdn.jsdelivr.net/gh/EngineerX1234/vocational-images@main/tools/batch-14/green-jobs-inclinometer.jpg" TargetMode="External"/><Relationship Id="rId675" Type="http://schemas.openxmlformats.org/officeDocument/2006/relationships/hyperlink" Target="https://cdn.jsdelivr.net/gh/EngineerX1234/vocational-images@main/tools/batch-13/green-jobs-clamp-meter-2.jpg" TargetMode="External"/><Relationship Id="rId676" Type="http://schemas.openxmlformats.org/officeDocument/2006/relationships/hyperlink" Target="https://cdn.jsdelivr.net/gh/EngineerX1234/vocational-images@main/tools/batch-13/green-jobs-earth-tester-2.jpg" TargetMode="External"/><Relationship Id="rId677" Type="http://schemas.openxmlformats.org/officeDocument/2006/relationships/hyperlink" Target="https://cdn.jsdelivr.net/gh/EngineerX1234/vocational-images@main/tools/batch-14/green-jobs-lux-meter.jpg" TargetMode="External"/><Relationship Id="rId678" Type="http://schemas.openxmlformats.org/officeDocument/2006/relationships/hyperlink" Target="https://cdn.jsdelivr.net/gh/EngineerX1234/vocational-images@main/tools/batch-13/green-jobs-drill-machine-2.jpg" TargetMode="External"/><Relationship Id="rId679" Type="http://schemas.openxmlformats.org/officeDocument/2006/relationships/hyperlink" Target="https://cdn.jsdelivr.net/gh/EngineerX1234/vocational-images@main/tools/batch-13/green-jobs-drill-machine-2.jpg" TargetMode="External"/><Relationship Id="rId680" Type="http://schemas.openxmlformats.org/officeDocument/2006/relationships/hyperlink" Target="https://cdn.jsdelivr.net/gh/EngineerX1234/vocational-images@main/tools/batch-13/green-jobs-charge-controller.jpg" TargetMode="External"/><Relationship Id="rId681" Type="http://schemas.openxmlformats.org/officeDocument/2006/relationships/hyperlink" Target="https://cdn.jsdelivr.net/gh/EngineerX1234/vocational-images@main/tools/batch-14/green-jobs-load-ac-dc.jpg" TargetMode="External"/><Relationship Id="rId682" Type="http://schemas.openxmlformats.org/officeDocument/2006/relationships/hyperlink" Target="https://cdn.jsdelivr.net/gh/EngineerX1234/vocational-images@main/tools/batch-14/green-jobs-solar-conversion-kits.jpg" TargetMode="External"/><Relationship Id="rId683" Type="http://schemas.openxmlformats.org/officeDocument/2006/relationships/hyperlink" Target="https://cdn.jsdelivr.net/gh/EngineerX1234/vocational-images@main/tools/batch-14/green-jobs-solar-panels.jpg" TargetMode="External"/><Relationship Id="rId684" Type="http://schemas.openxmlformats.org/officeDocument/2006/relationships/hyperlink" Target="https://cdn.jsdelivr.net/gh/EngineerX1234/vocational-images@main/tools/batch-14/green-jobs-soldering-iron-2.jpg" TargetMode="External"/><Relationship Id="rId685" Type="http://schemas.openxmlformats.org/officeDocument/2006/relationships/hyperlink" Target="https://cdn.jsdelivr.net/gh/EngineerX1234/vocational-images@main/tools/batch-13/green-jobs-cleaning-equipment.jpg" TargetMode="External"/><Relationship Id="rId686" Type="http://schemas.openxmlformats.org/officeDocument/2006/relationships/hyperlink" Target="https://cdn.jsdelivr.net/gh/EngineerX1234/vocational-images@main/tools/batch-14/green-jobs-lcd-projector.jpg" TargetMode="External"/><Relationship Id="rId687" Type="http://schemas.openxmlformats.org/officeDocument/2006/relationships/hyperlink" Target="https://cdn.jsdelivr.net/gh/EngineerX1234/vocational-images@main/tools/batch-16/healthcare-oxygen-key.jpg" TargetMode="External"/><Relationship Id="rId688" Type="http://schemas.openxmlformats.org/officeDocument/2006/relationships/hyperlink" Target="https://cdn.jsdelivr.net/gh/EngineerX1234/vocational-images@main/tools/batch-16/healthcare-kidney-tray.jpg" TargetMode="External"/><Relationship Id="rId689" Type="http://schemas.openxmlformats.org/officeDocument/2006/relationships/hyperlink" Target="https://cdn.jsdelivr.net/gh/EngineerX1234/vocational-images@main/tools/batch-16/healthcare-measuring-tape.jpg" TargetMode="External"/><Relationship Id="rId690" Type="http://schemas.openxmlformats.org/officeDocument/2006/relationships/hyperlink" Target="https://cdn.jsdelivr.net/gh/EngineerX1234/vocational-images@main/tools/batch-15/healthcare-comb.jpg" TargetMode="External"/><Relationship Id="rId691" Type="http://schemas.openxmlformats.org/officeDocument/2006/relationships/hyperlink" Target="https://cdn.jsdelivr.net/gh/EngineerX1234/vocational-images@main/tools/batch-16/healthcare-spatula.jpg" TargetMode="External"/><Relationship Id="rId692" Type="http://schemas.openxmlformats.org/officeDocument/2006/relationships/hyperlink" Target="https://cdn.jsdelivr.net/gh/EngineerX1234/vocational-images@main/tools/batch-16/healthcare-transfer-forceps.jpg" TargetMode="External"/><Relationship Id="rId693" Type="http://schemas.openxmlformats.org/officeDocument/2006/relationships/hyperlink" Target="https://cdn.jsdelivr.net/gh/EngineerX1234/vocational-images@main/tools/batch-16/healthcare-tourniquet.jpg" TargetMode="External"/><Relationship Id="rId694" Type="http://schemas.openxmlformats.org/officeDocument/2006/relationships/hyperlink" Target="https://cdn.jsdelivr.net/gh/EngineerX1234/vocational-images@main/tools/batch-15/healthcare-ambu-mask-adult.jpg" TargetMode="External"/><Relationship Id="rId695" Type="http://schemas.openxmlformats.org/officeDocument/2006/relationships/hyperlink" Target="https://cdn.jsdelivr.net/gh/EngineerX1234/vocational-images@main/tools/batch-16/healthcare-pocket-mask.jpg" TargetMode="External"/><Relationship Id="rId696" Type="http://schemas.openxmlformats.org/officeDocument/2006/relationships/hyperlink" Target="https://cdn.jsdelivr.net/gh/EngineerX1234/vocational-images@main/tools/batch-16/healthcare-stop-watch.jpg" TargetMode="External"/><Relationship Id="rId697" Type="http://schemas.openxmlformats.org/officeDocument/2006/relationships/hyperlink" Target="https://cdn.jsdelivr.net/gh/EngineerX1234/vocational-images@main/tools/batch-16/healthcare-oxygen-cylinder.jpg" TargetMode="External"/><Relationship Id="rId698" Type="http://schemas.openxmlformats.org/officeDocument/2006/relationships/hyperlink" Target="https://cdn.jsdelivr.net/gh/EngineerX1234/vocational-images@main/tools/batch-16/healthcare-wheel-chair.jpg" TargetMode="External"/><Relationship Id="rId699" Type="http://schemas.openxmlformats.org/officeDocument/2006/relationships/hyperlink" Target="https://cdn.jsdelivr.net/gh/EngineerX1234/vocational-images@main/tools/batch-16/healthcare-walker.jpg" TargetMode="External"/><Relationship Id="rId700" Type="http://schemas.openxmlformats.org/officeDocument/2006/relationships/hyperlink" Target="https://cdn.jsdelivr.net/gh/EngineerX1234/vocational-images@main/tools/batch-15/healthcare-crutch.jpg" TargetMode="External"/><Relationship Id="rId701" Type="http://schemas.openxmlformats.org/officeDocument/2006/relationships/hyperlink" Target="https://cdn.jsdelivr.net/gh/EngineerX1234/vocational-images@main/tools/batch-16/healthcare-stretcher.jpg" TargetMode="External"/><Relationship Id="rId702" Type="http://schemas.openxmlformats.org/officeDocument/2006/relationships/hyperlink" Target="https://cdn.jsdelivr.net/gh/EngineerX1234/vocational-images@main/tools/batch-15/healthcare-cane.jpg" TargetMode="External"/><Relationship Id="rId703" Type="http://schemas.openxmlformats.org/officeDocument/2006/relationships/hyperlink" Target="https://cdn.jsdelivr.net/gh/EngineerX1234/vocational-images@main/tools/batch-16/healthcare-spine-board.jpg" TargetMode="External"/><Relationship Id="rId704" Type="http://schemas.openxmlformats.org/officeDocument/2006/relationships/hyperlink" Target="https://cdn.jsdelivr.net/gh/EngineerX1234/vocational-images@main/tools/batch-16/healthcare-iv-stand.jpg" TargetMode="External"/><Relationship Id="rId705" Type="http://schemas.openxmlformats.org/officeDocument/2006/relationships/hyperlink" Target="https://cdn.jsdelivr.net/gh/EngineerX1234/vocational-images@main/tools/batch-16/healthcare-measuring-glass.jpg" TargetMode="External"/><Relationship Id="rId706" Type="http://schemas.openxmlformats.org/officeDocument/2006/relationships/hyperlink" Target="https://cdn.jsdelivr.net/gh/EngineerX1234/vocational-images@main/tools/batch-16/healthcare-syringe-destroyer.jpg" TargetMode="External"/><Relationship Id="rId707" Type="http://schemas.openxmlformats.org/officeDocument/2006/relationships/hyperlink" Target="https://cdn.jsdelivr.net/gh/EngineerX1234/vocational-images@main/tools/batch-16/healthcare-syringe-sterilizer.jpg" TargetMode="External"/><Relationship Id="rId708" Type="http://schemas.openxmlformats.org/officeDocument/2006/relationships/hyperlink" Target="https://cdn.jsdelivr.net/gh/EngineerX1234/vocational-images@main/tools/batch-16/healthcare-needle-burner.jpg" TargetMode="External"/><Relationship Id="rId709" Type="http://schemas.openxmlformats.org/officeDocument/2006/relationships/hyperlink" Target="https://cdn.jsdelivr.net/gh/EngineerX1234/vocational-images@main/tools/batch-16/healthcare-thermometer.jpg" TargetMode="External"/><Relationship Id="rId710" Type="http://schemas.openxmlformats.org/officeDocument/2006/relationships/hyperlink" Target="https://cdn.jsdelivr.net/gh/EngineerX1234/vocational-images@main/tools/batch-15/healthcare-call-bell.jpg" TargetMode="External"/><Relationship Id="rId711" Type="http://schemas.openxmlformats.org/officeDocument/2006/relationships/hyperlink" Target="https://cdn.jsdelivr.net/gh/EngineerX1234/vocational-images@main/tools/batch-16/healthcare-drum.jpg" TargetMode="External"/><Relationship Id="rId712" Type="http://schemas.openxmlformats.org/officeDocument/2006/relationships/hyperlink" Target="https://cdn.jsdelivr.net/gh/EngineerX1234/vocational-images@main/tools/batch-16/healthcare-suction-apparatus.jpg" TargetMode="External"/><Relationship Id="rId713" Type="http://schemas.openxmlformats.org/officeDocument/2006/relationships/hyperlink" Target="https://cdn.jsdelivr.net/gh/EngineerX1234/vocational-images@main/tools/batch-16/healthcare-projector.jpg" TargetMode="External"/><Relationship Id="rId714" Type="http://schemas.openxmlformats.org/officeDocument/2006/relationships/hyperlink" Target="https://cdn.jsdelivr.net/gh/EngineerX1234/vocational-images@main/tools/batch-16/healthcare-speaker.jpg" TargetMode="External"/><Relationship Id="rId715" Type="http://schemas.openxmlformats.org/officeDocument/2006/relationships/hyperlink" Target="https://cdn.jsdelivr.net/gh/EngineerX1234/vocational-images@main/tools/batch-16/healthcare-steel-basin.jpg" TargetMode="External"/><Relationship Id="rId716" Type="http://schemas.openxmlformats.org/officeDocument/2006/relationships/hyperlink" Target="https://cdn.jsdelivr.net/gh/EngineerX1234/vocational-images@main/tools/batch-15/healthcare-bed-pan.jpg" TargetMode="External"/><Relationship Id="rId717" Type="http://schemas.openxmlformats.org/officeDocument/2006/relationships/hyperlink" Target="https://cdn.jsdelivr.net/gh/EngineerX1234/vocational-images@main/tools/batch-16/healthcare-steel-plate.jpg" TargetMode="External"/><Relationship Id="rId718" Type="http://schemas.openxmlformats.org/officeDocument/2006/relationships/hyperlink" Target="https://cdn.jsdelivr.net/gh/EngineerX1234/vocational-images@main/tools/batch-16/healthcare-steel-glass.jpg" TargetMode="External"/><Relationship Id="rId719" Type="http://schemas.openxmlformats.org/officeDocument/2006/relationships/hyperlink" Target="https://cdn.jsdelivr.net/gh/EngineerX1234/vocational-images@main/tools/batch-16/healthcare-steel-bowl.jpg" TargetMode="External"/><Relationship Id="rId720" Type="http://schemas.openxmlformats.org/officeDocument/2006/relationships/hyperlink" Target="https://cdn.jsdelivr.net/gh/EngineerX1234/vocational-images@main/tools/batch-16/healthcare-spoon.jpg" TargetMode="External"/><Relationship Id="rId721" Type="http://schemas.openxmlformats.org/officeDocument/2006/relationships/hyperlink" Target="https://cdn.jsdelivr.net/gh/EngineerX1234/vocational-images@main/tools/batch-16/healthcare-steel-jug.jpg" TargetMode="External"/><Relationship Id="rId722" Type="http://schemas.openxmlformats.org/officeDocument/2006/relationships/hyperlink" Target="https://cdn.jsdelivr.net/gh/EngineerX1234/vocational-images@main/tools/batch-15/healthcare-bath-tub.jpg" TargetMode="External"/><Relationship Id="rId723" Type="http://schemas.openxmlformats.org/officeDocument/2006/relationships/hyperlink" Target="https://cdn.jsdelivr.net/gh/EngineerX1234/vocational-images@main/tools/batch-16/healthcare-extension-cord.jpg" TargetMode="External"/><Relationship Id="rId724" Type="http://schemas.openxmlformats.org/officeDocument/2006/relationships/hyperlink" Target="https://cdn.jsdelivr.net/gh/EngineerX1234/vocational-images@main/tools/batch-16/healthcare-enamel-basin.jpg" TargetMode="External"/><Relationship Id="rId725" Type="http://schemas.openxmlformats.org/officeDocument/2006/relationships/hyperlink" Target="https://cdn.jsdelivr.net/gh/EngineerX1234/vocational-images@main/tools/batch-20/telecom-desktop-computers.jpg" TargetMode="External"/><Relationship Id="rId726" Type="http://schemas.openxmlformats.org/officeDocument/2006/relationships/hyperlink" Target="https://cdn.jsdelivr.net/gh/EngineerX1234/vocational-images@main/tools/batch-17/it-ites-printer.jpg" TargetMode="External"/><Relationship Id="rId727" Type="http://schemas.openxmlformats.org/officeDocument/2006/relationships/hyperlink" Target="https://cdn.jsdelivr.net/gh/EngineerX1234/vocational-images@main/tools/batch-17/it-ites-projector.jpg" TargetMode="External"/><Relationship Id="rId728" Type="http://schemas.openxmlformats.org/officeDocument/2006/relationships/hyperlink" Target="https://cdn.jsdelivr.net/gh/EngineerX1234/vocational-images@main/tools/batch-17/it-ites-laptop.jpg" TargetMode="External"/><Relationship Id="rId729" Type="http://schemas.openxmlformats.org/officeDocument/2006/relationships/hyperlink" Target="https://cdn.jsdelivr.net/gh/EngineerX1234/vocational-images@main/tools/batch-20/telecom-desktop-computers.jpg" TargetMode="External"/><Relationship Id="rId730" Type="http://schemas.openxmlformats.org/officeDocument/2006/relationships/hyperlink" Target="https://cdn.jsdelivr.net/gh/EngineerX1234/vocational-images@main/tools/batch-17/it-ites-printer.jpg" TargetMode="External"/><Relationship Id="rId731" Type="http://schemas.openxmlformats.org/officeDocument/2006/relationships/hyperlink" Target="https://cdn.jsdelivr.net/gh/EngineerX1234/vocational-images@main/tools/batch-17/it-ites-projector.jpg" TargetMode="External"/><Relationship Id="rId732" Type="http://schemas.openxmlformats.org/officeDocument/2006/relationships/hyperlink" Target="https://cdn.jsdelivr.net/gh/EngineerX1234/vocational-images@main/tools/batch-17/it-ites-laptop.jpg" TargetMode="External"/><Relationship Id="rId733" Type="http://schemas.openxmlformats.org/officeDocument/2006/relationships/hyperlink" Target="https://cdn.jsdelivr.net/gh/EngineerX1234/vocational-images@main/tools/batch-17/it-ites-projector.jpg" TargetMode="External"/><Relationship Id="rId734" Type="http://schemas.openxmlformats.org/officeDocument/2006/relationships/hyperlink" Target="https://cdn.jsdelivr.net/gh/EngineerX1234/vocational-images@main/tools/batch-17/it-ites-laptop.jpg" TargetMode="External"/><Relationship Id="rId735" Type="http://schemas.openxmlformats.org/officeDocument/2006/relationships/hyperlink" Target="https://cdn.jsdelivr.net/gh/EngineerX1234/vocational-images@main/tools/batch-18/media-and-entertainment-computer.jpg" TargetMode="External"/><Relationship Id="rId736" Type="http://schemas.openxmlformats.org/officeDocument/2006/relationships/hyperlink" Target="https://cdn.jsdelivr.net/gh/EngineerX1234/vocational-images@main/tools/batch-17/it-ites-laser-printer-black.jpg" TargetMode="External"/><Relationship Id="rId737" Type="http://schemas.openxmlformats.org/officeDocument/2006/relationships/hyperlink" Target="https://cdn.jsdelivr.net/gh/EngineerX1234/vocational-images@main/tools/batch-17/it-ites-inkjet-printers-colour-and-black.jpg" TargetMode="External"/><Relationship Id="rId738" Type="http://schemas.openxmlformats.org/officeDocument/2006/relationships/hyperlink" Target="https://cdn.jsdelivr.net/gh/EngineerX1234/vocational-images@main/tools/batch-17/it-ites-scanner.jpg" TargetMode="External"/><Relationship Id="rId739" Type="http://schemas.openxmlformats.org/officeDocument/2006/relationships/hyperlink" Target="https://cdn.jsdelivr.net/gh/EngineerX1234/vocational-images@main/tools/batch-17/it-ites-online-ups-5-kva.jpg" TargetMode="External"/><Relationship Id="rId740" Type="http://schemas.openxmlformats.org/officeDocument/2006/relationships/hyperlink" Target="https://cdn.jsdelivr.net/gh/EngineerX1234/vocational-images@main/tools/batch-18/logistics-sieve-set.jpg" TargetMode="External"/><Relationship Id="rId741" Type="http://schemas.openxmlformats.org/officeDocument/2006/relationships/hyperlink" Target="https://cdn.jsdelivr.net/gh/EngineerX1234/vocational-images@main/tools/batch-18/logistics-scoops-different-sizes.jpg" TargetMode="External"/><Relationship Id="rId742" Type="http://schemas.openxmlformats.org/officeDocument/2006/relationships/hyperlink" Target="https://cdn.jsdelivr.net/gh/EngineerX1234/vocational-images@main/tools/batch-17/logistics-forceps-and-brushes.jpg" TargetMode="External"/><Relationship Id="rId743" Type="http://schemas.openxmlformats.org/officeDocument/2006/relationships/hyperlink" Target="https://cdn.jsdelivr.net/gh/EngineerX1234/vocational-images@main/tools/batch-17/logistics-parkhi-bag-trier.jpg" TargetMode="External"/><Relationship Id="rId744" Type="http://schemas.openxmlformats.org/officeDocument/2006/relationships/hyperlink" Target="https://cdn.jsdelivr.net/gh/EngineerX1234/vocational-images@main/tools/batch-18/logistics-sample-seal.jpg" TargetMode="External"/><Relationship Id="rId745" Type="http://schemas.openxmlformats.org/officeDocument/2006/relationships/hyperlink" Target="https://cdn.jsdelivr.net/gh/EngineerX1234/vocational-images@main/tools/batch-17/logistics-ladder.jpg" TargetMode="External"/><Relationship Id="rId746" Type="http://schemas.openxmlformats.org/officeDocument/2006/relationships/hyperlink" Target="https://cdn.jsdelivr.net/gh/EngineerX1234/vocational-images@main/tools/batch-17/logistics-mops.jpg" TargetMode="External"/><Relationship Id="rId747" Type="http://schemas.openxmlformats.org/officeDocument/2006/relationships/hyperlink" Target="https://cdn.jsdelivr.net/gh/EngineerX1234/vocational-images@main/tools/batch-17/logistics-foot-hand-sprayers.jpg" TargetMode="External"/><Relationship Id="rId748" Type="http://schemas.openxmlformats.org/officeDocument/2006/relationships/hyperlink" Target="https://cdn.jsdelivr.net/gh/EngineerX1234/vocational-images@main/tools/batch-17/logistics-platform-scales.jpg" TargetMode="External"/><Relationship Id="rId749" Type="http://schemas.openxmlformats.org/officeDocument/2006/relationships/hyperlink" Target="https://cdn.jsdelivr.net/gh/EngineerX1234/vocational-images@main/tools/batch-17/logistics-hectolitre-weight-apparatus.jpg" TargetMode="External"/><Relationship Id="rId750" Type="http://schemas.openxmlformats.org/officeDocument/2006/relationships/hyperlink" Target="https://cdn.jsdelivr.net/gh/EngineerX1234/vocational-images@main/tools/batch-18/logistics-sample-divider.jpg" TargetMode="External"/><Relationship Id="rId751" Type="http://schemas.openxmlformats.org/officeDocument/2006/relationships/hyperlink" Target="https://cdn.jsdelivr.net/gh/EngineerX1234/vocational-images@main/tools/batch-18/logistics-thermo-hygrometer.jpg" TargetMode="External"/><Relationship Id="rId752" Type="http://schemas.openxmlformats.org/officeDocument/2006/relationships/hyperlink" Target="https://cdn.jsdelivr.net/gh/EngineerX1234/vocational-images@main/tools/batch-17/logistics-glass-tubes.jpg" TargetMode="External"/><Relationship Id="rId753" Type="http://schemas.openxmlformats.org/officeDocument/2006/relationships/hyperlink" Target="https://cdn.jsdelivr.net/gh/EngineerX1234/vocational-images@main/tools/batch-17/logistics-phosphine-alert-personal-monitor.jpg" TargetMode="External"/><Relationship Id="rId754" Type="http://schemas.openxmlformats.org/officeDocument/2006/relationships/hyperlink" Target="https://cdn.jsdelivr.net/gh/EngineerX1234/vocational-images@main/tools/batch-17/logistics-phosphine-gas-monitor.jpg" TargetMode="External"/><Relationship Id="rId755" Type="http://schemas.openxmlformats.org/officeDocument/2006/relationships/hyperlink" Target="https://cdn.jsdelivr.net/gh/EngineerX1234/vocational-images@main/tools/batch-18/logistics-resuscitator.jpg" TargetMode="External"/><Relationship Id="rId756" Type="http://schemas.openxmlformats.org/officeDocument/2006/relationships/hyperlink" Target="https://cdn.jsdelivr.net/gh/EngineerX1234/vocational-images@main/tools/batch-18/logistics-vacuum-cleaner.jpg" TargetMode="External"/><Relationship Id="rId757" Type="http://schemas.openxmlformats.org/officeDocument/2006/relationships/hyperlink" Target="https://cdn.jsdelivr.net/gh/EngineerX1234/vocational-images@main/tools/batch-17/logistics-cleaning-robots.jpg" TargetMode="External"/><Relationship Id="rId758" Type="http://schemas.openxmlformats.org/officeDocument/2006/relationships/hyperlink" Target="https://cdn.jsdelivr.net/gh/EngineerX1234/vocational-images@main/tools/batch-17/logistics-air-purifiers.jpg" TargetMode="External"/><Relationship Id="rId759" Type="http://schemas.openxmlformats.org/officeDocument/2006/relationships/hyperlink" Target="https://cdn.jsdelivr.net/gh/EngineerX1234/vocational-images@main/tools/batch-18/logistics-security-cameras.jpg" TargetMode="External"/><Relationship Id="rId760" Type="http://schemas.openxmlformats.org/officeDocument/2006/relationships/hyperlink" Target="https://cdn.jsdelivr.net/gh/EngineerX1234/vocational-images@main/tools/batch-17/logistics-lcd-screens.jpg" TargetMode="External"/><Relationship Id="rId761" Type="http://schemas.openxmlformats.org/officeDocument/2006/relationships/hyperlink" Target="https://cdn.jsdelivr.net/gh/EngineerX1234/vocational-images@main/tools/batch-17/logistics-computer.jpg" TargetMode="External"/><Relationship Id="rId762" Type="http://schemas.openxmlformats.org/officeDocument/2006/relationships/hyperlink" Target="https://cdn.jsdelivr.net/gh/EngineerX1234/vocational-images@main/tools/batch-17/logistics-lcd-projector.jpg" TargetMode="External"/><Relationship Id="rId763" Type="http://schemas.openxmlformats.org/officeDocument/2006/relationships/hyperlink" Target="https://cdn.jsdelivr.net/gh/EngineerX1234/vocational-images@main/tools/batch-17/logistics-locking-systems.jpg" TargetMode="External"/><Relationship Id="rId764" Type="http://schemas.openxmlformats.org/officeDocument/2006/relationships/hyperlink" Target="https://cdn.jsdelivr.net/gh/EngineerX1234/vocational-images@main/tools/batch-18/logistics-sieve-set.jpg" TargetMode="External"/><Relationship Id="rId765" Type="http://schemas.openxmlformats.org/officeDocument/2006/relationships/hyperlink" Target="https://cdn.jsdelivr.net/gh/EngineerX1234/vocational-images@main/tools/batch-18/logistics-scoops-different-sizes.jpg" TargetMode="External"/><Relationship Id="rId766" Type="http://schemas.openxmlformats.org/officeDocument/2006/relationships/hyperlink" Target="https://cdn.jsdelivr.net/gh/EngineerX1234/vocational-images@main/tools/batch-17/logistics-forceps-and-brushes.jpg" TargetMode="External"/><Relationship Id="rId767" Type="http://schemas.openxmlformats.org/officeDocument/2006/relationships/hyperlink" Target="https://cdn.jsdelivr.net/gh/EngineerX1234/vocational-images@main/tools/batch-17/logistics-parkhi-bag-trier.jpg" TargetMode="External"/><Relationship Id="rId768" Type="http://schemas.openxmlformats.org/officeDocument/2006/relationships/hyperlink" Target="https://cdn.jsdelivr.net/gh/EngineerX1234/vocational-images@main/tools/batch-18/logistics-sample-seal.jpg" TargetMode="External"/><Relationship Id="rId769" Type="http://schemas.openxmlformats.org/officeDocument/2006/relationships/hyperlink" Target="https://cdn.jsdelivr.net/gh/EngineerX1234/vocational-images@main/tools/batch-17/logistics-ladder.jpg" TargetMode="External"/><Relationship Id="rId770" Type="http://schemas.openxmlformats.org/officeDocument/2006/relationships/hyperlink" Target="https://cdn.jsdelivr.net/gh/EngineerX1234/vocational-images@main/tools/batch-17/logistics-metal-probe.jpg" TargetMode="External"/><Relationship Id="rId771" Type="http://schemas.openxmlformats.org/officeDocument/2006/relationships/hyperlink" Target="https://cdn.jsdelivr.net/gh/EngineerX1234/vocational-images@main/tools/batch-18/logistics-tool-box.jpg" TargetMode="External"/><Relationship Id="rId772" Type="http://schemas.openxmlformats.org/officeDocument/2006/relationships/hyperlink" Target="https://cdn.jsdelivr.net/gh/EngineerX1234/vocational-images@main/tools/batch-17/logistics-mops.jpg" TargetMode="External"/><Relationship Id="rId773" Type="http://schemas.openxmlformats.org/officeDocument/2006/relationships/hyperlink" Target="https://cdn.jsdelivr.net/gh/EngineerX1234/vocational-images@main/tools/batch-17/logistics-digital-moisture-meter.jpg" TargetMode="External"/><Relationship Id="rId774" Type="http://schemas.openxmlformats.org/officeDocument/2006/relationships/hyperlink" Target="https://cdn.jsdelivr.net/gh/EngineerX1234/vocational-images@main/tools/batch-17/logistics-foot-hand-sprayers.jpg" TargetMode="External"/><Relationship Id="rId775" Type="http://schemas.openxmlformats.org/officeDocument/2006/relationships/hyperlink" Target="https://cdn.jsdelivr.net/gh/EngineerX1234/vocational-images@main/tools/batch-17/logistics-platform-scales.jpg" TargetMode="External"/><Relationship Id="rId776" Type="http://schemas.openxmlformats.org/officeDocument/2006/relationships/hyperlink" Target="https://cdn.jsdelivr.net/gh/EngineerX1234/vocational-images@main/tools/batch-17/logistics-hectolitre-weight-apparatus.jpg" TargetMode="External"/><Relationship Id="rId777" Type="http://schemas.openxmlformats.org/officeDocument/2006/relationships/hyperlink" Target="https://cdn.jsdelivr.net/gh/EngineerX1234/vocational-images@main/tools/batch-18/logistics-sample-divider.jpg" TargetMode="External"/><Relationship Id="rId778" Type="http://schemas.openxmlformats.org/officeDocument/2006/relationships/hyperlink" Target="https://cdn.jsdelivr.net/gh/EngineerX1234/vocational-images@main/tools/batch-18/logistics-thermo-hygrometer.jpg" TargetMode="External"/><Relationship Id="rId779" Type="http://schemas.openxmlformats.org/officeDocument/2006/relationships/hyperlink" Target="https://cdn.jsdelivr.net/gh/EngineerX1234/vocational-images@main/tools/batch-17/logistics-glass-tubes.jpg" TargetMode="External"/><Relationship Id="rId780" Type="http://schemas.openxmlformats.org/officeDocument/2006/relationships/hyperlink" Target="https://cdn.jsdelivr.net/gh/EngineerX1234/vocational-images@main/tools/batch-17/logistics-phosphine-alert-personal-monitor.jpg" TargetMode="External"/><Relationship Id="rId781" Type="http://schemas.openxmlformats.org/officeDocument/2006/relationships/hyperlink" Target="https://cdn.jsdelivr.net/gh/EngineerX1234/vocational-images@main/tools/batch-17/logistics-phosphine-gas-monitor.jpg" TargetMode="External"/><Relationship Id="rId782" Type="http://schemas.openxmlformats.org/officeDocument/2006/relationships/hyperlink" Target="https://cdn.jsdelivr.net/gh/EngineerX1234/vocational-images@main/tools/batch-18/logistics-vacuum-cleaner.jpg" TargetMode="External"/><Relationship Id="rId783" Type="http://schemas.openxmlformats.org/officeDocument/2006/relationships/hyperlink" Target="https://cdn.jsdelivr.net/gh/EngineerX1234/vocational-images@main/tools/batch-17/logistics-cleaning-robots.jpg" TargetMode="External"/><Relationship Id="rId784" Type="http://schemas.openxmlformats.org/officeDocument/2006/relationships/hyperlink" Target="https://cdn.jsdelivr.net/gh/EngineerX1234/vocational-images@main/tools/batch-17/logistics-air-purifiers.jpg" TargetMode="External"/><Relationship Id="rId785" Type="http://schemas.openxmlformats.org/officeDocument/2006/relationships/hyperlink" Target="https://cdn.jsdelivr.net/gh/EngineerX1234/vocational-images@main/tools/batch-26/apparel-fork-lifts.jpg" TargetMode="External"/><Relationship Id="rId786" Type="http://schemas.openxmlformats.org/officeDocument/2006/relationships/hyperlink" Target="https://cdn.jsdelivr.net/gh/EngineerX1234/vocational-images@main/tools/batch-18/logistics-reach-trucks.jpg" TargetMode="External"/><Relationship Id="rId787" Type="http://schemas.openxmlformats.org/officeDocument/2006/relationships/hyperlink" Target="https://cdn.jsdelivr.net/gh/EngineerX1234/vocational-images@main/tools/batch-18/logistics-security-cameras.jpg" TargetMode="External"/><Relationship Id="rId788" Type="http://schemas.openxmlformats.org/officeDocument/2006/relationships/hyperlink" Target="https://cdn.jsdelivr.net/gh/EngineerX1234/vocational-images@main/tools/batch-17/logistics-lcd-screens.jpg" TargetMode="External"/><Relationship Id="rId789" Type="http://schemas.openxmlformats.org/officeDocument/2006/relationships/hyperlink" Target="https://cdn.jsdelivr.net/gh/EngineerX1234/vocational-images@main/tools/batch-17/logistics-computer.jpg" TargetMode="External"/><Relationship Id="rId790" Type="http://schemas.openxmlformats.org/officeDocument/2006/relationships/hyperlink" Target="https://cdn.jsdelivr.net/gh/EngineerX1234/vocational-images@main/tools/batch-17/logistics-lcd-projector.jpg" TargetMode="External"/><Relationship Id="rId791" Type="http://schemas.openxmlformats.org/officeDocument/2006/relationships/hyperlink" Target="https://cdn.jsdelivr.net/gh/EngineerX1234/vocational-images@main/tools/batch-18/logistics-resuscitator.jpg" TargetMode="External"/><Relationship Id="rId792" Type="http://schemas.openxmlformats.org/officeDocument/2006/relationships/hyperlink" Target="https://cdn.jsdelivr.net/gh/EngineerX1234/vocational-images@main/tools/batch-17/logistics-locking-systems.jpg" TargetMode="External"/><Relationship Id="rId793" Type="http://schemas.openxmlformats.org/officeDocument/2006/relationships/hyperlink" Target="https://cdn.jsdelivr.net/gh/EngineerX1234/vocational-images@main/tools/batch-17/logistics-mops.jpg" TargetMode="External"/><Relationship Id="rId794" Type="http://schemas.openxmlformats.org/officeDocument/2006/relationships/hyperlink" Target="https://cdn.jsdelivr.net/gh/EngineerX1234/vocational-images@main/tools/batch-18/logistics-vacuum-cleaner.jpg" TargetMode="External"/><Relationship Id="rId795" Type="http://schemas.openxmlformats.org/officeDocument/2006/relationships/hyperlink" Target="https://cdn.jsdelivr.net/gh/EngineerX1234/vocational-images@main/tools/batch-17/logistics-cleaning-robots.jpg" TargetMode="External"/><Relationship Id="rId796" Type="http://schemas.openxmlformats.org/officeDocument/2006/relationships/hyperlink" Target="https://cdn.jsdelivr.net/gh/EngineerX1234/vocational-images@main/tools/batch-17/logistics-air-purifiers.jpg" TargetMode="External"/><Relationship Id="rId797" Type="http://schemas.openxmlformats.org/officeDocument/2006/relationships/hyperlink" Target="https://cdn.jsdelivr.net/gh/EngineerX1234/vocational-images@main/tools/batch-26/apparel-fork-lifts.jpg" TargetMode="External"/><Relationship Id="rId798" Type="http://schemas.openxmlformats.org/officeDocument/2006/relationships/hyperlink" Target="https://cdn.jsdelivr.net/gh/EngineerX1234/vocational-images@main/tools/batch-18/logistics-reach-trucks.jpg" TargetMode="External"/><Relationship Id="rId799" Type="http://schemas.openxmlformats.org/officeDocument/2006/relationships/hyperlink" Target="https://cdn.jsdelivr.net/gh/EngineerX1234/vocational-images@main/tools/batch-18/logistics-security-cameras.jpg" TargetMode="External"/><Relationship Id="rId800" Type="http://schemas.openxmlformats.org/officeDocument/2006/relationships/hyperlink" Target="https://cdn.jsdelivr.net/gh/EngineerX1234/vocational-images@main/tools/batch-17/logistics-lcd-screens.jpg" TargetMode="External"/><Relationship Id="rId801" Type="http://schemas.openxmlformats.org/officeDocument/2006/relationships/hyperlink" Target="https://cdn.jsdelivr.net/gh/EngineerX1234/vocational-images@main/tools/batch-17/logistics-computer.jpg" TargetMode="External"/><Relationship Id="rId802" Type="http://schemas.openxmlformats.org/officeDocument/2006/relationships/hyperlink" Target="https://cdn.jsdelivr.net/gh/EngineerX1234/vocational-images@main/tools/batch-17/logistics-lcd-projector.jpg" TargetMode="External"/><Relationship Id="rId803" Type="http://schemas.openxmlformats.org/officeDocument/2006/relationships/hyperlink" Target="https://cdn.jsdelivr.net/gh/EngineerX1234/vocational-images@main/tools/batch-17/logistics-locking-systems.jpg" TargetMode="External"/><Relationship Id="rId804" Type="http://schemas.openxmlformats.org/officeDocument/2006/relationships/hyperlink" Target="https://cdn.jsdelivr.net/gh/EngineerX1234/vocational-images@main/tools/batch-18/management-and-entrepreneurship-laptop.jpg" TargetMode="External"/><Relationship Id="rId805" Type="http://schemas.openxmlformats.org/officeDocument/2006/relationships/hyperlink" Target="https://cdn.jsdelivr.net/gh/EngineerX1234/vocational-images@main/tools/batch-18/management-and-entrepreneurship-scanner.jpg" TargetMode="External"/><Relationship Id="rId806" Type="http://schemas.openxmlformats.org/officeDocument/2006/relationships/hyperlink" Target="https://cdn.jsdelivr.net/gh/EngineerX1234/vocational-images@main/tools/batch-18/management-and-entrepreneurship-photocopier.jpg" TargetMode="External"/><Relationship Id="rId807" Type="http://schemas.openxmlformats.org/officeDocument/2006/relationships/hyperlink" Target="https://cdn.jsdelivr.net/gh/EngineerX1234/vocational-images@main/tools/batch-18/management-and-entrepreneurship-epabx.jpg" TargetMode="External"/><Relationship Id="rId808" Type="http://schemas.openxmlformats.org/officeDocument/2006/relationships/hyperlink" Target="https://cdn.jsdelivr.net/gh/EngineerX1234/vocational-images@main/tools/batch-18/media-and-entertainment-computer.jpg" TargetMode="External"/><Relationship Id="rId809" Type="http://schemas.openxmlformats.org/officeDocument/2006/relationships/hyperlink" Target="https://cdn.jsdelivr.net/gh/EngineerX1234/vocational-images@main/tools/batch-21/tourism-and-hospitality-lcd-projector.jpg" TargetMode="External"/><Relationship Id="rId810" Type="http://schemas.openxmlformats.org/officeDocument/2006/relationships/hyperlink" Target="https://cdn.jsdelivr.net/gh/EngineerX1234/vocational-images@main/tools/batch-18/media-and-entertainment-sharpener.jpg" TargetMode="External"/><Relationship Id="rId811" Type="http://schemas.openxmlformats.org/officeDocument/2006/relationships/hyperlink" Target="https://cdn.jsdelivr.net/gh/EngineerX1234/vocational-images@main/tools/batch-18/media-and-entertainment-paper-cutter.jpg" TargetMode="External"/><Relationship Id="rId812" Type="http://schemas.openxmlformats.org/officeDocument/2006/relationships/hyperlink" Target="https://cdn.jsdelivr.net/gh/EngineerX1234/vocational-images@main/tools/batch-18/media-and-entertainment-shading-stump.jpg" TargetMode="External"/><Relationship Id="rId813" Type="http://schemas.openxmlformats.org/officeDocument/2006/relationships/hyperlink" Target="https://cdn.jsdelivr.net/gh/EngineerX1234/vocational-images@main/tools/batch-18/media-and-entertainment-drawing-board.jpg" TargetMode="External"/><Relationship Id="rId814" Type="http://schemas.openxmlformats.org/officeDocument/2006/relationships/hyperlink" Target="https://cdn.jsdelivr.net/gh/EngineerX1234/vocational-images@main/tools/batch-18/media-and-entertainment-air-conditioner.jpg" TargetMode="External"/><Relationship Id="rId815" Type="http://schemas.openxmlformats.org/officeDocument/2006/relationships/hyperlink" Target="https://cdn.jsdelivr.net/gh/EngineerX1234/vocational-images@main/tools/batch-18/media-and-entertainment-computer.jpg" TargetMode="External"/><Relationship Id="rId816" Type="http://schemas.openxmlformats.org/officeDocument/2006/relationships/hyperlink" Target="https://cdn.jsdelivr.net/gh/EngineerX1234/vocational-images@main/tools/batch-18/media-and-entertainment-color-laser-printer.jpg" TargetMode="External"/><Relationship Id="rId817" Type="http://schemas.openxmlformats.org/officeDocument/2006/relationships/hyperlink" Target="https://cdn.jsdelivr.net/gh/EngineerX1234/vocational-images@main/tools/batch-18/media-and-entertainment-scanner.jpg" TargetMode="External"/><Relationship Id="rId818" Type="http://schemas.openxmlformats.org/officeDocument/2006/relationships/hyperlink" Target="https://cdn.jsdelivr.net/gh/EngineerX1234/vocational-images@main/tools/batch-19/organised-retail-mops.jpg" TargetMode="External"/><Relationship Id="rId819" Type="http://schemas.openxmlformats.org/officeDocument/2006/relationships/hyperlink" Target="https://cdn.jsdelivr.net/gh/EngineerX1234/vocational-images@main/tools/batch-19/organised-retail-locking-systems.jpg" TargetMode="External"/><Relationship Id="rId820" Type="http://schemas.openxmlformats.org/officeDocument/2006/relationships/hyperlink" Target="https://cdn.jsdelivr.net/gh/EngineerX1234/vocational-images@main/tools/batch-19/organised-retail-vacuum-cleaner.jpg" TargetMode="External"/><Relationship Id="rId821" Type="http://schemas.openxmlformats.org/officeDocument/2006/relationships/hyperlink" Target="https://cdn.jsdelivr.net/gh/EngineerX1234/vocational-images@main/tools/batch-18/organised-retail-cleaning-robots.jpg" TargetMode="External"/><Relationship Id="rId822" Type="http://schemas.openxmlformats.org/officeDocument/2006/relationships/hyperlink" Target="https://cdn.jsdelivr.net/gh/EngineerX1234/vocational-images@main/tools/batch-18/organised-retail-air-purifiers.jpg" TargetMode="External"/><Relationship Id="rId823" Type="http://schemas.openxmlformats.org/officeDocument/2006/relationships/hyperlink" Target="https://cdn.jsdelivr.net/gh/EngineerX1234/vocational-images@main/tools/batch-19/organised-retail-security-cameras.jpg" TargetMode="External"/><Relationship Id="rId824" Type="http://schemas.openxmlformats.org/officeDocument/2006/relationships/hyperlink" Target="https://cdn.jsdelivr.net/gh/EngineerX1234/vocational-images@main/tools/batch-19/organised-retail-lcd-screens.jpg" TargetMode="External"/><Relationship Id="rId825" Type="http://schemas.openxmlformats.org/officeDocument/2006/relationships/hyperlink" Target="https://cdn.jsdelivr.net/gh/EngineerX1234/vocational-images@main/tools/batch-18/organised-retail-computer.jpg" TargetMode="External"/><Relationship Id="rId826" Type="http://schemas.openxmlformats.org/officeDocument/2006/relationships/hyperlink" Target="https://cdn.jsdelivr.net/gh/EngineerX1234/vocational-images@main/tools/batch-19/organised-retail-lcd-projector.jpg" TargetMode="External"/><Relationship Id="rId827" Type="http://schemas.openxmlformats.org/officeDocument/2006/relationships/hyperlink" Target="https://cdn.jsdelivr.net/gh/EngineerX1234/vocational-images@main/tools/batch-19/organised-retail-mops.jpg" TargetMode="External"/><Relationship Id="rId828" Type="http://schemas.openxmlformats.org/officeDocument/2006/relationships/hyperlink" Target="https://cdn.jsdelivr.net/gh/EngineerX1234/vocational-images@main/tools/batch-19/organised-retail-locking-systems.jpg" TargetMode="External"/><Relationship Id="rId829" Type="http://schemas.openxmlformats.org/officeDocument/2006/relationships/hyperlink" Target="https://cdn.jsdelivr.net/gh/EngineerX1234/vocational-images@main/tools/batch-19/organised-retail-vacuum-cleaner.jpg" TargetMode="External"/><Relationship Id="rId830" Type="http://schemas.openxmlformats.org/officeDocument/2006/relationships/hyperlink" Target="https://cdn.jsdelivr.net/gh/EngineerX1234/vocational-images@main/tools/batch-18/organised-retail-cleaning-robots.jpg" TargetMode="External"/><Relationship Id="rId831" Type="http://schemas.openxmlformats.org/officeDocument/2006/relationships/hyperlink" Target="https://cdn.jsdelivr.net/gh/EngineerX1234/vocational-images@main/tools/batch-18/organised-retail-air-purifiers.jpg" TargetMode="External"/><Relationship Id="rId832" Type="http://schemas.openxmlformats.org/officeDocument/2006/relationships/hyperlink" Target="https://cdn.jsdelivr.net/gh/EngineerX1234/vocational-images@main/tools/batch-19/organised-retail-security-cameras.jpg" TargetMode="External"/><Relationship Id="rId833" Type="http://schemas.openxmlformats.org/officeDocument/2006/relationships/hyperlink" Target="https://cdn.jsdelivr.net/gh/EngineerX1234/vocational-images@main/tools/batch-19/organised-retail-lcd-screens.jpg" TargetMode="External"/><Relationship Id="rId834" Type="http://schemas.openxmlformats.org/officeDocument/2006/relationships/hyperlink" Target="https://cdn.jsdelivr.net/gh/EngineerX1234/vocational-images@main/tools/batch-18/organised-retail-computer.jpg" TargetMode="External"/><Relationship Id="rId835" Type="http://schemas.openxmlformats.org/officeDocument/2006/relationships/hyperlink" Target="https://cdn.jsdelivr.net/gh/EngineerX1234/vocational-images@main/tools/batch-19/organised-retail-lcd-projector.jpg" TargetMode="External"/><Relationship Id="rId836" Type="http://schemas.openxmlformats.org/officeDocument/2006/relationships/hyperlink" Target="https://cdn.jsdelivr.net/gh/EngineerX1234/vocational-images@main/tools/batch-19/organised-retail-video-and-audio-recorders.jpg" TargetMode="External"/><Relationship Id="rId837" Type="http://schemas.openxmlformats.org/officeDocument/2006/relationships/hyperlink" Target="https://cdn.jsdelivr.net/gh/EngineerX1234/vocational-images@main/tools/batch-19/physical-education-and-sports-soft-balls-small.jpg" TargetMode="External"/><Relationship Id="rId838" Type="http://schemas.openxmlformats.org/officeDocument/2006/relationships/hyperlink" Target="https://cdn.jsdelivr.net/gh/EngineerX1234/vocational-images@main/tools/batch-19/physical-education-and-sports-plyometric-box.jpg" TargetMode="External"/><Relationship Id="rId839" Type="http://schemas.openxmlformats.org/officeDocument/2006/relationships/hyperlink" Target="https://cdn.jsdelivr.net/gh/EngineerX1234/vocational-images@main/tools/batch-19/physical-education-and-sports-plastic-balls.jpg" TargetMode="External"/><Relationship Id="rId840" Type="http://schemas.openxmlformats.org/officeDocument/2006/relationships/hyperlink" Target="https://cdn.jsdelivr.net/gh/EngineerX1234/vocational-images@main/tools/batch-19/physical-education-and-sports-soft-ball-big.jpg" TargetMode="External"/><Relationship Id="rId841" Type="http://schemas.openxmlformats.org/officeDocument/2006/relationships/hyperlink" Target="https://cdn.jsdelivr.net/gh/EngineerX1234/vocational-images@main/tools/batch-19/physical-education-and-sports-joining-clips.jpg" TargetMode="External"/><Relationship Id="rId842" Type="http://schemas.openxmlformats.org/officeDocument/2006/relationships/hyperlink" Target="https://cdn.jsdelivr.net/gh/EngineerX1234/vocational-images@main/tools/batch-19/physical-education-and-sports-plastic-cricket-bat.jpg" TargetMode="External"/><Relationship Id="rId843" Type="http://schemas.openxmlformats.org/officeDocument/2006/relationships/hyperlink" Target="https://cdn.jsdelivr.net/gh/EngineerX1234/vocational-images@main/tools/batch-19/physical-education-and-sports-soft-flyer.jpg" TargetMode="External"/><Relationship Id="rId844" Type="http://schemas.openxmlformats.org/officeDocument/2006/relationships/hyperlink" Target="https://cdn.jsdelivr.net/gh/EngineerX1234/vocational-images@main/tools/batch-19/physical-education-and-sports-swimming-ring.jpg" TargetMode="External"/><Relationship Id="rId845" Type="http://schemas.openxmlformats.org/officeDocument/2006/relationships/hyperlink" Target="https://cdn.jsdelivr.net/gh/EngineerX1234/vocational-images@main/tools/batch-19/physical-education-and-sports-balance-beam-set.jpg" TargetMode="External"/><Relationship Id="rId846" Type="http://schemas.openxmlformats.org/officeDocument/2006/relationships/hyperlink" Target="https://cdn.jsdelivr.net/gh/EngineerX1234/vocational-images@main/tools/batch-19/physical-education-and-sports-saucer-cone.jpg" TargetMode="External"/><Relationship Id="rId847" Type="http://schemas.openxmlformats.org/officeDocument/2006/relationships/hyperlink" Target="https://cdn.jsdelivr.net/gh/EngineerX1234/vocational-images@main/tools/batch-19/physical-education-and-sports-training-arch.jpg" TargetMode="External"/><Relationship Id="rId848" Type="http://schemas.openxmlformats.org/officeDocument/2006/relationships/hyperlink" Target="https://cdn.jsdelivr.net/gh/EngineerX1234/vocational-images@main/tools/batch-20/plumbing-pipe-wrench.jpg" TargetMode="External"/><Relationship Id="rId849" Type="http://schemas.openxmlformats.org/officeDocument/2006/relationships/hyperlink" Target="https://cdn.jsdelivr.net/gh/EngineerX1234/vocational-images@main/tools/batch-20/plumbing-parrot-pliers.jpg" TargetMode="External"/><Relationship Id="rId850" Type="http://schemas.openxmlformats.org/officeDocument/2006/relationships/hyperlink" Target="https://cdn.jsdelivr.net/gh/EngineerX1234/vocational-images@main/tools/batch-20/plumbing-slide-wrench.jpg" TargetMode="External"/><Relationship Id="rId851" Type="http://schemas.openxmlformats.org/officeDocument/2006/relationships/hyperlink" Target="https://cdn.jsdelivr.net/gh/EngineerX1234/vocational-images@main/tools/batch-20/plumbing-die-set-complete.jpg" TargetMode="External"/><Relationship Id="rId852" Type="http://schemas.openxmlformats.org/officeDocument/2006/relationships/hyperlink" Target="https://cdn.jsdelivr.net/gh/EngineerX1234/vocational-images@main/tools/batch-20/plumbing-hacksaw.jpg" TargetMode="External"/><Relationship Id="rId853" Type="http://schemas.openxmlformats.org/officeDocument/2006/relationships/hyperlink" Target="https://cdn.jsdelivr.net/gh/EngineerX1234/vocational-images@main/tools/batch-20/plumbing-pipe-vice.jpg" TargetMode="External"/><Relationship Id="rId854" Type="http://schemas.openxmlformats.org/officeDocument/2006/relationships/hyperlink" Target="https://cdn.jsdelivr.net/gh/EngineerX1234/vocational-images@main/tools/batch-20/plumbing-screw-drivers-set.jpg" TargetMode="External"/><Relationship Id="rId855" Type="http://schemas.openxmlformats.org/officeDocument/2006/relationships/hyperlink" Target="https://cdn.jsdelivr.net/gh/EngineerX1234/vocational-images@main/tools/batch-20/plumbing-double-ended-spanner-set.jpg" TargetMode="External"/><Relationship Id="rId856" Type="http://schemas.openxmlformats.org/officeDocument/2006/relationships/hyperlink" Target="https://cdn.jsdelivr.net/gh/EngineerX1234/vocational-images@main/tools/batch-20/plumbing-allen-key-set.jpg" TargetMode="External"/><Relationship Id="rId857" Type="http://schemas.openxmlformats.org/officeDocument/2006/relationships/hyperlink" Target="https://cdn.jsdelivr.net/gh/EngineerX1234/vocational-images@main/tools/batch-20/plumbing-drill-bit-set.jpg" TargetMode="External"/><Relationship Id="rId858" Type="http://schemas.openxmlformats.org/officeDocument/2006/relationships/hyperlink" Target="https://cdn.jsdelivr.net/gh/EngineerX1234/vocational-images@main/tools/batch-20/plumbing-caulking-tools.jpg" TargetMode="External"/><Relationship Id="rId859" Type="http://schemas.openxmlformats.org/officeDocument/2006/relationships/hyperlink" Target="https://cdn.jsdelivr.net/gh/EngineerX1234/vocational-images@main/tools/batch-20/plumbing-hammers.jpg" TargetMode="External"/><Relationship Id="rId860" Type="http://schemas.openxmlformats.org/officeDocument/2006/relationships/hyperlink" Target="https://cdn.jsdelivr.net/gh/EngineerX1234/vocational-images@main/tools/batch-20/plumbing-l-square.jpg" TargetMode="External"/><Relationship Id="rId861" Type="http://schemas.openxmlformats.org/officeDocument/2006/relationships/hyperlink" Target="https://cdn.jsdelivr.net/gh/EngineerX1234/vocational-images@main/tools/batch-20/plumbing-spirit-level.jpg" TargetMode="External"/><Relationship Id="rId862" Type="http://schemas.openxmlformats.org/officeDocument/2006/relationships/hyperlink" Target="https://cdn.jsdelivr.net/gh/EngineerX1234/vocational-images@main/tools/batch-20/plumbing-drilling-machine.jpg" TargetMode="External"/><Relationship Id="rId863" Type="http://schemas.openxmlformats.org/officeDocument/2006/relationships/hyperlink" Target="https://cdn.jsdelivr.net/gh/EngineerX1234/vocational-images@main/tools/batch-20/plumbing-pressure-gauge.jpg" TargetMode="External"/><Relationship Id="rId864" Type="http://schemas.openxmlformats.org/officeDocument/2006/relationships/hyperlink" Target="https://cdn.jsdelivr.net/gh/EngineerX1234/vocational-images@main/tools/batch-20/plumbing-powered-pipe-threading-machine.jpg" TargetMode="External"/><Relationship Id="rId865" Type="http://schemas.openxmlformats.org/officeDocument/2006/relationships/hyperlink" Target="https://cdn.jsdelivr.net/gh/EngineerX1234/vocational-images@main/tools/batch-15/healthcare-bath-tub.jpg" TargetMode="External"/><Relationship Id="rId866" Type="http://schemas.openxmlformats.org/officeDocument/2006/relationships/hyperlink" Target="https://cdn.jsdelivr.net/gh/EngineerX1234/vocational-images@main/tools/batch-20/plumbing-pipe-wrench.jpg" TargetMode="External"/><Relationship Id="rId867" Type="http://schemas.openxmlformats.org/officeDocument/2006/relationships/hyperlink" Target="https://cdn.jsdelivr.net/gh/EngineerX1234/vocational-images@main/tools/batch-20/plumbing-parrot-pliers.jpg" TargetMode="External"/><Relationship Id="rId868" Type="http://schemas.openxmlformats.org/officeDocument/2006/relationships/hyperlink" Target="https://cdn.jsdelivr.net/gh/EngineerX1234/vocational-images@main/tools/batch-20/plumbing-slide-wrench.jpg" TargetMode="External"/><Relationship Id="rId869" Type="http://schemas.openxmlformats.org/officeDocument/2006/relationships/hyperlink" Target="https://cdn.jsdelivr.net/gh/EngineerX1234/vocational-images@main/tools/batch-20/plumbing-die-set-complete.jpg" TargetMode="External"/><Relationship Id="rId870" Type="http://schemas.openxmlformats.org/officeDocument/2006/relationships/hyperlink" Target="https://cdn.jsdelivr.net/gh/EngineerX1234/vocational-images@main/tools/batch-20/plumbing-hacksaw.jpg" TargetMode="External"/><Relationship Id="rId871" Type="http://schemas.openxmlformats.org/officeDocument/2006/relationships/hyperlink" Target="https://cdn.jsdelivr.net/gh/EngineerX1234/vocational-images@main/tools/batch-20/plumbing-pipe-vice.jpg" TargetMode="External"/><Relationship Id="rId872" Type="http://schemas.openxmlformats.org/officeDocument/2006/relationships/hyperlink" Target="https://cdn.jsdelivr.net/gh/EngineerX1234/vocational-images@main/tools/batch-20/plumbing-screw-drivers-set.jpg" TargetMode="External"/><Relationship Id="rId873" Type="http://schemas.openxmlformats.org/officeDocument/2006/relationships/hyperlink" Target="https://cdn.jsdelivr.net/gh/EngineerX1234/vocational-images@main/tools/batch-20/plumbing-double-ended-spanner-set.jpg" TargetMode="External"/><Relationship Id="rId874" Type="http://schemas.openxmlformats.org/officeDocument/2006/relationships/hyperlink" Target="https://cdn.jsdelivr.net/gh/EngineerX1234/vocational-images@main/tools/batch-20/plumbing-allen-key-set.jpg" TargetMode="External"/><Relationship Id="rId875" Type="http://schemas.openxmlformats.org/officeDocument/2006/relationships/hyperlink" Target="https://cdn.jsdelivr.net/gh/EngineerX1234/vocational-images@main/tools/batch-20/plumbing-drill-bit-set.jpg" TargetMode="External"/><Relationship Id="rId876" Type="http://schemas.openxmlformats.org/officeDocument/2006/relationships/hyperlink" Target="https://cdn.jsdelivr.net/gh/EngineerX1234/vocational-images@main/tools/batch-20/plumbing-caulking-tools.jpg" TargetMode="External"/><Relationship Id="rId877" Type="http://schemas.openxmlformats.org/officeDocument/2006/relationships/hyperlink" Target="https://cdn.jsdelivr.net/gh/EngineerX1234/vocational-images@main/tools/batch-20/plumbing-hammers.jpg" TargetMode="External"/><Relationship Id="rId878" Type="http://schemas.openxmlformats.org/officeDocument/2006/relationships/hyperlink" Target="https://cdn.jsdelivr.net/gh/EngineerX1234/vocational-images@main/tools/batch-20/plumbing-l-square.jpg" TargetMode="External"/><Relationship Id="rId879" Type="http://schemas.openxmlformats.org/officeDocument/2006/relationships/hyperlink" Target="https://cdn.jsdelivr.net/gh/EngineerX1234/vocational-images@main/tools/batch-20/plumbing-spirit-level.jpg" TargetMode="External"/><Relationship Id="rId880" Type="http://schemas.openxmlformats.org/officeDocument/2006/relationships/hyperlink" Target="https://cdn.jsdelivr.net/gh/EngineerX1234/vocational-images@main/tools/batch-20/plumbing-drilling-machine.jpg" TargetMode="External"/><Relationship Id="rId881" Type="http://schemas.openxmlformats.org/officeDocument/2006/relationships/hyperlink" Target="https://cdn.jsdelivr.net/gh/EngineerX1234/vocational-images@main/tools/batch-20/plumbing-pressure-gauge.jpg" TargetMode="External"/><Relationship Id="rId882" Type="http://schemas.openxmlformats.org/officeDocument/2006/relationships/hyperlink" Target="https://cdn.jsdelivr.net/gh/EngineerX1234/vocational-images@main/tools/batch-20/plumbing-powered-pipe-threading-machine.jpg" TargetMode="External"/><Relationship Id="rId883" Type="http://schemas.openxmlformats.org/officeDocument/2006/relationships/hyperlink" Target="https://cdn.jsdelivr.net/gh/EngineerX1234/vocational-images@main/tools/batch-15/healthcare-bath-tub.jpg" TargetMode="External"/><Relationship Id="rId884" Type="http://schemas.openxmlformats.org/officeDocument/2006/relationships/hyperlink" Target="https://cdn.jsdelivr.net/gh/EngineerX1234/vocational-images@main/tools/batch-20/power-pliers.jpg" TargetMode="External"/><Relationship Id="rId885" Type="http://schemas.openxmlformats.org/officeDocument/2006/relationships/hyperlink" Target="https://cdn.jsdelivr.net/gh/EngineerX1234/vocational-images@main/tools/batch-20/power-screwdrivers-and-nut-drivers.jpg" TargetMode="External"/><Relationship Id="rId886" Type="http://schemas.openxmlformats.org/officeDocument/2006/relationships/hyperlink" Target="https://cdn.jsdelivr.net/gh/EngineerX1234/vocational-images@main/tools/batch-20/power-wire-strippers.jpg" TargetMode="External"/><Relationship Id="rId887" Type="http://schemas.openxmlformats.org/officeDocument/2006/relationships/hyperlink" Target="https://cdn.jsdelivr.net/gh/EngineerX1234/vocational-images@main/tools/batch-20/power-fishing-tools.jpg" TargetMode="External"/><Relationship Id="rId888" Type="http://schemas.openxmlformats.org/officeDocument/2006/relationships/hyperlink" Target="https://cdn.jsdelivr.net/gh/EngineerX1234/vocational-images@main/tools/batch-20/telecom-hammer-drills.jpg" TargetMode="External"/><Relationship Id="rId889" Type="http://schemas.openxmlformats.org/officeDocument/2006/relationships/hyperlink" Target="https://cdn.jsdelivr.net/gh/EngineerX1234/vocational-images@main/tools/batch-20/power-circuit-testers.jpg" TargetMode="External"/><Relationship Id="rId890" Type="http://schemas.openxmlformats.org/officeDocument/2006/relationships/hyperlink" Target="https://cdn.jsdelivr.net/gh/EngineerX1234/vocational-images@main/tools/batch-20/power-a-tool-pouch.jpg" TargetMode="External"/><Relationship Id="rId891" Type="http://schemas.openxmlformats.org/officeDocument/2006/relationships/hyperlink" Target="https://cdn.jsdelivr.net/gh/EngineerX1234/vocational-images@main/tools/batch-20/power-ladders-and-step-stools.jpg" TargetMode="External"/><Relationship Id="rId892" Type="http://schemas.openxmlformats.org/officeDocument/2006/relationships/hyperlink" Target="https://cdn.jsdelivr.net/gh/EngineerX1234/vocational-images@main/tools/batch-20/power-allen-wrench-set-hex-set.jpg" TargetMode="External"/><Relationship Id="rId893" Type="http://schemas.openxmlformats.org/officeDocument/2006/relationships/hyperlink" Target="https://cdn.jsdelivr.net/gh/EngineerX1234/vocational-images@main/tools/batch-20/power-wire-crimpers.jpg" TargetMode="External"/><Relationship Id="rId894" Type="http://schemas.openxmlformats.org/officeDocument/2006/relationships/hyperlink" Target="https://cdn.jsdelivr.net/gh/EngineerX1234/vocational-images@main/tools/batch-20/power-voltmeter.jpg" TargetMode="External"/><Relationship Id="rId895" Type="http://schemas.openxmlformats.org/officeDocument/2006/relationships/hyperlink" Target="https://cdn.jsdelivr.net/gh/EngineerX1234/vocational-images@main/tools/batch-20/power-ammeter.jpg" TargetMode="External"/><Relationship Id="rId896" Type="http://schemas.openxmlformats.org/officeDocument/2006/relationships/hyperlink" Target="https://cdn.jsdelivr.net/gh/EngineerX1234/vocational-images@main/tools/batch-20/power-labelling-machines.jpg" TargetMode="External"/><Relationship Id="rId897" Type="http://schemas.openxmlformats.org/officeDocument/2006/relationships/hyperlink" Target="https://cdn.jsdelivr.net/gh/EngineerX1234/vocational-images@main/tools/batch-20/power-power-drills-and-drivers.jpg" TargetMode="External"/><Relationship Id="rId898" Type="http://schemas.openxmlformats.org/officeDocument/2006/relationships/hyperlink" Target="https://cdn.jsdelivr.net/gh/EngineerX1234/vocational-images@main/tools/batch-20/power-non-contact-voltage-detector.jpg" TargetMode="External"/><Relationship Id="rId899" Type="http://schemas.openxmlformats.org/officeDocument/2006/relationships/hyperlink" Target="https://cdn.jsdelivr.net/gh/EngineerX1234/vocational-images@main/tools/batch-20/private-security-handcuffs.jpg" TargetMode="External"/><Relationship Id="rId900" Type="http://schemas.openxmlformats.org/officeDocument/2006/relationships/hyperlink" Target="https://cdn.jsdelivr.net/gh/EngineerX1234/vocational-images@main/tools/batch-20/private-security-padlocks-together-with-chains.jpg" TargetMode="External"/><Relationship Id="rId901" Type="http://schemas.openxmlformats.org/officeDocument/2006/relationships/hyperlink" Target="https://cdn.jsdelivr.net/gh/EngineerX1234/vocational-images@main/tools/batch-20/private-security-under-chassis-inspection-mirror-ucim.jpg" TargetMode="External"/><Relationship Id="rId902" Type="http://schemas.openxmlformats.org/officeDocument/2006/relationships/hyperlink" Target="https://cdn.jsdelivr.net/gh/EngineerX1234/vocational-images@main/tools/batch-20/private-security-alarm-panels.jpg" TargetMode="External"/><Relationship Id="rId903" Type="http://schemas.openxmlformats.org/officeDocument/2006/relationships/hyperlink" Target="https://cdn.jsdelivr.net/gh/EngineerX1234/vocational-images@main/tools/batch-20/private-security-door-frame-metal-detector-dfmd.jpg" TargetMode="External"/><Relationship Id="rId904" Type="http://schemas.openxmlformats.org/officeDocument/2006/relationships/hyperlink" Target="https://cdn.jsdelivr.net/gh/EngineerX1234/vocational-images@main/tools/batch-20/private-security-emergency-flood-lights.jpg" TargetMode="External"/><Relationship Id="rId905" Type="http://schemas.openxmlformats.org/officeDocument/2006/relationships/hyperlink" Target="https://cdn.jsdelivr.net/gh/EngineerX1234/vocational-images@main/tools/batch-20/private-security-emergency-warning-lights.jpg" TargetMode="External"/><Relationship Id="rId906" Type="http://schemas.openxmlformats.org/officeDocument/2006/relationships/hyperlink" Target="https://cdn.jsdelivr.net/gh/EngineerX1234/vocational-images@main/tools/batch-20/private-security-explosive-vapour-detector-evd.jpg" TargetMode="External"/><Relationship Id="rId907" Type="http://schemas.openxmlformats.org/officeDocument/2006/relationships/hyperlink" Target="https://cdn.jsdelivr.net/gh/EngineerX1234/vocational-images@main/tools/batch-20/private-security-hand-held-metal-detector-hhmd.jpg" TargetMode="External"/><Relationship Id="rId908" Type="http://schemas.openxmlformats.org/officeDocument/2006/relationships/hyperlink" Target="https://cdn.jsdelivr.net/gh/EngineerX1234/vocational-images@main/tools/batch-20/private-security-public-address-system.jpg" TargetMode="External"/><Relationship Id="rId909" Type="http://schemas.openxmlformats.org/officeDocument/2006/relationships/hyperlink" Target="https://cdn.jsdelivr.net/gh/EngineerX1234/vocational-images@main/tools/batch-20/private-security-torch-light.jpg" TargetMode="External"/><Relationship Id="rId910" Type="http://schemas.openxmlformats.org/officeDocument/2006/relationships/hyperlink" Target="https://cdn.jsdelivr.net/gh/EngineerX1234/vocational-images@main/tools/batch-20/private-security-two-way-radios-and-chargers.jpg" TargetMode="External"/><Relationship Id="rId911" Type="http://schemas.openxmlformats.org/officeDocument/2006/relationships/hyperlink" Target="https://cdn.jsdelivr.net/gh/EngineerX1234/vocational-images@main/tools/batch-20/private-security-cctv-cameras-2.jpg" TargetMode="External"/><Relationship Id="rId912" Type="http://schemas.openxmlformats.org/officeDocument/2006/relationships/hyperlink" Target="https://cdn.jsdelivr.net/gh/EngineerX1234/vocational-images@main/tools/batch-20/private-security-digital-video-recorder.jpg" TargetMode="External"/><Relationship Id="rId913" Type="http://schemas.openxmlformats.org/officeDocument/2006/relationships/hyperlink" Target="https://cdn.jsdelivr.net/gh/EngineerX1234/vocational-images@main/tools/batch-20/private-security-dome-camera.jpg" TargetMode="External"/><Relationship Id="rId914" Type="http://schemas.openxmlformats.org/officeDocument/2006/relationships/hyperlink" Target="https://cdn.jsdelivr.net/gh/EngineerX1234/vocational-images@main/tools/batch-20/private-security-infrared-ray-based-camera.jpg" TargetMode="External"/><Relationship Id="rId915" Type="http://schemas.openxmlformats.org/officeDocument/2006/relationships/hyperlink" Target="https://cdn.jsdelivr.net/gh/EngineerX1234/vocational-images@main/tools/batch-20/private-security-pan-tilt-and-zoom-ptz-camera.jpg" TargetMode="External"/><Relationship Id="rId916" Type="http://schemas.openxmlformats.org/officeDocument/2006/relationships/hyperlink" Target="https://cdn.jsdelivr.net/gh/EngineerX1234/vocational-images@main/tools/batch-24/agriculture-rope.jpg" TargetMode="External"/><Relationship Id="rId917" Type="http://schemas.openxmlformats.org/officeDocument/2006/relationships/hyperlink" Target="https://cdn.jsdelivr.net/gh/EngineerX1234/vocational-images@main/tools/batch-21/telecom-microprocessor-boards.jpg" TargetMode="External"/><Relationship Id="rId918" Type="http://schemas.openxmlformats.org/officeDocument/2006/relationships/hyperlink" Target="https://cdn.jsdelivr.net/gh/EngineerX1234/vocational-images@main/tools/batch-21/telecom-scanner.jpg" TargetMode="External"/><Relationship Id="rId919" Type="http://schemas.openxmlformats.org/officeDocument/2006/relationships/hyperlink" Target="https://cdn.jsdelivr.net/gh/EngineerX1234/vocational-images@main/tools/batch-20/telecom-computer-speakers.jpg" TargetMode="External"/><Relationship Id="rId920" Type="http://schemas.openxmlformats.org/officeDocument/2006/relationships/hyperlink" Target="https://cdn.jsdelivr.net/gh/EngineerX1234/vocational-images@main/tools/batch-21/telecom-pliers.jpg" TargetMode="External"/><Relationship Id="rId921" Type="http://schemas.openxmlformats.org/officeDocument/2006/relationships/hyperlink" Target="https://cdn.jsdelivr.net/gh/EngineerX1234/vocational-images@main/tools/batch-21/telecom-screwdrivers-and-nut-drivers.jpg" TargetMode="External"/><Relationship Id="rId922" Type="http://schemas.openxmlformats.org/officeDocument/2006/relationships/hyperlink" Target="https://cdn.jsdelivr.net/gh/EngineerX1234/vocational-images@main/tools/batch-21/telecom-wire-strippers.jpg" TargetMode="External"/><Relationship Id="rId923" Type="http://schemas.openxmlformats.org/officeDocument/2006/relationships/hyperlink" Target="https://cdn.jsdelivr.net/gh/EngineerX1234/vocational-images@main/tools/batch-20/telecom-fishing-tools.jpg" TargetMode="External"/><Relationship Id="rId924" Type="http://schemas.openxmlformats.org/officeDocument/2006/relationships/hyperlink" Target="https://cdn.jsdelivr.net/gh/EngineerX1234/vocational-images@main/tools/batch-20/telecom-hammer-drills.jpg" TargetMode="External"/><Relationship Id="rId925" Type="http://schemas.openxmlformats.org/officeDocument/2006/relationships/hyperlink" Target="https://cdn.jsdelivr.net/gh/EngineerX1234/vocational-images@main/tools/batch-20/telecom-a-tool-pouch.jpg" TargetMode="External"/><Relationship Id="rId926" Type="http://schemas.openxmlformats.org/officeDocument/2006/relationships/hyperlink" Target="https://cdn.jsdelivr.net/gh/EngineerX1234/vocational-images@main/tools/batch-20/telecom-allen-wrench-set-hex-set.jpg" TargetMode="External"/><Relationship Id="rId927" Type="http://schemas.openxmlformats.org/officeDocument/2006/relationships/hyperlink" Target="https://cdn.jsdelivr.net/gh/EngineerX1234/vocational-images@main/tools/batch-21/telecom-wire-crimpers.jpg" TargetMode="External"/><Relationship Id="rId928" Type="http://schemas.openxmlformats.org/officeDocument/2006/relationships/hyperlink" Target="https://cdn.jsdelivr.net/gh/EngineerX1234/vocational-images@main/tools/batch-21/telecom-voltmeter.jpg" TargetMode="External"/><Relationship Id="rId929" Type="http://schemas.openxmlformats.org/officeDocument/2006/relationships/hyperlink" Target="https://cdn.jsdelivr.net/gh/EngineerX1234/vocational-images@main/tools/batch-20/telecom-ammeter.jpg" TargetMode="External"/><Relationship Id="rId930" Type="http://schemas.openxmlformats.org/officeDocument/2006/relationships/hyperlink" Target="https://cdn.jsdelivr.net/gh/EngineerX1234/vocational-images@main/tools/batch-20/telecom-labelling-machines.jpg" TargetMode="External"/><Relationship Id="rId931" Type="http://schemas.openxmlformats.org/officeDocument/2006/relationships/hyperlink" Target="https://cdn.jsdelivr.net/gh/EngineerX1234/vocational-images@main/tools/batch-21/telecom-power-drills-and-drivers.jpg" TargetMode="External"/><Relationship Id="rId932" Type="http://schemas.openxmlformats.org/officeDocument/2006/relationships/hyperlink" Target="https://cdn.jsdelivr.net/gh/EngineerX1234/vocational-images@main/tools/batch-20/telecom-circuit-testers.jpg" TargetMode="External"/><Relationship Id="rId933" Type="http://schemas.openxmlformats.org/officeDocument/2006/relationships/hyperlink" Target="https://cdn.jsdelivr.net/gh/EngineerX1234/vocational-images@main/tools/batch-21/telecom-non-contact-voltage-detector.jpg" TargetMode="External"/><Relationship Id="rId934" Type="http://schemas.openxmlformats.org/officeDocument/2006/relationships/hyperlink" Target="https://cdn.jsdelivr.net/gh/EngineerX1234/vocational-images@main/tools/batch-21/telecom-otdr.jpg" TargetMode="External"/><Relationship Id="rId935" Type="http://schemas.openxmlformats.org/officeDocument/2006/relationships/hyperlink" Target="https://cdn.jsdelivr.net/gh/EngineerX1234/vocational-images@main/tools/batch-11/electronics-power-meter.jpg" TargetMode="External"/><Relationship Id="rId936" Type="http://schemas.openxmlformats.org/officeDocument/2006/relationships/hyperlink" Target="https://cdn.jsdelivr.net/gh/EngineerX1234/vocational-images@main/tools/batch-11/electronics-ladders-and-step-stools.jpg" TargetMode="External"/><Relationship Id="rId937" Type="http://schemas.openxmlformats.org/officeDocument/2006/relationships/hyperlink" Target="https://cdn.jsdelivr.net/gh/EngineerX1234/vocational-images@main/tools/batch-22/tourism-and-hospitality-tea-strainer.jpg" TargetMode="External"/><Relationship Id="rId938" Type="http://schemas.openxmlformats.org/officeDocument/2006/relationships/hyperlink" Target="https://cdn.jsdelivr.net/gh/EngineerX1234/vocational-images@main/tools/batch-21/tourism-and-hospitality-bar-tool-kit.jpg" TargetMode="External"/><Relationship Id="rId939" Type="http://schemas.openxmlformats.org/officeDocument/2006/relationships/hyperlink" Target="https://cdn.jsdelivr.net/gh/EngineerX1234/vocational-images@main/tools/batch-21/tourism-and-hospitality-cocktail-shaker.jpg" TargetMode="External"/><Relationship Id="rId940" Type="http://schemas.openxmlformats.org/officeDocument/2006/relationships/hyperlink" Target="https://cdn.jsdelivr.net/gh/EngineerX1234/vocational-images@main/tools/batch-21/tourism-and-hospitality-dinner-plate-11.jpg" TargetMode="External"/><Relationship Id="rId941" Type="http://schemas.openxmlformats.org/officeDocument/2006/relationships/hyperlink" Target="https://cdn.jsdelivr.net/gh/EngineerX1234/vocational-images@main/tools/batch-21/tourism-and-hospitality-dessert-plate-9.jpg" TargetMode="External"/><Relationship Id="rId942" Type="http://schemas.openxmlformats.org/officeDocument/2006/relationships/hyperlink" Target="https://cdn.jsdelivr.net/gh/EngineerX1234/vocational-images@main/tools/batch-21/tourism-and-hospitality-bandb-plate.jpg" TargetMode="External"/><Relationship Id="rId943" Type="http://schemas.openxmlformats.org/officeDocument/2006/relationships/hyperlink" Target="https://cdn.jsdelivr.net/gh/EngineerX1234/vocational-images@main/tools/batch-22/tourism-and-hospitality-tea-cup.jpg" TargetMode="External"/><Relationship Id="rId944" Type="http://schemas.openxmlformats.org/officeDocument/2006/relationships/hyperlink" Target="https://cdn.jsdelivr.net/gh/EngineerX1234/vocational-images@main/tools/batch-22/tourism-and-hospitality-tea-saucer.jpg" TargetMode="External"/><Relationship Id="rId945" Type="http://schemas.openxmlformats.org/officeDocument/2006/relationships/hyperlink" Target="https://cdn.jsdelivr.net/gh/EngineerX1234/vocational-images@main/tools/batch-21/tourism-and-hospitality-soup-bowl.jpg" TargetMode="External"/><Relationship Id="rId946" Type="http://schemas.openxmlformats.org/officeDocument/2006/relationships/hyperlink" Target="https://cdn.jsdelivr.net/gh/EngineerX1234/vocational-images@main/tools/batch-21/tourism-and-hospitality-pasta-plate-11.jpg" TargetMode="External"/><Relationship Id="rId947" Type="http://schemas.openxmlformats.org/officeDocument/2006/relationships/hyperlink" Target="https://cdn.jsdelivr.net/gh/EngineerX1234/vocational-images@main/tools/batch-21/tourism-and-hospitality-cereal-bowl.jpg" TargetMode="External"/><Relationship Id="rId948" Type="http://schemas.openxmlformats.org/officeDocument/2006/relationships/hyperlink" Target="https://cdn.jsdelivr.net/gh/EngineerX1234/vocational-images@main/tools/batch-21/tourism-and-hospitality-chutney-bowl-small.jpg" TargetMode="External"/><Relationship Id="rId949" Type="http://schemas.openxmlformats.org/officeDocument/2006/relationships/hyperlink" Target="https://cdn.jsdelivr.net/gh/EngineerX1234/vocational-images@main/tools/batch-22/tourism-and-hospitality-tea-spoon.jpg" TargetMode="External"/><Relationship Id="rId950" Type="http://schemas.openxmlformats.org/officeDocument/2006/relationships/hyperlink" Target="https://cdn.jsdelivr.net/gh/EngineerX1234/vocational-images@main/tools/batch-21/tourism-and-hospitality-dessert-a-p-spoon.jpg" TargetMode="External"/><Relationship Id="rId951" Type="http://schemas.openxmlformats.org/officeDocument/2006/relationships/hyperlink" Target="https://cdn.jsdelivr.net/gh/EngineerX1234/vocational-images@main/tools/batch-21/tourism-and-hospitality-dessert-a-p-fork.jpg" TargetMode="External"/><Relationship Id="rId952" Type="http://schemas.openxmlformats.org/officeDocument/2006/relationships/hyperlink" Target="https://cdn.jsdelivr.net/gh/EngineerX1234/vocational-images@main/tools/batch-21/tourism-and-hospitality-soup-spoon.jpg" TargetMode="External"/><Relationship Id="rId953" Type="http://schemas.openxmlformats.org/officeDocument/2006/relationships/hyperlink" Target="https://cdn.jsdelivr.net/gh/EngineerX1234/vocational-images@main/tools/batch-21/tourism-and-hospitality-dessert-knife.jpg" TargetMode="External"/><Relationship Id="rId954" Type="http://schemas.openxmlformats.org/officeDocument/2006/relationships/hyperlink" Target="https://cdn.jsdelivr.net/gh/EngineerX1234/vocational-images@main/tools/batch-21/tourism-and-hospitality-table-service-spoon.jpg" TargetMode="External"/><Relationship Id="rId955" Type="http://schemas.openxmlformats.org/officeDocument/2006/relationships/hyperlink" Target="https://cdn.jsdelivr.net/gh/EngineerX1234/vocational-images@main/tools/batch-21/tourism-and-hospitality-table-service-fork.jpg" TargetMode="External"/><Relationship Id="rId956" Type="http://schemas.openxmlformats.org/officeDocument/2006/relationships/hyperlink" Target="https://cdn.jsdelivr.net/gh/EngineerX1234/vocational-images@main/tools/batch-22/tourism-and-hospitality-tea-set.jpg" TargetMode="External"/><Relationship Id="rId957" Type="http://schemas.openxmlformats.org/officeDocument/2006/relationships/hyperlink" Target="https://cdn.jsdelivr.net/gh/EngineerX1234/vocational-images@main/tools/batch-22/tourism-and-hospitality-water-jug.jpg" TargetMode="External"/><Relationship Id="rId958" Type="http://schemas.openxmlformats.org/officeDocument/2006/relationships/hyperlink" Target="https://cdn.jsdelivr.net/gh/EngineerX1234/vocational-images@main/tools/batch-21/tourism-and-hospitality-salt-and-pepper-set.jpg" TargetMode="External"/><Relationship Id="rId959" Type="http://schemas.openxmlformats.org/officeDocument/2006/relationships/hyperlink" Target="https://cdn.jsdelivr.net/gh/EngineerX1234/vocational-images@main/tools/batch-22/tourism-and-hospitality-tooth-pick-holder.jpg" TargetMode="External"/><Relationship Id="rId960" Type="http://schemas.openxmlformats.org/officeDocument/2006/relationships/hyperlink" Target="https://cdn.jsdelivr.net/gh/EngineerX1234/vocational-images@main/tools/batch-21/tourism-and-hospitality-straw-holder.jpg" TargetMode="External"/><Relationship Id="rId961" Type="http://schemas.openxmlformats.org/officeDocument/2006/relationships/hyperlink" Target="https://cdn.jsdelivr.net/gh/EngineerX1234/vocational-images@main/tools/batch-21/tourism-and-hospitality-sugar-sachet-holder.jpg" TargetMode="External"/><Relationship Id="rId962" Type="http://schemas.openxmlformats.org/officeDocument/2006/relationships/hyperlink" Target="https://cdn.jsdelivr.net/gh/EngineerX1234/vocational-images@main/tools/batch-21/tourism-and-hospitality-napkin-holder.jpg" TargetMode="External"/><Relationship Id="rId963" Type="http://schemas.openxmlformats.org/officeDocument/2006/relationships/hyperlink" Target="https://cdn.jsdelivr.net/gh/EngineerX1234/vocational-images@main/tools/batch-21/tourism-and-hospitality-oval-platter.jpg" TargetMode="External"/><Relationship Id="rId964" Type="http://schemas.openxmlformats.org/officeDocument/2006/relationships/hyperlink" Target="https://cdn.jsdelivr.net/gh/EngineerX1234/vocational-images@main/tools/batch-21/tourism-and-hospitality-round-service-tray.jpg" TargetMode="External"/><Relationship Id="rId965" Type="http://schemas.openxmlformats.org/officeDocument/2006/relationships/hyperlink" Target="https://cdn.jsdelivr.net/gh/EngineerX1234/vocational-images@main/tools/batch-21/tourism-and-hospitality-rectangular-service-tray.jpg" TargetMode="External"/><Relationship Id="rId966" Type="http://schemas.openxmlformats.org/officeDocument/2006/relationships/hyperlink" Target="https://cdn.jsdelivr.net/gh/EngineerX1234/vocational-images@main/tools/batch-21/tourism-and-hospitality-ash-tray.jpg" TargetMode="External"/><Relationship Id="rId967" Type="http://schemas.openxmlformats.org/officeDocument/2006/relationships/hyperlink" Target="https://cdn.jsdelivr.net/gh/EngineerX1234/vocational-images@main/tools/batch-21/tourism-and-hospitality-decanter-small.jpg" TargetMode="External"/><Relationship Id="rId968" Type="http://schemas.openxmlformats.org/officeDocument/2006/relationships/hyperlink" Target="https://cdn.jsdelivr.net/gh/EngineerX1234/vocational-images@main/tools/batch-21/tourism-and-hospitality-decanter-large.jpg" TargetMode="External"/><Relationship Id="rId969" Type="http://schemas.openxmlformats.org/officeDocument/2006/relationships/hyperlink" Target="https://cdn.jsdelivr.net/gh/EngineerX1234/vocational-images@main/tools/batch-22/tourism-and-hospitality-wine-glass.jpg" TargetMode="External"/><Relationship Id="rId970" Type="http://schemas.openxmlformats.org/officeDocument/2006/relationships/hyperlink" Target="https://cdn.jsdelivr.net/gh/EngineerX1234/vocational-images@main/tools/batch-05/aerospace-and-aviation-magnetic-propeller-balancer.jpg" TargetMode="External"/><Relationship Id="rId971" Type="http://schemas.openxmlformats.org/officeDocument/2006/relationships/hyperlink" Target="https://cdn.jsdelivr.net/gh/EngineerX1234/vocational-images@main/tools/batch-05/aerospace-and-aviation-digital-calliper.jpg" TargetMode="External"/><Relationship Id="rId972" Type="http://schemas.openxmlformats.org/officeDocument/2006/relationships/hyperlink" Target="https://cdn.jsdelivr.net/gh/EngineerX1234/vocational-images@main/tools/batch-05/aerospace-and-aviation-magnetic-tray.jpg" TargetMode="External"/><Relationship Id="rId973" Type="http://schemas.openxmlformats.org/officeDocument/2006/relationships/hyperlink" Target="https://cdn.jsdelivr.net/gh/EngineerX1234/vocational-images@main/tools/batch-05/aerospace-and-aviation-soldering-kits-basic-and-battery-powered.jpg" TargetMode="External"/><Relationship Id="rId974" Type="http://schemas.openxmlformats.org/officeDocument/2006/relationships/hyperlink" Target="https://cdn.jsdelivr.net/gh/EngineerX1234/vocational-images@main/tools/batch-05/aerospace-and-aviation-hand-driller-kit.jpg" TargetMode="External"/><Relationship Id="rId975" Type="http://schemas.openxmlformats.org/officeDocument/2006/relationships/hyperlink" Target="https://cdn.jsdelivr.net/gh/EngineerX1234/vocational-images@main/tools/batch-05/aerospace-and-aviation-glue-gun.jpg" TargetMode="External"/><Relationship Id="rId976" Type="http://schemas.openxmlformats.org/officeDocument/2006/relationships/hyperlink" Target="https://cdn.jsdelivr.net/gh/EngineerX1234/vocational-images@main/tools/batch-05/aerospace-and-aviation-cutting-mat.jpg" TargetMode="External"/><Relationship Id="rId977" Type="http://schemas.openxmlformats.org/officeDocument/2006/relationships/hyperlink" Target="https://cdn.jsdelivr.net/gh/EngineerX1234/vocational-images@main/tools/batch-05/aerospace-and-aviation-allen-key-set.jpg" TargetMode="External"/><Relationship Id="rId978" Type="http://schemas.openxmlformats.org/officeDocument/2006/relationships/hyperlink" Target="https://cdn.jsdelivr.net/gh/EngineerX1234/vocational-images@main/tools/batch-05/aerospace-and-aviation-knife-set.jpg" TargetMode="External"/><Relationship Id="rId979" Type="http://schemas.openxmlformats.org/officeDocument/2006/relationships/hyperlink" Target="https://cdn.jsdelivr.net/gh/EngineerX1234/vocational-images@main/tools/batch-05/aerospace-and-aviation-screw-driver-set.jpg" TargetMode="External"/><Relationship Id="rId980" Type="http://schemas.openxmlformats.org/officeDocument/2006/relationships/hyperlink" Target="https://cdn.jsdelivr.net/gh/EngineerX1234/vocational-images@main/tools/batch-05/aerospace-and-aviation-plier-set.jpg" TargetMode="External"/><Relationship Id="rId981" Type="http://schemas.openxmlformats.org/officeDocument/2006/relationships/hyperlink" Target="https://cdn.jsdelivr.net/gh/EngineerX1234/vocational-images@main/tools/batch-05/aerospace-and-aviation-hammers.jpg" TargetMode="External"/><Relationship Id="rId982" Type="http://schemas.openxmlformats.org/officeDocument/2006/relationships/hyperlink" Target="https://cdn.jsdelivr.net/gh/EngineerX1234/vocational-images@main/tools/batch-05/aerospace-and-aviation-hacksaw.jpg" TargetMode="External"/><Relationship Id="rId983" Type="http://schemas.openxmlformats.org/officeDocument/2006/relationships/hyperlink" Target="https://cdn.jsdelivr.net/gh/EngineerX1234/vocational-images@main/tools/batch-05/aerospace-and-aviation-commercial-drone.jpg" TargetMode="External"/><Relationship Id="rId984" Type="http://schemas.openxmlformats.org/officeDocument/2006/relationships/hyperlink" Target="https://cdn.jsdelivr.net/gh/EngineerX1234/vocational-images@main/tools/batch-05/aerospace-and-aviation-hexacopter.jpg" TargetMode="External"/><Relationship Id="rId985" Type="http://schemas.openxmlformats.org/officeDocument/2006/relationships/hyperlink" Target="https://cdn.jsdelivr.net/gh/EngineerX1234/vocational-images@main/tools/batch-05/aerospace-and-aviation-plastic-hexacopter-with-propulsion-kit.jpg" TargetMode="External"/><Relationship Id="rId986" Type="http://schemas.openxmlformats.org/officeDocument/2006/relationships/hyperlink" Target="https://cdn.jsdelivr.net/gh/EngineerX1234/vocational-images@main/tools/batch-05/aerospace-and-aviation-quadcopter-drone-combo-with-pix-hawk-kit-for-beginner.jpg" TargetMode="External"/><Relationship Id="rId987" Type="http://schemas.openxmlformats.org/officeDocument/2006/relationships/hyperlink" Target="https://cdn.jsdelivr.net/gh/EngineerX1234/vocational-images@main/tools/batch-05/aerospace-and-aviation-micro-quadcopter-kit.jpg" TargetMode="External"/><Relationship Id="rId988" Type="http://schemas.openxmlformats.org/officeDocument/2006/relationships/hyperlink" Target="https://cdn.jsdelivr.net/gh/EngineerX1234/vocational-images@main/tools/batch-05/aerospace-and-aviation-fixed-wing-uav.jpg" TargetMode="External"/><Relationship Id="rId989" Type="http://schemas.openxmlformats.org/officeDocument/2006/relationships/hyperlink" Target="https://cdn.jsdelivr.net/gh/EngineerX1234/vocational-images@main/tools/batch-05/aerospace-and-aviation-thrust-measuring-stand.jpg" TargetMode="External"/><Relationship Id="rId990" Type="http://schemas.openxmlformats.org/officeDocument/2006/relationships/hyperlink" Target="https://cdn.jsdelivr.net/gh/EngineerX1234/vocational-images@main/tools/batch-05/aerospace-and-aviation-anemometer.jpg" TargetMode="External"/><Relationship Id="rId991" Type="http://schemas.openxmlformats.org/officeDocument/2006/relationships/hyperlink" Target="https://cdn.jsdelivr.net/gh/EngineerX1234/vocational-images@main/tools/batch-05/aerospace-and-aviation-laser-tachometer.jpg" TargetMode="External"/><Relationship Id="rId992" Type="http://schemas.openxmlformats.org/officeDocument/2006/relationships/hyperlink" Target="https://cdn.jsdelivr.net/gh/EngineerX1234/vocational-images@main/tools/batch-05/aerospace-and-aviation-multi-meter.jpg" TargetMode="External"/><Relationship Id="rId993" Type="http://schemas.openxmlformats.org/officeDocument/2006/relationships/hyperlink" Target="https://cdn.jsdelivr.net/gh/EngineerX1234/vocational-images@main/tools/batch-05/aerospace-and-aviation-electronic-hanging-balance.jpg" TargetMode="External"/><Relationship Id="rId994" Type="http://schemas.openxmlformats.org/officeDocument/2006/relationships/hyperlink" Target="https://cdn.jsdelivr.net/gh/EngineerX1234/vocational-images@main/tools/batch-05/aerospace-and-aviation-motor.jpg" TargetMode="External"/><Relationship Id="rId995" Type="http://schemas.openxmlformats.org/officeDocument/2006/relationships/hyperlink" Target="https://cdn.jsdelivr.net/gh/EngineerX1234/vocational-images@main/tools/batch-05/aerospace-and-aviation-electronic-speed-controller.jpg" TargetMode="External"/><Relationship Id="rId996" Type="http://schemas.openxmlformats.org/officeDocument/2006/relationships/hyperlink" Target="https://cdn.jsdelivr.net/gh/EngineerX1234/vocational-images@main/tools/batch-05/aerospace-and-aviation-lipo-battery.jpg" TargetMode="External"/><Relationship Id="rId997" Type="http://schemas.openxmlformats.org/officeDocument/2006/relationships/hyperlink" Target="https://cdn.jsdelivr.net/gh/EngineerX1234/vocational-images@main/tools/batch-05/aerospace-and-aviation-battery-charger.jpg" TargetMode="External"/><Relationship Id="rId998" Type="http://schemas.openxmlformats.org/officeDocument/2006/relationships/hyperlink" Target="https://cdn.jsdelivr.net/gh/EngineerX1234/vocational-images@main/tools/batch-05/aerospace-and-aviation-lipo-battery-checker.jpg" TargetMode="External"/><Relationship Id="rId999" Type="http://schemas.openxmlformats.org/officeDocument/2006/relationships/hyperlink" Target="https://cdn.jsdelivr.net/gh/EngineerX1234/vocational-images@main/tools/batch-05/aerospace-and-aviation-arducopter-flight-controller-with-gps.jpg" TargetMode="External"/><Relationship Id="rId1000" Type="http://schemas.openxmlformats.org/officeDocument/2006/relationships/hyperlink" Target="https://cdn.jsdelivr.net/gh/EngineerX1234/vocational-images@main/tools/batch-05/aerospace-and-aviation-ardino-uno-micro-controller.jpg" TargetMode="External"/><Relationship Id="rId1001" Type="http://schemas.openxmlformats.org/officeDocument/2006/relationships/hyperlink" Target="https://cdn.jsdelivr.net/gh/EngineerX1234/vocational-images@main/tools/batch-05/aerospace-and-aviation-ultrasonic-sensor-upto-400-cm.jpg" TargetMode="External"/><Relationship Id="rId1002" Type="http://schemas.openxmlformats.org/officeDocument/2006/relationships/hyperlink" Target="https://cdn.jsdelivr.net/gh/EngineerX1234/vocational-images@main/tools/batch-05/aerospace-and-aviation-inertia-measurement-unit.jpg" TargetMode="External"/><Relationship Id="rId1003" Type="http://schemas.openxmlformats.org/officeDocument/2006/relationships/hyperlink" Target="https://cdn.jsdelivr.net/gh/EngineerX1234/vocational-images@main/tools/batch-05/aerospace-and-aviation-inertial-sensors.jpg" TargetMode="External"/><Relationship Id="rId1004" Type="http://schemas.openxmlformats.org/officeDocument/2006/relationships/hyperlink" Target="https://cdn.jsdelivr.net/gh/EngineerX1234/vocational-images@main/tools/batch-05/aerospace-and-aviation-distance-and-gesture-sensor-module.jpg" TargetMode="External"/><Relationship Id="rId1005" Type="http://schemas.openxmlformats.org/officeDocument/2006/relationships/hyperlink" Target="https://cdn.jsdelivr.net/gh/EngineerX1234/vocational-images@main/tools/batch-05/aerospace-and-aviation-raspberry-pi-kit.jpg" TargetMode="External"/><Relationship Id="rId1006" Type="http://schemas.openxmlformats.org/officeDocument/2006/relationships/hyperlink" Target="https://cdn.jsdelivr.net/gh/EngineerX1234/vocational-images@main/tools/batch-05/aerospace-and-aviation-humidity-and-temperature-sensor.jpg" TargetMode="External"/><Relationship Id="rId1007" Type="http://schemas.openxmlformats.org/officeDocument/2006/relationships/hyperlink" Target="https://cdn.jsdelivr.net/gh/EngineerX1234/vocational-images@main/tools/batch-05/aerospace-and-aviation-gas-sensor.jpg" TargetMode="External"/><Relationship Id="rId1008" Type="http://schemas.openxmlformats.org/officeDocument/2006/relationships/hyperlink" Target="https://cdn.jsdelivr.net/gh/EngineerX1234/vocational-images@main/tools/batch-05/aerospace-and-aviation-433-mhz-telemetry.jpg" TargetMode="External"/><Relationship Id="rId1009" Type="http://schemas.openxmlformats.org/officeDocument/2006/relationships/hyperlink" Target="https://cdn.jsdelivr.net/gh/EngineerX1234/vocational-images@main/tools/batch-26/agriculture-rc-flight-simulator.jpg" TargetMode="External"/><Relationship Id="rId1010" Type="http://schemas.openxmlformats.org/officeDocument/2006/relationships/hyperlink" Target="https://cdn.jsdelivr.net/gh/EngineerX1234/vocational-images@main/tools/batch-11/electronics-propellers.jpg" TargetMode="External"/><Relationship Id="rId1011" Type="http://schemas.openxmlformats.org/officeDocument/2006/relationships/hyperlink" Target="https://cdn.jsdelivr.net/gh/EngineerX1234/vocational-images@main/tools/batch-18/media-and-entertainment-computer.jpg" TargetMode="External"/><Relationship Id="rId1012" Type="http://schemas.openxmlformats.org/officeDocument/2006/relationships/hyperlink" Target="https://cdn.jsdelivr.net/gh/EngineerX1234/vocational-images@main/tools/batch-03/agriculture-open-end-spanner-set.jpg" TargetMode="External"/><Relationship Id="rId1013" Type="http://schemas.openxmlformats.org/officeDocument/2006/relationships/hyperlink" Target="https://cdn.jsdelivr.net/gh/EngineerX1234/vocational-images@main/tools/batch-24/agriculture-ring-end-spanner-set.jpg" TargetMode="External"/><Relationship Id="rId1014" Type="http://schemas.openxmlformats.org/officeDocument/2006/relationships/hyperlink" Target="https://cdn.jsdelivr.net/gh/EngineerX1234/vocational-images@main/tools/batch-24/agriculture-socket-spanner-set.jpg" TargetMode="External"/><Relationship Id="rId1015" Type="http://schemas.openxmlformats.org/officeDocument/2006/relationships/hyperlink" Target="https://cdn.jsdelivr.net/gh/EngineerX1234/vocational-images@main/tools/batch-01/agriculture-allen-key-set.jpg" TargetMode="External"/><Relationship Id="rId1016" Type="http://schemas.openxmlformats.org/officeDocument/2006/relationships/hyperlink" Target="https://cdn.jsdelivr.net/gh/EngineerX1234/vocational-images@main/tools/batch-05/agriculture-wrenches.jpg" TargetMode="External"/><Relationship Id="rId1017" Type="http://schemas.openxmlformats.org/officeDocument/2006/relationships/hyperlink" Target="https://cdn.jsdelivr.net/gh/EngineerX1234/vocational-images@main/tools/batch-03/agriculture-plier.jpg" TargetMode="External"/><Relationship Id="rId1018" Type="http://schemas.openxmlformats.org/officeDocument/2006/relationships/hyperlink" Target="https://cdn.jsdelivr.net/gh/EngineerX1234/vocational-images@main/tools/batch-24/agriculture-screw-driver-set.jpg" TargetMode="External"/><Relationship Id="rId1019" Type="http://schemas.openxmlformats.org/officeDocument/2006/relationships/hyperlink" Target="https://cdn.jsdelivr.net/gh/EngineerX1234/vocational-images@main/tools/batch-10/electronics-hammer.jpg" TargetMode="External"/><Relationship Id="rId1020" Type="http://schemas.openxmlformats.org/officeDocument/2006/relationships/hyperlink" Target="https://cdn.jsdelivr.net/gh/EngineerX1234/vocational-images@main/tools/batch-04/agriculture-punches.jpg" TargetMode="External"/><Relationship Id="rId1021" Type="http://schemas.openxmlformats.org/officeDocument/2006/relationships/hyperlink" Target="https://cdn.jsdelivr.net/gh/EngineerX1234/vocational-images@main/tools/batch-23/agriculture-file-set.jpg" TargetMode="External"/><Relationship Id="rId1022" Type="http://schemas.openxmlformats.org/officeDocument/2006/relationships/hyperlink" Target="https://cdn.jsdelivr.net/gh/EngineerX1234/vocational-images@main/tools/batch-01/agriculture-combination-set.jpg" TargetMode="External"/><Relationship Id="rId1023" Type="http://schemas.openxmlformats.org/officeDocument/2006/relationships/hyperlink" Target="https://cdn.jsdelivr.net/gh/EngineerX1234/vocational-images@main/tools/batch-24/agriculture-steel-scale.jpg" TargetMode="External"/><Relationship Id="rId1024" Type="http://schemas.openxmlformats.org/officeDocument/2006/relationships/hyperlink" Target="https://cdn.jsdelivr.net/gh/EngineerX1234/vocational-images@main/tools/batch-03/agriculture-measuring-tape.jpg" TargetMode="External"/><Relationship Id="rId1025" Type="http://schemas.openxmlformats.org/officeDocument/2006/relationships/hyperlink" Target="https://cdn.jsdelivr.net/gh/EngineerX1234/vocational-images@main/tools/batch-05/agriculture-torque-wrench.jpg" TargetMode="External"/><Relationship Id="rId1026" Type="http://schemas.openxmlformats.org/officeDocument/2006/relationships/hyperlink" Target="https://cdn.jsdelivr.net/gh/EngineerX1234/vocational-images@main/tools/batch-05/agriculture-wheel-jack.jpg" TargetMode="External"/><Relationship Id="rId1027" Type="http://schemas.openxmlformats.org/officeDocument/2006/relationships/hyperlink" Target="https://cdn.jsdelivr.net/gh/EngineerX1234/vocational-images@main/tools/batch-03/agriculture-oil-cane.jpg" TargetMode="External"/><Relationship Id="rId1028" Type="http://schemas.openxmlformats.org/officeDocument/2006/relationships/hyperlink" Target="https://cdn.jsdelivr.net/gh/EngineerX1234/vocational-images@main/tools/batch-23/agriculture-grease-gun.jpg" TargetMode="External"/><Relationship Id="rId1029" Type="http://schemas.openxmlformats.org/officeDocument/2006/relationships/hyperlink" Target="https://cdn.jsdelivr.net/gh/EngineerX1234/vocational-images@main/tools/batch-03/agriculture-line-tester.jpg" TargetMode="External"/><Relationship Id="rId1030" Type="http://schemas.openxmlformats.org/officeDocument/2006/relationships/hyperlink" Target="https://cdn.jsdelivr.net/gh/EngineerX1234/vocational-images@main/tools/batch-24/agriculture-soldering-kit.jpg" TargetMode="External"/><Relationship Id="rId1031" Type="http://schemas.openxmlformats.org/officeDocument/2006/relationships/hyperlink" Target="https://cdn.jsdelivr.net/gh/EngineerX1234/vocational-images@main/tools/batch-01/agriculture-circlip-pliers.jpg" TargetMode="External"/><Relationship Id="rId1032" Type="http://schemas.openxmlformats.org/officeDocument/2006/relationships/hyperlink" Target="https://cdn.jsdelivr.net/gh/EngineerX1234/vocational-images@main/tools/batch-01/agriculture-chain-wrench.jpg" TargetMode="External"/><Relationship Id="rId1033" Type="http://schemas.openxmlformats.org/officeDocument/2006/relationships/hyperlink" Target="https://cdn.jsdelivr.net/gh/EngineerX1234/vocational-images@main/tools/batch-03/agriculture-pipe-wrench.jpg" TargetMode="External"/><Relationship Id="rId1034" Type="http://schemas.openxmlformats.org/officeDocument/2006/relationships/hyperlink" Target="https://cdn.jsdelivr.net/gh/EngineerX1234/vocational-images@main/tools/batch-01/agriculture-chisel-set.jpg" TargetMode="External"/><Relationship Id="rId1035" Type="http://schemas.openxmlformats.org/officeDocument/2006/relationships/hyperlink" Target="https://cdn.jsdelivr.net/gh/EngineerX1234/vocational-images@main/tools/batch-03/agriculture-manual-dibbler.jpg" TargetMode="External"/><Relationship Id="rId1036" Type="http://schemas.openxmlformats.org/officeDocument/2006/relationships/hyperlink" Target="https://cdn.jsdelivr.net/gh/EngineerX1234/vocational-images@main/tools/batch-23/agriculture-grass-cutter.jpg" TargetMode="External"/><Relationship Id="rId1037" Type="http://schemas.openxmlformats.org/officeDocument/2006/relationships/hyperlink" Target="https://cdn.jsdelivr.net/gh/EngineerX1234/vocational-images@main/tools/batch-24/agriculture-sickle.jpg" TargetMode="External"/><Relationship Id="rId1038" Type="http://schemas.openxmlformats.org/officeDocument/2006/relationships/hyperlink" Target="https://cdn.jsdelivr.net/gh/EngineerX1234/vocational-images@main/tools/batch-24/agriculture-spade.jpg" TargetMode="External"/><Relationship Id="rId1039" Type="http://schemas.openxmlformats.org/officeDocument/2006/relationships/hyperlink" Target="https://cdn.jsdelivr.net/gh/EngineerX1234/vocational-images@main/tools/batch-26/agriculture-hand-hoe-khurpi.jpg" TargetMode="External"/><Relationship Id="rId1040" Type="http://schemas.openxmlformats.org/officeDocument/2006/relationships/hyperlink" Target="https://cdn.jsdelivr.net/gh/EngineerX1234/vocational-images@main/tools/batch-01/agriculture-axe.jpg" TargetMode="External"/><Relationship Id="rId1041" Type="http://schemas.openxmlformats.org/officeDocument/2006/relationships/hyperlink" Target="https://cdn.jsdelivr.net/gh/EngineerX1234/vocational-images@main/tools/batch-03/agriculture-pick-axe.jpg" TargetMode="External"/><Relationship Id="rId1042" Type="http://schemas.openxmlformats.org/officeDocument/2006/relationships/hyperlink" Target="https://cdn.jsdelivr.net/gh/EngineerX1234/vocational-images@main/tools/batch-03/agriculture-manual-weeder.jpg" TargetMode="External"/><Relationship Id="rId1043" Type="http://schemas.openxmlformats.org/officeDocument/2006/relationships/hyperlink" Target="https://cdn.jsdelivr.net/gh/EngineerX1234/vocational-images@main/tools/batch-05/agriculture-tachometer.jpg" TargetMode="External"/><Relationship Id="rId1044" Type="http://schemas.openxmlformats.org/officeDocument/2006/relationships/hyperlink" Target="https://cdn.jsdelivr.net/gh/EngineerX1234/vocational-images@main/tools/batch-03/agriculture-multi-meter.jpg" TargetMode="External"/><Relationship Id="rId1045" Type="http://schemas.openxmlformats.org/officeDocument/2006/relationships/hyperlink" Target="https://cdn.jsdelivr.net/gh/EngineerX1234/vocational-images@main/tools/batch-24/agriculture-stop-watch.jpg" TargetMode="External"/><Relationship Id="rId1046" Type="http://schemas.openxmlformats.org/officeDocument/2006/relationships/hyperlink" Target="https://cdn.jsdelivr.net/gh/EngineerX1234/vocational-images@main/tools/batch-01/agriculture-battery-charger.jpg" TargetMode="External"/><Relationship Id="rId1047" Type="http://schemas.openxmlformats.org/officeDocument/2006/relationships/hyperlink" Target="https://cdn.jsdelivr.net/gh/EngineerX1234/vocational-images@main/tools/batch-26/agriculture-hydrometer.jpg" TargetMode="External"/><Relationship Id="rId1048" Type="http://schemas.openxmlformats.org/officeDocument/2006/relationships/hyperlink" Target="https://cdn.jsdelivr.net/gh/EngineerX1234/vocational-images@main/tools/batch-01/agriculture-battery.jpg" TargetMode="External"/><Relationship Id="rId1049" Type="http://schemas.openxmlformats.org/officeDocument/2006/relationships/hyperlink" Target="https://cdn.jsdelivr.net/gh/EngineerX1234/vocational-images@main/tools/batch-05/agriculture-tyre-pressure-gauge.jpg" TargetMode="External"/><Relationship Id="rId1050" Type="http://schemas.openxmlformats.org/officeDocument/2006/relationships/hyperlink" Target="https://cdn.jsdelivr.net/gh/EngineerX1234/vocational-images@main/tools/batch-01/agriculture-cell-tester.jpg" TargetMode="External"/><Relationship Id="rId1051" Type="http://schemas.openxmlformats.org/officeDocument/2006/relationships/hyperlink" Target="https://cdn.jsdelivr.net/gh/EngineerX1234/vocational-images@main/tools/batch-04/agriculture-pressure-gauge.jpg" TargetMode="External"/><Relationship Id="rId1052" Type="http://schemas.openxmlformats.org/officeDocument/2006/relationships/hyperlink" Target="https://cdn.jsdelivr.net/gh/EngineerX1234/vocational-images@main/tools/batch-01/agriculture-battery-operated-sprayer.jpg" TargetMode="External"/><Relationship Id="rId1053" Type="http://schemas.openxmlformats.org/officeDocument/2006/relationships/hyperlink" Target="https://cdn.jsdelivr.net/gh/EngineerX1234/vocational-images@main/tools/batch-03/agriculture-manual-fertilizer-broadcaster.jpg" TargetMode="External"/><Relationship Id="rId1054" Type="http://schemas.openxmlformats.org/officeDocument/2006/relationships/hyperlink" Target="https://cdn.jsdelivr.net/gh/EngineerX1234/vocational-images@main/tools/batch-05/agriculture-tractor.jpg" TargetMode="External"/><Relationship Id="rId1055" Type="http://schemas.openxmlformats.org/officeDocument/2006/relationships/hyperlink" Target="https://cdn.jsdelivr.net/gh/EngineerX1234/vocational-images@main/tools/batch-03/agriculture-mb-plough.jpg" TargetMode="External"/><Relationship Id="rId1056" Type="http://schemas.openxmlformats.org/officeDocument/2006/relationships/hyperlink" Target="https://cdn.jsdelivr.net/gh/EngineerX1234/vocational-images@main/tools/batch-01/agriculture-disc-plough.jpg" TargetMode="External"/><Relationship Id="rId1057" Type="http://schemas.openxmlformats.org/officeDocument/2006/relationships/hyperlink" Target="https://cdn.jsdelivr.net/gh/EngineerX1234/vocational-images@main/tools/batch-01/agriculture-cultivator.jpg" TargetMode="External"/><Relationship Id="rId1058" Type="http://schemas.openxmlformats.org/officeDocument/2006/relationships/hyperlink" Target="https://cdn.jsdelivr.net/gh/EngineerX1234/vocational-images@main/tools/batch-01/agriculture-disc-harrow.jpg" TargetMode="External"/><Relationship Id="rId1059" Type="http://schemas.openxmlformats.org/officeDocument/2006/relationships/hyperlink" Target="https://cdn.jsdelivr.net/gh/EngineerX1234/vocational-images@main/tools/batch-24/agriculture-rotavator.jpg" TargetMode="External"/><Relationship Id="rId1060" Type="http://schemas.openxmlformats.org/officeDocument/2006/relationships/hyperlink" Target="https://cdn.jsdelivr.net/gh/EngineerX1234/vocational-images@main/tools/batch-24/agriculture-seed-cum-fertilizer.jpg" TargetMode="External"/><Relationship Id="rId1061" Type="http://schemas.openxmlformats.org/officeDocument/2006/relationships/hyperlink" Target="https://cdn.jsdelivr.net/gh/EngineerX1234/vocational-images@main/tools/batch-04/agriculture-power-tiller.jpg" TargetMode="External"/><Relationship Id="rId1062" Type="http://schemas.openxmlformats.org/officeDocument/2006/relationships/hyperlink" Target="https://cdn.jsdelivr.net/gh/EngineerX1234/vocational-images@main/tools/batch-03/agriculture-manual-transplanter.jpg" TargetMode="External"/><Relationship Id="rId1063" Type="http://schemas.openxmlformats.org/officeDocument/2006/relationships/hyperlink" Target="https://cdn.jsdelivr.net/gh/EngineerX1234/vocational-images@main/tools/batch-01/agriculture-burdizzo-castrator.jpg" TargetMode="External"/><Relationship Id="rId1064" Type="http://schemas.openxmlformats.org/officeDocument/2006/relationships/hyperlink" Target="https://cdn.jsdelivr.net/gh/EngineerX1234/vocational-images@main/tools/batch-05/agriculture-tagging-set.jpg" TargetMode="External"/><Relationship Id="rId1065" Type="http://schemas.openxmlformats.org/officeDocument/2006/relationships/hyperlink" Target="https://cdn.jsdelivr.net/gh/EngineerX1234/vocational-images@main/tools/batch-05/agriculture-tattooing-set.jpg" TargetMode="External"/><Relationship Id="rId1066" Type="http://schemas.openxmlformats.org/officeDocument/2006/relationships/hyperlink" Target="https://cdn.jsdelivr.net/gh/EngineerX1234/vocational-images@main/tools/batch-01/agriculture-branding-numbers.jpg" TargetMode="External"/><Relationship Id="rId1067" Type="http://schemas.openxmlformats.org/officeDocument/2006/relationships/hyperlink" Target="https://cdn.jsdelivr.net/gh/EngineerX1234/vocational-images@main/tools/batch-01/agriculture-drenching-bottles.jpg" TargetMode="External"/><Relationship Id="rId1068" Type="http://schemas.openxmlformats.org/officeDocument/2006/relationships/hyperlink" Target="https://cdn.jsdelivr.net/gh/EngineerX1234/vocational-images@main/tools/batch-03/agriculture-mouth-gags.jpg" TargetMode="External"/><Relationship Id="rId1069" Type="http://schemas.openxmlformats.org/officeDocument/2006/relationships/hyperlink" Target="https://cdn.jsdelivr.net/gh/EngineerX1234/vocational-images@main/tools/batch-03/agriculture-muzzle.jpg" TargetMode="External"/><Relationship Id="rId1070" Type="http://schemas.openxmlformats.org/officeDocument/2006/relationships/hyperlink" Target="https://cdn.jsdelivr.net/gh/EngineerX1234/vocational-images@main/tools/batch-26/agriculture-hoof-trimmer.jpg" TargetMode="External"/><Relationship Id="rId1071" Type="http://schemas.openxmlformats.org/officeDocument/2006/relationships/hyperlink" Target="https://cdn.jsdelivr.net/gh/EngineerX1234/vocational-images@main/tools/batch-24/agriculture-ropes.jpg" TargetMode="External"/><Relationship Id="rId1072" Type="http://schemas.openxmlformats.org/officeDocument/2006/relationships/hyperlink" Target="https://cdn.jsdelivr.net/gh/EngineerX1234/vocational-images@main/tools/batch-03/agriculture-metal-chains.jpg" TargetMode="External"/><Relationship Id="rId1073" Type="http://schemas.openxmlformats.org/officeDocument/2006/relationships/hyperlink" Target="https://cdn.jsdelivr.net/gh/EngineerX1234/vocational-images@main/tools/batch-01/agriculture-bull-nose-ring.jpg" TargetMode="External"/><Relationship Id="rId1074" Type="http://schemas.openxmlformats.org/officeDocument/2006/relationships/hyperlink" Target="https://cdn.jsdelivr.net/gh/EngineerX1234/vocational-images@main/tools/batch-01/agriculture-bull-nose-punch.jpg" TargetMode="External"/><Relationship Id="rId1075" Type="http://schemas.openxmlformats.org/officeDocument/2006/relationships/hyperlink" Target="https://cdn.jsdelivr.net/gh/EngineerX1234/vocational-images@main/tools/batch-01/agriculture-bull-leader.jpg" TargetMode="External"/><Relationship Id="rId1076" Type="http://schemas.openxmlformats.org/officeDocument/2006/relationships/hyperlink" Target="https://cdn.jsdelivr.net/gh/EngineerX1234/vocational-images@main/tools/batch-01/agriculture-animal-awakener.jpg" TargetMode="External"/><Relationship Id="rId1077" Type="http://schemas.openxmlformats.org/officeDocument/2006/relationships/hyperlink" Target="https://cdn.jsdelivr.net/gh/EngineerX1234/vocational-images@main/tools/batch-01/agriculture-ai-gun.jpg" TargetMode="External"/><Relationship Id="rId1078" Type="http://schemas.openxmlformats.org/officeDocument/2006/relationships/hyperlink" Target="https://cdn.jsdelivr.net/gh/EngineerX1234/vocational-images@main/tools/batch-26/agriculture-hose-pipe.jpg" TargetMode="External"/><Relationship Id="rId1079" Type="http://schemas.openxmlformats.org/officeDocument/2006/relationships/hyperlink" Target="https://cdn.jsdelivr.net/gh/EngineerX1234/vocational-images@main/tools/batch-23/agriculture-grooming-brush.jpg" TargetMode="External"/><Relationship Id="rId1080" Type="http://schemas.openxmlformats.org/officeDocument/2006/relationships/hyperlink" Target="https://cdn.jsdelivr.net/gh/EngineerX1234/vocational-images@main/tools/batch-03/agriculture-milking-bucket.jpg" TargetMode="External"/><Relationship Id="rId1081" Type="http://schemas.openxmlformats.org/officeDocument/2006/relationships/hyperlink" Target="https://cdn.jsdelivr.net/gh/EngineerX1234/vocational-images@main/tools/batch-03/agriculture-milk-can.jpg" TargetMode="External"/><Relationship Id="rId1082" Type="http://schemas.openxmlformats.org/officeDocument/2006/relationships/hyperlink" Target="https://cdn.jsdelivr.net/gh/EngineerX1234/vocational-images@main/tools/batch-03/agriculture-milk-strainer.jpg" TargetMode="External"/><Relationship Id="rId1083" Type="http://schemas.openxmlformats.org/officeDocument/2006/relationships/hyperlink" Target="https://cdn.jsdelivr.net/gh/EngineerX1234/vocational-images@main/tools/batch-01/agriculture-broom.jpg" TargetMode="External"/><Relationship Id="rId1084" Type="http://schemas.openxmlformats.org/officeDocument/2006/relationships/hyperlink" Target="https://cdn.jsdelivr.net/gh/EngineerX1234/vocational-images@main/tools/batch-05/agriculture-trocar-and-cannula.jpg" TargetMode="External"/><Relationship Id="rId1085" Type="http://schemas.openxmlformats.org/officeDocument/2006/relationships/hyperlink" Target="https://cdn.jsdelivr.net/gh/EngineerX1234/vocational-images@main/tools/batch-01/agriculture-cmt-paddle.jpg" TargetMode="External"/><Relationship Id="rId1086" Type="http://schemas.openxmlformats.org/officeDocument/2006/relationships/hyperlink" Target="https://cdn.jsdelivr.net/gh/EngineerX1234/vocational-images@main/tools/batch-02/agriculture-electric-dehorner.jpg" TargetMode="External"/><Relationship Id="rId1087" Type="http://schemas.openxmlformats.org/officeDocument/2006/relationships/hyperlink" Target="https://cdn.jsdelivr.net/gh/EngineerX1234/vocational-images@main/tools/batch-01/agriculture-artificial-insemination-ai-cylinder.jpg" TargetMode="External"/><Relationship Id="rId1088" Type="http://schemas.openxmlformats.org/officeDocument/2006/relationships/hyperlink" Target="https://cdn.jsdelivr.net/gh/EngineerX1234/vocational-images@main/tools/batch-03/agriculture-measuring-appliances.jpg" TargetMode="External"/><Relationship Id="rId1089" Type="http://schemas.openxmlformats.org/officeDocument/2006/relationships/hyperlink" Target="https://cdn.jsdelivr.net/gh/EngineerX1234/vocational-images@main/tools/batch-01/agriculture-bull-exerciser.jpg" TargetMode="External"/><Relationship Id="rId1090" Type="http://schemas.openxmlformats.org/officeDocument/2006/relationships/hyperlink" Target="https://cdn.jsdelivr.net/gh/EngineerX1234/vocational-images@main/tools/batch-05/agriculture-thermometer.jpg" TargetMode="External"/><Relationship Id="rId1091" Type="http://schemas.openxmlformats.org/officeDocument/2006/relationships/hyperlink" Target="https://cdn.jsdelivr.net/gh/EngineerX1234/vocational-images@main/tools/batch-23/agriculture-fish-net.jpg" TargetMode="External"/><Relationship Id="rId1092" Type="http://schemas.openxmlformats.org/officeDocument/2006/relationships/hyperlink" Target="https://cdn.jsdelivr.net/gh/EngineerX1234/vocational-images@main/tools/batch-23/agriculture-feeding-trays-for-fish-fry.jpg" TargetMode="External"/><Relationship Id="rId1093" Type="http://schemas.openxmlformats.org/officeDocument/2006/relationships/hyperlink" Target="https://cdn.jsdelivr.net/gh/EngineerX1234/vocational-images@main/tools/batch-26/agriculture-hand-net-for-transferring-fish-fry.jpg" TargetMode="External"/><Relationship Id="rId1094" Type="http://schemas.openxmlformats.org/officeDocument/2006/relationships/hyperlink" Target="https://cdn.jsdelivr.net/gh/EngineerX1234/vocational-images@main/tools/batch-05/agriculture-syringe-and-droppers.jpg" TargetMode="External"/><Relationship Id="rId1095" Type="http://schemas.openxmlformats.org/officeDocument/2006/relationships/hyperlink" Target="https://cdn.jsdelivr.net/gh/EngineerX1234/vocational-images@main/tools/batch-03/agriculture-magnifying-glass.jpg" TargetMode="External"/><Relationship Id="rId1096" Type="http://schemas.openxmlformats.org/officeDocument/2006/relationships/hyperlink" Target="https://cdn.jsdelivr.net/gh/EngineerX1234/vocational-images@main/tools/batch-03/agriculture-plastic-syringes-and-hormone-applicators.jpg" TargetMode="External"/><Relationship Id="rId1097" Type="http://schemas.openxmlformats.org/officeDocument/2006/relationships/hyperlink" Target="https://cdn.jsdelivr.net/gh/EngineerX1234/vocational-images@main/tools/batch-01/agriculture-basic-tools-for-cleaning-of-tanks.jpg" TargetMode="External"/><Relationship Id="rId1098" Type="http://schemas.openxmlformats.org/officeDocument/2006/relationships/hyperlink" Target="https://cdn.jsdelivr.net/gh/EngineerX1234/vocational-images@main/tools/batch-24/agriculture-small-fish-rearing-tanks.jpg" TargetMode="External"/><Relationship Id="rId1099" Type="http://schemas.openxmlformats.org/officeDocument/2006/relationships/hyperlink" Target="https://cdn.jsdelivr.net/gh/EngineerX1234/vocational-images@main/tools/batch-03/agriculture-ph-meter.jpg" TargetMode="External"/><Relationship Id="rId1100" Type="http://schemas.openxmlformats.org/officeDocument/2006/relationships/hyperlink" Target="https://cdn.jsdelivr.net/gh/EngineerX1234/vocational-images@main/tools/batch-01/agriculture-dissolved-oxygen-do-meter.jpg" TargetMode="External"/><Relationship Id="rId1101" Type="http://schemas.openxmlformats.org/officeDocument/2006/relationships/hyperlink" Target="https://cdn.jsdelivr.net/gh/EngineerX1234/vocational-images@main/tools/batch-05/agriculture-water-testing-kit.jpg" TargetMode="External"/><Relationship Id="rId1102" Type="http://schemas.openxmlformats.org/officeDocument/2006/relationships/hyperlink" Target="https://cdn.jsdelivr.net/gh/EngineerX1234/vocational-images@main/tools/batch-05/agriculture-thermometer.jpg" TargetMode="External"/><Relationship Id="rId1103" Type="http://schemas.openxmlformats.org/officeDocument/2006/relationships/hyperlink" Target="https://cdn.jsdelivr.net/gh/EngineerX1234/vocational-images@main/tools/batch-05/agriculture-weighing-balance.jpg" TargetMode="External"/><Relationship Id="rId1104" Type="http://schemas.openxmlformats.org/officeDocument/2006/relationships/hyperlink" Target="https://cdn.jsdelivr.net/gh/EngineerX1234/vocational-images@main/tools/batch-03/agriculture-microscope.jpg" TargetMode="External"/><Relationship Id="rId1105" Type="http://schemas.openxmlformats.org/officeDocument/2006/relationships/hyperlink" Target="https://cdn.jsdelivr.net/gh/EngineerX1234/vocational-images@main/tools/batch-03/agriculture-measuring-cylinders-and-beakers.jpg" TargetMode="External"/><Relationship Id="rId1106" Type="http://schemas.openxmlformats.org/officeDocument/2006/relationships/hyperlink" Target="https://cdn.jsdelivr.net/gh/EngineerX1234/vocational-images@main/tools/batch-03/agriculture-plastic-or-glass-breeding-tanks.jpg" TargetMode="External"/><Relationship Id="rId1107" Type="http://schemas.openxmlformats.org/officeDocument/2006/relationships/hyperlink" Target="https://cdn.jsdelivr.net/gh/EngineerX1234/vocational-images@main/tools/batch-26/agriculture-hatchery-jars.jpg" TargetMode="External"/><Relationship Id="rId1108" Type="http://schemas.openxmlformats.org/officeDocument/2006/relationships/hyperlink" Target="https://cdn.jsdelivr.net/gh/EngineerX1234/vocational-images@main/tools/batch-03/agriculture-mini-water-filtration-unit.jpg" TargetMode="External"/><Relationship Id="rId1109" Type="http://schemas.openxmlformats.org/officeDocument/2006/relationships/hyperlink" Target="https://cdn.jsdelivr.net/gh/EngineerX1234/vocational-images@main/tools/batch-01/agriculture-digital-electronic-temperature-indicator.jpg" TargetMode="External"/><Relationship Id="rId1110" Type="http://schemas.openxmlformats.org/officeDocument/2006/relationships/hyperlink" Target="https://cdn.jsdelivr.net/gh/EngineerX1234/vocational-images@main/tools/batch-26/agriculture-hygrometer.jpg" TargetMode="External"/><Relationship Id="rId1111" Type="http://schemas.openxmlformats.org/officeDocument/2006/relationships/hyperlink" Target="https://cdn.jsdelivr.net/gh/EngineerX1234/vocational-images@main/tools/batch-03/agriculture-light-meter.jpg" TargetMode="External"/><Relationship Id="rId1112" Type="http://schemas.openxmlformats.org/officeDocument/2006/relationships/hyperlink" Target="https://cdn.jsdelivr.net/gh/EngineerX1234/vocational-images@main/tools/batch-01/agriculture-aquarium-heater.jpg" TargetMode="External"/><Relationship Id="rId1113" Type="http://schemas.openxmlformats.org/officeDocument/2006/relationships/hyperlink" Target="https://cdn.jsdelivr.net/gh/EngineerX1234/vocational-images@main/tools/batch-03/agriculture-oxygenation-system.jpg" TargetMode="External"/><Relationship Id="rId1114" Type="http://schemas.openxmlformats.org/officeDocument/2006/relationships/hyperlink" Target="https://cdn.jsdelivr.net/gh/EngineerX1234/vocational-images@main/tools/batch-01/agriculture-cross-staff.jpg" TargetMode="External"/><Relationship Id="rId1115" Type="http://schemas.openxmlformats.org/officeDocument/2006/relationships/hyperlink" Target="https://cdn.jsdelivr.net/gh/EngineerX1234/vocational-images@main/tools/batch-05/agriculture-tape.jpg" TargetMode="External"/><Relationship Id="rId1116" Type="http://schemas.openxmlformats.org/officeDocument/2006/relationships/hyperlink" Target="https://cdn.jsdelivr.net/gh/EngineerX1234/vocational-images@main/tools/batch-01/agriculture-crow-bar.jpg" TargetMode="External"/><Relationship Id="rId1117" Type="http://schemas.openxmlformats.org/officeDocument/2006/relationships/hyperlink" Target="https://cdn.jsdelivr.net/gh/EngineerX1234/vocational-images@main/tools/batch-24/agriculture-rope.jpg" TargetMode="External"/><Relationship Id="rId1118" Type="http://schemas.openxmlformats.org/officeDocument/2006/relationships/hyperlink" Target="https://cdn.jsdelivr.net/gh/EngineerX1234/vocational-images@main/tools/batch-03/agriculture-pick-axe.jpg" TargetMode="External"/><Relationship Id="rId1119" Type="http://schemas.openxmlformats.org/officeDocument/2006/relationships/hyperlink" Target="https://cdn.jsdelivr.net/gh/EngineerX1234/vocational-images@main/tools/batch-03/agriculture-kudali.jpg" TargetMode="External"/><Relationship Id="rId1120" Type="http://schemas.openxmlformats.org/officeDocument/2006/relationships/hyperlink" Target="https://cdn.jsdelivr.net/gh/EngineerX1234/vocational-images@main/tools/batch-26/agriculture-khurpi.jpg" TargetMode="External"/><Relationship Id="rId1121" Type="http://schemas.openxmlformats.org/officeDocument/2006/relationships/hyperlink" Target="https://cdn.jsdelivr.net/gh/EngineerX1234/vocational-images@main/tools/batch-05/agriculture-wheel-hoe.jpg" TargetMode="External"/><Relationship Id="rId1122" Type="http://schemas.openxmlformats.org/officeDocument/2006/relationships/hyperlink" Target="https://cdn.jsdelivr.net/gh/EngineerX1234/vocational-images@main/tools/batch-05/agriculture-trenching-hoe.jpg" TargetMode="External"/><Relationship Id="rId1123" Type="http://schemas.openxmlformats.org/officeDocument/2006/relationships/hyperlink" Target="https://cdn.jsdelivr.net/gh/EngineerX1234/vocational-images@main/tools/batch-05/agriculture-transplanting-trowel.jpg" TargetMode="External"/><Relationship Id="rId1124" Type="http://schemas.openxmlformats.org/officeDocument/2006/relationships/hyperlink" Target="https://cdn.jsdelivr.net/gh/EngineerX1234/vocational-images@main/tools/batch-01/agriculture-dibbler.jpg" TargetMode="External"/><Relationship Id="rId1125" Type="http://schemas.openxmlformats.org/officeDocument/2006/relationships/hyperlink" Target="https://cdn.jsdelivr.net/gh/EngineerX1234/vocational-images@main/tools/batch-03/agriculture-planting-board.jpg" TargetMode="External"/><Relationship Id="rId1126" Type="http://schemas.openxmlformats.org/officeDocument/2006/relationships/hyperlink" Target="https://cdn.jsdelivr.net/gh/EngineerX1234/vocational-images@main/tools/batch-23/agriculture-grafting-knife.jpg" TargetMode="External"/><Relationship Id="rId1127" Type="http://schemas.openxmlformats.org/officeDocument/2006/relationships/hyperlink" Target="https://cdn.jsdelivr.net/gh/EngineerX1234/vocational-images@main/tools/batch-03/agriculture-mixed-budding-and-grafting-knife.jpg" TargetMode="External"/><Relationship Id="rId1128" Type="http://schemas.openxmlformats.org/officeDocument/2006/relationships/hyperlink" Target="https://cdn.jsdelivr.net/gh/EngineerX1234/vocational-images@main/tools/batch-24/agriculture-secateur.jpg" TargetMode="External"/><Relationship Id="rId1129" Type="http://schemas.openxmlformats.org/officeDocument/2006/relationships/hyperlink" Target="https://cdn.jsdelivr.net/gh/EngineerX1234/vocational-images@main/tools/batch-23/agriculture-garden-hatchet.jpg" TargetMode="External"/><Relationship Id="rId1130" Type="http://schemas.openxmlformats.org/officeDocument/2006/relationships/hyperlink" Target="https://cdn.jsdelivr.net/gh/EngineerX1234/vocational-images@main/tools/batch-24/agriculture-sickle.jpg" TargetMode="External"/><Relationship Id="rId1131" Type="http://schemas.openxmlformats.org/officeDocument/2006/relationships/hyperlink" Target="https://cdn.jsdelivr.net/gh/EngineerX1234/vocational-images@main/tools/batch-03/agriculture-looping-shear.jpg" TargetMode="External"/><Relationship Id="rId1132" Type="http://schemas.openxmlformats.org/officeDocument/2006/relationships/hyperlink" Target="https://cdn.jsdelivr.net/gh/EngineerX1234/vocational-images@main/tools/batch-05/agriculture-water-can.jpg" TargetMode="External"/><Relationship Id="rId1133" Type="http://schemas.openxmlformats.org/officeDocument/2006/relationships/hyperlink" Target="https://cdn.jsdelivr.net/gh/EngineerX1234/vocational-images@main/tools/batch-03/agriculture-pegs.jpg" TargetMode="External"/><Relationship Id="rId1134" Type="http://schemas.openxmlformats.org/officeDocument/2006/relationships/hyperlink" Target="https://cdn.jsdelivr.net/gh/EngineerX1234/vocational-images@main/tools/batch-26/agriculture-ranging-rod.jpg" TargetMode="External"/><Relationship Id="rId1135" Type="http://schemas.openxmlformats.org/officeDocument/2006/relationships/hyperlink" Target="https://cdn.jsdelivr.net/gh/EngineerX1234/vocational-images@main/tools/batch-04/agriculture-pruning-knife.jpg" TargetMode="External"/><Relationship Id="rId1136" Type="http://schemas.openxmlformats.org/officeDocument/2006/relationships/hyperlink" Target="https://cdn.jsdelivr.net/gh/EngineerX1234/vocational-images@main/tools/batch-01/agriculture-budding-knife.jpg" TargetMode="External"/><Relationship Id="rId1137" Type="http://schemas.openxmlformats.org/officeDocument/2006/relationships/hyperlink" Target="https://cdn.jsdelivr.net/gh/EngineerX1234/vocational-images@main/tools/batch-26/agriculture-hand-cultivator.jpg" TargetMode="External"/><Relationship Id="rId1138" Type="http://schemas.openxmlformats.org/officeDocument/2006/relationships/hyperlink" Target="https://cdn.jsdelivr.net/gh/EngineerX1234/vocational-images@main/tools/batch-26/agriculture-hand-weeder.jpg" TargetMode="External"/><Relationship Id="rId1139" Type="http://schemas.openxmlformats.org/officeDocument/2006/relationships/hyperlink" Target="https://cdn.jsdelivr.net/gh/EngineerX1234/vocational-images@main/tools/batch-05/agriculture-weeding-fork.jpg" TargetMode="External"/><Relationship Id="rId1140" Type="http://schemas.openxmlformats.org/officeDocument/2006/relationships/hyperlink" Target="https://cdn.jsdelivr.net/gh/EngineerX1234/vocational-images@main/tools/batch-23/agriculture-garden-hoe.jpg" TargetMode="External"/><Relationship Id="rId1141" Type="http://schemas.openxmlformats.org/officeDocument/2006/relationships/hyperlink" Target="https://cdn.jsdelivr.net/gh/EngineerX1234/vocational-images@main/tools/batch-24/agriculture-shovel.jpg" TargetMode="External"/><Relationship Id="rId1142" Type="http://schemas.openxmlformats.org/officeDocument/2006/relationships/hyperlink" Target="https://cdn.jsdelivr.net/gh/EngineerX1234/vocational-images@main/tools/batch-01/agriculture-digging-fork.jpg" TargetMode="External"/><Relationship Id="rId1143" Type="http://schemas.openxmlformats.org/officeDocument/2006/relationships/hyperlink" Target="https://cdn.jsdelivr.net/gh/EngineerX1234/vocational-images@main/tools/batch-23/agriculture-garden-rake.jpg" TargetMode="External"/><Relationship Id="rId1144" Type="http://schemas.openxmlformats.org/officeDocument/2006/relationships/hyperlink" Target="https://cdn.jsdelivr.net/gh/EngineerX1234/vocational-images@main/tools/batch-26/agriculture-hand-cultivator.jpg" TargetMode="External"/><Relationship Id="rId1145" Type="http://schemas.openxmlformats.org/officeDocument/2006/relationships/hyperlink" Target="https://cdn.jsdelivr.net/gh/EngineerX1234/vocational-images@main/tools/batch-23/agriculture-grass-shear.jpg" TargetMode="External"/><Relationship Id="rId1146" Type="http://schemas.openxmlformats.org/officeDocument/2006/relationships/hyperlink" Target="https://cdn.jsdelivr.net/gh/EngineerX1234/vocational-images@main/tools/batch-26/agriculture-hedge-shear.jpg" TargetMode="External"/><Relationship Id="rId1147" Type="http://schemas.openxmlformats.org/officeDocument/2006/relationships/hyperlink" Target="https://cdn.jsdelivr.net/gh/EngineerX1234/vocational-images@main/tools/batch-05/agriculture-tree-pruner.jpg" TargetMode="External"/><Relationship Id="rId1148" Type="http://schemas.openxmlformats.org/officeDocument/2006/relationships/hyperlink" Target="https://cdn.jsdelivr.net/gh/EngineerX1234/vocational-images@main/tools/batch-04/agriculture-pruning-saw.jpg" TargetMode="External"/><Relationship Id="rId1149" Type="http://schemas.openxmlformats.org/officeDocument/2006/relationships/hyperlink" Target="https://cdn.jsdelivr.net/gh/EngineerX1234/vocational-images@main/tools/batch-01/agriculture-bill-hook.jpg" TargetMode="External"/><Relationship Id="rId1150" Type="http://schemas.openxmlformats.org/officeDocument/2006/relationships/hyperlink" Target="https://cdn.jsdelivr.net/gh/EngineerX1234/vocational-images@main/tools/batch-24/agriculture-spade.jpg" TargetMode="External"/><Relationship Id="rId1151" Type="http://schemas.openxmlformats.org/officeDocument/2006/relationships/hyperlink" Target="https://cdn.jsdelivr.net/gh/EngineerX1234/vocational-images@main/tools/batch-02/agriculture-dutch-hoe.jpg" TargetMode="External"/><Relationship Id="rId1152" Type="http://schemas.openxmlformats.org/officeDocument/2006/relationships/hyperlink" Target="https://cdn.jsdelivr.net/gh/EngineerX1234/vocational-images@main/tools/batch-01/agriculture-bonsai-set.jpg" TargetMode="External"/><Relationship Id="rId1153" Type="http://schemas.openxmlformats.org/officeDocument/2006/relationships/hyperlink" Target="https://cdn.jsdelivr.net/gh/EngineerX1234/vocational-images@main/tools/batch-01/agriculture-bonsai-cutter.jpg" TargetMode="External"/><Relationship Id="rId1154" Type="http://schemas.openxmlformats.org/officeDocument/2006/relationships/hyperlink" Target="https://cdn.jsdelivr.net/gh/EngineerX1234/vocational-images@main/tools/batch-24/agriculture-small-trowel.jpg" TargetMode="External"/><Relationship Id="rId1155" Type="http://schemas.openxmlformats.org/officeDocument/2006/relationships/hyperlink" Target="https://cdn.jsdelivr.net/gh/EngineerX1234/vocational-images@main/tools/batch-01/agriculture-big-trowel.jpg" TargetMode="External"/><Relationship Id="rId1156" Type="http://schemas.openxmlformats.org/officeDocument/2006/relationships/hyperlink" Target="https://cdn.jsdelivr.net/gh/EngineerX1234/vocational-images@main/tools/batch-26/agriculture-rake.jpg" TargetMode="External"/><Relationship Id="rId1157" Type="http://schemas.openxmlformats.org/officeDocument/2006/relationships/hyperlink" Target="https://cdn.jsdelivr.net/gh/EngineerX1234/vocational-images@main/tools/batch-05/agriculture-trowels-and-rake.jpg" TargetMode="External"/><Relationship Id="rId1158" Type="http://schemas.openxmlformats.org/officeDocument/2006/relationships/hyperlink" Target="https://cdn.jsdelivr.net/gh/EngineerX1234/vocational-images@main/tools/batch-24/agriculture-sprinkler.jpg" TargetMode="External"/><Relationship Id="rId1159" Type="http://schemas.openxmlformats.org/officeDocument/2006/relationships/hyperlink" Target="https://cdn.jsdelivr.net/gh/EngineerX1234/vocational-images@main/tools/batch-24/agriculture-sprayer.jpg" TargetMode="External"/><Relationship Id="rId1160" Type="http://schemas.openxmlformats.org/officeDocument/2006/relationships/hyperlink" Target="https://cdn.jsdelivr.net/gh/EngineerX1234/vocational-images@main/tools/batch-02/agriculture-duster.jpg" TargetMode="External"/><Relationship Id="rId1161" Type="http://schemas.openxmlformats.org/officeDocument/2006/relationships/hyperlink" Target="https://cdn.jsdelivr.net/gh/EngineerX1234/vocational-images@main/tools/batch-23/agriculture-garden-tractor.jpg" TargetMode="External"/><Relationship Id="rId1162" Type="http://schemas.openxmlformats.org/officeDocument/2006/relationships/hyperlink" Target="https://cdn.jsdelivr.net/gh/EngineerX1234/vocational-images@main/tools/batch-05/agriculture-tape.jpg" TargetMode="External"/><Relationship Id="rId1163" Type="http://schemas.openxmlformats.org/officeDocument/2006/relationships/hyperlink" Target="https://cdn.jsdelivr.net/gh/EngineerX1234/vocational-images@main/tools/batch-01/agriculture-crow-bar.jpg" TargetMode="External"/><Relationship Id="rId1164" Type="http://schemas.openxmlformats.org/officeDocument/2006/relationships/hyperlink" Target="https://cdn.jsdelivr.net/gh/EngineerX1234/vocational-images@main/tools/batch-26/agriculture-khurpi.jpg" TargetMode="External"/><Relationship Id="rId1165" Type="http://schemas.openxmlformats.org/officeDocument/2006/relationships/hyperlink" Target="https://cdn.jsdelivr.net/gh/EngineerX1234/vocational-images@main/tools/batch-05/agriculture-wheel-hoe.jpg" TargetMode="External"/><Relationship Id="rId1166" Type="http://schemas.openxmlformats.org/officeDocument/2006/relationships/hyperlink" Target="https://cdn.jsdelivr.net/gh/EngineerX1234/vocational-images@main/tools/batch-05/agriculture-trenching-hoe.jpg" TargetMode="External"/><Relationship Id="rId1167" Type="http://schemas.openxmlformats.org/officeDocument/2006/relationships/hyperlink" Target="https://cdn.jsdelivr.net/gh/EngineerX1234/vocational-images@main/tools/batch-05/agriculture-transplanting-trowel.jpg" TargetMode="External"/><Relationship Id="rId1168" Type="http://schemas.openxmlformats.org/officeDocument/2006/relationships/hyperlink" Target="https://cdn.jsdelivr.net/gh/EngineerX1234/vocational-images@main/tools/batch-01/agriculture-dibbler.jpg" TargetMode="External"/><Relationship Id="rId1169" Type="http://schemas.openxmlformats.org/officeDocument/2006/relationships/hyperlink" Target="https://cdn.jsdelivr.net/gh/EngineerX1234/vocational-images@main/tools/batch-03/agriculture-planting-board.jpg" TargetMode="External"/><Relationship Id="rId1170" Type="http://schemas.openxmlformats.org/officeDocument/2006/relationships/hyperlink" Target="https://cdn.jsdelivr.net/gh/EngineerX1234/vocational-images@main/tools/batch-24/agriculture-secateur.jpg" TargetMode="External"/><Relationship Id="rId1171" Type="http://schemas.openxmlformats.org/officeDocument/2006/relationships/hyperlink" Target="https://cdn.jsdelivr.net/gh/EngineerX1234/vocational-images@main/tools/batch-23/agriculture-garden-hatchet.jpg" TargetMode="External"/><Relationship Id="rId1172" Type="http://schemas.openxmlformats.org/officeDocument/2006/relationships/hyperlink" Target="https://cdn.jsdelivr.net/gh/EngineerX1234/vocational-images@main/tools/batch-05/agriculture-water-can.jpg" TargetMode="External"/><Relationship Id="rId1173" Type="http://schemas.openxmlformats.org/officeDocument/2006/relationships/hyperlink" Target="https://cdn.jsdelivr.net/gh/EngineerX1234/vocational-images@main/tools/batch-04/agriculture-pruning-knife.jpg" TargetMode="External"/><Relationship Id="rId1174" Type="http://schemas.openxmlformats.org/officeDocument/2006/relationships/hyperlink" Target="https://cdn.jsdelivr.net/gh/EngineerX1234/vocational-images@main/tools/batch-05/agriculture-super-cut.jpg" TargetMode="External"/><Relationship Id="rId1175" Type="http://schemas.openxmlformats.org/officeDocument/2006/relationships/hyperlink" Target="https://cdn.jsdelivr.net/gh/EngineerX1234/vocational-images@main/tools/batch-05/agriculture-thinning-scissor.jpg" TargetMode="External"/><Relationship Id="rId1176" Type="http://schemas.openxmlformats.org/officeDocument/2006/relationships/hyperlink" Target="https://cdn.jsdelivr.net/gh/EngineerX1234/vocational-images@main/tools/batch-26/agriculture-hand-cultivator.jpg" TargetMode="External"/><Relationship Id="rId1177" Type="http://schemas.openxmlformats.org/officeDocument/2006/relationships/hyperlink" Target="https://cdn.jsdelivr.net/gh/EngineerX1234/vocational-images@main/tools/batch-26/agriculture-hand-weeder.jpg" TargetMode="External"/><Relationship Id="rId1178" Type="http://schemas.openxmlformats.org/officeDocument/2006/relationships/hyperlink" Target="https://cdn.jsdelivr.net/gh/EngineerX1234/vocational-images@main/tools/batch-05/agriculture-weeding-fork.jpg" TargetMode="External"/><Relationship Id="rId1179" Type="http://schemas.openxmlformats.org/officeDocument/2006/relationships/hyperlink" Target="https://cdn.jsdelivr.net/gh/EngineerX1234/vocational-images@main/tools/batch-23/agriculture-garden-hoe.jpg" TargetMode="External"/><Relationship Id="rId1180" Type="http://schemas.openxmlformats.org/officeDocument/2006/relationships/hyperlink" Target="https://cdn.jsdelivr.net/gh/EngineerX1234/vocational-images@main/tools/batch-24/agriculture-shovel.jpg" TargetMode="External"/><Relationship Id="rId1181" Type="http://schemas.openxmlformats.org/officeDocument/2006/relationships/hyperlink" Target="https://cdn.jsdelivr.net/gh/EngineerX1234/vocational-images@main/tools/batch-01/agriculture-digging-fork.jpg" TargetMode="External"/><Relationship Id="rId1182" Type="http://schemas.openxmlformats.org/officeDocument/2006/relationships/hyperlink" Target="https://cdn.jsdelivr.net/gh/EngineerX1234/vocational-images@main/tools/batch-23/agriculture-garden-rake.jpg" TargetMode="External"/><Relationship Id="rId1183" Type="http://schemas.openxmlformats.org/officeDocument/2006/relationships/hyperlink" Target="https://cdn.jsdelivr.net/gh/EngineerX1234/vocational-images@main/tools/batch-24/agriculture-spade.jpg" TargetMode="External"/><Relationship Id="rId1184" Type="http://schemas.openxmlformats.org/officeDocument/2006/relationships/hyperlink" Target="https://cdn.jsdelivr.net/gh/EngineerX1234/vocational-images@main/tools/batch-24/agriculture-small-trowel.jpg" TargetMode="External"/><Relationship Id="rId1185" Type="http://schemas.openxmlformats.org/officeDocument/2006/relationships/hyperlink" Target="https://cdn.jsdelivr.net/gh/EngineerX1234/vocational-images@main/tools/batch-26/agriculture-rake.jpg" TargetMode="External"/><Relationship Id="rId1186" Type="http://schemas.openxmlformats.org/officeDocument/2006/relationships/hyperlink" Target="https://cdn.jsdelivr.net/gh/EngineerX1234/vocational-images@main/tools/batch-24/agriculture-sprinkler.jpg" TargetMode="External"/><Relationship Id="rId1187" Type="http://schemas.openxmlformats.org/officeDocument/2006/relationships/hyperlink" Target="https://cdn.jsdelivr.net/gh/EngineerX1234/vocational-images@main/tools/batch-24/agriculture-sprayer.jpg" TargetMode="External"/><Relationship Id="rId1188" Type="http://schemas.openxmlformats.org/officeDocument/2006/relationships/hyperlink" Target="https://cdn.jsdelivr.net/gh/EngineerX1234/vocational-images@main/tools/batch-02/agriculture-duster.jpg" TargetMode="External"/><Relationship Id="rId1189" Type="http://schemas.openxmlformats.org/officeDocument/2006/relationships/hyperlink" Target="https://cdn.jsdelivr.net/gh/EngineerX1234/vocational-images@main/tools/batch-05/agriculture-temperature-and-humidity-control-system.jpg" TargetMode="External"/><Relationship Id="rId1190" Type="http://schemas.openxmlformats.org/officeDocument/2006/relationships/hyperlink" Target="https://cdn.jsdelivr.net/gh/EngineerX1234/vocational-images@main/tools/batch-01/agriculture-automatic-shade-system.jpg" TargetMode="External"/><Relationship Id="rId1191" Type="http://schemas.openxmlformats.org/officeDocument/2006/relationships/hyperlink" Target="https://cdn.jsdelivr.net/gh/EngineerX1234/vocational-images@main/tools/batch-23/agriculture-fogging-and-blackout.jpg" TargetMode="External"/><Relationship Id="rId1192" Type="http://schemas.openxmlformats.org/officeDocument/2006/relationships/hyperlink" Target="https://cdn.jsdelivr.net/gh/EngineerX1234/vocational-images@main/tools/batch-26/agriculture-irrigation-system.jpg" TargetMode="External"/><Relationship Id="rId1193" Type="http://schemas.openxmlformats.org/officeDocument/2006/relationships/hyperlink" Target="https://cdn.jsdelivr.net/gh/EngineerX1234/vocational-images@main/tools/batch-23/agriculture-fan.jpg" TargetMode="External"/><Relationship Id="rId1194" Type="http://schemas.openxmlformats.org/officeDocument/2006/relationships/hyperlink" Target="https://cdn.jsdelivr.net/gh/EngineerX1234/vocational-images@main/tools/batch-03/agriculture-pad.jpg" TargetMode="External"/><Relationship Id="rId1195" Type="http://schemas.openxmlformats.org/officeDocument/2006/relationships/hyperlink" Target="https://cdn.jsdelivr.net/gh/EngineerX1234/vocational-images@main/tools/batch-05/agriculture-ventilator.jpg" TargetMode="External"/><Relationship Id="rId1196" Type="http://schemas.openxmlformats.org/officeDocument/2006/relationships/hyperlink" Target="https://cdn.jsdelivr.net/gh/EngineerX1234/vocational-images@main/tools/batch-05/agriculture-thermometer.jpg" TargetMode="External"/><Relationship Id="rId1197" Type="http://schemas.openxmlformats.org/officeDocument/2006/relationships/hyperlink" Target="https://cdn.jsdelivr.net/gh/EngineerX1234/vocational-images@main/tools/batch-03/agriculture-lux-meter-light-meter.jpg" TargetMode="External"/><Relationship Id="rId1198" Type="http://schemas.openxmlformats.org/officeDocument/2006/relationships/hyperlink" Target="https://cdn.jsdelivr.net/gh/EngineerX1234/vocational-images@main/tools/batch-03/agriculture-misting.jpg" TargetMode="External"/><Relationship Id="rId1199" Type="http://schemas.openxmlformats.org/officeDocument/2006/relationships/hyperlink" Target="https://cdn.jsdelivr.net/gh/EngineerX1234/vocational-images@main/tools/batch-01/agriculture-digital-electronic-temperature-indicator.jpg" TargetMode="External"/><Relationship Id="rId1200" Type="http://schemas.openxmlformats.org/officeDocument/2006/relationships/hyperlink" Target="https://cdn.jsdelivr.net/gh/EngineerX1234/vocational-images@main/tools/batch-26/agriculture-radiation-measuring-instrument.jpg" TargetMode="External"/><Relationship Id="rId1201" Type="http://schemas.openxmlformats.org/officeDocument/2006/relationships/hyperlink" Target="https://cdn.jsdelivr.net/gh/EngineerX1234/vocational-images@main/tools/batch-24/agriculture-sprayer.jpg" TargetMode="External"/><Relationship Id="rId1202" Type="http://schemas.openxmlformats.org/officeDocument/2006/relationships/hyperlink" Target="https://cdn.jsdelivr.net/gh/EngineerX1234/vocational-images@main/tools/batch-26/agriculture-hygrometer.jpg" TargetMode="External"/><Relationship Id="rId1203" Type="http://schemas.openxmlformats.org/officeDocument/2006/relationships/hyperlink" Target="https://cdn.jsdelivr.net/gh/EngineerX1234/vocational-images@main/tools/batch-05/agriculture-temperature-and-humidity-control-system.jpg" TargetMode="External"/><Relationship Id="rId1204" Type="http://schemas.openxmlformats.org/officeDocument/2006/relationships/hyperlink" Target="https://cdn.jsdelivr.net/gh/EngineerX1234/vocational-images@main/tools/batch-01/agriculture-automatic-shade-system.jpg" TargetMode="External"/><Relationship Id="rId1205" Type="http://schemas.openxmlformats.org/officeDocument/2006/relationships/hyperlink" Target="https://cdn.jsdelivr.net/gh/EngineerX1234/vocational-images@main/tools/batch-23/agriculture-fogging-and-blackout.jpg" TargetMode="External"/><Relationship Id="rId1206" Type="http://schemas.openxmlformats.org/officeDocument/2006/relationships/hyperlink" Target="https://cdn.jsdelivr.net/gh/EngineerX1234/vocational-images@main/tools/batch-26/agriculture-irrigation-system.jpg" TargetMode="External"/><Relationship Id="rId1207" Type="http://schemas.openxmlformats.org/officeDocument/2006/relationships/hyperlink" Target="https://cdn.jsdelivr.net/gh/EngineerX1234/vocational-images@main/tools/batch-01/agriculture-drip-and-sprinkler.jpg" TargetMode="External"/><Relationship Id="rId1208" Type="http://schemas.openxmlformats.org/officeDocument/2006/relationships/hyperlink" Target="https://cdn.jsdelivr.net/gh/EngineerX1234/vocational-images@main/tools/batch-23/agriculture-fan.jpg" TargetMode="External"/><Relationship Id="rId1209" Type="http://schemas.openxmlformats.org/officeDocument/2006/relationships/hyperlink" Target="https://cdn.jsdelivr.net/gh/EngineerX1234/vocational-images@main/tools/batch-03/agriculture-pad.jpg" TargetMode="External"/><Relationship Id="rId1210" Type="http://schemas.openxmlformats.org/officeDocument/2006/relationships/hyperlink" Target="https://cdn.jsdelivr.net/gh/EngineerX1234/vocational-images@main/tools/batch-05/agriculture-ventilator.jpg" TargetMode="External"/><Relationship Id="rId1211" Type="http://schemas.openxmlformats.org/officeDocument/2006/relationships/hyperlink" Target="https://cdn.jsdelivr.net/gh/EngineerX1234/vocational-images@main/tools/batch-05/agriculture-thermometer.jpg" TargetMode="External"/><Relationship Id="rId1212" Type="http://schemas.openxmlformats.org/officeDocument/2006/relationships/hyperlink" Target="https://cdn.jsdelivr.net/gh/EngineerX1234/vocational-images@main/tools/batch-03/agriculture-lux-meter-light-meter.jpg" TargetMode="External"/><Relationship Id="rId1213" Type="http://schemas.openxmlformats.org/officeDocument/2006/relationships/hyperlink" Target="https://cdn.jsdelivr.net/gh/EngineerX1234/vocational-images@main/tools/batch-03/agriculture-misting.jpg" TargetMode="External"/><Relationship Id="rId1214" Type="http://schemas.openxmlformats.org/officeDocument/2006/relationships/hyperlink" Target="https://cdn.jsdelivr.net/gh/EngineerX1234/vocational-images@main/tools/batch-01/agriculture-digital-electronic-temperature-indicator.jpg" TargetMode="External"/><Relationship Id="rId1215" Type="http://schemas.openxmlformats.org/officeDocument/2006/relationships/hyperlink" Target="https://cdn.jsdelivr.net/gh/EngineerX1234/vocational-images@main/tools/batch-26/agriculture-radiation-measuring-instrument.jpg" TargetMode="External"/><Relationship Id="rId1216" Type="http://schemas.openxmlformats.org/officeDocument/2006/relationships/hyperlink" Target="https://cdn.jsdelivr.net/gh/EngineerX1234/vocational-images@main/tools/batch-24/agriculture-sprayer.jpg" TargetMode="External"/><Relationship Id="rId1217" Type="http://schemas.openxmlformats.org/officeDocument/2006/relationships/hyperlink" Target="https://cdn.jsdelivr.net/gh/EngineerX1234/vocational-images@main/tools/batch-26/agriculture-hygrometer.jpg" TargetMode="External"/><Relationship Id="rId1218" Type="http://schemas.openxmlformats.org/officeDocument/2006/relationships/hyperlink" Target="https://cdn.jsdelivr.net/gh/EngineerX1234/vocational-images@main/tools/batch-24/agriculture-rope.jpg" TargetMode="External"/><Relationship Id="rId1219" Type="http://schemas.openxmlformats.org/officeDocument/2006/relationships/hyperlink" Target="https://cdn.jsdelivr.net/gh/EngineerX1234/vocational-images@main/tools/batch-02/agriculture-dutch-hand-hoe.jpg" TargetMode="External"/><Relationship Id="rId1220" Type="http://schemas.openxmlformats.org/officeDocument/2006/relationships/hyperlink" Target="https://cdn.jsdelivr.net/gh/EngineerX1234/vocational-images@main/tools/batch-23/agriculture-garden-hand-tools.jpg" TargetMode="External"/><Relationship Id="rId1221" Type="http://schemas.openxmlformats.org/officeDocument/2006/relationships/hyperlink" Target="https://cdn.jsdelivr.net/gh/EngineerX1234/vocational-images@main/tools/batch-23/agriculture-garden-hoes.jpg" TargetMode="External"/><Relationship Id="rId1222" Type="http://schemas.openxmlformats.org/officeDocument/2006/relationships/hyperlink" Target="https://cdn.jsdelivr.net/gh/EngineerX1234/vocational-images@main/tools/batch-23/agriculture-garden-knife.jpg" TargetMode="External"/><Relationship Id="rId1223" Type="http://schemas.openxmlformats.org/officeDocument/2006/relationships/hyperlink" Target="https://cdn.jsdelivr.net/gh/EngineerX1234/vocational-images@main/tools/batch-23/agriculture-garden-rake.jpg" TargetMode="External"/><Relationship Id="rId1224" Type="http://schemas.openxmlformats.org/officeDocument/2006/relationships/hyperlink" Target="https://cdn.jsdelivr.net/gh/EngineerX1234/vocational-images@main/tools/batch-23/agriculture-garden-digging-fork.jpg" TargetMode="External"/><Relationship Id="rId1225" Type="http://schemas.openxmlformats.org/officeDocument/2006/relationships/hyperlink" Target="https://cdn.jsdelivr.net/gh/EngineerX1234/vocational-images@main/tools/batch-23/agriculture-garden-digging-spade.jpg" TargetMode="External"/><Relationship Id="rId1226" Type="http://schemas.openxmlformats.org/officeDocument/2006/relationships/hyperlink" Target="https://cdn.jsdelivr.net/gh/EngineerX1234/vocational-images@main/tools/batch-26/agriculture-hand-screens-sieves.jpg" TargetMode="External"/><Relationship Id="rId1227" Type="http://schemas.openxmlformats.org/officeDocument/2006/relationships/hyperlink" Target="https://cdn.jsdelivr.net/gh/EngineerX1234/vocational-images@main/tools/batch-26/agriculture-hoe.jpg" TargetMode="External"/><Relationship Id="rId1228" Type="http://schemas.openxmlformats.org/officeDocument/2006/relationships/hyperlink" Target="https://cdn.jsdelivr.net/gh/EngineerX1234/vocational-images@main/tools/batch-26/agriculture-hori-knife.jpg" TargetMode="External"/><Relationship Id="rId1229" Type="http://schemas.openxmlformats.org/officeDocument/2006/relationships/hyperlink" Target="https://cdn.jsdelivr.net/gh/EngineerX1234/vocational-images@main/tools/batch-03/agriculture-leaf-rake.jpg" TargetMode="External"/><Relationship Id="rId1230" Type="http://schemas.openxmlformats.org/officeDocument/2006/relationships/hyperlink" Target="https://cdn.jsdelivr.net/gh/EngineerX1234/vocational-images@main/tools/batch-04/agriculture-pruners.jpg" TargetMode="External"/><Relationship Id="rId1231" Type="http://schemas.openxmlformats.org/officeDocument/2006/relationships/hyperlink" Target="https://cdn.jsdelivr.net/gh/EngineerX1234/vocational-images@main/tools/batch-04/agriculture-pruning-knife.jpg" TargetMode="External"/><Relationship Id="rId1232" Type="http://schemas.openxmlformats.org/officeDocument/2006/relationships/hyperlink" Target="https://cdn.jsdelivr.net/gh/EngineerX1234/vocational-images@main/tools/batch-04/agriculture-pruning-shears.jpg" TargetMode="External"/><Relationship Id="rId1233" Type="http://schemas.openxmlformats.org/officeDocument/2006/relationships/hyperlink" Target="https://cdn.jsdelivr.net/gh/EngineerX1234/vocational-images@main/tools/batch-24/agriculture-spade.jpg" TargetMode="External"/><Relationship Id="rId1234" Type="http://schemas.openxmlformats.org/officeDocument/2006/relationships/hyperlink" Target="https://cdn.jsdelivr.net/gh/EngineerX1234/vocational-images@main/tools/batch-24/agriculture-shovels-and-specialty-spades.jpg" TargetMode="External"/><Relationship Id="rId1235" Type="http://schemas.openxmlformats.org/officeDocument/2006/relationships/hyperlink" Target="https://cdn.jsdelivr.net/gh/EngineerX1234/vocational-images@main/tools/batch-24/agriculture-soil-scoop.jpg" TargetMode="External"/><Relationship Id="rId1236" Type="http://schemas.openxmlformats.org/officeDocument/2006/relationships/hyperlink" Target="https://cdn.jsdelivr.net/gh/EngineerX1234/vocational-images@main/tools/batch-05/agriculture-trowels.jpg" TargetMode="External"/><Relationship Id="rId1237" Type="http://schemas.openxmlformats.org/officeDocument/2006/relationships/hyperlink" Target="https://cdn.jsdelivr.net/gh/EngineerX1234/vocational-images@main/tools/batch-05/agriculture-water-hose.jpg" TargetMode="External"/><Relationship Id="rId1238" Type="http://schemas.openxmlformats.org/officeDocument/2006/relationships/hyperlink" Target="https://cdn.jsdelivr.net/gh/EngineerX1234/vocational-images@main/tools/batch-05/agriculture-watering-can.jpg" TargetMode="External"/><Relationship Id="rId1239" Type="http://schemas.openxmlformats.org/officeDocument/2006/relationships/hyperlink" Target="https://cdn.jsdelivr.net/gh/EngineerX1234/vocational-images@main/tools/batch-05/agriculture-wheelbarrow-or-garden-cart.jpg" TargetMode="External"/><Relationship Id="rId1240" Type="http://schemas.openxmlformats.org/officeDocument/2006/relationships/hyperlink" Target="https://cdn.jsdelivr.net/gh/EngineerX1234/vocational-images@main/tools/batch-03/agriculture-knapsack-sprayer.jpg" TargetMode="External"/><Relationship Id="rId1241" Type="http://schemas.openxmlformats.org/officeDocument/2006/relationships/hyperlink" Target="https://cdn.jsdelivr.net/gh/EngineerX1234/vocational-images@main/tools/batch-24/agriculture-seed-cleaner.jpg" TargetMode="External"/><Relationship Id="rId1242" Type="http://schemas.openxmlformats.org/officeDocument/2006/relationships/hyperlink" Target="https://cdn.jsdelivr.net/gh/EngineerX1234/vocational-images@main/tools/batch-24/agriculture-seed-treating-equipment.jpg" TargetMode="External"/><Relationship Id="rId1243" Type="http://schemas.openxmlformats.org/officeDocument/2006/relationships/hyperlink" Target="https://cdn.jsdelivr.net/gh/EngineerX1234/vocational-images@main/tools/batch-24/agriculture-sprinkler-irrigation-unit.jpg" TargetMode="External"/><Relationship Id="rId1244" Type="http://schemas.openxmlformats.org/officeDocument/2006/relationships/hyperlink" Target="https://cdn.jsdelivr.net/gh/EngineerX1234/vocational-images@main/tools/batch-02/agriculture-drip-irrigation-unit.jpg" TargetMode="External"/><Relationship Id="rId1245" Type="http://schemas.openxmlformats.org/officeDocument/2006/relationships/hyperlink" Target="https://cdn.jsdelivr.net/gh/EngineerX1234/vocational-images@main/tools/batch-03/agriculture-plastics-baskets.jpg" TargetMode="External"/><Relationship Id="rId1246" Type="http://schemas.openxmlformats.org/officeDocument/2006/relationships/hyperlink" Target="https://cdn.jsdelivr.net/gh/EngineerX1234/vocational-images@main/tools/batch-05/agriculture-transplanting-trowel.jpg" TargetMode="External"/><Relationship Id="rId1247" Type="http://schemas.openxmlformats.org/officeDocument/2006/relationships/hyperlink" Target="https://cdn.jsdelivr.net/gh/EngineerX1234/vocational-images@main/tools/batch-24/agriculture-secateur.jpg" TargetMode="External"/><Relationship Id="rId1248" Type="http://schemas.openxmlformats.org/officeDocument/2006/relationships/hyperlink" Target="https://cdn.jsdelivr.net/gh/EngineerX1234/vocational-images@main/tools/batch-05/agriculture-water-can.jpg" TargetMode="External"/><Relationship Id="rId1249" Type="http://schemas.openxmlformats.org/officeDocument/2006/relationships/hyperlink" Target="https://cdn.jsdelivr.net/gh/EngineerX1234/vocational-images@main/tools/batch-04/agriculture-pruning-knife.jpg" TargetMode="External"/><Relationship Id="rId1250" Type="http://schemas.openxmlformats.org/officeDocument/2006/relationships/hyperlink" Target="https://cdn.jsdelivr.net/gh/EngineerX1234/vocational-images@main/tools/batch-05/agriculture-super-cut.jpg" TargetMode="External"/><Relationship Id="rId1251" Type="http://schemas.openxmlformats.org/officeDocument/2006/relationships/hyperlink" Target="https://cdn.jsdelivr.net/gh/EngineerX1234/vocational-images@main/tools/batch-24/agriculture-seed-boxes.jpg" TargetMode="External"/><Relationship Id="rId1252" Type="http://schemas.openxmlformats.org/officeDocument/2006/relationships/hyperlink" Target="https://cdn.jsdelivr.net/gh/EngineerX1234/vocational-images@main/tools/batch-05/agriculture-thinning-scissor.jpg" TargetMode="External"/><Relationship Id="rId1253" Type="http://schemas.openxmlformats.org/officeDocument/2006/relationships/hyperlink" Target="https://cdn.jsdelivr.net/gh/EngineerX1234/vocational-images@main/tools/batch-26/agriculture-hand-cultivator.jpg" TargetMode="External"/><Relationship Id="rId1254" Type="http://schemas.openxmlformats.org/officeDocument/2006/relationships/hyperlink" Target="https://cdn.jsdelivr.net/gh/EngineerX1234/vocational-images@main/tools/batch-26/agriculture-hand-weeder.jpg" TargetMode="External"/><Relationship Id="rId1255" Type="http://schemas.openxmlformats.org/officeDocument/2006/relationships/hyperlink" Target="https://cdn.jsdelivr.net/gh/EngineerX1234/vocational-images@main/tools/batch-05/agriculture-weeding-fork.jpg" TargetMode="External"/><Relationship Id="rId1256" Type="http://schemas.openxmlformats.org/officeDocument/2006/relationships/hyperlink" Target="https://cdn.jsdelivr.net/gh/EngineerX1234/vocational-images@main/tools/batch-03/agriculture-plastic-applicators.jpg" TargetMode="External"/><Relationship Id="rId1257" Type="http://schemas.openxmlformats.org/officeDocument/2006/relationships/hyperlink" Target="https://cdn.jsdelivr.net/gh/EngineerX1234/vocational-images@main/tools/batch-03/agriculture-plastic-recipients.jpg" TargetMode="External"/><Relationship Id="rId1258" Type="http://schemas.openxmlformats.org/officeDocument/2006/relationships/hyperlink" Target="https://cdn.jsdelivr.net/gh/EngineerX1234/vocational-images@main/tools/batch-24/agriculture-small-trowel.jpg" TargetMode="External"/><Relationship Id="rId1259" Type="http://schemas.openxmlformats.org/officeDocument/2006/relationships/hyperlink" Target="https://cdn.jsdelivr.net/gh/EngineerX1234/vocational-images@main/tools/batch-26/agriculture-rake.jpg" TargetMode="External"/><Relationship Id="rId1260" Type="http://schemas.openxmlformats.org/officeDocument/2006/relationships/hyperlink" Target="https://cdn.jsdelivr.net/gh/EngineerX1234/vocational-images@main/tools/batch-23/agriculture-growing-chamber.jpg" TargetMode="External"/><Relationship Id="rId1261" Type="http://schemas.openxmlformats.org/officeDocument/2006/relationships/hyperlink" Target="https://cdn.jsdelivr.net/gh/EngineerX1234/vocational-images@main/tools/batch-24/agriculture-reservoir-water-tank.jpg" TargetMode="External"/><Relationship Id="rId1262" Type="http://schemas.openxmlformats.org/officeDocument/2006/relationships/hyperlink" Target="https://cdn.jsdelivr.net/gh/EngineerX1234/vocational-images@main/tools/batch-02/agriculture-ec-meter.jpg" TargetMode="External"/><Relationship Id="rId1263" Type="http://schemas.openxmlformats.org/officeDocument/2006/relationships/hyperlink" Target="https://cdn.jsdelivr.net/gh/EngineerX1234/vocational-images@main/tools/batch-03/agriculture-ph-meter.jpg" TargetMode="External"/><Relationship Id="rId1264" Type="http://schemas.openxmlformats.org/officeDocument/2006/relationships/hyperlink" Target="https://cdn.jsdelivr.net/gh/EngineerX1234/vocational-images@main/tools/batch-05/agriculture-submersible-pump.jpg" TargetMode="External"/><Relationship Id="rId1265" Type="http://schemas.openxmlformats.org/officeDocument/2006/relationships/hyperlink" Target="https://cdn.jsdelivr.net/gh/EngineerX1234/vocational-images@main/tools/batch-01/agriculture-delivery-system.jpg" TargetMode="External"/><Relationship Id="rId1266" Type="http://schemas.openxmlformats.org/officeDocument/2006/relationships/hyperlink" Target="https://cdn.jsdelivr.net/gh/EngineerX1234/vocational-images@main/tools/batch-24/agriculture-simple-timer.jpg" TargetMode="External"/><Relationship Id="rId1267" Type="http://schemas.openxmlformats.org/officeDocument/2006/relationships/hyperlink" Target="https://cdn.jsdelivr.net/gh/EngineerX1234/vocational-images@main/tools/batch-03/agriculture-nutrient-pump-fertigation-unit.jpg" TargetMode="External"/><Relationship Id="rId1268" Type="http://schemas.openxmlformats.org/officeDocument/2006/relationships/hyperlink" Target="https://cdn.jsdelivr.net/gh/EngineerX1234/vocational-images@main/tools/batch-01/agriculture-air-pumps.jpg" TargetMode="External"/><Relationship Id="rId1269" Type="http://schemas.openxmlformats.org/officeDocument/2006/relationships/hyperlink" Target="https://cdn.jsdelivr.net/gh/EngineerX1234/vocational-images@main/tools/batch-23/agriculture-grow-lights.jpg" TargetMode="External"/><Relationship Id="rId1270" Type="http://schemas.openxmlformats.org/officeDocument/2006/relationships/hyperlink" Target="https://cdn.jsdelivr.net/gh/EngineerX1234/vocational-images@main/tools/batch-24/agriculture-sprayer.jpg" TargetMode="External"/><Relationship Id="rId1271" Type="http://schemas.openxmlformats.org/officeDocument/2006/relationships/hyperlink" Target="https://cdn.jsdelivr.net/gh/EngineerX1234/vocational-images@main/tools/batch-02/agriculture-duster.jpg" TargetMode="External"/><Relationship Id="rId1272" Type="http://schemas.openxmlformats.org/officeDocument/2006/relationships/hyperlink" Target="https://cdn.jsdelivr.net/gh/EngineerX1234/vocational-images@main/tools/batch-05/agriculture-thermometer.jpg" TargetMode="External"/><Relationship Id="rId1273" Type="http://schemas.openxmlformats.org/officeDocument/2006/relationships/hyperlink" Target="https://cdn.jsdelivr.net/gh/EngineerX1234/vocational-images@main/tools/batch-03/agriculture-lux-meter-light-meter.jpg" TargetMode="External"/><Relationship Id="rId1274" Type="http://schemas.openxmlformats.org/officeDocument/2006/relationships/hyperlink" Target="https://cdn.jsdelivr.net/gh/EngineerX1234/vocational-images@main/tools/batch-03/agriculture-misting.jpg" TargetMode="External"/><Relationship Id="rId1275" Type="http://schemas.openxmlformats.org/officeDocument/2006/relationships/hyperlink" Target="https://cdn.jsdelivr.net/gh/EngineerX1234/vocational-images@main/tools/batch-01/agriculture-digital-electronic-temperature-indicator.jpg" TargetMode="External"/><Relationship Id="rId1276" Type="http://schemas.openxmlformats.org/officeDocument/2006/relationships/hyperlink" Target="https://cdn.jsdelivr.net/gh/EngineerX1234/vocational-images@main/tools/batch-26/agriculture-radiation-measuring-instrument.jpg" TargetMode="External"/><Relationship Id="rId1277" Type="http://schemas.openxmlformats.org/officeDocument/2006/relationships/hyperlink" Target="https://cdn.jsdelivr.net/gh/EngineerX1234/vocational-images@main/tools/batch-05/agriculture-temperature-and-humidity-control-system.jpg" TargetMode="External"/><Relationship Id="rId1278" Type="http://schemas.openxmlformats.org/officeDocument/2006/relationships/hyperlink" Target="https://cdn.jsdelivr.net/gh/EngineerX1234/vocational-images@main/tools/batch-01/agriculture-automatic-shade-system.jpg" TargetMode="External"/><Relationship Id="rId1279" Type="http://schemas.openxmlformats.org/officeDocument/2006/relationships/hyperlink" Target="https://cdn.jsdelivr.net/gh/EngineerX1234/vocational-images@main/tools/batch-23/agriculture-fogging-and-blackout.jpg" TargetMode="External"/><Relationship Id="rId1280" Type="http://schemas.openxmlformats.org/officeDocument/2006/relationships/hyperlink" Target="https://cdn.jsdelivr.net/gh/EngineerX1234/vocational-images@main/tools/batch-01/agriculture-drip-and-sprinkler-system.jpg" TargetMode="External"/><Relationship Id="rId1281" Type="http://schemas.openxmlformats.org/officeDocument/2006/relationships/hyperlink" Target="https://cdn.jsdelivr.net/gh/EngineerX1234/vocational-images@main/tools/batch-23/agriculture-fan.jpg" TargetMode="External"/><Relationship Id="rId1282" Type="http://schemas.openxmlformats.org/officeDocument/2006/relationships/hyperlink" Target="https://cdn.jsdelivr.net/gh/EngineerX1234/vocational-images@main/tools/batch-03/agriculture-pad.jpg" TargetMode="External"/><Relationship Id="rId1283" Type="http://schemas.openxmlformats.org/officeDocument/2006/relationships/hyperlink" Target="https://cdn.jsdelivr.net/gh/EngineerX1234/vocational-images@main/tools/batch-05/agriculture-ventilator.jpg" TargetMode="External"/><Relationship Id="rId1284" Type="http://schemas.openxmlformats.org/officeDocument/2006/relationships/hyperlink" Target="https://cdn.jsdelivr.net/gh/EngineerX1234/vocational-images@main/tools/batch-26/agriculture-hygrometer.jpg" TargetMode="External"/><Relationship Id="rId1285" Type="http://schemas.openxmlformats.org/officeDocument/2006/relationships/hyperlink" Target="https://cdn.jsdelivr.net/gh/EngineerX1234/vocational-images@main/tools/batch-23/agriculture-green-house-hydroponics-unit.jpg" TargetMode="External"/><Relationship Id="rId1286" Type="http://schemas.openxmlformats.org/officeDocument/2006/relationships/hyperlink" Target="https://cdn.jsdelivr.net/gh/EngineerX1234/vocational-images@main/tools/batch-03/agriculture-pipe-wrench.jpg" TargetMode="External"/><Relationship Id="rId1287" Type="http://schemas.openxmlformats.org/officeDocument/2006/relationships/hyperlink" Target="https://cdn.jsdelivr.net/gh/EngineerX1234/vocational-images@main/tools/batch-24/agriculture-spanner-set.jpg" TargetMode="External"/><Relationship Id="rId1288" Type="http://schemas.openxmlformats.org/officeDocument/2006/relationships/hyperlink" Target="https://cdn.jsdelivr.net/gh/EngineerX1234/vocational-images@main/tools/batch-26/agriculture-hand-drill-guide.jpg" TargetMode="External"/><Relationship Id="rId1289" Type="http://schemas.openxmlformats.org/officeDocument/2006/relationships/hyperlink" Target="https://cdn.jsdelivr.net/gh/EngineerX1234/vocational-images@main/tools/batch-24/agriculture-screwdriver-and-pliers.jpg" TargetMode="External"/><Relationship Id="rId1290" Type="http://schemas.openxmlformats.org/officeDocument/2006/relationships/hyperlink" Target="https://cdn.jsdelivr.net/gh/EngineerX1234/vocational-images@main/tools/batch-23/agriculture-hacksaw-blade-with-frame-and-one-spare-blade.jpg" TargetMode="External"/><Relationship Id="rId1291" Type="http://schemas.openxmlformats.org/officeDocument/2006/relationships/hyperlink" Target="https://cdn.jsdelivr.net/gh/EngineerX1234/vocational-images@main/tools/batch-03/agriculture-measuring-tape-and-scale.jpg" TargetMode="External"/><Relationship Id="rId1292" Type="http://schemas.openxmlformats.org/officeDocument/2006/relationships/hyperlink" Target="https://cdn.jsdelivr.net/gh/EngineerX1234/vocational-images@main/tools/batch-24/agriculture-straight-or-ejecto-punch.jpg" TargetMode="External"/><Relationship Id="rId1293" Type="http://schemas.openxmlformats.org/officeDocument/2006/relationships/hyperlink" Target="https://cdn.jsdelivr.net/gh/EngineerX1234/vocational-images@main/tools/batch-26/agriculture-hand-punch.jpg" TargetMode="External"/><Relationship Id="rId1294" Type="http://schemas.openxmlformats.org/officeDocument/2006/relationships/hyperlink" Target="https://cdn.jsdelivr.net/gh/EngineerX1234/vocational-images@main/tools/batch-03/agriculture-plier-punch.jpg" TargetMode="External"/><Relationship Id="rId1295" Type="http://schemas.openxmlformats.org/officeDocument/2006/relationships/hyperlink" Target="https://cdn.jsdelivr.net/gh/EngineerX1234/vocational-images@main/tools/batch-05/agriculture-take-off-tool.jpg" TargetMode="External"/><Relationship Id="rId1296" Type="http://schemas.openxmlformats.org/officeDocument/2006/relationships/hyperlink" Target="https://cdn.jsdelivr.net/gh/EngineerX1234/vocational-images@main/tools/batch-03/agriculture-pickaxe-and-spade.jpg" TargetMode="External"/><Relationship Id="rId1297" Type="http://schemas.openxmlformats.org/officeDocument/2006/relationships/hyperlink" Target="https://cdn.jsdelivr.net/gh/EngineerX1234/vocational-images@main/tools/batch-03/agriculture-mortar-pan.jpg" TargetMode="External"/><Relationship Id="rId1298" Type="http://schemas.openxmlformats.org/officeDocument/2006/relationships/hyperlink" Target="https://cdn.jsdelivr.net/gh/EngineerX1234/vocational-images@main/tools/batch-01/agriculture-chisel-and-hammer.jpg" TargetMode="External"/><Relationship Id="rId1299" Type="http://schemas.openxmlformats.org/officeDocument/2006/relationships/hyperlink" Target="https://cdn.jsdelivr.net/gh/EngineerX1234/vocational-images@main/tools/batch-05/agriculture-wooden-hammer.jpg" TargetMode="External"/><Relationship Id="rId1300" Type="http://schemas.openxmlformats.org/officeDocument/2006/relationships/hyperlink" Target="https://cdn.jsdelivr.net/gh/EngineerX1234/vocational-images@main/tools/batch-01/agriculture-bucket.jpg" TargetMode="External"/><Relationship Id="rId1301" Type="http://schemas.openxmlformats.org/officeDocument/2006/relationships/hyperlink" Target="https://cdn.jsdelivr.net/gh/EngineerX1234/vocational-images@main/tools/batch-03/agriculture-micro-irrigation-kit.jpg" TargetMode="External"/><Relationship Id="rId1302" Type="http://schemas.openxmlformats.org/officeDocument/2006/relationships/hyperlink" Target="https://cdn.jsdelivr.net/gh/EngineerX1234/vocational-images@main/tools/batch-01/agriculture-drill-machine-with-drill-bits-of-different-sizes.jpg" TargetMode="External"/><Relationship Id="rId1303" Type="http://schemas.openxmlformats.org/officeDocument/2006/relationships/hyperlink" Target="https://cdn.jsdelivr.net/gh/EngineerX1234/vocational-images@main/tools/batch-24/agriculture-s-hose-pump.jpg" TargetMode="External"/><Relationship Id="rId1304" Type="http://schemas.openxmlformats.org/officeDocument/2006/relationships/hyperlink" Target="https://cdn.jsdelivr.net/gh/EngineerX1234/vocational-images@main/tools/batch-04/agriculture-pressure-gauge.jpg" TargetMode="External"/><Relationship Id="rId1305" Type="http://schemas.openxmlformats.org/officeDocument/2006/relationships/hyperlink" Target="https://cdn.jsdelivr.net/gh/EngineerX1234/vocational-images@main/tools/batch-05/agriculture-tensiometer.jpg" TargetMode="External"/><Relationship Id="rId1306" Type="http://schemas.openxmlformats.org/officeDocument/2006/relationships/hyperlink" Target="https://cdn.jsdelivr.net/gh/EngineerX1234/vocational-images@main/tools/batch-03/agriculture-oven.jpg" TargetMode="External"/><Relationship Id="rId1307" Type="http://schemas.openxmlformats.org/officeDocument/2006/relationships/hyperlink" Target="https://cdn.jsdelivr.net/gh/EngineerX1234/vocational-images@main/tools/batch-05/agriculture-water-meter.jpg" TargetMode="External"/><Relationship Id="rId1308" Type="http://schemas.openxmlformats.org/officeDocument/2006/relationships/hyperlink" Target="https://cdn.jsdelivr.net/gh/EngineerX1234/vocational-images@main/tools/batch-24/agriculture-stop-watch.jpg" TargetMode="External"/><Relationship Id="rId1309" Type="http://schemas.openxmlformats.org/officeDocument/2006/relationships/hyperlink" Target="https://cdn.jsdelivr.net/gh/EngineerX1234/vocational-images@main/tools/batch-03/agriculture-measuring-cylinder.jpg" TargetMode="External"/><Relationship Id="rId1310" Type="http://schemas.openxmlformats.org/officeDocument/2006/relationships/hyperlink" Target="https://cdn.jsdelivr.net/gh/EngineerX1234/vocational-images@main/tools/batch-03/agriculture-magnetic-propeller-balancer.jpg" TargetMode="External"/><Relationship Id="rId1311" Type="http://schemas.openxmlformats.org/officeDocument/2006/relationships/hyperlink" Target="https://cdn.jsdelivr.net/gh/EngineerX1234/vocational-images@main/tools/batch-03/agriculture-magnetic-tray.jpg" TargetMode="External"/><Relationship Id="rId1312" Type="http://schemas.openxmlformats.org/officeDocument/2006/relationships/hyperlink" Target="https://cdn.jsdelivr.net/gh/EngineerX1234/vocational-images@main/tools/batch-24/agriculture-soldering-kits-basic-and-battery-powered.jpg" TargetMode="External"/><Relationship Id="rId1313" Type="http://schemas.openxmlformats.org/officeDocument/2006/relationships/hyperlink" Target="https://cdn.jsdelivr.net/gh/EngineerX1234/vocational-images@main/tools/batch-26/agriculture-hand-driller-kit.jpg" TargetMode="External"/><Relationship Id="rId1314" Type="http://schemas.openxmlformats.org/officeDocument/2006/relationships/hyperlink" Target="https://cdn.jsdelivr.net/gh/EngineerX1234/vocational-images@main/tools/batch-23/agriculture-glue-gun.jpg" TargetMode="External"/><Relationship Id="rId1315" Type="http://schemas.openxmlformats.org/officeDocument/2006/relationships/hyperlink" Target="https://cdn.jsdelivr.net/gh/EngineerX1234/vocational-images@main/tools/batch-01/agriculture-cutting-mat.jpg" TargetMode="External"/><Relationship Id="rId1316" Type="http://schemas.openxmlformats.org/officeDocument/2006/relationships/hyperlink" Target="https://cdn.jsdelivr.net/gh/EngineerX1234/vocational-images@main/tools/batch-01/agriculture-allen-key-set.jpg" TargetMode="External"/><Relationship Id="rId1317" Type="http://schemas.openxmlformats.org/officeDocument/2006/relationships/hyperlink" Target="https://cdn.jsdelivr.net/gh/EngineerX1234/vocational-images@main/tools/batch-03/agriculture-knife-set.jpg" TargetMode="External"/><Relationship Id="rId1318" Type="http://schemas.openxmlformats.org/officeDocument/2006/relationships/hyperlink" Target="https://cdn.jsdelivr.net/gh/EngineerX1234/vocational-images@main/tools/batch-24/agriculture-screw-driver-set.jpg" TargetMode="External"/><Relationship Id="rId1319" Type="http://schemas.openxmlformats.org/officeDocument/2006/relationships/hyperlink" Target="https://cdn.jsdelivr.net/gh/EngineerX1234/vocational-images@main/tools/batch-03/agriculture-plier-set.jpg" TargetMode="External"/><Relationship Id="rId1320" Type="http://schemas.openxmlformats.org/officeDocument/2006/relationships/hyperlink" Target="https://cdn.jsdelivr.net/gh/EngineerX1234/vocational-images@main/tools/batch-23/agriculture-hammers.jpg" TargetMode="External"/><Relationship Id="rId1321" Type="http://schemas.openxmlformats.org/officeDocument/2006/relationships/hyperlink" Target="https://cdn.jsdelivr.net/gh/EngineerX1234/vocational-images@main/tools/batch-23/agriculture-hacksaw.jpg" TargetMode="External"/><Relationship Id="rId1322" Type="http://schemas.openxmlformats.org/officeDocument/2006/relationships/hyperlink" Target="https://cdn.jsdelivr.net/gh/EngineerX1234/vocational-images@main/tools/batch-01/agriculture-commercial-drone.jpg" TargetMode="External"/><Relationship Id="rId1323" Type="http://schemas.openxmlformats.org/officeDocument/2006/relationships/hyperlink" Target="https://cdn.jsdelivr.net/gh/EngineerX1234/vocational-images@main/tools/batch-26/agriculture-hexacopter.jpg" TargetMode="External"/><Relationship Id="rId1324" Type="http://schemas.openxmlformats.org/officeDocument/2006/relationships/hyperlink" Target="https://cdn.jsdelivr.net/gh/EngineerX1234/vocational-images@main/tools/batch-03/agriculture-plastic-hexacopter-with-propulsion-kit.jpg" TargetMode="External"/><Relationship Id="rId1325" Type="http://schemas.openxmlformats.org/officeDocument/2006/relationships/hyperlink" Target="https://cdn.jsdelivr.net/gh/EngineerX1234/vocational-images@main/tools/batch-26/agriculture-quadcopter-drone-combo-with-pix-hawk-kit-for-beginner.jpg" TargetMode="External"/><Relationship Id="rId1326" Type="http://schemas.openxmlformats.org/officeDocument/2006/relationships/hyperlink" Target="https://cdn.jsdelivr.net/gh/EngineerX1234/vocational-images@main/tools/batch-03/agriculture-micro-quadcopter-kit.jpg" TargetMode="External"/><Relationship Id="rId1327" Type="http://schemas.openxmlformats.org/officeDocument/2006/relationships/hyperlink" Target="https://cdn.jsdelivr.net/gh/EngineerX1234/vocational-images@main/tools/batch-23/agriculture-fixed-wing-uav.jpg" TargetMode="External"/><Relationship Id="rId1328" Type="http://schemas.openxmlformats.org/officeDocument/2006/relationships/hyperlink" Target="https://cdn.jsdelivr.net/gh/EngineerX1234/vocational-images@main/tools/batch-05/agriculture-thrust-measuring-stand.jpg" TargetMode="External"/><Relationship Id="rId1329" Type="http://schemas.openxmlformats.org/officeDocument/2006/relationships/hyperlink" Target="https://cdn.jsdelivr.net/gh/EngineerX1234/vocational-images@main/tools/batch-01/agriculture-digital-calliper.jpg" TargetMode="External"/><Relationship Id="rId1330" Type="http://schemas.openxmlformats.org/officeDocument/2006/relationships/hyperlink" Target="https://cdn.jsdelivr.net/gh/EngineerX1234/vocational-images@main/tools/batch-01/agriculture-anemometer.jpg" TargetMode="External"/><Relationship Id="rId1331" Type="http://schemas.openxmlformats.org/officeDocument/2006/relationships/hyperlink" Target="https://cdn.jsdelivr.net/gh/EngineerX1234/vocational-images@main/tools/batch-03/agriculture-laser-tachometer.jpg" TargetMode="External"/><Relationship Id="rId1332" Type="http://schemas.openxmlformats.org/officeDocument/2006/relationships/hyperlink" Target="https://cdn.jsdelivr.net/gh/EngineerX1234/vocational-images@main/tools/batch-03/agriculture-multi-meter.jpg" TargetMode="External"/><Relationship Id="rId1333" Type="http://schemas.openxmlformats.org/officeDocument/2006/relationships/hyperlink" Target="https://cdn.jsdelivr.net/gh/EngineerX1234/vocational-images@main/tools/batch-23/agriculture-electronic-hanging-balance.jpg" TargetMode="External"/><Relationship Id="rId1334" Type="http://schemas.openxmlformats.org/officeDocument/2006/relationships/hyperlink" Target="https://cdn.jsdelivr.net/gh/EngineerX1234/vocational-images@main/tools/batch-03/agriculture-motor.jpg" TargetMode="External"/><Relationship Id="rId1335" Type="http://schemas.openxmlformats.org/officeDocument/2006/relationships/hyperlink" Target="https://cdn.jsdelivr.net/gh/EngineerX1234/vocational-images@main/tools/batch-23/agriculture-electronic-speed-controller.jpg" TargetMode="External"/><Relationship Id="rId1336" Type="http://schemas.openxmlformats.org/officeDocument/2006/relationships/hyperlink" Target="https://cdn.jsdelivr.net/gh/EngineerX1234/vocational-images@main/tools/batch-03/agriculture-lipo-battery.jpg" TargetMode="External"/><Relationship Id="rId1337" Type="http://schemas.openxmlformats.org/officeDocument/2006/relationships/hyperlink" Target="https://cdn.jsdelivr.net/gh/EngineerX1234/vocational-images@main/tools/batch-01/agriculture-battery-charger.jpg" TargetMode="External"/><Relationship Id="rId1338" Type="http://schemas.openxmlformats.org/officeDocument/2006/relationships/hyperlink" Target="https://cdn.jsdelivr.net/gh/EngineerX1234/vocational-images@main/tools/batch-03/agriculture-lipo-battery-checker.jpg" TargetMode="External"/><Relationship Id="rId1339" Type="http://schemas.openxmlformats.org/officeDocument/2006/relationships/hyperlink" Target="https://cdn.jsdelivr.net/gh/EngineerX1234/vocational-images@main/tools/batch-01/agriculture-arducopter-flight-controller-with-gps.jpg" TargetMode="External"/><Relationship Id="rId1340" Type="http://schemas.openxmlformats.org/officeDocument/2006/relationships/hyperlink" Target="https://cdn.jsdelivr.net/gh/EngineerX1234/vocational-images@main/tools/batch-01/agriculture-ardino-uno-micro-controller.jpg" TargetMode="External"/><Relationship Id="rId1341" Type="http://schemas.openxmlformats.org/officeDocument/2006/relationships/hyperlink" Target="https://cdn.jsdelivr.net/gh/EngineerX1234/vocational-images@main/tools/batch-05/agriculture-ultrasonic-sensor-upto-400-cm.jpg" TargetMode="External"/><Relationship Id="rId1342" Type="http://schemas.openxmlformats.org/officeDocument/2006/relationships/hyperlink" Target="https://cdn.jsdelivr.net/gh/EngineerX1234/vocational-images@main/tools/batch-26/agriculture-inertia-measurement-unit.jpg" TargetMode="External"/><Relationship Id="rId1343" Type="http://schemas.openxmlformats.org/officeDocument/2006/relationships/hyperlink" Target="https://cdn.jsdelivr.net/gh/EngineerX1234/vocational-images@main/tools/batch-26/agriculture-inertial-sensors.jpg" TargetMode="External"/><Relationship Id="rId1344" Type="http://schemas.openxmlformats.org/officeDocument/2006/relationships/hyperlink" Target="https://cdn.jsdelivr.net/gh/EngineerX1234/vocational-images@main/tools/batch-01/agriculture-distance-and-gesture-sensor-module.jpg" TargetMode="External"/><Relationship Id="rId1345" Type="http://schemas.openxmlformats.org/officeDocument/2006/relationships/hyperlink" Target="https://cdn.jsdelivr.net/gh/EngineerX1234/vocational-images@main/tools/batch-26/agriculture-raspberry-pi-kit.jpg" TargetMode="External"/><Relationship Id="rId1346" Type="http://schemas.openxmlformats.org/officeDocument/2006/relationships/hyperlink" Target="https://cdn.jsdelivr.net/gh/EngineerX1234/vocational-images@main/tools/batch-26/agriculture-humidity-and-temperature-sensor.jpg" TargetMode="External"/><Relationship Id="rId1347" Type="http://schemas.openxmlformats.org/officeDocument/2006/relationships/hyperlink" Target="https://cdn.jsdelivr.net/gh/EngineerX1234/vocational-images@main/tools/batch-23/agriculture-gas-sensor.jpg" TargetMode="External"/><Relationship Id="rId1348" Type="http://schemas.openxmlformats.org/officeDocument/2006/relationships/hyperlink" Target="https://cdn.jsdelivr.net/gh/EngineerX1234/vocational-images@main/tools/batch-01/agriculture-433-mhz-telemetry.jpg" TargetMode="External"/><Relationship Id="rId1349" Type="http://schemas.openxmlformats.org/officeDocument/2006/relationships/hyperlink" Target="https://cdn.jsdelivr.net/gh/EngineerX1234/vocational-images@main/tools/batch-26/agriculture-rc-flight-simulator.jpg" TargetMode="External"/><Relationship Id="rId1350" Type="http://schemas.openxmlformats.org/officeDocument/2006/relationships/hyperlink" Target="https://cdn.jsdelivr.net/gh/EngineerX1234/vocational-images@main/tools/batch-11/electronics-propellers.jpg" TargetMode="External"/><Relationship Id="rId1351" Type="http://schemas.openxmlformats.org/officeDocument/2006/relationships/hyperlink" Target="https://cdn.jsdelivr.net/gh/EngineerX1234/vocational-images@main/tools/batch-03/agriculture-micro-irrigation-kit.jpg" TargetMode="External"/><Relationship Id="rId1352" Type="http://schemas.openxmlformats.org/officeDocument/2006/relationships/hyperlink" Target="https://cdn.jsdelivr.net/gh/EngineerX1234/vocational-images@main/tools/batch-01/agriculture-auger.jpg" TargetMode="External"/><Relationship Id="rId1353" Type="http://schemas.openxmlformats.org/officeDocument/2006/relationships/hyperlink" Target="https://cdn.jsdelivr.net/gh/EngineerX1234/vocational-images@main/tools/batch-01/agriculture-digging-spade.jpg" TargetMode="External"/><Relationship Id="rId1354" Type="http://schemas.openxmlformats.org/officeDocument/2006/relationships/hyperlink" Target="https://cdn.jsdelivr.net/gh/EngineerX1234/vocational-images@main/tools/batch-26/agriculture-hoe.jpg" TargetMode="External"/><Relationship Id="rId1355" Type="http://schemas.openxmlformats.org/officeDocument/2006/relationships/hyperlink" Target="https://cdn.jsdelivr.net/gh/EngineerX1234/vocational-images@main/tools/batch-03/agriculture-long-handle-hoes.jpg" TargetMode="External"/><Relationship Id="rId1356" Type="http://schemas.openxmlformats.org/officeDocument/2006/relationships/hyperlink" Target="https://cdn.jsdelivr.net/gh/EngineerX1234/vocational-images@main/tools/batch-05/agriculture-trowels.jpg" TargetMode="External"/><Relationship Id="rId1357" Type="http://schemas.openxmlformats.org/officeDocument/2006/relationships/hyperlink" Target="https://cdn.jsdelivr.net/gh/EngineerX1234/vocational-images@main/tools/batch-03/agriculture-knapsack-sprayer.jpg" TargetMode="External"/><Relationship Id="rId1358" Type="http://schemas.openxmlformats.org/officeDocument/2006/relationships/hyperlink" Target="https://cdn.jsdelivr.net/gh/EngineerX1234/vocational-images@main/tools/batch-24/agriculture-seed-treating-equipment.jpg" TargetMode="External"/><Relationship Id="rId1359" Type="http://schemas.openxmlformats.org/officeDocument/2006/relationships/hyperlink" Target="https://cdn.jsdelivr.net/gh/EngineerX1234/vocational-images@main/tools/batch-24/agriculture-soil-testing-kit.jpg" TargetMode="External"/><Relationship Id="rId1360" Type="http://schemas.openxmlformats.org/officeDocument/2006/relationships/hyperlink" Target="https://cdn.jsdelivr.net/gh/EngineerX1234/vocational-images@main/tools/batch-03/agriculture-measuring-cylinder.jpg" TargetMode="External"/><Relationship Id="rId1361" Type="http://schemas.openxmlformats.org/officeDocument/2006/relationships/hyperlink" Target="https://cdn.jsdelivr.net/gh/EngineerX1234/vocational-images@main/tools/batch-03/agriculture-power-sprayer.jpg" TargetMode="External"/><Relationship Id="rId1362" Type="http://schemas.openxmlformats.org/officeDocument/2006/relationships/hyperlink" Target="https://cdn.jsdelivr.net/gh/EngineerX1234/vocational-images@main/tools/batch-05/agriculture-weighing-machine.jpg" TargetMode="External"/><Relationship Id="rId1363" Type="http://schemas.openxmlformats.org/officeDocument/2006/relationships/hyperlink" Target="https://cdn.jsdelivr.net/gh/EngineerX1234/vocational-images@main/tools/batch-03/agriculture-moisture-meter.jpg" TargetMode="External"/><Relationship Id="rId1364" Type="http://schemas.openxmlformats.org/officeDocument/2006/relationships/hyperlink" Target="https://cdn.jsdelivr.net/gh/EngineerX1234/vocational-images@main/tools/batch-01/agriculture-disc-harrow.jpg" TargetMode="External"/><Relationship Id="rId1365" Type="http://schemas.openxmlformats.org/officeDocument/2006/relationships/hyperlink" Target="https://cdn.jsdelivr.net/gh/EngineerX1234/vocational-images@main/tools/batch-03/agriculture-levelers.jpg" TargetMode="External"/><Relationship Id="rId1366" Type="http://schemas.openxmlformats.org/officeDocument/2006/relationships/hyperlink" Target="https://cdn.jsdelivr.net/gh/EngineerX1234/vocational-images@main/tools/batch-03/agriculture-plough.jpg" TargetMode="External"/><Relationship Id="rId1367" Type="http://schemas.openxmlformats.org/officeDocument/2006/relationships/hyperlink" Target="https://cdn.jsdelivr.net/gh/EngineerX1234/vocational-images@main/tools/batch-04/agriculture-pump-sets.jpg" TargetMode="External"/><Relationship Id="rId1368" Type="http://schemas.openxmlformats.org/officeDocument/2006/relationships/hyperlink" Target="https://cdn.jsdelivr.net/gh/EngineerX1234/vocational-images@main/tools/batch-24/agriculture-rigid-tillers.jpg" TargetMode="External"/><Relationship Id="rId1369" Type="http://schemas.openxmlformats.org/officeDocument/2006/relationships/hyperlink" Target="https://cdn.jsdelivr.net/gh/EngineerX1234/vocational-images@main/tools/batch-24/agriculture-rotary-tiller.jpg" TargetMode="External"/><Relationship Id="rId1370" Type="http://schemas.openxmlformats.org/officeDocument/2006/relationships/hyperlink" Target="https://cdn.jsdelivr.net/gh/EngineerX1234/vocational-images@main/tools/batch-24/agriculture-seed-cum-fertilizer-drill.jpg" TargetMode="External"/><Relationship Id="rId1371" Type="http://schemas.openxmlformats.org/officeDocument/2006/relationships/hyperlink" Target="https://cdn.jsdelivr.net/gh/EngineerX1234/vocational-images@main/tools/batch-24/agriculture-straw-reaper.jpg" TargetMode="External"/><Relationship Id="rId1372" Type="http://schemas.openxmlformats.org/officeDocument/2006/relationships/hyperlink" Target="https://cdn.jsdelivr.net/gh/EngineerX1234/vocational-images@main/tools/batch-05/agriculture-tractor.jpg" TargetMode="External"/><Relationship Id="rId1373" Type="http://schemas.openxmlformats.org/officeDocument/2006/relationships/hyperlink" Target="https://cdn.jsdelivr.net/gh/EngineerX1234/vocational-images@main/tools/batch-03/agriculture-plastics-baskets.jpg" TargetMode="External"/><Relationship Id="rId1374" Type="http://schemas.openxmlformats.org/officeDocument/2006/relationships/hyperlink" Target="https://cdn.jsdelivr.net/gh/EngineerX1234/vocational-images@main/tools/batch-05/agriculture-transplanting-trowel.jpg" TargetMode="External"/><Relationship Id="rId1375" Type="http://schemas.openxmlformats.org/officeDocument/2006/relationships/hyperlink" Target="https://cdn.jsdelivr.net/gh/EngineerX1234/vocational-images@main/tools/batch-05/agriculture-wash-bottles.jpg" TargetMode="External"/><Relationship Id="rId1376" Type="http://schemas.openxmlformats.org/officeDocument/2006/relationships/hyperlink" Target="https://cdn.jsdelivr.net/gh/EngineerX1234/vocational-images@main/tools/batch-01/agriculture-brushes.jpg" TargetMode="External"/><Relationship Id="rId1377" Type="http://schemas.openxmlformats.org/officeDocument/2006/relationships/hyperlink" Target="https://cdn.jsdelivr.net/gh/EngineerX1234/vocational-images@main/tools/batch-23/agriculture-forceps.jpg" TargetMode="External"/><Relationship Id="rId1378" Type="http://schemas.openxmlformats.org/officeDocument/2006/relationships/hyperlink" Target="https://cdn.jsdelivr.net/gh/EngineerX1234/vocational-images@main/tools/batch-23/agriculture-growing-chamber.jpg" TargetMode="External"/><Relationship Id="rId1379" Type="http://schemas.openxmlformats.org/officeDocument/2006/relationships/hyperlink" Target="https://cdn.jsdelivr.net/gh/EngineerX1234/vocational-images@main/tools/batch-03/agriculture-ph-meter.jpg" TargetMode="External"/><Relationship Id="rId1380" Type="http://schemas.openxmlformats.org/officeDocument/2006/relationships/hyperlink" Target="https://cdn.jsdelivr.net/gh/EngineerX1234/vocational-images@main/tools/batch-05/agriculture-weighing-balance-electronic.jpg" TargetMode="External"/><Relationship Id="rId1381" Type="http://schemas.openxmlformats.org/officeDocument/2006/relationships/hyperlink" Target="https://cdn.jsdelivr.net/gh/EngineerX1234/vocational-images@main/tools/batch-26/agriculture-hot-plate-stirrer.jpg" TargetMode="External"/><Relationship Id="rId1382" Type="http://schemas.openxmlformats.org/officeDocument/2006/relationships/hyperlink" Target="https://cdn.jsdelivr.net/gh/EngineerX1234/vocational-images@main/tools/batch-26/agriculture-refrigerator-and-freezer.jpg" TargetMode="External"/><Relationship Id="rId1383" Type="http://schemas.openxmlformats.org/officeDocument/2006/relationships/hyperlink" Target="https://cdn.jsdelivr.net/gh/EngineerX1234/vocational-images@main/tools/batch-03/agriculture-laminar-flow-transfer-hood.jpg" TargetMode="External"/><Relationship Id="rId1384" Type="http://schemas.openxmlformats.org/officeDocument/2006/relationships/hyperlink" Target="https://cdn.jsdelivr.net/gh/EngineerX1234/vocational-images@main/tools/batch-23/agriculture-glassware-beakers.jpg" TargetMode="External"/><Relationship Id="rId1385" Type="http://schemas.openxmlformats.org/officeDocument/2006/relationships/hyperlink" Target="https://cdn.jsdelivr.net/gh/EngineerX1234/vocational-images@main/tools/batch-01/agriculture-culture-tubes.jpg" TargetMode="External"/><Relationship Id="rId1386" Type="http://schemas.openxmlformats.org/officeDocument/2006/relationships/hyperlink" Target="https://cdn.jsdelivr.net/gh/EngineerX1234/vocational-images@main/tools/batch-01/agriculture-culture-tube-racks.jpg" TargetMode="External"/><Relationship Id="rId1387" Type="http://schemas.openxmlformats.org/officeDocument/2006/relationships/hyperlink" Target="https://cdn.jsdelivr.net/gh/EngineerX1234/vocational-images@main/tools/batch-24/agriculture-sterilizers-autoclave.jpg" TargetMode="External"/><Relationship Id="rId1388" Type="http://schemas.openxmlformats.org/officeDocument/2006/relationships/hyperlink" Target="https://cdn.jsdelivr.net/gh/EngineerX1234/vocational-images@main/tools/batch-23/agriculture-glass-pipettes.jpg" TargetMode="External"/><Relationship Id="rId1389" Type="http://schemas.openxmlformats.org/officeDocument/2006/relationships/hyperlink" Target="https://cdn.jsdelivr.net/gh/EngineerX1234/vocational-images@main/tools/batch-23/agriculture-graduated-cylinders.jpg" TargetMode="External"/><Relationship Id="rId1390" Type="http://schemas.openxmlformats.org/officeDocument/2006/relationships/hyperlink" Target="https://cdn.jsdelivr.net/gh/EngineerX1234/vocational-images@main/tools/batch-03/agriculture-microscope.jpg" TargetMode="External"/><Relationship Id="rId1391" Type="http://schemas.openxmlformats.org/officeDocument/2006/relationships/hyperlink" Target="https://cdn.jsdelivr.net/gh/EngineerX1234/vocational-images@main/tools/batch-05/agriculture-vacuum-pump.jpg" TargetMode="External"/><Relationship Id="rId1392" Type="http://schemas.openxmlformats.org/officeDocument/2006/relationships/hyperlink" Target="https://cdn.jsdelivr.net/gh/EngineerX1234/vocational-images@main/tools/batch-01/agriculture-distillation-plant.jpg" TargetMode="External"/><Relationship Id="rId1393" Type="http://schemas.openxmlformats.org/officeDocument/2006/relationships/hyperlink" Target="https://cdn.jsdelivr.net/gh/EngineerX1234/vocational-images@main/tools/batch-01/agriculture-centrifuge.jpg" TargetMode="External"/><Relationship Id="rId1394" Type="http://schemas.openxmlformats.org/officeDocument/2006/relationships/hyperlink" Target="https://cdn.jsdelivr.net/gh/EngineerX1234/vocational-images@main/tools/batch-26/agriculture-incubator.jpg" TargetMode="External"/><Relationship Id="rId1395" Type="http://schemas.openxmlformats.org/officeDocument/2006/relationships/hyperlink" Target="https://cdn.jsdelivr.net/gh/EngineerX1234/vocational-images@main/tools/batch-01/agriculture-aspiration-pump-peristaltic-or-vaccum.jpg" TargetMode="External"/><Relationship Id="rId1396" Type="http://schemas.openxmlformats.org/officeDocument/2006/relationships/hyperlink" Target="https://cdn.jsdelivr.net/gh/EngineerX1234/vocational-images@main/tools/batch-01/agriculture-auger.jpg" TargetMode="External"/><Relationship Id="rId1397" Type="http://schemas.openxmlformats.org/officeDocument/2006/relationships/hyperlink" Target="https://cdn.jsdelivr.net/gh/EngineerX1234/vocational-images@main/tools/batch-01/agriculture-digging-spade.jpg" TargetMode="External"/><Relationship Id="rId1398" Type="http://schemas.openxmlformats.org/officeDocument/2006/relationships/hyperlink" Target="https://cdn.jsdelivr.net/gh/EngineerX1234/vocational-images@main/tools/batch-26/agriculture-hoe.jpg" TargetMode="External"/><Relationship Id="rId1399" Type="http://schemas.openxmlformats.org/officeDocument/2006/relationships/hyperlink" Target="https://cdn.jsdelivr.net/gh/EngineerX1234/vocational-images@main/tools/batch-03/agriculture-long-handle-hoes.jpg" TargetMode="External"/><Relationship Id="rId1400" Type="http://schemas.openxmlformats.org/officeDocument/2006/relationships/hyperlink" Target="https://cdn.jsdelivr.net/gh/EngineerX1234/vocational-images@main/tools/batch-05/agriculture-trowels.jpg" TargetMode="External"/><Relationship Id="rId1401" Type="http://schemas.openxmlformats.org/officeDocument/2006/relationships/hyperlink" Target="https://cdn.jsdelivr.net/gh/EngineerX1234/vocational-images@main/tools/batch-26/agriculture-hand-sieves.jpg" TargetMode="External"/><Relationship Id="rId1402" Type="http://schemas.openxmlformats.org/officeDocument/2006/relationships/hyperlink" Target="https://cdn.jsdelivr.net/gh/EngineerX1234/vocational-images@main/tools/batch-03/agriculture-knapsack-sprayer.jpg" TargetMode="External"/><Relationship Id="rId1403" Type="http://schemas.openxmlformats.org/officeDocument/2006/relationships/hyperlink" Target="https://cdn.jsdelivr.net/gh/EngineerX1234/vocational-images@main/tools/batch-24/agriculture-seed-treating-equipment.jpg" TargetMode="External"/><Relationship Id="rId1404" Type="http://schemas.openxmlformats.org/officeDocument/2006/relationships/hyperlink" Target="https://cdn.jsdelivr.net/gh/EngineerX1234/vocational-images@main/tools/batch-03/agriculture-measuring-cylinder.jpg" TargetMode="External"/><Relationship Id="rId1405" Type="http://schemas.openxmlformats.org/officeDocument/2006/relationships/hyperlink" Target="https://cdn.jsdelivr.net/gh/EngineerX1234/vocational-images@main/tools/batch-03/agriculture-power-sprayer.jpg" TargetMode="External"/><Relationship Id="rId1406" Type="http://schemas.openxmlformats.org/officeDocument/2006/relationships/hyperlink" Target="https://cdn.jsdelivr.net/gh/EngineerX1234/vocational-images@main/tools/batch-05/agriculture-weighing-machine.jpg" TargetMode="External"/><Relationship Id="rId1407" Type="http://schemas.openxmlformats.org/officeDocument/2006/relationships/hyperlink" Target="https://cdn.jsdelivr.net/gh/EngineerX1234/vocational-images@main/tools/batch-03/agriculture-moisture-meter.jpg" TargetMode="External"/><Relationship Id="rId1408" Type="http://schemas.openxmlformats.org/officeDocument/2006/relationships/hyperlink" Target="https://cdn.jsdelivr.net/gh/EngineerX1234/vocational-images@main/tools/batch-05/agriculture-winnowing-fans.jpg" TargetMode="External"/><Relationship Id="rId1409" Type="http://schemas.openxmlformats.org/officeDocument/2006/relationships/hyperlink" Target="https://cdn.jsdelivr.net/gh/EngineerX1234/vocational-images@main/tools/batch-24/agriculture-seed-germination-chamber-incubator.jpg" TargetMode="External"/><Relationship Id="rId1410" Type="http://schemas.openxmlformats.org/officeDocument/2006/relationships/hyperlink" Target="https://cdn.jsdelivr.net/gh/EngineerX1234/vocational-images@main/tools/batch-05/agriculture-tetrazolium-testing-kit.jpg" TargetMode="External"/><Relationship Id="rId1411" Type="http://schemas.openxmlformats.org/officeDocument/2006/relationships/hyperlink" Target="https://cdn.jsdelivr.net/gh/EngineerX1234/vocational-images@main/tools/batch-24/agriculture-seed-moisture-tester.jpg" TargetMode="External"/><Relationship Id="rId1412" Type="http://schemas.openxmlformats.org/officeDocument/2006/relationships/hyperlink" Target="https://cdn.jsdelivr.net/gh/EngineerX1234/vocational-images@main/tools/batch-24/agriculture-seed-counters.jpg" TargetMode="External"/><Relationship Id="rId1413" Type="http://schemas.openxmlformats.org/officeDocument/2006/relationships/hyperlink" Target="https://cdn.jsdelivr.net/gh/EngineerX1234/vocational-images@main/tools/batch-24/agriculture-seed-drying-trays-racks.jpg" TargetMode="External"/><Relationship Id="rId1414" Type="http://schemas.openxmlformats.org/officeDocument/2006/relationships/hyperlink" Target="https://cdn.jsdelivr.net/gh/EngineerX1234/vocational-images@main/tools/batch-24/agriculture-solar-dryers.jpg" TargetMode="External"/><Relationship Id="rId1415" Type="http://schemas.openxmlformats.org/officeDocument/2006/relationships/hyperlink" Target="https://cdn.jsdelivr.net/gh/EngineerX1234/vocational-images@main/tools/batch-01/agriculture-disc-harrow.jpg" TargetMode="External"/><Relationship Id="rId1416" Type="http://schemas.openxmlformats.org/officeDocument/2006/relationships/hyperlink" Target="https://cdn.jsdelivr.net/gh/EngineerX1234/vocational-images@main/tools/batch-03/agriculture-levelers.jpg" TargetMode="External"/><Relationship Id="rId1417" Type="http://schemas.openxmlformats.org/officeDocument/2006/relationships/hyperlink" Target="https://cdn.jsdelivr.net/gh/EngineerX1234/vocational-images@main/tools/batch-03/agriculture-plough.jpg" TargetMode="External"/><Relationship Id="rId1418" Type="http://schemas.openxmlformats.org/officeDocument/2006/relationships/hyperlink" Target="https://cdn.jsdelivr.net/gh/EngineerX1234/vocational-images@main/tools/batch-04/agriculture-pump-sets.jpg" TargetMode="External"/><Relationship Id="rId1419" Type="http://schemas.openxmlformats.org/officeDocument/2006/relationships/hyperlink" Target="https://cdn.jsdelivr.net/gh/EngineerX1234/vocational-images@main/tools/batch-24/agriculture-rigid-tillers.jpg" TargetMode="External"/><Relationship Id="rId1420" Type="http://schemas.openxmlformats.org/officeDocument/2006/relationships/hyperlink" Target="https://cdn.jsdelivr.net/gh/EngineerX1234/vocational-images@main/tools/batch-24/agriculture-rotary-tiller.jpg" TargetMode="External"/><Relationship Id="rId1421" Type="http://schemas.openxmlformats.org/officeDocument/2006/relationships/hyperlink" Target="https://cdn.jsdelivr.net/gh/EngineerX1234/vocational-images@main/tools/batch-24/agriculture-seed-cum-fertilizer-drill.jpg" TargetMode="External"/><Relationship Id="rId1422" Type="http://schemas.openxmlformats.org/officeDocument/2006/relationships/hyperlink" Target="https://cdn.jsdelivr.net/gh/EngineerX1234/vocational-images@main/tools/batch-24/agriculture-straw-reaper.jpg" TargetMode="External"/><Relationship Id="rId1423" Type="http://schemas.openxmlformats.org/officeDocument/2006/relationships/hyperlink" Target="https://cdn.jsdelivr.net/gh/EngineerX1234/vocational-images@main/tools/batch-05/agriculture-tractor.jpg" TargetMode="External"/><Relationship Id="rId1424" Type="http://schemas.openxmlformats.org/officeDocument/2006/relationships/hyperlink" Target="https://cdn.jsdelivr.net/gh/EngineerX1234/vocational-images@main/tools/batch-24/agriculture-small-scale-seed-threshers.jpg" TargetMode="External"/><Relationship Id="rId1425" Type="http://schemas.openxmlformats.org/officeDocument/2006/relationships/hyperlink" Target="https://cdn.jsdelivr.net/gh/EngineerX1234/vocational-images@main/tools/batch-24/agriculture-seed-cleaning-machines.jpg" TargetMode="External"/><Relationship Id="rId1426" Type="http://schemas.openxmlformats.org/officeDocument/2006/relationships/hyperlink" Target="https://cdn.jsdelivr.net/gh/EngineerX1234/vocational-images@main/tools/batch-24/agriculture-seed-graders-seed-separators.jpg" TargetMode="External"/><Relationship Id="rId1427" Type="http://schemas.openxmlformats.org/officeDocument/2006/relationships/hyperlink" Target="https://cdn.jsdelivr.net/gh/EngineerX1234/vocational-images@main/tools/batch-03/agriculture-plastics-baskets.jpg" TargetMode="External"/><Relationship Id="rId1428" Type="http://schemas.openxmlformats.org/officeDocument/2006/relationships/hyperlink" Target="https://cdn.jsdelivr.net/gh/EngineerX1234/vocational-images@main/tools/batch-26/agriculture-rake.jpg" TargetMode="External"/><Relationship Id="rId1429" Type="http://schemas.openxmlformats.org/officeDocument/2006/relationships/hyperlink" Target="https://cdn.jsdelivr.net/gh/EngineerX1234/vocational-images@main/tools/batch-24/agriculture-spade.jpg" TargetMode="External"/><Relationship Id="rId1430" Type="http://schemas.openxmlformats.org/officeDocument/2006/relationships/hyperlink" Target="https://cdn.jsdelivr.net/gh/EngineerX1234/vocational-images@main/tools/batch-01/agriculture-automatic-vaccinator.jpg" TargetMode="External"/><Relationship Id="rId1431" Type="http://schemas.openxmlformats.org/officeDocument/2006/relationships/hyperlink" Target="https://cdn.jsdelivr.net/gh/EngineerX1234/vocational-images@main/tools/batch-01/agriculture-beak-trimmer.jpg" TargetMode="External"/><Relationship Id="rId1432" Type="http://schemas.openxmlformats.org/officeDocument/2006/relationships/hyperlink" Target="https://cdn.jsdelivr.net/gh/EngineerX1234/vocational-images@main/tools/batch-01/agriculture-bell-type-automatic-waterer.jpg" TargetMode="External"/><Relationship Id="rId1433" Type="http://schemas.openxmlformats.org/officeDocument/2006/relationships/hyperlink" Target="https://cdn.jsdelivr.net/gh/EngineerX1234/vocational-images@main/tools/batch-01/agriculture-chick-box.jpg" TargetMode="External"/><Relationship Id="rId1434" Type="http://schemas.openxmlformats.org/officeDocument/2006/relationships/hyperlink" Target="https://cdn.jsdelivr.net/gh/EngineerX1234/vocational-images@main/tools/batch-01/agriculture-circular-feeder.jpg" TargetMode="External"/><Relationship Id="rId1435" Type="http://schemas.openxmlformats.org/officeDocument/2006/relationships/hyperlink" Target="https://cdn.jsdelivr.net/gh/EngineerX1234/vocational-images@main/tools/batch-02/agriculture-egg-candler.jpg" TargetMode="External"/><Relationship Id="rId1436" Type="http://schemas.openxmlformats.org/officeDocument/2006/relationships/hyperlink" Target="https://cdn.jsdelivr.net/gh/EngineerX1234/vocational-images@main/tools/batch-02/agriculture-egg-washer.jpg" TargetMode="External"/><Relationship Id="rId1437" Type="http://schemas.openxmlformats.org/officeDocument/2006/relationships/hyperlink" Target="https://cdn.jsdelivr.net/gh/EngineerX1234/vocational-images@main/tools/batch-26/agriculture-hatching-egg-trays.jpg" TargetMode="External"/><Relationship Id="rId1438" Type="http://schemas.openxmlformats.org/officeDocument/2006/relationships/hyperlink" Target="https://cdn.jsdelivr.net/gh/EngineerX1234/vocational-images@main/tools/batch-26/agriculture-incubator.jpg" TargetMode="External"/><Relationship Id="rId1439" Type="http://schemas.openxmlformats.org/officeDocument/2006/relationships/hyperlink" Target="https://cdn.jsdelivr.net/gh/EngineerX1234/vocational-images@main/tools/batch-03/agriculture-laying-boxes.jpg" TargetMode="External"/><Relationship Id="rId1440" Type="http://schemas.openxmlformats.org/officeDocument/2006/relationships/hyperlink" Target="https://cdn.jsdelivr.net/gh/EngineerX1234/vocational-images@main/tools/batch-03/agriculture-linear-feeder.jpg" TargetMode="External"/><Relationship Id="rId1441" Type="http://schemas.openxmlformats.org/officeDocument/2006/relationships/hyperlink" Target="https://cdn.jsdelivr.net/gh/EngineerX1234/vocational-images@main/tools/batch-03/agriculture-linear-waterer-channel-type-waterer.jpg" TargetMode="External"/><Relationship Id="rId1442" Type="http://schemas.openxmlformats.org/officeDocument/2006/relationships/hyperlink" Target="https://cdn.jsdelivr.net/gh/EngineerX1234/vocational-images@main/tools/batch-03/agriculture-manual-drinker.jpg" TargetMode="External"/><Relationship Id="rId1443" Type="http://schemas.openxmlformats.org/officeDocument/2006/relationships/hyperlink" Target="https://cdn.jsdelivr.net/gh/EngineerX1234/vocational-images@main/tools/batch-03/agriculture-nest-boxes.jpg" TargetMode="External"/><Relationship Id="rId1444" Type="http://schemas.openxmlformats.org/officeDocument/2006/relationships/hyperlink" Target="https://cdn.jsdelivr.net/gh/EngineerX1234/vocational-images@main/tools/batch-03/agriculture-nipple-drinker.jpg" TargetMode="External"/><Relationship Id="rId1445" Type="http://schemas.openxmlformats.org/officeDocument/2006/relationships/hyperlink" Target="https://cdn.jsdelivr.net/gh/EngineerX1234/vocational-images@main/tools/batch-03/agriculture-pan-and-jar-type-waterer.jpg" TargetMode="External"/><Relationship Id="rId1446" Type="http://schemas.openxmlformats.org/officeDocument/2006/relationships/hyperlink" Target="https://cdn.jsdelivr.net/gh/EngineerX1234/vocational-images@main/tools/batch-26/agriculture-reflectors-hovers.jpg" TargetMode="External"/><Relationship Id="rId1447" Type="http://schemas.openxmlformats.org/officeDocument/2006/relationships/hyperlink" Target="https://cdn.jsdelivr.net/gh/EngineerX1234/vocational-images@main/tools/batch-24/agriculture-sprayer.jpg" TargetMode="External"/><Relationship Id="rId1448" Type="http://schemas.openxmlformats.org/officeDocument/2006/relationships/hyperlink" Target="https://cdn.jsdelivr.net/gh/EngineerX1234/vocational-images@main/tools/batch-05/agriculture-water-basins.jpg" TargetMode="External"/><Relationship Id="rId1449" Type="http://schemas.openxmlformats.org/officeDocument/2006/relationships/hyperlink" Target="https://cdn.jsdelivr.net/gh/EngineerX1234/vocational-images@main/tools/batch-05/agriculture-weighing-balances.jpg" TargetMode="External"/><Relationship Id="rId1450" Type="http://schemas.openxmlformats.org/officeDocument/2006/relationships/hyperlink" Target="https://cdn.jsdelivr.net/gh/EngineerX1234/vocational-images@main/tools/batch-02/agriculture-egg-packing-machine.jpg" TargetMode="External"/><Relationship Id="rId1451" Type="http://schemas.openxmlformats.org/officeDocument/2006/relationships/hyperlink" Target="https://cdn.jsdelivr.net/gh/EngineerX1234/vocational-images@main/tools/batch-05/agriculture-tool-kit.jpg" TargetMode="External"/><Relationship Id="rId1452" Type="http://schemas.openxmlformats.org/officeDocument/2006/relationships/hyperlink" Target="https://cdn.jsdelivr.net/gh/EngineerX1234/vocational-images@main/tools/batch-23/agriculture-electrician-knife.jpg" TargetMode="External"/><Relationship Id="rId1453" Type="http://schemas.openxmlformats.org/officeDocument/2006/relationships/hyperlink" Target="https://cdn.jsdelivr.net/gh/EngineerX1234/vocational-images@main/tools/batch-05/agriculture-water-leveller.jpg" TargetMode="External"/><Relationship Id="rId1454" Type="http://schemas.openxmlformats.org/officeDocument/2006/relationships/hyperlink" Target="https://cdn.jsdelivr.net/gh/EngineerX1234/vocational-images@main/tools/batch-26/agriculture-pvc-mallet.jpg" TargetMode="External"/><Relationship Id="rId1455" Type="http://schemas.openxmlformats.org/officeDocument/2006/relationships/hyperlink" Target="https://cdn.jsdelivr.net/gh/EngineerX1234/vocational-images@main/tools/batch-23/agriculture-fuse-puller.jpg" TargetMode="External"/><Relationship Id="rId1456" Type="http://schemas.openxmlformats.org/officeDocument/2006/relationships/hyperlink" Target="https://cdn.jsdelivr.net/gh/EngineerX1234/vocational-images@main/tools/batch-05/agriculture-torque-wrench.jpg" TargetMode="External"/><Relationship Id="rId1457" Type="http://schemas.openxmlformats.org/officeDocument/2006/relationships/hyperlink" Target="https://cdn.jsdelivr.net/gh/EngineerX1234/vocational-images@main/tools/batch-01/agriculture-compass.jpg" TargetMode="External"/><Relationship Id="rId1458" Type="http://schemas.openxmlformats.org/officeDocument/2006/relationships/hyperlink" Target="https://cdn.jsdelivr.net/gh/EngineerX1234/vocational-images@main/tools/batch-24/agriculture-spirit-level-water-level.jpg" TargetMode="External"/><Relationship Id="rId1459" Type="http://schemas.openxmlformats.org/officeDocument/2006/relationships/hyperlink" Target="https://cdn.jsdelivr.net/gh/EngineerX1234/vocational-images@main/tools/batch-01/agriculture-double-ended-flat-and-ring-spanner.jpg" TargetMode="External"/><Relationship Id="rId1460" Type="http://schemas.openxmlformats.org/officeDocument/2006/relationships/hyperlink" Target="https://cdn.jsdelivr.net/gh/EngineerX1234/vocational-images@main/tools/batch-01/agriculture-combination-plier.jpg" TargetMode="External"/><Relationship Id="rId1461" Type="http://schemas.openxmlformats.org/officeDocument/2006/relationships/hyperlink" Target="https://cdn.jsdelivr.net/gh/EngineerX1234/vocational-images@main/tools/batch-24/agriculture-side-cutting-plier.jpg" TargetMode="External"/><Relationship Id="rId1462" Type="http://schemas.openxmlformats.org/officeDocument/2006/relationships/hyperlink" Target="https://cdn.jsdelivr.net/gh/EngineerX1234/vocational-images@main/tools/batch-03/agriculture-nose-pliers.jpg" TargetMode="External"/><Relationship Id="rId1463" Type="http://schemas.openxmlformats.org/officeDocument/2006/relationships/hyperlink" Target="https://cdn.jsdelivr.net/gh/EngineerX1234/vocational-images@main/tools/batch-05/agriculture-wire-stripper.jpg" TargetMode="External"/><Relationship Id="rId1464" Type="http://schemas.openxmlformats.org/officeDocument/2006/relationships/hyperlink" Target="https://cdn.jsdelivr.net/gh/EngineerX1234/vocational-images@main/tools/batch-23/agriculture-hacksaw-frame-with-blade.jpg" TargetMode="External"/><Relationship Id="rId1465" Type="http://schemas.openxmlformats.org/officeDocument/2006/relationships/hyperlink" Target="https://cdn.jsdelivr.net/gh/EngineerX1234/vocational-images@main/tools/batch-24/agriculture-screw-driver.jpg" TargetMode="External"/><Relationship Id="rId1466" Type="http://schemas.openxmlformats.org/officeDocument/2006/relationships/hyperlink" Target="https://cdn.jsdelivr.net/gh/EngineerX1234/vocational-images@main/tools/batch-05/agriculture-torque-wrench.jpg" TargetMode="External"/><Relationship Id="rId1467" Type="http://schemas.openxmlformats.org/officeDocument/2006/relationships/hyperlink" Target="https://cdn.jsdelivr.net/gh/EngineerX1234/vocational-images@main/tools/batch-05/agriculture-wire-stripper.jpg" TargetMode="External"/><Relationship Id="rId1468" Type="http://schemas.openxmlformats.org/officeDocument/2006/relationships/hyperlink" Target="https://cdn.jsdelivr.net/gh/EngineerX1234/vocational-images@main/tools/batch-03/agriculture-measuring-tape.jpg" TargetMode="External"/><Relationship Id="rId1469" Type="http://schemas.openxmlformats.org/officeDocument/2006/relationships/hyperlink" Target="https://cdn.jsdelivr.net/gh/EngineerX1234/vocational-images@main/tools/batch-03/agriculture-line-dori.jpg" TargetMode="External"/><Relationship Id="rId1470" Type="http://schemas.openxmlformats.org/officeDocument/2006/relationships/hyperlink" Target="https://cdn.jsdelivr.net/gh/EngineerX1234/vocational-images@main/tools/batch-03/agriculture-plumb-bob.jpg" TargetMode="External"/><Relationship Id="rId1471" Type="http://schemas.openxmlformats.org/officeDocument/2006/relationships/hyperlink" Target="https://cdn.jsdelivr.net/gh/EngineerX1234/vocational-images@main/tools/batch-05/agriculture-vernier-caliper.jpg" TargetMode="External"/><Relationship Id="rId1472" Type="http://schemas.openxmlformats.org/officeDocument/2006/relationships/hyperlink" Target="https://cdn.jsdelivr.net/gh/EngineerX1234/vocational-images@main/tools/batch-01/agriculture-allen-key-set.jpg" TargetMode="External"/><Relationship Id="rId1473" Type="http://schemas.openxmlformats.org/officeDocument/2006/relationships/hyperlink" Target="https://cdn.jsdelivr.net/gh/EngineerX1234/vocational-images@main/tools/batch-03/agriculture-measuring-tape.jpg" TargetMode="External"/><Relationship Id="rId1474" Type="http://schemas.openxmlformats.org/officeDocument/2006/relationships/hyperlink" Target="https://cdn.jsdelivr.net/gh/EngineerX1234/vocational-images@main/tools/batch-01/agriculture-centre-punch.jpg" TargetMode="External"/><Relationship Id="rId1475" Type="http://schemas.openxmlformats.org/officeDocument/2006/relationships/hyperlink" Target="https://cdn.jsdelivr.net/gh/EngineerX1234/vocational-images@main/tools/batch-24/agriculture-standard-wire-gauge.jpg" TargetMode="External"/><Relationship Id="rId1476" Type="http://schemas.openxmlformats.org/officeDocument/2006/relationships/hyperlink" Target="https://cdn.jsdelivr.net/gh/EngineerX1234/vocational-images@main/tools/batch-01/agriculture-cable-cutter.jpg" TargetMode="External"/><Relationship Id="rId1477" Type="http://schemas.openxmlformats.org/officeDocument/2006/relationships/hyperlink" Target="https://cdn.jsdelivr.net/gh/EngineerX1234/vocational-images@main/tools/batch-24/agriculture-screw-driver-set.jpg" TargetMode="External"/><Relationship Id="rId1478" Type="http://schemas.openxmlformats.org/officeDocument/2006/relationships/hyperlink" Target="https://cdn.jsdelivr.net/gh/EngineerX1234/vocational-images@main/tools/batch-05/agriculture-wire-stripper.jpg" TargetMode="External"/><Relationship Id="rId1479" Type="http://schemas.openxmlformats.org/officeDocument/2006/relationships/hyperlink" Target="https://cdn.jsdelivr.net/gh/EngineerX1234/vocational-images@main/tools/batch-01/agriculture-a-complete-unit-of-solar-photovoltaic-system.jpg" TargetMode="External"/><Relationship Id="rId1480" Type="http://schemas.openxmlformats.org/officeDocument/2006/relationships/hyperlink" Target="https://cdn.jsdelivr.net/gh/EngineerX1234/vocational-images@main/tools/batch-24/agriculture-solar-power-meter-pyranometer.jpg" TargetMode="External"/><Relationship Id="rId1481" Type="http://schemas.openxmlformats.org/officeDocument/2006/relationships/hyperlink" Target="https://cdn.jsdelivr.net/gh/EngineerX1234/vocational-images@main/tools/batch-24/agriculture-solar-photovoltaic-inverter.jpg" TargetMode="External"/><Relationship Id="rId1482" Type="http://schemas.openxmlformats.org/officeDocument/2006/relationships/hyperlink" Target="https://cdn.jsdelivr.net/gh/EngineerX1234/vocational-images@main/tools/batch-01/agriculture-battery.jpg" TargetMode="External"/><Relationship Id="rId1483" Type="http://schemas.openxmlformats.org/officeDocument/2006/relationships/hyperlink" Target="https://cdn.jsdelivr.net/gh/EngineerX1234/vocational-images@main/tools/batch-05/agriculture-tong-tester-ac-dc.jpg" TargetMode="External"/><Relationship Id="rId1484" Type="http://schemas.openxmlformats.org/officeDocument/2006/relationships/hyperlink" Target="https://cdn.jsdelivr.net/gh/EngineerX1234/vocational-images@main/tools/batch-03/agriculture-multi-meter.jpg" TargetMode="External"/><Relationship Id="rId1485" Type="http://schemas.openxmlformats.org/officeDocument/2006/relationships/hyperlink" Target="https://cdn.jsdelivr.net/gh/EngineerX1234/vocational-images@main/tools/batch-05/agriculture-water-testing-instrument-tds-meter.jpg" TargetMode="External"/><Relationship Id="rId1486" Type="http://schemas.openxmlformats.org/officeDocument/2006/relationships/hyperlink" Target="https://cdn.jsdelivr.net/gh/EngineerX1234/vocational-images@main/tools/batch-24/agriculture-soldering-iron.jpg" TargetMode="External"/><Relationship Id="rId1487" Type="http://schemas.openxmlformats.org/officeDocument/2006/relationships/hyperlink" Target="https://cdn.jsdelivr.net/gh/EngineerX1234/vocational-images@main/tools/batch-03/agriculture-phase-sequence-meter.jpg" TargetMode="External"/><Relationship Id="rId1488" Type="http://schemas.openxmlformats.org/officeDocument/2006/relationships/hyperlink" Target="https://cdn.jsdelivr.net/gh/EngineerX1234/vocational-images@main/tools/batch-26/agriculture-inclinometer.jpg" TargetMode="External"/><Relationship Id="rId1489" Type="http://schemas.openxmlformats.org/officeDocument/2006/relationships/hyperlink" Target="https://cdn.jsdelivr.net/gh/EngineerX1234/vocational-images@main/tools/batch-01/agriculture-clamp-meter.jpg" TargetMode="External"/><Relationship Id="rId1490" Type="http://schemas.openxmlformats.org/officeDocument/2006/relationships/hyperlink" Target="https://cdn.jsdelivr.net/gh/EngineerX1234/vocational-images@main/tools/batch-02/agriculture-earth-tester.jpg" TargetMode="External"/><Relationship Id="rId1491" Type="http://schemas.openxmlformats.org/officeDocument/2006/relationships/hyperlink" Target="https://cdn.jsdelivr.net/gh/EngineerX1234/vocational-images@main/tools/batch-01/agriculture-drill-machine.jpg" TargetMode="External"/><Relationship Id="rId1492" Type="http://schemas.openxmlformats.org/officeDocument/2006/relationships/hyperlink" Target="https://cdn.jsdelivr.net/gh/EngineerX1234/vocational-images@main/tools/batch-01/agriculture-drill-machine.jpg" TargetMode="External"/><Relationship Id="rId1493" Type="http://schemas.openxmlformats.org/officeDocument/2006/relationships/hyperlink" Target="https://cdn.jsdelivr.net/gh/EngineerX1234/vocational-images@main/tools/batch-01/agriculture-charge-controller.jpg" TargetMode="External"/><Relationship Id="rId1494" Type="http://schemas.openxmlformats.org/officeDocument/2006/relationships/hyperlink" Target="https://cdn.jsdelivr.net/gh/EngineerX1234/vocational-images@main/tools/batch-03/agriculture-load-ac-dc.jpg" TargetMode="External"/><Relationship Id="rId1495" Type="http://schemas.openxmlformats.org/officeDocument/2006/relationships/hyperlink" Target="https://cdn.jsdelivr.net/gh/EngineerX1234/vocational-images@main/tools/batch-24/agriculture-solar-conversion-kits.jpg" TargetMode="External"/><Relationship Id="rId1496" Type="http://schemas.openxmlformats.org/officeDocument/2006/relationships/hyperlink" Target="https://cdn.jsdelivr.net/gh/EngineerX1234/vocational-images@main/tools/batch-24/agriculture-solar-panels.jpg" TargetMode="External"/><Relationship Id="rId1497" Type="http://schemas.openxmlformats.org/officeDocument/2006/relationships/hyperlink" Target="https://cdn.jsdelivr.net/gh/EngineerX1234/vocational-images@main/tools/batch-24/agriculture-soldering-iron.jpg" TargetMode="External"/><Relationship Id="rId1498" Type="http://schemas.openxmlformats.org/officeDocument/2006/relationships/hyperlink" Target="https://cdn.jsdelivr.net/gh/EngineerX1234/vocational-images@main/tools/batch-24/agriculture-solar-home-lighting-system.jpg" TargetMode="External"/><Relationship Id="rId1499" Type="http://schemas.openxmlformats.org/officeDocument/2006/relationships/hyperlink" Target="https://cdn.jsdelivr.net/gh/EngineerX1234/vocational-images@main/tools/batch-24/agriculture-solar-lantern.jpg" TargetMode="External"/><Relationship Id="rId1500" Type="http://schemas.openxmlformats.org/officeDocument/2006/relationships/hyperlink" Target="https://cdn.jsdelivr.net/gh/EngineerX1234/vocational-images@main/tools/batch-24/agriculture-solar-torch.jpg" TargetMode="External"/><Relationship Id="rId1501" Type="http://schemas.openxmlformats.org/officeDocument/2006/relationships/hyperlink" Target="https://cdn.jsdelivr.net/gh/EngineerX1234/vocational-images@main/tools/batch-24/agriculture-solar-water-heater.jpg" TargetMode="External"/><Relationship Id="rId1502" Type="http://schemas.openxmlformats.org/officeDocument/2006/relationships/hyperlink" Target="https://cdn.jsdelivr.net/gh/EngineerX1234/vocational-images@main/tools/batch-24/agriculture-solar-cooker.jpg" TargetMode="External"/><Relationship Id="rId1503" Type="http://schemas.openxmlformats.org/officeDocument/2006/relationships/hyperlink" Target="https://cdn.jsdelivr.net/gh/EngineerX1234/vocational-images@main/tools/batch-24/agriculture-solar-power-bank.jpg" TargetMode="External"/><Relationship Id="rId1504" Type="http://schemas.openxmlformats.org/officeDocument/2006/relationships/hyperlink" Target="https://cdn.jsdelivr.net/gh/EngineerX1234/vocational-images@main/tools/batch-24/agriculture-solar-street-light.jpg" TargetMode="External"/><Relationship Id="rId1505" Type="http://schemas.openxmlformats.org/officeDocument/2006/relationships/hyperlink" Target="https://cdn.jsdelivr.net/gh/EngineerX1234/vocational-images@main/tools/batch-24/agriculture-solar-charging-station.jpg" TargetMode="External"/><Relationship Id="rId1506" Type="http://schemas.openxmlformats.org/officeDocument/2006/relationships/hyperlink" Target="https://cdn.jsdelivr.net/gh/EngineerX1234/vocational-images@main/tools/batch-01/agriculture-cleaning-equipment.jpg" TargetMode="External"/><Relationship Id="rId1507" Type="http://schemas.openxmlformats.org/officeDocument/2006/relationships/hyperlink" Target="https://cdn.jsdelivr.net/gh/EngineerX1234/vocational-images@main/tools/batch-24/agriculture-solar-water-pump.jpg" TargetMode="External"/><Relationship Id="rId1508" Type="http://schemas.openxmlformats.org/officeDocument/2006/relationships/hyperlink" Target="https://cdn.jsdelivr.net/gh/EngineerX1234/vocational-images@main/tools/batch-24/agriculture-solar-e-rickshaw.jpg" TargetMode="External"/><Relationship Id="rId1509" Type="http://schemas.openxmlformats.org/officeDocument/2006/relationships/hyperlink" Target="https://cdn.jsdelivr.net/gh/EngineerX1234/vocational-images@main/tools/batch-21/tourism-and-hospitality-lcd-projector.jpg" TargetMode="External"/><Relationship Id="rId1510" Type="http://schemas.openxmlformats.org/officeDocument/2006/relationships/hyperlink" Target="https://cdn.jsdelivr.net/gh/EngineerX1234/vocational-images@main/tools/batch-26/apparel-drawing-board-any-size-wooden.jpg" TargetMode="External"/><Relationship Id="rId1511" Type="http://schemas.openxmlformats.org/officeDocument/2006/relationships/hyperlink" Target="https://cdn.jsdelivr.net/gh/EngineerX1234/vocational-images@main/tools/batch-06/apparel-attachments-for-sewing-machine.jpg" TargetMode="External"/><Relationship Id="rId1512" Type="http://schemas.openxmlformats.org/officeDocument/2006/relationships/hyperlink" Target="https://cdn.jsdelivr.net/gh/EngineerX1234/vocational-images@main/tools/batch-06/apparel-button-hole-scissor.jpg" TargetMode="External"/><Relationship Id="rId1513" Type="http://schemas.openxmlformats.org/officeDocument/2006/relationships/hyperlink" Target="https://cdn.jsdelivr.net/gh/EngineerX1234/vocational-images@main/tools/batch-25/apparel-hand-notcher-pattern-notcher.jpg" TargetMode="External"/><Relationship Id="rId1514" Type="http://schemas.openxmlformats.org/officeDocument/2006/relationships/hyperlink" Target="https://cdn.jsdelivr.net/gh/EngineerX1234/vocational-images@main/tools/batch-25/apparel-hanger.jpg" TargetMode="External"/><Relationship Id="rId1515" Type="http://schemas.openxmlformats.org/officeDocument/2006/relationships/hyperlink" Target="https://cdn.jsdelivr.net/gh/EngineerX1234/vocational-images@main/tools/batch-25/apparel-paper-cutter.jpg" TargetMode="External"/><Relationship Id="rId1516" Type="http://schemas.openxmlformats.org/officeDocument/2006/relationships/hyperlink" Target="https://cdn.jsdelivr.net/gh/EngineerX1234/vocational-images@main/tools/batch-25/apparel-stapler-small-and-big-size.jpg" TargetMode="External"/><Relationship Id="rId1517" Type="http://schemas.openxmlformats.org/officeDocument/2006/relationships/hyperlink" Target="https://cdn.jsdelivr.net/gh/EngineerX1234/vocational-images@main/tools/batch-25/apparel-punching-machine.jpg" TargetMode="External"/><Relationship Id="rId1518" Type="http://schemas.openxmlformats.org/officeDocument/2006/relationships/hyperlink" Target="https://cdn.jsdelivr.net/gh/EngineerX1234/vocational-images@main/tools/batch-17/it-ites-printer.jpg" TargetMode="External"/><Relationship Id="rId1519" Type="http://schemas.openxmlformats.org/officeDocument/2006/relationships/hyperlink" Target="https://cdn.jsdelivr.net/gh/EngineerX1234/vocational-images@main/tools/batch-06/apparel-bobbin.jpg" TargetMode="External"/><Relationship Id="rId1520" Type="http://schemas.openxmlformats.org/officeDocument/2006/relationships/hyperlink" Target="https://cdn.jsdelivr.net/gh/EngineerX1234/vocational-images@main/tools/batch-06/apparel-bobbin-case.jpg" TargetMode="External"/><Relationship Id="rId1521" Type="http://schemas.openxmlformats.org/officeDocument/2006/relationships/hyperlink" Target="https://cdn.jsdelivr.net/gh/EngineerX1234/vocational-images@main/tools/batch-26/apparel-embroidery-snips.jpg" TargetMode="External"/><Relationship Id="rId1522" Type="http://schemas.openxmlformats.org/officeDocument/2006/relationships/hyperlink" Target="https://cdn.jsdelivr.net/gh/EngineerX1234/vocational-images@main/tools/batch-26/apparel-cone-thread-holder.jpg" TargetMode="External"/><Relationship Id="rId1523" Type="http://schemas.openxmlformats.org/officeDocument/2006/relationships/hyperlink" Target="https://cdn.jsdelivr.net/gh/EngineerX1234/vocational-images@main/tools/batch-26/apparel-embroidery-hoop.jpg" TargetMode="External"/><Relationship Id="rId1524" Type="http://schemas.openxmlformats.org/officeDocument/2006/relationships/hyperlink" Target="https://cdn.jsdelivr.net/gh/EngineerX1234/vocational-images@main/tools/batch-25/apparel-pinking-shears.jpg" TargetMode="External"/><Relationship Id="rId1525" Type="http://schemas.openxmlformats.org/officeDocument/2006/relationships/hyperlink" Target="https://cdn.jsdelivr.net/gh/EngineerX1234/vocational-images@main/tools/batch-26/apparel-embroidery-scissors.jpg" TargetMode="External"/><Relationship Id="rId1526" Type="http://schemas.openxmlformats.org/officeDocument/2006/relationships/hyperlink" Target="https://cdn.jsdelivr.net/gh/EngineerX1234/vocational-images@main/tools/batch-25/apparel-scissors.jpg" TargetMode="External"/><Relationship Id="rId1527" Type="http://schemas.openxmlformats.org/officeDocument/2006/relationships/hyperlink" Target="https://cdn.jsdelivr.net/gh/EngineerX1234/vocational-images@main/tools/batch-25/apparel-seam-ripper.jpg" TargetMode="External"/><Relationship Id="rId1528" Type="http://schemas.openxmlformats.org/officeDocument/2006/relationships/hyperlink" Target="https://cdn.jsdelivr.net/gh/EngineerX1234/vocational-images@main/tools/batch-25/apparel-pinking-shears.jpg" TargetMode="External"/><Relationship Id="rId1529" Type="http://schemas.openxmlformats.org/officeDocument/2006/relationships/hyperlink" Target="https://cdn.jsdelivr.net/gh/EngineerX1234/vocational-images@main/tools/batch-15/handicrafts-and-carpet-meter-stick-yardstick.jpg" TargetMode="External"/><Relationship Id="rId1530" Type="http://schemas.openxmlformats.org/officeDocument/2006/relationships/hyperlink" Target="https://cdn.jsdelivr.net/gh/EngineerX1234/vocational-images@main/tools/batch-08/automotive-tool-kit.jpg" TargetMode="External"/><Relationship Id="rId1531" Type="http://schemas.openxmlformats.org/officeDocument/2006/relationships/hyperlink" Target="https://cdn.jsdelivr.net/gh/EngineerX1234/vocational-images@main/tools/batch-25/apparel-tailor-s-awl.jpg" TargetMode="External"/><Relationship Id="rId1532" Type="http://schemas.openxmlformats.org/officeDocument/2006/relationships/hyperlink" Target="https://cdn.jsdelivr.net/gh/EngineerX1234/vocational-images@main/tools/batch-25/apparel-steam-iron.jpg" TargetMode="External"/><Relationship Id="rId1533" Type="http://schemas.openxmlformats.org/officeDocument/2006/relationships/hyperlink" Target="https://cdn.jsdelivr.net/gh/EngineerX1234/vocational-images@main/tools/batch-25/apparel-ironing-board.jpg" TargetMode="External"/><Relationship Id="rId1534" Type="http://schemas.openxmlformats.org/officeDocument/2006/relationships/hyperlink" Target="https://cdn.jsdelivr.net/gh/EngineerX1234/vocational-images@main/tools/batch-25/apparel-needles.jpg" TargetMode="External"/><Relationship Id="rId1535" Type="http://schemas.openxmlformats.org/officeDocument/2006/relationships/hyperlink" Target="https://cdn.jsdelivr.net/gh/EngineerX1234/vocational-images@main/tools/batch-11/electronics-rulers.jpg" TargetMode="External"/><Relationship Id="rId1536" Type="http://schemas.openxmlformats.org/officeDocument/2006/relationships/hyperlink" Target="https://cdn.jsdelivr.net/gh/EngineerX1234/vocational-images@main/tools/batch-25/apparel-measuring-tape.jpg" TargetMode="External"/><Relationship Id="rId1537" Type="http://schemas.openxmlformats.org/officeDocument/2006/relationships/hyperlink" Target="https://cdn.jsdelivr.net/gh/EngineerX1234/vocational-images@main/tools/batch-24/apparel-calculator.jpg" TargetMode="External"/><Relationship Id="rId1538" Type="http://schemas.openxmlformats.org/officeDocument/2006/relationships/hyperlink" Target="https://cdn.jsdelivr.net/gh/EngineerX1234/vocational-images@main/tools/batch-18/media-and-entertainment-computer.jpg" TargetMode="External"/><Relationship Id="rId1539" Type="http://schemas.openxmlformats.org/officeDocument/2006/relationships/hyperlink" Target="https://cdn.jsdelivr.net/gh/EngineerX1234/vocational-images@main/tools/batch-17/it-ites-printer.jpg" TargetMode="External"/><Relationship Id="rId1540" Type="http://schemas.openxmlformats.org/officeDocument/2006/relationships/hyperlink" Target="https://cdn.jsdelivr.net/gh/EngineerX1234/vocational-images@main/tools/batch-11/electronics-projector.jpg" TargetMode="External"/><Relationship Id="rId1541" Type="http://schemas.openxmlformats.org/officeDocument/2006/relationships/hyperlink" Target="https://cdn.jsdelivr.net/gh/EngineerX1234/vocational-images@main/tools/batch-25/apparel-pin-cushions.jpg" TargetMode="External"/><Relationship Id="rId1542" Type="http://schemas.openxmlformats.org/officeDocument/2006/relationships/hyperlink" Target="https://cdn.jsdelivr.net/gh/EngineerX1234/vocational-images@main/tools/batch-25/apparel-measuring-tape.jpg" TargetMode="External"/><Relationship Id="rId1543" Type="http://schemas.openxmlformats.org/officeDocument/2006/relationships/hyperlink" Target="https://cdn.jsdelivr.net/gh/EngineerX1234/vocational-images@main/tools/batch-25/apparel-tracing-wheel.jpg" TargetMode="External"/><Relationship Id="rId1544" Type="http://schemas.openxmlformats.org/officeDocument/2006/relationships/hyperlink" Target="https://cdn.jsdelivr.net/gh/EngineerX1234/vocational-images@main/tools/batch-25/apparel-scissors.jpg" TargetMode="External"/><Relationship Id="rId1545" Type="http://schemas.openxmlformats.org/officeDocument/2006/relationships/hyperlink" Target="https://cdn.jsdelivr.net/gh/EngineerX1234/vocational-images@main/tools/batch-25/apparel-shears.jpg" TargetMode="External"/><Relationship Id="rId1546" Type="http://schemas.openxmlformats.org/officeDocument/2006/relationships/hyperlink" Target="https://cdn.jsdelivr.net/gh/EngineerX1234/vocational-images@main/tools/batch-25/apparel-thread-clipper.jpg" TargetMode="External"/><Relationship Id="rId1547" Type="http://schemas.openxmlformats.org/officeDocument/2006/relationships/hyperlink" Target="https://cdn.jsdelivr.net/gh/EngineerX1234/vocational-images@main/tools/batch-25/apparel-yardstick-meter-stick.jpg" TargetMode="External"/><Relationship Id="rId1548" Type="http://schemas.openxmlformats.org/officeDocument/2006/relationships/hyperlink" Target="https://cdn.jsdelivr.net/gh/EngineerX1234/vocational-images@main/tools/batch-25/apparel-machine-tool-kit.jpg" TargetMode="External"/><Relationship Id="rId1549" Type="http://schemas.openxmlformats.org/officeDocument/2006/relationships/hyperlink" Target="https://cdn.jsdelivr.net/gh/EngineerX1234/vocational-images@main/tools/batch-25/apparel-thread-sucking-machine.jpg" TargetMode="External"/><Relationship Id="rId1550" Type="http://schemas.openxmlformats.org/officeDocument/2006/relationships/hyperlink" Target="https://cdn.jsdelivr.net/gh/EngineerX1234/vocational-images@main/tools/batch-26/apparel-gsm-cutter.jpg" TargetMode="External"/><Relationship Id="rId1551" Type="http://schemas.openxmlformats.org/officeDocument/2006/relationships/hyperlink" Target="https://cdn.jsdelivr.net/gh/EngineerX1234/vocational-images@main/tools/batch-25/apparel-weighing-machine.jpg" TargetMode="External"/><Relationship Id="rId1552" Type="http://schemas.openxmlformats.org/officeDocument/2006/relationships/hyperlink" Target="https://cdn.jsdelivr.net/gh/EngineerX1234/vocational-images@main/tools/batch-25/apparel-spotting-gun.jpg" TargetMode="External"/><Relationship Id="rId1553" Type="http://schemas.openxmlformats.org/officeDocument/2006/relationships/hyperlink" Target="https://cdn.jsdelivr.net/gh/EngineerX1234/vocational-images@main/tools/batch-25/apparel-needle-detector.jpg" TargetMode="External"/><Relationship Id="rId1554" Type="http://schemas.openxmlformats.org/officeDocument/2006/relationships/hyperlink" Target="https://cdn.jsdelivr.net/gh/EngineerX1234/vocational-images@main/tools/batch-26/apparel-fabric-checking-machine.jpg" TargetMode="External"/><Relationship Id="rId1555" Type="http://schemas.openxmlformats.org/officeDocument/2006/relationships/hyperlink" Target="https://cdn.jsdelivr.net/gh/EngineerX1234/vocational-images@main/tools/batch-25/apparel-mops.jpg" TargetMode="External"/><Relationship Id="rId1556" Type="http://schemas.openxmlformats.org/officeDocument/2006/relationships/hyperlink" Target="https://cdn.jsdelivr.net/gh/EngineerX1234/vocational-images@main/tools/batch-25/apparel-paper-scissors.jpg" TargetMode="External"/><Relationship Id="rId1557" Type="http://schemas.openxmlformats.org/officeDocument/2006/relationships/hyperlink" Target="https://cdn.jsdelivr.net/gh/EngineerX1234/vocational-images@main/tools/batch-25/apparel-rotary-cutter.jpg" TargetMode="External"/><Relationship Id="rId1558" Type="http://schemas.openxmlformats.org/officeDocument/2006/relationships/hyperlink" Target="https://cdn.jsdelivr.net/gh/EngineerX1234/vocational-images@main/tools/batch-25/apparel-seam-ripper.jpg" TargetMode="External"/><Relationship Id="rId1559" Type="http://schemas.openxmlformats.org/officeDocument/2006/relationships/hyperlink" Target="https://cdn.jsdelivr.net/gh/EngineerX1234/vocational-images@main/tools/batch-25/apparel-pinking-shears.jpg" TargetMode="External"/><Relationship Id="rId1560" Type="http://schemas.openxmlformats.org/officeDocument/2006/relationships/hyperlink" Target="https://cdn.jsdelivr.net/gh/EngineerX1234/vocational-images@main/tools/batch-15/handicrafts-and-carpet-meter-stick-yardstick.jpg" TargetMode="External"/><Relationship Id="rId1561" Type="http://schemas.openxmlformats.org/officeDocument/2006/relationships/hyperlink" Target="https://cdn.jsdelivr.net/gh/EngineerX1234/vocational-images@main/tools/batch-25/apparel-l-square.jpg" TargetMode="External"/><Relationship Id="rId1562" Type="http://schemas.openxmlformats.org/officeDocument/2006/relationships/hyperlink" Target="https://cdn.jsdelivr.net/gh/EngineerX1234/vocational-images@main/tools/batch-26/apparel-cleaning-brush.jpg" TargetMode="External"/><Relationship Id="rId1563" Type="http://schemas.openxmlformats.org/officeDocument/2006/relationships/hyperlink" Target="https://cdn.jsdelivr.net/gh/EngineerX1234/vocational-images@main/tools/batch-25/apparel-measuring-tape.jpg" TargetMode="External"/><Relationship Id="rId1564" Type="http://schemas.openxmlformats.org/officeDocument/2006/relationships/hyperlink" Target="https://cdn.jsdelivr.net/gh/EngineerX1234/vocational-images@main/tools/batch-18/management-and-entrepreneurship-stapler.jpg" TargetMode="External"/><Relationship Id="rId1565" Type="http://schemas.openxmlformats.org/officeDocument/2006/relationships/hyperlink" Target="https://cdn.jsdelivr.net/gh/EngineerX1234/vocational-images@main/tools/batch-25/apparel-paper-cutter.jpg" TargetMode="External"/><Relationship Id="rId1566" Type="http://schemas.openxmlformats.org/officeDocument/2006/relationships/hyperlink" Target="https://cdn.jsdelivr.net/gh/EngineerX1234/vocational-images@main/tools/batch-25/apparel-vacuum-cleaner.jpg" TargetMode="External"/><Relationship Id="rId1567" Type="http://schemas.openxmlformats.org/officeDocument/2006/relationships/hyperlink" Target="https://cdn.jsdelivr.net/gh/EngineerX1234/vocational-images@main/tools/batch-26/apparel-cleaning-robots.jpg" TargetMode="External"/><Relationship Id="rId1568" Type="http://schemas.openxmlformats.org/officeDocument/2006/relationships/hyperlink" Target="https://cdn.jsdelivr.net/gh/EngineerX1234/vocational-images@main/tools/batch-06/apparel-air-purifiers.jpg" TargetMode="External"/><Relationship Id="rId1569" Type="http://schemas.openxmlformats.org/officeDocument/2006/relationships/hyperlink" Target="https://cdn.jsdelivr.net/gh/EngineerX1234/vocational-images@main/tools/batch-25/apparel-tagging-machine.jpg" TargetMode="External"/><Relationship Id="rId1570" Type="http://schemas.openxmlformats.org/officeDocument/2006/relationships/hyperlink" Target="https://cdn.jsdelivr.net/gh/EngineerX1234/vocational-images@main/tools/batch-24/apparel-calculator.jpg" TargetMode="External"/><Relationship Id="rId1571" Type="http://schemas.openxmlformats.org/officeDocument/2006/relationships/hyperlink" Target="https://cdn.jsdelivr.net/gh/EngineerX1234/vocational-images@main/tools/batch-26/apparel-fork-lifts.jpg" TargetMode="External"/><Relationship Id="rId1572" Type="http://schemas.openxmlformats.org/officeDocument/2006/relationships/hyperlink" Target="https://cdn.jsdelivr.net/gh/EngineerX1234/vocational-images@main/tools/batch-25/apparel-reach-trucks.jpg" TargetMode="External"/><Relationship Id="rId1573" Type="http://schemas.openxmlformats.org/officeDocument/2006/relationships/hyperlink" Target="https://cdn.jsdelivr.net/gh/EngineerX1234/vocational-images@main/tools/batch-15/handicrafts-and-carpet-security-cameras.jpg" TargetMode="External"/><Relationship Id="rId1574" Type="http://schemas.openxmlformats.org/officeDocument/2006/relationships/hyperlink" Target="https://cdn.jsdelivr.net/gh/EngineerX1234/vocational-images@main/tools/batch-15/handicrafts-and-carpet-lcd-screens.jpg" TargetMode="External"/><Relationship Id="rId1575" Type="http://schemas.openxmlformats.org/officeDocument/2006/relationships/hyperlink" Target="https://cdn.jsdelivr.net/gh/EngineerX1234/vocational-images@main/tools/batch-18/media-and-entertainment-computer.jpg" TargetMode="External"/><Relationship Id="rId1576" Type="http://schemas.openxmlformats.org/officeDocument/2006/relationships/hyperlink" Target="https://cdn.jsdelivr.net/gh/EngineerX1234/vocational-images@main/tools/batch-21/tourism-and-hospitality-lcd-projector.jpg" TargetMode="External"/><Relationship Id="rId1577" Type="http://schemas.openxmlformats.org/officeDocument/2006/relationships/hyperlink" Target="https://cdn.jsdelivr.net/gh/EngineerX1234/vocational-images@main/tools/batch-19/organised-retail-locking-systems.jpg" TargetMode="External"/><Relationship Id="rId1578" Type="http://schemas.openxmlformats.org/officeDocument/2006/relationships/hyperlink" Target="https://cdn.jsdelivr.net/gh/EngineerX1234/vocational-images@main/tools/batch-25/apparel-scissors.jpg" TargetMode="External"/><Relationship Id="rId1579" Type="http://schemas.openxmlformats.org/officeDocument/2006/relationships/hyperlink" Target="https://cdn.jsdelivr.net/gh/EngineerX1234/vocational-images@main/tools/batch-25/apparel-rotary-cutter.jpg" TargetMode="External"/><Relationship Id="rId1580" Type="http://schemas.openxmlformats.org/officeDocument/2006/relationships/hyperlink" Target="https://cdn.jsdelivr.net/gh/EngineerX1234/vocational-images@main/tools/batch-25/apparel-needles.jpg" TargetMode="External"/><Relationship Id="rId1581" Type="http://schemas.openxmlformats.org/officeDocument/2006/relationships/hyperlink" Target="https://cdn.jsdelivr.net/gh/EngineerX1234/vocational-images@main/tools/batch-25/apparel-seam-ripper.jpg" TargetMode="External"/><Relationship Id="rId1582" Type="http://schemas.openxmlformats.org/officeDocument/2006/relationships/hyperlink" Target="https://cdn.jsdelivr.net/gh/EngineerX1234/vocational-images@main/tools/batch-25/apparel-pinking-shears.jpg" TargetMode="External"/><Relationship Id="rId1583" Type="http://schemas.openxmlformats.org/officeDocument/2006/relationships/hyperlink" Target="https://cdn.jsdelivr.net/gh/EngineerX1234/vocational-images@main/tools/batch-25/apparel-sewing-gauge.jpg" TargetMode="External"/><Relationship Id="rId1584" Type="http://schemas.openxmlformats.org/officeDocument/2006/relationships/hyperlink" Target="https://cdn.jsdelivr.net/gh/EngineerX1234/vocational-images@main/tools/batch-25/apparel-hem-gauge.jpg" TargetMode="External"/><Relationship Id="rId1585" Type="http://schemas.openxmlformats.org/officeDocument/2006/relationships/hyperlink" Target="https://cdn.jsdelivr.net/gh/EngineerX1234/vocational-images@main/tools/batch-25/apparel-yardstick-meter-stick.jpg" TargetMode="External"/><Relationship Id="rId1586" Type="http://schemas.openxmlformats.org/officeDocument/2006/relationships/hyperlink" Target="https://cdn.jsdelivr.net/gh/EngineerX1234/vocational-images@main/tools/batch-25/apparel-hip-curve.jpg" TargetMode="External"/><Relationship Id="rId1587" Type="http://schemas.openxmlformats.org/officeDocument/2006/relationships/hyperlink" Target="https://cdn.jsdelivr.net/gh/EngineerX1234/vocational-images@main/tools/batch-25/apparel-l-square.jpg" TargetMode="External"/><Relationship Id="rId1588" Type="http://schemas.openxmlformats.org/officeDocument/2006/relationships/hyperlink" Target="https://cdn.jsdelivr.net/gh/EngineerX1234/vocational-images@main/tools/batch-26/apparel-hand-needle.jpg" TargetMode="External"/><Relationship Id="rId1589" Type="http://schemas.openxmlformats.org/officeDocument/2006/relationships/hyperlink" Target="https://cdn.jsdelivr.net/gh/EngineerX1234/vocational-images@main/tools/batch-25/apparel-punch-needle.jpg" TargetMode="External"/><Relationship Id="rId1590" Type="http://schemas.openxmlformats.org/officeDocument/2006/relationships/hyperlink" Target="https://cdn.jsdelivr.net/gh/EngineerX1234/vocational-images@main/tools/batch-06/apparel-bent-neck-metallic-tweezer.jpg" TargetMode="External"/><Relationship Id="rId1591" Type="http://schemas.openxmlformats.org/officeDocument/2006/relationships/hyperlink" Target="https://cdn.jsdelivr.net/gh/EngineerX1234/vocational-images@main/tools/batch-25/apparel-pick-glass.jpg" TargetMode="External"/><Relationship Id="rId1592" Type="http://schemas.openxmlformats.org/officeDocument/2006/relationships/hyperlink" Target="https://cdn.jsdelivr.net/gh/EngineerX1234/vocational-images@main/tools/batch-25/apparel-needle-threader.jpg" TargetMode="External"/><Relationship Id="rId1593" Type="http://schemas.openxmlformats.org/officeDocument/2006/relationships/hyperlink" Target="https://cdn.jsdelivr.net/gh/EngineerX1234/vocational-images@main/tools/batch-25/apparel-thimble.jpg" TargetMode="External"/><Relationship Id="rId1594" Type="http://schemas.openxmlformats.org/officeDocument/2006/relationships/hyperlink" Target="https://cdn.jsdelivr.net/gh/EngineerX1234/vocational-images@main/tools/batch-25/apparel-iron-and-ironing-board.jpg" TargetMode="External"/><Relationship Id="rId1595" Type="http://schemas.openxmlformats.org/officeDocument/2006/relationships/hyperlink" Target="https://cdn.jsdelivr.net/gh/EngineerX1234/vocational-images@main/tools/batch-25/apparel-sewing-mannequin.jpg" TargetMode="External"/><Relationship Id="rId1596" Type="http://schemas.openxmlformats.org/officeDocument/2006/relationships/hyperlink" Target="https://cdn.jsdelivr.net/gh/EngineerX1234/vocational-images@main/tools/batch-26/apparel-greyscale.jpg" TargetMode="External"/><Relationship Id="rId1597" Type="http://schemas.openxmlformats.org/officeDocument/2006/relationships/hyperlink" Target="https://cdn.jsdelivr.net/gh/EngineerX1234/vocational-images@main/tools/batch-25/apparel-sewing-gauge.jpg" TargetMode="External"/><Relationship Id="rId1598" Type="http://schemas.openxmlformats.org/officeDocument/2006/relationships/hyperlink" Target="https://cdn.jsdelivr.net/gh/EngineerX1234/vocational-images@main/tools/batch-26/apparel-clear-ruler.jpg" TargetMode="External"/><Relationship Id="rId1599" Type="http://schemas.openxmlformats.org/officeDocument/2006/relationships/hyperlink" Target="https://cdn.jsdelivr.net/gh/EngineerX1234/vocational-images@main/tools/batch-25/apparel-skirt-hem-marker.jpg" TargetMode="External"/><Relationship Id="rId1600" Type="http://schemas.openxmlformats.org/officeDocument/2006/relationships/hyperlink" Target="https://cdn.jsdelivr.net/gh/EngineerX1234/vocational-images@main/tools/batch-25/apparel-retractable-tape-measure.jpg" TargetMode="External"/><Relationship Id="rId1601" Type="http://schemas.openxmlformats.org/officeDocument/2006/relationships/hyperlink" Target="https://cdn.jsdelivr.net/gh/EngineerX1234/vocational-images@main/tools/batch-25/apparel-zipper-guide.jpg" TargetMode="External"/><Relationship Id="rId1602" Type="http://schemas.openxmlformats.org/officeDocument/2006/relationships/hyperlink" Target="https://cdn.jsdelivr.net/gh/EngineerX1234/vocational-images@main/tools/batch-06/apparel-adhesive-backed-rulers.jpg" TargetMode="External"/><Relationship Id="rId1603" Type="http://schemas.openxmlformats.org/officeDocument/2006/relationships/hyperlink" Target="https://cdn.jsdelivr.net/gh/EngineerX1234/vocational-images@main/tools/batch-25/apparel-pin-cushions.jpg" TargetMode="External"/><Relationship Id="rId1604" Type="http://schemas.openxmlformats.org/officeDocument/2006/relationships/hyperlink" Target="https://cdn.jsdelivr.net/gh/EngineerX1234/vocational-images@main/tools/batch-25/apparel-tracing-wheel.jpg" TargetMode="External"/><Relationship Id="rId1605" Type="http://schemas.openxmlformats.org/officeDocument/2006/relationships/hyperlink" Target="https://cdn.jsdelivr.net/gh/EngineerX1234/vocational-images@main/tools/batch-25/apparel-scissors.jpg" TargetMode="External"/><Relationship Id="rId1606" Type="http://schemas.openxmlformats.org/officeDocument/2006/relationships/hyperlink" Target="https://cdn.jsdelivr.net/gh/EngineerX1234/vocational-images@main/tools/batch-25/apparel-shears.jpg" TargetMode="External"/><Relationship Id="rId1607" Type="http://schemas.openxmlformats.org/officeDocument/2006/relationships/hyperlink" Target="https://cdn.jsdelivr.net/gh/EngineerX1234/vocational-images@main/tools/batch-25/apparel-pinking-shears.jpg" TargetMode="External"/><Relationship Id="rId1608" Type="http://schemas.openxmlformats.org/officeDocument/2006/relationships/hyperlink" Target="https://cdn.jsdelivr.net/gh/EngineerX1234/vocational-images@main/tools/batch-25/apparel-seam-ripper.jpg" TargetMode="External"/><Relationship Id="rId1609" Type="http://schemas.openxmlformats.org/officeDocument/2006/relationships/hyperlink" Target="https://cdn.jsdelivr.net/gh/EngineerX1234/vocational-images@main/tools/batch-25/apparel-thread-clipper.jpg" TargetMode="External"/><Relationship Id="rId1610" Type="http://schemas.openxmlformats.org/officeDocument/2006/relationships/hyperlink" Target="https://cdn.jsdelivr.net/gh/EngineerX1234/vocational-images@main/tools/batch-25/apparel-thimble.jpg" TargetMode="External"/><Relationship Id="rId1611" Type="http://schemas.openxmlformats.org/officeDocument/2006/relationships/hyperlink" Target="https://cdn.jsdelivr.net/gh/EngineerX1234/vocational-images@main/tools/batch-25/apparel-needle-threader.jpg" TargetMode="External"/><Relationship Id="rId1612" Type="http://schemas.openxmlformats.org/officeDocument/2006/relationships/hyperlink" Target="https://cdn.jsdelivr.net/gh/EngineerX1234/vocational-images@main/tools/batch-06/apparel-bobbin.jpg" TargetMode="External"/><Relationship Id="rId1613" Type="http://schemas.openxmlformats.org/officeDocument/2006/relationships/hyperlink" Target="https://cdn.jsdelivr.net/gh/EngineerX1234/vocational-images@main/tools/batch-25/apparel-loop-turner.jpg" TargetMode="External"/><Relationship Id="rId1614" Type="http://schemas.openxmlformats.org/officeDocument/2006/relationships/hyperlink" Target="https://cdn.jsdelivr.net/gh/EngineerX1234/vocational-images@main/tools/batch-25/apparel-sewing-box.jpg" TargetMode="External"/><Relationship Id="rId1615" Type="http://schemas.openxmlformats.org/officeDocument/2006/relationships/hyperlink" Target="https://cdn.jsdelivr.net/gh/EngineerX1234/vocational-images@main/tools/batch-25/apparel-hip-curve.jpg" TargetMode="External"/><Relationship Id="rId1616" Type="http://schemas.openxmlformats.org/officeDocument/2006/relationships/hyperlink" Target="https://cdn.jsdelivr.net/gh/EngineerX1234/vocational-images@main/tools/batch-25/apparel-yardstick-meter-stick.jpg" TargetMode="External"/><Relationship Id="rId1617" Type="http://schemas.openxmlformats.org/officeDocument/2006/relationships/hyperlink" Target="https://cdn.jsdelivr.net/gh/EngineerX1234/vocational-images@main/tools/batch-25/apparel-press-cloth.jpg" TargetMode="External"/><Relationship Id="rId1618" Type="http://schemas.openxmlformats.org/officeDocument/2006/relationships/hyperlink" Target="https://cdn.jsdelivr.net/gh/EngineerX1234/vocational-images@main/tools/batch-25/apparel-sleeve-board.jpg" TargetMode="External"/><Relationship Id="rId1619" Type="http://schemas.openxmlformats.org/officeDocument/2006/relationships/hyperlink" Target="https://cdn.jsdelivr.net/gh/EngineerX1234/vocational-images@main/tools/batch-25/apparel-seam-roll.jpg" TargetMode="External"/><Relationship Id="rId1620" Type="http://schemas.openxmlformats.org/officeDocument/2006/relationships/hyperlink" Target="https://cdn.jsdelivr.net/gh/EngineerX1234/vocational-images@main/tools/batch-25/apparel-sewing-machine.jpg" TargetMode="External"/><Relationship Id="rId1621" Type="http://schemas.openxmlformats.org/officeDocument/2006/relationships/hyperlink" Target="https://cdn.jsdelivr.net/gh/EngineerX1234/vocational-images@main/tools/batch-25/apparel-iron-box.jpg" TargetMode="External"/><Relationship Id="rId1622" Type="http://schemas.openxmlformats.org/officeDocument/2006/relationships/hyperlink" Target="https://cdn.jsdelivr.net/gh/EngineerX1234/vocational-images@main/tools/batch-25/apparel-ironing-board.jpg" TargetMode="External"/><Relationship Id="rId1623" Type="http://schemas.openxmlformats.org/officeDocument/2006/relationships/hyperlink" Target="https://cdn.jsdelivr.net/gh/EngineerX1234/vocational-images@main/tools/batch-25/apparel-needles.jpg" TargetMode="External"/><Relationship Id="rId1624" Type="http://schemas.openxmlformats.org/officeDocument/2006/relationships/hyperlink" Target="https://cdn.jsdelivr.net/gh/EngineerX1234/vocational-images@main/tools/batch-11/electronics-scissor.jpg" TargetMode="External"/><Relationship Id="rId1625" Type="http://schemas.openxmlformats.org/officeDocument/2006/relationships/hyperlink" Target="https://cdn.jsdelivr.net/gh/EngineerX1234/vocational-images@main/tools/batch-25/apparel-measuring-tape.jpg" TargetMode="External"/><Relationship Id="rId1626" Type="http://schemas.openxmlformats.org/officeDocument/2006/relationships/hyperlink" Target="https://cdn.jsdelivr.net/gh/EngineerX1234/vocational-images@main/tools/batch-24/apparel-chain-stitch-machine.jpg" TargetMode="External"/><Relationship Id="rId1627" Type="http://schemas.openxmlformats.org/officeDocument/2006/relationships/hyperlink" Target="https://cdn.jsdelivr.net/gh/EngineerX1234/vocational-images@main/tools/batch-25/apparel-over-lock-machine.jpg" TargetMode="External"/><Relationship Id="rId1628" Type="http://schemas.openxmlformats.org/officeDocument/2006/relationships/hyperlink" Target="https://cdn.jsdelivr.net/gh/EngineerX1234/vocational-images@main/tools/batch-24/apparel-button-hole-sewing-machine.jpg" TargetMode="External"/><Relationship Id="rId1629" Type="http://schemas.openxmlformats.org/officeDocument/2006/relationships/hyperlink" Target="https://cdn.jsdelivr.net/gh/EngineerX1234/vocational-images@main/tools/batch-24/apparel-button-sewing-machine.jpg" TargetMode="External"/><Relationship Id="rId1630" Type="http://schemas.openxmlformats.org/officeDocument/2006/relationships/hyperlink" Target="https://cdn.jsdelivr.net/gh/EngineerX1234/vocational-images@main/tools/batch-25/apparel-zigzag-sewing-machine.jpg" TargetMode="External"/><Relationship Id="rId1631" Type="http://schemas.openxmlformats.org/officeDocument/2006/relationships/hyperlink" Target="https://cdn.jsdelivr.net/gh/EngineerX1234/vocational-images@main/tools/batch-25/apparel-lock-stitch-machine.jpg" TargetMode="External"/><Relationship Id="rId1632" Type="http://schemas.openxmlformats.org/officeDocument/2006/relationships/hyperlink" Target="https://cdn.jsdelivr.net/gh/EngineerX1234/vocational-images@main/tools/batch-06/apparel-bar-tack-machine.jpg" TargetMode="External"/><Relationship Id="rId1633" Type="http://schemas.openxmlformats.org/officeDocument/2006/relationships/hyperlink" Target="https://cdn.jsdelivr.net/gh/EngineerX1234/vocational-images@main/tools/batch-06/apparel-blind-stitch-machine.jpg" TargetMode="External"/><Relationship Id="rId1634" Type="http://schemas.openxmlformats.org/officeDocument/2006/relationships/hyperlink" Target="https://cdn.jsdelivr.net/gh/EngineerX1234/vocational-images@main/tools/batch-25/apparel-high-speed-sewing-machine.jpg" TargetMode="External"/><Relationship Id="rId1635" Type="http://schemas.openxmlformats.org/officeDocument/2006/relationships/hyperlink" Target="https://cdn.jsdelivr.net/gh/EngineerX1234/vocational-images@main/tools/batch-25/apparel-high-speed-interlock-machine.jpg" TargetMode="External"/><Relationship Id="rId1636" Type="http://schemas.openxmlformats.org/officeDocument/2006/relationships/hyperlink" Target="https://cdn.jsdelivr.net/gh/EngineerX1234/vocational-images@main/tools/batch-25/apparel-measuring-tape.jpg" TargetMode="External"/><Relationship Id="rId1637" Type="http://schemas.openxmlformats.org/officeDocument/2006/relationships/hyperlink" Target="https://cdn.jsdelivr.net/gh/EngineerX1234/vocational-images@main/tools/batch-24/apparel-calculator.jpg" TargetMode="External"/><Relationship Id="rId1638" Type="http://schemas.openxmlformats.org/officeDocument/2006/relationships/hyperlink" Target="https://cdn.jsdelivr.net/gh/EngineerX1234/vocational-images@main/tools/batch-17/it-ites-printer.jpg" TargetMode="External"/><Relationship Id="rId1639" Type="http://schemas.openxmlformats.org/officeDocument/2006/relationships/hyperlink" Target="https://cdn.jsdelivr.net/gh/EngineerX1234/vocational-images@main/tools/batch-18/management-and-entrepreneurship-photocopier.jpg" TargetMode="External"/><Relationship Id="rId1640" Type="http://schemas.openxmlformats.org/officeDocument/2006/relationships/hyperlink" Target="https://cdn.jsdelivr.net/gh/EngineerX1234/vocational-images@main/tools/batch-07/automotive-electric-vehicle-training-kit.jpg" TargetMode="External"/><Relationship Id="rId1641" Type="http://schemas.openxmlformats.org/officeDocument/2006/relationships/hyperlink" Target="https://cdn.jsdelivr.net/gh/EngineerX1234/vocational-images@main/tools/batch-08/automotive-transmission-gearbox-demonstration-kit.jpg" TargetMode="External"/><Relationship Id="rId1642" Type="http://schemas.openxmlformats.org/officeDocument/2006/relationships/hyperlink" Target="https://cdn.jsdelivr.net/gh/EngineerX1234/vocational-images@main/tools/batch-07/automotive-automotive-cooling-system.jpg" TargetMode="External"/><Relationship Id="rId1643" Type="http://schemas.openxmlformats.org/officeDocument/2006/relationships/hyperlink" Target="https://cdn.jsdelivr.net/gh/EngineerX1234/vocational-images@main/tools/batch-07/automotive-suspension-steering-wheel-and-tyre-systems.jpg" TargetMode="External"/><Relationship Id="rId1644" Type="http://schemas.openxmlformats.org/officeDocument/2006/relationships/hyperlink" Target="https://cdn.jsdelivr.net/gh/EngineerX1234/vocational-images@main/tools/batch-07/automotive-brakes-and-controls.jpg" TargetMode="External"/><Relationship Id="rId1645" Type="http://schemas.openxmlformats.org/officeDocument/2006/relationships/hyperlink" Target="https://cdn.jsdelivr.net/gh/EngineerX1234/vocational-images@main/tools/batch-07/automotive-hvac-demonstration-kit.jpg" TargetMode="External"/><Relationship Id="rId1646" Type="http://schemas.openxmlformats.org/officeDocument/2006/relationships/hyperlink" Target="https://cdn.jsdelivr.net/gh/EngineerX1234/vocational-images@main/tools/batch-07/automotive-electronic-ignition-system-of-an-automobile-4-wheeler.jpg" TargetMode="External"/><Relationship Id="rId1647" Type="http://schemas.openxmlformats.org/officeDocument/2006/relationships/hyperlink" Target="https://cdn.jsdelivr.net/gh/EngineerX1234/vocational-images@main/tools/batch-07/automotive-instruction-kit-for-charging-and-starting-system.jpg" TargetMode="External"/><Relationship Id="rId1648" Type="http://schemas.openxmlformats.org/officeDocument/2006/relationships/hyperlink" Target="https://cdn.jsdelivr.net/gh/EngineerX1234/vocational-images@main/tools/batch-07/automotive-lighting-and-wiring-system-two-wheeler.jpg" TargetMode="External"/><Relationship Id="rId1649" Type="http://schemas.openxmlformats.org/officeDocument/2006/relationships/hyperlink" Target="https://cdn.jsdelivr.net/gh/EngineerX1234/vocational-images@main/tools/batch-07/automotive-dashboard-with-indicators.jpg" TargetMode="External"/><Relationship Id="rId1650" Type="http://schemas.openxmlformats.org/officeDocument/2006/relationships/hyperlink" Target="https://cdn.jsdelivr.net/gh/EngineerX1234/vocational-images@main/tools/batch-08/automotive-washer-and-wiper-demonstration-kit.jpg" TargetMode="External"/><Relationship Id="rId1651" Type="http://schemas.openxmlformats.org/officeDocument/2006/relationships/hyperlink" Target="https://cdn.jsdelivr.net/gh/EngineerX1234/vocational-images@main/tools/batch-07/automotive-tachometer.jpg" TargetMode="External"/><Relationship Id="rId1652" Type="http://schemas.openxmlformats.org/officeDocument/2006/relationships/hyperlink" Target="https://cdn.jsdelivr.net/gh/EngineerX1234/vocational-images@main/tools/batch-07/automotive-oil-pressure-gauges.jpg" TargetMode="External"/><Relationship Id="rId1653" Type="http://schemas.openxmlformats.org/officeDocument/2006/relationships/hyperlink" Target="https://cdn.jsdelivr.net/gh/EngineerX1234/vocational-images@main/tools/batch-07/automotive-cleaning-equipment.jpg" TargetMode="External"/><Relationship Id="rId1654" Type="http://schemas.openxmlformats.org/officeDocument/2006/relationships/hyperlink" Target="https://cdn.jsdelivr.net/gh/EngineerX1234/vocational-images@main/tools/batch-07/automotive-car-lift-4ton.jpg" TargetMode="External"/><Relationship Id="rId1655" Type="http://schemas.openxmlformats.org/officeDocument/2006/relationships/hyperlink" Target="https://cdn.jsdelivr.net/gh/EngineerX1234/vocational-images@main/tools/batch-09/construction-computer-system.jpg" TargetMode="External"/><Relationship Id="rId1656" Type="http://schemas.openxmlformats.org/officeDocument/2006/relationships/hyperlink" Target="https://cdn.jsdelivr.net/gh/EngineerX1234/vocational-images@main/tools/batch-21/tourism-and-hospitality-lcd-projector.jpg" TargetMode="External"/><Relationship Id="rId1657" Type="http://schemas.openxmlformats.org/officeDocument/2006/relationships/hyperlink" Target="https://cdn.jsdelivr.net/gh/EngineerX1234/vocational-images@main/tools/batch-07/automotive-screw-driver-star-and-minus.jpg" TargetMode="External"/><Relationship Id="rId1658" Type="http://schemas.openxmlformats.org/officeDocument/2006/relationships/hyperlink" Target="https://cdn.jsdelivr.net/gh/EngineerX1234/vocational-images@main/tools/batch-07/automotive-double-end-ring-spanner.jpg" TargetMode="External"/><Relationship Id="rId1659" Type="http://schemas.openxmlformats.org/officeDocument/2006/relationships/hyperlink" Target="https://cdn.jsdelivr.net/gh/EngineerX1234/vocational-images@main/tools/batch-07/automotive-open-and-close-fix-spanner.jpg" TargetMode="External"/><Relationship Id="rId1660" Type="http://schemas.openxmlformats.org/officeDocument/2006/relationships/hyperlink" Target="https://cdn.jsdelivr.net/gh/EngineerX1234/vocational-images@main/tools/batch-07/automotive-socket-goti-spanner.jpg" TargetMode="External"/><Relationship Id="rId1661" Type="http://schemas.openxmlformats.org/officeDocument/2006/relationships/hyperlink" Target="https://cdn.jsdelivr.net/gh/EngineerX1234/vocational-images@main/tools/batch-07/automotive-plier.jpg" TargetMode="External"/><Relationship Id="rId1662" Type="http://schemas.openxmlformats.org/officeDocument/2006/relationships/hyperlink" Target="https://cdn.jsdelivr.net/gh/EngineerX1234/vocational-images@main/tools/batch-07/automotive-monkey-plier.jpg" TargetMode="External"/><Relationship Id="rId1663" Type="http://schemas.openxmlformats.org/officeDocument/2006/relationships/hyperlink" Target="https://cdn.jsdelivr.net/gh/EngineerX1234/vocational-images@main/tools/batch-07/automotive-outer-and-inner-plier.jpg" TargetMode="External"/><Relationship Id="rId1664" Type="http://schemas.openxmlformats.org/officeDocument/2006/relationships/hyperlink" Target="https://cdn.jsdelivr.net/gh/EngineerX1234/vocational-images@main/tools/batch-08/automotive-tool-box.jpg" TargetMode="External"/><Relationship Id="rId1665" Type="http://schemas.openxmlformats.org/officeDocument/2006/relationships/hyperlink" Target="https://cdn.jsdelivr.net/gh/EngineerX1234/vocational-images@main/tools/batch-07/automotive-t-spanner-tommy-set.jpg" TargetMode="External"/><Relationship Id="rId1666" Type="http://schemas.openxmlformats.org/officeDocument/2006/relationships/hyperlink" Target="https://cdn.jsdelivr.net/gh/EngineerX1234/vocational-images@main/tools/batch-07/automotive-allen-key-set.jpg" TargetMode="External"/><Relationship Id="rId1667" Type="http://schemas.openxmlformats.org/officeDocument/2006/relationships/hyperlink" Target="https://cdn.jsdelivr.net/gh/EngineerX1234/vocational-images@main/tools/batch-07/automotive-tappet-puller.jpg" TargetMode="External"/><Relationship Id="rId1668" Type="http://schemas.openxmlformats.org/officeDocument/2006/relationships/hyperlink" Target="https://cdn.jsdelivr.net/gh/EngineerX1234/vocational-images@main/tools/batch-07/automotive-tappet-gauge.jpg" TargetMode="External"/><Relationship Id="rId1669" Type="http://schemas.openxmlformats.org/officeDocument/2006/relationships/hyperlink" Target="https://cdn.jsdelivr.net/gh/EngineerX1234/vocational-images@main/tools/batch-07/automotive-clutch-puller.jpg" TargetMode="External"/><Relationship Id="rId1670" Type="http://schemas.openxmlformats.org/officeDocument/2006/relationships/hyperlink" Target="https://cdn.jsdelivr.net/gh/EngineerX1234/vocational-images@main/tools/batch-07/automotive-hammer.jpg" TargetMode="External"/><Relationship Id="rId1671" Type="http://schemas.openxmlformats.org/officeDocument/2006/relationships/hyperlink" Target="https://cdn.jsdelivr.net/gh/EngineerX1234/vocational-images@main/tools/batch-07/automotive-oil-can.jpg" TargetMode="External"/><Relationship Id="rId1672" Type="http://schemas.openxmlformats.org/officeDocument/2006/relationships/hyperlink" Target="https://cdn.jsdelivr.net/gh/EngineerX1234/vocational-images@main/tools/batch-07/automotive-magnetic-bar.jpg" TargetMode="External"/><Relationship Id="rId1673" Type="http://schemas.openxmlformats.org/officeDocument/2006/relationships/hyperlink" Target="https://cdn.jsdelivr.net/gh/EngineerX1234/vocational-images@main/tools/batch-07/automotive-stud-extractor.jpg" TargetMode="External"/><Relationship Id="rId1674" Type="http://schemas.openxmlformats.org/officeDocument/2006/relationships/hyperlink" Target="https://cdn.jsdelivr.net/gh/EngineerX1234/vocational-images@main/tools/batch-07/automotive-drain-pan.jpg" TargetMode="External"/><Relationship Id="rId1675" Type="http://schemas.openxmlformats.org/officeDocument/2006/relationships/hyperlink" Target="https://cdn.jsdelivr.net/gh/EngineerX1234/vocational-images@main/tools/batch-07/automotive-oil-can.jpg" TargetMode="External"/><Relationship Id="rId1676" Type="http://schemas.openxmlformats.org/officeDocument/2006/relationships/hyperlink" Target="https://cdn.jsdelivr.net/gh/EngineerX1234/vocational-images@main/tools/batch-07/automotive-bench-vice.jpg" TargetMode="External"/><Relationship Id="rId1677" Type="http://schemas.openxmlformats.org/officeDocument/2006/relationships/hyperlink" Target="https://cdn.jsdelivr.net/gh/EngineerX1234/vocational-images@main/tools/batch-07/automotive-ball-joint-separators.jpg" TargetMode="External"/><Relationship Id="rId1678" Type="http://schemas.openxmlformats.org/officeDocument/2006/relationships/hyperlink" Target="https://cdn.jsdelivr.net/gh/EngineerX1234/vocational-images@main/tools/batch-07/automotive-bearing-pullers.jpg" TargetMode="External"/><Relationship Id="rId1679" Type="http://schemas.openxmlformats.org/officeDocument/2006/relationships/hyperlink" Target="https://cdn.jsdelivr.net/gh/EngineerX1234/vocational-images@main/tools/batch-07/automotive-gear-puller-tools.jpg" TargetMode="External"/><Relationship Id="rId1680" Type="http://schemas.openxmlformats.org/officeDocument/2006/relationships/hyperlink" Target="https://cdn.jsdelivr.net/gh/EngineerX1234/vocational-images@main/tools/batch-07/automotive-slide-hammers.jpg" TargetMode="External"/><Relationship Id="rId1681" Type="http://schemas.openxmlformats.org/officeDocument/2006/relationships/hyperlink" Target="https://cdn.jsdelivr.net/gh/EngineerX1234/vocational-images@main/tools/batch-07/automotive-alignment-wrenches.jpg" TargetMode="External"/><Relationship Id="rId1682" Type="http://schemas.openxmlformats.org/officeDocument/2006/relationships/hyperlink" Target="https://cdn.jsdelivr.net/gh/EngineerX1234/vocational-images@main/tools/batch-07/automotive-chain-wrenches.jpg" TargetMode="External"/><Relationship Id="rId1683" Type="http://schemas.openxmlformats.org/officeDocument/2006/relationships/hyperlink" Target="https://cdn.jsdelivr.net/gh/EngineerX1234/vocational-images@main/tools/batch-07/automotive-locking-wrenches.jpg" TargetMode="External"/><Relationship Id="rId1684" Type="http://schemas.openxmlformats.org/officeDocument/2006/relationships/hyperlink" Target="https://cdn.jsdelivr.net/gh/EngineerX1234/vocational-images@main/tools/batch-07/automotive-lug-wrenches.jpg" TargetMode="External"/><Relationship Id="rId1685" Type="http://schemas.openxmlformats.org/officeDocument/2006/relationships/hyperlink" Target="https://cdn.jsdelivr.net/gh/EngineerX1234/vocational-images@main/tools/batch-07/automotive-carbon-scrapers.jpg" TargetMode="External"/><Relationship Id="rId1686" Type="http://schemas.openxmlformats.org/officeDocument/2006/relationships/hyperlink" Target="https://cdn.jsdelivr.net/gh/EngineerX1234/vocational-images@main/tools/batch-07/automotive-gasket-scrapers.jpg" TargetMode="External"/><Relationship Id="rId1687" Type="http://schemas.openxmlformats.org/officeDocument/2006/relationships/hyperlink" Target="https://cdn.jsdelivr.net/gh/EngineerX1234/vocational-images@main/tools/batch-07/automotive-scrapers.jpg" TargetMode="External"/><Relationship Id="rId1688" Type="http://schemas.openxmlformats.org/officeDocument/2006/relationships/hyperlink" Target="https://cdn.jsdelivr.net/gh/EngineerX1234/vocational-images@main/tools/batch-07/automotive-spoons.jpg" TargetMode="External"/><Relationship Id="rId1689" Type="http://schemas.openxmlformats.org/officeDocument/2006/relationships/hyperlink" Target="https://cdn.jsdelivr.net/gh/EngineerX1234/vocational-images@main/tools/batch-07/automotive-pneumatic-gun.jpg" TargetMode="External"/><Relationship Id="rId1690" Type="http://schemas.openxmlformats.org/officeDocument/2006/relationships/hyperlink" Target="https://cdn.jsdelivr.net/gh/EngineerX1234/vocational-images@main/tools/batch-25/automotive-air-pressure-gun.jpg" TargetMode="External"/><Relationship Id="rId1691" Type="http://schemas.openxmlformats.org/officeDocument/2006/relationships/hyperlink" Target="https://cdn.jsdelivr.net/gh/EngineerX1234/vocational-images@main/tools/batch-07/automotive-spark-plug-cleaning-machine.jpg" TargetMode="External"/><Relationship Id="rId1692" Type="http://schemas.openxmlformats.org/officeDocument/2006/relationships/hyperlink" Target="https://cdn.jsdelivr.net/gh/EngineerX1234/vocational-images@main/tools/batch-07/automotive-multimeter.jpg" TargetMode="External"/><Relationship Id="rId1693" Type="http://schemas.openxmlformats.org/officeDocument/2006/relationships/hyperlink" Target="https://cdn.jsdelivr.net/gh/EngineerX1234/vocational-images@main/tools/batch-07/automotive-tachometer.jpg" TargetMode="External"/><Relationship Id="rId1694" Type="http://schemas.openxmlformats.org/officeDocument/2006/relationships/hyperlink" Target="https://cdn.jsdelivr.net/gh/EngineerX1234/vocational-images@main/tools/batch-07/automotive-co-machine-emission-check-machine.jpg" TargetMode="External"/><Relationship Id="rId1695" Type="http://schemas.openxmlformats.org/officeDocument/2006/relationships/hyperlink" Target="https://cdn.jsdelivr.net/gh/EngineerX1234/vocational-images@main/tools/batch-07/automotive-compressor-gauge.jpg" TargetMode="External"/><Relationship Id="rId1696" Type="http://schemas.openxmlformats.org/officeDocument/2006/relationships/hyperlink" Target="https://cdn.jsdelivr.net/gh/EngineerX1234/vocational-images@main/tools/batch-07/automotive-arbour-press.jpg" TargetMode="External"/><Relationship Id="rId1697" Type="http://schemas.openxmlformats.org/officeDocument/2006/relationships/hyperlink" Target="https://cdn.jsdelivr.net/gh/EngineerX1234/vocational-images@main/tools/batch-07/automotive-jack-hydraulic.jpg" TargetMode="External"/><Relationship Id="rId1698" Type="http://schemas.openxmlformats.org/officeDocument/2006/relationships/hyperlink" Target="https://cdn.jsdelivr.net/gh/EngineerX1234/vocational-images@main/tools/batch-07/automotive-ramp.jpg" TargetMode="External"/><Relationship Id="rId1699" Type="http://schemas.openxmlformats.org/officeDocument/2006/relationships/hyperlink" Target="https://cdn.jsdelivr.net/gh/EngineerX1234/vocational-images@main/tools/batch-07/automotive-pneumatic-tool.jpg" TargetMode="External"/><Relationship Id="rId1700" Type="http://schemas.openxmlformats.org/officeDocument/2006/relationships/hyperlink" Target="https://cdn.jsdelivr.net/gh/EngineerX1234/vocational-images@main/tools/batch-07/automotive-fuel-pressure-testers.jpg" TargetMode="External"/><Relationship Id="rId1701" Type="http://schemas.openxmlformats.org/officeDocument/2006/relationships/hyperlink" Target="https://cdn.jsdelivr.net/gh/EngineerX1234/vocational-images@main/tools/batch-07/automotive-manifold-gauge-sets.jpg" TargetMode="External"/><Relationship Id="rId1702" Type="http://schemas.openxmlformats.org/officeDocument/2006/relationships/hyperlink" Target="https://cdn.jsdelivr.net/gh/EngineerX1234/vocational-images@main/tools/batch-07/automotive-oil-pressure-gauges.jpg" TargetMode="External"/><Relationship Id="rId1703" Type="http://schemas.openxmlformats.org/officeDocument/2006/relationships/hyperlink" Target="https://cdn.jsdelivr.net/gh/EngineerX1234/vocational-images@main/tools/batch-08/automotive-vernier.jpg" TargetMode="External"/><Relationship Id="rId1704" Type="http://schemas.openxmlformats.org/officeDocument/2006/relationships/hyperlink" Target="https://cdn.jsdelivr.net/gh/EngineerX1234/vocational-images@main/tools/batch-07/automotive-micrometer.jpg" TargetMode="External"/><Relationship Id="rId1705" Type="http://schemas.openxmlformats.org/officeDocument/2006/relationships/hyperlink" Target="https://cdn.jsdelivr.net/gh/EngineerX1234/vocational-images@main/tools/batch-07/automotive-feeler-gauges.jpg" TargetMode="External"/><Relationship Id="rId1706" Type="http://schemas.openxmlformats.org/officeDocument/2006/relationships/hyperlink" Target="https://cdn.jsdelivr.net/gh/EngineerX1234/vocational-images@main/tools/batch-07/automotive-flow-meter.jpg" TargetMode="External"/><Relationship Id="rId1707" Type="http://schemas.openxmlformats.org/officeDocument/2006/relationships/hyperlink" Target="https://cdn.jsdelivr.net/gh/EngineerX1234/vocational-images@main/tools/batch-07/automotive-dial-gauge.jpg" TargetMode="External"/><Relationship Id="rId1708" Type="http://schemas.openxmlformats.org/officeDocument/2006/relationships/hyperlink" Target="https://cdn.jsdelivr.net/gh/EngineerX1234/vocational-images@main/tools/batch-08/automotive-tensioning-equipment.jpg" TargetMode="External"/><Relationship Id="rId1709" Type="http://schemas.openxmlformats.org/officeDocument/2006/relationships/hyperlink" Target="https://cdn.jsdelivr.net/gh/EngineerX1234/vocational-images@main/tools/batch-07/automotive-brake-roller-tester.jpg" TargetMode="External"/><Relationship Id="rId1710" Type="http://schemas.openxmlformats.org/officeDocument/2006/relationships/hyperlink" Target="https://cdn.jsdelivr.net/gh/EngineerX1234/vocational-images@main/tools/batch-07/automotive-suspension-activation.jpg" TargetMode="External"/><Relationship Id="rId1711" Type="http://schemas.openxmlformats.org/officeDocument/2006/relationships/hyperlink" Target="https://cdn.jsdelivr.net/gh/EngineerX1234/vocational-images@main/tools/batch-07/automotive-security-activator.jpg" TargetMode="External"/><Relationship Id="rId1712" Type="http://schemas.openxmlformats.org/officeDocument/2006/relationships/hyperlink" Target="https://cdn.jsdelivr.net/gh/EngineerX1234/vocational-images@main/tools/batch-07/automotive-cleaning-equipment.jpg" TargetMode="External"/><Relationship Id="rId1713" Type="http://schemas.openxmlformats.org/officeDocument/2006/relationships/hyperlink" Target="https://cdn.jsdelivr.net/gh/EngineerX1234/vocational-images@main/tools/batch-10/electronics-compressor.jpg" TargetMode="External"/><Relationship Id="rId1714" Type="http://schemas.openxmlformats.org/officeDocument/2006/relationships/hyperlink" Target="https://cdn.jsdelivr.net/gh/EngineerX1234/vocational-images@main/tools/batch-07/automotive-fork-lift.jpg" TargetMode="External"/><Relationship Id="rId1715" Type="http://schemas.openxmlformats.org/officeDocument/2006/relationships/hyperlink" Target="https://cdn.jsdelivr.net/gh/EngineerX1234/vocational-images@main/tools/batch-25/automotive-air-compressor.jpg" TargetMode="External"/><Relationship Id="rId1716" Type="http://schemas.openxmlformats.org/officeDocument/2006/relationships/hyperlink" Target="https://cdn.jsdelivr.net/gh/EngineerX1234/vocational-images@main/tools/batch-07/automotive-chassis-dynamometer.jpg" TargetMode="External"/><Relationship Id="rId1717" Type="http://schemas.openxmlformats.org/officeDocument/2006/relationships/hyperlink" Target="https://cdn.jsdelivr.net/gh/EngineerX1234/vocational-images@main/tools/batch-21/tourism-and-hospitality-lcd-projector.jpg" TargetMode="External"/><Relationship Id="rId1718" Type="http://schemas.openxmlformats.org/officeDocument/2006/relationships/hyperlink" Target="https://cdn.jsdelivr.net/gh/EngineerX1234/vocational-images@main/tools/batch-09/construction-computer-system.jpg" TargetMode="External"/><Relationship Id="rId1719" Type="http://schemas.openxmlformats.org/officeDocument/2006/relationships/hyperlink" Target="https://cdn.jsdelivr.net/gh/EngineerX1234/vocational-images@main/tools/batch-11/electronics-ups.jpg" TargetMode="External"/><Relationship Id="rId1720" Type="http://schemas.openxmlformats.org/officeDocument/2006/relationships/hyperlink" Target="https://cdn.jsdelivr.net/gh/EngineerX1234/vocational-images@main/tools/batch-07/automotive-equipment-stands.jpg" TargetMode="External"/><Relationship Id="rId1721" Type="http://schemas.openxmlformats.org/officeDocument/2006/relationships/hyperlink" Target="https://cdn.jsdelivr.net/gh/EngineerX1234/vocational-images@main/tools/batch-13/food-processing-storage-containers.jpg" TargetMode="External"/><Relationship Id="rId1722" Type="http://schemas.openxmlformats.org/officeDocument/2006/relationships/hyperlink" Target="https://cdn.jsdelivr.net/gh/EngineerX1234/vocational-images@main/tools/batch-07/automotive-soldering-kit-with-accessories.jpg" TargetMode="External"/><Relationship Id="rId1723" Type="http://schemas.openxmlformats.org/officeDocument/2006/relationships/hyperlink" Target="https://cdn.jsdelivr.net/gh/EngineerX1234/vocational-images@main/tools/batch-08/automotive-tool-kit.jpg" TargetMode="External"/><Relationship Id="rId1724" Type="http://schemas.openxmlformats.org/officeDocument/2006/relationships/hyperlink" Target="https://cdn.jsdelivr.net/gh/EngineerX1234/vocational-images@main/tools/batch-07/automotive-arduino-boards-uno-nano.jpg" TargetMode="External"/><Relationship Id="rId1725" Type="http://schemas.openxmlformats.org/officeDocument/2006/relationships/hyperlink" Target="https://cdn.jsdelivr.net/gh/EngineerX1234/vocational-images@main/tools/batch-07/automotive-basic-sensors.jpg" TargetMode="External"/><Relationship Id="rId1726" Type="http://schemas.openxmlformats.org/officeDocument/2006/relationships/hyperlink" Target="https://cdn.jsdelivr.net/gh/EngineerX1234/vocational-images@main/tools/batch-07/automotive-small-dc-motors-and-servo-motors.jpg" TargetMode="External"/><Relationship Id="rId1727" Type="http://schemas.openxmlformats.org/officeDocument/2006/relationships/hyperlink" Target="https://cdn.jsdelivr.net/gh/EngineerX1234/vocational-images@main/tools/batch-07/automotive-power-supply-adapters-5v-12v-dc.jpg" TargetMode="External"/><Relationship Id="rId1728" Type="http://schemas.openxmlformats.org/officeDocument/2006/relationships/hyperlink" Target="https://cdn.jsdelivr.net/gh/EngineerX1234/vocational-images@main/tools/batch-07/automotive-relays-and-switch-modules.jpg" TargetMode="External"/><Relationship Id="rId1729" Type="http://schemas.openxmlformats.org/officeDocument/2006/relationships/hyperlink" Target="https://cdn.jsdelivr.net/gh/EngineerX1234/vocational-images@main/tools/batch-08/automotive-wi-fi-module-esp8266-esp32.jpg" TargetMode="External"/><Relationship Id="rId1730" Type="http://schemas.openxmlformats.org/officeDocument/2006/relationships/hyperlink" Target="https://cdn.jsdelivr.net/gh/EngineerX1234/vocational-images@main/tools/batch-07/automotive-multimeter.jpg" TargetMode="External"/><Relationship Id="rId1731" Type="http://schemas.openxmlformats.org/officeDocument/2006/relationships/hyperlink" Target="https://cdn.jsdelivr.net/gh/EngineerX1234/vocational-images@main/tools/batch-07/automotive-screw-driver-star-and-minus.jpg" TargetMode="External"/><Relationship Id="rId1732" Type="http://schemas.openxmlformats.org/officeDocument/2006/relationships/hyperlink" Target="https://cdn.jsdelivr.net/gh/EngineerX1234/vocational-images@main/tools/batch-07/automotive-double-end-ring-spanner.jpg" TargetMode="External"/><Relationship Id="rId1733" Type="http://schemas.openxmlformats.org/officeDocument/2006/relationships/hyperlink" Target="https://cdn.jsdelivr.net/gh/EngineerX1234/vocational-images@main/tools/batch-07/automotive-open-and-close-fix-spanner.jpg" TargetMode="External"/><Relationship Id="rId1734" Type="http://schemas.openxmlformats.org/officeDocument/2006/relationships/hyperlink" Target="https://cdn.jsdelivr.net/gh/EngineerX1234/vocational-images@main/tools/batch-07/automotive-socket-goti-spanner.jpg" TargetMode="External"/><Relationship Id="rId1735" Type="http://schemas.openxmlformats.org/officeDocument/2006/relationships/hyperlink" Target="https://cdn.jsdelivr.net/gh/EngineerX1234/vocational-images@main/tools/batch-07/automotive-plier.jpg" TargetMode="External"/><Relationship Id="rId1736" Type="http://schemas.openxmlformats.org/officeDocument/2006/relationships/hyperlink" Target="https://cdn.jsdelivr.net/gh/EngineerX1234/vocational-images@main/tools/batch-07/automotive-monkey-plier.jpg" TargetMode="External"/><Relationship Id="rId1737" Type="http://schemas.openxmlformats.org/officeDocument/2006/relationships/hyperlink" Target="https://cdn.jsdelivr.net/gh/EngineerX1234/vocational-images@main/tools/batch-07/automotive-outer-and-inner-plier.jpg" TargetMode="External"/><Relationship Id="rId1738" Type="http://schemas.openxmlformats.org/officeDocument/2006/relationships/hyperlink" Target="https://cdn.jsdelivr.net/gh/EngineerX1234/vocational-images@main/tools/batch-08/automotive-tool-box.jpg" TargetMode="External"/><Relationship Id="rId1739" Type="http://schemas.openxmlformats.org/officeDocument/2006/relationships/hyperlink" Target="https://cdn.jsdelivr.net/gh/EngineerX1234/vocational-images@main/tools/batch-07/automotive-t-spanner-tommy-set.jpg" TargetMode="External"/><Relationship Id="rId1740" Type="http://schemas.openxmlformats.org/officeDocument/2006/relationships/hyperlink" Target="https://cdn.jsdelivr.net/gh/EngineerX1234/vocational-images@main/tools/batch-07/automotive-allen-key-set.jpg" TargetMode="External"/><Relationship Id="rId1741" Type="http://schemas.openxmlformats.org/officeDocument/2006/relationships/hyperlink" Target="https://cdn.jsdelivr.net/gh/EngineerX1234/vocational-images@main/tools/batch-07/automotive-tappet-puller.jpg" TargetMode="External"/><Relationship Id="rId1742" Type="http://schemas.openxmlformats.org/officeDocument/2006/relationships/hyperlink" Target="https://cdn.jsdelivr.net/gh/EngineerX1234/vocational-images@main/tools/batch-07/automotive-tappet-gauge.jpg" TargetMode="External"/><Relationship Id="rId1743" Type="http://schemas.openxmlformats.org/officeDocument/2006/relationships/hyperlink" Target="https://cdn.jsdelivr.net/gh/EngineerX1234/vocational-images@main/tools/batch-07/automotive-hammer.jpg" TargetMode="External"/><Relationship Id="rId1744" Type="http://schemas.openxmlformats.org/officeDocument/2006/relationships/hyperlink" Target="https://cdn.jsdelivr.net/gh/EngineerX1234/vocational-images@main/tools/batch-07/automotive-oil-measure-container.jpg" TargetMode="External"/><Relationship Id="rId1745" Type="http://schemas.openxmlformats.org/officeDocument/2006/relationships/hyperlink" Target="https://cdn.jsdelivr.net/gh/EngineerX1234/vocational-images@main/tools/batch-07/automotive-funnel.jpg" TargetMode="External"/><Relationship Id="rId1746" Type="http://schemas.openxmlformats.org/officeDocument/2006/relationships/hyperlink" Target="https://cdn.jsdelivr.net/gh/EngineerX1234/vocational-images@main/tools/batch-07/automotive-oil-can.jpg" TargetMode="External"/><Relationship Id="rId1747" Type="http://schemas.openxmlformats.org/officeDocument/2006/relationships/hyperlink" Target="https://cdn.jsdelivr.net/gh/EngineerX1234/vocational-images@main/tools/batch-07/automotive-magnetic-bar.jpg" TargetMode="External"/><Relationship Id="rId1748" Type="http://schemas.openxmlformats.org/officeDocument/2006/relationships/hyperlink" Target="https://cdn.jsdelivr.net/gh/EngineerX1234/vocational-images@main/tools/batch-07/automotive-drain-pan.jpg" TargetMode="External"/><Relationship Id="rId1749" Type="http://schemas.openxmlformats.org/officeDocument/2006/relationships/hyperlink" Target="https://cdn.jsdelivr.net/gh/EngineerX1234/vocational-images@main/tools/batch-07/automotive-oil-can.jpg" TargetMode="External"/><Relationship Id="rId1750" Type="http://schemas.openxmlformats.org/officeDocument/2006/relationships/hyperlink" Target="https://cdn.jsdelivr.net/gh/EngineerX1234/vocational-images@main/tools/batch-07/automotive-bench-vice.jpg" TargetMode="External"/><Relationship Id="rId1751" Type="http://schemas.openxmlformats.org/officeDocument/2006/relationships/hyperlink" Target="https://cdn.jsdelivr.net/gh/EngineerX1234/vocational-images@main/tools/batch-07/automotive-pneumatic-tool.jpg" TargetMode="External"/><Relationship Id="rId1752" Type="http://schemas.openxmlformats.org/officeDocument/2006/relationships/hyperlink" Target="https://cdn.jsdelivr.net/gh/EngineerX1234/vocational-images@main/tools/batch-07/automotive-alignment-wrenches.jpg" TargetMode="External"/><Relationship Id="rId1753" Type="http://schemas.openxmlformats.org/officeDocument/2006/relationships/hyperlink" Target="https://cdn.jsdelivr.net/gh/EngineerX1234/vocational-images@main/tools/batch-07/automotive-chain-wrenches.jpg" TargetMode="External"/><Relationship Id="rId1754" Type="http://schemas.openxmlformats.org/officeDocument/2006/relationships/hyperlink" Target="https://cdn.jsdelivr.net/gh/EngineerX1234/vocational-images@main/tools/batch-07/automotive-locking-wrenches.jpg" TargetMode="External"/><Relationship Id="rId1755" Type="http://schemas.openxmlformats.org/officeDocument/2006/relationships/hyperlink" Target="https://cdn.jsdelivr.net/gh/EngineerX1234/vocational-images@main/tools/batch-07/automotive-lug-wrenches.jpg" TargetMode="External"/><Relationship Id="rId1756" Type="http://schemas.openxmlformats.org/officeDocument/2006/relationships/hyperlink" Target="https://cdn.jsdelivr.net/gh/EngineerX1234/vocational-images@main/tools/batch-07/automotive-carbon-scrapers.jpg" TargetMode="External"/><Relationship Id="rId1757" Type="http://schemas.openxmlformats.org/officeDocument/2006/relationships/hyperlink" Target="https://cdn.jsdelivr.net/gh/EngineerX1234/vocational-images@main/tools/batch-07/automotive-gasket-scrapers.jpg" TargetMode="External"/><Relationship Id="rId1758" Type="http://schemas.openxmlformats.org/officeDocument/2006/relationships/hyperlink" Target="https://cdn.jsdelivr.net/gh/EngineerX1234/vocational-images@main/tools/batch-07/automotive-scrapers.jpg" TargetMode="External"/><Relationship Id="rId1759" Type="http://schemas.openxmlformats.org/officeDocument/2006/relationships/hyperlink" Target="https://cdn.jsdelivr.net/gh/EngineerX1234/vocational-images@main/tools/batch-07/automotive-spoons.jpg" TargetMode="External"/><Relationship Id="rId1760" Type="http://schemas.openxmlformats.org/officeDocument/2006/relationships/hyperlink" Target="https://cdn.jsdelivr.net/gh/EngineerX1234/vocational-images@main/tools/batch-07/automotive-spark-plug-cleaning-machine.jpg" TargetMode="External"/><Relationship Id="rId1761" Type="http://schemas.openxmlformats.org/officeDocument/2006/relationships/hyperlink" Target="https://cdn.jsdelivr.net/gh/EngineerX1234/vocational-images@main/tools/batch-07/automotive-multimeter.jpg" TargetMode="External"/><Relationship Id="rId1762" Type="http://schemas.openxmlformats.org/officeDocument/2006/relationships/hyperlink" Target="https://cdn.jsdelivr.net/gh/EngineerX1234/vocational-images@main/tools/batch-07/automotive-tachometer.jpg" TargetMode="External"/><Relationship Id="rId1763" Type="http://schemas.openxmlformats.org/officeDocument/2006/relationships/hyperlink" Target="https://cdn.jsdelivr.net/gh/EngineerX1234/vocational-images@main/tools/batch-07/automotive-compressor-gauge.jpg" TargetMode="External"/><Relationship Id="rId1764" Type="http://schemas.openxmlformats.org/officeDocument/2006/relationships/hyperlink" Target="https://cdn.jsdelivr.net/gh/EngineerX1234/vocational-images@main/tools/batch-07/automotive-jack-hydraulic.jpg" TargetMode="External"/><Relationship Id="rId1765" Type="http://schemas.openxmlformats.org/officeDocument/2006/relationships/hyperlink" Target="https://cdn.jsdelivr.net/gh/EngineerX1234/vocational-images@main/tools/batch-07/automotive-ramp.jpg" TargetMode="External"/><Relationship Id="rId1766" Type="http://schemas.openxmlformats.org/officeDocument/2006/relationships/hyperlink" Target="https://cdn.jsdelivr.net/gh/EngineerX1234/vocational-images@main/tools/batch-07/automotive-equipment-stands.jpg" TargetMode="External"/><Relationship Id="rId1767" Type="http://schemas.openxmlformats.org/officeDocument/2006/relationships/hyperlink" Target="https://cdn.jsdelivr.net/gh/EngineerX1234/vocational-images@main/tools/batch-07/automotive-oil-pressure-gauges.jpg" TargetMode="External"/><Relationship Id="rId1768" Type="http://schemas.openxmlformats.org/officeDocument/2006/relationships/hyperlink" Target="https://cdn.jsdelivr.net/gh/EngineerX1234/vocational-images@main/tools/batch-08/automotive-vernier.jpg" TargetMode="External"/><Relationship Id="rId1769" Type="http://schemas.openxmlformats.org/officeDocument/2006/relationships/hyperlink" Target="https://cdn.jsdelivr.net/gh/EngineerX1234/vocational-images@main/tools/batch-07/automotive-micrometer.jpg" TargetMode="External"/><Relationship Id="rId1770" Type="http://schemas.openxmlformats.org/officeDocument/2006/relationships/hyperlink" Target="https://cdn.jsdelivr.net/gh/EngineerX1234/vocational-images@main/tools/batch-07/automotive-feeler-gauges.jpg" TargetMode="External"/><Relationship Id="rId1771" Type="http://schemas.openxmlformats.org/officeDocument/2006/relationships/hyperlink" Target="https://cdn.jsdelivr.net/gh/EngineerX1234/vocational-images@main/tools/batch-07/automotive-flow-meter.jpg" TargetMode="External"/><Relationship Id="rId1772" Type="http://schemas.openxmlformats.org/officeDocument/2006/relationships/hyperlink" Target="https://cdn.jsdelivr.net/gh/EngineerX1234/vocational-images@main/tools/batch-07/automotive-dial-gauge.jpg" TargetMode="External"/><Relationship Id="rId1773" Type="http://schemas.openxmlformats.org/officeDocument/2006/relationships/hyperlink" Target="https://cdn.jsdelivr.net/gh/EngineerX1234/vocational-images@main/tools/batch-08/automotive-tensioning-equipment.jpg" TargetMode="External"/><Relationship Id="rId1774" Type="http://schemas.openxmlformats.org/officeDocument/2006/relationships/hyperlink" Target="https://cdn.jsdelivr.net/gh/EngineerX1234/vocational-images@main/tools/batch-07/automotive-suspension-activation.jpg" TargetMode="External"/><Relationship Id="rId1775" Type="http://schemas.openxmlformats.org/officeDocument/2006/relationships/hyperlink" Target="https://cdn.jsdelivr.net/gh/EngineerX1234/vocational-images@main/tools/batch-07/automotive-security-activator.jpg" TargetMode="External"/><Relationship Id="rId1776" Type="http://schemas.openxmlformats.org/officeDocument/2006/relationships/hyperlink" Target="https://cdn.jsdelivr.net/gh/EngineerX1234/vocational-images@main/tools/batch-10/electronics-compressor.jpg" TargetMode="External"/><Relationship Id="rId1777" Type="http://schemas.openxmlformats.org/officeDocument/2006/relationships/hyperlink" Target="https://cdn.jsdelivr.net/gh/EngineerX1234/vocational-images@main/tools/batch-07/automotive-brake-roller-tester.jpg" TargetMode="External"/><Relationship Id="rId1778" Type="http://schemas.openxmlformats.org/officeDocument/2006/relationships/hyperlink" Target="https://cdn.jsdelivr.net/gh/EngineerX1234/vocational-images@main/tools/batch-07/automotive-chassis-dynamometer.jpg" TargetMode="External"/><Relationship Id="rId1779" Type="http://schemas.openxmlformats.org/officeDocument/2006/relationships/hyperlink" Target="https://cdn.jsdelivr.net/gh/EngineerX1234/vocational-images@main/tools/batch-21/tourism-and-hospitality-lcd-projector.jpg" TargetMode="External"/><Relationship Id="rId1780" Type="http://schemas.openxmlformats.org/officeDocument/2006/relationships/hyperlink" Target="https://cdn.jsdelivr.net/gh/EngineerX1234/vocational-images@main/tools/batch-11/electronics-ups.jpg" TargetMode="External"/><Relationship Id="rId1781" Type="http://schemas.openxmlformats.org/officeDocument/2006/relationships/hyperlink" Target="https://cdn.jsdelivr.net/gh/EngineerX1234/vocational-images@main/tools/batch-13/food-processing-storage-containers.jpg" TargetMode="External"/><Relationship Id="rId1782" Type="http://schemas.openxmlformats.org/officeDocument/2006/relationships/hyperlink" Target="https://cdn.jsdelivr.net/gh/EngineerX1234/vocational-images@main/tools/batch-08/bfsi-paper-shredders.jpg" TargetMode="External"/><Relationship Id="rId1783" Type="http://schemas.openxmlformats.org/officeDocument/2006/relationships/hyperlink" Target="https://cdn.jsdelivr.net/gh/EngineerX1234/vocational-images@main/tools/batch-08/bfsi-printers-and-scanners.jpg" TargetMode="External"/><Relationship Id="rId1784" Type="http://schemas.openxmlformats.org/officeDocument/2006/relationships/hyperlink" Target="https://cdn.jsdelivr.net/gh/EngineerX1234/vocational-images@main/tools/batch-08/bfsi-external-storage-devices.jpg" TargetMode="External"/><Relationship Id="rId1785" Type="http://schemas.openxmlformats.org/officeDocument/2006/relationships/hyperlink" Target="https://cdn.jsdelivr.net/gh/EngineerX1234/vocational-images@main/tools/batch-08/bfsi-uninterruptible-power-supply-ups.jpg" TargetMode="External"/><Relationship Id="rId1786" Type="http://schemas.openxmlformats.org/officeDocument/2006/relationships/hyperlink" Target="https://cdn.jsdelivr.net/gh/EngineerX1234/vocational-images@main/tools/batch-08/bfsi-financial-calculators.jpg" TargetMode="External"/><Relationship Id="rId1787" Type="http://schemas.openxmlformats.org/officeDocument/2006/relationships/hyperlink" Target="https://cdn.jsdelivr.net/gh/EngineerX1234/vocational-images@main/tools/batch-08/bfsi-overhead-projector.jpg" TargetMode="External"/><Relationship Id="rId1788" Type="http://schemas.openxmlformats.org/officeDocument/2006/relationships/hyperlink" Target="https://cdn.jsdelivr.net/gh/EngineerX1234/vocational-images@main/tools/batch-17/it-ites-scanner.jpg" TargetMode="External"/><Relationship Id="rId1789" Type="http://schemas.openxmlformats.org/officeDocument/2006/relationships/hyperlink" Target="https://cdn.jsdelivr.net/gh/EngineerX1234/vocational-images@main/tools/batch-08/bfsi-multimedia-projector.jpg" TargetMode="External"/><Relationship Id="rId1790" Type="http://schemas.openxmlformats.org/officeDocument/2006/relationships/hyperlink" Target="https://cdn.jsdelivr.net/gh/EngineerX1234/vocational-images@main/tools/batch-08/bfsi-paper-shredders.jpg" TargetMode="External"/><Relationship Id="rId1791" Type="http://schemas.openxmlformats.org/officeDocument/2006/relationships/hyperlink" Target="https://cdn.jsdelivr.net/gh/EngineerX1234/vocational-images@main/tools/batch-08/bfsi-printers-and-scanners.jpg" TargetMode="External"/><Relationship Id="rId1792" Type="http://schemas.openxmlformats.org/officeDocument/2006/relationships/hyperlink" Target="https://cdn.jsdelivr.net/gh/EngineerX1234/vocational-images@main/tools/batch-08/bfsi-external-storage-devices.jpg" TargetMode="External"/><Relationship Id="rId1793" Type="http://schemas.openxmlformats.org/officeDocument/2006/relationships/hyperlink" Target="https://cdn.jsdelivr.net/gh/EngineerX1234/vocational-images@main/tools/batch-08/bfsi-uninterruptible-power-supply-ups.jpg" TargetMode="External"/><Relationship Id="rId1794" Type="http://schemas.openxmlformats.org/officeDocument/2006/relationships/hyperlink" Target="https://cdn.jsdelivr.net/gh/EngineerX1234/vocational-images@main/tools/batch-08/bfsi-paper-shredders.jpg" TargetMode="External"/><Relationship Id="rId1795" Type="http://schemas.openxmlformats.org/officeDocument/2006/relationships/hyperlink" Target="https://cdn.jsdelivr.net/gh/EngineerX1234/vocational-images@main/tools/batch-08/bfsi-printers-and-scanners.jpg" TargetMode="External"/><Relationship Id="rId1796" Type="http://schemas.openxmlformats.org/officeDocument/2006/relationships/hyperlink" Target="https://cdn.jsdelivr.net/gh/EngineerX1234/vocational-images@main/tools/batch-08/bfsi-uninterruptible-power-supply-ups.jpg" TargetMode="External"/><Relationship Id="rId1797" Type="http://schemas.openxmlformats.org/officeDocument/2006/relationships/hyperlink" Target="https://cdn.jsdelivr.net/gh/EngineerX1234/vocational-images@main/tools/batch-11/electronics-projector.jpg" TargetMode="External"/><Relationship Id="rId1798" Type="http://schemas.openxmlformats.org/officeDocument/2006/relationships/hyperlink" Target="https://cdn.jsdelivr.net/gh/EngineerX1234/vocational-images@main/tools/batch-08/bfsi-laptop-external-speakers.jpg" TargetMode="External"/><Relationship Id="rId1799" Type="http://schemas.openxmlformats.org/officeDocument/2006/relationships/hyperlink" Target="https://cdn.jsdelivr.net/gh/EngineerX1234/vocational-images@main/tools/batch-16/home-management-and-care-giving-duster.jpg" TargetMode="External"/><Relationship Id="rId1800" Type="http://schemas.openxmlformats.org/officeDocument/2006/relationships/hyperlink" Target="https://cdn.jsdelivr.net/gh/EngineerX1234/vocational-images@main/tools/batch-08/beauty-and-wellness-all-in-one-eyelash-brush-comb.jpg" TargetMode="External"/><Relationship Id="rId1801" Type="http://schemas.openxmlformats.org/officeDocument/2006/relationships/hyperlink" Target="https://cdn.jsdelivr.net/gh/EngineerX1234/vocational-images@main/tools/batch-08/beauty-and-wellness-all-propose-comb.jpg" TargetMode="External"/><Relationship Id="rId1802" Type="http://schemas.openxmlformats.org/officeDocument/2006/relationships/hyperlink" Target="https://cdn.jsdelivr.net/gh/EngineerX1234/vocational-images@main/tools/batch-08/beauty-and-wellness-applicator-brush.jpg" TargetMode="External"/><Relationship Id="rId1803" Type="http://schemas.openxmlformats.org/officeDocument/2006/relationships/hyperlink" Target="https://cdn.jsdelivr.net/gh/EngineerX1234/vocational-images@main/tools/batch-08/beauty-and-wellness-barber-brush.jpg" TargetMode="External"/><Relationship Id="rId1804" Type="http://schemas.openxmlformats.org/officeDocument/2006/relationships/hyperlink" Target="https://cdn.jsdelivr.net/gh/EngineerX1234/vocational-images@main/tools/batch-08/beauty-and-wellness-bath-comb.jpg" TargetMode="External"/><Relationship Id="rId1805" Type="http://schemas.openxmlformats.org/officeDocument/2006/relationships/hyperlink" Target="https://cdn.jsdelivr.net/gh/EngineerX1234/vocational-images@main/tools/batch-08/beauty-and-wellness-blackhead-remover.jpg" TargetMode="External"/><Relationship Id="rId1806" Type="http://schemas.openxmlformats.org/officeDocument/2006/relationships/hyperlink" Target="https://cdn.jsdelivr.net/gh/EngineerX1234/vocational-images@main/tools/batch-08/beauty-and-wellness-bleach-brush.jpg" TargetMode="External"/><Relationship Id="rId1807" Type="http://schemas.openxmlformats.org/officeDocument/2006/relationships/hyperlink" Target="https://cdn.jsdelivr.net/gh/EngineerX1234/vocational-images@main/tools/batch-08/beauty-and-wellness-complete-make-up-brushes-set.jpg" TargetMode="External"/><Relationship Id="rId1808" Type="http://schemas.openxmlformats.org/officeDocument/2006/relationships/hyperlink" Target="https://cdn.jsdelivr.net/gh/EngineerX1234/vocational-images@main/tools/batch-08/beauty-and-wellness-cutting-scissors.jpg" TargetMode="External"/><Relationship Id="rId1809" Type="http://schemas.openxmlformats.org/officeDocument/2006/relationships/hyperlink" Target="https://cdn.jsdelivr.net/gh/EngineerX1234/vocational-images@main/tools/batch-08/beauty-and-wellness-eyebrow-pencil-sharpener.jpg" TargetMode="External"/><Relationship Id="rId1810" Type="http://schemas.openxmlformats.org/officeDocument/2006/relationships/hyperlink" Target="https://cdn.jsdelivr.net/gh/EngineerX1234/vocational-images@main/tools/batch-08/beauty-and-wellness-foot-scraper.jpg" TargetMode="External"/><Relationship Id="rId1811" Type="http://schemas.openxmlformats.org/officeDocument/2006/relationships/hyperlink" Target="https://cdn.jsdelivr.net/gh/EngineerX1234/vocational-images@main/tools/batch-08/beauty-and-wellness-frosting-cap.jpg" TargetMode="External"/><Relationship Id="rId1812" Type="http://schemas.openxmlformats.org/officeDocument/2006/relationships/hyperlink" Target="https://cdn.jsdelivr.net/gh/EngineerX1234/vocational-images@main/tools/batch-08/beauty-and-wellness-hair-brush.jpg" TargetMode="External"/><Relationship Id="rId1813" Type="http://schemas.openxmlformats.org/officeDocument/2006/relationships/hyperlink" Target="https://cdn.jsdelivr.net/gh/EngineerX1234/vocational-images@main/tools/batch-08/beauty-and-wellness-hair-clips-set.jpg" TargetMode="External"/><Relationship Id="rId1814" Type="http://schemas.openxmlformats.org/officeDocument/2006/relationships/hyperlink" Target="https://cdn.jsdelivr.net/gh/EngineerX1234/vocational-images@main/tools/batch-08/beauty-and-wellness-hair-connector.jpg" TargetMode="External"/><Relationship Id="rId1815" Type="http://schemas.openxmlformats.org/officeDocument/2006/relationships/hyperlink" Target="https://cdn.jsdelivr.net/gh/EngineerX1234/vocational-images@main/tools/batch-08/beauty-and-wellness-hair-cutting-comb.jpg" TargetMode="External"/><Relationship Id="rId1816" Type="http://schemas.openxmlformats.org/officeDocument/2006/relationships/hyperlink" Target="https://cdn.jsdelivr.net/gh/EngineerX1234/vocational-images@main/tools/batch-08/beauty-and-wellness-hand-mirrors.jpg" TargetMode="External"/><Relationship Id="rId1817" Type="http://schemas.openxmlformats.org/officeDocument/2006/relationships/hyperlink" Target="https://cdn.jsdelivr.net/gh/EngineerX1234/vocational-images@main/tools/batch-08/beauty-and-wellness-large-tooth-comb.jpg" TargetMode="External"/><Relationship Id="rId1818" Type="http://schemas.openxmlformats.org/officeDocument/2006/relationships/hyperlink" Target="https://cdn.jsdelivr.net/gh/EngineerX1234/vocational-images@main/tools/batch-08/beauty-and-wellness-magnifying-glass.jpg" TargetMode="External"/><Relationship Id="rId1819" Type="http://schemas.openxmlformats.org/officeDocument/2006/relationships/hyperlink" Target="https://cdn.jsdelivr.net/gh/EngineerX1234/vocational-images@main/tools/batch-08/beauty-and-wellness-make-up-palate.jpg" TargetMode="External"/><Relationship Id="rId1820" Type="http://schemas.openxmlformats.org/officeDocument/2006/relationships/hyperlink" Target="https://cdn.jsdelivr.net/gh/EngineerX1234/vocational-images@main/tools/batch-08/beauty-and-wellness-manicure-set.jpg" TargetMode="External"/><Relationship Id="rId1821" Type="http://schemas.openxmlformats.org/officeDocument/2006/relationships/hyperlink" Target="https://cdn.jsdelivr.net/gh/EngineerX1234/vocational-images@main/tools/batch-08/beauty-and-wellness-measuring-spoon-sets.jpg" TargetMode="External"/><Relationship Id="rId1822" Type="http://schemas.openxmlformats.org/officeDocument/2006/relationships/hyperlink" Target="https://cdn.jsdelivr.net/gh/EngineerX1234/vocational-images@main/tools/batch-08/beauty-and-wellness-mixing-bowles-set.jpg" TargetMode="External"/><Relationship Id="rId1823" Type="http://schemas.openxmlformats.org/officeDocument/2006/relationships/hyperlink" Target="https://cdn.jsdelivr.net/gh/EngineerX1234/vocational-images@main/tools/batch-08/beauty-and-wellness-mop.jpg" TargetMode="External"/><Relationship Id="rId1824" Type="http://schemas.openxmlformats.org/officeDocument/2006/relationships/hyperlink" Target="https://cdn.jsdelivr.net/gh/EngineerX1234/vocational-images@main/tools/batch-08/beauty-and-wellness-needle-for-striking.jpg" TargetMode="External"/><Relationship Id="rId1825" Type="http://schemas.openxmlformats.org/officeDocument/2006/relationships/hyperlink" Target="https://cdn.jsdelivr.net/gh/EngineerX1234/vocational-images@main/tools/batch-08/beauty-and-wellness-pedicure-set.jpg" TargetMode="External"/><Relationship Id="rId1826" Type="http://schemas.openxmlformats.org/officeDocument/2006/relationships/hyperlink" Target="https://cdn.jsdelivr.net/gh/EngineerX1234/vocational-images@main/tools/batch-08/beauty-and-wellness-perming-cap.jpg" TargetMode="External"/><Relationship Id="rId1827" Type="http://schemas.openxmlformats.org/officeDocument/2006/relationships/hyperlink" Target="https://cdn.jsdelivr.net/gh/EngineerX1234/vocational-images@main/tools/batch-09/beauty-and-wellness-razor-with-blade.jpg" TargetMode="External"/><Relationship Id="rId1828" Type="http://schemas.openxmlformats.org/officeDocument/2006/relationships/hyperlink" Target="https://cdn.jsdelivr.net/gh/EngineerX1234/vocational-images@main/tools/batch-09/beauty-and-wellness-roller-brush-set-5-in-1.jpg" TargetMode="External"/><Relationship Id="rId1829" Type="http://schemas.openxmlformats.org/officeDocument/2006/relationships/hyperlink" Target="https://cdn.jsdelivr.net/gh/EngineerX1234/vocational-images@main/tools/batch-09/beauty-and-wellness-roller-pins.jpg" TargetMode="External"/><Relationship Id="rId1830" Type="http://schemas.openxmlformats.org/officeDocument/2006/relationships/hyperlink" Target="https://cdn.jsdelivr.net/gh/EngineerX1234/vocational-images@main/tools/batch-09/beauty-and-wellness-small-scissors.jpg" TargetMode="External"/><Relationship Id="rId1831" Type="http://schemas.openxmlformats.org/officeDocument/2006/relationships/hyperlink" Target="https://cdn.jsdelivr.net/gh/EngineerX1234/vocational-images@main/tools/batch-09/beauty-and-wellness-spatula.jpg" TargetMode="External"/><Relationship Id="rId1832" Type="http://schemas.openxmlformats.org/officeDocument/2006/relationships/hyperlink" Target="https://cdn.jsdelivr.net/gh/EngineerX1234/vocational-images@main/tools/batch-09/beauty-and-wellness-spray-bottle.jpg" TargetMode="External"/><Relationship Id="rId1833" Type="http://schemas.openxmlformats.org/officeDocument/2006/relationships/hyperlink" Target="https://cdn.jsdelivr.net/gh/EngineerX1234/vocational-images@main/tools/batch-09/beauty-and-wellness-tail-comb.jpg" TargetMode="External"/><Relationship Id="rId1834" Type="http://schemas.openxmlformats.org/officeDocument/2006/relationships/hyperlink" Target="https://cdn.jsdelivr.net/gh/EngineerX1234/vocational-images@main/tools/batch-09/beauty-and-wellness-thinning-scissors.jpg" TargetMode="External"/><Relationship Id="rId1835" Type="http://schemas.openxmlformats.org/officeDocument/2006/relationships/hyperlink" Target="https://cdn.jsdelivr.net/gh/EngineerX1234/vocational-images@main/tools/batch-09/beauty-and-wellness-tinting-brush-with-comb.jpg" TargetMode="External"/><Relationship Id="rId1836" Type="http://schemas.openxmlformats.org/officeDocument/2006/relationships/hyperlink" Target="https://cdn.jsdelivr.net/gh/EngineerX1234/vocational-images@main/tools/batch-09/beauty-and-wellness-tweezer.jpg" TargetMode="External"/><Relationship Id="rId1837" Type="http://schemas.openxmlformats.org/officeDocument/2006/relationships/hyperlink" Target="https://cdn.jsdelivr.net/gh/EngineerX1234/vocational-images@main/tools/batch-09/beauty-and-wellness-wide-toothed-comb.jpg" TargetMode="External"/><Relationship Id="rId1838" Type="http://schemas.openxmlformats.org/officeDocument/2006/relationships/hyperlink" Target="https://cdn.jsdelivr.net/gh/EngineerX1234/vocational-images@main/tools/batch-08/beauty-and-wellness-crimpers.jpg" TargetMode="External"/><Relationship Id="rId1839" Type="http://schemas.openxmlformats.org/officeDocument/2006/relationships/hyperlink" Target="https://cdn.jsdelivr.net/gh/EngineerX1234/vocational-images@main/tools/batch-08/beauty-and-wellness-curling-iron.jpg" TargetMode="External"/><Relationship Id="rId1840" Type="http://schemas.openxmlformats.org/officeDocument/2006/relationships/hyperlink" Target="https://cdn.jsdelivr.net/gh/EngineerX1234/vocational-images@main/tools/batch-08/beauty-and-wellness-double-wax-heater.jpg" TargetMode="External"/><Relationship Id="rId1841" Type="http://schemas.openxmlformats.org/officeDocument/2006/relationships/hyperlink" Target="https://cdn.jsdelivr.net/gh/EngineerX1234/vocational-images@main/tools/batch-08/beauty-and-wellness-electric-curler.jpg" TargetMode="External"/><Relationship Id="rId1842" Type="http://schemas.openxmlformats.org/officeDocument/2006/relationships/hyperlink" Target="https://cdn.jsdelivr.net/gh/EngineerX1234/vocational-images@main/tools/batch-08/beauty-and-wellness-exfoliation-machine.jpg" TargetMode="External"/><Relationship Id="rId1843" Type="http://schemas.openxmlformats.org/officeDocument/2006/relationships/hyperlink" Target="https://cdn.jsdelivr.net/gh/EngineerX1234/vocational-images@main/tools/batch-08/beauty-and-wellness-facial-steamer.jpg" TargetMode="External"/><Relationship Id="rId1844" Type="http://schemas.openxmlformats.org/officeDocument/2006/relationships/hyperlink" Target="https://cdn.jsdelivr.net/gh/EngineerX1234/vocational-images@main/tools/batch-08/beauty-and-wellness-foot-spa.jpg" TargetMode="External"/><Relationship Id="rId1845" Type="http://schemas.openxmlformats.org/officeDocument/2006/relationships/hyperlink" Target="https://cdn.jsdelivr.net/gh/EngineerX1234/vocational-images@main/tools/batch-08/beauty-and-wellness-galvanic-machine.jpg" TargetMode="External"/><Relationship Id="rId1846" Type="http://schemas.openxmlformats.org/officeDocument/2006/relationships/hyperlink" Target="https://cdn.jsdelivr.net/gh/EngineerX1234/vocational-images@main/tools/batch-08/beauty-and-wellness-hair-dryer.jpg" TargetMode="External"/><Relationship Id="rId1847" Type="http://schemas.openxmlformats.org/officeDocument/2006/relationships/hyperlink" Target="https://cdn.jsdelivr.net/gh/EngineerX1234/vocational-images@main/tools/batch-08/beauty-and-wellness-hair-steamer.jpg" TargetMode="External"/><Relationship Id="rId1848" Type="http://schemas.openxmlformats.org/officeDocument/2006/relationships/hyperlink" Target="https://cdn.jsdelivr.net/gh/EngineerX1234/vocational-images@main/tools/batch-08/beauty-and-wellness-infrared-lamp.jpg" TargetMode="External"/><Relationship Id="rId1849" Type="http://schemas.openxmlformats.org/officeDocument/2006/relationships/hyperlink" Target="https://cdn.jsdelivr.net/gh/EngineerX1234/vocational-images@main/tools/batch-08/beauty-and-wellness-paraffin-heater.jpg" TargetMode="External"/><Relationship Id="rId1850" Type="http://schemas.openxmlformats.org/officeDocument/2006/relationships/hyperlink" Target="https://cdn.jsdelivr.net/gh/EngineerX1234/vocational-images@main/tools/batch-09/beauty-and-wellness-sterilizer.jpg" TargetMode="External"/><Relationship Id="rId1851" Type="http://schemas.openxmlformats.org/officeDocument/2006/relationships/hyperlink" Target="https://cdn.jsdelivr.net/gh/EngineerX1234/vocational-images@main/tools/batch-09/beauty-and-wellness-stone-therapy-set.jpg" TargetMode="External"/><Relationship Id="rId1852" Type="http://schemas.openxmlformats.org/officeDocument/2006/relationships/hyperlink" Target="https://cdn.jsdelivr.net/gh/EngineerX1234/vocational-images@main/tools/batch-09/beauty-and-wellness-straightening-iron.jpg" TargetMode="External"/><Relationship Id="rId1853" Type="http://schemas.openxmlformats.org/officeDocument/2006/relationships/hyperlink" Target="https://cdn.jsdelivr.net/gh/EngineerX1234/vocational-images@main/tools/batch-09/beauty-and-wellness-timer.jpg" TargetMode="External"/><Relationship Id="rId1854" Type="http://schemas.openxmlformats.org/officeDocument/2006/relationships/hyperlink" Target="https://cdn.jsdelivr.net/gh/EngineerX1234/vocational-images@main/tools/batch-08/beauty-and-wellness-computer-with-internet.jpg" TargetMode="External"/><Relationship Id="rId1855" Type="http://schemas.openxmlformats.org/officeDocument/2006/relationships/hyperlink" Target="https://cdn.jsdelivr.net/gh/EngineerX1234/vocational-images@main/tools/batch-09/beauty-and-wellness-shampoo-bowl-set.jpg" TargetMode="External"/><Relationship Id="rId1856" Type="http://schemas.openxmlformats.org/officeDocument/2006/relationships/hyperlink" Target="https://cdn.jsdelivr.net/gh/EngineerX1234/vocational-images@main/tools/batch-09/beauty-and-wellness-shampoo-unit.jpg" TargetMode="External"/><Relationship Id="rId1857" Type="http://schemas.openxmlformats.org/officeDocument/2006/relationships/hyperlink" Target="https://cdn.jsdelivr.net/gh/EngineerX1234/vocational-images@main/tools/batch-09/beauty-and-wellness-section-clips.jpg" TargetMode="External"/><Relationship Id="rId1858" Type="http://schemas.openxmlformats.org/officeDocument/2006/relationships/hyperlink" Target="https://cdn.jsdelivr.net/gh/EngineerX1234/vocational-images@main/tools/batch-08/beauty-and-wellness-flat-brushes.jpg" TargetMode="External"/><Relationship Id="rId1859" Type="http://schemas.openxmlformats.org/officeDocument/2006/relationships/hyperlink" Target="https://cdn.jsdelivr.net/gh/EngineerX1234/vocational-images@main/tools/batch-08/beauty-and-wellness-paddle-bristle-brushes.jpg" TargetMode="External"/><Relationship Id="rId1860" Type="http://schemas.openxmlformats.org/officeDocument/2006/relationships/hyperlink" Target="https://cdn.jsdelivr.net/gh/EngineerX1234/vocational-images@main/tools/batch-09/beauty-and-wellness-vent-dressing-comb.jpg" TargetMode="External"/><Relationship Id="rId1861" Type="http://schemas.openxmlformats.org/officeDocument/2006/relationships/hyperlink" Target="https://cdn.jsdelivr.net/gh/EngineerX1234/vocational-images@main/tools/batch-08/beauty-and-wellness-back-comb.jpg" TargetMode="External"/><Relationship Id="rId1862" Type="http://schemas.openxmlformats.org/officeDocument/2006/relationships/hyperlink" Target="https://cdn.jsdelivr.net/gh/EngineerX1234/vocational-images@main/tools/batch-08/beauty-and-wellness-bendy-rollers.jpg" TargetMode="External"/><Relationship Id="rId1863" Type="http://schemas.openxmlformats.org/officeDocument/2006/relationships/hyperlink" Target="https://cdn.jsdelivr.net/gh/EngineerX1234/vocational-images@main/tools/batch-09/beauty-and-wellness-velcro-rollers.jpg" TargetMode="External"/><Relationship Id="rId1864" Type="http://schemas.openxmlformats.org/officeDocument/2006/relationships/hyperlink" Target="https://cdn.jsdelivr.net/gh/EngineerX1234/vocational-images@main/tools/batch-08/beauty-and-wellness-hi-lo-lighting-cap.jpg" TargetMode="External"/><Relationship Id="rId1865" Type="http://schemas.openxmlformats.org/officeDocument/2006/relationships/hyperlink" Target="https://cdn.jsdelivr.net/gh/EngineerX1234/vocational-images@main/tools/batch-08/beauty-and-wellness-curling-rods.jpg" TargetMode="External"/><Relationship Id="rId1866" Type="http://schemas.openxmlformats.org/officeDocument/2006/relationships/hyperlink" Target="https://cdn.jsdelivr.net/gh/EngineerX1234/vocational-images@main/tools/batch-08/beauty-and-wellness-cutting-scissors.jpg" TargetMode="External"/><Relationship Id="rId1867" Type="http://schemas.openxmlformats.org/officeDocument/2006/relationships/hyperlink" Target="https://cdn.jsdelivr.net/gh/EngineerX1234/vocational-images@main/tools/batch-08/beauty-and-wellness-frosting-cap.jpg" TargetMode="External"/><Relationship Id="rId1868" Type="http://schemas.openxmlformats.org/officeDocument/2006/relationships/hyperlink" Target="https://cdn.jsdelivr.net/gh/EngineerX1234/vocational-images@main/tools/batch-08/beauty-and-wellness-hair-connector.jpg" TargetMode="External"/><Relationship Id="rId1869" Type="http://schemas.openxmlformats.org/officeDocument/2006/relationships/hyperlink" Target="https://cdn.jsdelivr.net/gh/EngineerX1234/vocational-images@main/tools/batch-08/beauty-and-wellness-hair-cutting-comb.jpg" TargetMode="External"/><Relationship Id="rId1870" Type="http://schemas.openxmlformats.org/officeDocument/2006/relationships/hyperlink" Target="https://cdn.jsdelivr.net/gh/EngineerX1234/vocational-images@main/tools/batch-08/beauty-and-wellness-hand-mirrors.jpg" TargetMode="External"/><Relationship Id="rId1871" Type="http://schemas.openxmlformats.org/officeDocument/2006/relationships/hyperlink" Target="https://cdn.jsdelivr.net/gh/EngineerX1234/vocational-images@main/tools/batch-08/beauty-and-wellness-large-tooth-comb.jpg" TargetMode="External"/><Relationship Id="rId1872" Type="http://schemas.openxmlformats.org/officeDocument/2006/relationships/hyperlink" Target="https://cdn.jsdelivr.net/gh/EngineerX1234/vocational-images@main/tools/batch-08/beauty-and-wellness-measuring-spoon-sets.jpg" TargetMode="External"/><Relationship Id="rId1873" Type="http://schemas.openxmlformats.org/officeDocument/2006/relationships/hyperlink" Target="https://cdn.jsdelivr.net/gh/EngineerX1234/vocational-images@main/tools/batch-08/beauty-and-wellness-mixing-bowles-set.jpg" TargetMode="External"/><Relationship Id="rId1874" Type="http://schemas.openxmlformats.org/officeDocument/2006/relationships/hyperlink" Target="https://cdn.jsdelivr.net/gh/EngineerX1234/vocational-images@main/tools/batch-08/beauty-and-wellness-mop.jpg" TargetMode="External"/><Relationship Id="rId1875" Type="http://schemas.openxmlformats.org/officeDocument/2006/relationships/hyperlink" Target="https://cdn.jsdelivr.net/gh/EngineerX1234/vocational-images@main/tools/batch-08/beauty-and-wellness-needle-for-striking.jpg" TargetMode="External"/><Relationship Id="rId1876" Type="http://schemas.openxmlformats.org/officeDocument/2006/relationships/hyperlink" Target="https://cdn.jsdelivr.net/gh/EngineerX1234/vocational-images@main/tools/batch-08/beauty-and-wellness-perming-cap.jpg" TargetMode="External"/><Relationship Id="rId1877" Type="http://schemas.openxmlformats.org/officeDocument/2006/relationships/hyperlink" Target="https://cdn.jsdelivr.net/gh/EngineerX1234/vocational-images@main/tools/batch-09/beauty-and-wellness-razor-with-blade.jpg" TargetMode="External"/><Relationship Id="rId1878" Type="http://schemas.openxmlformats.org/officeDocument/2006/relationships/hyperlink" Target="https://cdn.jsdelivr.net/gh/EngineerX1234/vocational-images@main/tools/batch-09/beauty-and-wellness-roller-brush-set-5-in-1.jpg" TargetMode="External"/><Relationship Id="rId1879" Type="http://schemas.openxmlformats.org/officeDocument/2006/relationships/hyperlink" Target="https://cdn.jsdelivr.net/gh/EngineerX1234/vocational-images@main/tools/batch-09/beauty-and-wellness-small-scissors.jpg" TargetMode="External"/><Relationship Id="rId1880" Type="http://schemas.openxmlformats.org/officeDocument/2006/relationships/hyperlink" Target="https://cdn.jsdelivr.net/gh/EngineerX1234/vocational-images@main/tools/batch-09/beauty-and-wellness-spatula.jpg" TargetMode="External"/><Relationship Id="rId1881" Type="http://schemas.openxmlformats.org/officeDocument/2006/relationships/hyperlink" Target="https://cdn.jsdelivr.net/gh/EngineerX1234/vocational-images@main/tools/batch-09/beauty-and-wellness-spray-bottle.jpg" TargetMode="External"/><Relationship Id="rId1882" Type="http://schemas.openxmlformats.org/officeDocument/2006/relationships/hyperlink" Target="https://cdn.jsdelivr.net/gh/EngineerX1234/vocational-images@main/tools/batch-09/beauty-and-wellness-tinting-brush-with-comb.jpg" TargetMode="External"/><Relationship Id="rId1883" Type="http://schemas.openxmlformats.org/officeDocument/2006/relationships/hyperlink" Target="https://cdn.jsdelivr.net/gh/EngineerX1234/vocational-images@main/tools/batch-09/beauty-and-wellness-wide-toothed-comb.jpg" TargetMode="External"/><Relationship Id="rId1884" Type="http://schemas.openxmlformats.org/officeDocument/2006/relationships/hyperlink" Target="https://cdn.jsdelivr.net/gh/EngineerX1234/vocational-images@main/tools/batch-08/beauty-and-wellness-climazone.jpg" TargetMode="External"/><Relationship Id="rId1885" Type="http://schemas.openxmlformats.org/officeDocument/2006/relationships/hyperlink" Target="https://cdn.jsdelivr.net/gh/EngineerX1234/vocational-images@main/tools/batch-08/beauty-and-wellness-hot-rollers-with-pins.jpg" TargetMode="External"/><Relationship Id="rId1886" Type="http://schemas.openxmlformats.org/officeDocument/2006/relationships/hyperlink" Target="https://cdn.jsdelivr.net/gh/EngineerX1234/vocational-images@main/tools/batch-08/beauty-and-wellness-hood-dryer.jpg" TargetMode="External"/><Relationship Id="rId1887" Type="http://schemas.openxmlformats.org/officeDocument/2006/relationships/hyperlink" Target="https://cdn.jsdelivr.net/gh/EngineerX1234/vocational-images@main/tools/batch-08/beauty-and-wellness-crimpers.jpg" TargetMode="External"/><Relationship Id="rId1888" Type="http://schemas.openxmlformats.org/officeDocument/2006/relationships/hyperlink" Target="https://cdn.jsdelivr.net/gh/EngineerX1234/vocational-images@main/tools/batch-08/beauty-and-wellness-curling-iron.jpg" TargetMode="External"/><Relationship Id="rId1889" Type="http://schemas.openxmlformats.org/officeDocument/2006/relationships/hyperlink" Target="https://cdn.jsdelivr.net/gh/EngineerX1234/vocational-images@main/tools/batch-08/beauty-and-wellness-clippers.jpg" TargetMode="External"/><Relationship Id="rId1890" Type="http://schemas.openxmlformats.org/officeDocument/2006/relationships/hyperlink" Target="https://cdn.jsdelivr.net/gh/EngineerX1234/vocational-images@main/tools/batch-08/beauty-and-wellness-electric-curler.jpg" TargetMode="External"/><Relationship Id="rId1891" Type="http://schemas.openxmlformats.org/officeDocument/2006/relationships/hyperlink" Target="https://cdn.jsdelivr.net/gh/EngineerX1234/vocational-images@main/tools/batch-08/beauty-and-wellness-high-frequency.jpg" TargetMode="External"/><Relationship Id="rId1892" Type="http://schemas.openxmlformats.org/officeDocument/2006/relationships/hyperlink" Target="https://cdn.jsdelivr.net/gh/EngineerX1234/vocational-images@main/tools/batch-08/beauty-and-wellness-derma-scope.jpg" TargetMode="External"/><Relationship Id="rId1893" Type="http://schemas.openxmlformats.org/officeDocument/2006/relationships/hyperlink" Target="https://cdn.jsdelivr.net/gh/EngineerX1234/vocational-images@main/tools/batch-08/beauty-and-wellness-hair-steamer.jpg" TargetMode="External"/><Relationship Id="rId1894" Type="http://schemas.openxmlformats.org/officeDocument/2006/relationships/hyperlink" Target="https://cdn.jsdelivr.net/gh/EngineerX1234/vocational-images@main/tools/batch-09/beauty-and-wellness-shampoo-bowl-set.jpg" TargetMode="External"/><Relationship Id="rId1895" Type="http://schemas.openxmlformats.org/officeDocument/2006/relationships/hyperlink" Target="https://cdn.jsdelivr.net/gh/EngineerX1234/vocational-images@main/tools/batch-09/beauty-and-wellness-shampoo-unit.jpg" TargetMode="External"/><Relationship Id="rId1896" Type="http://schemas.openxmlformats.org/officeDocument/2006/relationships/hyperlink" Target="https://cdn.jsdelivr.net/gh/EngineerX1234/vocational-images@main/tools/batch-09/beauty-and-wellness-sterilizer.jpg" TargetMode="External"/><Relationship Id="rId1897" Type="http://schemas.openxmlformats.org/officeDocument/2006/relationships/hyperlink" Target="https://cdn.jsdelivr.net/gh/EngineerX1234/vocational-images@main/tools/batch-09/beauty-and-wellness-straightening-iron.jpg" TargetMode="External"/><Relationship Id="rId1898" Type="http://schemas.openxmlformats.org/officeDocument/2006/relationships/hyperlink" Target="https://cdn.jsdelivr.net/gh/EngineerX1234/vocational-images@main/tools/batch-09/beauty-and-wellness-timer.jpg" TargetMode="External"/><Relationship Id="rId1899" Type="http://schemas.openxmlformats.org/officeDocument/2006/relationships/hyperlink" Target="https://cdn.jsdelivr.net/gh/EngineerX1234/vocational-images@main/tools/batch-08/beauty-and-wellness-computer-with-internet.jpg" TargetMode="External"/><Relationship Id="rId1900" Type="http://schemas.openxmlformats.org/officeDocument/2006/relationships/hyperlink" Target="https://cdn.jsdelivr.net/gh/EngineerX1234/vocational-images@main/tools/batch-09/beauty-and-wellness-roller-pins.jpg" TargetMode="External"/><Relationship Id="rId1901" Type="http://schemas.openxmlformats.org/officeDocument/2006/relationships/hyperlink" Target="https://cdn.jsdelivr.net/gh/EngineerX1234/vocational-images@main/tools/batch-09/beauty-and-wellness-yoga-mats.jpg" TargetMode="External"/><Relationship Id="rId1902" Type="http://schemas.openxmlformats.org/officeDocument/2006/relationships/hyperlink" Target="https://cdn.jsdelivr.net/gh/EngineerX1234/vocational-images@main/tools/batch-09/beauty-and-wellness-straps.jpg" TargetMode="External"/><Relationship Id="rId1903" Type="http://schemas.openxmlformats.org/officeDocument/2006/relationships/hyperlink" Target="https://cdn.jsdelivr.net/gh/EngineerX1234/vocational-images@main/tools/batch-08/beauty-and-wellness-blankets.jpg" TargetMode="External"/><Relationship Id="rId1904" Type="http://schemas.openxmlformats.org/officeDocument/2006/relationships/hyperlink" Target="https://cdn.jsdelivr.net/gh/EngineerX1234/vocational-images@main/tools/batch-08/beauty-and-wellness-blocks.jpg" TargetMode="External"/><Relationship Id="rId1905" Type="http://schemas.openxmlformats.org/officeDocument/2006/relationships/hyperlink" Target="https://cdn.jsdelivr.net/gh/EngineerX1234/vocational-images@main/tools/batch-08/beauty-and-wellness-bolsters.jpg" TargetMode="External"/><Relationship Id="rId1906" Type="http://schemas.openxmlformats.org/officeDocument/2006/relationships/hyperlink" Target="https://cdn.jsdelivr.net/gh/EngineerX1234/vocational-images@main/tools/batch-08/beauty-and-wellness-meditation-cushions.jpg" TargetMode="External"/><Relationship Id="rId1907" Type="http://schemas.openxmlformats.org/officeDocument/2006/relationships/hyperlink" Target="https://cdn.jsdelivr.net/gh/EngineerX1234/vocational-images@main/tools/batch-08/beauty-and-wellness-eye-pillows-tissues-or-washable-cloth-to-cover-them.jpg" TargetMode="External"/><Relationship Id="rId1908" Type="http://schemas.openxmlformats.org/officeDocument/2006/relationships/hyperlink" Target="https://cdn.jsdelivr.net/gh/EngineerX1234/vocational-images@main/tools/batch-16/healthcare-yoga-mat.jpg" TargetMode="External"/><Relationship Id="rId1909" Type="http://schemas.openxmlformats.org/officeDocument/2006/relationships/hyperlink" Target="https://cdn.jsdelivr.net/gh/EngineerX1234/vocational-images@main/tools/batch-08/beauty-and-wellness-neti-pot.jpg" TargetMode="External"/><Relationship Id="rId1910" Type="http://schemas.openxmlformats.org/officeDocument/2006/relationships/hyperlink" Target="https://cdn.jsdelivr.net/gh/EngineerX1234/vocational-images@main/tools/batch-09/beauty-and-wellness-water-jug.jpg" TargetMode="External"/><Relationship Id="rId1911" Type="http://schemas.openxmlformats.org/officeDocument/2006/relationships/hyperlink" Target="https://cdn.jsdelivr.net/gh/EngineerX1234/vocational-images@main/tools/batch-09/beauty-and-wellness-projector-display-screen.jpg" TargetMode="External"/><Relationship Id="rId1912" Type="http://schemas.openxmlformats.org/officeDocument/2006/relationships/hyperlink" Target="https://cdn.jsdelivr.net/gh/EngineerX1234/vocational-images@main/tools/batch-09/capital-goods-triangular-scales.jpg" TargetMode="External"/><Relationship Id="rId1913" Type="http://schemas.openxmlformats.org/officeDocument/2006/relationships/hyperlink" Target="https://cdn.jsdelivr.net/gh/EngineerX1234/vocational-images@main/tools/batch-09/capital-goods-erasing-shield.jpg" TargetMode="External"/><Relationship Id="rId1914" Type="http://schemas.openxmlformats.org/officeDocument/2006/relationships/hyperlink" Target="https://cdn.jsdelivr.net/gh/EngineerX1234/vocational-images@main/tools/batch-09/capital-goods-t-square.jpg" TargetMode="External"/><Relationship Id="rId1915" Type="http://schemas.openxmlformats.org/officeDocument/2006/relationships/hyperlink" Target="https://cdn.jsdelivr.net/gh/EngineerX1234/vocational-images@main/tools/batch-09/capital-goods-triangles-30-60-and-45.jpg" TargetMode="External"/><Relationship Id="rId1916" Type="http://schemas.openxmlformats.org/officeDocument/2006/relationships/hyperlink" Target="https://cdn.jsdelivr.net/gh/EngineerX1234/vocational-images@main/tools/batch-10/electronics-compass.jpg" TargetMode="External"/><Relationship Id="rId1917" Type="http://schemas.openxmlformats.org/officeDocument/2006/relationships/hyperlink" Target="https://cdn.jsdelivr.net/gh/EngineerX1234/vocational-images@main/tools/batch-09/capital-goods-divider.jpg" TargetMode="External"/><Relationship Id="rId1918" Type="http://schemas.openxmlformats.org/officeDocument/2006/relationships/hyperlink" Target="https://cdn.jsdelivr.net/gh/EngineerX1234/vocational-images@main/tools/batch-09/capital-goods-protractor.jpg" TargetMode="External"/><Relationship Id="rId1919" Type="http://schemas.openxmlformats.org/officeDocument/2006/relationships/hyperlink" Target="https://cdn.jsdelivr.net/gh/EngineerX1234/vocational-images@main/tools/batch-09/capital-goods-portable-drafting-board.jpg" TargetMode="External"/><Relationship Id="rId1920" Type="http://schemas.openxmlformats.org/officeDocument/2006/relationships/hyperlink" Target="https://cdn.jsdelivr.net/gh/EngineerX1234/vocational-images@main/tools/batch-09/capital-goods-french-curve.jpg" TargetMode="External"/><Relationship Id="rId1921" Type="http://schemas.openxmlformats.org/officeDocument/2006/relationships/hyperlink" Target="https://cdn.jsdelivr.net/gh/EngineerX1234/vocational-images@main/tools/batch-09/capital-goods-ruling-pen.jpg" TargetMode="External"/><Relationship Id="rId1922" Type="http://schemas.openxmlformats.org/officeDocument/2006/relationships/hyperlink" Target="https://cdn.jsdelivr.net/gh/EngineerX1234/vocational-images@main/tools/batch-09/capital-goods-speedball-pens.jpg" TargetMode="External"/><Relationship Id="rId1923" Type="http://schemas.openxmlformats.org/officeDocument/2006/relationships/hyperlink" Target="https://cdn.jsdelivr.net/gh/EngineerX1234/vocational-images@main/tools/batch-09/capital-goods-drafting-machine.jpg" TargetMode="External"/><Relationship Id="rId1924" Type="http://schemas.openxmlformats.org/officeDocument/2006/relationships/hyperlink" Target="https://cdn.jsdelivr.net/gh/EngineerX1234/vocational-images@main/tools/batch-09/capital-goods-blueprint-machine.jpg" TargetMode="External"/><Relationship Id="rId1925" Type="http://schemas.openxmlformats.org/officeDocument/2006/relationships/hyperlink" Target="https://cdn.jsdelivr.net/gh/EngineerX1234/vocational-images@main/tools/batch-14/green-jobs-tool-kit-2.jpg" TargetMode="External"/><Relationship Id="rId1926" Type="http://schemas.openxmlformats.org/officeDocument/2006/relationships/hyperlink" Target="https://cdn.jsdelivr.net/gh/EngineerX1234/vocational-images@main/tools/batch-13/green-jobs-double-ended-flat-spanner.jpg" TargetMode="External"/><Relationship Id="rId1927" Type="http://schemas.openxmlformats.org/officeDocument/2006/relationships/hyperlink" Target="https://cdn.jsdelivr.net/gh/EngineerX1234/vocational-images@main/tools/batch-13/green-jobs-double-ended-ring-spanner.jpg" TargetMode="External"/><Relationship Id="rId1928" Type="http://schemas.openxmlformats.org/officeDocument/2006/relationships/hyperlink" Target="https://cdn.jsdelivr.net/gh/EngineerX1234/vocational-images@main/tools/batch-13/green-jobs-combination-pliers.jpg" TargetMode="External"/><Relationship Id="rId1929" Type="http://schemas.openxmlformats.org/officeDocument/2006/relationships/hyperlink" Target="https://cdn.jsdelivr.net/gh/EngineerX1234/vocational-images@main/tools/batch-14/green-jobs-side-cutting-pliers.jpg" TargetMode="External"/><Relationship Id="rId1930" Type="http://schemas.openxmlformats.org/officeDocument/2006/relationships/hyperlink" Target="https://cdn.jsdelivr.net/gh/EngineerX1234/vocational-images@main/tools/batch-14/green-jobs-nose-pliers-2.jpg" TargetMode="External"/><Relationship Id="rId1931" Type="http://schemas.openxmlformats.org/officeDocument/2006/relationships/hyperlink" Target="https://cdn.jsdelivr.net/gh/EngineerX1234/vocational-images@main/tools/batch-14/green-jobs-wire-stripper-2.jpg" TargetMode="External"/><Relationship Id="rId1932" Type="http://schemas.openxmlformats.org/officeDocument/2006/relationships/hyperlink" Target="https://cdn.jsdelivr.net/gh/EngineerX1234/vocational-images@main/tools/batch-13/green-jobs-electrician-knife-2.jpg" TargetMode="External"/><Relationship Id="rId1933" Type="http://schemas.openxmlformats.org/officeDocument/2006/relationships/hyperlink" Target="https://cdn.jsdelivr.net/gh/EngineerX1234/vocational-images@main/tools/batch-13/green-jobs-hacksaw-frame-with-blade.jpg" TargetMode="External"/><Relationship Id="rId1934" Type="http://schemas.openxmlformats.org/officeDocument/2006/relationships/hyperlink" Target="https://cdn.jsdelivr.net/gh/EngineerX1234/vocational-images@main/tools/batch-13/green-jobs-cable-cutter-2.jpg" TargetMode="External"/><Relationship Id="rId1935" Type="http://schemas.openxmlformats.org/officeDocument/2006/relationships/hyperlink" Target="https://cdn.jsdelivr.net/gh/EngineerX1234/vocational-images@main/tools/batch-14/green-jobs-screw-driver.jpg" TargetMode="External"/><Relationship Id="rId1936" Type="http://schemas.openxmlformats.org/officeDocument/2006/relationships/hyperlink" Target="https://cdn.jsdelivr.net/gh/EngineerX1234/vocational-images@main/tools/batch-14/green-jobs-measuring-tape-2.jpg" TargetMode="External"/><Relationship Id="rId1937" Type="http://schemas.openxmlformats.org/officeDocument/2006/relationships/hyperlink" Target="https://cdn.jsdelivr.net/gh/EngineerX1234/vocational-images@main/tools/batch-13/green-jobs-centre-punch-2.jpg" TargetMode="External"/><Relationship Id="rId1938" Type="http://schemas.openxmlformats.org/officeDocument/2006/relationships/hyperlink" Target="https://cdn.jsdelivr.net/gh/EngineerX1234/vocational-images@main/tools/batch-14/green-jobs-standard-wire-gauge-2.jpg" TargetMode="External"/><Relationship Id="rId1939" Type="http://schemas.openxmlformats.org/officeDocument/2006/relationships/hyperlink" Target="https://cdn.jsdelivr.net/gh/EngineerX1234/vocational-images@main/tools/batch-13/green-jobs-chisel.jpg" TargetMode="External"/><Relationship Id="rId1940" Type="http://schemas.openxmlformats.org/officeDocument/2006/relationships/hyperlink" Target="https://cdn.jsdelivr.net/gh/EngineerX1234/vocational-images@main/tools/batch-14/green-jobs-plumb-bob-2.jpg" TargetMode="External"/><Relationship Id="rId1941" Type="http://schemas.openxmlformats.org/officeDocument/2006/relationships/hyperlink" Target="https://cdn.jsdelivr.net/gh/EngineerX1234/vocational-images@main/tools/batch-13/green-jobs-flat-file.jpg" TargetMode="External"/><Relationship Id="rId1942" Type="http://schemas.openxmlformats.org/officeDocument/2006/relationships/hyperlink" Target="https://cdn.jsdelivr.net/gh/EngineerX1234/vocational-images@main/tools/batch-14/green-jobs-round-file.jpg" TargetMode="External"/><Relationship Id="rId1943" Type="http://schemas.openxmlformats.org/officeDocument/2006/relationships/hyperlink" Target="https://cdn.jsdelivr.net/gh/EngineerX1234/vocational-images@main/tools/batch-14/green-jobs-triangle-file.jpg" TargetMode="External"/><Relationship Id="rId1944" Type="http://schemas.openxmlformats.org/officeDocument/2006/relationships/hyperlink" Target="https://cdn.jsdelivr.net/gh/EngineerX1234/vocational-images@main/tools/batch-14/green-jobs-hand-saw.jpg" TargetMode="External"/><Relationship Id="rId1945" Type="http://schemas.openxmlformats.org/officeDocument/2006/relationships/hyperlink" Target="https://cdn.jsdelivr.net/gh/EngineerX1234/vocational-images@main/tools/batch-14/green-jobs-pvc-mallet-2.jpg" TargetMode="External"/><Relationship Id="rId1946" Type="http://schemas.openxmlformats.org/officeDocument/2006/relationships/hyperlink" Target="https://cdn.jsdelivr.net/gh/EngineerX1234/vocational-images@main/tools/batch-14/green-jobs-hammer-2.jpg" TargetMode="External"/><Relationship Id="rId1947" Type="http://schemas.openxmlformats.org/officeDocument/2006/relationships/hyperlink" Target="https://cdn.jsdelivr.net/gh/EngineerX1234/vocational-images@main/tools/batch-14/green-jobs-soldering-iron-2.jpg" TargetMode="External"/><Relationship Id="rId1948" Type="http://schemas.openxmlformats.org/officeDocument/2006/relationships/hyperlink" Target="https://cdn.jsdelivr.net/gh/EngineerX1234/vocational-images@main/tools/batch-14/green-jobs-phase-tester.jpg" TargetMode="External"/><Relationship Id="rId1949" Type="http://schemas.openxmlformats.org/officeDocument/2006/relationships/hyperlink" Target="https://cdn.jsdelivr.net/gh/EngineerX1234/vocational-images@main/tools/batch-13/green-jobs-drill-machine-2.jpg" TargetMode="External"/><Relationship Id="rId1950" Type="http://schemas.openxmlformats.org/officeDocument/2006/relationships/hyperlink" Target="https://cdn.jsdelivr.net/gh/EngineerX1234/vocational-images@main/tools/batch-13/green-jobs-earth-tester-2.jpg" TargetMode="External"/><Relationship Id="rId1951" Type="http://schemas.openxmlformats.org/officeDocument/2006/relationships/hyperlink" Target="https://cdn.jsdelivr.net/gh/EngineerX1234/vocational-images@main/tools/batch-13/green-jobs-clamp-meter-2.jpg" TargetMode="External"/><Relationship Id="rId1952" Type="http://schemas.openxmlformats.org/officeDocument/2006/relationships/hyperlink" Target="https://cdn.jsdelivr.net/gh/EngineerX1234/vocational-images@main/tools/batch-14/green-jobs-multimeter-2.jpg" TargetMode="External"/><Relationship Id="rId1953" Type="http://schemas.openxmlformats.org/officeDocument/2006/relationships/hyperlink" Target="https://cdn.jsdelivr.net/gh/EngineerX1234/vocational-images@main/tools/batch-14/green-jobs-megger.jpg" TargetMode="External"/><Relationship Id="rId1954" Type="http://schemas.openxmlformats.org/officeDocument/2006/relationships/hyperlink" Target="https://cdn.jsdelivr.net/gh/EngineerX1234/vocational-images@main/tools/batch-14/green-jobs-water-testing-instrument-tds-meter.jpg" TargetMode="External"/><Relationship Id="rId1955" Type="http://schemas.openxmlformats.org/officeDocument/2006/relationships/hyperlink" Target="https://cdn.jsdelivr.net/gh/EngineerX1234/vocational-images@main/tools/batch-14/green-jobs-projector.jpg" TargetMode="External"/><Relationship Id="rId1956" Type="http://schemas.openxmlformats.org/officeDocument/2006/relationships/hyperlink" Target="https://cdn.jsdelivr.net/gh/EngineerX1234/vocational-images@main/tools/batch-14/green-jobs-line-dori.jpg" TargetMode="External"/><Relationship Id="rId1957" Type="http://schemas.openxmlformats.org/officeDocument/2006/relationships/hyperlink" Target="https://cdn.jsdelivr.net/gh/EngineerX1234/vocational-images@main/tools/batch-09/construction-plumb-rule-and-bob.jpg" TargetMode="External"/><Relationship Id="rId1958" Type="http://schemas.openxmlformats.org/officeDocument/2006/relationships/hyperlink" Target="https://cdn.jsdelivr.net/gh/EngineerX1234/vocational-images@main/tools/batch-10/construction-spirit-level.jpg" TargetMode="External"/><Relationship Id="rId1959" Type="http://schemas.openxmlformats.org/officeDocument/2006/relationships/hyperlink" Target="https://cdn.jsdelivr.net/gh/EngineerX1234/vocational-images@main/tools/batch-10/construction-square.jpg" TargetMode="External"/><Relationship Id="rId1960" Type="http://schemas.openxmlformats.org/officeDocument/2006/relationships/hyperlink" Target="https://cdn.jsdelivr.net/gh/EngineerX1234/vocational-images@main/tools/batch-09/construction-line-and-pins.jpg" TargetMode="External"/><Relationship Id="rId1961" Type="http://schemas.openxmlformats.org/officeDocument/2006/relationships/hyperlink" Target="https://cdn.jsdelivr.net/gh/EngineerX1234/vocational-images@main/tools/batch-09/construction-bolster.jpg" TargetMode="External"/><Relationship Id="rId1962" Type="http://schemas.openxmlformats.org/officeDocument/2006/relationships/hyperlink" Target="https://cdn.jsdelivr.net/gh/EngineerX1234/vocational-images@main/tools/batch-09/construction-brick-hammer.jpg" TargetMode="External"/><Relationship Id="rId1963" Type="http://schemas.openxmlformats.org/officeDocument/2006/relationships/hyperlink" Target="https://cdn.jsdelivr.net/gh/EngineerX1234/vocational-images@main/tools/batch-10/construction-scutch.jpg" TargetMode="External"/><Relationship Id="rId1964" Type="http://schemas.openxmlformats.org/officeDocument/2006/relationships/hyperlink" Target="https://cdn.jsdelivr.net/gh/EngineerX1234/vocational-images@main/tools/batch-09/construction-pick-axe.jpg" TargetMode="External"/><Relationship Id="rId1965" Type="http://schemas.openxmlformats.org/officeDocument/2006/relationships/hyperlink" Target="https://cdn.jsdelivr.net/gh/EngineerX1234/vocational-images@main/tools/batch-09/construction-chisel.jpg" TargetMode="External"/><Relationship Id="rId1966" Type="http://schemas.openxmlformats.org/officeDocument/2006/relationships/hyperlink" Target="https://cdn.jsdelivr.net/gh/EngineerX1234/vocational-images@main/tools/batch-09/construction-mash-hammer.jpg" TargetMode="External"/><Relationship Id="rId1967" Type="http://schemas.openxmlformats.org/officeDocument/2006/relationships/hyperlink" Target="https://cdn.jsdelivr.net/gh/EngineerX1234/vocational-images@main/tools/batch-09/construction-boaster.jpg" TargetMode="External"/><Relationship Id="rId1968" Type="http://schemas.openxmlformats.org/officeDocument/2006/relationships/hyperlink" Target="https://cdn.jsdelivr.net/gh/EngineerX1234/vocational-images@main/tools/batch-10/construction-spall-hammer.jpg" TargetMode="External"/><Relationship Id="rId1969" Type="http://schemas.openxmlformats.org/officeDocument/2006/relationships/hyperlink" Target="https://cdn.jsdelivr.net/gh/EngineerX1234/vocational-images@main/tools/batch-10/construction-scrabbling-hammer.jpg" TargetMode="External"/><Relationship Id="rId1970" Type="http://schemas.openxmlformats.org/officeDocument/2006/relationships/hyperlink" Target="https://cdn.jsdelivr.net/gh/EngineerX1234/vocational-images@main/tools/batch-09/construction-bevel.jpg" TargetMode="External"/><Relationship Id="rId1971" Type="http://schemas.openxmlformats.org/officeDocument/2006/relationships/hyperlink" Target="https://cdn.jsdelivr.net/gh/EngineerX1234/vocational-images@main/tools/batch-10/construction-spade.jpg" TargetMode="External"/><Relationship Id="rId1972" Type="http://schemas.openxmlformats.org/officeDocument/2006/relationships/hyperlink" Target="https://cdn.jsdelivr.net/gh/EngineerX1234/vocational-images@main/tools/batch-09/construction-picks-and-beaters.jpg" TargetMode="External"/><Relationship Id="rId1973" Type="http://schemas.openxmlformats.org/officeDocument/2006/relationships/hyperlink" Target="https://cdn.jsdelivr.net/gh/EngineerX1234/vocational-images@main/tools/batch-10/construction-wooden-float.jpg" TargetMode="External"/><Relationship Id="rId1974" Type="http://schemas.openxmlformats.org/officeDocument/2006/relationships/hyperlink" Target="https://cdn.jsdelivr.net/gh/EngineerX1234/vocational-images@main/tools/batch-09/construction-metal-float.jpg" TargetMode="External"/><Relationship Id="rId1975" Type="http://schemas.openxmlformats.org/officeDocument/2006/relationships/hyperlink" Target="https://cdn.jsdelivr.net/gh/EngineerX1234/vocational-images@main/tools/batch-09/construction-floating-rule.jpg" TargetMode="External"/><Relationship Id="rId1976" Type="http://schemas.openxmlformats.org/officeDocument/2006/relationships/hyperlink" Target="https://cdn.jsdelivr.net/gh/EngineerX1234/vocational-images@main/tools/batch-09/construction-hacking-tool.jpg" TargetMode="External"/><Relationship Id="rId1977" Type="http://schemas.openxmlformats.org/officeDocument/2006/relationships/hyperlink" Target="https://cdn.jsdelivr.net/gh/EngineerX1234/vocational-images@main/tools/batch-10/construction-scratcher.jpg" TargetMode="External"/><Relationship Id="rId1978" Type="http://schemas.openxmlformats.org/officeDocument/2006/relationships/hyperlink" Target="https://cdn.jsdelivr.net/gh/EngineerX1234/vocational-images@main/tools/batch-10/construction-spade.jpg" TargetMode="External"/><Relationship Id="rId1979" Type="http://schemas.openxmlformats.org/officeDocument/2006/relationships/hyperlink" Target="https://cdn.jsdelivr.net/gh/EngineerX1234/vocational-images@main/tools/batch-10/construction-trowel-khurpi.jpg" TargetMode="External"/><Relationship Id="rId1980" Type="http://schemas.openxmlformats.org/officeDocument/2006/relationships/hyperlink" Target="https://cdn.jsdelivr.net/gh/EngineerX1234/vocational-images@main/tools/batch-09/construction-measuring-tape-ruler.jpg" TargetMode="External"/><Relationship Id="rId1981" Type="http://schemas.openxmlformats.org/officeDocument/2006/relationships/hyperlink" Target="https://cdn.jsdelivr.net/gh/EngineerX1234/vocational-images@main/tools/batch-09/construction-ladder.jpg" TargetMode="External"/><Relationship Id="rId1982" Type="http://schemas.openxmlformats.org/officeDocument/2006/relationships/hyperlink" Target="https://cdn.jsdelivr.net/gh/EngineerX1234/vocational-images@main/tools/batch-10/construction-scale.jpg" TargetMode="External"/><Relationship Id="rId1983" Type="http://schemas.openxmlformats.org/officeDocument/2006/relationships/hyperlink" Target="https://cdn.jsdelivr.net/gh/EngineerX1234/vocational-images@main/tools/batch-10/construction-square.jpg" TargetMode="External"/><Relationship Id="rId1984" Type="http://schemas.openxmlformats.org/officeDocument/2006/relationships/hyperlink" Target="https://cdn.jsdelivr.net/gh/EngineerX1234/vocational-images@main/tools/batch-10/construction-water-level-tube.jpg" TargetMode="External"/><Relationship Id="rId1985" Type="http://schemas.openxmlformats.org/officeDocument/2006/relationships/hyperlink" Target="https://cdn.jsdelivr.net/gh/EngineerX1234/vocational-images@main/tools/batch-10/construction-spirit-level.jpg" TargetMode="External"/><Relationship Id="rId1986" Type="http://schemas.openxmlformats.org/officeDocument/2006/relationships/hyperlink" Target="https://cdn.jsdelivr.net/gh/EngineerX1234/vocational-images@main/tools/batch-11/electronics-plumb-bob.jpg" TargetMode="External"/><Relationship Id="rId1987" Type="http://schemas.openxmlformats.org/officeDocument/2006/relationships/hyperlink" Target="https://cdn.jsdelivr.net/gh/EngineerX1234/vocational-images@main/tools/batch-10/construction-rollers.jpg" TargetMode="External"/><Relationship Id="rId1988" Type="http://schemas.openxmlformats.org/officeDocument/2006/relationships/hyperlink" Target="https://cdn.jsdelivr.net/gh/EngineerX1234/vocational-images@main/tools/batch-01/agriculture-brushes.jpg" TargetMode="External"/><Relationship Id="rId1989" Type="http://schemas.openxmlformats.org/officeDocument/2006/relationships/hyperlink" Target="https://cdn.jsdelivr.net/gh/EngineerX1234/vocational-images@main/tools/batch-09/construction-paint-bucket.jpg" TargetMode="External"/><Relationship Id="rId1990" Type="http://schemas.openxmlformats.org/officeDocument/2006/relationships/hyperlink" Target="https://cdn.jsdelivr.net/gh/EngineerX1234/vocational-images@main/tools/batch-09/construction-paint-stirrers.jpg" TargetMode="External"/><Relationship Id="rId1991" Type="http://schemas.openxmlformats.org/officeDocument/2006/relationships/hyperlink" Target="https://cdn.jsdelivr.net/gh/EngineerX1234/vocational-images@main/tools/batch-10/construction-scrappers.jpg" TargetMode="External"/><Relationship Id="rId1992" Type="http://schemas.openxmlformats.org/officeDocument/2006/relationships/hyperlink" Target="https://cdn.jsdelivr.net/gh/EngineerX1234/vocational-images@main/tools/batch-10/construction-putty-knife.jpg" TargetMode="External"/><Relationship Id="rId1993" Type="http://schemas.openxmlformats.org/officeDocument/2006/relationships/hyperlink" Target="https://cdn.jsdelivr.net/gh/EngineerX1234/vocational-images@main/tools/batch-09/construction-chisel-knife.jpg" TargetMode="External"/><Relationship Id="rId1994" Type="http://schemas.openxmlformats.org/officeDocument/2006/relationships/hyperlink" Target="https://cdn.jsdelivr.net/gh/EngineerX1234/vocational-images@main/tools/batch-09/construction-knotting-brush.jpg" TargetMode="External"/><Relationship Id="rId1995" Type="http://schemas.openxmlformats.org/officeDocument/2006/relationships/hyperlink" Target="https://cdn.jsdelivr.net/gh/EngineerX1234/vocational-images@main/tools/batch-09/construction-nail-punch.jpg" TargetMode="External"/><Relationship Id="rId1996" Type="http://schemas.openxmlformats.org/officeDocument/2006/relationships/hyperlink" Target="https://cdn.jsdelivr.net/gh/EngineerX1234/vocational-images@main/tools/batch-09/construction-hammer.jpg" TargetMode="External"/><Relationship Id="rId1997" Type="http://schemas.openxmlformats.org/officeDocument/2006/relationships/hyperlink" Target="https://cdn.jsdelivr.net/gh/EngineerX1234/vocational-images@main/tools/batch-09/construction-dusting-brush.jpg" TargetMode="External"/><Relationship Id="rId1998" Type="http://schemas.openxmlformats.org/officeDocument/2006/relationships/hyperlink" Target="https://cdn.jsdelivr.net/gh/EngineerX1234/vocational-images@main/tools/batch-10/construction-wire-brushes.jpg" TargetMode="External"/><Relationship Id="rId1999" Type="http://schemas.openxmlformats.org/officeDocument/2006/relationships/hyperlink" Target="https://cdn.jsdelivr.net/gh/EngineerX1234/vocational-images@main/tools/batch-09/construction-filling-knife.jpg" TargetMode="External"/><Relationship Id="rId2000" Type="http://schemas.openxmlformats.org/officeDocument/2006/relationships/hyperlink" Target="https://cdn.jsdelivr.net/gh/EngineerX1234/vocational-images@main/tools/batch-09/construction-filling-board.jpg" TargetMode="External"/><Relationship Id="rId2001" Type="http://schemas.openxmlformats.org/officeDocument/2006/relationships/hyperlink" Target="https://cdn.jsdelivr.net/gh/EngineerX1234/vocational-images@main/tools/batch-09/construction-painting-edger.jpg" TargetMode="External"/><Relationship Id="rId2002" Type="http://schemas.openxmlformats.org/officeDocument/2006/relationships/hyperlink" Target="https://cdn.jsdelivr.net/gh/EngineerX1234/vocational-images@main/tools/batch-10/construction-sanders-grinders.jpg" TargetMode="External"/><Relationship Id="rId2003" Type="http://schemas.openxmlformats.org/officeDocument/2006/relationships/hyperlink" Target="https://cdn.jsdelivr.net/gh/EngineerX1234/vocational-images@main/tools/batch-09/construction-projector-led-monitor.jpg" TargetMode="External"/><Relationship Id="rId2004" Type="http://schemas.openxmlformats.org/officeDocument/2006/relationships/hyperlink" Target="https://cdn.jsdelivr.net/gh/EngineerX1234/vocational-images@main/tools/batch-09/construction-computer-system.jpg" TargetMode="External"/><Relationship Id="rId2005" Type="http://schemas.openxmlformats.org/officeDocument/2006/relationships/hyperlink" Target="https://cdn.jsdelivr.net/gh/EngineerX1234/vocational-images@main/tools/batch-09/construction-arrows.jpg" TargetMode="External"/><Relationship Id="rId2006" Type="http://schemas.openxmlformats.org/officeDocument/2006/relationships/hyperlink" Target="https://cdn.jsdelivr.net/gh/EngineerX1234/vocational-images@main/tools/batch-09/construction-pegs.jpg" TargetMode="External"/><Relationship Id="rId2007" Type="http://schemas.openxmlformats.org/officeDocument/2006/relationships/hyperlink" Target="https://cdn.jsdelivr.net/gh/EngineerX1234/vocational-images@main/tools/batch-10/construction-ranging-rod.jpg" TargetMode="External"/><Relationship Id="rId2008" Type="http://schemas.openxmlformats.org/officeDocument/2006/relationships/hyperlink" Target="https://cdn.jsdelivr.net/gh/EngineerX1234/vocational-images@main/tools/batch-09/construction-offset-rod.jpg" TargetMode="External"/><Relationship Id="rId2009" Type="http://schemas.openxmlformats.org/officeDocument/2006/relationships/hyperlink" Target="https://cdn.jsdelivr.net/gh/EngineerX1234/vocational-images@main/tools/batch-11/electronics-plumb-bob.jpg" TargetMode="External"/><Relationship Id="rId2010" Type="http://schemas.openxmlformats.org/officeDocument/2006/relationships/hyperlink" Target="https://cdn.jsdelivr.net/gh/EngineerX1234/vocational-images@main/tools/batch-09/construction-levelling-staff.jpg" TargetMode="External"/><Relationship Id="rId2011" Type="http://schemas.openxmlformats.org/officeDocument/2006/relationships/hyperlink" Target="https://cdn.jsdelivr.net/gh/EngineerX1234/vocational-images@main/tools/batch-10/construction-triangular-scales.jpg" TargetMode="External"/><Relationship Id="rId2012" Type="http://schemas.openxmlformats.org/officeDocument/2006/relationships/hyperlink" Target="https://cdn.jsdelivr.net/gh/EngineerX1234/vocational-images@main/tools/batch-09/construction-erasing-shield.jpg" TargetMode="External"/><Relationship Id="rId2013" Type="http://schemas.openxmlformats.org/officeDocument/2006/relationships/hyperlink" Target="https://cdn.jsdelivr.net/gh/EngineerX1234/vocational-images@main/tools/batch-10/construction-t-square.jpg" TargetMode="External"/><Relationship Id="rId2014" Type="http://schemas.openxmlformats.org/officeDocument/2006/relationships/hyperlink" Target="https://cdn.jsdelivr.net/gh/EngineerX1234/vocational-images@main/tools/batch-10/construction-triangles-30-60-and-45.jpg" TargetMode="External"/><Relationship Id="rId2015" Type="http://schemas.openxmlformats.org/officeDocument/2006/relationships/hyperlink" Target="https://cdn.jsdelivr.net/gh/EngineerX1234/vocational-images@main/tools/batch-10/electronics-compass.jpg" TargetMode="External"/><Relationship Id="rId2016" Type="http://schemas.openxmlformats.org/officeDocument/2006/relationships/hyperlink" Target="https://cdn.jsdelivr.net/gh/EngineerX1234/vocational-images@main/tools/batch-09/construction-divider.jpg" TargetMode="External"/><Relationship Id="rId2017" Type="http://schemas.openxmlformats.org/officeDocument/2006/relationships/hyperlink" Target="https://cdn.jsdelivr.net/gh/EngineerX1234/vocational-images@main/tools/batch-10/construction-protractor.jpg" TargetMode="External"/><Relationship Id="rId2018" Type="http://schemas.openxmlformats.org/officeDocument/2006/relationships/hyperlink" Target="https://cdn.jsdelivr.net/gh/EngineerX1234/vocational-images@main/tools/batch-09/construction-portable-drafting-board.jpg" TargetMode="External"/><Relationship Id="rId2019" Type="http://schemas.openxmlformats.org/officeDocument/2006/relationships/hyperlink" Target="https://cdn.jsdelivr.net/gh/EngineerX1234/vocational-images@main/tools/batch-09/construction-french-curve.jpg" TargetMode="External"/><Relationship Id="rId2020" Type="http://schemas.openxmlformats.org/officeDocument/2006/relationships/hyperlink" Target="https://cdn.jsdelivr.net/gh/EngineerX1234/vocational-images@main/tools/batch-10/construction-ruling-pen.jpg" TargetMode="External"/><Relationship Id="rId2021" Type="http://schemas.openxmlformats.org/officeDocument/2006/relationships/hyperlink" Target="https://cdn.jsdelivr.net/gh/EngineerX1234/vocational-images@main/tools/batch-10/construction-speedball-pens.jpg" TargetMode="External"/><Relationship Id="rId2022" Type="http://schemas.openxmlformats.org/officeDocument/2006/relationships/hyperlink" Target="https://cdn.jsdelivr.net/gh/EngineerX1234/vocational-images@main/tools/batch-09/construction-cleaning-equipment.jpg" TargetMode="External"/><Relationship Id="rId2023" Type="http://schemas.openxmlformats.org/officeDocument/2006/relationships/hyperlink" Target="https://cdn.jsdelivr.net/gh/EngineerX1234/vocational-images@main/tools/batch-09/construction-cross-staff.jpg" TargetMode="External"/><Relationship Id="rId2024" Type="http://schemas.openxmlformats.org/officeDocument/2006/relationships/hyperlink" Target="https://cdn.jsdelivr.net/gh/EngineerX1234/vocational-images@main/tools/batch-09/construction-prismatic-and-surveyor-compass.jpg" TargetMode="External"/><Relationship Id="rId2025" Type="http://schemas.openxmlformats.org/officeDocument/2006/relationships/hyperlink" Target="https://cdn.jsdelivr.net/gh/EngineerX1234/vocational-images@main/tools/batch-10/construction-tripod.jpg" TargetMode="External"/><Relationship Id="rId2026" Type="http://schemas.openxmlformats.org/officeDocument/2006/relationships/hyperlink" Target="https://cdn.jsdelivr.net/gh/EngineerX1234/vocational-images@main/tools/batch-09/construction-dumpy-level.jpg" TargetMode="External"/><Relationship Id="rId2027" Type="http://schemas.openxmlformats.org/officeDocument/2006/relationships/hyperlink" Target="https://cdn.jsdelivr.net/gh/EngineerX1234/vocational-images@main/tools/batch-09/construction-drafting-machine.jpg" TargetMode="External"/><Relationship Id="rId2028" Type="http://schemas.openxmlformats.org/officeDocument/2006/relationships/hyperlink" Target="https://cdn.jsdelivr.net/gh/EngineerX1234/vocational-images@main/tools/batch-09/construction-blueprint-machine.jpg" TargetMode="External"/><Relationship Id="rId2029" Type="http://schemas.openxmlformats.org/officeDocument/2006/relationships/hyperlink" Target="https://cdn.jsdelivr.net/gh/EngineerX1234/vocational-images@main/tools/batch-21/tourism-and-hospitality-lcd-projector.jpg" TargetMode="External"/><Relationship Id="rId2030" Type="http://schemas.openxmlformats.org/officeDocument/2006/relationships/hyperlink" Target="https://cdn.jsdelivr.net/gh/EngineerX1234/vocational-images@main/tools/batch-24/agriculture-rope.jpg" TargetMode="External"/><Relationship Id="rId2031" Type="http://schemas.openxmlformats.org/officeDocument/2006/relationships/hyperlink" Target="https://cdn.jsdelivr.net/gh/EngineerX1234/vocational-images@main/tools/batch-09/construction-plumb-rule-and-bob.jpg" TargetMode="External"/><Relationship Id="rId2032" Type="http://schemas.openxmlformats.org/officeDocument/2006/relationships/hyperlink" Target="https://cdn.jsdelivr.net/gh/EngineerX1234/vocational-images@main/tools/batch-10/construction-spirit-level.jpg" TargetMode="External"/><Relationship Id="rId2033" Type="http://schemas.openxmlformats.org/officeDocument/2006/relationships/hyperlink" Target="https://cdn.jsdelivr.net/gh/EngineerX1234/vocational-images@main/tools/batch-10/construction-square.jpg" TargetMode="External"/><Relationship Id="rId2034" Type="http://schemas.openxmlformats.org/officeDocument/2006/relationships/hyperlink" Target="https://cdn.jsdelivr.net/gh/EngineerX1234/vocational-images@main/tools/batch-09/construction-line-and-pins.jpg" TargetMode="External"/><Relationship Id="rId2035" Type="http://schemas.openxmlformats.org/officeDocument/2006/relationships/hyperlink" Target="https://cdn.jsdelivr.net/gh/EngineerX1234/vocational-images@main/tools/batch-09/construction-bolster.jpg" TargetMode="External"/><Relationship Id="rId2036" Type="http://schemas.openxmlformats.org/officeDocument/2006/relationships/hyperlink" Target="https://cdn.jsdelivr.net/gh/EngineerX1234/vocational-images@main/tools/batch-09/construction-brick-hammer.jpg" TargetMode="External"/><Relationship Id="rId2037" Type="http://schemas.openxmlformats.org/officeDocument/2006/relationships/hyperlink" Target="https://cdn.jsdelivr.net/gh/EngineerX1234/vocational-images@main/tools/batch-10/construction-scutch.jpg" TargetMode="External"/><Relationship Id="rId2038" Type="http://schemas.openxmlformats.org/officeDocument/2006/relationships/hyperlink" Target="https://cdn.jsdelivr.net/gh/EngineerX1234/vocational-images@main/tools/batch-09/construction-pick-axe.jpg" TargetMode="External"/><Relationship Id="rId2039" Type="http://schemas.openxmlformats.org/officeDocument/2006/relationships/hyperlink" Target="https://cdn.jsdelivr.net/gh/EngineerX1234/vocational-images@main/tools/batch-09/construction-crowbar.jpg" TargetMode="External"/><Relationship Id="rId2040" Type="http://schemas.openxmlformats.org/officeDocument/2006/relationships/hyperlink" Target="https://cdn.jsdelivr.net/gh/EngineerX1234/vocational-images@main/tools/batch-09/construction-chisel.jpg" TargetMode="External"/><Relationship Id="rId2041" Type="http://schemas.openxmlformats.org/officeDocument/2006/relationships/hyperlink" Target="https://cdn.jsdelivr.net/gh/EngineerX1234/vocational-images@main/tools/batch-09/construction-mash-hammer.jpg" TargetMode="External"/><Relationship Id="rId2042" Type="http://schemas.openxmlformats.org/officeDocument/2006/relationships/hyperlink" Target="https://cdn.jsdelivr.net/gh/EngineerX1234/vocational-images@main/tools/batch-09/construction-boaster.jpg" TargetMode="External"/><Relationship Id="rId2043" Type="http://schemas.openxmlformats.org/officeDocument/2006/relationships/hyperlink" Target="https://cdn.jsdelivr.net/gh/EngineerX1234/vocational-images@main/tools/batch-10/construction-spall-hammer.jpg" TargetMode="External"/><Relationship Id="rId2044" Type="http://schemas.openxmlformats.org/officeDocument/2006/relationships/hyperlink" Target="https://cdn.jsdelivr.net/gh/EngineerX1234/vocational-images@main/tools/batch-10/construction-scrabbling-hammer.jpg" TargetMode="External"/><Relationship Id="rId2045" Type="http://schemas.openxmlformats.org/officeDocument/2006/relationships/hyperlink" Target="https://cdn.jsdelivr.net/gh/EngineerX1234/vocational-images@main/tools/batch-09/construction-bevel.jpg" TargetMode="External"/><Relationship Id="rId2046" Type="http://schemas.openxmlformats.org/officeDocument/2006/relationships/hyperlink" Target="https://cdn.jsdelivr.net/gh/EngineerX1234/vocational-images@main/tools/batch-10/construction-spade.jpg" TargetMode="External"/><Relationship Id="rId2047" Type="http://schemas.openxmlformats.org/officeDocument/2006/relationships/hyperlink" Target="https://cdn.jsdelivr.net/gh/EngineerX1234/vocational-images@main/tools/batch-09/construction-picks-and-beaters.jpg" TargetMode="External"/><Relationship Id="rId2048" Type="http://schemas.openxmlformats.org/officeDocument/2006/relationships/hyperlink" Target="https://cdn.jsdelivr.net/gh/EngineerX1234/vocational-images@main/tools/batch-10/construction-wooden-float.jpg" TargetMode="External"/><Relationship Id="rId2049" Type="http://schemas.openxmlformats.org/officeDocument/2006/relationships/hyperlink" Target="https://cdn.jsdelivr.net/gh/EngineerX1234/vocational-images@main/tools/batch-09/construction-metal-float.jpg" TargetMode="External"/><Relationship Id="rId2050" Type="http://schemas.openxmlformats.org/officeDocument/2006/relationships/hyperlink" Target="https://cdn.jsdelivr.net/gh/EngineerX1234/vocational-images@main/tools/batch-09/construction-floating-rule.jpg" TargetMode="External"/><Relationship Id="rId2051" Type="http://schemas.openxmlformats.org/officeDocument/2006/relationships/hyperlink" Target="https://cdn.jsdelivr.net/gh/EngineerX1234/vocational-images@main/tools/batch-09/construction-hacking-tool.jpg" TargetMode="External"/><Relationship Id="rId2052" Type="http://schemas.openxmlformats.org/officeDocument/2006/relationships/hyperlink" Target="https://cdn.jsdelivr.net/gh/EngineerX1234/vocational-images@main/tools/batch-10/construction-scratcher.jpg" TargetMode="External"/><Relationship Id="rId2053" Type="http://schemas.openxmlformats.org/officeDocument/2006/relationships/hyperlink" Target="https://cdn.jsdelivr.net/gh/EngineerX1234/vocational-images@main/tools/batch-10/construction-spade.jpg" TargetMode="External"/><Relationship Id="rId2054" Type="http://schemas.openxmlformats.org/officeDocument/2006/relationships/hyperlink" Target="https://cdn.jsdelivr.net/gh/EngineerX1234/vocational-images@main/tools/batch-10/construction-trowel-khurpi.jpg" TargetMode="External"/><Relationship Id="rId2055" Type="http://schemas.openxmlformats.org/officeDocument/2006/relationships/hyperlink" Target="https://cdn.jsdelivr.net/gh/EngineerX1234/vocational-images@main/tools/batch-12/food-processing-cleaning-brushes.jpg" TargetMode="External"/><Relationship Id="rId2056" Type="http://schemas.openxmlformats.org/officeDocument/2006/relationships/hyperlink" Target="https://cdn.jsdelivr.net/gh/EngineerX1234/vocational-images@main/tools/batch-13/food-processing-refrigerator-2.jpg" TargetMode="External"/><Relationship Id="rId2057" Type="http://schemas.openxmlformats.org/officeDocument/2006/relationships/hyperlink" Target="https://cdn.jsdelivr.net/gh/EngineerX1234/vocational-images@main/tools/batch-12/food-processing-deep-freezer.jpg" TargetMode="External"/><Relationship Id="rId2058" Type="http://schemas.openxmlformats.org/officeDocument/2006/relationships/hyperlink" Target="https://cdn.jsdelivr.net/gh/EngineerX1234/vocational-images@main/tools/batch-13/food-processing-stainless-steel-utensils.jpg" TargetMode="External"/><Relationship Id="rId2059" Type="http://schemas.openxmlformats.org/officeDocument/2006/relationships/hyperlink" Target="https://cdn.jsdelivr.net/gh/EngineerX1234/vocational-images@main/tools/batch-12/food-processing-milk-cans.jpg" TargetMode="External"/><Relationship Id="rId2060" Type="http://schemas.openxmlformats.org/officeDocument/2006/relationships/hyperlink" Target="https://cdn.jsdelivr.net/gh/EngineerX1234/vocational-images@main/tools/batch-12/food-processing-multipurpose-stainless-steel-vat.jpg" TargetMode="External"/><Relationship Id="rId2061" Type="http://schemas.openxmlformats.org/officeDocument/2006/relationships/hyperlink" Target="https://cdn.jsdelivr.net/gh/EngineerX1234/vocational-images@main/tools/batch-13/food-processing-small-pasteurizer.jpg" TargetMode="External"/><Relationship Id="rId2062" Type="http://schemas.openxmlformats.org/officeDocument/2006/relationships/hyperlink" Target="https://cdn.jsdelivr.net/gh/EngineerX1234/vocational-images@main/tools/batch-12/food-processing-mini-cream-separator.jpg" TargetMode="External"/><Relationship Id="rId2063" Type="http://schemas.openxmlformats.org/officeDocument/2006/relationships/hyperlink" Target="https://cdn.jsdelivr.net/gh/EngineerX1234/vocational-images@main/tools/batch-13/food-processing-small-homogenizer.jpg" TargetMode="External"/><Relationship Id="rId2064" Type="http://schemas.openxmlformats.org/officeDocument/2006/relationships/hyperlink" Target="https://cdn.jsdelivr.net/gh/EngineerX1234/vocational-images@main/tools/batch-12/food-processing-paneer-press.jpg" TargetMode="External"/><Relationship Id="rId2065" Type="http://schemas.openxmlformats.org/officeDocument/2006/relationships/hyperlink" Target="https://cdn.jsdelivr.net/gh/EngineerX1234/vocational-images@main/tools/batch-12/food-processing-butter-churner.jpg" TargetMode="External"/><Relationship Id="rId2066" Type="http://schemas.openxmlformats.org/officeDocument/2006/relationships/hyperlink" Target="https://cdn.jsdelivr.net/gh/EngineerX1234/vocational-images@main/tools/batch-12/food-processing-ghee-boiler.jpg" TargetMode="External"/><Relationship Id="rId2067" Type="http://schemas.openxmlformats.org/officeDocument/2006/relationships/hyperlink" Target="https://cdn.jsdelivr.net/gh/EngineerX1234/vocational-images@main/tools/batch-12/food-processing-ice-cream-maker-2.jpg" TargetMode="External"/><Relationship Id="rId2068" Type="http://schemas.openxmlformats.org/officeDocument/2006/relationships/hyperlink" Target="https://cdn.jsdelivr.net/gh/EngineerX1234/vocational-images@main/tools/batch-12/food-processing-khoa-mawa-making-pan.jpg" TargetMode="External"/><Relationship Id="rId2069" Type="http://schemas.openxmlformats.org/officeDocument/2006/relationships/hyperlink" Target="https://cdn.jsdelivr.net/gh/EngineerX1234/vocational-images@main/tools/batch-13/food-processing-rasgulla-rabri-cooking-vessel.jpg" TargetMode="External"/><Relationship Id="rId2070" Type="http://schemas.openxmlformats.org/officeDocument/2006/relationships/hyperlink" Target="https://cdn.jsdelivr.net/gh/EngineerX1234/vocational-images@main/tools/batch-12/food-processing-cup-sealer.jpg" TargetMode="External"/><Relationship Id="rId2071" Type="http://schemas.openxmlformats.org/officeDocument/2006/relationships/hyperlink" Target="https://cdn.jsdelivr.net/gh/EngineerX1234/vocational-images@main/tools/batch-12/food-processing-digital-weighing-balance.jpg" TargetMode="External"/><Relationship Id="rId2072" Type="http://schemas.openxmlformats.org/officeDocument/2006/relationships/hyperlink" Target="https://cdn.jsdelivr.net/gh/EngineerX1234/vocational-images@main/tools/batch-12/food-processing-lactometer-2.jpg" TargetMode="External"/><Relationship Id="rId2073" Type="http://schemas.openxmlformats.org/officeDocument/2006/relationships/hyperlink" Target="https://cdn.jsdelivr.net/gh/EngineerX1234/vocational-images@main/tools/batch-12/food-processing-gerber-centrifuge.jpg" TargetMode="External"/><Relationship Id="rId2074" Type="http://schemas.openxmlformats.org/officeDocument/2006/relationships/hyperlink" Target="https://cdn.jsdelivr.net/gh/EngineerX1234/vocational-images@main/tools/batch-11/electronics-screwdriver-set.jpg" TargetMode="External"/><Relationship Id="rId2075" Type="http://schemas.openxmlformats.org/officeDocument/2006/relationships/hyperlink" Target="https://cdn.jsdelivr.net/gh/EngineerX1234/vocational-images@main/tools/batch-11/electronics-lan-tester.jpg" TargetMode="External"/><Relationship Id="rId2076" Type="http://schemas.openxmlformats.org/officeDocument/2006/relationships/hyperlink" Target="https://cdn.jsdelivr.net/gh/EngineerX1234/vocational-images@main/tools/batch-11/electronics-motherboard-diagnoser.jpg" TargetMode="External"/><Relationship Id="rId2077" Type="http://schemas.openxmlformats.org/officeDocument/2006/relationships/hyperlink" Target="https://cdn.jsdelivr.net/gh/EngineerX1234/vocational-images@main/tools/batch-11/electronics-soldering-iron.jpg" TargetMode="External"/><Relationship Id="rId2078" Type="http://schemas.openxmlformats.org/officeDocument/2006/relationships/hyperlink" Target="https://cdn.jsdelivr.net/gh/EngineerX1234/vocational-images@main/tools/batch-17/it-ites-printer.jpg" TargetMode="External"/><Relationship Id="rId2079" Type="http://schemas.openxmlformats.org/officeDocument/2006/relationships/hyperlink" Target="https://cdn.jsdelivr.net/gh/EngineerX1234/vocational-images@main/tools/batch-11/electronics-multi-function-laser-printer.jpg" TargetMode="External"/><Relationship Id="rId2080" Type="http://schemas.openxmlformats.org/officeDocument/2006/relationships/hyperlink" Target="https://cdn.jsdelivr.net/gh/EngineerX1234/vocational-images@main/tools/batch-17/it-ites-scanner.jpg" TargetMode="External"/><Relationship Id="rId2081" Type="http://schemas.openxmlformats.org/officeDocument/2006/relationships/hyperlink" Target="https://cdn.jsdelivr.net/gh/EngineerX1234/vocational-images@main/tools/batch-11/electronics-speakers.jpg" TargetMode="External"/><Relationship Id="rId2082" Type="http://schemas.openxmlformats.org/officeDocument/2006/relationships/hyperlink" Target="https://cdn.jsdelivr.net/gh/EngineerX1234/vocational-images@main/tools/batch-21/telecom-network-switch.jpg" TargetMode="External"/><Relationship Id="rId2083" Type="http://schemas.openxmlformats.org/officeDocument/2006/relationships/hyperlink" Target="https://cdn.jsdelivr.net/gh/EngineerX1234/vocational-images@main/tools/batch-17/it-ites-scanner.jpg" TargetMode="External"/><Relationship Id="rId2084" Type="http://schemas.openxmlformats.org/officeDocument/2006/relationships/hyperlink" Target="https://cdn.jsdelivr.net/gh/EngineerX1234/vocational-images@main/tools/batch-20/telecom-computer-speakers.jpg" TargetMode="External"/><Relationship Id="rId2085" Type="http://schemas.openxmlformats.org/officeDocument/2006/relationships/hyperlink" Target="https://cdn.jsdelivr.net/gh/EngineerX1234/vocational-images@main/tools/batch-10/electronics-crimping-tools.jpg" TargetMode="External"/><Relationship Id="rId2086" Type="http://schemas.openxmlformats.org/officeDocument/2006/relationships/hyperlink" Target="https://cdn.jsdelivr.net/gh/EngineerX1234/vocational-images@main/tools/batch-11/electronics-tool-kits.jpg" TargetMode="External"/><Relationship Id="rId2087" Type="http://schemas.openxmlformats.org/officeDocument/2006/relationships/hyperlink" Target="https://cdn.jsdelivr.net/gh/EngineerX1234/vocational-images@main/tools/batch-11/electronics-soldering-iron.jpg" TargetMode="External"/><Relationship Id="rId2088" Type="http://schemas.openxmlformats.org/officeDocument/2006/relationships/hyperlink" Target="https://cdn.jsdelivr.net/gh/EngineerX1234/vocational-images@main/tools/batch-24/agriculture-screw-driver.jpg" TargetMode="External"/><Relationship Id="rId2089" Type="http://schemas.openxmlformats.org/officeDocument/2006/relationships/hyperlink" Target="https://cdn.jsdelivr.net/gh/EngineerX1234/vocational-images@main/tools/batch-11/electronics-torque-screwdriver.jpg" TargetMode="External"/><Relationship Id="rId2090" Type="http://schemas.openxmlformats.org/officeDocument/2006/relationships/hyperlink" Target="https://cdn.jsdelivr.net/gh/EngineerX1234/vocational-images@main/tools/batch-11/electronics-safety-knife.jpg" TargetMode="External"/><Relationship Id="rId2091" Type="http://schemas.openxmlformats.org/officeDocument/2006/relationships/hyperlink" Target="https://cdn.jsdelivr.net/gh/EngineerX1234/vocational-images@main/tools/batch-20/power-pliers.jpg" TargetMode="External"/><Relationship Id="rId2092" Type="http://schemas.openxmlformats.org/officeDocument/2006/relationships/hyperlink" Target="https://cdn.jsdelivr.net/gh/EngineerX1234/vocational-images@main/tools/batch-11/electronics-wire-strippers.jpg" TargetMode="External"/><Relationship Id="rId2093" Type="http://schemas.openxmlformats.org/officeDocument/2006/relationships/hyperlink" Target="https://cdn.jsdelivr.net/gh/EngineerX1234/vocational-images@main/tools/batch-11/electronics-wire-cutters.jpg" TargetMode="External"/><Relationship Id="rId2094" Type="http://schemas.openxmlformats.org/officeDocument/2006/relationships/hyperlink" Target="https://cdn.jsdelivr.net/gh/EngineerX1234/vocational-images@main/tools/batch-10/electronics-glue-gun.jpg" TargetMode="External"/><Relationship Id="rId2095" Type="http://schemas.openxmlformats.org/officeDocument/2006/relationships/hyperlink" Target="https://cdn.jsdelivr.net/gh/EngineerX1234/vocational-images@main/tools/batch-11/electronics-tweezers.jpg" TargetMode="External"/><Relationship Id="rId2096" Type="http://schemas.openxmlformats.org/officeDocument/2006/relationships/hyperlink" Target="https://cdn.jsdelivr.net/gh/EngineerX1234/vocational-images@main/tools/batch-08/automotive-tool-kit.jpg" TargetMode="External"/><Relationship Id="rId2097" Type="http://schemas.openxmlformats.org/officeDocument/2006/relationships/hyperlink" Target="https://cdn.jsdelivr.net/gh/EngineerX1234/vocational-images@main/tools/batch-10/electronics-combination-plier.jpg" TargetMode="External"/><Relationship Id="rId2098" Type="http://schemas.openxmlformats.org/officeDocument/2006/relationships/hyperlink" Target="https://cdn.jsdelivr.net/gh/EngineerX1234/vocational-images@main/tools/batch-11/electronics-side-cutting-plier.jpg" TargetMode="External"/><Relationship Id="rId2099" Type="http://schemas.openxmlformats.org/officeDocument/2006/relationships/hyperlink" Target="https://cdn.jsdelivr.net/gh/EngineerX1234/vocational-images@main/tools/batch-11/electronics-nose-pliers.jpg" TargetMode="External"/><Relationship Id="rId2100" Type="http://schemas.openxmlformats.org/officeDocument/2006/relationships/hyperlink" Target="https://cdn.jsdelivr.net/gh/EngineerX1234/vocational-images@main/tools/batch-05/agriculture-wire-stripper.jpg" TargetMode="External"/><Relationship Id="rId2101" Type="http://schemas.openxmlformats.org/officeDocument/2006/relationships/hyperlink" Target="https://cdn.jsdelivr.net/gh/EngineerX1234/vocational-images@main/tools/batch-10/electronics-hacksaw-frame-with-the-blade.jpg" TargetMode="External"/><Relationship Id="rId2102" Type="http://schemas.openxmlformats.org/officeDocument/2006/relationships/hyperlink" Target="https://cdn.jsdelivr.net/gh/EngineerX1234/vocational-images@main/tools/batch-24/agriculture-screw-driver.jpg" TargetMode="External"/><Relationship Id="rId2103" Type="http://schemas.openxmlformats.org/officeDocument/2006/relationships/hyperlink" Target="https://cdn.jsdelivr.net/gh/EngineerX1234/vocational-images@main/tools/batch-11/electronics-torque-wrench.jpg" TargetMode="External"/><Relationship Id="rId2104" Type="http://schemas.openxmlformats.org/officeDocument/2006/relationships/hyperlink" Target="https://cdn.jsdelivr.net/gh/EngineerX1234/vocational-images@main/tools/batch-05/agriculture-wire-stripper.jpg" TargetMode="External"/><Relationship Id="rId2105" Type="http://schemas.openxmlformats.org/officeDocument/2006/relationships/hyperlink" Target="https://cdn.jsdelivr.net/gh/EngineerX1234/vocational-images@main/tools/batch-11/electronics-measuring-tape.jpg" TargetMode="External"/><Relationship Id="rId2106" Type="http://schemas.openxmlformats.org/officeDocument/2006/relationships/hyperlink" Target="https://cdn.jsdelivr.net/gh/EngineerX1234/vocational-images@main/tools/batch-10/electronics-allen-key-set.jpg" TargetMode="External"/><Relationship Id="rId2107" Type="http://schemas.openxmlformats.org/officeDocument/2006/relationships/hyperlink" Target="https://cdn.jsdelivr.net/gh/EngineerX1234/vocational-images@main/tools/batch-11/electronics-screwdriver-set.jpg" TargetMode="External"/><Relationship Id="rId2108" Type="http://schemas.openxmlformats.org/officeDocument/2006/relationships/hyperlink" Target="https://cdn.jsdelivr.net/gh/EngineerX1234/vocational-images@main/tools/batch-10/electronics-gps-module.jpg" TargetMode="External"/><Relationship Id="rId2109" Type="http://schemas.openxmlformats.org/officeDocument/2006/relationships/hyperlink" Target="https://cdn.jsdelivr.net/gh/EngineerX1234/vocational-images@main/tools/batch-11/electronics-propellers.jpg" TargetMode="External"/><Relationship Id="rId2110" Type="http://schemas.openxmlformats.org/officeDocument/2006/relationships/hyperlink" Target="https://cdn.jsdelivr.net/gh/EngineerX1234/vocational-images@main/tools/batch-10/electronics-frame.jpg" TargetMode="External"/><Relationship Id="rId2111" Type="http://schemas.openxmlformats.org/officeDocument/2006/relationships/hyperlink" Target="https://cdn.jsdelivr.net/gh/EngineerX1234/vocational-images@main/tools/batch-10/electronics-bldc-motors.jpg" TargetMode="External"/><Relationship Id="rId2112" Type="http://schemas.openxmlformats.org/officeDocument/2006/relationships/hyperlink" Target="https://cdn.jsdelivr.net/gh/EngineerX1234/vocational-images@main/tools/batch-10/electronics-esc-electronic-speed-controllers.jpg" TargetMode="External"/><Relationship Id="rId2113" Type="http://schemas.openxmlformats.org/officeDocument/2006/relationships/hyperlink" Target="https://cdn.jsdelivr.net/gh/EngineerX1234/vocational-images@main/tools/batch-10/electronics-fcb-flight-controller-board.jpg" TargetMode="External"/><Relationship Id="rId2114" Type="http://schemas.openxmlformats.org/officeDocument/2006/relationships/hyperlink" Target="https://cdn.jsdelivr.net/gh/EngineerX1234/vocational-images@main/tools/batch-10/electronics-camera.jpg" TargetMode="External"/><Relationship Id="rId2115" Type="http://schemas.openxmlformats.org/officeDocument/2006/relationships/hyperlink" Target="https://cdn.jsdelivr.net/gh/EngineerX1234/vocational-images@main/tools/batch-10/electronics-guard.jpg" TargetMode="External"/><Relationship Id="rId2116" Type="http://schemas.openxmlformats.org/officeDocument/2006/relationships/hyperlink" Target="https://cdn.jsdelivr.net/gh/EngineerX1234/vocational-images@main/tools/batch-11/electronics-lipo-battery-and-charger.jpg" TargetMode="External"/><Relationship Id="rId2117" Type="http://schemas.openxmlformats.org/officeDocument/2006/relationships/hyperlink" Target="https://cdn.jsdelivr.net/gh/EngineerX1234/vocational-images@main/tools/batch-11/electronics-rf-transmitter-and-receiver.jpg" TargetMode="External"/><Relationship Id="rId2118" Type="http://schemas.openxmlformats.org/officeDocument/2006/relationships/hyperlink" Target="https://cdn.jsdelivr.net/gh/EngineerX1234/vocational-images@main/tools/batch-10/electronics-drone-base.jpg" TargetMode="External"/><Relationship Id="rId2119" Type="http://schemas.openxmlformats.org/officeDocument/2006/relationships/hyperlink" Target="https://cdn.jsdelivr.net/gh/EngineerX1234/vocational-images@main/tools/batch-10/electronics-hovering-function-using-lidar-sensor.jpg" TargetMode="External"/><Relationship Id="rId2120" Type="http://schemas.openxmlformats.org/officeDocument/2006/relationships/hyperlink" Target="https://cdn.jsdelivr.net/gh/EngineerX1234/vocational-images@main/tools/batch-11/electronics-multimeter.jpg" TargetMode="External"/><Relationship Id="rId2121" Type="http://schemas.openxmlformats.org/officeDocument/2006/relationships/hyperlink" Target="https://cdn.jsdelivr.net/gh/EngineerX1234/vocational-images@main/tools/batch-10/electronics-heat-gun.jpg" TargetMode="External"/><Relationship Id="rId2122" Type="http://schemas.openxmlformats.org/officeDocument/2006/relationships/hyperlink" Target="https://cdn.jsdelivr.net/gh/EngineerX1234/vocational-images@main/tools/batch-10/electronics-desk-light-and-magnifier.jpg" TargetMode="External"/><Relationship Id="rId2123" Type="http://schemas.openxmlformats.org/officeDocument/2006/relationships/hyperlink" Target="https://cdn.jsdelivr.net/gh/EngineerX1234/vocational-images@main/tools/batch-10/electronics-digital-weighing-scale.jpg" TargetMode="External"/><Relationship Id="rId2124" Type="http://schemas.openxmlformats.org/officeDocument/2006/relationships/hyperlink" Target="https://cdn.jsdelivr.net/gh/EngineerX1234/vocational-images@main/tools/batch-11/electronics-motor-thrust-stand.jpg" TargetMode="External"/><Relationship Id="rId2125" Type="http://schemas.openxmlformats.org/officeDocument/2006/relationships/hyperlink" Target="https://cdn.jsdelivr.net/gh/EngineerX1234/vocational-images@main/tools/batch-10/electronics-cleaning-equipment.jpg" TargetMode="External"/><Relationship Id="rId2126" Type="http://schemas.openxmlformats.org/officeDocument/2006/relationships/hyperlink" Target="https://cdn.jsdelivr.net/gh/EngineerX1234/vocational-images@main/tools/batch-21/tourism-and-hospitality-lcd-projector.jpg" TargetMode="External"/><Relationship Id="rId2127" Type="http://schemas.openxmlformats.org/officeDocument/2006/relationships/hyperlink" Target="https://cdn.jsdelivr.net/gh/EngineerX1234/vocational-images@main/tools/batch-11/electronics-phase-tester.jpg" TargetMode="External"/><Relationship Id="rId2128" Type="http://schemas.openxmlformats.org/officeDocument/2006/relationships/hyperlink" Target="https://cdn.jsdelivr.net/gh/EngineerX1234/vocational-images@main/tools/batch-11/electronics-screwdriver-set.jpg" TargetMode="External"/><Relationship Id="rId2129" Type="http://schemas.openxmlformats.org/officeDocument/2006/relationships/hyperlink" Target="https://cdn.jsdelivr.net/gh/EngineerX1234/vocational-images@main/tools/batch-11/electronics-nut-driver-set.jpg" TargetMode="External"/><Relationship Id="rId2130" Type="http://schemas.openxmlformats.org/officeDocument/2006/relationships/hyperlink" Target="https://cdn.jsdelivr.net/gh/EngineerX1234/vocational-images@main/tools/batch-10/electronics-combination-plier.jpg" TargetMode="External"/><Relationship Id="rId2131" Type="http://schemas.openxmlformats.org/officeDocument/2006/relationships/hyperlink" Target="https://cdn.jsdelivr.net/gh/EngineerX1234/vocational-images@main/tools/batch-11/electronics-spanner-set.jpg" TargetMode="External"/><Relationship Id="rId2132" Type="http://schemas.openxmlformats.org/officeDocument/2006/relationships/hyperlink" Target="https://cdn.jsdelivr.net/gh/EngineerX1234/vocational-images@main/tools/batch-11/electronics-soldering-kit.jpg" TargetMode="External"/><Relationship Id="rId2133" Type="http://schemas.openxmlformats.org/officeDocument/2006/relationships/hyperlink" Target="https://cdn.jsdelivr.net/gh/EngineerX1234/vocational-images@main/tools/batch-10/electronics-flaring-tool.jpg" TargetMode="External"/><Relationship Id="rId2134" Type="http://schemas.openxmlformats.org/officeDocument/2006/relationships/hyperlink" Target="https://cdn.jsdelivr.net/gh/EngineerX1234/vocational-images@main/tools/batch-11/electronics-tube-bender.jpg" TargetMode="External"/><Relationship Id="rId2135" Type="http://schemas.openxmlformats.org/officeDocument/2006/relationships/hyperlink" Target="https://cdn.jsdelivr.net/gh/EngineerX1234/vocational-images@main/tools/batch-11/electronics-tube-cutter.jpg" TargetMode="External"/><Relationship Id="rId2136" Type="http://schemas.openxmlformats.org/officeDocument/2006/relationships/hyperlink" Target="https://cdn.jsdelivr.net/gh/EngineerX1234/vocational-images@main/tools/batch-11/electronics-wire-gauge.jpg" TargetMode="External"/><Relationship Id="rId2137" Type="http://schemas.openxmlformats.org/officeDocument/2006/relationships/hyperlink" Target="https://cdn.jsdelivr.net/gh/EngineerX1234/vocational-images@main/tools/batch-10/electronics-drill-machine.jpg" TargetMode="External"/><Relationship Id="rId2138" Type="http://schemas.openxmlformats.org/officeDocument/2006/relationships/hyperlink" Target="https://cdn.jsdelivr.net/gh/EngineerX1234/vocational-images@main/tools/batch-11/electronics-measuring-tape.jpg" TargetMode="External"/><Relationship Id="rId2139" Type="http://schemas.openxmlformats.org/officeDocument/2006/relationships/hyperlink" Target="https://cdn.jsdelivr.net/gh/EngineerX1234/vocational-images@main/tools/batch-11/electronics-pipe-cutter.jpg" TargetMode="External"/><Relationship Id="rId2140" Type="http://schemas.openxmlformats.org/officeDocument/2006/relationships/hyperlink" Target="https://cdn.jsdelivr.net/gh/EngineerX1234/vocational-images@main/tools/batch-10/electronics-hacksaw.jpg" TargetMode="External"/><Relationship Id="rId2141" Type="http://schemas.openxmlformats.org/officeDocument/2006/relationships/hyperlink" Target="https://cdn.jsdelivr.net/gh/EngineerX1234/vocational-images@main/tools/batch-10/electronics-hammer.jpg" TargetMode="External"/><Relationship Id="rId2142" Type="http://schemas.openxmlformats.org/officeDocument/2006/relationships/hyperlink" Target="https://cdn.jsdelivr.net/gh/EngineerX1234/vocational-images@main/tools/batch-11/electronics-scissor.jpg" TargetMode="External"/><Relationship Id="rId2143" Type="http://schemas.openxmlformats.org/officeDocument/2006/relationships/hyperlink" Target="https://cdn.jsdelivr.net/gh/EngineerX1234/vocational-images@main/tools/batch-10/electronics-flat-file.jpg" TargetMode="External"/><Relationship Id="rId2144" Type="http://schemas.openxmlformats.org/officeDocument/2006/relationships/hyperlink" Target="https://cdn.jsdelivr.net/gh/EngineerX1234/vocational-images@main/tools/batch-11/electronics-round-file.jpg" TargetMode="External"/><Relationship Id="rId2145" Type="http://schemas.openxmlformats.org/officeDocument/2006/relationships/hyperlink" Target="https://cdn.jsdelivr.net/gh/EngineerX1234/vocational-images@main/tools/batch-10/electronics-adjustable-wrench.jpg" TargetMode="External"/><Relationship Id="rId2146" Type="http://schemas.openxmlformats.org/officeDocument/2006/relationships/hyperlink" Target="https://cdn.jsdelivr.net/gh/EngineerX1234/vocational-images@main/tools/batch-11/electronics-yoke-vise.jpg" TargetMode="External"/><Relationship Id="rId2147" Type="http://schemas.openxmlformats.org/officeDocument/2006/relationships/hyperlink" Target="https://cdn.jsdelivr.net/gh/EngineerX1234/vocational-images@main/tools/batch-10/electronics-brazing-tool.jpg" TargetMode="External"/><Relationship Id="rId2148" Type="http://schemas.openxmlformats.org/officeDocument/2006/relationships/hyperlink" Target="https://cdn.jsdelivr.net/gh/EngineerX1234/vocational-images@main/tools/batch-11/electronics-weight-scale.jpg" TargetMode="External"/><Relationship Id="rId2149" Type="http://schemas.openxmlformats.org/officeDocument/2006/relationships/hyperlink" Target="https://cdn.jsdelivr.net/gh/EngineerX1234/vocational-images@main/tools/batch-10/electronics-cathode-ray-oscilloscope-cro.jpg" TargetMode="External"/><Relationship Id="rId2150" Type="http://schemas.openxmlformats.org/officeDocument/2006/relationships/hyperlink" Target="https://cdn.jsdelivr.net/gh/EngineerX1234/vocational-images@main/tools/batch-11/electronics-multimeter.jpg" TargetMode="External"/><Relationship Id="rId2151" Type="http://schemas.openxmlformats.org/officeDocument/2006/relationships/hyperlink" Target="https://cdn.jsdelivr.net/gh/EngineerX1234/vocational-images@main/tools/batch-10/electronics-clamp-meter.jpg" TargetMode="External"/><Relationship Id="rId2152" Type="http://schemas.openxmlformats.org/officeDocument/2006/relationships/hyperlink" Target="https://cdn.jsdelivr.net/gh/EngineerX1234/vocational-images@main/tools/batch-11/electronics-pressure-gauge.jpg" TargetMode="External"/><Relationship Id="rId2153" Type="http://schemas.openxmlformats.org/officeDocument/2006/relationships/hyperlink" Target="https://cdn.jsdelivr.net/gh/EngineerX1234/vocational-images@main/tools/batch-10/electronics-brazing-torch.jpg" TargetMode="External"/><Relationship Id="rId2154" Type="http://schemas.openxmlformats.org/officeDocument/2006/relationships/hyperlink" Target="https://cdn.jsdelivr.net/gh/EngineerX1234/vocational-images@main/tools/batch-11/electronics-vaccum-pump.jpg" TargetMode="External"/><Relationship Id="rId2155" Type="http://schemas.openxmlformats.org/officeDocument/2006/relationships/hyperlink" Target="https://cdn.jsdelivr.net/gh/EngineerX1234/vocational-images@main/tools/batch-11/electronics-temperature-meter.jpg" TargetMode="External"/><Relationship Id="rId2156" Type="http://schemas.openxmlformats.org/officeDocument/2006/relationships/hyperlink" Target="https://cdn.jsdelivr.net/gh/EngineerX1234/vocational-images@main/tools/batch-10/electronics-cable-connector.jpg" TargetMode="External"/><Relationship Id="rId2157" Type="http://schemas.openxmlformats.org/officeDocument/2006/relationships/hyperlink" Target="https://cdn.jsdelivr.net/gh/EngineerX1234/vocational-images@main/tools/batch-11/electronics-micron-gauge.jpg" TargetMode="External"/><Relationship Id="rId2158" Type="http://schemas.openxmlformats.org/officeDocument/2006/relationships/hyperlink" Target="https://cdn.jsdelivr.net/gh/EngineerX1234/vocational-images@main/tools/batch-11/electronics-leak-detector.jpg" TargetMode="External"/><Relationship Id="rId2159" Type="http://schemas.openxmlformats.org/officeDocument/2006/relationships/hyperlink" Target="https://cdn.jsdelivr.net/gh/EngineerX1234/vocational-images@main/tools/batch-11/electronics-manifold-gauge.jpg" TargetMode="External"/><Relationship Id="rId2160" Type="http://schemas.openxmlformats.org/officeDocument/2006/relationships/hyperlink" Target="https://cdn.jsdelivr.net/gh/EngineerX1234/vocational-images@main/tools/batch-10/electronics-continuity-tester.jpg" TargetMode="External"/><Relationship Id="rId2161" Type="http://schemas.openxmlformats.org/officeDocument/2006/relationships/hyperlink" Target="https://cdn.jsdelivr.net/gh/EngineerX1234/vocational-images@main/tools/batch-11/electronics-pressure-gauge.jpg" TargetMode="External"/><Relationship Id="rId2162" Type="http://schemas.openxmlformats.org/officeDocument/2006/relationships/hyperlink" Target="https://cdn.jsdelivr.net/gh/EngineerX1234/vocational-images@main/tools/batch-10/electronics-astable-monostable-bistable-multivibrator-kit.jpg" TargetMode="External"/><Relationship Id="rId2163" Type="http://schemas.openxmlformats.org/officeDocument/2006/relationships/hyperlink" Target="https://cdn.jsdelivr.net/gh/EngineerX1234/vocational-images@main/tools/batch-11/electronics-ohm-s-law-kit.jpg" TargetMode="External"/><Relationship Id="rId2164" Type="http://schemas.openxmlformats.org/officeDocument/2006/relationships/hyperlink" Target="https://cdn.jsdelivr.net/gh/EngineerX1234/vocational-images@main/tools/batch-10/electronics-kirchhoff-s-law-kit.jpg" TargetMode="External"/><Relationship Id="rId2165" Type="http://schemas.openxmlformats.org/officeDocument/2006/relationships/hyperlink" Target="https://cdn.jsdelivr.net/gh/EngineerX1234/vocational-images@main/tools/batch-10/electronics-ac-and-dc-motors.jpg" TargetMode="External"/><Relationship Id="rId2166" Type="http://schemas.openxmlformats.org/officeDocument/2006/relationships/hyperlink" Target="https://cdn.jsdelivr.net/gh/EngineerX1234/vocational-images@main/tools/batch-11/electronics-regulated-power-supply-kit.jpg" TargetMode="External"/><Relationship Id="rId2167" Type="http://schemas.openxmlformats.org/officeDocument/2006/relationships/hyperlink" Target="https://cdn.jsdelivr.net/gh/EngineerX1234/vocational-images@main/tools/batch-11/electronics-microcontroller.jpg" TargetMode="External"/><Relationship Id="rId2168" Type="http://schemas.openxmlformats.org/officeDocument/2006/relationships/hyperlink" Target="https://cdn.jsdelivr.net/gh/EngineerX1234/vocational-images@main/tools/batch-11/electronics-sensor.jpg" TargetMode="External"/><Relationship Id="rId2169" Type="http://schemas.openxmlformats.org/officeDocument/2006/relationships/hyperlink" Target="https://cdn.jsdelivr.net/gh/EngineerX1234/vocational-images@main/tools/batch-10/electronics-compressor.jpg" TargetMode="External"/><Relationship Id="rId2170" Type="http://schemas.openxmlformats.org/officeDocument/2006/relationships/hyperlink" Target="https://cdn.jsdelivr.net/gh/EngineerX1234/vocational-images@main/tools/batch-10/electronics-condenser.jpg" TargetMode="External"/><Relationship Id="rId2171" Type="http://schemas.openxmlformats.org/officeDocument/2006/relationships/hyperlink" Target="https://cdn.jsdelivr.net/gh/EngineerX1234/vocational-images@main/tools/batch-11/electronics-network-cable.jpg" TargetMode="External"/><Relationship Id="rId2172" Type="http://schemas.openxmlformats.org/officeDocument/2006/relationships/hyperlink" Target="https://cdn.jsdelivr.net/gh/EngineerX1234/vocational-images@main/tools/batch-11/electronics-smart-phone.jpg" TargetMode="External"/><Relationship Id="rId2173" Type="http://schemas.openxmlformats.org/officeDocument/2006/relationships/hyperlink" Target="https://cdn.jsdelivr.net/gh/EngineerX1234/vocational-images@main/tools/batch-11/electronics-rulers.jpg" TargetMode="External"/><Relationship Id="rId2174" Type="http://schemas.openxmlformats.org/officeDocument/2006/relationships/hyperlink" Target="https://cdn.jsdelivr.net/gh/EngineerX1234/vocational-images@main/tools/batch-11/electronics-t-square.jpg" TargetMode="External"/><Relationship Id="rId2175" Type="http://schemas.openxmlformats.org/officeDocument/2006/relationships/hyperlink" Target="https://cdn.jsdelivr.net/gh/EngineerX1234/vocational-images@main/tools/batch-20/power-pliers.jpg" TargetMode="External"/><Relationship Id="rId2176" Type="http://schemas.openxmlformats.org/officeDocument/2006/relationships/hyperlink" Target="https://cdn.jsdelivr.net/gh/EngineerX1234/vocational-images@main/tools/batch-20/telecom-cutters.jpg" TargetMode="External"/><Relationship Id="rId2177" Type="http://schemas.openxmlformats.org/officeDocument/2006/relationships/hyperlink" Target="https://cdn.jsdelivr.net/gh/EngineerX1234/vocational-images@main/tools/batch-21/telecom-screw-drivers.jpg" TargetMode="External"/><Relationship Id="rId2178" Type="http://schemas.openxmlformats.org/officeDocument/2006/relationships/hyperlink" Target="https://cdn.jsdelivr.net/gh/EngineerX1234/vocational-images@main/tools/batch-11/electronics-protractor.jpg" TargetMode="External"/><Relationship Id="rId2179" Type="http://schemas.openxmlformats.org/officeDocument/2006/relationships/hyperlink" Target="https://cdn.jsdelivr.net/gh/EngineerX1234/vocational-images@main/tools/batch-10/electronics-flashlights.jpg" TargetMode="External"/><Relationship Id="rId2180" Type="http://schemas.openxmlformats.org/officeDocument/2006/relationships/hyperlink" Target="https://cdn.jsdelivr.net/gh/EngineerX1234/vocational-images@main/tools/batch-11/electronics-sharp-pointed-tweezers.jpg" TargetMode="External"/><Relationship Id="rId2181" Type="http://schemas.openxmlformats.org/officeDocument/2006/relationships/hyperlink" Target="https://cdn.jsdelivr.net/gh/EngineerX1234/vocational-images@main/tools/batch-11/electronics-mirror-inspection.jpg" TargetMode="External"/><Relationship Id="rId2182" Type="http://schemas.openxmlformats.org/officeDocument/2006/relationships/hyperlink" Target="https://cdn.jsdelivr.net/gh/EngineerX1234/vocational-images@main/tools/batch-11/electronics-soldering-iron.jpg" TargetMode="External"/><Relationship Id="rId2183" Type="http://schemas.openxmlformats.org/officeDocument/2006/relationships/hyperlink" Target="https://cdn.jsdelivr.net/gh/EngineerX1234/vocational-images@main/tools/batch-10/electronics-de-soldering-pump.jpg" TargetMode="External"/><Relationship Id="rId2184" Type="http://schemas.openxmlformats.org/officeDocument/2006/relationships/hyperlink" Target="https://cdn.jsdelivr.net/gh/EngineerX1234/vocational-images@main/tools/batch-11/electronics-magnifying-glass.jpg" TargetMode="External"/><Relationship Id="rId2185" Type="http://schemas.openxmlformats.org/officeDocument/2006/relationships/hyperlink" Target="https://cdn.jsdelivr.net/gh/EngineerX1234/vocational-images@main/tools/batch-24/agriculture-screw-driver.jpg" TargetMode="External"/><Relationship Id="rId2186" Type="http://schemas.openxmlformats.org/officeDocument/2006/relationships/hyperlink" Target="https://cdn.jsdelivr.net/gh/EngineerX1234/vocational-images@main/tools/batch-21/telecom-multi-tester.jpg" TargetMode="External"/><Relationship Id="rId2187" Type="http://schemas.openxmlformats.org/officeDocument/2006/relationships/hyperlink" Target="https://cdn.jsdelivr.net/gh/EngineerX1234/vocational-images@main/tools/batch-11/electronics-multimeter.jpg" TargetMode="External"/><Relationship Id="rId2188" Type="http://schemas.openxmlformats.org/officeDocument/2006/relationships/hyperlink" Target="https://cdn.jsdelivr.net/gh/EngineerX1234/vocational-images@main/tools/batch-10/electronics-function-generator.jpg" TargetMode="External"/><Relationship Id="rId2189" Type="http://schemas.openxmlformats.org/officeDocument/2006/relationships/hyperlink" Target="https://cdn.jsdelivr.net/gh/EngineerX1234/vocational-images@main/tools/batch-11/electronics-ups.jpg" TargetMode="External"/><Relationship Id="rId2190" Type="http://schemas.openxmlformats.org/officeDocument/2006/relationships/hyperlink" Target="https://cdn.jsdelivr.net/gh/EngineerX1234/vocational-images@main/tools/batch-11/electronics-power-meter.jpg" TargetMode="External"/><Relationship Id="rId2191" Type="http://schemas.openxmlformats.org/officeDocument/2006/relationships/hyperlink" Target="https://cdn.jsdelivr.net/gh/EngineerX1234/vocational-images@main/tools/batch-11/electronics-signal-detector.jpg" TargetMode="External"/><Relationship Id="rId2192" Type="http://schemas.openxmlformats.org/officeDocument/2006/relationships/hyperlink" Target="https://cdn.jsdelivr.net/gh/EngineerX1234/vocational-images@main/tools/batch-11/electronics-projector.jpg" TargetMode="External"/><Relationship Id="rId2193" Type="http://schemas.openxmlformats.org/officeDocument/2006/relationships/hyperlink" Target="https://cdn.jsdelivr.net/gh/EngineerX1234/vocational-images@main/tools/batch-11/electronics-laptop.jpg" TargetMode="External"/><Relationship Id="rId2194" Type="http://schemas.openxmlformats.org/officeDocument/2006/relationships/hyperlink" Target="https://cdn.jsdelivr.net/gh/EngineerX1234/vocational-images@main/tools/batch-10/electronics-hubs.jpg" TargetMode="External"/><Relationship Id="rId2195" Type="http://schemas.openxmlformats.org/officeDocument/2006/relationships/hyperlink" Target="https://cdn.jsdelivr.net/gh/EngineerX1234/vocational-images@main/tools/batch-11/electronics-switches.jpg" TargetMode="External"/><Relationship Id="rId2196" Type="http://schemas.openxmlformats.org/officeDocument/2006/relationships/hyperlink" Target="https://cdn.jsdelivr.net/gh/EngineerX1234/vocational-images@main/tools/batch-11/electronics-modem-router.jpg" TargetMode="External"/><Relationship Id="rId2197" Type="http://schemas.openxmlformats.org/officeDocument/2006/relationships/hyperlink" Target="https://cdn.jsdelivr.net/gh/EngineerX1234/vocational-images@main/tools/batch-21/telecom-laptops.jpg" TargetMode="External"/><Relationship Id="rId2198" Type="http://schemas.openxmlformats.org/officeDocument/2006/relationships/hyperlink" Target="https://cdn.jsdelivr.net/gh/EngineerX1234/vocational-images@main/tools/batch-11/electronics-laser-printers.jpg" TargetMode="External"/><Relationship Id="rId2199" Type="http://schemas.openxmlformats.org/officeDocument/2006/relationships/hyperlink" Target="https://cdn.jsdelivr.net/gh/EngineerX1234/vocational-images@main/tools/batch-10/electronics-ink-jet-printers.jpg" TargetMode="External"/><Relationship Id="rId2200" Type="http://schemas.openxmlformats.org/officeDocument/2006/relationships/hyperlink" Target="https://cdn.jsdelivr.net/gh/EngineerX1234/vocational-images@main/tools/batch-10/electronics-dot-matrix-printers.jpg" TargetMode="External"/><Relationship Id="rId2201" Type="http://schemas.openxmlformats.org/officeDocument/2006/relationships/hyperlink" Target="https://cdn.jsdelivr.net/gh/EngineerX1234/vocational-images@main/tools/batch-11/electronics-scanners.jpg" TargetMode="External"/><Relationship Id="rId2202" Type="http://schemas.openxmlformats.org/officeDocument/2006/relationships/hyperlink" Target="https://cdn.jsdelivr.net/gh/EngineerX1234/vocational-images@main/tools/batch-21/telecom-network-switch.jpg" TargetMode="External"/><Relationship Id="rId2203" Type="http://schemas.openxmlformats.org/officeDocument/2006/relationships/hyperlink" Target="https://cdn.jsdelivr.net/gh/EngineerX1234/vocational-images@main/tools/batch-18/media-and-entertainment-drawing-board.jpg" TargetMode="External"/><Relationship Id="rId2204" Type="http://schemas.openxmlformats.org/officeDocument/2006/relationships/hyperlink" Target="https://cdn.jsdelivr.net/gh/EngineerX1234/vocational-images@main/tools/batch-11/electronics-phase-tester.jpg" TargetMode="External"/><Relationship Id="rId2205" Type="http://schemas.openxmlformats.org/officeDocument/2006/relationships/hyperlink" Target="https://cdn.jsdelivr.net/gh/EngineerX1234/vocational-images@main/tools/batch-11/electronics-screwdriver-set.jpg" TargetMode="External"/><Relationship Id="rId2206" Type="http://schemas.openxmlformats.org/officeDocument/2006/relationships/hyperlink" Target="https://cdn.jsdelivr.net/gh/EngineerX1234/vocational-images@main/tools/batch-11/electronics-nut-driver-set.jpg" TargetMode="External"/><Relationship Id="rId2207" Type="http://schemas.openxmlformats.org/officeDocument/2006/relationships/hyperlink" Target="https://cdn.jsdelivr.net/gh/EngineerX1234/vocational-images@main/tools/batch-10/electronics-combination-plier.jpg" TargetMode="External"/><Relationship Id="rId2208" Type="http://schemas.openxmlformats.org/officeDocument/2006/relationships/hyperlink" Target="https://cdn.jsdelivr.net/gh/EngineerX1234/vocational-images@main/tools/batch-11/electronics-spanner-set.jpg" TargetMode="External"/><Relationship Id="rId2209" Type="http://schemas.openxmlformats.org/officeDocument/2006/relationships/hyperlink" Target="https://cdn.jsdelivr.net/gh/EngineerX1234/vocational-images@main/tools/batch-11/electronics-soldering-kit.jpg" TargetMode="External"/><Relationship Id="rId2210" Type="http://schemas.openxmlformats.org/officeDocument/2006/relationships/hyperlink" Target="https://cdn.jsdelivr.net/gh/EngineerX1234/vocational-images@main/tools/batch-10/electronics-drill-machine.jpg" TargetMode="External"/><Relationship Id="rId2211" Type="http://schemas.openxmlformats.org/officeDocument/2006/relationships/hyperlink" Target="https://cdn.jsdelivr.net/gh/EngineerX1234/vocational-images@main/tools/batch-11/electronics-measuring-tape.jpg" TargetMode="External"/><Relationship Id="rId2212" Type="http://schemas.openxmlformats.org/officeDocument/2006/relationships/hyperlink" Target="https://cdn.jsdelivr.net/gh/EngineerX1234/vocational-images@main/tools/batch-11/electronics-wire-gauge.jpg" TargetMode="External"/><Relationship Id="rId2213" Type="http://schemas.openxmlformats.org/officeDocument/2006/relationships/hyperlink" Target="https://cdn.jsdelivr.net/gh/EngineerX1234/vocational-images@main/tools/batch-10/electronics-drill-machine.jpg" TargetMode="External"/><Relationship Id="rId2214" Type="http://schemas.openxmlformats.org/officeDocument/2006/relationships/hyperlink" Target="https://cdn.jsdelivr.net/gh/EngineerX1234/vocational-images@main/tools/batch-10/electronics-adjustable-wrench.jpg" TargetMode="External"/><Relationship Id="rId2215" Type="http://schemas.openxmlformats.org/officeDocument/2006/relationships/hyperlink" Target="https://cdn.jsdelivr.net/gh/EngineerX1234/vocational-images@main/tools/batch-11/electronics-pressure-gauge.jpg" TargetMode="External"/><Relationship Id="rId2216" Type="http://schemas.openxmlformats.org/officeDocument/2006/relationships/hyperlink" Target="https://cdn.jsdelivr.net/gh/EngineerX1234/vocational-images@main/tools/batch-10/electronics-brazing-torch.jpg" TargetMode="External"/><Relationship Id="rId2217" Type="http://schemas.openxmlformats.org/officeDocument/2006/relationships/hyperlink" Target="https://cdn.jsdelivr.net/gh/EngineerX1234/vocational-images@main/tools/batch-11/electronics-temperature-meter.jpg" TargetMode="External"/><Relationship Id="rId2218" Type="http://schemas.openxmlformats.org/officeDocument/2006/relationships/hyperlink" Target="https://cdn.jsdelivr.net/gh/EngineerX1234/vocational-images@main/tools/batch-10/electronics-continuity-tester.jpg" TargetMode="External"/><Relationship Id="rId2219" Type="http://schemas.openxmlformats.org/officeDocument/2006/relationships/hyperlink" Target="https://cdn.jsdelivr.net/gh/EngineerX1234/vocational-images@main/tools/batch-11/electronics-ohm-s-law-kit.jpg" TargetMode="External"/><Relationship Id="rId2220" Type="http://schemas.openxmlformats.org/officeDocument/2006/relationships/hyperlink" Target="https://cdn.jsdelivr.net/gh/EngineerX1234/vocational-images@main/tools/batch-10/electronics-kirchhoff-s-law-kit.jpg" TargetMode="External"/><Relationship Id="rId2221" Type="http://schemas.openxmlformats.org/officeDocument/2006/relationships/hyperlink" Target="https://cdn.jsdelivr.net/gh/EngineerX1234/vocational-images@main/tools/batch-10/electronics-ac-and-dc-motors.jpg" TargetMode="External"/><Relationship Id="rId2222" Type="http://schemas.openxmlformats.org/officeDocument/2006/relationships/hyperlink" Target="https://cdn.jsdelivr.net/gh/EngineerX1234/vocational-images@main/tools/batch-05/agriculture-vacuum-pump.jpg" TargetMode="External"/><Relationship Id="rId2223" Type="http://schemas.openxmlformats.org/officeDocument/2006/relationships/hyperlink" Target="https://cdn.jsdelivr.net/gh/EngineerX1234/vocational-images@main/tools/batch-11/electronics-leak-detector.jpg" TargetMode="External"/><Relationship Id="rId2224" Type="http://schemas.openxmlformats.org/officeDocument/2006/relationships/hyperlink" Target="https://cdn.jsdelivr.net/gh/EngineerX1234/vocational-images@main/tools/batch-11/electronics-manifold-gauge.jpg" TargetMode="External"/><Relationship Id="rId2225" Type="http://schemas.openxmlformats.org/officeDocument/2006/relationships/hyperlink" Target="https://cdn.jsdelivr.net/gh/EngineerX1234/vocational-images@main/tools/batch-11/electronics-projector.jpg" TargetMode="External"/><Relationship Id="rId2226" Type="http://schemas.openxmlformats.org/officeDocument/2006/relationships/hyperlink" Target="https://cdn.jsdelivr.net/gh/EngineerX1234/vocational-images@main/tools/batch-11/electronics-laptop.jpg" TargetMode="External"/><Relationship Id="rId2227" Type="http://schemas.openxmlformats.org/officeDocument/2006/relationships/hyperlink" Target="https://cdn.jsdelivr.net/gh/EngineerX1234/vocational-images@main/tools/batch-10/electronics-cable-connector.jpg" TargetMode="External"/><Relationship Id="rId2228" Type="http://schemas.openxmlformats.org/officeDocument/2006/relationships/hyperlink" Target="https://cdn.jsdelivr.net/gh/EngineerX1234/vocational-images@main/tools/batch-08/automotive-tool-kit.jpg" TargetMode="External"/><Relationship Id="rId2229" Type="http://schemas.openxmlformats.org/officeDocument/2006/relationships/hyperlink" Target="https://cdn.jsdelivr.net/gh/EngineerX1234/vocational-images@main/tools/batch-10/electronics-electrician-knife.jpg" TargetMode="External"/><Relationship Id="rId2230" Type="http://schemas.openxmlformats.org/officeDocument/2006/relationships/hyperlink" Target="https://cdn.jsdelivr.net/gh/EngineerX1234/vocational-images@main/tools/batch-11/electronics-pvc-mallet.jpg" TargetMode="External"/><Relationship Id="rId2231" Type="http://schemas.openxmlformats.org/officeDocument/2006/relationships/hyperlink" Target="https://cdn.jsdelivr.net/gh/EngineerX1234/vocational-images@main/tools/batch-10/electronics-fuse-puller.jpg" TargetMode="External"/><Relationship Id="rId2232" Type="http://schemas.openxmlformats.org/officeDocument/2006/relationships/hyperlink" Target="https://cdn.jsdelivr.net/gh/EngineerX1234/vocational-images@main/tools/batch-11/electronics-soldering-iron.jpg" TargetMode="External"/><Relationship Id="rId2233" Type="http://schemas.openxmlformats.org/officeDocument/2006/relationships/hyperlink" Target="https://cdn.jsdelivr.net/gh/EngineerX1234/vocational-images@main/tools/batch-10/electronics-compass.jpg" TargetMode="External"/><Relationship Id="rId2234" Type="http://schemas.openxmlformats.org/officeDocument/2006/relationships/hyperlink" Target="https://cdn.jsdelivr.net/gh/EngineerX1234/vocational-images@main/tools/batch-11/electronics-spirit-level-water-level.jpg" TargetMode="External"/><Relationship Id="rId2235" Type="http://schemas.openxmlformats.org/officeDocument/2006/relationships/hyperlink" Target="https://cdn.jsdelivr.net/gh/EngineerX1234/vocational-images@main/tools/batch-10/electronics-drill-machine.jpg" TargetMode="External"/><Relationship Id="rId2236" Type="http://schemas.openxmlformats.org/officeDocument/2006/relationships/hyperlink" Target="https://cdn.jsdelivr.net/gh/EngineerX1234/vocational-images@main/tools/batch-10/electronics-double-ended-flat-and-ring-spanner.jpg" TargetMode="External"/><Relationship Id="rId2237" Type="http://schemas.openxmlformats.org/officeDocument/2006/relationships/hyperlink" Target="https://cdn.jsdelivr.net/gh/EngineerX1234/vocational-images@main/tools/batch-10/electronics-combination-plier.jpg" TargetMode="External"/><Relationship Id="rId2238" Type="http://schemas.openxmlformats.org/officeDocument/2006/relationships/hyperlink" Target="https://cdn.jsdelivr.net/gh/EngineerX1234/vocational-images@main/tools/batch-11/electronics-side-cutting-plier.jpg" TargetMode="External"/><Relationship Id="rId2239" Type="http://schemas.openxmlformats.org/officeDocument/2006/relationships/hyperlink" Target="https://cdn.jsdelivr.net/gh/EngineerX1234/vocational-images@main/tools/batch-11/electronics-nose-pliers.jpg" TargetMode="External"/><Relationship Id="rId2240" Type="http://schemas.openxmlformats.org/officeDocument/2006/relationships/hyperlink" Target="https://cdn.jsdelivr.net/gh/EngineerX1234/vocational-images@main/tools/batch-05/agriculture-wire-stripper.jpg" TargetMode="External"/><Relationship Id="rId2241" Type="http://schemas.openxmlformats.org/officeDocument/2006/relationships/hyperlink" Target="https://cdn.jsdelivr.net/gh/EngineerX1234/vocational-images@main/tools/batch-10/electronics-hacksaw-frame-with-the-blade.jpg" TargetMode="External"/><Relationship Id="rId2242" Type="http://schemas.openxmlformats.org/officeDocument/2006/relationships/hyperlink" Target="https://cdn.jsdelivr.net/gh/EngineerX1234/vocational-images@main/tools/batch-24/agriculture-screw-driver.jpg" TargetMode="External"/><Relationship Id="rId2243" Type="http://schemas.openxmlformats.org/officeDocument/2006/relationships/hyperlink" Target="https://cdn.jsdelivr.net/gh/EngineerX1234/vocational-images@main/tools/batch-11/electronics-torque-wrench.jpg" TargetMode="External"/><Relationship Id="rId2244" Type="http://schemas.openxmlformats.org/officeDocument/2006/relationships/hyperlink" Target="https://cdn.jsdelivr.net/gh/EngineerX1234/vocational-images@main/tools/batch-05/agriculture-wire-stripper.jpg" TargetMode="External"/><Relationship Id="rId2245" Type="http://schemas.openxmlformats.org/officeDocument/2006/relationships/hyperlink" Target="https://cdn.jsdelivr.net/gh/EngineerX1234/vocational-images@main/tools/batch-11/electronics-measuring-tape.jpg" TargetMode="External"/><Relationship Id="rId2246" Type="http://schemas.openxmlformats.org/officeDocument/2006/relationships/hyperlink" Target="https://cdn.jsdelivr.net/gh/EngineerX1234/vocational-images@main/tools/batch-11/electronics-line-dori.jpg" TargetMode="External"/><Relationship Id="rId2247" Type="http://schemas.openxmlformats.org/officeDocument/2006/relationships/hyperlink" Target="https://cdn.jsdelivr.net/gh/EngineerX1234/vocational-images@main/tools/batch-11/electronics-plumb-bob.jpg" TargetMode="External"/><Relationship Id="rId2248" Type="http://schemas.openxmlformats.org/officeDocument/2006/relationships/hyperlink" Target="https://cdn.jsdelivr.net/gh/EngineerX1234/vocational-images@main/tools/batch-11/electronics-vernier-calliper.jpg" TargetMode="External"/><Relationship Id="rId2249" Type="http://schemas.openxmlformats.org/officeDocument/2006/relationships/hyperlink" Target="https://cdn.jsdelivr.net/gh/EngineerX1234/vocational-images@main/tools/batch-10/electronics-allen-key-set.jpg" TargetMode="External"/><Relationship Id="rId2250" Type="http://schemas.openxmlformats.org/officeDocument/2006/relationships/hyperlink" Target="https://cdn.jsdelivr.net/gh/EngineerX1234/vocational-images@main/tools/batch-10/electronics-centre-punch.jpg" TargetMode="External"/><Relationship Id="rId2251" Type="http://schemas.openxmlformats.org/officeDocument/2006/relationships/hyperlink" Target="https://cdn.jsdelivr.net/gh/EngineerX1234/vocational-images@main/tools/batch-11/electronics-standard-wire-gauge.jpg" TargetMode="External"/><Relationship Id="rId2252" Type="http://schemas.openxmlformats.org/officeDocument/2006/relationships/hyperlink" Target="https://cdn.jsdelivr.net/gh/EngineerX1234/vocational-images@main/tools/batch-10/electronics-cable-cutter.jpg" TargetMode="External"/><Relationship Id="rId2253" Type="http://schemas.openxmlformats.org/officeDocument/2006/relationships/hyperlink" Target="https://cdn.jsdelivr.net/gh/EngineerX1234/vocational-images@main/tools/batch-11/electronics-screwdriver-set.jpg" TargetMode="External"/><Relationship Id="rId2254" Type="http://schemas.openxmlformats.org/officeDocument/2006/relationships/hyperlink" Target="https://cdn.jsdelivr.net/gh/EngineerX1234/vocational-images@main/tools/batch-11/electronics-soldering-iron.jpg" TargetMode="External"/><Relationship Id="rId2255" Type="http://schemas.openxmlformats.org/officeDocument/2006/relationships/hyperlink" Target="https://cdn.jsdelivr.net/gh/EngineerX1234/vocational-images@main/tools/batch-05/agriculture-wire-stripper.jpg" TargetMode="External"/><Relationship Id="rId2256" Type="http://schemas.openxmlformats.org/officeDocument/2006/relationships/hyperlink" Target="https://cdn.jsdelivr.net/gh/EngineerX1234/vocational-images@main/tools/batch-10/electronics-cleaning-equipment.jpg" TargetMode="External"/><Relationship Id="rId2257" Type="http://schemas.openxmlformats.org/officeDocument/2006/relationships/hyperlink" Target="https://cdn.jsdelivr.net/gh/EngineerX1234/vocational-images@main/tools/batch-10/electronics-a-complete-unit-of-solar-photovoltaic-system-model-of-solar-photovoltaic-power-plant.jpg" TargetMode="External"/><Relationship Id="rId2258" Type="http://schemas.openxmlformats.org/officeDocument/2006/relationships/hyperlink" Target="https://cdn.jsdelivr.net/gh/EngineerX1234/vocational-images@main/tools/batch-11/electronics-solar-power-meter-pyranometer.jpg" TargetMode="External"/><Relationship Id="rId2259" Type="http://schemas.openxmlformats.org/officeDocument/2006/relationships/hyperlink" Target="https://cdn.jsdelivr.net/gh/EngineerX1234/vocational-images@main/tools/batch-11/electronics-solar-photovoltaic-inverter.jpg" TargetMode="External"/><Relationship Id="rId2260" Type="http://schemas.openxmlformats.org/officeDocument/2006/relationships/hyperlink" Target="https://cdn.jsdelivr.net/gh/EngineerX1234/vocational-images@main/tools/batch-10/electronics-energy-meter.jpg" TargetMode="External"/><Relationship Id="rId2261" Type="http://schemas.openxmlformats.org/officeDocument/2006/relationships/hyperlink" Target="https://cdn.jsdelivr.net/gh/EngineerX1234/vocational-images@main/tools/batch-10/electronics-battery.jpg" TargetMode="External"/><Relationship Id="rId2262" Type="http://schemas.openxmlformats.org/officeDocument/2006/relationships/hyperlink" Target="https://cdn.jsdelivr.net/gh/EngineerX1234/vocational-images@main/tools/batch-14/green-jobs-water-level-indicator.jpg" TargetMode="External"/><Relationship Id="rId2263" Type="http://schemas.openxmlformats.org/officeDocument/2006/relationships/hyperlink" Target="https://cdn.jsdelivr.net/gh/EngineerX1234/vocational-images@main/tools/batch-11/electronics-tong-tester-ac-dc.jpg" TargetMode="External"/><Relationship Id="rId2264" Type="http://schemas.openxmlformats.org/officeDocument/2006/relationships/hyperlink" Target="https://cdn.jsdelivr.net/gh/EngineerX1234/vocational-images@main/tools/batch-11/electronics-multimeter.jpg" TargetMode="External"/><Relationship Id="rId2265" Type="http://schemas.openxmlformats.org/officeDocument/2006/relationships/hyperlink" Target="https://cdn.jsdelivr.net/gh/EngineerX1234/vocational-images@main/tools/batch-11/electronics-phase-sequence-meter.jpg" TargetMode="External"/><Relationship Id="rId2266" Type="http://schemas.openxmlformats.org/officeDocument/2006/relationships/hyperlink" Target="https://cdn.jsdelivr.net/gh/EngineerX1234/vocational-images@main/tools/batch-10/electronics-inclinometer.jpg" TargetMode="External"/><Relationship Id="rId2267" Type="http://schemas.openxmlformats.org/officeDocument/2006/relationships/hyperlink" Target="https://cdn.jsdelivr.net/gh/EngineerX1234/vocational-images@main/tools/batch-10/electronics-clamp-meter.jpg" TargetMode="External"/><Relationship Id="rId2268" Type="http://schemas.openxmlformats.org/officeDocument/2006/relationships/hyperlink" Target="https://cdn.jsdelivr.net/gh/EngineerX1234/vocational-images@main/tools/batch-10/electronics-earth-tester.jpg" TargetMode="External"/><Relationship Id="rId2269" Type="http://schemas.openxmlformats.org/officeDocument/2006/relationships/hyperlink" Target="https://cdn.jsdelivr.net/gh/EngineerX1234/vocational-images@main/tools/batch-11/electronics-lux-meter.jpg" TargetMode="External"/><Relationship Id="rId2270" Type="http://schemas.openxmlformats.org/officeDocument/2006/relationships/hyperlink" Target="https://cdn.jsdelivr.net/gh/EngineerX1234/vocational-images@main/tools/batch-10/electronics-charge-controller.jpg" TargetMode="External"/><Relationship Id="rId2271" Type="http://schemas.openxmlformats.org/officeDocument/2006/relationships/hyperlink" Target="https://cdn.jsdelivr.net/gh/EngineerX1234/vocational-images@main/tools/batch-11/electronics-load-ac-dc.jpg" TargetMode="External"/><Relationship Id="rId2272" Type="http://schemas.openxmlformats.org/officeDocument/2006/relationships/hyperlink" Target="https://cdn.jsdelivr.net/gh/EngineerX1234/vocational-images@main/tools/batch-11/electronics-solar-conversion-kits.jpg" TargetMode="External"/><Relationship Id="rId2273" Type="http://schemas.openxmlformats.org/officeDocument/2006/relationships/hyperlink" Target="https://cdn.jsdelivr.net/gh/EngineerX1234/vocational-images@main/tools/batch-11/electronics-solar-panels.jpg" TargetMode="External"/><Relationship Id="rId2274" Type="http://schemas.openxmlformats.org/officeDocument/2006/relationships/hyperlink" Target="https://cdn.jsdelivr.net/gh/EngineerX1234/vocational-images@main/tools/batch-10/electronics-home-lighting-system.jpg" TargetMode="External"/><Relationship Id="rId2275" Type="http://schemas.openxmlformats.org/officeDocument/2006/relationships/hyperlink" Target="https://cdn.jsdelivr.net/gh/EngineerX1234/vocational-images@main/tools/batch-11/electronics-lantern.jpg" TargetMode="External"/><Relationship Id="rId2276" Type="http://schemas.openxmlformats.org/officeDocument/2006/relationships/hyperlink" Target="https://cdn.jsdelivr.net/gh/EngineerX1234/vocational-images@main/tools/batch-11/electronics-solar-torch.jpg" TargetMode="External"/><Relationship Id="rId2277" Type="http://schemas.openxmlformats.org/officeDocument/2006/relationships/hyperlink" Target="https://cdn.jsdelivr.net/gh/EngineerX1234/vocational-images@main/tools/batch-11/electronics-solar-water-heater.jpg" TargetMode="External"/><Relationship Id="rId2278" Type="http://schemas.openxmlformats.org/officeDocument/2006/relationships/hyperlink" Target="https://cdn.jsdelivr.net/gh/EngineerX1234/vocational-images@main/tools/batch-11/electronics-solar-cooker.jpg" TargetMode="External"/><Relationship Id="rId2279" Type="http://schemas.openxmlformats.org/officeDocument/2006/relationships/hyperlink" Target="https://cdn.jsdelivr.net/gh/EngineerX1234/vocational-images@main/tools/batch-11/electronics-solar-power-bank.jpg" TargetMode="External"/><Relationship Id="rId2280" Type="http://schemas.openxmlformats.org/officeDocument/2006/relationships/hyperlink" Target="https://cdn.jsdelivr.net/gh/EngineerX1234/vocational-images@main/tools/batch-11/electronics-solar-street-light.jpg" TargetMode="External"/><Relationship Id="rId2281" Type="http://schemas.openxmlformats.org/officeDocument/2006/relationships/hyperlink" Target="https://cdn.jsdelivr.net/gh/EngineerX1234/vocational-images@main/tools/batch-11/electronics-solar-charging-station.jpg" TargetMode="External"/><Relationship Id="rId2282" Type="http://schemas.openxmlformats.org/officeDocument/2006/relationships/hyperlink" Target="https://cdn.jsdelivr.net/gh/EngineerX1234/vocational-images@main/tools/batch-11/electronics-solar-e-rickshaw.jpg" TargetMode="External"/><Relationship Id="rId2283" Type="http://schemas.openxmlformats.org/officeDocument/2006/relationships/hyperlink" Target="https://cdn.jsdelivr.net/gh/EngineerX1234/vocational-images@main/tools/batch-21/tourism-and-hospitality-lcd-projector.jpg" TargetMode="External"/><Relationship Id="rId2284" Type="http://schemas.openxmlformats.org/officeDocument/2006/relationships/hyperlink" Target="https://cdn.jsdelivr.net/gh/EngineerX1234/vocational-images@main/tools/batch-20/power-pliers.jpg" TargetMode="External"/><Relationship Id="rId2285" Type="http://schemas.openxmlformats.org/officeDocument/2006/relationships/hyperlink" Target="https://cdn.jsdelivr.net/gh/EngineerX1234/vocational-images@main/tools/batch-20/power-screwdrivers-and-nut-drivers.jpg" TargetMode="External"/><Relationship Id="rId2286" Type="http://schemas.openxmlformats.org/officeDocument/2006/relationships/hyperlink" Target="https://cdn.jsdelivr.net/gh/EngineerX1234/vocational-images@main/tools/batch-11/electronics-wire-strippers.jpg" TargetMode="External"/><Relationship Id="rId2287" Type="http://schemas.openxmlformats.org/officeDocument/2006/relationships/hyperlink" Target="https://cdn.jsdelivr.net/gh/EngineerX1234/vocational-images@main/tools/batch-10/electronics-fishing-tools.jpg" TargetMode="External"/><Relationship Id="rId2288" Type="http://schemas.openxmlformats.org/officeDocument/2006/relationships/hyperlink" Target="https://cdn.jsdelivr.net/gh/EngineerX1234/vocational-images@main/tools/batch-10/electronics-circuit-testers.jpg" TargetMode="External"/><Relationship Id="rId2289" Type="http://schemas.openxmlformats.org/officeDocument/2006/relationships/hyperlink" Target="https://cdn.jsdelivr.net/gh/EngineerX1234/vocational-images@main/tools/batch-10/electronics-a-tool-pouch.jpg" TargetMode="External"/><Relationship Id="rId2290" Type="http://schemas.openxmlformats.org/officeDocument/2006/relationships/hyperlink" Target="https://cdn.jsdelivr.net/gh/EngineerX1234/vocational-images@main/tools/batch-11/electronics-ladders-and-step-stools.jpg" TargetMode="External"/><Relationship Id="rId2291" Type="http://schemas.openxmlformats.org/officeDocument/2006/relationships/hyperlink" Target="https://cdn.jsdelivr.net/gh/EngineerX1234/vocational-images@main/tools/batch-20/power-allen-wrench-set-hex-set.jpg" TargetMode="External"/><Relationship Id="rId2292" Type="http://schemas.openxmlformats.org/officeDocument/2006/relationships/hyperlink" Target="https://cdn.jsdelivr.net/gh/EngineerX1234/vocational-images@main/tools/batch-11/electronics-voltmeter.jpg" TargetMode="External"/><Relationship Id="rId2293" Type="http://schemas.openxmlformats.org/officeDocument/2006/relationships/hyperlink" Target="https://cdn.jsdelivr.net/gh/EngineerX1234/vocational-images@main/tools/batch-10/electronics-ammeter.jpg" TargetMode="External"/><Relationship Id="rId2294" Type="http://schemas.openxmlformats.org/officeDocument/2006/relationships/hyperlink" Target="https://cdn.jsdelivr.net/gh/EngineerX1234/vocational-images@main/tools/batch-10/electronics-labelling-machines.jpg" TargetMode="External"/><Relationship Id="rId2295" Type="http://schemas.openxmlformats.org/officeDocument/2006/relationships/hyperlink" Target="https://cdn.jsdelivr.net/gh/EngineerX1234/vocational-images@main/tools/batch-20/power-power-drills-and-drivers.jpg" TargetMode="External"/><Relationship Id="rId2296" Type="http://schemas.openxmlformats.org/officeDocument/2006/relationships/hyperlink" Target="https://cdn.jsdelivr.net/gh/EngineerX1234/vocational-images@main/tools/batch-20/telecom-hammer-drills.jpg" TargetMode="External"/><Relationship Id="rId2297" Type="http://schemas.openxmlformats.org/officeDocument/2006/relationships/hyperlink" Target="https://cdn.jsdelivr.net/gh/EngineerX1234/vocational-images@main/tools/batch-11/electronics-non-contact-voltage-detector.jpg" TargetMode="External"/><Relationship Id="rId2298" Type="http://schemas.openxmlformats.org/officeDocument/2006/relationships/hyperlink" Target="https://cdn.jsdelivr.net/gh/EngineerX1234/vocational-images@main/tools/batch-13/food-processing-serrated-bread-knife.jpg" TargetMode="External"/><Relationship Id="rId2299" Type="http://schemas.openxmlformats.org/officeDocument/2006/relationships/hyperlink" Target="https://cdn.jsdelivr.net/gh/EngineerX1234/vocational-images@main/tools/batch-12/food-processing-bread-tin-mould.jpg" TargetMode="External"/><Relationship Id="rId2300" Type="http://schemas.openxmlformats.org/officeDocument/2006/relationships/hyperlink" Target="https://cdn.jsdelivr.net/gh/EngineerX1234/vocational-images@main/tools/batch-11/food-processing-aluminium-cake-pan.jpg" TargetMode="External"/><Relationship Id="rId2301" Type="http://schemas.openxmlformats.org/officeDocument/2006/relationships/hyperlink" Target="https://cdn.jsdelivr.net/gh/EngineerX1234/vocational-images@main/tools/batch-12/food-processing-cooling-racks.jpg" TargetMode="External"/><Relationship Id="rId2302" Type="http://schemas.openxmlformats.org/officeDocument/2006/relationships/hyperlink" Target="https://cdn.jsdelivr.net/gh/EngineerX1234/vocational-images@main/tools/batch-12/food-processing-cutting-board.jpg" TargetMode="External"/><Relationship Id="rId2303" Type="http://schemas.openxmlformats.org/officeDocument/2006/relationships/hyperlink" Target="https://cdn.jsdelivr.net/gh/EngineerX1234/vocational-images@main/tools/batch-12/food-processing-dough-scrapers-and-plastic.jpg" TargetMode="External"/><Relationship Id="rId2304" Type="http://schemas.openxmlformats.org/officeDocument/2006/relationships/hyperlink" Target="https://cdn.jsdelivr.net/gh/EngineerX1234/vocational-images@main/tools/batch-12/food-processing-flour-sifter-sieves.jpg" TargetMode="External"/><Relationship Id="rId2305" Type="http://schemas.openxmlformats.org/officeDocument/2006/relationships/hyperlink" Target="https://cdn.jsdelivr.net/gh/EngineerX1234/vocational-images@main/tools/batch-12/food-processing-icing-comb.jpg" TargetMode="External"/><Relationship Id="rId2306" Type="http://schemas.openxmlformats.org/officeDocument/2006/relationships/hyperlink" Target="https://cdn.jsdelivr.net/gh/EngineerX1234/vocational-images@main/tools/batch-12/food-processing-measuring-cup.jpg" TargetMode="External"/><Relationship Id="rId2307" Type="http://schemas.openxmlformats.org/officeDocument/2006/relationships/hyperlink" Target="https://cdn.jsdelivr.net/gh/EngineerX1234/vocational-images@main/tools/batch-12/food-processing-measuring-jug.jpg" TargetMode="External"/><Relationship Id="rId2308" Type="http://schemas.openxmlformats.org/officeDocument/2006/relationships/hyperlink" Target="https://cdn.jsdelivr.net/gh/EngineerX1234/vocational-images@main/tools/batch-12/food-processing-measuring-spoon.jpg" TargetMode="External"/><Relationship Id="rId2309" Type="http://schemas.openxmlformats.org/officeDocument/2006/relationships/hyperlink" Target="https://cdn.jsdelivr.net/gh/EngineerX1234/vocational-images@main/tools/batch-12/food-processing-mixing-bowl-vessels.jpg" TargetMode="External"/><Relationship Id="rId2310" Type="http://schemas.openxmlformats.org/officeDocument/2006/relationships/hyperlink" Target="https://cdn.jsdelivr.net/gh/EngineerX1234/vocational-images@main/tools/batch-12/food-processing-moulds-cutter.jpg" TargetMode="External"/><Relationship Id="rId2311" Type="http://schemas.openxmlformats.org/officeDocument/2006/relationships/hyperlink" Target="https://cdn.jsdelivr.net/gh/EngineerX1234/vocational-images@main/tools/batch-12/food-processing-muffin-tray.jpg" TargetMode="External"/><Relationship Id="rId2312" Type="http://schemas.openxmlformats.org/officeDocument/2006/relationships/hyperlink" Target="https://cdn.jsdelivr.net/gh/EngineerX1234/vocational-images@main/tools/batch-12/food-processing-nozzle-set.jpg" TargetMode="External"/><Relationship Id="rId2313" Type="http://schemas.openxmlformats.org/officeDocument/2006/relationships/hyperlink" Target="https://cdn.jsdelivr.net/gh/EngineerX1234/vocational-images@main/tools/batch-13/food-processing-piping-bag.jpg" TargetMode="External"/><Relationship Id="rId2314" Type="http://schemas.openxmlformats.org/officeDocument/2006/relationships/hyperlink" Target="https://cdn.jsdelivr.net/gh/EngineerX1234/vocational-images@main/tools/batch-13/food-processing-plates.jpg" TargetMode="External"/><Relationship Id="rId2315" Type="http://schemas.openxmlformats.org/officeDocument/2006/relationships/hyperlink" Target="https://cdn.jsdelivr.net/gh/EngineerX1234/vocational-images@main/tools/batch-13/food-processing-rolling-pin.jpg" TargetMode="External"/><Relationship Id="rId2316" Type="http://schemas.openxmlformats.org/officeDocument/2006/relationships/hyperlink" Target="https://cdn.jsdelivr.net/gh/EngineerX1234/vocational-images@main/tools/batch-12/food-processing-cake-rings.jpg" TargetMode="External"/><Relationship Id="rId2317" Type="http://schemas.openxmlformats.org/officeDocument/2006/relationships/hyperlink" Target="https://cdn.jsdelivr.net/gh/EngineerX1234/vocational-images@main/tools/batch-13/food-processing-spatula-and-pastry-brush.jpg" TargetMode="External"/><Relationship Id="rId2318" Type="http://schemas.openxmlformats.org/officeDocument/2006/relationships/hyperlink" Target="https://cdn.jsdelivr.net/gh/EngineerX1234/vocational-images@main/tools/batch-13/food-processing-spoon-big-and-small.jpg" TargetMode="External"/><Relationship Id="rId2319" Type="http://schemas.openxmlformats.org/officeDocument/2006/relationships/hyperlink" Target="https://cdn.jsdelivr.net/gh/EngineerX1234/vocational-images@main/tools/batch-13/food-processing-storage-containers.jpg" TargetMode="External"/><Relationship Id="rId2320" Type="http://schemas.openxmlformats.org/officeDocument/2006/relationships/hyperlink" Target="https://cdn.jsdelivr.net/gh/EngineerX1234/vocational-images@main/tools/batch-13/food-processing-strainer.jpg" TargetMode="External"/><Relationship Id="rId2321" Type="http://schemas.openxmlformats.org/officeDocument/2006/relationships/hyperlink" Target="https://cdn.jsdelivr.net/gh/EngineerX1234/vocational-images@main/tools/batch-13/food-processing-turn-table.jpg" TargetMode="External"/><Relationship Id="rId2322" Type="http://schemas.openxmlformats.org/officeDocument/2006/relationships/hyperlink" Target="https://cdn.jsdelivr.net/gh/EngineerX1234/vocational-images@main/tools/batch-13/food-processing-pizza-cutter.jpg" TargetMode="External"/><Relationship Id="rId2323" Type="http://schemas.openxmlformats.org/officeDocument/2006/relationships/hyperlink" Target="https://cdn.jsdelivr.net/gh/EngineerX1234/vocational-images@main/tools/batch-12/food-processing-hand-blender-cum-mixer.jpg" TargetMode="External"/><Relationship Id="rId2324" Type="http://schemas.openxmlformats.org/officeDocument/2006/relationships/hyperlink" Target="https://cdn.jsdelivr.net/gh/EngineerX1234/vocational-images@main/tools/batch-13/food-processing-planetary-mixer.jpg" TargetMode="External"/><Relationship Id="rId2325" Type="http://schemas.openxmlformats.org/officeDocument/2006/relationships/hyperlink" Target="https://cdn.jsdelivr.net/gh/EngineerX1234/vocational-images@main/tools/batch-13/food-processing-spiral-mixer.jpg" TargetMode="External"/><Relationship Id="rId2326" Type="http://schemas.openxmlformats.org/officeDocument/2006/relationships/hyperlink" Target="https://cdn.jsdelivr.net/gh/EngineerX1234/vocational-images@main/tools/batch-17/home-management-and-care-giving-weighing-scale.jpg" TargetMode="External"/><Relationship Id="rId2327" Type="http://schemas.openxmlformats.org/officeDocument/2006/relationships/hyperlink" Target="https://cdn.jsdelivr.net/gh/EngineerX1234/vocational-images@main/tools/batch-12/food-processing-deck-oven.jpg" TargetMode="External"/><Relationship Id="rId2328" Type="http://schemas.openxmlformats.org/officeDocument/2006/relationships/hyperlink" Target="https://cdn.jsdelivr.net/gh/EngineerX1234/vocational-images@main/tools/batch-12/food-processing-convection-oven.jpg" TargetMode="External"/><Relationship Id="rId2329" Type="http://schemas.openxmlformats.org/officeDocument/2006/relationships/hyperlink" Target="https://cdn.jsdelivr.net/gh/EngineerX1234/vocational-images@main/tools/batch-13/food-processing-rotary-oven.jpg" TargetMode="External"/><Relationship Id="rId2330" Type="http://schemas.openxmlformats.org/officeDocument/2006/relationships/hyperlink" Target="https://cdn.jsdelivr.net/gh/EngineerX1234/vocational-images@main/tools/batch-12/food-processing-dough-sheeter.jpg" TargetMode="External"/><Relationship Id="rId2331" Type="http://schemas.openxmlformats.org/officeDocument/2006/relationships/hyperlink" Target="https://cdn.jsdelivr.net/gh/EngineerX1234/vocational-images@main/tools/batch-13/food-processing-ph-meter.jpg" TargetMode="External"/><Relationship Id="rId2332" Type="http://schemas.openxmlformats.org/officeDocument/2006/relationships/hyperlink" Target="https://cdn.jsdelivr.net/gh/EngineerX1234/vocational-images@main/tools/batch-13/food-processing-viscometer.jpg" TargetMode="External"/><Relationship Id="rId2333" Type="http://schemas.openxmlformats.org/officeDocument/2006/relationships/hyperlink" Target="https://cdn.jsdelivr.net/gh/EngineerX1234/vocational-images@main/tools/batch-11/food-processing-autoclave.jpg" TargetMode="External"/><Relationship Id="rId2334" Type="http://schemas.openxmlformats.org/officeDocument/2006/relationships/hyperlink" Target="https://cdn.jsdelivr.net/gh/EngineerX1234/vocational-images@main/tools/batch-12/food-processing-laminar-air-flow-laf-cabinet.jpg" TargetMode="External"/><Relationship Id="rId2335" Type="http://schemas.openxmlformats.org/officeDocument/2006/relationships/hyperlink" Target="https://cdn.jsdelivr.net/gh/EngineerX1234/vocational-images@main/tools/batch-13/food-processing-weighing-balance.jpg" TargetMode="External"/><Relationship Id="rId2336" Type="http://schemas.openxmlformats.org/officeDocument/2006/relationships/hyperlink" Target="https://cdn.jsdelivr.net/gh/EngineerX1234/vocational-images@main/tools/batch-12/food-processing-centrifuge.jpg" TargetMode="External"/><Relationship Id="rId2337" Type="http://schemas.openxmlformats.org/officeDocument/2006/relationships/hyperlink" Target="https://cdn.jsdelivr.net/gh/EngineerX1234/vocational-images@main/tools/batch-12/food-processing-microscope.jpg" TargetMode="External"/><Relationship Id="rId2338" Type="http://schemas.openxmlformats.org/officeDocument/2006/relationships/hyperlink" Target="https://cdn.jsdelivr.net/gh/EngineerX1234/vocational-images@main/tools/batch-13/food-processing-water-bath.jpg" TargetMode="External"/><Relationship Id="rId2339" Type="http://schemas.openxmlformats.org/officeDocument/2006/relationships/hyperlink" Target="https://cdn.jsdelivr.net/gh/EngineerX1234/vocational-images@main/tools/batch-12/food-processing-hot-air-oven.jpg" TargetMode="External"/><Relationship Id="rId2340" Type="http://schemas.openxmlformats.org/officeDocument/2006/relationships/hyperlink" Target="https://cdn.jsdelivr.net/gh/EngineerX1234/vocational-images@main/tools/batch-17/logistics-glassware.jpg" TargetMode="External"/><Relationship Id="rId2341" Type="http://schemas.openxmlformats.org/officeDocument/2006/relationships/hyperlink" Target="https://cdn.jsdelivr.net/gh/EngineerX1234/vocational-images@main/tools/batch-12/food-processing-filtration-system.jpg" TargetMode="External"/><Relationship Id="rId2342" Type="http://schemas.openxmlformats.org/officeDocument/2006/relationships/hyperlink" Target="https://cdn.jsdelivr.net/gh/EngineerX1234/vocational-images@main/tools/batch-12/food-processing-milk-strainer.jpg" TargetMode="External"/><Relationship Id="rId2343" Type="http://schemas.openxmlformats.org/officeDocument/2006/relationships/hyperlink" Target="https://cdn.jsdelivr.net/gh/EngineerX1234/vocational-images@main/tools/batch-13/food-processing-refrigerator-2.jpg" TargetMode="External"/><Relationship Id="rId2344" Type="http://schemas.openxmlformats.org/officeDocument/2006/relationships/hyperlink" Target="https://cdn.jsdelivr.net/gh/EngineerX1234/vocational-images@main/tools/batch-12/food-processing-milk-storage-tanks-50-liter.jpg" TargetMode="External"/><Relationship Id="rId2345" Type="http://schemas.openxmlformats.org/officeDocument/2006/relationships/hyperlink" Target="https://cdn.jsdelivr.net/gh/EngineerX1234/vocational-images@main/tools/batch-12/food-processing-cream-separator.jpg" TargetMode="External"/><Relationship Id="rId2346" Type="http://schemas.openxmlformats.org/officeDocument/2006/relationships/hyperlink" Target="https://cdn.jsdelivr.net/gh/EngineerX1234/vocational-images@main/tools/batch-12/food-processing-milk-filter-machine.jpg" TargetMode="External"/><Relationship Id="rId2347" Type="http://schemas.openxmlformats.org/officeDocument/2006/relationships/hyperlink" Target="https://cdn.jsdelivr.net/gh/EngineerX1234/vocational-images@main/tools/batch-12/food-processing-chiller.jpg" TargetMode="External"/><Relationship Id="rId2348" Type="http://schemas.openxmlformats.org/officeDocument/2006/relationships/hyperlink" Target="https://cdn.jsdelivr.net/gh/EngineerX1234/vocational-images@main/tools/batch-13/food-processing-weighing-balance.jpg" TargetMode="External"/><Relationship Id="rId2349" Type="http://schemas.openxmlformats.org/officeDocument/2006/relationships/hyperlink" Target="https://cdn.jsdelivr.net/gh/EngineerX1234/vocational-images@main/tools/batch-12/food-processing-lactometer-2.jpg" TargetMode="External"/><Relationship Id="rId2350" Type="http://schemas.openxmlformats.org/officeDocument/2006/relationships/hyperlink" Target="https://cdn.jsdelivr.net/gh/EngineerX1234/vocational-images@main/tools/batch-12/food-processing-ice-cream-maker-2.jpg" TargetMode="External"/><Relationship Id="rId2351" Type="http://schemas.openxmlformats.org/officeDocument/2006/relationships/hyperlink" Target="https://cdn.jsdelivr.net/gh/EngineerX1234/vocational-images@main/tools/batch-12/food-processing-pasteurizer.jpg" TargetMode="External"/><Relationship Id="rId2352" Type="http://schemas.openxmlformats.org/officeDocument/2006/relationships/hyperlink" Target="https://cdn.jsdelivr.net/gh/EngineerX1234/vocational-images@main/tools/batch-12/food-processing-homogenizer.jpg" TargetMode="External"/><Relationship Id="rId2353" Type="http://schemas.openxmlformats.org/officeDocument/2006/relationships/hyperlink" Target="https://cdn.jsdelivr.net/gh/EngineerX1234/vocational-images@main/tools/batch-12/food-processing-bulk-milk-cooler.jpg" TargetMode="External"/><Relationship Id="rId2354" Type="http://schemas.openxmlformats.org/officeDocument/2006/relationships/hyperlink" Target="https://cdn.jsdelivr.net/gh/EngineerX1234/vocational-images@main/tools/batch-12/food-processing-ice-bar-packaging-machine.jpg" TargetMode="External"/><Relationship Id="rId2355" Type="http://schemas.openxmlformats.org/officeDocument/2006/relationships/hyperlink" Target="https://cdn.jsdelivr.net/gh/EngineerX1234/vocational-images@main/tools/batch-12/food-processing-cutting-knife.jpg" TargetMode="External"/><Relationship Id="rId2356" Type="http://schemas.openxmlformats.org/officeDocument/2006/relationships/hyperlink" Target="https://cdn.jsdelivr.net/gh/EngineerX1234/vocational-images@main/tools/batch-12/food-processing-fruit-grader.jpg" TargetMode="External"/><Relationship Id="rId2357" Type="http://schemas.openxmlformats.org/officeDocument/2006/relationships/hyperlink" Target="https://cdn.jsdelivr.net/gh/EngineerX1234/vocational-images@main/tools/batch-12/food-processing-fruit-and-vegetable-washer.jpg" TargetMode="External"/><Relationship Id="rId2358" Type="http://schemas.openxmlformats.org/officeDocument/2006/relationships/hyperlink" Target="https://cdn.jsdelivr.net/gh/EngineerX1234/vocational-images@main/tools/batch-12/food-processing-fruit-pulper.jpg" TargetMode="External"/><Relationship Id="rId2359" Type="http://schemas.openxmlformats.org/officeDocument/2006/relationships/hyperlink" Target="https://cdn.jsdelivr.net/gh/EngineerX1234/vocational-images@main/tools/batch-12/food-processing-fruit-mill.jpg" TargetMode="External"/><Relationship Id="rId2360" Type="http://schemas.openxmlformats.org/officeDocument/2006/relationships/hyperlink" Target="https://cdn.jsdelivr.net/gh/EngineerX1234/vocational-images@main/tools/batch-12/food-processing-fruit-juice-extractor.jpg" TargetMode="External"/><Relationship Id="rId2361" Type="http://schemas.openxmlformats.org/officeDocument/2006/relationships/hyperlink" Target="https://cdn.jsdelivr.net/gh/EngineerX1234/vocational-images@main/tools/batch-12/food-processing-halving-machine.jpg" TargetMode="External"/><Relationship Id="rId2362" Type="http://schemas.openxmlformats.org/officeDocument/2006/relationships/hyperlink" Target="https://cdn.jsdelivr.net/gh/EngineerX1234/vocational-images@main/tools/batch-12/food-processing-cutting-machine.jpg" TargetMode="External"/><Relationship Id="rId2363" Type="http://schemas.openxmlformats.org/officeDocument/2006/relationships/hyperlink" Target="https://cdn.jsdelivr.net/gh/EngineerX1234/vocational-images@main/tools/batch-12/food-processing-fruit-juice-pasteurizer.jpg" TargetMode="External"/><Relationship Id="rId2364" Type="http://schemas.openxmlformats.org/officeDocument/2006/relationships/hyperlink" Target="https://cdn.jsdelivr.net/gh/EngineerX1234/vocational-images@main/tools/batch-12/food-processing-can-float-body-reformer.jpg" TargetMode="External"/><Relationship Id="rId2365" Type="http://schemas.openxmlformats.org/officeDocument/2006/relationships/hyperlink" Target="https://cdn.jsdelivr.net/gh/EngineerX1234/vocational-images@main/tools/batch-12/food-processing-leg-cup-sealing-machine.jpg" TargetMode="External"/><Relationship Id="rId2366" Type="http://schemas.openxmlformats.org/officeDocument/2006/relationships/hyperlink" Target="https://cdn.jsdelivr.net/gh/EngineerX1234/vocational-images@main/tools/batch-12/food-processing-bottle-washing-machine.jpg" TargetMode="External"/><Relationship Id="rId2367" Type="http://schemas.openxmlformats.org/officeDocument/2006/relationships/hyperlink" Target="https://cdn.jsdelivr.net/gh/EngineerX1234/vocational-images@main/tools/batch-13/food-processing-syrup-mixing-tank.jpg" TargetMode="External"/><Relationship Id="rId2368" Type="http://schemas.openxmlformats.org/officeDocument/2006/relationships/hyperlink" Target="https://cdn.jsdelivr.net/gh/EngineerX1234/vocational-images@main/tools/batch-12/food-processing-juice-and-pulp-transfer-pump-stainless-steel.jpg" TargetMode="External"/><Relationship Id="rId2369" Type="http://schemas.openxmlformats.org/officeDocument/2006/relationships/hyperlink" Target="https://cdn.jsdelivr.net/gh/EngineerX1234/vocational-images@main/tools/batch-13/food-processing-weighing-machine.jpg" TargetMode="External"/><Relationship Id="rId2370" Type="http://schemas.openxmlformats.org/officeDocument/2006/relationships/hyperlink" Target="https://cdn.jsdelivr.net/gh/EngineerX1234/vocational-images@main/tools/batch-12/food-processing-hand-refractometer.jpg" TargetMode="External"/><Relationship Id="rId2371" Type="http://schemas.openxmlformats.org/officeDocument/2006/relationships/hyperlink" Target="https://cdn.jsdelivr.net/gh/EngineerX1234/vocational-images@main/tools/batch-12/food-processing-bottle-flesh-pasteurizer.jpg" TargetMode="External"/><Relationship Id="rId2372" Type="http://schemas.openxmlformats.org/officeDocument/2006/relationships/hyperlink" Target="https://cdn.jsdelivr.net/gh/EngineerX1234/vocational-images@main/tools/batch-13/food-processing-steam-jacket-kettles.jpg" TargetMode="External"/><Relationship Id="rId2373" Type="http://schemas.openxmlformats.org/officeDocument/2006/relationships/hyperlink" Target="https://cdn.jsdelivr.net/gh/EngineerX1234/vocational-images@main/tools/batch-13/food-processing-ph-meter.jpg" TargetMode="External"/><Relationship Id="rId2374" Type="http://schemas.openxmlformats.org/officeDocument/2006/relationships/hyperlink" Target="https://cdn.jsdelivr.net/gh/EngineerX1234/vocational-images@main/tools/batch-13/food-processing-water-and-juice-analysis-machine.jpg" TargetMode="External"/><Relationship Id="rId2375" Type="http://schemas.openxmlformats.org/officeDocument/2006/relationships/hyperlink" Target="https://cdn.jsdelivr.net/gh/EngineerX1234/vocational-images@main/tools/batch-12/food-processing-electronic-top-pan-balance.jpg" TargetMode="External"/><Relationship Id="rId2376" Type="http://schemas.openxmlformats.org/officeDocument/2006/relationships/hyperlink" Target="https://cdn.jsdelivr.net/gh/EngineerX1234/vocational-images@main/tools/batch-12/food-processing-lye-peeling-machine.jpg" TargetMode="External"/><Relationship Id="rId2377" Type="http://schemas.openxmlformats.org/officeDocument/2006/relationships/hyperlink" Target="https://cdn.jsdelivr.net/gh/EngineerX1234/vocational-images@main/tools/batch-13/food-processing-vegetable-bleacher.jpg" TargetMode="External"/><Relationship Id="rId2378" Type="http://schemas.openxmlformats.org/officeDocument/2006/relationships/hyperlink" Target="https://cdn.jsdelivr.net/gh/EngineerX1234/vocational-images@main/tools/batch-12/food-processing-glass-beakers.jpg" TargetMode="External"/><Relationship Id="rId2379" Type="http://schemas.openxmlformats.org/officeDocument/2006/relationships/hyperlink" Target="https://cdn.jsdelivr.net/gh/EngineerX1234/vocational-images@main/tools/batch-12/food-processing-measuring-cylinder.jpg" TargetMode="External"/><Relationship Id="rId2380" Type="http://schemas.openxmlformats.org/officeDocument/2006/relationships/hyperlink" Target="https://cdn.jsdelivr.net/gh/EngineerX1234/vocational-images@main/tools/batch-13/food-processing-vacuum-evaporator.jpg" TargetMode="External"/><Relationship Id="rId2381" Type="http://schemas.openxmlformats.org/officeDocument/2006/relationships/hyperlink" Target="https://cdn.jsdelivr.net/gh/EngineerX1234/vocational-images@main/tools/batch-12/food-processing-boiler.jpg" TargetMode="External"/><Relationship Id="rId2382" Type="http://schemas.openxmlformats.org/officeDocument/2006/relationships/hyperlink" Target="https://cdn.jsdelivr.net/gh/EngineerX1234/vocational-images@main/tools/batch-13/food-processing-tofu-hand-press.jpg" TargetMode="External"/><Relationship Id="rId2383" Type="http://schemas.openxmlformats.org/officeDocument/2006/relationships/hyperlink" Target="https://cdn.jsdelivr.net/gh/EngineerX1234/vocational-images@main/tools/batch-12/food-processing-chiller.jpg" TargetMode="External"/><Relationship Id="rId2384" Type="http://schemas.openxmlformats.org/officeDocument/2006/relationships/hyperlink" Target="https://cdn.jsdelivr.net/gh/EngineerX1234/vocational-images@main/tools/batch-03/agriculture-oven.jpg" TargetMode="External"/><Relationship Id="rId2385" Type="http://schemas.openxmlformats.org/officeDocument/2006/relationships/hyperlink" Target="https://cdn.jsdelivr.net/gh/EngineerX1234/vocational-images@main/tools/batch-13/food-processing-refrigerator-2.jpg" TargetMode="External"/><Relationship Id="rId2386" Type="http://schemas.openxmlformats.org/officeDocument/2006/relationships/hyperlink" Target="https://cdn.jsdelivr.net/gh/EngineerX1234/vocational-images@main/tools/batch-12/food-processing-blanching-unit.jpg" TargetMode="External"/><Relationship Id="rId2387" Type="http://schemas.openxmlformats.org/officeDocument/2006/relationships/hyperlink" Target="https://cdn.jsdelivr.net/gh/EngineerX1234/vocational-images@main/tools/batch-11/food-processing-autoclave.jpg" TargetMode="External"/><Relationship Id="rId2388" Type="http://schemas.openxmlformats.org/officeDocument/2006/relationships/hyperlink" Target="https://cdn.jsdelivr.net/gh/EngineerX1234/vocational-images@main/tools/batch-13/food-processing-weighing-balance.jpg" TargetMode="External"/><Relationship Id="rId2389" Type="http://schemas.openxmlformats.org/officeDocument/2006/relationships/hyperlink" Target="https://cdn.jsdelivr.net/gh/EngineerX1234/vocational-images@main/tools/batch-12/food-processing-mixer-grinder.jpg" TargetMode="External"/><Relationship Id="rId2390" Type="http://schemas.openxmlformats.org/officeDocument/2006/relationships/hyperlink" Target="https://cdn.jsdelivr.net/gh/EngineerX1234/vocational-images@main/tools/batch-13/food-processing-soy-milk-bottle-sealing-machine-manual.jpg" TargetMode="External"/><Relationship Id="rId2391" Type="http://schemas.openxmlformats.org/officeDocument/2006/relationships/hyperlink" Target="https://cdn.jsdelivr.net/gh/EngineerX1234/vocational-images@main/tools/batch-13/food-processing-sealing-machine.jpg" TargetMode="External"/><Relationship Id="rId2392" Type="http://schemas.openxmlformats.org/officeDocument/2006/relationships/hyperlink" Target="https://cdn.jsdelivr.net/gh/EngineerX1234/vocational-images@main/tools/batch-13/food-processing-soy-milk-plant.jpg" TargetMode="External"/><Relationship Id="rId2393" Type="http://schemas.openxmlformats.org/officeDocument/2006/relationships/hyperlink" Target="https://cdn.jsdelivr.net/gh/EngineerX1234/vocational-images@main/tools/batch-12/food-processing-automatic-bottle-sealing-unit.jpg" TargetMode="External"/><Relationship Id="rId2394" Type="http://schemas.openxmlformats.org/officeDocument/2006/relationships/hyperlink" Target="https://cdn.jsdelivr.net/gh/EngineerX1234/vocational-images@main/tools/batch-13/food-processing-vacuum-packaging-machine.jpg" TargetMode="External"/><Relationship Id="rId2395" Type="http://schemas.openxmlformats.org/officeDocument/2006/relationships/hyperlink" Target="https://cdn.jsdelivr.net/gh/EngineerX1234/vocational-images@main/tools/batch-13/food-processing-pneumatic-press.jpg" TargetMode="External"/><Relationship Id="rId2396" Type="http://schemas.openxmlformats.org/officeDocument/2006/relationships/hyperlink" Target="https://cdn.jsdelivr.net/gh/EngineerX1234/vocational-images@main/tools/batch-14/green-jobs-tool-kit-2.jpg" TargetMode="External"/><Relationship Id="rId2397" Type="http://schemas.openxmlformats.org/officeDocument/2006/relationships/hyperlink" Target="https://cdn.jsdelivr.net/gh/EngineerX1234/vocational-images@main/tools/batch-14/green-jobs-nose-pliers-2.jpg" TargetMode="External"/><Relationship Id="rId2398" Type="http://schemas.openxmlformats.org/officeDocument/2006/relationships/hyperlink" Target="https://cdn.jsdelivr.net/gh/EngineerX1234/vocational-images@main/tools/batch-20/telecom-cutters.jpg" TargetMode="External"/><Relationship Id="rId2399" Type="http://schemas.openxmlformats.org/officeDocument/2006/relationships/hyperlink" Target="https://cdn.jsdelivr.net/gh/EngineerX1234/vocational-images@main/tools/batch-14/green-jobs-tweezers.jpg" TargetMode="External"/><Relationship Id="rId2400" Type="http://schemas.openxmlformats.org/officeDocument/2006/relationships/hyperlink" Target="https://cdn.jsdelivr.net/gh/EngineerX1234/vocational-images@main/tools/batch-14/green-jobs-stripping-and-crimping-tools-1-set.jpg" TargetMode="External"/><Relationship Id="rId2401" Type="http://schemas.openxmlformats.org/officeDocument/2006/relationships/hyperlink" Target="https://cdn.jsdelivr.net/gh/EngineerX1234/vocational-images@main/tools/batch-14/green-jobs-rectifier.jpg" TargetMode="External"/><Relationship Id="rId2402" Type="http://schemas.openxmlformats.org/officeDocument/2006/relationships/hyperlink" Target="https://cdn.jsdelivr.net/gh/EngineerX1234/vocational-images@main/tools/batch-13/green-jobs-electrolyser.jpg" TargetMode="External"/><Relationship Id="rId2403" Type="http://schemas.openxmlformats.org/officeDocument/2006/relationships/hyperlink" Target="https://cdn.jsdelivr.net/gh/EngineerX1234/vocational-images@main/tools/batch-14/green-jobs-multimeter-2.jpg" TargetMode="External"/><Relationship Id="rId2404" Type="http://schemas.openxmlformats.org/officeDocument/2006/relationships/hyperlink" Target="https://cdn.jsdelivr.net/gh/EngineerX1234/vocational-images@main/tools/batch-13/green-jobs-clamp-meter-2.jpg" TargetMode="External"/><Relationship Id="rId2405" Type="http://schemas.openxmlformats.org/officeDocument/2006/relationships/hyperlink" Target="https://cdn.jsdelivr.net/gh/EngineerX1234/vocational-images@main/tools/batch-14/green-jobs-phase-sequence-meter-2.jpg" TargetMode="External"/><Relationship Id="rId2406" Type="http://schemas.openxmlformats.org/officeDocument/2006/relationships/hyperlink" Target="https://cdn.jsdelivr.net/gh/EngineerX1234/vocational-images@main/tools/batch-13/green-jobs-earth-tester-2.jpg" TargetMode="External"/><Relationship Id="rId2407" Type="http://schemas.openxmlformats.org/officeDocument/2006/relationships/hyperlink" Target="https://cdn.jsdelivr.net/gh/EngineerX1234/vocational-images@main/tools/batch-13/green-jobs-frequency-meter.jpg" TargetMode="External"/><Relationship Id="rId2408" Type="http://schemas.openxmlformats.org/officeDocument/2006/relationships/hyperlink" Target="https://cdn.jsdelivr.net/gh/EngineerX1234/vocational-images@main/tools/batch-14/green-jobs-pressure-meter.jpg" TargetMode="External"/><Relationship Id="rId2409" Type="http://schemas.openxmlformats.org/officeDocument/2006/relationships/hyperlink" Target="https://cdn.jsdelivr.net/gh/EngineerX1234/vocational-images@main/tools/batch-14/green-jobs-hand-driven-megger.jpg" TargetMode="External"/><Relationship Id="rId2410" Type="http://schemas.openxmlformats.org/officeDocument/2006/relationships/hyperlink" Target="https://cdn.jsdelivr.net/gh/EngineerX1234/vocational-images@main/tools/batch-14/green-jobs-ir-thermometer-2.jpg" TargetMode="External"/><Relationship Id="rId2411" Type="http://schemas.openxmlformats.org/officeDocument/2006/relationships/hyperlink" Target="https://cdn.jsdelivr.net/gh/EngineerX1234/vocational-images@main/tools/batch-13/green-jobs-barometer.jpg" TargetMode="External"/><Relationship Id="rId2412" Type="http://schemas.openxmlformats.org/officeDocument/2006/relationships/hyperlink" Target="https://cdn.jsdelivr.net/gh/EngineerX1234/vocational-images@main/tools/batch-13/green-jobs-electronic-pressure-gauge.jpg" TargetMode="External"/><Relationship Id="rId2413" Type="http://schemas.openxmlformats.org/officeDocument/2006/relationships/hyperlink" Target="https://cdn.jsdelivr.net/gh/EngineerX1234/vocational-images@main/tools/batch-13/green-jobs-gas-leakage-detector.jpg" TargetMode="External"/><Relationship Id="rId2414" Type="http://schemas.openxmlformats.org/officeDocument/2006/relationships/hyperlink" Target="https://cdn.jsdelivr.net/gh/EngineerX1234/vocational-images@main/tools/batch-14/green-jobs-measuring-tape-2.jpg" TargetMode="External"/><Relationship Id="rId2415" Type="http://schemas.openxmlformats.org/officeDocument/2006/relationships/hyperlink" Target="https://cdn.jsdelivr.net/gh/EngineerX1234/vocational-images@main/tools/batch-14/green-jobs-spirit-level-2.jpg" TargetMode="External"/><Relationship Id="rId2416" Type="http://schemas.openxmlformats.org/officeDocument/2006/relationships/hyperlink" Target="https://cdn.jsdelivr.net/gh/EngineerX1234/vocational-images@main/tools/batch-13/green-jobs-adjustable-wrench.jpg" TargetMode="External"/><Relationship Id="rId2417" Type="http://schemas.openxmlformats.org/officeDocument/2006/relationships/hyperlink" Target="https://cdn.jsdelivr.net/gh/EngineerX1234/vocational-images@main/tools/batch-14/green-jobs-solar-panel-mounting-system.jpg" TargetMode="External"/><Relationship Id="rId2418" Type="http://schemas.openxmlformats.org/officeDocument/2006/relationships/hyperlink" Target="https://cdn.jsdelivr.net/gh/EngineerX1234/vocational-images@main/tools/batch-14/green-jobs-solar-panels-for-demonstration.jpg" TargetMode="External"/><Relationship Id="rId2419" Type="http://schemas.openxmlformats.org/officeDocument/2006/relationships/hyperlink" Target="https://cdn.jsdelivr.net/gh/EngineerX1234/vocational-images@main/tools/batch-13/green-jobs-ev-charging-gun-type-2.jpg" TargetMode="External"/><Relationship Id="rId2420" Type="http://schemas.openxmlformats.org/officeDocument/2006/relationships/hyperlink" Target="https://cdn.jsdelivr.net/gh/EngineerX1234/vocational-images@main/tools/batch-13/green-jobs-distribution-box-mcb-rccb-isolator.jpg" TargetMode="External"/><Relationship Id="rId2421" Type="http://schemas.openxmlformats.org/officeDocument/2006/relationships/hyperlink" Target="https://cdn.jsdelivr.net/gh/EngineerX1234/vocational-images@main/tools/batch-14/green-jobs-measuring-tape-2.jpg" TargetMode="External"/><Relationship Id="rId2422" Type="http://schemas.openxmlformats.org/officeDocument/2006/relationships/hyperlink" Target="https://cdn.jsdelivr.net/gh/EngineerX1234/vocational-images@main/tools/batch-14/green-jobs-spirit-level-2.jpg" TargetMode="External"/><Relationship Id="rId2423" Type="http://schemas.openxmlformats.org/officeDocument/2006/relationships/hyperlink" Target="https://cdn.jsdelivr.net/gh/EngineerX1234/vocational-images@main/tools/batch-13/green-jobs-adjustable-wrench.jpg" TargetMode="External"/><Relationship Id="rId2424" Type="http://schemas.openxmlformats.org/officeDocument/2006/relationships/hyperlink" Target="https://cdn.jsdelivr.net/gh/EngineerX1234/vocational-images@main/tools/batch-14/green-jobs-hammer-2.jpg" TargetMode="External"/><Relationship Id="rId2425" Type="http://schemas.openxmlformats.org/officeDocument/2006/relationships/hyperlink" Target="https://cdn.jsdelivr.net/gh/EngineerX1234/vocational-images@main/tools/batch-14/green-jobs-pliers-combination.jpg" TargetMode="External"/><Relationship Id="rId2426" Type="http://schemas.openxmlformats.org/officeDocument/2006/relationships/hyperlink" Target="https://cdn.jsdelivr.net/gh/EngineerX1234/vocational-images@main/tools/batch-14/green-jobs-utility-knife.jpg" TargetMode="External"/><Relationship Id="rId2427" Type="http://schemas.openxmlformats.org/officeDocument/2006/relationships/hyperlink" Target="https://cdn.jsdelivr.net/gh/EngineerX1234/vocational-images@main/tools/batch-14/green-jobs-spanner-set.jpg" TargetMode="External"/><Relationship Id="rId2428" Type="http://schemas.openxmlformats.org/officeDocument/2006/relationships/hyperlink" Target="https://cdn.jsdelivr.net/gh/EngineerX1234/vocational-images@main/tools/batch-14/green-jobs-hand-trowel.jpg" TargetMode="External"/><Relationship Id="rId2429" Type="http://schemas.openxmlformats.org/officeDocument/2006/relationships/hyperlink" Target="https://cdn.jsdelivr.net/gh/EngineerX1234/vocational-images@main/tools/batch-14/green-jobs-hand-saw.jpg" TargetMode="External"/><Relationship Id="rId2430" Type="http://schemas.openxmlformats.org/officeDocument/2006/relationships/hyperlink" Target="https://cdn.jsdelivr.net/gh/EngineerX1234/vocational-images@main/tools/batch-13/green-jobs-crowbar.jpg" TargetMode="External"/><Relationship Id="rId2431" Type="http://schemas.openxmlformats.org/officeDocument/2006/relationships/hyperlink" Target="https://cdn.jsdelivr.net/gh/EngineerX1234/vocational-images@main/tools/batch-14/green-jobs-sledge-hammer.jpg" TargetMode="External"/><Relationship Id="rId2432" Type="http://schemas.openxmlformats.org/officeDocument/2006/relationships/hyperlink" Target="https://cdn.jsdelivr.net/gh/EngineerX1234/vocational-images@main/tools/batch-14/green-jobs-solar-panel-mounting-system.jpg" TargetMode="External"/><Relationship Id="rId2433" Type="http://schemas.openxmlformats.org/officeDocument/2006/relationships/hyperlink" Target="https://cdn.jsdelivr.net/gh/EngineerX1234/vocational-images@main/tools/batch-14/green-jobs-solar-panels-for-demonstration.jpg" TargetMode="External"/><Relationship Id="rId2434" Type="http://schemas.openxmlformats.org/officeDocument/2006/relationships/hyperlink" Target="https://cdn.jsdelivr.net/gh/EngineerX1234/vocational-images@main/tools/batch-15/handicrafts-and-carpet-machete-chopper.jpg" TargetMode="External"/><Relationship Id="rId2435" Type="http://schemas.openxmlformats.org/officeDocument/2006/relationships/hyperlink" Target="https://cdn.jsdelivr.net/gh/EngineerX1234/vocational-images@main/tools/batch-15/handicrafts-and-carpet-crosscut-saw.jpg" TargetMode="External"/><Relationship Id="rId2436" Type="http://schemas.openxmlformats.org/officeDocument/2006/relationships/hyperlink" Target="https://cdn.jsdelivr.net/gh/EngineerX1234/vocational-images@main/tools/batch-14/handicrafts-and-carpet-bamboo-hand-splitter.jpg" TargetMode="External"/><Relationship Id="rId2437" Type="http://schemas.openxmlformats.org/officeDocument/2006/relationships/hyperlink" Target="https://cdn.jsdelivr.net/gh/EngineerX1234/vocational-images@main/tools/batch-14/handicrafts-and-carpet-bamboo-knife.jpg" TargetMode="External"/><Relationship Id="rId2438" Type="http://schemas.openxmlformats.org/officeDocument/2006/relationships/hyperlink" Target="https://cdn.jsdelivr.net/gh/EngineerX1234/vocational-images@main/tools/batch-15/handicrafts-and-carpet-hand-plane.jpg" TargetMode="External"/><Relationship Id="rId2439" Type="http://schemas.openxmlformats.org/officeDocument/2006/relationships/hyperlink" Target="https://cdn.jsdelivr.net/gh/EngineerX1234/vocational-images@main/tools/batch-15/handicrafts-and-carpet-draw-knife.jpg" TargetMode="External"/><Relationship Id="rId2440" Type="http://schemas.openxmlformats.org/officeDocument/2006/relationships/hyperlink" Target="https://cdn.jsdelivr.net/gh/EngineerX1234/vocational-images@main/tools/batch-15/handicrafts-and-carpet-hand-drill.jpg" TargetMode="External"/><Relationship Id="rId2441" Type="http://schemas.openxmlformats.org/officeDocument/2006/relationships/hyperlink" Target="https://cdn.jsdelivr.net/gh/EngineerX1234/vocational-images@main/tools/batch-15/handicrafts-and-carpet-lacquering-polishing-tools.jpg" TargetMode="External"/><Relationship Id="rId2442" Type="http://schemas.openxmlformats.org/officeDocument/2006/relationships/hyperlink" Target="https://cdn.jsdelivr.net/gh/EngineerX1234/vocational-images@main/tools/batch-15/handicrafts-and-carpet-spokeshave.jpg" TargetMode="External"/><Relationship Id="rId2443" Type="http://schemas.openxmlformats.org/officeDocument/2006/relationships/hyperlink" Target="https://cdn.jsdelivr.net/gh/EngineerX1234/vocational-images@main/tools/batch-15/handicrafts-and-carpet-wooden-mallet.jpg" TargetMode="External"/><Relationship Id="rId2444" Type="http://schemas.openxmlformats.org/officeDocument/2006/relationships/hyperlink" Target="https://cdn.jsdelivr.net/gh/EngineerX1234/vocational-images@main/tools/batch-15/handicrafts-and-carpet-mops.jpg" TargetMode="External"/><Relationship Id="rId2445" Type="http://schemas.openxmlformats.org/officeDocument/2006/relationships/hyperlink" Target="https://cdn.jsdelivr.net/gh/EngineerX1234/vocational-images@main/tools/batch-15/handicrafts-and-carpet-machete-chopper.jpg" TargetMode="External"/><Relationship Id="rId2446" Type="http://schemas.openxmlformats.org/officeDocument/2006/relationships/hyperlink" Target="https://cdn.jsdelivr.net/gh/EngineerX1234/vocational-images@main/tools/batch-15/handicrafts-and-carpet-crosscut-saw.jpg" TargetMode="External"/><Relationship Id="rId2447" Type="http://schemas.openxmlformats.org/officeDocument/2006/relationships/hyperlink" Target="https://cdn.jsdelivr.net/gh/EngineerX1234/vocational-images@main/tools/batch-14/handicrafts-and-carpet-bamboo-knife.jpg" TargetMode="External"/><Relationship Id="rId2448" Type="http://schemas.openxmlformats.org/officeDocument/2006/relationships/hyperlink" Target="https://cdn.jsdelivr.net/gh/EngineerX1234/vocational-images@main/tools/batch-15/handicrafts-and-carpet-hand-plane.jpg" TargetMode="External"/><Relationship Id="rId2449" Type="http://schemas.openxmlformats.org/officeDocument/2006/relationships/hyperlink" Target="https://cdn.jsdelivr.net/gh/EngineerX1234/vocational-images@main/tools/batch-15/handicrafts-and-carpet-draw-knife.jpg" TargetMode="External"/><Relationship Id="rId2450" Type="http://schemas.openxmlformats.org/officeDocument/2006/relationships/hyperlink" Target="https://cdn.jsdelivr.net/gh/EngineerX1234/vocational-images@main/tools/batch-15/handicrafts-and-carpet-hand-drill.jpg" TargetMode="External"/><Relationship Id="rId2451" Type="http://schemas.openxmlformats.org/officeDocument/2006/relationships/hyperlink" Target="https://cdn.jsdelivr.net/gh/EngineerX1234/vocational-images@main/tools/batch-15/handicrafts-and-carpet-lacquering-polishing-tools.jpg" TargetMode="External"/><Relationship Id="rId2452" Type="http://schemas.openxmlformats.org/officeDocument/2006/relationships/hyperlink" Target="https://cdn.jsdelivr.net/gh/EngineerX1234/vocational-images@main/tools/batch-15/handicrafts-and-carpet-spokeshave.jpg" TargetMode="External"/><Relationship Id="rId2453" Type="http://schemas.openxmlformats.org/officeDocument/2006/relationships/hyperlink" Target="https://cdn.jsdelivr.net/gh/EngineerX1234/vocational-images@main/tools/batch-15/handicrafts-and-carpet-wooden-mallet.jpg" TargetMode="External"/><Relationship Id="rId2454" Type="http://schemas.openxmlformats.org/officeDocument/2006/relationships/hyperlink" Target="https://cdn.jsdelivr.net/gh/EngineerX1234/vocational-images@main/tools/batch-15/handicrafts-and-carpet-measuring-tape.jpg" TargetMode="External"/><Relationship Id="rId2455" Type="http://schemas.openxmlformats.org/officeDocument/2006/relationships/hyperlink" Target="https://cdn.jsdelivr.net/gh/EngineerX1234/vocational-images@main/tools/batch-15/handicrafts-and-carpet-sanding-machine.jpg" TargetMode="External"/><Relationship Id="rId2456" Type="http://schemas.openxmlformats.org/officeDocument/2006/relationships/hyperlink" Target="https://cdn.jsdelivr.net/gh/EngineerX1234/vocational-images@main/tools/batch-15/handicrafts-and-carpet-jig-saw.jpg" TargetMode="External"/><Relationship Id="rId2457" Type="http://schemas.openxmlformats.org/officeDocument/2006/relationships/hyperlink" Target="https://cdn.jsdelivr.net/gh/EngineerX1234/vocational-images@main/tools/batch-15/handicrafts-and-carpet-nail-gun.jpg" TargetMode="External"/><Relationship Id="rId2458" Type="http://schemas.openxmlformats.org/officeDocument/2006/relationships/hyperlink" Target="https://cdn.jsdelivr.net/gh/EngineerX1234/vocational-images@main/tools/batch-15/handicrafts-and-carpet-vacuum-cleaner.jpg" TargetMode="External"/><Relationship Id="rId2459" Type="http://schemas.openxmlformats.org/officeDocument/2006/relationships/hyperlink" Target="https://cdn.jsdelivr.net/gh/EngineerX1234/vocational-images@main/tools/batch-15/handicrafts-and-carpet-cleaning-robots.jpg" TargetMode="External"/><Relationship Id="rId2460" Type="http://schemas.openxmlformats.org/officeDocument/2006/relationships/hyperlink" Target="https://cdn.jsdelivr.net/gh/EngineerX1234/vocational-images@main/tools/batch-14/handicrafts-and-carpet-air-purifiers.jpg" TargetMode="External"/><Relationship Id="rId2461" Type="http://schemas.openxmlformats.org/officeDocument/2006/relationships/hyperlink" Target="https://cdn.jsdelivr.net/gh/EngineerX1234/vocational-images@main/tools/batch-15/handicrafts-and-carpet-sanding-machine.jpg" TargetMode="External"/><Relationship Id="rId2462" Type="http://schemas.openxmlformats.org/officeDocument/2006/relationships/hyperlink" Target="https://cdn.jsdelivr.net/gh/EngineerX1234/vocational-images@main/tools/batch-15/handicrafts-and-carpet-jig-saw.jpg" TargetMode="External"/><Relationship Id="rId2463" Type="http://schemas.openxmlformats.org/officeDocument/2006/relationships/hyperlink" Target="https://cdn.jsdelivr.net/gh/EngineerX1234/vocational-images@main/tools/batch-15/handicrafts-and-carpet-nail-gun.jpg" TargetMode="External"/><Relationship Id="rId2464" Type="http://schemas.openxmlformats.org/officeDocument/2006/relationships/hyperlink" Target="https://cdn.jsdelivr.net/gh/EngineerX1234/vocational-images@main/tools/batch-14/handicrafts-and-carpet-bamboo-shaving-machine.jpg" TargetMode="External"/><Relationship Id="rId2465" Type="http://schemas.openxmlformats.org/officeDocument/2006/relationships/hyperlink" Target="https://cdn.jsdelivr.net/gh/EngineerX1234/vocational-images@main/tools/batch-14/handicrafts-and-carpet-bamboo-splitting-machine.jpg" TargetMode="External"/><Relationship Id="rId2466" Type="http://schemas.openxmlformats.org/officeDocument/2006/relationships/hyperlink" Target="https://cdn.jsdelivr.net/gh/EngineerX1234/vocational-images@main/tools/batch-14/handicrafts-and-carpet-bamboo-planer-machine.jpg" TargetMode="External"/><Relationship Id="rId2467" Type="http://schemas.openxmlformats.org/officeDocument/2006/relationships/hyperlink" Target="https://cdn.jsdelivr.net/gh/EngineerX1234/vocational-images@main/tools/batch-14/handicrafts-and-carpet-bamboo-sliver-making-machine.jpg" TargetMode="External"/><Relationship Id="rId2468" Type="http://schemas.openxmlformats.org/officeDocument/2006/relationships/hyperlink" Target="https://cdn.jsdelivr.net/gh/EngineerX1234/vocational-images@main/tools/batch-14/handicrafts-and-carpet-bamboo-mat-weaving-loom.jpg" TargetMode="External"/><Relationship Id="rId2469" Type="http://schemas.openxmlformats.org/officeDocument/2006/relationships/hyperlink" Target="https://cdn.jsdelivr.net/gh/EngineerX1234/vocational-images@main/tools/batch-14/handicrafts-and-carpet-bamboo-bending-machine.jpg" TargetMode="External"/><Relationship Id="rId2470" Type="http://schemas.openxmlformats.org/officeDocument/2006/relationships/hyperlink" Target="https://cdn.jsdelivr.net/gh/EngineerX1234/vocational-images@main/tools/batch-15/handicrafts-and-carpet-cnc-machine.jpg" TargetMode="External"/><Relationship Id="rId2471" Type="http://schemas.openxmlformats.org/officeDocument/2006/relationships/hyperlink" Target="https://cdn.jsdelivr.net/gh/EngineerX1234/vocational-images@main/tools/batch-14/handicrafts-and-carpet-bamboo-strip-sizing-machine.jpg" TargetMode="External"/><Relationship Id="rId2472" Type="http://schemas.openxmlformats.org/officeDocument/2006/relationships/hyperlink" Target="https://cdn.jsdelivr.net/gh/EngineerX1234/vocational-images@main/tools/batch-14/handicrafts-and-carpet-bamboo-veneer-slicing-machine.jpg" TargetMode="External"/><Relationship Id="rId2473" Type="http://schemas.openxmlformats.org/officeDocument/2006/relationships/hyperlink" Target="https://cdn.jsdelivr.net/gh/EngineerX1234/vocational-images@main/tools/batch-14/handicrafts-and-carpet-bamboo-shaving-machine.jpg" TargetMode="External"/><Relationship Id="rId2474" Type="http://schemas.openxmlformats.org/officeDocument/2006/relationships/hyperlink" Target="https://cdn.jsdelivr.net/gh/EngineerX1234/vocational-images@main/tools/batch-14/handicrafts-and-carpet-bamboo-sliver-making-machine.jpg" TargetMode="External"/><Relationship Id="rId2475" Type="http://schemas.openxmlformats.org/officeDocument/2006/relationships/hyperlink" Target="https://cdn.jsdelivr.net/gh/EngineerX1234/vocational-images@main/tools/batch-15/handicrafts-and-carpet-cnc-machine.jpg" TargetMode="External"/><Relationship Id="rId2476" Type="http://schemas.openxmlformats.org/officeDocument/2006/relationships/hyperlink" Target="https://cdn.jsdelivr.net/gh/EngineerX1234/vocational-images@main/tools/batch-15/handicrafts-and-carpet-security-cameras.jpg" TargetMode="External"/><Relationship Id="rId2477" Type="http://schemas.openxmlformats.org/officeDocument/2006/relationships/hyperlink" Target="https://cdn.jsdelivr.net/gh/EngineerX1234/vocational-images@main/tools/batch-15/handicrafts-and-carpet-lcd-screens.jpg" TargetMode="External"/><Relationship Id="rId2478" Type="http://schemas.openxmlformats.org/officeDocument/2006/relationships/hyperlink" Target="https://cdn.jsdelivr.net/gh/EngineerX1234/vocational-images@main/tools/batch-15/handicrafts-and-carpet-computer.jpg" TargetMode="External"/><Relationship Id="rId2479" Type="http://schemas.openxmlformats.org/officeDocument/2006/relationships/hyperlink" Target="https://cdn.jsdelivr.net/gh/EngineerX1234/vocational-images@main/tools/batch-15/handicrafts-and-carpet-lcd-projector.jpg" TargetMode="External"/><Relationship Id="rId2480" Type="http://schemas.openxmlformats.org/officeDocument/2006/relationships/hyperlink" Target="https://cdn.jsdelivr.net/gh/EngineerX1234/vocational-images@main/tools/batch-19/organised-retail-locking-systems.jpg" TargetMode="External"/><Relationship Id="rId2481" Type="http://schemas.openxmlformats.org/officeDocument/2006/relationships/hyperlink" Target="https://cdn.jsdelivr.net/gh/EngineerX1234/vocational-images@main/tools/batch-15/handicrafts-and-carpet-wooden-blocks-used-for-hand-block-printing.jpg" TargetMode="External"/><Relationship Id="rId2482" Type="http://schemas.openxmlformats.org/officeDocument/2006/relationships/hyperlink" Target="https://cdn.jsdelivr.net/gh/EngineerX1234/vocational-images@main/tools/batch-15/handicrafts-and-carpet-mops.jpg" TargetMode="External"/><Relationship Id="rId2483" Type="http://schemas.openxmlformats.org/officeDocument/2006/relationships/hyperlink" Target="https://cdn.jsdelivr.net/gh/EngineerX1234/vocational-images@main/tools/batch-15/handicrafts-and-carpet-measuring-cups.jpg" TargetMode="External"/><Relationship Id="rId2484" Type="http://schemas.openxmlformats.org/officeDocument/2006/relationships/hyperlink" Target="https://cdn.jsdelivr.net/gh/EngineerX1234/vocational-images@main/tools/batch-15/handicrafts-and-carpet-mixing-bowls.jpg" TargetMode="External"/><Relationship Id="rId2485" Type="http://schemas.openxmlformats.org/officeDocument/2006/relationships/hyperlink" Target="https://cdn.jsdelivr.net/gh/EngineerX1234/vocational-images@main/tools/batch-15/handicrafts-and-carpet-spatulas.jpg" TargetMode="External"/><Relationship Id="rId2486" Type="http://schemas.openxmlformats.org/officeDocument/2006/relationships/hyperlink" Target="https://cdn.jsdelivr.net/gh/EngineerX1234/vocational-images@main/tools/batch-15/handicrafts-and-carpet-squeegees.jpg" TargetMode="External"/><Relationship Id="rId2487" Type="http://schemas.openxmlformats.org/officeDocument/2006/relationships/hyperlink" Target="https://cdn.jsdelivr.net/gh/EngineerX1234/vocational-images@main/tools/batch-15/handicrafts-and-carpet-water-sprayers.jpg" TargetMode="External"/><Relationship Id="rId2488" Type="http://schemas.openxmlformats.org/officeDocument/2006/relationships/hyperlink" Target="https://cdn.jsdelivr.net/gh/EngineerX1234/vocational-images@main/tools/batch-15/handicrafts-and-carpet-stencil-cutting-tools.jpg" TargetMode="External"/><Relationship Id="rId2489" Type="http://schemas.openxmlformats.org/officeDocument/2006/relationships/hyperlink" Target="https://cdn.jsdelivr.net/gh/EngineerX1234/vocational-images@main/tools/batch-15/handicrafts-and-carpet-dyeing-units.jpg" TargetMode="External"/><Relationship Id="rId2490" Type="http://schemas.openxmlformats.org/officeDocument/2006/relationships/hyperlink" Target="https://cdn.jsdelivr.net/gh/EngineerX1234/vocational-images@main/tools/batch-15/handicrafts-and-carpet-vacuum-cleaner.jpg" TargetMode="External"/><Relationship Id="rId2491" Type="http://schemas.openxmlformats.org/officeDocument/2006/relationships/hyperlink" Target="https://cdn.jsdelivr.net/gh/EngineerX1234/vocational-images@main/tools/batch-15/handicrafts-and-carpet-cleaning-robots.jpg" TargetMode="External"/><Relationship Id="rId2492" Type="http://schemas.openxmlformats.org/officeDocument/2006/relationships/hyperlink" Target="https://cdn.jsdelivr.net/gh/EngineerX1234/vocational-images@main/tools/batch-14/handicrafts-and-carpet-air-purifiers.jpg" TargetMode="External"/><Relationship Id="rId2493" Type="http://schemas.openxmlformats.org/officeDocument/2006/relationships/hyperlink" Target="https://cdn.jsdelivr.net/gh/EngineerX1234/vocational-images@main/tools/batch-15/handicrafts-and-carpet-steam-press.jpg" TargetMode="External"/><Relationship Id="rId2494" Type="http://schemas.openxmlformats.org/officeDocument/2006/relationships/hyperlink" Target="https://cdn.jsdelivr.net/gh/EngineerX1234/vocational-images@main/tools/batch-15/handicrafts-and-carpet-fixation-chamber.jpg" TargetMode="External"/><Relationship Id="rId2495" Type="http://schemas.openxmlformats.org/officeDocument/2006/relationships/hyperlink" Target="https://cdn.jsdelivr.net/gh/EngineerX1234/vocational-images@main/tools/batch-15/handicrafts-and-carpet-digital-weighing-scale.jpg" TargetMode="External"/><Relationship Id="rId2496" Type="http://schemas.openxmlformats.org/officeDocument/2006/relationships/hyperlink" Target="https://cdn.jsdelivr.net/gh/EngineerX1234/vocational-images@main/tools/batch-15/handicrafts-and-carpet-security-cameras.jpg" TargetMode="External"/><Relationship Id="rId2497" Type="http://schemas.openxmlformats.org/officeDocument/2006/relationships/hyperlink" Target="https://cdn.jsdelivr.net/gh/EngineerX1234/vocational-images@main/tools/batch-15/handicrafts-and-carpet-lcd-screens.jpg" TargetMode="External"/><Relationship Id="rId2498" Type="http://schemas.openxmlformats.org/officeDocument/2006/relationships/hyperlink" Target="https://cdn.jsdelivr.net/gh/EngineerX1234/vocational-images@main/tools/batch-15/handicrafts-and-carpet-computer.jpg" TargetMode="External"/><Relationship Id="rId2499" Type="http://schemas.openxmlformats.org/officeDocument/2006/relationships/hyperlink" Target="https://cdn.jsdelivr.net/gh/EngineerX1234/vocational-images@main/tools/batch-15/handicrafts-and-carpet-lcd-projector.jpg" TargetMode="External"/><Relationship Id="rId2500" Type="http://schemas.openxmlformats.org/officeDocument/2006/relationships/hyperlink" Target="https://cdn.jsdelivr.net/gh/EngineerX1234/vocational-images@main/tools/batch-19/organised-retail-locking-systems.jpg" TargetMode="External"/><Relationship Id="rId2501" Type="http://schemas.openxmlformats.org/officeDocument/2006/relationships/hyperlink" Target="https://cdn.jsdelivr.net/gh/EngineerX1234/vocational-images@main/tools/batch-15/handicrafts-and-carpet-mops.jpg" TargetMode="External"/><Relationship Id="rId2502" Type="http://schemas.openxmlformats.org/officeDocument/2006/relationships/hyperlink" Target="https://cdn.jsdelivr.net/gh/EngineerX1234/vocational-images@main/tools/batch-25/apparel-scissors.jpg" TargetMode="External"/><Relationship Id="rId2503" Type="http://schemas.openxmlformats.org/officeDocument/2006/relationships/hyperlink" Target="https://cdn.jsdelivr.net/gh/EngineerX1234/vocational-images@main/tools/batch-15/handicrafts-and-carpet-rotary-cutter.jpg" TargetMode="External"/><Relationship Id="rId2504" Type="http://schemas.openxmlformats.org/officeDocument/2006/relationships/hyperlink" Target="https://cdn.jsdelivr.net/gh/EngineerX1234/vocational-images@main/tools/batch-15/handicrafts-and-carpet-seam-ripper.jpg" TargetMode="External"/><Relationship Id="rId2505" Type="http://schemas.openxmlformats.org/officeDocument/2006/relationships/hyperlink" Target="https://cdn.jsdelivr.net/gh/EngineerX1234/vocational-images@main/tools/batch-15/handicrafts-and-carpet-pinking-shears.jpg" TargetMode="External"/><Relationship Id="rId2506" Type="http://schemas.openxmlformats.org/officeDocument/2006/relationships/hyperlink" Target="https://cdn.jsdelivr.net/gh/EngineerX1234/vocational-images@main/tools/batch-15/handicrafts-and-carpet-meter-stick-yardstick.jpg" TargetMode="External"/><Relationship Id="rId2507" Type="http://schemas.openxmlformats.org/officeDocument/2006/relationships/hyperlink" Target="https://cdn.jsdelivr.net/gh/EngineerX1234/vocational-images@main/tools/batch-15/handicrafts-and-carpet-l-square.jpg" TargetMode="External"/><Relationship Id="rId2508" Type="http://schemas.openxmlformats.org/officeDocument/2006/relationships/hyperlink" Target="https://cdn.jsdelivr.net/gh/EngineerX1234/vocational-images@main/tools/batch-15/handicrafts-and-carpet-crochet-needle-set.jpg" TargetMode="External"/><Relationship Id="rId2509" Type="http://schemas.openxmlformats.org/officeDocument/2006/relationships/hyperlink" Target="https://cdn.jsdelivr.net/gh/EngineerX1234/vocational-images@main/tools/batch-15/handicrafts-and-carpet-measuring-tape.jpg" TargetMode="External"/><Relationship Id="rId2510" Type="http://schemas.openxmlformats.org/officeDocument/2006/relationships/hyperlink" Target="https://cdn.jsdelivr.net/gh/EngineerX1234/vocational-images@main/tools/batch-15/handicrafts-and-carpet-pins-and-pin-cushion.jpg" TargetMode="External"/><Relationship Id="rId2511" Type="http://schemas.openxmlformats.org/officeDocument/2006/relationships/hyperlink" Target="https://cdn.jsdelivr.net/gh/EngineerX1234/vocational-images@main/tools/batch-15/handicrafts-and-carpet-pick-glass.jpg" TargetMode="External"/><Relationship Id="rId2512" Type="http://schemas.openxmlformats.org/officeDocument/2006/relationships/hyperlink" Target="https://cdn.jsdelivr.net/gh/EngineerX1234/vocational-images@main/tools/batch-15/handicrafts-and-carpet-needle-threader.jpg" TargetMode="External"/><Relationship Id="rId2513" Type="http://schemas.openxmlformats.org/officeDocument/2006/relationships/hyperlink" Target="https://cdn.jsdelivr.net/gh/EngineerX1234/vocational-images@main/tools/batch-15/handicrafts-and-carpet-greyscale.jpg" TargetMode="External"/><Relationship Id="rId2514" Type="http://schemas.openxmlformats.org/officeDocument/2006/relationships/hyperlink" Target="https://cdn.jsdelivr.net/gh/EngineerX1234/vocational-images@main/tools/batch-15/handicrafts-and-carpet-thimble.jpg" TargetMode="External"/><Relationship Id="rId2515" Type="http://schemas.openxmlformats.org/officeDocument/2006/relationships/hyperlink" Target="https://cdn.jsdelivr.net/gh/EngineerX1234/vocational-images@main/tools/batch-15/handicrafts-and-carpet-vacuum-cleaner.jpg" TargetMode="External"/><Relationship Id="rId2516" Type="http://schemas.openxmlformats.org/officeDocument/2006/relationships/hyperlink" Target="https://cdn.jsdelivr.net/gh/EngineerX1234/vocational-images@main/tools/batch-15/handicrafts-and-carpet-cleaning-robots.jpg" TargetMode="External"/><Relationship Id="rId2517" Type="http://schemas.openxmlformats.org/officeDocument/2006/relationships/hyperlink" Target="https://cdn.jsdelivr.net/gh/EngineerX1234/vocational-images@main/tools/batch-14/handicrafts-and-carpet-air-purifiers.jpg" TargetMode="External"/><Relationship Id="rId2518" Type="http://schemas.openxmlformats.org/officeDocument/2006/relationships/hyperlink" Target="https://cdn.jsdelivr.net/gh/EngineerX1234/vocational-images@main/tools/batch-15/handicrafts-and-carpet-iron.jpg" TargetMode="External"/><Relationship Id="rId2519" Type="http://schemas.openxmlformats.org/officeDocument/2006/relationships/hyperlink" Target="https://cdn.jsdelivr.net/gh/EngineerX1234/vocational-images@main/tools/batch-15/handicrafts-and-carpet-dyeing-set-up-equipment.jpg" TargetMode="External"/><Relationship Id="rId2520" Type="http://schemas.openxmlformats.org/officeDocument/2006/relationships/hyperlink" Target="https://cdn.jsdelivr.net/gh/EngineerX1234/vocational-images@main/tools/batch-15/handicrafts-and-carpet-printing-set-up-equipment.jpg" TargetMode="External"/><Relationship Id="rId2521" Type="http://schemas.openxmlformats.org/officeDocument/2006/relationships/hyperlink" Target="https://cdn.jsdelivr.net/gh/EngineerX1234/vocational-images@main/tools/batch-15/handicrafts-and-carpet-electric-stove.jpg" TargetMode="External"/><Relationship Id="rId2522" Type="http://schemas.openxmlformats.org/officeDocument/2006/relationships/hyperlink" Target="https://cdn.jsdelivr.net/gh/EngineerX1234/vocational-images@main/tools/batch-15/handicrafts-and-carpet-laboratory-fabric-streamer.jpg" TargetMode="External"/><Relationship Id="rId2523" Type="http://schemas.openxmlformats.org/officeDocument/2006/relationships/hyperlink" Target="https://cdn.jsdelivr.net/gh/EngineerX1234/vocational-images@main/tools/batch-15/handicrafts-and-carpet-spinning-machine.jpg" TargetMode="External"/><Relationship Id="rId2524" Type="http://schemas.openxmlformats.org/officeDocument/2006/relationships/hyperlink" Target="https://cdn.jsdelivr.net/gh/EngineerX1234/vocational-images@main/tools/batch-15/handicrafts-and-carpet-handloom-power-loom.jpg" TargetMode="External"/><Relationship Id="rId2525" Type="http://schemas.openxmlformats.org/officeDocument/2006/relationships/hyperlink" Target="https://cdn.jsdelivr.net/gh/EngineerX1234/vocational-images@main/tools/batch-15/handicrafts-and-carpet-jute-fibre-straightening-machine.jpg" TargetMode="External"/><Relationship Id="rId2526" Type="http://schemas.openxmlformats.org/officeDocument/2006/relationships/hyperlink" Target="https://cdn.jsdelivr.net/gh/EngineerX1234/vocational-images@main/tools/batch-15/handicrafts-and-carpet-jute-fabric-cutting-machine.jpg" TargetMode="External"/><Relationship Id="rId2527" Type="http://schemas.openxmlformats.org/officeDocument/2006/relationships/hyperlink" Target="https://cdn.jsdelivr.net/gh/EngineerX1234/vocational-images@main/tools/batch-15/handicrafts-and-carpet-jute-article-finishing-machine.jpg" TargetMode="External"/><Relationship Id="rId2528" Type="http://schemas.openxmlformats.org/officeDocument/2006/relationships/hyperlink" Target="https://cdn.jsdelivr.net/gh/EngineerX1234/vocational-images@main/tools/batch-15/handicrafts-and-carpet-security-cameras.jpg" TargetMode="External"/><Relationship Id="rId2529" Type="http://schemas.openxmlformats.org/officeDocument/2006/relationships/hyperlink" Target="https://cdn.jsdelivr.net/gh/EngineerX1234/vocational-images@main/tools/batch-15/handicrafts-and-carpet-lcd-screens.jpg" TargetMode="External"/><Relationship Id="rId2530" Type="http://schemas.openxmlformats.org/officeDocument/2006/relationships/hyperlink" Target="https://cdn.jsdelivr.net/gh/EngineerX1234/vocational-images@main/tools/batch-15/handicrafts-and-carpet-computer.jpg" TargetMode="External"/><Relationship Id="rId2531" Type="http://schemas.openxmlformats.org/officeDocument/2006/relationships/hyperlink" Target="https://cdn.jsdelivr.net/gh/EngineerX1234/vocational-images@main/tools/batch-15/handicrafts-and-carpet-lcd-projector.jpg" TargetMode="External"/><Relationship Id="rId2532" Type="http://schemas.openxmlformats.org/officeDocument/2006/relationships/hyperlink" Target="https://cdn.jsdelivr.net/gh/EngineerX1234/vocational-images@main/tools/batch-25/apparel-needles.jpg" TargetMode="External"/><Relationship Id="rId2533" Type="http://schemas.openxmlformats.org/officeDocument/2006/relationships/hyperlink" Target="https://cdn.jsdelivr.net/gh/EngineerX1234/vocational-images@main/tools/batch-19/organised-retail-locking-systems.jpg" TargetMode="External"/><Relationship Id="rId2534" Type="http://schemas.openxmlformats.org/officeDocument/2006/relationships/hyperlink" Target="https://cdn.jsdelivr.net/gh/EngineerX1234/vocational-images@main/tools/batch-15/handicrafts-and-carpet-sculpting-hand-tools.jpg" TargetMode="External"/><Relationship Id="rId2535" Type="http://schemas.openxmlformats.org/officeDocument/2006/relationships/hyperlink" Target="https://cdn.jsdelivr.net/gh/EngineerX1234/vocational-images@main/tools/batch-15/handicrafts-and-carpet-mops.jpg" TargetMode="External"/><Relationship Id="rId2536" Type="http://schemas.openxmlformats.org/officeDocument/2006/relationships/hyperlink" Target="https://cdn.jsdelivr.net/gh/EngineerX1234/vocational-images@main/tools/batch-15/handicrafts-and-carpet-cutter-utility-knife.jpg" TargetMode="External"/><Relationship Id="rId2537" Type="http://schemas.openxmlformats.org/officeDocument/2006/relationships/hyperlink" Target="https://cdn.jsdelivr.net/gh/EngineerX1234/vocational-images@main/tools/batch-15/handicrafts-and-carpet-scissors-sharp-medium-size.jpg" TargetMode="External"/><Relationship Id="rId2538" Type="http://schemas.openxmlformats.org/officeDocument/2006/relationships/hyperlink" Target="https://cdn.jsdelivr.net/gh/EngineerX1234/vocational-images@main/tools/batch-15/handicrafts-and-carpet-wire-cutter.jpg" TargetMode="External"/><Relationship Id="rId2539" Type="http://schemas.openxmlformats.org/officeDocument/2006/relationships/hyperlink" Target="https://cdn.jsdelivr.net/gh/EngineerX1234/vocational-images@main/tools/batch-15/handicrafts-and-carpet-cutting-pliers.jpg" TargetMode="External"/><Relationship Id="rId2540" Type="http://schemas.openxmlformats.org/officeDocument/2006/relationships/hyperlink" Target="https://cdn.jsdelivr.net/gh/EngineerX1234/vocational-images@main/tools/batch-15/handicrafts-and-carpet-pedi-flattening-tool.jpg" TargetMode="External"/><Relationship Id="rId2541" Type="http://schemas.openxmlformats.org/officeDocument/2006/relationships/hyperlink" Target="https://cdn.jsdelivr.net/gh/EngineerX1234/vocational-images@main/tools/batch-15/handicrafts-and-carpet-knives-straight-and-curved.jpg" TargetMode="External"/><Relationship Id="rId2542" Type="http://schemas.openxmlformats.org/officeDocument/2006/relationships/hyperlink" Target="https://cdn.jsdelivr.net/gh/EngineerX1234/vocational-images@main/tools/batch-14/handicrafts-and-carpet-clay-modelling-tools.jpg" TargetMode="External"/><Relationship Id="rId2543" Type="http://schemas.openxmlformats.org/officeDocument/2006/relationships/hyperlink" Target="https://cdn.jsdelivr.net/gh/EngineerX1234/vocational-images@main/tools/batch-15/handicrafts-and-carpet-funner-cleaning-brush.jpg" TargetMode="External"/><Relationship Id="rId2544" Type="http://schemas.openxmlformats.org/officeDocument/2006/relationships/hyperlink" Target="https://cdn.jsdelivr.net/gh/EngineerX1234/vocational-images@main/tools/batch-14/handicrafts-and-carpet-bowls-and-containers.jpg" TargetMode="External"/><Relationship Id="rId2545" Type="http://schemas.openxmlformats.org/officeDocument/2006/relationships/hyperlink" Target="https://cdn.jsdelivr.net/gh/EngineerX1234/vocational-images@main/tools/batch-15/handicrafts-and-carpet-measuring-tools-ruler-scale-calipers.jpg" TargetMode="External"/><Relationship Id="rId2546" Type="http://schemas.openxmlformats.org/officeDocument/2006/relationships/hyperlink" Target="https://cdn.jsdelivr.net/gh/EngineerX1234/vocational-images@main/tools/batch-15/handicrafts-and-carpet-vacuum-cleaner.jpg" TargetMode="External"/><Relationship Id="rId2547" Type="http://schemas.openxmlformats.org/officeDocument/2006/relationships/hyperlink" Target="https://cdn.jsdelivr.net/gh/EngineerX1234/vocational-images@main/tools/batch-15/handicrafts-and-carpet-cleaning-robots.jpg" TargetMode="External"/><Relationship Id="rId2548" Type="http://schemas.openxmlformats.org/officeDocument/2006/relationships/hyperlink" Target="https://cdn.jsdelivr.net/gh/EngineerX1234/vocational-images@main/tools/batch-14/handicrafts-and-carpet-air-purifiers.jpg" TargetMode="External"/><Relationship Id="rId2549" Type="http://schemas.openxmlformats.org/officeDocument/2006/relationships/hyperlink" Target="https://cdn.jsdelivr.net/gh/EngineerX1234/vocational-images@main/tools/batch-15/handicrafts-and-carpet-security-cameras.jpg" TargetMode="External"/><Relationship Id="rId2550" Type="http://schemas.openxmlformats.org/officeDocument/2006/relationships/hyperlink" Target="https://cdn.jsdelivr.net/gh/EngineerX1234/vocational-images@main/tools/batch-15/handicrafts-and-carpet-lcd-screens.jpg" TargetMode="External"/><Relationship Id="rId2551" Type="http://schemas.openxmlformats.org/officeDocument/2006/relationships/hyperlink" Target="https://cdn.jsdelivr.net/gh/EngineerX1234/vocational-images@main/tools/batch-15/handicrafts-and-carpet-computer.jpg" TargetMode="External"/><Relationship Id="rId2552" Type="http://schemas.openxmlformats.org/officeDocument/2006/relationships/hyperlink" Target="https://cdn.jsdelivr.net/gh/EngineerX1234/vocational-images@main/tools/batch-15/handicrafts-and-carpet-lcd-projector.jpg" TargetMode="External"/><Relationship Id="rId2553" Type="http://schemas.openxmlformats.org/officeDocument/2006/relationships/hyperlink" Target="https://cdn.jsdelivr.net/gh/EngineerX1234/vocational-images@main/tools/batch-25/apparel-needles.jpg" TargetMode="External"/><Relationship Id="rId2554" Type="http://schemas.openxmlformats.org/officeDocument/2006/relationships/hyperlink" Target="https://cdn.jsdelivr.net/gh/EngineerX1234/vocational-images@main/tools/batch-19/organised-retail-locking-systems.jpg" TargetMode="External"/><Relationship Id="rId2555" Type="http://schemas.openxmlformats.org/officeDocument/2006/relationships/hyperlink" Target="https://cdn.jsdelivr.net/gh/EngineerX1234/vocational-images@main/tools/batch-15/healthcare-artery-forceps.jpg" TargetMode="External"/><Relationship Id="rId2556" Type="http://schemas.openxmlformats.org/officeDocument/2006/relationships/hyperlink" Target="https://cdn.jsdelivr.net/gh/EngineerX1234/vocational-images@main/tools/batch-16/healthcare-dissecting-forceps.jpg" TargetMode="External"/><Relationship Id="rId2557" Type="http://schemas.openxmlformats.org/officeDocument/2006/relationships/hyperlink" Target="https://cdn.jsdelivr.net/gh/EngineerX1234/vocational-images@main/tools/batch-16/healthcare-enamel-basin.jpg" TargetMode="External"/><Relationship Id="rId2558" Type="http://schemas.openxmlformats.org/officeDocument/2006/relationships/hyperlink" Target="https://cdn.jsdelivr.net/gh/EngineerX1234/vocational-images@main/tools/batch-16/healthcare-kidney-tray.jpg" TargetMode="External"/><Relationship Id="rId2559" Type="http://schemas.openxmlformats.org/officeDocument/2006/relationships/hyperlink" Target="https://cdn.jsdelivr.net/gh/EngineerX1234/vocational-images@main/tools/batch-16/healthcare-measuring-glass.jpg" TargetMode="External"/><Relationship Id="rId2560" Type="http://schemas.openxmlformats.org/officeDocument/2006/relationships/hyperlink" Target="https://cdn.jsdelivr.net/gh/EngineerX1234/vocational-images@main/tools/batch-16/healthcare-nail-cutter.jpg" TargetMode="External"/><Relationship Id="rId2561" Type="http://schemas.openxmlformats.org/officeDocument/2006/relationships/hyperlink" Target="https://cdn.jsdelivr.net/gh/EngineerX1234/vocational-images@main/tools/batch-16/healthcare-nail-filer.jpg" TargetMode="External"/><Relationship Id="rId2562" Type="http://schemas.openxmlformats.org/officeDocument/2006/relationships/hyperlink" Target="https://cdn.jsdelivr.net/gh/EngineerX1234/vocational-images@main/tools/batch-16/healthcare-oral-care-set.jpg" TargetMode="External"/><Relationship Id="rId2563" Type="http://schemas.openxmlformats.org/officeDocument/2006/relationships/hyperlink" Target="https://cdn.jsdelivr.net/gh/EngineerX1234/vocational-images@main/tools/batch-16/healthcare-scissor.jpg" TargetMode="External"/><Relationship Id="rId2564" Type="http://schemas.openxmlformats.org/officeDocument/2006/relationships/hyperlink" Target="https://cdn.jsdelivr.net/gh/EngineerX1234/vocational-images@main/tools/batch-16/healthcare-spoon.jpg" TargetMode="External"/><Relationship Id="rId2565" Type="http://schemas.openxmlformats.org/officeDocument/2006/relationships/hyperlink" Target="https://cdn.jsdelivr.net/gh/EngineerX1234/vocational-images@main/tools/batch-16/healthcare-steel-basin.jpg" TargetMode="External"/><Relationship Id="rId2566" Type="http://schemas.openxmlformats.org/officeDocument/2006/relationships/hyperlink" Target="https://cdn.jsdelivr.net/gh/EngineerX1234/vocational-images@main/tools/batch-16/healthcare-steel-bowl.jpg" TargetMode="External"/><Relationship Id="rId2567" Type="http://schemas.openxmlformats.org/officeDocument/2006/relationships/hyperlink" Target="https://cdn.jsdelivr.net/gh/EngineerX1234/vocational-images@main/tools/batch-16/healthcare-steel-glass.jpg" TargetMode="External"/><Relationship Id="rId2568" Type="http://schemas.openxmlformats.org/officeDocument/2006/relationships/hyperlink" Target="https://cdn.jsdelivr.net/gh/EngineerX1234/vocational-images@main/tools/batch-16/healthcare-steel-jug.jpg" TargetMode="External"/><Relationship Id="rId2569" Type="http://schemas.openxmlformats.org/officeDocument/2006/relationships/hyperlink" Target="https://cdn.jsdelivr.net/gh/EngineerX1234/vocational-images@main/tools/batch-16/healthcare-steel-plate.jpg" TargetMode="External"/><Relationship Id="rId2570" Type="http://schemas.openxmlformats.org/officeDocument/2006/relationships/hyperlink" Target="https://cdn.jsdelivr.net/gh/EngineerX1234/vocational-images@main/tools/batch-16/healthcare-steel-tray.jpg" TargetMode="External"/><Relationship Id="rId2571" Type="http://schemas.openxmlformats.org/officeDocument/2006/relationships/hyperlink" Target="https://cdn.jsdelivr.net/gh/EngineerX1234/vocational-images@main/tools/batch-16/healthcare-urinal-set.jpg" TargetMode="External"/><Relationship Id="rId2572" Type="http://schemas.openxmlformats.org/officeDocument/2006/relationships/hyperlink" Target="https://cdn.jsdelivr.net/gh/EngineerX1234/vocational-images@main/tools/batch-15/healthcare-air-cushion.jpg" TargetMode="External"/><Relationship Id="rId2573" Type="http://schemas.openxmlformats.org/officeDocument/2006/relationships/hyperlink" Target="https://cdn.jsdelivr.net/gh/EngineerX1234/vocational-images@main/tools/batch-15/healthcare-auto-loading-stretcher.jpg" TargetMode="External"/><Relationship Id="rId2574" Type="http://schemas.openxmlformats.org/officeDocument/2006/relationships/hyperlink" Target="https://cdn.jsdelivr.net/gh/EngineerX1234/vocational-images@main/tools/batch-15/healthcare-bath-tub.jpg" TargetMode="External"/><Relationship Id="rId2575" Type="http://schemas.openxmlformats.org/officeDocument/2006/relationships/hyperlink" Target="https://cdn.jsdelivr.net/gh/EngineerX1234/vocational-images@main/tools/batch-15/healthcare-bed-pan.jpg" TargetMode="External"/><Relationship Id="rId2576" Type="http://schemas.openxmlformats.org/officeDocument/2006/relationships/hyperlink" Target="https://cdn.jsdelivr.net/gh/EngineerX1234/vocational-images@main/tools/batch-15/healthcare-call-bell.jpg" TargetMode="External"/><Relationship Id="rId2577" Type="http://schemas.openxmlformats.org/officeDocument/2006/relationships/hyperlink" Target="https://cdn.jsdelivr.net/gh/EngineerX1234/vocational-images@main/tools/batch-15/healthcare-crutch.jpg" TargetMode="External"/><Relationship Id="rId2578" Type="http://schemas.openxmlformats.org/officeDocument/2006/relationships/hyperlink" Target="https://cdn.jsdelivr.net/gh/EngineerX1234/vocational-images@main/tools/batch-16/healthcare-electronic-blood-pressure-monitoring-machine.jpg" TargetMode="External"/><Relationship Id="rId2579" Type="http://schemas.openxmlformats.org/officeDocument/2006/relationships/hyperlink" Target="https://cdn.jsdelivr.net/gh/EngineerX1234/vocational-images@main/tools/batch-16/healthcare-iv-stand.jpg" TargetMode="External"/><Relationship Id="rId2580" Type="http://schemas.openxmlformats.org/officeDocument/2006/relationships/hyperlink" Target="https://cdn.jsdelivr.net/gh/EngineerX1234/vocational-images@main/tools/batch-16/healthcare-malleable-splint-set.jpg" TargetMode="External"/><Relationship Id="rId2581" Type="http://schemas.openxmlformats.org/officeDocument/2006/relationships/hyperlink" Target="https://cdn.jsdelivr.net/gh/EngineerX1234/vocational-images@main/tools/batch-16/healthcare-patient-remote-bell.jpg" TargetMode="External"/><Relationship Id="rId2582" Type="http://schemas.openxmlformats.org/officeDocument/2006/relationships/hyperlink" Target="https://cdn.jsdelivr.net/gh/EngineerX1234/vocational-images@main/tools/batch-16/healthcare-scoop-stretcher.jpg" TargetMode="External"/><Relationship Id="rId2583" Type="http://schemas.openxmlformats.org/officeDocument/2006/relationships/hyperlink" Target="https://cdn.jsdelivr.net/gh/EngineerX1234/vocational-images@main/tools/batch-16/healthcare-spine-board.jpg" TargetMode="External"/><Relationship Id="rId2584" Type="http://schemas.openxmlformats.org/officeDocument/2006/relationships/hyperlink" Target="https://cdn.jsdelivr.net/gh/EngineerX1234/vocational-images@main/tools/batch-16/healthcare-sterilizer.jpg" TargetMode="External"/><Relationship Id="rId2585" Type="http://schemas.openxmlformats.org/officeDocument/2006/relationships/hyperlink" Target="https://cdn.jsdelivr.net/gh/EngineerX1234/vocational-images@main/tools/batch-16/healthcare-stethoscope.jpg" TargetMode="External"/><Relationship Id="rId2586" Type="http://schemas.openxmlformats.org/officeDocument/2006/relationships/hyperlink" Target="https://cdn.jsdelivr.net/gh/EngineerX1234/vocational-images@main/tools/batch-16/healthcare-stop-watch.jpg" TargetMode="External"/><Relationship Id="rId2587" Type="http://schemas.openxmlformats.org/officeDocument/2006/relationships/hyperlink" Target="https://cdn.jsdelivr.net/gh/EngineerX1234/vocational-images@main/tools/batch-16/healthcare-suction-apparatus.jpg" TargetMode="External"/><Relationship Id="rId2588" Type="http://schemas.openxmlformats.org/officeDocument/2006/relationships/hyperlink" Target="https://cdn.jsdelivr.net/gh/EngineerX1234/vocational-images@main/tools/batch-16/healthcare-thermometer.jpg" TargetMode="External"/><Relationship Id="rId2589" Type="http://schemas.openxmlformats.org/officeDocument/2006/relationships/hyperlink" Target="https://cdn.jsdelivr.net/gh/EngineerX1234/vocational-images@main/tools/batch-16/healthcare-walker.jpg" TargetMode="External"/><Relationship Id="rId2590" Type="http://schemas.openxmlformats.org/officeDocument/2006/relationships/hyperlink" Target="https://cdn.jsdelivr.net/gh/EngineerX1234/vocational-images@main/tools/batch-16/healthcare-weighing-machine.jpg" TargetMode="External"/><Relationship Id="rId2591" Type="http://schemas.openxmlformats.org/officeDocument/2006/relationships/hyperlink" Target="https://cdn.jsdelivr.net/gh/EngineerX1234/vocational-images@main/tools/batch-16/healthcare-wheel-chair.jpg" TargetMode="External"/><Relationship Id="rId2592" Type="http://schemas.openxmlformats.org/officeDocument/2006/relationships/hyperlink" Target="https://cdn.jsdelivr.net/gh/EngineerX1234/vocational-images@main/tools/batch-16/healthcare-pocket-mask.jpg" TargetMode="External"/><Relationship Id="rId2593" Type="http://schemas.openxmlformats.org/officeDocument/2006/relationships/hyperlink" Target="https://cdn.jsdelivr.net/gh/EngineerX1234/vocational-images@main/tools/batch-16/healthcare-oxygen-key.jpg" TargetMode="External"/><Relationship Id="rId2594" Type="http://schemas.openxmlformats.org/officeDocument/2006/relationships/hyperlink" Target="https://cdn.jsdelivr.net/gh/EngineerX1234/vocational-images@main/tools/batch-16/healthcare-steel-basin.jpg" TargetMode="External"/><Relationship Id="rId2595" Type="http://schemas.openxmlformats.org/officeDocument/2006/relationships/hyperlink" Target="https://cdn.jsdelivr.net/gh/EngineerX1234/vocational-images@main/tools/batch-15/healthcare-bed-pan.jpg" TargetMode="External"/><Relationship Id="rId2596" Type="http://schemas.openxmlformats.org/officeDocument/2006/relationships/hyperlink" Target="https://cdn.jsdelivr.net/gh/EngineerX1234/vocational-images@main/tools/batch-15/healthcare-comb.jpg" TargetMode="External"/><Relationship Id="rId2597" Type="http://schemas.openxmlformats.org/officeDocument/2006/relationships/hyperlink" Target="https://cdn.jsdelivr.net/gh/EngineerX1234/vocational-images@main/tools/batch-16/healthcare-oral-care-set.jpg" TargetMode="External"/><Relationship Id="rId2598" Type="http://schemas.openxmlformats.org/officeDocument/2006/relationships/hyperlink" Target="https://cdn.jsdelivr.net/gh/EngineerX1234/vocational-images@main/tools/batch-16/healthcare-steel-tray.jpg" TargetMode="External"/><Relationship Id="rId2599" Type="http://schemas.openxmlformats.org/officeDocument/2006/relationships/hyperlink" Target="https://cdn.jsdelivr.net/gh/EngineerX1234/vocational-images@main/tools/batch-15/healthcare-artery-forceps.jpg" TargetMode="External"/><Relationship Id="rId2600" Type="http://schemas.openxmlformats.org/officeDocument/2006/relationships/hyperlink" Target="https://cdn.jsdelivr.net/gh/EngineerX1234/vocational-images@main/tools/batch-16/healthcare-dissecting-forceps.jpg" TargetMode="External"/><Relationship Id="rId2601" Type="http://schemas.openxmlformats.org/officeDocument/2006/relationships/hyperlink" Target="https://cdn.jsdelivr.net/gh/EngineerX1234/vocational-images@main/tools/batch-16/healthcare-scissor.jpg" TargetMode="External"/><Relationship Id="rId2602" Type="http://schemas.openxmlformats.org/officeDocument/2006/relationships/hyperlink" Target="https://cdn.jsdelivr.net/gh/EngineerX1234/vocational-images@main/tools/batch-16/healthcare-nail-cutter.jpg" TargetMode="External"/><Relationship Id="rId2603" Type="http://schemas.openxmlformats.org/officeDocument/2006/relationships/hyperlink" Target="https://cdn.jsdelivr.net/gh/EngineerX1234/vocational-images@main/tools/batch-16/healthcare-nail-filer.jpg" TargetMode="External"/><Relationship Id="rId2604" Type="http://schemas.openxmlformats.org/officeDocument/2006/relationships/hyperlink" Target="https://cdn.jsdelivr.net/gh/EngineerX1234/vocational-images@main/tools/batch-16/healthcare-steel-plate.jpg" TargetMode="External"/><Relationship Id="rId2605" Type="http://schemas.openxmlformats.org/officeDocument/2006/relationships/hyperlink" Target="https://cdn.jsdelivr.net/gh/EngineerX1234/vocational-images@main/tools/batch-16/healthcare-steel-glass.jpg" TargetMode="External"/><Relationship Id="rId2606" Type="http://schemas.openxmlformats.org/officeDocument/2006/relationships/hyperlink" Target="https://cdn.jsdelivr.net/gh/EngineerX1234/vocational-images@main/tools/batch-16/healthcare-steel-bowl.jpg" TargetMode="External"/><Relationship Id="rId2607" Type="http://schemas.openxmlformats.org/officeDocument/2006/relationships/hyperlink" Target="https://cdn.jsdelivr.net/gh/EngineerX1234/vocational-images@main/tools/batch-16/healthcare-spoon.jpg" TargetMode="External"/><Relationship Id="rId2608" Type="http://schemas.openxmlformats.org/officeDocument/2006/relationships/hyperlink" Target="https://cdn.jsdelivr.net/gh/EngineerX1234/vocational-images@main/tools/batch-16/healthcare-steel-jug.jpg" TargetMode="External"/><Relationship Id="rId2609" Type="http://schemas.openxmlformats.org/officeDocument/2006/relationships/hyperlink" Target="https://cdn.jsdelivr.net/gh/EngineerX1234/vocational-images@main/tools/batch-16/healthcare-kidney-tray.jpg" TargetMode="External"/><Relationship Id="rId2610" Type="http://schemas.openxmlformats.org/officeDocument/2006/relationships/hyperlink" Target="https://cdn.jsdelivr.net/gh/EngineerX1234/vocational-images@main/tools/batch-16/healthcare-measuring-glass.jpg" TargetMode="External"/><Relationship Id="rId2611" Type="http://schemas.openxmlformats.org/officeDocument/2006/relationships/hyperlink" Target="https://cdn.jsdelivr.net/gh/EngineerX1234/vocational-images@main/tools/batch-16/healthcare-measuring-tape.jpg" TargetMode="External"/><Relationship Id="rId2612" Type="http://schemas.openxmlformats.org/officeDocument/2006/relationships/hyperlink" Target="https://cdn.jsdelivr.net/gh/EngineerX1234/vocational-images@main/tools/batch-16/healthcare-spatula.jpg" TargetMode="External"/><Relationship Id="rId2613" Type="http://schemas.openxmlformats.org/officeDocument/2006/relationships/hyperlink" Target="https://cdn.jsdelivr.net/gh/EngineerX1234/vocational-images@main/tools/batch-16/healthcare-enamel-basin.jpg" TargetMode="External"/><Relationship Id="rId2614" Type="http://schemas.openxmlformats.org/officeDocument/2006/relationships/hyperlink" Target="https://cdn.jsdelivr.net/gh/EngineerX1234/vocational-images@main/tools/batch-16/healthcare-tourniquet.jpg" TargetMode="External"/><Relationship Id="rId2615" Type="http://schemas.openxmlformats.org/officeDocument/2006/relationships/hyperlink" Target="https://cdn.jsdelivr.net/gh/EngineerX1234/vocational-images@main/tools/batch-15/healthcare-ambu-mask-adult.jpg" TargetMode="External"/><Relationship Id="rId2616" Type="http://schemas.openxmlformats.org/officeDocument/2006/relationships/hyperlink" Target="https://cdn.jsdelivr.net/gh/EngineerX1234/vocational-images@main/tools/batch-16/healthcare-pocket-mask.jpg" TargetMode="External"/><Relationship Id="rId2617" Type="http://schemas.openxmlformats.org/officeDocument/2006/relationships/hyperlink" Target="https://cdn.jsdelivr.net/gh/EngineerX1234/vocational-images@main/tools/batch-16/healthcare-stop-watch.jpg" TargetMode="External"/><Relationship Id="rId2618" Type="http://schemas.openxmlformats.org/officeDocument/2006/relationships/hyperlink" Target="https://cdn.jsdelivr.net/gh/EngineerX1234/vocational-images@main/tools/batch-16/healthcare-oxygen-cylinder.jpg" TargetMode="External"/><Relationship Id="rId2619" Type="http://schemas.openxmlformats.org/officeDocument/2006/relationships/hyperlink" Target="https://cdn.jsdelivr.net/gh/EngineerX1234/vocational-images@main/tools/batch-15/healthcare-cane.jpg" TargetMode="External"/><Relationship Id="rId2620" Type="http://schemas.openxmlformats.org/officeDocument/2006/relationships/hyperlink" Target="https://cdn.jsdelivr.net/gh/EngineerX1234/vocational-images@main/tools/batch-15/healthcare-air-cushion.jpg" TargetMode="External"/><Relationship Id="rId2621" Type="http://schemas.openxmlformats.org/officeDocument/2006/relationships/hyperlink" Target="https://cdn.jsdelivr.net/gh/EngineerX1234/vocational-images@main/tools/batch-16/healthcare-weighing-machine.jpg" TargetMode="External"/><Relationship Id="rId2622" Type="http://schemas.openxmlformats.org/officeDocument/2006/relationships/hyperlink" Target="https://cdn.jsdelivr.net/gh/EngineerX1234/vocational-images@main/tools/batch-16/healthcare-extension-cord.jpg" TargetMode="External"/><Relationship Id="rId2623" Type="http://schemas.openxmlformats.org/officeDocument/2006/relationships/hyperlink" Target="https://cdn.jsdelivr.net/gh/EngineerX1234/vocational-images@main/tools/batch-16/healthcare-speaker.jpg" TargetMode="External"/><Relationship Id="rId2624" Type="http://schemas.openxmlformats.org/officeDocument/2006/relationships/hyperlink" Target="https://cdn.jsdelivr.net/gh/EngineerX1234/vocational-images@main/tools/batch-16/healthcare-spine-board.jpg" TargetMode="External"/><Relationship Id="rId2625" Type="http://schemas.openxmlformats.org/officeDocument/2006/relationships/hyperlink" Target="https://cdn.jsdelivr.net/gh/EngineerX1234/vocational-images@main/tools/batch-15/healthcare-bath-tub.jpg" TargetMode="External"/><Relationship Id="rId2626" Type="http://schemas.openxmlformats.org/officeDocument/2006/relationships/hyperlink" Target="https://cdn.jsdelivr.net/gh/EngineerX1234/vocational-images@main/tools/batch-16/healthcare-iv-stand.jpg" TargetMode="External"/><Relationship Id="rId2627" Type="http://schemas.openxmlformats.org/officeDocument/2006/relationships/hyperlink" Target="https://cdn.jsdelivr.net/gh/EngineerX1234/vocational-images@main/tools/batch-16/healthcare-needle-burner.jpg" TargetMode="External"/><Relationship Id="rId2628" Type="http://schemas.openxmlformats.org/officeDocument/2006/relationships/hyperlink" Target="https://cdn.jsdelivr.net/gh/EngineerX1234/vocational-images@main/tools/batch-16/healthcare-thermometer.jpg" TargetMode="External"/><Relationship Id="rId2629" Type="http://schemas.openxmlformats.org/officeDocument/2006/relationships/hyperlink" Target="https://cdn.jsdelivr.net/gh/EngineerX1234/vocational-images@main/tools/batch-16/healthcare-pulse-oximeter.jpg" TargetMode="External"/><Relationship Id="rId2630" Type="http://schemas.openxmlformats.org/officeDocument/2006/relationships/hyperlink" Target="https://cdn.jsdelivr.net/gh/EngineerX1234/vocational-images@main/tools/batch-16/healthcare-steamer.jpg" TargetMode="External"/><Relationship Id="rId2631" Type="http://schemas.openxmlformats.org/officeDocument/2006/relationships/hyperlink" Target="https://cdn.jsdelivr.net/gh/EngineerX1234/vocational-images@main/tools/batch-16/healthcare-nebulizer.jpg" TargetMode="External"/><Relationship Id="rId2632" Type="http://schemas.openxmlformats.org/officeDocument/2006/relationships/hyperlink" Target="https://cdn.jsdelivr.net/gh/EngineerX1234/vocational-images@main/tools/batch-16/healthcare-hot-water-bag.jpg" TargetMode="External"/><Relationship Id="rId2633" Type="http://schemas.openxmlformats.org/officeDocument/2006/relationships/hyperlink" Target="https://cdn.jsdelivr.net/gh/EngineerX1234/vocational-images@main/tools/batch-16/healthcare-spirometer.jpg" TargetMode="External"/><Relationship Id="rId2634" Type="http://schemas.openxmlformats.org/officeDocument/2006/relationships/hyperlink" Target="https://cdn.jsdelivr.net/gh/EngineerX1234/vocational-images@main/tools/batch-16/healthcare-ice-cap.jpg" TargetMode="External"/><Relationship Id="rId2635" Type="http://schemas.openxmlformats.org/officeDocument/2006/relationships/hyperlink" Target="https://cdn.jsdelivr.net/gh/EngineerX1234/vocational-images@main/tools/batch-16/healthcare-suction-apparatus.jpg" TargetMode="External"/><Relationship Id="rId2636" Type="http://schemas.openxmlformats.org/officeDocument/2006/relationships/hyperlink" Target="https://cdn.jsdelivr.net/gh/EngineerX1234/vocational-images@main/tools/batch-16/healthcare-projector.jpg" TargetMode="External"/><Relationship Id="rId2637" Type="http://schemas.openxmlformats.org/officeDocument/2006/relationships/hyperlink" Target="https://cdn.jsdelivr.net/gh/EngineerX1234/vocational-images@main/tools/batch-16/healthcare-stretcher.jpg" TargetMode="External"/><Relationship Id="rId2638" Type="http://schemas.openxmlformats.org/officeDocument/2006/relationships/hyperlink" Target="https://cdn.jsdelivr.net/gh/EngineerX1234/vocational-images@main/tools/batch-16/healthcare-spoon.jpg" TargetMode="External"/><Relationship Id="rId2639" Type="http://schemas.openxmlformats.org/officeDocument/2006/relationships/hyperlink" Target="https://cdn.jsdelivr.net/gh/EngineerX1234/vocational-images@main/tools/batch-16/healthcare-mops.jpg" TargetMode="External"/><Relationship Id="rId2640" Type="http://schemas.openxmlformats.org/officeDocument/2006/relationships/hyperlink" Target="https://cdn.jsdelivr.net/gh/EngineerX1234/vocational-images@main/tools/batch-15/healthcare-bucket.jpg" TargetMode="External"/><Relationship Id="rId2641" Type="http://schemas.openxmlformats.org/officeDocument/2006/relationships/hyperlink" Target="https://cdn.jsdelivr.net/gh/EngineerX1234/vocational-images@main/tools/batch-16/healthcare-steel-rings.jpg" TargetMode="External"/><Relationship Id="rId2642" Type="http://schemas.openxmlformats.org/officeDocument/2006/relationships/hyperlink" Target="https://cdn.jsdelivr.net/gh/EngineerX1234/vocational-images@main/tools/batch-16/healthcare-mug.jpg" TargetMode="External"/><Relationship Id="rId2643" Type="http://schemas.openxmlformats.org/officeDocument/2006/relationships/hyperlink" Target="https://cdn.jsdelivr.net/gh/EngineerX1234/vocational-images@main/tools/batch-16/healthcare-shirobasti-cap.jpg" TargetMode="External"/><Relationship Id="rId2644" Type="http://schemas.openxmlformats.org/officeDocument/2006/relationships/hyperlink" Target="https://cdn.jsdelivr.net/gh/EngineerX1234/vocational-images@main/tools/batch-16/healthcare-kindi-kumbhika-for-poring-oil.jpg" TargetMode="External"/><Relationship Id="rId2645" Type="http://schemas.openxmlformats.org/officeDocument/2006/relationships/hyperlink" Target="https://cdn.jsdelivr.net/gh/EngineerX1234/vocational-images@main/tools/batch-15/healthcare-2-litre-vessel.jpg" TargetMode="External"/><Relationship Id="rId2646" Type="http://schemas.openxmlformats.org/officeDocument/2006/relationships/hyperlink" Target="https://cdn.jsdelivr.net/gh/EngineerX1234/vocational-images@main/tools/batch-16/healthcare-wash-basin.jpg" TargetMode="External"/><Relationship Id="rId2647" Type="http://schemas.openxmlformats.org/officeDocument/2006/relationships/hyperlink" Target="https://cdn.jsdelivr.net/gh/EngineerX1234/vocational-images@main/tools/batch-16/healthcare-stethoscope.jpg" TargetMode="External"/><Relationship Id="rId2648" Type="http://schemas.openxmlformats.org/officeDocument/2006/relationships/hyperlink" Target="https://cdn.jsdelivr.net/gh/EngineerX1234/vocational-images@main/tools/batch-16/healthcare-sphygmomanometer.jpg" TargetMode="External"/><Relationship Id="rId2649" Type="http://schemas.openxmlformats.org/officeDocument/2006/relationships/hyperlink" Target="https://cdn.jsdelivr.net/gh/EngineerX1234/vocational-images@main/tools/batch-16/healthcare-thermometer.jpg" TargetMode="External"/><Relationship Id="rId2650" Type="http://schemas.openxmlformats.org/officeDocument/2006/relationships/hyperlink" Target="https://cdn.jsdelivr.net/gh/EngineerX1234/vocational-images@main/tools/batch-16/healthcare-nadee-swedan-yantra.jpg" TargetMode="External"/><Relationship Id="rId2651" Type="http://schemas.openxmlformats.org/officeDocument/2006/relationships/hyperlink" Target="https://cdn.jsdelivr.net/gh/EngineerX1234/vocational-images@main/tools/batch-15/healthcare-basti-yantra.jpg" TargetMode="External"/><Relationship Id="rId2652" Type="http://schemas.openxmlformats.org/officeDocument/2006/relationships/hyperlink" Target="https://cdn.jsdelivr.net/gh/EngineerX1234/vocational-images@main/tools/batch-15/healthcare-bashpa-swedan.jpg" TargetMode="External"/><Relationship Id="rId2653" Type="http://schemas.openxmlformats.org/officeDocument/2006/relationships/hyperlink" Target="https://cdn.jsdelivr.net/gh/EngineerX1234/vocational-images@main/tools/batch-16/healthcare-induction-cooker.jpg" TargetMode="External"/><Relationship Id="rId2654" Type="http://schemas.openxmlformats.org/officeDocument/2006/relationships/hyperlink" Target="https://cdn.jsdelivr.net/gh/EngineerX1234/vocational-images@main/tools/batch-16/healthcare-ups.jpg" TargetMode="External"/><Relationship Id="rId2655" Type="http://schemas.openxmlformats.org/officeDocument/2006/relationships/hyperlink" Target="https://cdn.jsdelivr.net/gh/EngineerX1234/vocational-images@main/tools/batch-16/home-management-and-care-giving-duster.jpg" TargetMode="External"/><Relationship Id="rId2656" Type="http://schemas.openxmlformats.org/officeDocument/2006/relationships/hyperlink" Target="https://cdn.jsdelivr.net/gh/EngineerX1234/vocational-images@main/tools/batch-16/healthcare-tool-kit-like-hand-tools.jpg" TargetMode="External"/><Relationship Id="rId2657" Type="http://schemas.openxmlformats.org/officeDocument/2006/relationships/hyperlink" Target="https://cdn.jsdelivr.net/gh/EngineerX1234/vocational-images@main/tools/batch-16/healthcare-stethoscope.jpg" TargetMode="External"/><Relationship Id="rId2658" Type="http://schemas.openxmlformats.org/officeDocument/2006/relationships/hyperlink" Target="https://cdn.jsdelivr.net/gh/EngineerX1234/vocational-images@main/tools/batch-16/healthcare-glucometer.jpg" TargetMode="External"/><Relationship Id="rId2659" Type="http://schemas.openxmlformats.org/officeDocument/2006/relationships/hyperlink" Target="https://cdn.jsdelivr.net/gh/EngineerX1234/vocational-images@main/tools/batch-16/healthcare-haemoglobin-meter.jpg" TargetMode="External"/><Relationship Id="rId2660" Type="http://schemas.openxmlformats.org/officeDocument/2006/relationships/hyperlink" Target="https://cdn.jsdelivr.net/gh/EngineerX1234/vocational-images@main/tools/batch-16/healthcare-thermometer.jpg" TargetMode="External"/><Relationship Id="rId2661" Type="http://schemas.openxmlformats.org/officeDocument/2006/relationships/hyperlink" Target="https://cdn.jsdelivr.net/gh/EngineerX1234/vocational-images@main/tools/batch-16/healthcare-sphygmomanometer.jpg" TargetMode="External"/><Relationship Id="rId2662" Type="http://schemas.openxmlformats.org/officeDocument/2006/relationships/hyperlink" Target="https://cdn.jsdelivr.net/gh/EngineerX1234/vocational-images@main/tools/batch-16/healthcare-ecg-machine.jpg" TargetMode="External"/><Relationship Id="rId2663" Type="http://schemas.openxmlformats.org/officeDocument/2006/relationships/hyperlink" Target="https://cdn.jsdelivr.net/gh/EngineerX1234/vocational-images@main/tools/batch-16/healthcare-torch.jpg" TargetMode="External"/><Relationship Id="rId2664" Type="http://schemas.openxmlformats.org/officeDocument/2006/relationships/hyperlink" Target="https://cdn.jsdelivr.net/gh/EngineerX1234/vocational-images@main/tools/batch-16/healthcare-physical-restraints.jpg" TargetMode="External"/><Relationship Id="rId2665" Type="http://schemas.openxmlformats.org/officeDocument/2006/relationships/hyperlink" Target="https://cdn.jsdelivr.net/gh/EngineerX1234/vocational-images@main/tools/batch-16/healthcare-electrical-safety-analyzer.jpg" TargetMode="External"/><Relationship Id="rId2666" Type="http://schemas.openxmlformats.org/officeDocument/2006/relationships/hyperlink" Target="https://cdn.jsdelivr.net/gh/EngineerX1234/vocational-images@main/tools/batch-15/healthcare-centrifuge.jpg" TargetMode="External"/><Relationship Id="rId2667" Type="http://schemas.openxmlformats.org/officeDocument/2006/relationships/hyperlink" Target="https://cdn.jsdelivr.net/gh/EngineerX1234/vocational-images@main/tools/batch-16/home-management-and-care-giving-duster.jpg" TargetMode="External"/><Relationship Id="rId2668" Type="http://schemas.openxmlformats.org/officeDocument/2006/relationships/hyperlink" Target="https://cdn.jsdelivr.net/gh/EngineerX1234/vocational-images@main/tools/batch-16/healthcare-jalneti-pot.jpg" TargetMode="External"/><Relationship Id="rId2669" Type="http://schemas.openxmlformats.org/officeDocument/2006/relationships/hyperlink" Target="https://cdn.jsdelivr.net/gh/EngineerX1234/vocational-images@main/tools/batch-16/healthcare-yoga-mat.jpg" TargetMode="External"/><Relationship Id="rId2670" Type="http://schemas.openxmlformats.org/officeDocument/2006/relationships/hyperlink" Target="https://cdn.jsdelivr.net/gh/EngineerX1234/vocational-images@main/tools/batch-16/healthcare-sphygmomanometer.jpg" TargetMode="External"/><Relationship Id="rId2671" Type="http://schemas.openxmlformats.org/officeDocument/2006/relationships/hyperlink" Target="https://cdn.jsdelivr.net/gh/EngineerX1234/vocational-images@main/tools/batch-16/healthcare-thermometer.jpg" TargetMode="External"/><Relationship Id="rId2672" Type="http://schemas.openxmlformats.org/officeDocument/2006/relationships/hyperlink" Target="https://cdn.jsdelivr.net/gh/EngineerX1234/vocational-images@main/tools/batch-16/healthcare-stethoscope.jpg" TargetMode="External"/><Relationship Id="rId2673" Type="http://schemas.openxmlformats.org/officeDocument/2006/relationships/hyperlink" Target="https://cdn.jsdelivr.net/gh/EngineerX1234/vocational-images@main/tools/batch-16/home-management-and-care-giving-broom.jpg" TargetMode="External"/><Relationship Id="rId2674" Type="http://schemas.openxmlformats.org/officeDocument/2006/relationships/hyperlink" Target="https://cdn.jsdelivr.net/gh/EngineerX1234/vocational-images@main/tools/batch-16/home-management-and-care-giving-duster.jpg" TargetMode="External"/><Relationship Id="rId2675" Type="http://schemas.openxmlformats.org/officeDocument/2006/relationships/hyperlink" Target="https://cdn.jsdelivr.net/gh/EngineerX1234/vocational-images@main/tools/batch-16/home-management-and-care-giving-dust-pan.jpg" TargetMode="External"/><Relationship Id="rId2676" Type="http://schemas.openxmlformats.org/officeDocument/2006/relationships/hyperlink" Target="https://cdn.jsdelivr.net/gh/EngineerX1234/vocational-images@main/tools/batch-17/home-management-and-care-giving-knife-set.jpg" TargetMode="External"/><Relationship Id="rId2677" Type="http://schemas.openxmlformats.org/officeDocument/2006/relationships/hyperlink" Target="https://cdn.jsdelivr.net/gh/EngineerX1234/vocational-images@main/tools/batch-17/home-management-and-care-giving-soft-broom-indian.jpg" TargetMode="External"/><Relationship Id="rId2678" Type="http://schemas.openxmlformats.org/officeDocument/2006/relationships/hyperlink" Target="https://cdn.jsdelivr.net/gh/EngineerX1234/vocational-images@main/tools/batch-17/home-management-and-care-giving-glucometer.jpg" TargetMode="External"/><Relationship Id="rId2679" Type="http://schemas.openxmlformats.org/officeDocument/2006/relationships/hyperlink" Target="https://cdn.jsdelivr.net/gh/EngineerX1234/vocational-images@main/tools/batch-17/home-management-and-care-giving-pulse-oximeter.jpg" TargetMode="External"/><Relationship Id="rId2680" Type="http://schemas.openxmlformats.org/officeDocument/2006/relationships/hyperlink" Target="https://cdn.jsdelivr.net/gh/EngineerX1234/vocational-images@main/tools/batch-16/home-management-and-care-giving-cooking-range.jpg" TargetMode="External"/><Relationship Id="rId2681" Type="http://schemas.openxmlformats.org/officeDocument/2006/relationships/hyperlink" Target="https://cdn.jsdelivr.net/gh/EngineerX1234/vocational-images@main/tools/batch-16/home-management-and-care-giving-dishwasher.jpg" TargetMode="External"/><Relationship Id="rId2682" Type="http://schemas.openxmlformats.org/officeDocument/2006/relationships/hyperlink" Target="https://cdn.jsdelivr.net/gh/EngineerX1234/vocational-images@main/tools/batch-17/home-management-and-care-giving-microwave.jpg" TargetMode="External"/><Relationship Id="rId2683" Type="http://schemas.openxmlformats.org/officeDocument/2006/relationships/hyperlink" Target="https://cdn.jsdelivr.net/gh/EngineerX1234/vocational-images@main/tools/batch-17/home-management-and-care-giving-washing-machine.jpg" TargetMode="External"/><Relationship Id="rId2684" Type="http://schemas.openxmlformats.org/officeDocument/2006/relationships/hyperlink" Target="https://cdn.jsdelivr.net/gh/EngineerX1234/vocational-images@main/tools/batch-17/home-management-and-care-giving-wheel-chair.jpg" TargetMode="External"/><Relationship Id="rId2685" Type="http://schemas.openxmlformats.org/officeDocument/2006/relationships/hyperlink" Target="https://cdn.jsdelivr.net/gh/EngineerX1234/vocational-images@main/tools/batch-16/home-management-and-care-giving-digital-thermometer.jpg" TargetMode="External"/><Relationship Id="rId2686" Type="http://schemas.openxmlformats.org/officeDocument/2006/relationships/hyperlink" Target="https://cdn.jsdelivr.net/gh/EngineerX1234/vocational-images@main/tools/batch-17/home-management-and-care-giving-weighing-scale.jpg" TargetMode="External"/><Relationship Id="rId2687" Type="http://schemas.openxmlformats.org/officeDocument/2006/relationships/hyperlink" Target="https://cdn.jsdelivr.net/gh/EngineerX1234/vocational-images@main/tools/batch-17/home-management-and-care-giving-height-measuring-rod.jpg" TargetMode="External"/><Relationship Id="rId2688" Type="http://schemas.openxmlformats.org/officeDocument/2006/relationships/hyperlink" Target="https://cdn.jsdelivr.net/gh/EngineerX1234/vocational-images@main/tools/batch-17/home-management-and-care-giving-stethoscope.jpg" TargetMode="External"/><Relationship Id="rId2689" Type="http://schemas.openxmlformats.org/officeDocument/2006/relationships/hyperlink" Target="https://cdn.jsdelivr.net/gh/EngineerX1234/vocational-images@main/tools/batch-17/home-management-and-care-giving-printer.jpg" TargetMode="External"/><Relationship Id="rId2690" Type="http://schemas.openxmlformats.org/officeDocument/2006/relationships/hyperlink" Target="https://cdn.jsdelivr.net/gh/EngineerX1234/vocational-images@main/tools/batch-17/home-management-and-care-giving-scanner.jpg" TargetMode="External"/><Relationship Id="rId2691" Type="http://schemas.openxmlformats.org/officeDocument/2006/relationships/hyperlink" Target="https://cdn.jsdelivr.net/gh/EngineerX1234/vocational-images@main/tools/batch-17/logistics-glassware.jpg" TargetMode="External"/><Relationship Id="rId2692" Type="http://schemas.openxmlformats.org/officeDocument/2006/relationships/hyperlink" Target="https://cdn.jsdelivr.net/gh/EngineerX1234/vocational-images@main/tools/batch-22/tourism-and-hospitality-tea-set.jpg" TargetMode="External"/><Relationship Id="rId2693" Type="http://schemas.openxmlformats.org/officeDocument/2006/relationships/hyperlink" Target="https://cdn.jsdelivr.net/gh/EngineerX1234/vocational-images@main/tools/batch-17/home-management-and-care-giving-measuring-cups-and-spoons.jpg" TargetMode="External"/><Relationship Id="rId2694" Type="http://schemas.openxmlformats.org/officeDocument/2006/relationships/hyperlink" Target="https://cdn.jsdelivr.net/gh/EngineerX1234/vocational-images@main/tools/batch-16/home-management-and-care-giving-chopping-boards-colour-coded.jpg" TargetMode="External"/><Relationship Id="rId2695" Type="http://schemas.openxmlformats.org/officeDocument/2006/relationships/hyperlink" Target="https://cdn.jsdelivr.net/gh/EngineerX1234/vocational-images@main/tools/batch-17/home-management-and-care-giving-peeler.jpg" TargetMode="External"/><Relationship Id="rId2696" Type="http://schemas.openxmlformats.org/officeDocument/2006/relationships/hyperlink" Target="https://cdn.jsdelivr.net/gh/EngineerX1234/vocational-images@main/tools/batch-17/home-management-and-care-giving-grater.jpg" TargetMode="External"/><Relationship Id="rId2697" Type="http://schemas.openxmlformats.org/officeDocument/2006/relationships/hyperlink" Target="https://cdn.jsdelivr.net/gh/EngineerX1234/vocational-images@main/tools/batch-17/home-management-and-care-giving-stainless-steel-cooking-pots-and-pans.jpg" TargetMode="External"/><Relationship Id="rId2698" Type="http://schemas.openxmlformats.org/officeDocument/2006/relationships/hyperlink" Target="https://cdn.jsdelivr.net/gh/EngineerX1234/vocational-images@main/tools/batch-17/home-management-and-care-giving-pressure-cookers-different-sizes.jpg" TargetMode="External"/><Relationship Id="rId2699" Type="http://schemas.openxmlformats.org/officeDocument/2006/relationships/hyperlink" Target="https://cdn.jsdelivr.net/gh/EngineerX1234/vocational-images@main/tools/batch-16/home-management-and-care-giving-frying-pans-non-stick-and-cast-iron.jpg" TargetMode="External"/><Relationship Id="rId2700" Type="http://schemas.openxmlformats.org/officeDocument/2006/relationships/hyperlink" Target="https://cdn.jsdelivr.net/gh/EngineerX1234/vocational-images@main/tools/batch-16/home-management-and-care-giving-baking-trays-and-molds.jpg" TargetMode="External"/><Relationship Id="rId2701" Type="http://schemas.openxmlformats.org/officeDocument/2006/relationships/hyperlink" Target="https://cdn.jsdelivr.net/gh/EngineerX1234/vocational-images@main/tools/batch-17/home-management-and-care-giving-mixing-bowls-different-sizes.jpg" TargetMode="External"/><Relationship Id="rId2702" Type="http://schemas.openxmlformats.org/officeDocument/2006/relationships/hyperlink" Target="https://cdn.jsdelivr.net/gh/EngineerX1234/vocational-images@main/tools/batch-17/home-management-and-care-giving-whisks.jpg" TargetMode="External"/><Relationship Id="rId2703" Type="http://schemas.openxmlformats.org/officeDocument/2006/relationships/hyperlink" Target="https://cdn.jsdelivr.net/gh/EngineerX1234/vocational-images@main/tools/batch-17/home-management-and-care-giving-ladles-spoons-tongs.jpg" TargetMode="External"/><Relationship Id="rId2704" Type="http://schemas.openxmlformats.org/officeDocument/2006/relationships/hyperlink" Target="https://cdn.jsdelivr.net/gh/EngineerX1234/vocational-images@main/tools/batch-16/home-management-and-care-giving-colanders-and-strainers.jpg" TargetMode="External"/><Relationship Id="rId2705" Type="http://schemas.openxmlformats.org/officeDocument/2006/relationships/hyperlink" Target="https://cdn.jsdelivr.net/gh/EngineerX1234/vocational-images@main/tools/batch-17/home-management-and-care-giving-measuring-jugs.jpg" TargetMode="External"/><Relationship Id="rId2706" Type="http://schemas.openxmlformats.org/officeDocument/2006/relationships/hyperlink" Target="https://cdn.jsdelivr.net/gh/EngineerX1234/vocational-images@main/tools/batch-17/home-management-and-care-giving-pastry-brushes.jpg" TargetMode="External"/><Relationship Id="rId2707" Type="http://schemas.openxmlformats.org/officeDocument/2006/relationships/hyperlink" Target="https://cdn.jsdelivr.net/gh/EngineerX1234/vocational-images@main/tools/batch-17/home-management-and-care-giving-serving-trays.jpg" TargetMode="External"/><Relationship Id="rId2708" Type="http://schemas.openxmlformats.org/officeDocument/2006/relationships/hyperlink" Target="https://cdn.jsdelivr.net/gh/EngineerX1234/vocational-images@main/tools/batch-17/home-management-and-care-giving-plates-dinner-quarter.jpg" TargetMode="External"/><Relationship Id="rId2709" Type="http://schemas.openxmlformats.org/officeDocument/2006/relationships/hyperlink" Target="https://cdn.jsdelivr.net/gh/EngineerX1234/vocational-images@main/tools/batch-16/home-management-and-care-giving-bowls-soup-dessert.jpg" TargetMode="External"/><Relationship Id="rId2710" Type="http://schemas.openxmlformats.org/officeDocument/2006/relationships/hyperlink" Target="https://cdn.jsdelivr.net/gh/EngineerX1234/vocational-images@main/tools/batch-16/home-management-and-care-giving-cutlery-spoons-forks-knives.jpg" TargetMode="External"/><Relationship Id="rId2711" Type="http://schemas.openxmlformats.org/officeDocument/2006/relationships/hyperlink" Target="https://cdn.jsdelivr.net/gh/EngineerX1234/vocational-images@main/tools/batch-17/home-management-and-care-giving-tea-and-coffee-cups.jpg" TargetMode="External"/><Relationship Id="rId2712" Type="http://schemas.openxmlformats.org/officeDocument/2006/relationships/hyperlink" Target="https://cdn.jsdelivr.net/gh/EngineerX1234/vocational-images@main/tools/batch-17/home-management-and-care-giving-glassware-water-juice.jpg" TargetMode="External"/><Relationship Id="rId2713" Type="http://schemas.openxmlformats.org/officeDocument/2006/relationships/hyperlink" Target="https://cdn.jsdelivr.net/gh/EngineerX1234/vocational-images@main/tools/batch-17/home-management-and-care-giving-storage-containers-airtight.jpg" TargetMode="External"/><Relationship Id="rId2714" Type="http://schemas.openxmlformats.org/officeDocument/2006/relationships/hyperlink" Target="https://cdn.jsdelivr.net/gh/EngineerX1234/vocational-images@main/tools/batch-17/home-management-and-care-giving-plastic-wrap-dispenser.jpg" TargetMode="External"/><Relationship Id="rId2715" Type="http://schemas.openxmlformats.org/officeDocument/2006/relationships/hyperlink" Target="https://cdn.jsdelivr.net/gh/EngineerX1234/vocational-images@main/tools/batch-17/home-management-and-care-giving-ice-cube-trays.jpg" TargetMode="External"/><Relationship Id="rId2716" Type="http://schemas.openxmlformats.org/officeDocument/2006/relationships/hyperlink" Target="https://cdn.jsdelivr.net/gh/EngineerX1234/vocational-images@main/tools/batch-17/home-management-and-care-giving-induction-cooktop.jpg" TargetMode="External"/><Relationship Id="rId2717" Type="http://schemas.openxmlformats.org/officeDocument/2006/relationships/hyperlink" Target="https://cdn.jsdelivr.net/gh/EngineerX1234/vocational-images@main/tools/batch-17/home-management-and-care-giving-refrigerator-double-door.jpg" TargetMode="External"/><Relationship Id="rId2718" Type="http://schemas.openxmlformats.org/officeDocument/2006/relationships/hyperlink" Target="https://cdn.jsdelivr.net/gh/EngineerX1234/vocational-images@main/tools/batch-16/home-management-and-care-giving-deep-freezer.jpg" TargetMode="External"/><Relationship Id="rId2719" Type="http://schemas.openxmlformats.org/officeDocument/2006/relationships/hyperlink" Target="https://cdn.jsdelivr.net/gh/EngineerX1234/vocational-images@main/tools/batch-17/home-management-and-care-giving-mixer-grinder.jpg" TargetMode="External"/><Relationship Id="rId2720" Type="http://schemas.openxmlformats.org/officeDocument/2006/relationships/hyperlink" Target="https://cdn.jsdelivr.net/gh/EngineerX1234/vocational-images@main/tools/batch-17/home-management-and-care-giving-hand-blender.jpg" TargetMode="External"/><Relationship Id="rId2721" Type="http://schemas.openxmlformats.org/officeDocument/2006/relationships/hyperlink" Target="https://cdn.jsdelivr.net/gh/EngineerX1234/vocational-images@main/tools/batch-18/management-and-entrepreneurship-weighing-scale-digital.jpg" TargetMode="External"/><Relationship Id="rId2722" Type="http://schemas.openxmlformats.org/officeDocument/2006/relationships/hyperlink" Target="https://cdn.jsdelivr.net/gh/EngineerX1234/vocational-images@main/tools/batch-17/home-management-and-care-giving-tandoor-otg.jpg" TargetMode="External"/><Relationship Id="rId2723" Type="http://schemas.openxmlformats.org/officeDocument/2006/relationships/hyperlink" Target="https://cdn.jsdelivr.net/gh/EngineerX1234/vocational-images@main/tools/batch-16/home-management-and-care-giving-dough-kneading-machine.jpg" TargetMode="External"/><Relationship Id="rId2724" Type="http://schemas.openxmlformats.org/officeDocument/2006/relationships/hyperlink" Target="https://cdn.jsdelivr.net/gh/EngineerX1234/vocational-images@main/tools/batch-16/home-management-and-care-giving-food-thermometer.jpg" TargetMode="External"/><Relationship Id="rId2725" Type="http://schemas.openxmlformats.org/officeDocument/2006/relationships/hyperlink" Target="https://cdn.jsdelivr.net/gh/EngineerX1234/vocational-images@main/tools/batch-20/telecom-desktop-computers.jpg" TargetMode="External"/><Relationship Id="rId2726" Type="http://schemas.openxmlformats.org/officeDocument/2006/relationships/hyperlink" Target="https://cdn.jsdelivr.net/gh/EngineerX1234/vocational-images@main/tools/batch-17/it-ites-printer.jpg" TargetMode="External"/><Relationship Id="rId2727" Type="http://schemas.openxmlformats.org/officeDocument/2006/relationships/hyperlink" Target="https://cdn.jsdelivr.net/gh/EngineerX1234/vocational-images@main/tools/batch-17/it-ites-projector.jpg" TargetMode="External"/><Relationship Id="rId2728" Type="http://schemas.openxmlformats.org/officeDocument/2006/relationships/hyperlink" Target="https://cdn.jsdelivr.net/gh/EngineerX1234/vocational-images@main/tools/batch-17/it-ites-laptop.jpg" TargetMode="External"/><Relationship Id="rId2729" Type="http://schemas.openxmlformats.org/officeDocument/2006/relationships/hyperlink" Target="https://cdn.jsdelivr.net/gh/EngineerX1234/vocational-images@main/tools/batch-21/tourism-and-hospitality-lcd-projector.jpg" TargetMode="External"/><Relationship Id="rId2730" Type="http://schemas.openxmlformats.org/officeDocument/2006/relationships/hyperlink" Target="https://cdn.jsdelivr.net/gh/EngineerX1234/vocational-images@main/tools/batch-17/it-ites-projector.jpg" TargetMode="External"/><Relationship Id="rId2731" Type="http://schemas.openxmlformats.org/officeDocument/2006/relationships/hyperlink" Target="https://cdn.jsdelivr.net/gh/EngineerX1234/vocational-images@main/tools/batch-17/it-ites-laptop.jpg" TargetMode="External"/><Relationship Id="rId2732" Type="http://schemas.openxmlformats.org/officeDocument/2006/relationships/hyperlink" Target="https://cdn.jsdelivr.net/gh/EngineerX1234/vocational-images@main/tools/batch-17/it-ites-punching-machine.jpg" TargetMode="External"/><Relationship Id="rId2733" Type="http://schemas.openxmlformats.org/officeDocument/2006/relationships/hyperlink" Target="https://cdn.jsdelivr.net/gh/EngineerX1234/vocational-images@main/tools/batch-17/it-ites-lan-tester.jpg" TargetMode="External"/><Relationship Id="rId2734" Type="http://schemas.openxmlformats.org/officeDocument/2006/relationships/hyperlink" Target="https://cdn.jsdelivr.net/gh/EngineerX1234/vocational-images@main/tools/batch-20/telecom-desktop-computers.jpg" TargetMode="External"/><Relationship Id="rId2735" Type="http://schemas.openxmlformats.org/officeDocument/2006/relationships/hyperlink" Target="https://cdn.jsdelivr.net/gh/EngineerX1234/vocational-images@main/tools/batch-17/it-ites-digital-dongle.jpg" TargetMode="External"/><Relationship Id="rId2736" Type="http://schemas.openxmlformats.org/officeDocument/2006/relationships/hyperlink" Target="https://cdn.jsdelivr.net/gh/EngineerX1234/vocational-images@main/tools/batch-17/it-ites-scanner.jpg" TargetMode="External"/><Relationship Id="rId2737" Type="http://schemas.openxmlformats.org/officeDocument/2006/relationships/hyperlink" Target="https://cdn.jsdelivr.net/gh/EngineerX1234/vocational-images@main/tools/batch-17/it-ites-iris-scanner.jpg" TargetMode="External"/><Relationship Id="rId2738" Type="http://schemas.openxmlformats.org/officeDocument/2006/relationships/hyperlink" Target="https://cdn.jsdelivr.net/gh/EngineerX1234/vocational-images@main/tools/batch-17/it-ites-digital-camera.jpg" TargetMode="External"/><Relationship Id="rId2739" Type="http://schemas.openxmlformats.org/officeDocument/2006/relationships/hyperlink" Target="https://cdn.jsdelivr.net/gh/EngineerX1234/vocational-images@main/tools/batch-17/it-ites-voice-recorder.jpg" TargetMode="External"/><Relationship Id="rId2740" Type="http://schemas.openxmlformats.org/officeDocument/2006/relationships/hyperlink" Target="https://cdn.jsdelivr.net/gh/EngineerX1234/vocational-images@main/tools/batch-17/it-ites-telephone.jpg" TargetMode="External"/><Relationship Id="rId2741" Type="http://schemas.openxmlformats.org/officeDocument/2006/relationships/hyperlink" Target="https://cdn.jsdelivr.net/gh/EngineerX1234/vocational-images@main/tools/batch-17/it-ites-projector-with-screen.jpg" TargetMode="External"/><Relationship Id="rId2742" Type="http://schemas.openxmlformats.org/officeDocument/2006/relationships/hyperlink" Target="https://cdn.jsdelivr.net/gh/EngineerX1234/vocational-images@main/tools/batch-21/tourism-and-hospitality-lcd-projector.jpg" TargetMode="External"/><Relationship Id="rId2743" Type="http://schemas.openxmlformats.org/officeDocument/2006/relationships/hyperlink" Target="https://cdn.jsdelivr.net/gh/EngineerX1234/vocational-images@main/tools/batch-17/it-ites-laptop.jpg" TargetMode="External"/><Relationship Id="rId2744" Type="http://schemas.openxmlformats.org/officeDocument/2006/relationships/hyperlink" Target="https://cdn.jsdelivr.net/gh/EngineerX1234/vocational-images@main/tools/batch-17/it-ites-projector.jpg" TargetMode="External"/><Relationship Id="rId2745" Type="http://schemas.openxmlformats.org/officeDocument/2006/relationships/hyperlink" Target="https://cdn.jsdelivr.net/gh/EngineerX1234/vocational-images@main/tools/batch-17/it-ites-laptop.jpg" TargetMode="External"/><Relationship Id="rId2746" Type="http://schemas.openxmlformats.org/officeDocument/2006/relationships/hyperlink" Target="https://cdn.jsdelivr.net/gh/EngineerX1234/vocational-images@main/tools/batch-21/tourism-and-hospitality-lcd-projector.jpg" TargetMode="External"/><Relationship Id="rId2747" Type="http://schemas.openxmlformats.org/officeDocument/2006/relationships/hyperlink" Target="https://cdn.jsdelivr.net/gh/EngineerX1234/vocational-images@main/tools/batch-17/it-ites-projector.jpg" TargetMode="External"/><Relationship Id="rId2748" Type="http://schemas.openxmlformats.org/officeDocument/2006/relationships/hyperlink" Target="https://cdn.jsdelivr.net/gh/EngineerX1234/vocational-images@main/tools/batch-17/it-ites-laptop.jpg" TargetMode="External"/><Relationship Id="rId2749" Type="http://schemas.openxmlformats.org/officeDocument/2006/relationships/hyperlink" Target="https://cdn.jsdelivr.net/gh/EngineerX1234/vocational-images@main/tools/batch-17/it-ites-projector.jpg" TargetMode="External"/><Relationship Id="rId2750" Type="http://schemas.openxmlformats.org/officeDocument/2006/relationships/hyperlink" Target="https://cdn.jsdelivr.net/gh/EngineerX1234/vocational-images@main/tools/batch-17/it-ites-laptop.jpg" TargetMode="External"/><Relationship Id="rId2751" Type="http://schemas.openxmlformats.org/officeDocument/2006/relationships/hyperlink" Target="https://cdn.jsdelivr.net/gh/EngineerX1234/vocational-images@main/tools/batch-17/logistics-mops.jpg" TargetMode="External"/><Relationship Id="rId2752" Type="http://schemas.openxmlformats.org/officeDocument/2006/relationships/hyperlink" Target="https://cdn.jsdelivr.net/gh/EngineerX1234/vocational-images@main/tools/batch-18/logistics-vacuum-cleaner.jpg" TargetMode="External"/><Relationship Id="rId2753" Type="http://schemas.openxmlformats.org/officeDocument/2006/relationships/hyperlink" Target="https://cdn.jsdelivr.net/gh/EngineerX1234/vocational-images@main/tools/batch-17/logistics-cleaning-robots.jpg" TargetMode="External"/><Relationship Id="rId2754" Type="http://schemas.openxmlformats.org/officeDocument/2006/relationships/hyperlink" Target="https://cdn.jsdelivr.net/gh/EngineerX1234/vocational-images@main/tools/batch-17/logistics-air-purifiers.jpg" TargetMode="External"/><Relationship Id="rId2755" Type="http://schemas.openxmlformats.org/officeDocument/2006/relationships/hyperlink" Target="https://cdn.jsdelivr.net/gh/EngineerX1234/vocational-images@main/tools/batch-18/logistics-security-cameras.jpg" TargetMode="External"/><Relationship Id="rId2756" Type="http://schemas.openxmlformats.org/officeDocument/2006/relationships/hyperlink" Target="https://cdn.jsdelivr.net/gh/EngineerX1234/vocational-images@main/tools/batch-17/logistics-lcd-screens.jpg" TargetMode="External"/><Relationship Id="rId2757" Type="http://schemas.openxmlformats.org/officeDocument/2006/relationships/hyperlink" Target="https://cdn.jsdelivr.net/gh/EngineerX1234/vocational-images@main/tools/batch-17/logistics-computer.jpg" TargetMode="External"/><Relationship Id="rId2758" Type="http://schemas.openxmlformats.org/officeDocument/2006/relationships/hyperlink" Target="https://cdn.jsdelivr.net/gh/EngineerX1234/vocational-images@main/tools/batch-17/logistics-lcd-projector.jpg" TargetMode="External"/><Relationship Id="rId2759" Type="http://schemas.openxmlformats.org/officeDocument/2006/relationships/hyperlink" Target="https://cdn.jsdelivr.net/gh/EngineerX1234/vocational-images@main/tools/batch-17/logistics-locking-systems.jpg" TargetMode="External"/><Relationship Id="rId2760" Type="http://schemas.openxmlformats.org/officeDocument/2006/relationships/hyperlink" Target="https://cdn.jsdelivr.net/gh/EngineerX1234/vocational-images@main/tools/batch-17/logistics-ladder.jpg" TargetMode="External"/><Relationship Id="rId2761" Type="http://schemas.openxmlformats.org/officeDocument/2006/relationships/hyperlink" Target="https://cdn.jsdelivr.net/gh/EngineerX1234/vocational-images@main/tools/batch-17/logistics-mops.jpg" TargetMode="External"/><Relationship Id="rId2762" Type="http://schemas.openxmlformats.org/officeDocument/2006/relationships/hyperlink" Target="https://cdn.jsdelivr.net/gh/EngineerX1234/vocational-images@main/tools/batch-17/logistics-hand-operated-pallet-truck.jpg" TargetMode="External"/><Relationship Id="rId2763" Type="http://schemas.openxmlformats.org/officeDocument/2006/relationships/hyperlink" Target="https://cdn.jsdelivr.net/gh/EngineerX1234/vocational-images@main/tools/batch-18/logistics-vacuum-cleaner.jpg" TargetMode="External"/><Relationship Id="rId2764" Type="http://schemas.openxmlformats.org/officeDocument/2006/relationships/hyperlink" Target="https://cdn.jsdelivr.net/gh/EngineerX1234/vocational-images@main/tools/batch-17/logistics-cleaning-robots.jpg" TargetMode="External"/><Relationship Id="rId2765" Type="http://schemas.openxmlformats.org/officeDocument/2006/relationships/hyperlink" Target="https://cdn.jsdelivr.net/gh/EngineerX1234/vocational-images@main/tools/batch-17/logistics-air-purifiers.jpg" TargetMode="External"/><Relationship Id="rId2766" Type="http://schemas.openxmlformats.org/officeDocument/2006/relationships/hyperlink" Target="https://cdn.jsdelivr.net/gh/EngineerX1234/vocational-images@main/tools/batch-17/logistics-battery-operated-pallet-truck.jpg" TargetMode="External"/><Relationship Id="rId2767" Type="http://schemas.openxmlformats.org/officeDocument/2006/relationships/hyperlink" Target="https://cdn.jsdelivr.net/gh/EngineerX1234/vocational-images@main/tools/batch-18/logistics-stacker.jpg" TargetMode="External"/><Relationship Id="rId2768" Type="http://schemas.openxmlformats.org/officeDocument/2006/relationships/hyperlink" Target="https://cdn.jsdelivr.net/gh/EngineerX1234/vocational-images@main/tools/batch-11/electronics-scanners.jpg" TargetMode="External"/><Relationship Id="rId2769" Type="http://schemas.openxmlformats.org/officeDocument/2006/relationships/hyperlink" Target="https://cdn.jsdelivr.net/gh/EngineerX1234/vocational-images@main/tools/batch-18/logistics-security-cameras.jpg" TargetMode="External"/><Relationship Id="rId2770" Type="http://schemas.openxmlformats.org/officeDocument/2006/relationships/hyperlink" Target="https://cdn.jsdelivr.net/gh/EngineerX1234/vocational-images@main/tools/batch-17/logistics-computer.jpg" TargetMode="External"/><Relationship Id="rId2771" Type="http://schemas.openxmlformats.org/officeDocument/2006/relationships/hyperlink" Target="https://cdn.jsdelivr.net/gh/EngineerX1234/vocational-images@main/tools/batch-17/logistics-lcd-projector.jpg" TargetMode="External"/><Relationship Id="rId2772" Type="http://schemas.openxmlformats.org/officeDocument/2006/relationships/hyperlink" Target="https://cdn.jsdelivr.net/gh/EngineerX1234/vocational-images@main/tools/batch-17/logistics-locking-systems.jpg" TargetMode="External"/><Relationship Id="rId2773" Type="http://schemas.openxmlformats.org/officeDocument/2006/relationships/hyperlink" Target="https://cdn.jsdelivr.net/gh/EngineerX1234/vocational-images@main/tools/batch-17/logistics-mops.jpg" TargetMode="External"/><Relationship Id="rId2774" Type="http://schemas.openxmlformats.org/officeDocument/2006/relationships/hyperlink" Target="https://cdn.jsdelivr.net/gh/EngineerX1234/vocational-images@main/tools/batch-17/logistics-ladder.jpg" TargetMode="External"/><Relationship Id="rId2775" Type="http://schemas.openxmlformats.org/officeDocument/2006/relationships/hyperlink" Target="https://cdn.jsdelivr.net/gh/EngineerX1234/vocational-images@main/tools/batch-17/logistics-locking-systems.jpg" TargetMode="External"/><Relationship Id="rId2776" Type="http://schemas.openxmlformats.org/officeDocument/2006/relationships/hyperlink" Target="https://cdn.jsdelivr.net/gh/EngineerX1234/vocational-images@main/tools/batch-18/logistics-vacuum-cleaner.jpg" TargetMode="External"/><Relationship Id="rId2777" Type="http://schemas.openxmlformats.org/officeDocument/2006/relationships/hyperlink" Target="https://cdn.jsdelivr.net/gh/EngineerX1234/vocational-images@main/tools/batch-17/logistics-cleaning-robots.jpg" TargetMode="External"/><Relationship Id="rId2778" Type="http://schemas.openxmlformats.org/officeDocument/2006/relationships/hyperlink" Target="https://cdn.jsdelivr.net/gh/EngineerX1234/vocational-images@main/tools/batch-17/logistics-air-purifiers.jpg" TargetMode="External"/><Relationship Id="rId2779" Type="http://schemas.openxmlformats.org/officeDocument/2006/relationships/hyperlink" Target="https://cdn.jsdelivr.net/gh/EngineerX1234/vocational-images@main/tools/batch-18/logistics-stacker.jpg" TargetMode="External"/><Relationship Id="rId2780" Type="http://schemas.openxmlformats.org/officeDocument/2006/relationships/hyperlink" Target="https://cdn.jsdelivr.net/gh/EngineerX1234/vocational-images@main/tools/batch-18/logistics-security-cameras.jpg" TargetMode="External"/><Relationship Id="rId2781" Type="http://schemas.openxmlformats.org/officeDocument/2006/relationships/hyperlink" Target="https://cdn.jsdelivr.net/gh/EngineerX1234/vocational-images@main/tools/batch-17/logistics-lcd-screens.jpg" TargetMode="External"/><Relationship Id="rId2782" Type="http://schemas.openxmlformats.org/officeDocument/2006/relationships/hyperlink" Target="https://cdn.jsdelivr.net/gh/EngineerX1234/vocational-images@main/tools/batch-17/logistics-computer.jpg" TargetMode="External"/><Relationship Id="rId2783" Type="http://schemas.openxmlformats.org/officeDocument/2006/relationships/hyperlink" Target="https://cdn.jsdelivr.net/gh/EngineerX1234/vocational-images@main/tools/batch-17/logistics-lcd-projector.jpg" TargetMode="External"/><Relationship Id="rId2784" Type="http://schemas.openxmlformats.org/officeDocument/2006/relationships/hyperlink" Target="https://cdn.jsdelivr.net/gh/EngineerX1234/vocational-images@main/tools/batch-18/logistics-sieve-set.jpg" TargetMode="External"/><Relationship Id="rId2785" Type="http://schemas.openxmlformats.org/officeDocument/2006/relationships/hyperlink" Target="https://cdn.jsdelivr.net/gh/EngineerX1234/vocational-images@main/tools/batch-18/logistics-scoops-different-sizes.jpg" TargetMode="External"/><Relationship Id="rId2786" Type="http://schemas.openxmlformats.org/officeDocument/2006/relationships/hyperlink" Target="https://cdn.jsdelivr.net/gh/EngineerX1234/vocational-images@main/tools/batch-17/logistics-forceps-and-brushes.jpg" TargetMode="External"/><Relationship Id="rId2787" Type="http://schemas.openxmlformats.org/officeDocument/2006/relationships/hyperlink" Target="https://cdn.jsdelivr.net/gh/EngineerX1234/vocational-images@main/tools/batch-17/logistics-parkhi-bag-trier.jpg" TargetMode="External"/><Relationship Id="rId2788" Type="http://schemas.openxmlformats.org/officeDocument/2006/relationships/hyperlink" Target="https://cdn.jsdelivr.net/gh/EngineerX1234/vocational-images@main/tools/batch-18/logistics-sample-seal.jpg" TargetMode="External"/><Relationship Id="rId2789" Type="http://schemas.openxmlformats.org/officeDocument/2006/relationships/hyperlink" Target="https://cdn.jsdelivr.net/gh/EngineerX1234/vocational-images@main/tools/batch-17/logistics-magnifying-glass.jpg" TargetMode="External"/><Relationship Id="rId2790" Type="http://schemas.openxmlformats.org/officeDocument/2006/relationships/hyperlink" Target="https://cdn.jsdelivr.net/gh/EngineerX1234/vocational-images@main/tools/batch-17/logistics-mops.jpg" TargetMode="External"/><Relationship Id="rId2791" Type="http://schemas.openxmlformats.org/officeDocument/2006/relationships/hyperlink" Target="https://cdn.jsdelivr.net/gh/EngineerX1234/vocational-images@main/tools/batch-17/logistics-petri-dish.jpg" TargetMode="External"/><Relationship Id="rId2792" Type="http://schemas.openxmlformats.org/officeDocument/2006/relationships/hyperlink" Target="https://cdn.jsdelivr.net/gh/EngineerX1234/vocational-images@main/tools/batch-17/logistics-foot-hand-sprayers.jpg" TargetMode="External"/><Relationship Id="rId2793" Type="http://schemas.openxmlformats.org/officeDocument/2006/relationships/hyperlink" Target="https://cdn.jsdelivr.net/gh/EngineerX1234/vocational-images@main/tools/batch-17/logistics-ladder.jpg" TargetMode="External"/><Relationship Id="rId2794" Type="http://schemas.openxmlformats.org/officeDocument/2006/relationships/hyperlink" Target="https://cdn.jsdelivr.net/gh/EngineerX1234/vocational-images@main/tools/batch-17/logistics-platform-scales.jpg" TargetMode="External"/><Relationship Id="rId2795" Type="http://schemas.openxmlformats.org/officeDocument/2006/relationships/hyperlink" Target="https://cdn.jsdelivr.net/gh/EngineerX1234/vocational-images@main/tools/batch-17/logistics-hectolitre-weight-apparatus.jpg" TargetMode="External"/><Relationship Id="rId2796" Type="http://schemas.openxmlformats.org/officeDocument/2006/relationships/hyperlink" Target="https://cdn.jsdelivr.net/gh/EngineerX1234/vocational-images@main/tools/batch-18/logistics-sample-divider.jpg" TargetMode="External"/><Relationship Id="rId2797" Type="http://schemas.openxmlformats.org/officeDocument/2006/relationships/hyperlink" Target="https://cdn.jsdelivr.net/gh/EngineerX1234/vocational-images@main/tools/batch-18/logistics-thermo-hygrometer.jpg" TargetMode="External"/><Relationship Id="rId2798" Type="http://schemas.openxmlformats.org/officeDocument/2006/relationships/hyperlink" Target="https://cdn.jsdelivr.net/gh/EngineerX1234/vocational-images@main/tools/batch-17/logistics-glass-tubes.jpg" TargetMode="External"/><Relationship Id="rId2799" Type="http://schemas.openxmlformats.org/officeDocument/2006/relationships/hyperlink" Target="https://cdn.jsdelivr.net/gh/EngineerX1234/vocational-images@main/tools/batch-17/logistics-phosphine-alert-personal-monitor.jpg" TargetMode="External"/><Relationship Id="rId2800" Type="http://schemas.openxmlformats.org/officeDocument/2006/relationships/hyperlink" Target="https://cdn.jsdelivr.net/gh/EngineerX1234/vocational-images@main/tools/batch-17/logistics-phosphine-gas-monitor.jpg" TargetMode="External"/><Relationship Id="rId2801" Type="http://schemas.openxmlformats.org/officeDocument/2006/relationships/hyperlink" Target="https://cdn.jsdelivr.net/gh/EngineerX1234/vocational-images@main/tools/batch-18/logistics-resuscitator.jpg" TargetMode="External"/><Relationship Id="rId2802" Type="http://schemas.openxmlformats.org/officeDocument/2006/relationships/hyperlink" Target="https://cdn.jsdelivr.net/gh/EngineerX1234/vocational-images@main/tools/batch-18/logistics-vacuum-cleaner.jpg" TargetMode="External"/><Relationship Id="rId2803" Type="http://schemas.openxmlformats.org/officeDocument/2006/relationships/hyperlink" Target="https://cdn.jsdelivr.net/gh/EngineerX1234/vocational-images@main/tools/batch-17/logistics-cleaning-robots.jpg" TargetMode="External"/><Relationship Id="rId2804" Type="http://schemas.openxmlformats.org/officeDocument/2006/relationships/hyperlink" Target="https://cdn.jsdelivr.net/gh/EngineerX1234/vocational-images@main/tools/batch-17/logistics-air-purifiers.jpg" TargetMode="External"/><Relationship Id="rId2805" Type="http://schemas.openxmlformats.org/officeDocument/2006/relationships/hyperlink" Target="https://cdn.jsdelivr.net/gh/EngineerX1234/vocational-images@main/tools/batch-26/apparel-fork-lifts.jpg" TargetMode="External"/><Relationship Id="rId2806" Type="http://schemas.openxmlformats.org/officeDocument/2006/relationships/hyperlink" Target="https://cdn.jsdelivr.net/gh/EngineerX1234/vocational-images@main/tools/batch-18/logistics-reach-trucks.jpg" TargetMode="External"/><Relationship Id="rId2807" Type="http://schemas.openxmlformats.org/officeDocument/2006/relationships/hyperlink" Target="https://cdn.jsdelivr.net/gh/EngineerX1234/vocational-images@main/tools/batch-18/logistics-security-cameras.jpg" TargetMode="External"/><Relationship Id="rId2808" Type="http://schemas.openxmlformats.org/officeDocument/2006/relationships/hyperlink" Target="https://cdn.jsdelivr.net/gh/EngineerX1234/vocational-images@main/tools/batch-17/logistics-lcd-screens.jpg" TargetMode="External"/><Relationship Id="rId2809" Type="http://schemas.openxmlformats.org/officeDocument/2006/relationships/hyperlink" Target="https://cdn.jsdelivr.net/gh/EngineerX1234/vocational-images@main/tools/batch-17/logistics-computer.jpg" TargetMode="External"/><Relationship Id="rId2810" Type="http://schemas.openxmlformats.org/officeDocument/2006/relationships/hyperlink" Target="https://cdn.jsdelivr.net/gh/EngineerX1234/vocational-images@main/tools/batch-17/logistics-lcd-projector.jpg" TargetMode="External"/><Relationship Id="rId2811" Type="http://schemas.openxmlformats.org/officeDocument/2006/relationships/hyperlink" Target="https://cdn.jsdelivr.net/gh/EngineerX1234/vocational-images@main/tools/batch-17/logistics-locking-systems.jpg" TargetMode="External"/><Relationship Id="rId2812" Type="http://schemas.openxmlformats.org/officeDocument/2006/relationships/hyperlink" Target="https://cdn.jsdelivr.net/gh/EngineerX1234/vocational-images@main/tools/batch-18/management-and-entrepreneurship-stapler.jpg" TargetMode="External"/><Relationship Id="rId2813" Type="http://schemas.openxmlformats.org/officeDocument/2006/relationships/hyperlink" Target="https://cdn.jsdelivr.net/gh/EngineerX1234/vocational-images@main/tools/batch-18/management-and-entrepreneurship-punching-machine.jpg" TargetMode="External"/><Relationship Id="rId2814" Type="http://schemas.openxmlformats.org/officeDocument/2006/relationships/hyperlink" Target="https://cdn.jsdelivr.net/gh/EngineerX1234/vocational-images@main/tools/batch-18/management-and-entrepreneurship-shredder.jpg" TargetMode="External"/><Relationship Id="rId2815" Type="http://schemas.openxmlformats.org/officeDocument/2006/relationships/hyperlink" Target="https://cdn.jsdelivr.net/gh/EngineerX1234/vocational-images@main/tools/batch-18/management-and-entrepreneurship-air-purifier.jpg" TargetMode="External"/><Relationship Id="rId2816" Type="http://schemas.openxmlformats.org/officeDocument/2006/relationships/hyperlink" Target="https://cdn.jsdelivr.net/gh/EngineerX1234/vocational-images@main/tools/batch-18/management-and-entrepreneurship-desk-lamps.jpg" TargetMode="External"/><Relationship Id="rId2817" Type="http://schemas.openxmlformats.org/officeDocument/2006/relationships/hyperlink" Target="https://cdn.jsdelivr.net/gh/EngineerX1234/vocational-images@main/tools/batch-18/management-and-entrepreneurship-extension-cords.jpg" TargetMode="External"/><Relationship Id="rId2818" Type="http://schemas.openxmlformats.org/officeDocument/2006/relationships/hyperlink" Target="https://cdn.jsdelivr.net/gh/EngineerX1234/vocational-images@main/tools/batch-18/management-and-entrepreneurship-surge-protectors.jpg" TargetMode="External"/><Relationship Id="rId2819" Type="http://schemas.openxmlformats.org/officeDocument/2006/relationships/hyperlink" Target="https://cdn.jsdelivr.net/gh/EngineerX1234/vocational-images@main/tools/batch-18/management-and-entrepreneurship-digital-camera-for-documentation.jpg" TargetMode="External"/><Relationship Id="rId2820" Type="http://schemas.openxmlformats.org/officeDocument/2006/relationships/hyperlink" Target="https://cdn.jsdelivr.net/gh/EngineerX1234/vocational-images@main/tools/batch-18/management-and-entrepreneurship-desktop-computer.jpg" TargetMode="External"/><Relationship Id="rId2821" Type="http://schemas.openxmlformats.org/officeDocument/2006/relationships/hyperlink" Target="https://cdn.jsdelivr.net/gh/EngineerX1234/vocational-images@main/tools/batch-18/management-and-entrepreneurship-laptop.jpg" TargetMode="External"/><Relationship Id="rId2822" Type="http://schemas.openxmlformats.org/officeDocument/2006/relationships/hyperlink" Target="https://cdn.jsdelivr.net/gh/EngineerX1234/vocational-images@main/tools/batch-17/it-ites-printer.jpg" TargetMode="External"/><Relationship Id="rId2823" Type="http://schemas.openxmlformats.org/officeDocument/2006/relationships/hyperlink" Target="https://cdn.jsdelivr.net/gh/EngineerX1234/vocational-images@main/tools/batch-18/management-and-entrepreneurship-scanner.jpg" TargetMode="External"/><Relationship Id="rId2824" Type="http://schemas.openxmlformats.org/officeDocument/2006/relationships/hyperlink" Target="https://cdn.jsdelivr.net/gh/EngineerX1234/vocational-images@main/tools/batch-18/management-and-entrepreneurship-fax-machine.jpg" TargetMode="External"/><Relationship Id="rId2825" Type="http://schemas.openxmlformats.org/officeDocument/2006/relationships/hyperlink" Target="https://cdn.jsdelivr.net/gh/EngineerX1234/vocational-images@main/tools/batch-18/management-and-entrepreneurship-photocopier.jpg" TargetMode="External"/><Relationship Id="rId2826" Type="http://schemas.openxmlformats.org/officeDocument/2006/relationships/hyperlink" Target="https://cdn.jsdelivr.net/gh/EngineerX1234/vocational-images@main/tools/batch-11/electronics-projector.jpg" TargetMode="External"/><Relationship Id="rId2827" Type="http://schemas.openxmlformats.org/officeDocument/2006/relationships/hyperlink" Target="https://cdn.jsdelivr.net/gh/EngineerX1234/vocational-images@main/tools/batch-17/it-ites-telephone.jpg" TargetMode="External"/><Relationship Id="rId2828" Type="http://schemas.openxmlformats.org/officeDocument/2006/relationships/hyperlink" Target="https://cdn.jsdelivr.net/gh/EngineerX1234/vocational-images@main/tools/batch-18/management-and-entrepreneurship-headphones.jpg" TargetMode="External"/><Relationship Id="rId2829" Type="http://schemas.openxmlformats.org/officeDocument/2006/relationships/hyperlink" Target="https://cdn.jsdelivr.net/gh/EngineerX1234/vocational-images@main/tools/batch-18/management-and-entrepreneurship-networking-equipment-router-switch.jpg" TargetMode="External"/><Relationship Id="rId2830" Type="http://schemas.openxmlformats.org/officeDocument/2006/relationships/hyperlink" Target="https://cdn.jsdelivr.net/gh/EngineerX1234/vocational-images@main/tools/batch-18/management-and-entrepreneurship-usb-drives.jpg" TargetMode="External"/><Relationship Id="rId2831" Type="http://schemas.openxmlformats.org/officeDocument/2006/relationships/hyperlink" Target="https://cdn.jsdelivr.net/gh/EngineerX1234/vocational-images@main/tools/batch-18/management-and-entrepreneurship-external-hard-drive.jpg" TargetMode="External"/><Relationship Id="rId2832" Type="http://schemas.openxmlformats.org/officeDocument/2006/relationships/hyperlink" Target="https://cdn.jsdelivr.net/gh/EngineerX1234/vocational-images@main/tools/batch-18/management-and-entrepreneurship-presentation-remote.jpg" TargetMode="External"/><Relationship Id="rId2833" Type="http://schemas.openxmlformats.org/officeDocument/2006/relationships/hyperlink" Target="https://cdn.jsdelivr.net/gh/EngineerX1234/vocational-images@main/tools/batch-18/management-and-entrepreneurship-hdmi-cables.jpg" TargetMode="External"/><Relationship Id="rId2834" Type="http://schemas.openxmlformats.org/officeDocument/2006/relationships/hyperlink" Target="https://cdn.jsdelivr.net/gh/EngineerX1234/vocational-images@main/tools/batch-18/management-and-entrepreneurship-vga-cables.jpg" TargetMode="External"/><Relationship Id="rId2835" Type="http://schemas.openxmlformats.org/officeDocument/2006/relationships/hyperlink" Target="https://cdn.jsdelivr.net/gh/EngineerX1234/vocational-images@main/tools/batch-18/management-and-entrepreneurship-epabx.jpg" TargetMode="External"/><Relationship Id="rId2836" Type="http://schemas.openxmlformats.org/officeDocument/2006/relationships/hyperlink" Target="https://cdn.jsdelivr.net/gh/EngineerX1234/vocational-images@main/tools/batch-18/management-and-entrepreneurship-laptop.jpg" TargetMode="External"/><Relationship Id="rId2837" Type="http://schemas.openxmlformats.org/officeDocument/2006/relationships/hyperlink" Target="https://cdn.jsdelivr.net/gh/EngineerX1234/vocational-images@main/tools/batch-18/management-and-entrepreneurship-colour-printer.jpg" TargetMode="External"/><Relationship Id="rId2838" Type="http://schemas.openxmlformats.org/officeDocument/2006/relationships/hyperlink" Target="https://cdn.jsdelivr.net/gh/EngineerX1234/vocational-images@main/tools/batch-18/management-and-entrepreneurship-scanner.jpg" TargetMode="External"/><Relationship Id="rId2839" Type="http://schemas.openxmlformats.org/officeDocument/2006/relationships/hyperlink" Target="https://cdn.jsdelivr.net/gh/EngineerX1234/vocational-images@main/tools/batch-18/management-and-entrepreneurship-photocopier.jpg" TargetMode="External"/><Relationship Id="rId2840" Type="http://schemas.openxmlformats.org/officeDocument/2006/relationships/hyperlink" Target="https://cdn.jsdelivr.net/gh/EngineerX1234/vocational-images@main/tools/batch-17/it-ites-printer.jpg" TargetMode="External"/><Relationship Id="rId2841" Type="http://schemas.openxmlformats.org/officeDocument/2006/relationships/hyperlink" Target="https://cdn.jsdelivr.net/gh/EngineerX1234/vocational-images@main/tools/batch-11/electronics-projector.jpg" TargetMode="External"/><Relationship Id="rId2842" Type="http://schemas.openxmlformats.org/officeDocument/2006/relationships/hyperlink" Target="https://cdn.jsdelivr.net/gh/EngineerX1234/vocational-images@main/tools/batch-18/management-and-entrepreneurship-laptop-external-speakers.jpg" TargetMode="External"/><Relationship Id="rId2843" Type="http://schemas.openxmlformats.org/officeDocument/2006/relationships/hyperlink" Target="https://cdn.jsdelivr.net/gh/EngineerX1234/vocational-images@main/tools/batch-16/home-management-and-care-giving-duster.jpg" TargetMode="External"/><Relationship Id="rId2844" Type="http://schemas.openxmlformats.org/officeDocument/2006/relationships/hyperlink" Target="https://cdn.jsdelivr.net/gh/EngineerX1234/vocational-images@main/tools/batch-18/management-and-entrepreneurship-epabx.jpg" TargetMode="External"/><Relationship Id="rId2845" Type="http://schemas.openxmlformats.org/officeDocument/2006/relationships/hyperlink" Target="https://cdn.jsdelivr.net/gh/EngineerX1234/vocational-images@main/tools/batch-18/management-and-entrepreneurship-laptop.jpg" TargetMode="External"/><Relationship Id="rId2846" Type="http://schemas.openxmlformats.org/officeDocument/2006/relationships/hyperlink" Target="https://cdn.jsdelivr.net/gh/EngineerX1234/vocational-images@main/tools/batch-18/management-and-entrepreneurship-colour-printer.jpg" TargetMode="External"/><Relationship Id="rId2847" Type="http://schemas.openxmlformats.org/officeDocument/2006/relationships/hyperlink" Target="https://cdn.jsdelivr.net/gh/EngineerX1234/vocational-images@main/tools/batch-18/management-and-entrepreneurship-scanner.jpg" TargetMode="External"/><Relationship Id="rId2848" Type="http://schemas.openxmlformats.org/officeDocument/2006/relationships/hyperlink" Target="https://cdn.jsdelivr.net/gh/EngineerX1234/vocational-images@main/tools/batch-18/management-and-entrepreneurship-photocopier.jpg" TargetMode="External"/><Relationship Id="rId2849" Type="http://schemas.openxmlformats.org/officeDocument/2006/relationships/hyperlink" Target="https://cdn.jsdelivr.net/gh/EngineerX1234/vocational-images@main/tools/batch-18/media-and-entertainment-computer.jpg" TargetMode="External"/><Relationship Id="rId2850" Type="http://schemas.openxmlformats.org/officeDocument/2006/relationships/hyperlink" Target="https://cdn.jsdelivr.net/gh/EngineerX1234/vocational-images@main/tools/batch-21/tourism-and-hospitality-lcd-projector.jpg" TargetMode="External"/><Relationship Id="rId2851" Type="http://schemas.openxmlformats.org/officeDocument/2006/relationships/hyperlink" Target="https://cdn.jsdelivr.net/gh/EngineerX1234/vocational-images@main/tools/batch-18/management-and-entrepreneurship-vernier-caliper.jpg" TargetMode="External"/><Relationship Id="rId2852" Type="http://schemas.openxmlformats.org/officeDocument/2006/relationships/hyperlink" Target="https://cdn.jsdelivr.net/gh/EngineerX1234/vocational-images@main/tools/batch-18/management-and-entrepreneurship-electric-drill-machine.jpg" TargetMode="External"/><Relationship Id="rId2853" Type="http://schemas.openxmlformats.org/officeDocument/2006/relationships/hyperlink" Target="https://cdn.jsdelivr.net/gh/EngineerX1234/vocational-images@main/tools/batch-18/management-and-entrepreneurship-angle-grinder.jpg" TargetMode="External"/><Relationship Id="rId2854" Type="http://schemas.openxmlformats.org/officeDocument/2006/relationships/hyperlink" Target="https://cdn.jsdelivr.net/gh/EngineerX1234/vocational-images@main/tools/batch-18/management-and-entrepreneurship-weighing-scale-digital.jpg" TargetMode="External"/><Relationship Id="rId2855" Type="http://schemas.openxmlformats.org/officeDocument/2006/relationships/hyperlink" Target="https://cdn.jsdelivr.net/gh/EngineerX1234/vocational-images@main/tools/batch-18/management-and-entrepreneurship-welding-machine.jpg" TargetMode="External"/><Relationship Id="rId2856" Type="http://schemas.openxmlformats.org/officeDocument/2006/relationships/hyperlink" Target="https://cdn.jsdelivr.net/gh/EngineerX1234/vocational-images@main/tools/batch-18/management-and-entrepreneurship-air-compressor-small.jpg" TargetMode="External"/><Relationship Id="rId2857" Type="http://schemas.openxmlformats.org/officeDocument/2006/relationships/hyperlink" Target="https://cdn.jsdelivr.net/gh/EngineerX1234/vocational-images@main/tools/batch-18/media-and-entertainment-usb-microphone.jpg" TargetMode="External"/><Relationship Id="rId2858" Type="http://schemas.openxmlformats.org/officeDocument/2006/relationships/hyperlink" Target="https://cdn.jsdelivr.net/gh/EngineerX1234/vocational-images@main/tools/batch-18/media-and-entertainment-headphones.jpg" TargetMode="External"/><Relationship Id="rId2859" Type="http://schemas.openxmlformats.org/officeDocument/2006/relationships/hyperlink" Target="https://cdn.jsdelivr.net/gh/EngineerX1234/vocational-images@main/tools/batch-18/media-and-entertainment-ups.jpg" TargetMode="External"/><Relationship Id="rId2860" Type="http://schemas.openxmlformats.org/officeDocument/2006/relationships/hyperlink" Target="https://cdn.jsdelivr.net/gh/EngineerX1234/vocational-images@main/tools/batch-18/media-and-entertainment-external-hard-drive.jpg" TargetMode="External"/><Relationship Id="rId2861" Type="http://schemas.openxmlformats.org/officeDocument/2006/relationships/hyperlink" Target="https://cdn.jsdelivr.net/gh/EngineerX1234/vocational-images@main/tools/batch-08/bfsi-multimedia-projector.jpg" TargetMode="External"/><Relationship Id="rId2862" Type="http://schemas.openxmlformats.org/officeDocument/2006/relationships/hyperlink" Target="https://cdn.jsdelivr.net/gh/EngineerX1234/vocational-images@main/tools/batch-18/media-and-entertainment-webcam-camera.jpg" TargetMode="External"/><Relationship Id="rId2863" Type="http://schemas.openxmlformats.org/officeDocument/2006/relationships/hyperlink" Target="https://cdn.jsdelivr.net/gh/EngineerX1234/vocational-images@main/tools/batch-18/media-and-entertainment-stylus-pen.jpg" TargetMode="External"/><Relationship Id="rId2864" Type="http://schemas.openxmlformats.org/officeDocument/2006/relationships/hyperlink" Target="https://cdn.jsdelivr.net/gh/EngineerX1234/vocational-images@main/tools/batch-18/media-and-entertainment-stencil.jpg" TargetMode="External"/><Relationship Id="rId2865" Type="http://schemas.openxmlformats.org/officeDocument/2006/relationships/hyperlink" Target="https://cdn.jsdelivr.net/gh/EngineerX1234/vocational-images@main/tools/batch-18/media-and-entertainment-drawing-compass.jpg" TargetMode="External"/><Relationship Id="rId2866" Type="http://schemas.openxmlformats.org/officeDocument/2006/relationships/hyperlink" Target="https://cdn.jsdelivr.net/gh/EngineerX1234/vocational-images@main/tools/batch-18/media-and-entertainment-ruler.jpg" TargetMode="External"/><Relationship Id="rId2867" Type="http://schemas.openxmlformats.org/officeDocument/2006/relationships/hyperlink" Target="https://cdn.jsdelivr.net/gh/EngineerX1234/vocational-images@main/tools/batch-18/media-and-entertainment-clay-tool-kit.jpg" TargetMode="External"/><Relationship Id="rId2868" Type="http://schemas.openxmlformats.org/officeDocument/2006/relationships/hyperlink" Target="https://cdn.jsdelivr.net/gh/EngineerX1234/vocational-images@main/tools/batch-18/media-and-entertainment-camera-or-smartphone.jpg" TargetMode="External"/><Relationship Id="rId2869" Type="http://schemas.openxmlformats.org/officeDocument/2006/relationships/hyperlink" Target="https://cdn.jsdelivr.net/gh/EngineerX1234/vocational-images@main/tools/batch-18/media-and-entertainment-lighting-equipment-kit.jpg" TargetMode="External"/><Relationship Id="rId2870" Type="http://schemas.openxmlformats.org/officeDocument/2006/relationships/hyperlink" Target="https://cdn.jsdelivr.net/gh/EngineerX1234/vocational-images@main/tools/batch-18/media-and-entertainment-desk-lamp.jpg" TargetMode="External"/><Relationship Id="rId2871" Type="http://schemas.openxmlformats.org/officeDocument/2006/relationships/hyperlink" Target="https://cdn.jsdelivr.net/gh/EngineerX1234/vocational-images@main/tools/batch-18/media-and-entertainment-computer.jpg" TargetMode="External"/><Relationship Id="rId2872" Type="http://schemas.openxmlformats.org/officeDocument/2006/relationships/hyperlink" Target="https://cdn.jsdelivr.net/gh/EngineerX1234/vocational-images@main/tools/batch-18/media-and-entertainment-digital-drawing-tablet.jpg" TargetMode="External"/><Relationship Id="rId2873" Type="http://schemas.openxmlformats.org/officeDocument/2006/relationships/hyperlink" Target="https://cdn.jsdelivr.net/gh/EngineerX1234/vocational-images@main/tools/batch-18/media-and-entertainment-scanner-and-printer.jpg" TargetMode="External"/><Relationship Id="rId2874" Type="http://schemas.openxmlformats.org/officeDocument/2006/relationships/hyperlink" Target="https://cdn.jsdelivr.net/gh/EngineerX1234/vocational-images@main/tools/batch-18/media-and-entertainment-cleaning-tools.jpg" TargetMode="External"/><Relationship Id="rId2875" Type="http://schemas.openxmlformats.org/officeDocument/2006/relationships/hyperlink" Target="https://cdn.jsdelivr.net/gh/EngineerX1234/vocational-images@main/tools/batch-18/media-and-entertainment-electricity-tester.jpg" TargetMode="External"/><Relationship Id="rId2876" Type="http://schemas.openxmlformats.org/officeDocument/2006/relationships/hyperlink" Target="https://cdn.jsdelivr.net/gh/EngineerX1234/vocational-images@main/tools/batch-18/media-and-entertainment-air-conditioner.jpg" TargetMode="External"/><Relationship Id="rId2877" Type="http://schemas.openxmlformats.org/officeDocument/2006/relationships/hyperlink" Target="https://cdn.jsdelivr.net/gh/EngineerX1234/vocational-images@main/tools/batch-18/media-and-entertainment-computer.jpg" TargetMode="External"/><Relationship Id="rId2878" Type="http://schemas.openxmlformats.org/officeDocument/2006/relationships/hyperlink" Target="https://cdn.jsdelivr.net/gh/EngineerX1234/vocational-images@main/tools/batch-18/media-and-entertainment-color-laser-printer.jpg" TargetMode="External"/><Relationship Id="rId2879" Type="http://schemas.openxmlformats.org/officeDocument/2006/relationships/hyperlink" Target="https://cdn.jsdelivr.net/gh/EngineerX1234/vocational-images@main/tools/batch-18/media-and-entertainment-scanner.jpg" TargetMode="External"/><Relationship Id="rId2880" Type="http://schemas.openxmlformats.org/officeDocument/2006/relationships/hyperlink" Target="https://cdn.jsdelivr.net/gh/EngineerX1234/vocational-images@main/tools/batch-18/media-and-entertainment-projector.jpg" TargetMode="External"/><Relationship Id="rId2881" Type="http://schemas.openxmlformats.org/officeDocument/2006/relationships/hyperlink" Target="https://cdn.jsdelivr.net/gh/EngineerX1234/vocational-images@main/tools/batch-01/agriculture-brushes.jpg" TargetMode="External"/><Relationship Id="rId2882" Type="http://schemas.openxmlformats.org/officeDocument/2006/relationships/hyperlink" Target="https://cdn.jsdelivr.net/gh/EngineerX1234/vocational-images@main/tools/batch-09/construction-computer-system.jpg" TargetMode="External"/><Relationship Id="rId2883" Type="http://schemas.openxmlformats.org/officeDocument/2006/relationships/hyperlink" Target="https://cdn.jsdelivr.net/gh/EngineerX1234/vocational-images@main/tools/batch-17/it-ites-printer.jpg" TargetMode="External"/><Relationship Id="rId2884" Type="http://schemas.openxmlformats.org/officeDocument/2006/relationships/hyperlink" Target="https://cdn.jsdelivr.net/gh/EngineerX1234/vocational-images@main/tools/batch-18/media-and-entertainment-scanner.jpg" TargetMode="External"/><Relationship Id="rId2885" Type="http://schemas.openxmlformats.org/officeDocument/2006/relationships/hyperlink" Target="https://cdn.jsdelivr.net/gh/EngineerX1234/vocational-images@main/tools/batch-20/private-security-intercom.jpg" TargetMode="External"/><Relationship Id="rId2886" Type="http://schemas.openxmlformats.org/officeDocument/2006/relationships/hyperlink" Target="https://cdn.jsdelivr.net/gh/EngineerX1234/vocational-images@main/tools/batch-20/private-security-bp-machine.jpg" TargetMode="External"/><Relationship Id="rId2887" Type="http://schemas.openxmlformats.org/officeDocument/2006/relationships/hyperlink" Target="https://cdn.jsdelivr.net/gh/EngineerX1234/vocational-images@main/tools/batch-20/private-security-thermometer.jpg" TargetMode="External"/><Relationship Id="rId2888" Type="http://schemas.openxmlformats.org/officeDocument/2006/relationships/hyperlink" Target="https://cdn.jsdelivr.net/gh/EngineerX1234/vocational-images@main/tools/batch-20/private-security-aed-automated-external-defibrillator.jpg" TargetMode="External"/><Relationship Id="rId2889" Type="http://schemas.openxmlformats.org/officeDocument/2006/relationships/hyperlink" Target="https://cdn.jsdelivr.net/gh/EngineerX1234/vocational-images@main/tools/batch-20/private-security-cctv-cameras-2.jpg" TargetMode="External"/><Relationship Id="rId2890" Type="http://schemas.openxmlformats.org/officeDocument/2006/relationships/hyperlink" Target="https://cdn.jsdelivr.net/gh/EngineerX1234/vocational-images@main/tools/batch-19/organised-retail-mops.jpg" TargetMode="External"/><Relationship Id="rId2891" Type="http://schemas.openxmlformats.org/officeDocument/2006/relationships/hyperlink" Target="https://cdn.jsdelivr.net/gh/EngineerX1234/vocational-images@main/tools/batch-19/organised-retail-vacuum-cleaner.jpg" TargetMode="External"/><Relationship Id="rId2892" Type="http://schemas.openxmlformats.org/officeDocument/2006/relationships/hyperlink" Target="https://cdn.jsdelivr.net/gh/EngineerX1234/vocational-images@main/tools/batch-18/organised-retail-cleaning-robots.jpg" TargetMode="External"/><Relationship Id="rId2893" Type="http://schemas.openxmlformats.org/officeDocument/2006/relationships/hyperlink" Target="https://cdn.jsdelivr.net/gh/EngineerX1234/vocational-images@main/tools/batch-18/organised-retail-air-purifiers.jpg" TargetMode="External"/><Relationship Id="rId2894" Type="http://schemas.openxmlformats.org/officeDocument/2006/relationships/hyperlink" Target="https://cdn.jsdelivr.net/gh/EngineerX1234/vocational-images@main/tools/batch-19/organised-retail-security-cameras.jpg" TargetMode="External"/><Relationship Id="rId2895" Type="http://schemas.openxmlformats.org/officeDocument/2006/relationships/hyperlink" Target="https://cdn.jsdelivr.net/gh/EngineerX1234/vocational-images@main/tools/batch-19/organised-retail-lcd-screens.jpg" TargetMode="External"/><Relationship Id="rId2896" Type="http://schemas.openxmlformats.org/officeDocument/2006/relationships/hyperlink" Target="https://cdn.jsdelivr.net/gh/EngineerX1234/vocational-images@main/tools/batch-18/organised-retail-computer.jpg" TargetMode="External"/><Relationship Id="rId2897" Type="http://schemas.openxmlformats.org/officeDocument/2006/relationships/hyperlink" Target="https://cdn.jsdelivr.net/gh/EngineerX1234/vocational-images@main/tools/batch-19/organised-retail-lcd-projector.jpg" TargetMode="External"/><Relationship Id="rId2898" Type="http://schemas.openxmlformats.org/officeDocument/2006/relationships/hyperlink" Target="https://cdn.jsdelivr.net/gh/EngineerX1234/vocational-images@main/tools/batch-19/organised-retail-locking-systems.jpg" TargetMode="External"/><Relationship Id="rId2899" Type="http://schemas.openxmlformats.org/officeDocument/2006/relationships/hyperlink" Target="https://cdn.jsdelivr.net/gh/EngineerX1234/vocational-images@main/tools/batch-19/organised-retail-mannequins.jpg" TargetMode="External"/><Relationship Id="rId2900" Type="http://schemas.openxmlformats.org/officeDocument/2006/relationships/hyperlink" Target="https://cdn.jsdelivr.net/gh/EngineerX1234/vocational-images@main/tools/batch-18/organised-retail-computer.jpg" TargetMode="External"/><Relationship Id="rId2901" Type="http://schemas.openxmlformats.org/officeDocument/2006/relationships/hyperlink" Target="https://cdn.jsdelivr.net/gh/EngineerX1234/vocational-images@main/tools/batch-19/organised-retail-lcd-projector.jpg" TargetMode="External"/><Relationship Id="rId2902" Type="http://schemas.openxmlformats.org/officeDocument/2006/relationships/hyperlink" Target="https://cdn.jsdelivr.net/gh/EngineerX1234/vocational-images@main/tools/batch-19/organised-retail-mops.jpg" TargetMode="External"/><Relationship Id="rId2903" Type="http://schemas.openxmlformats.org/officeDocument/2006/relationships/hyperlink" Target="https://cdn.jsdelivr.net/gh/EngineerX1234/vocational-images@main/tools/batch-19/organised-retail-vacuum-cleaner.jpg" TargetMode="External"/><Relationship Id="rId2904" Type="http://schemas.openxmlformats.org/officeDocument/2006/relationships/hyperlink" Target="https://cdn.jsdelivr.net/gh/EngineerX1234/vocational-images@main/tools/batch-18/organised-retail-cleaning-robots.jpg" TargetMode="External"/><Relationship Id="rId2905" Type="http://schemas.openxmlformats.org/officeDocument/2006/relationships/hyperlink" Target="https://cdn.jsdelivr.net/gh/EngineerX1234/vocational-images@main/tools/batch-18/organised-retail-air-purifiers.jpg" TargetMode="External"/><Relationship Id="rId2906" Type="http://schemas.openxmlformats.org/officeDocument/2006/relationships/hyperlink" Target="https://cdn.jsdelivr.net/gh/EngineerX1234/vocational-images@main/tools/batch-19/organised-retail-security-cameras.jpg" TargetMode="External"/><Relationship Id="rId2907" Type="http://schemas.openxmlformats.org/officeDocument/2006/relationships/hyperlink" Target="https://cdn.jsdelivr.net/gh/EngineerX1234/vocational-images@main/tools/batch-19/organised-retail-lcd-screens.jpg" TargetMode="External"/><Relationship Id="rId2908" Type="http://schemas.openxmlformats.org/officeDocument/2006/relationships/hyperlink" Target="https://cdn.jsdelivr.net/gh/EngineerX1234/vocational-images@main/tools/batch-18/organised-retail-computer.jpg" TargetMode="External"/><Relationship Id="rId2909" Type="http://schemas.openxmlformats.org/officeDocument/2006/relationships/hyperlink" Target="https://cdn.jsdelivr.net/gh/EngineerX1234/vocational-images@main/tools/batch-19/organised-retail-lcd-projector.jpg" TargetMode="External"/><Relationship Id="rId2910" Type="http://schemas.openxmlformats.org/officeDocument/2006/relationships/hyperlink" Target="https://cdn.jsdelivr.net/gh/EngineerX1234/vocational-images@main/tools/batch-19/organised-retail-locking-systems.jpg" TargetMode="External"/><Relationship Id="rId2911" Type="http://schemas.openxmlformats.org/officeDocument/2006/relationships/hyperlink" Target="https://cdn.jsdelivr.net/gh/EngineerX1234/vocational-images@main/tools/batch-19/organised-retail-mops.jpg" TargetMode="External"/><Relationship Id="rId2912" Type="http://schemas.openxmlformats.org/officeDocument/2006/relationships/hyperlink" Target="https://cdn.jsdelivr.net/gh/EngineerX1234/vocational-images@main/tools/batch-19/organised-retail-ladder.jpg" TargetMode="External"/><Relationship Id="rId2913" Type="http://schemas.openxmlformats.org/officeDocument/2006/relationships/hyperlink" Target="https://cdn.jsdelivr.net/gh/EngineerX1234/vocational-images@main/tools/batch-19/organised-retail-vacuum-cleaner.jpg" TargetMode="External"/><Relationship Id="rId2914" Type="http://schemas.openxmlformats.org/officeDocument/2006/relationships/hyperlink" Target="https://cdn.jsdelivr.net/gh/EngineerX1234/vocational-images@main/tools/batch-18/organised-retail-cleaning-robots.jpg" TargetMode="External"/><Relationship Id="rId2915" Type="http://schemas.openxmlformats.org/officeDocument/2006/relationships/hyperlink" Target="https://cdn.jsdelivr.net/gh/EngineerX1234/vocational-images@main/tools/batch-18/organised-retail-air-purifiers.jpg" TargetMode="External"/><Relationship Id="rId2916" Type="http://schemas.openxmlformats.org/officeDocument/2006/relationships/hyperlink" Target="https://cdn.jsdelivr.net/gh/EngineerX1234/vocational-images@main/tools/batch-19/organised-retail-stacker.jpg" TargetMode="External"/><Relationship Id="rId2917" Type="http://schemas.openxmlformats.org/officeDocument/2006/relationships/hyperlink" Target="https://cdn.jsdelivr.net/gh/EngineerX1234/vocational-images@main/tools/batch-19/organised-retail-forklift.jpg" TargetMode="External"/><Relationship Id="rId2918" Type="http://schemas.openxmlformats.org/officeDocument/2006/relationships/hyperlink" Target="https://cdn.jsdelivr.net/gh/EngineerX1234/vocational-images@main/tools/batch-19/organised-retail-security-cameras.jpg" TargetMode="External"/><Relationship Id="rId2919" Type="http://schemas.openxmlformats.org/officeDocument/2006/relationships/hyperlink" Target="https://cdn.jsdelivr.net/gh/EngineerX1234/vocational-images@main/tools/batch-19/organised-retail-lcd-screens.jpg" TargetMode="External"/><Relationship Id="rId2920" Type="http://schemas.openxmlformats.org/officeDocument/2006/relationships/hyperlink" Target="https://cdn.jsdelivr.net/gh/EngineerX1234/vocational-images@main/tools/batch-18/organised-retail-computer.jpg" TargetMode="External"/><Relationship Id="rId2921" Type="http://schemas.openxmlformats.org/officeDocument/2006/relationships/hyperlink" Target="https://cdn.jsdelivr.net/gh/EngineerX1234/vocational-images@main/tools/batch-19/organised-retail-lcd-projector.jpg" TargetMode="External"/><Relationship Id="rId2922" Type="http://schemas.openxmlformats.org/officeDocument/2006/relationships/hyperlink" Target="https://cdn.jsdelivr.net/gh/EngineerX1234/vocational-images@main/tools/batch-19/organised-retail-locking-systems.jpg" TargetMode="External"/><Relationship Id="rId2923" Type="http://schemas.openxmlformats.org/officeDocument/2006/relationships/hyperlink" Target="https://cdn.jsdelivr.net/gh/EngineerX1234/vocational-images@main/tools/batch-19/organised-retail-mops.jpg" TargetMode="External"/><Relationship Id="rId2924" Type="http://schemas.openxmlformats.org/officeDocument/2006/relationships/hyperlink" Target="https://cdn.jsdelivr.net/gh/EngineerX1234/vocational-images@main/tools/batch-19/organised-retail-vacuum-cleaner.jpg" TargetMode="External"/><Relationship Id="rId2925" Type="http://schemas.openxmlformats.org/officeDocument/2006/relationships/hyperlink" Target="https://cdn.jsdelivr.net/gh/EngineerX1234/vocational-images@main/tools/batch-18/organised-retail-cleaning-robots.jpg" TargetMode="External"/><Relationship Id="rId2926" Type="http://schemas.openxmlformats.org/officeDocument/2006/relationships/hyperlink" Target="https://cdn.jsdelivr.net/gh/EngineerX1234/vocational-images@main/tools/batch-18/organised-retail-air-purifiers.jpg" TargetMode="External"/><Relationship Id="rId2927" Type="http://schemas.openxmlformats.org/officeDocument/2006/relationships/hyperlink" Target="https://cdn.jsdelivr.net/gh/EngineerX1234/vocational-images@main/tools/batch-19/organised-retail-security-cameras.jpg" TargetMode="External"/><Relationship Id="rId2928" Type="http://schemas.openxmlformats.org/officeDocument/2006/relationships/hyperlink" Target="https://cdn.jsdelivr.net/gh/EngineerX1234/vocational-images@main/tools/batch-19/organised-retail-lcd-screens.jpg" TargetMode="External"/><Relationship Id="rId2929" Type="http://schemas.openxmlformats.org/officeDocument/2006/relationships/hyperlink" Target="https://cdn.jsdelivr.net/gh/EngineerX1234/vocational-images@main/tools/batch-18/organised-retail-computer.jpg" TargetMode="External"/><Relationship Id="rId2930" Type="http://schemas.openxmlformats.org/officeDocument/2006/relationships/hyperlink" Target="https://cdn.jsdelivr.net/gh/EngineerX1234/vocational-images@main/tools/batch-19/organised-retail-lcd-projector.jpg" TargetMode="External"/><Relationship Id="rId2931" Type="http://schemas.openxmlformats.org/officeDocument/2006/relationships/hyperlink" Target="https://cdn.jsdelivr.net/gh/EngineerX1234/vocational-images@main/tools/batch-19/organised-retail-locking-systems.jpg" TargetMode="External"/><Relationship Id="rId2932" Type="http://schemas.openxmlformats.org/officeDocument/2006/relationships/hyperlink" Target="https://cdn.jsdelivr.net/gh/EngineerX1234/vocational-images@main/tools/batch-19/organised-retail-duster.jpg" TargetMode="External"/><Relationship Id="rId2933" Type="http://schemas.openxmlformats.org/officeDocument/2006/relationships/hyperlink" Target="https://cdn.jsdelivr.net/gh/EngineerX1234/vocational-images@main/tools/batch-19/organised-retail-paper-shredders.jpg" TargetMode="External"/><Relationship Id="rId2934" Type="http://schemas.openxmlformats.org/officeDocument/2006/relationships/hyperlink" Target="https://cdn.jsdelivr.net/gh/EngineerX1234/vocational-images@main/tools/batch-19/organised-retail-printers-and-scanners.jpg" TargetMode="External"/><Relationship Id="rId2935" Type="http://schemas.openxmlformats.org/officeDocument/2006/relationships/hyperlink" Target="https://cdn.jsdelivr.net/gh/EngineerX1234/vocational-images@main/tools/batch-19/organised-retail-external-storage-devices.jpg" TargetMode="External"/><Relationship Id="rId2936" Type="http://schemas.openxmlformats.org/officeDocument/2006/relationships/hyperlink" Target="https://cdn.jsdelivr.net/gh/EngineerX1234/vocational-images@main/tools/batch-08/bfsi-uninterruptible-power-supply-ups.jpg" TargetMode="External"/><Relationship Id="rId2937" Type="http://schemas.openxmlformats.org/officeDocument/2006/relationships/hyperlink" Target="https://cdn.jsdelivr.net/gh/EngineerX1234/vocational-images@main/tools/batch-18/organised-retail-barcode-scanner.jpg" TargetMode="External"/><Relationship Id="rId2938" Type="http://schemas.openxmlformats.org/officeDocument/2006/relationships/hyperlink" Target="https://cdn.jsdelivr.net/gh/EngineerX1234/vocational-images@main/tools/batch-17/it-ites-printer.jpg" TargetMode="External"/><Relationship Id="rId2939" Type="http://schemas.openxmlformats.org/officeDocument/2006/relationships/hyperlink" Target="https://cdn.jsdelivr.net/gh/EngineerX1234/vocational-images@main/tools/batch-19/organised-retail-projector.jpg" TargetMode="External"/><Relationship Id="rId2940" Type="http://schemas.openxmlformats.org/officeDocument/2006/relationships/hyperlink" Target="https://cdn.jsdelivr.net/gh/EngineerX1234/vocational-images@main/tools/batch-19/organised-retail-laptop-external-speakers.jpg" TargetMode="External"/><Relationship Id="rId2941" Type="http://schemas.openxmlformats.org/officeDocument/2006/relationships/hyperlink" Target="https://cdn.jsdelivr.net/gh/EngineerX1234/vocational-images@main/tools/batch-19/organised-retail-mops.jpg" TargetMode="External"/><Relationship Id="rId2942" Type="http://schemas.openxmlformats.org/officeDocument/2006/relationships/hyperlink" Target="https://cdn.jsdelivr.net/gh/EngineerX1234/vocational-images@main/tools/batch-19/organised-retail-locking-systems.jpg" TargetMode="External"/><Relationship Id="rId2943" Type="http://schemas.openxmlformats.org/officeDocument/2006/relationships/hyperlink" Target="https://cdn.jsdelivr.net/gh/EngineerX1234/vocational-images@main/tools/batch-19/organised-retail-vacuum-cleaner.jpg" TargetMode="External"/><Relationship Id="rId2944" Type="http://schemas.openxmlformats.org/officeDocument/2006/relationships/hyperlink" Target="https://cdn.jsdelivr.net/gh/EngineerX1234/vocational-images@main/tools/batch-18/organised-retail-cleaning-robots.jpg" TargetMode="External"/><Relationship Id="rId2945" Type="http://schemas.openxmlformats.org/officeDocument/2006/relationships/hyperlink" Target="https://cdn.jsdelivr.net/gh/EngineerX1234/vocational-images@main/tools/batch-18/organised-retail-air-purifiers.jpg" TargetMode="External"/><Relationship Id="rId2946" Type="http://schemas.openxmlformats.org/officeDocument/2006/relationships/hyperlink" Target="https://cdn.jsdelivr.net/gh/EngineerX1234/vocational-images@main/tools/batch-19/organised-retail-security-cameras.jpg" TargetMode="External"/><Relationship Id="rId2947" Type="http://schemas.openxmlformats.org/officeDocument/2006/relationships/hyperlink" Target="https://cdn.jsdelivr.net/gh/EngineerX1234/vocational-images@main/tools/batch-19/organised-retail-lcd-screens.jpg" TargetMode="External"/><Relationship Id="rId2948" Type="http://schemas.openxmlformats.org/officeDocument/2006/relationships/hyperlink" Target="https://cdn.jsdelivr.net/gh/EngineerX1234/vocational-images@main/tools/batch-18/organised-retail-computer.jpg" TargetMode="External"/><Relationship Id="rId2949" Type="http://schemas.openxmlformats.org/officeDocument/2006/relationships/hyperlink" Target="https://cdn.jsdelivr.net/gh/EngineerX1234/vocational-images@main/tools/batch-19/organised-retail-lcd-projector.jpg" TargetMode="External"/><Relationship Id="rId2950" Type="http://schemas.openxmlformats.org/officeDocument/2006/relationships/hyperlink" Target="https://cdn.jsdelivr.net/gh/EngineerX1234/vocational-images@main/tools/batch-19/organised-retail-mops.jpg" TargetMode="External"/><Relationship Id="rId2951" Type="http://schemas.openxmlformats.org/officeDocument/2006/relationships/hyperlink" Target="https://cdn.jsdelivr.net/gh/EngineerX1234/vocational-images@main/tools/batch-19/organised-retail-vacuum-cleaner.jpg" TargetMode="External"/><Relationship Id="rId2952" Type="http://schemas.openxmlformats.org/officeDocument/2006/relationships/hyperlink" Target="https://cdn.jsdelivr.net/gh/EngineerX1234/vocational-images@main/tools/batch-18/organised-retail-cleaning-robots.jpg" TargetMode="External"/><Relationship Id="rId2953" Type="http://schemas.openxmlformats.org/officeDocument/2006/relationships/hyperlink" Target="https://cdn.jsdelivr.net/gh/EngineerX1234/vocational-images@main/tools/batch-18/organised-retail-air-purifiers.jpg" TargetMode="External"/><Relationship Id="rId2954" Type="http://schemas.openxmlformats.org/officeDocument/2006/relationships/hyperlink" Target="https://cdn.jsdelivr.net/gh/EngineerX1234/vocational-images@main/tools/batch-19/organised-retail-security-cameras.jpg" TargetMode="External"/><Relationship Id="rId2955" Type="http://schemas.openxmlformats.org/officeDocument/2006/relationships/hyperlink" Target="https://cdn.jsdelivr.net/gh/EngineerX1234/vocational-images@main/tools/batch-19/organised-retail-lcd-screens.jpg" TargetMode="External"/><Relationship Id="rId2956" Type="http://schemas.openxmlformats.org/officeDocument/2006/relationships/hyperlink" Target="https://cdn.jsdelivr.net/gh/EngineerX1234/vocational-images@main/tools/batch-18/organised-retail-computer.jpg" TargetMode="External"/><Relationship Id="rId2957" Type="http://schemas.openxmlformats.org/officeDocument/2006/relationships/hyperlink" Target="https://cdn.jsdelivr.net/gh/EngineerX1234/vocational-images@main/tools/batch-19/organised-retail-lcd-projector.jpg" TargetMode="External"/><Relationship Id="rId2958" Type="http://schemas.openxmlformats.org/officeDocument/2006/relationships/hyperlink" Target="https://cdn.jsdelivr.net/gh/EngineerX1234/vocational-images@main/tools/batch-19/organised-retail-locking-systems.jpg" TargetMode="External"/><Relationship Id="rId2959" Type="http://schemas.openxmlformats.org/officeDocument/2006/relationships/hyperlink" Target="https://cdn.jsdelivr.net/gh/EngineerX1234/vocational-images@main/tools/batch-19/physical-education-and-sports-cable-machine.jpg" TargetMode="External"/><Relationship Id="rId2960" Type="http://schemas.openxmlformats.org/officeDocument/2006/relationships/hyperlink" Target="https://cdn.jsdelivr.net/gh/EngineerX1234/vocational-images@main/tools/batch-19/physical-education-and-sports-exercise-ball-pump.jpg" TargetMode="External"/><Relationship Id="rId2961" Type="http://schemas.openxmlformats.org/officeDocument/2006/relationships/hyperlink" Target="https://cdn.jsdelivr.net/gh/EngineerX1234/vocational-images@main/tools/batch-19/physical-education-and-sports-measuring-tape.jpg" TargetMode="External"/><Relationship Id="rId2962" Type="http://schemas.openxmlformats.org/officeDocument/2006/relationships/hyperlink" Target="https://cdn.jsdelivr.net/gh/EngineerX1234/vocational-images@main/tools/batch-19/physical-education-and-sports-exercise-yoga-mats.jpg" TargetMode="External"/><Relationship Id="rId2963" Type="http://schemas.openxmlformats.org/officeDocument/2006/relationships/hyperlink" Target="https://cdn.jsdelivr.net/gh/EngineerX1234/vocational-images@main/tools/batch-19/physical-education-and-sports-dumbbells.jpg" TargetMode="External"/><Relationship Id="rId2964" Type="http://schemas.openxmlformats.org/officeDocument/2006/relationships/hyperlink" Target="https://cdn.jsdelivr.net/gh/EngineerX1234/vocational-images@main/tools/batch-19/physical-education-and-sports-adjustable-dumbbells.jpg" TargetMode="External"/><Relationship Id="rId2965" Type="http://schemas.openxmlformats.org/officeDocument/2006/relationships/hyperlink" Target="https://cdn.jsdelivr.net/gh/EngineerX1234/vocational-images@main/tools/batch-19/physical-education-and-sports-kettlebells.jpg" TargetMode="External"/><Relationship Id="rId2966" Type="http://schemas.openxmlformats.org/officeDocument/2006/relationships/hyperlink" Target="https://cdn.jsdelivr.net/gh/EngineerX1234/vocational-images@main/tools/batch-19/physical-education-and-sports-resistance-bands.jpg" TargetMode="External"/><Relationship Id="rId2967" Type="http://schemas.openxmlformats.org/officeDocument/2006/relationships/hyperlink" Target="https://cdn.jsdelivr.net/gh/EngineerX1234/vocational-images@main/tools/batch-19/physical-education-and-sports-resistance-tubes.jpg" TargetMode="External"/><Relationship Id="rId2968" Type="http://schemas.openxmlformats.org/officeDocument/2006/relationships/hyperlink" Target="https://cdn.jsdelivr.net/gh/EngineerX1234/vocational-images@main/tools/batch-19/physical-education-and-sports-exercise-swiss-balls.jpg" TargetMode="External"/><Relationship Id="rId2969" Type="http://schemas.openxmlformats.org/officeDocument/2006/relationships/hyperlink" Target="https://cdn.jsdelivr.net/gh/EngineerX1234/vocational-images@main/tools/batch-19/physical-education-and-sports-medicine-balls.jpg" TargetMode="External"/><Relationship Id="rId2970" Type="http://schemas.openxmlformats.org/officeDocument/2006/relationships/hyperlink" Target="https://cdn.jsdelivr.net/gh/EngineerX1234/vocational-images@main/tools/batch-19/physical-education-and-sports-skipping-ropes.jpg" TargetMode="External"/><Relationship Id="rId2971" Type="http://schemas.openxmlformats.org/officeDocument/2006/relationships/hyperlink" Target="https://cdn.jsdelivr.net/gh/EngineerX1234/vocational-images@main/tools/batch-19/physical-education-and-sports-agility-ladder.jpg" TargetMode="External"/><Relationship Id="rId2972" Type="http://schemas.openxmlformats.org/officeDocument/2006/relationships/hyperlink" Target="https://cdn.jsdelivr.net/gh/EngineerX1234/vocational-images@main/tools/batch-19/physical-education-and-sports-cones.jpg" TargetMode="External"/><Relationship Id="rId2973" Type="http://schemas.openxmlformats.org/officeDocument/2006/relationships/hyperlink" Target="https://cdn.jsdelivr.net/gh/EngineerX1234/vocational-images@main/tools/batch-19/physical-education-and-sports-hurdles.jpg" TargetMode="External"/><Relationship Id="rId2974" Type="http://schemas.openxmlformats.org/officeDocument/2006/relationships/hyperlink" Target="https://cdn.jsdelivr.net/gh/EngineerX1234/vocational-images@main/tools/batch-19/physical-education-and-sports-step-platform.jpg" TargetMode="External"/><Relationship Id="rId2975" Type="http://schemas.openxmlformats.org/officeDocument/2006/relationships/hyperlink" Target="https://cdn.jsdelivr.net/gh/EngineerX1234/vocational-images@main/tools/batch-19/physical-education-and-sports-balance-board.jpg" TargetMode="External"/><Relationship Id="rId2976" Type="http://schemas.openxmlformats.org/officeDocument/2006/relationships/hyperlink" Target="https://cdn.jsdelivr.net/gh/EngineerX1234/vocational-images@main/tools/batch-19/physical-education-and-sports-foam-roller.jpg" TargetMode="External"/><Relationship Id="rId2977" Type="http://schemas.openxmlformats.org/officeDocument/2006/relationships/hyperlink" Target="https://cdn.jsdelivr.net/gh/EngineerX1234/vocational-images@main/tools/batch-19/physical-education-and-sports-pull-up-bar.jpg" TargetMode="External"/><Relationship Id="rId2978" Type="http://schemas.openxmlformats.org/officeDocument/2006/relationships/hyperlink" Target="https://cdn.jsdelivr.net/gh/EngineerX1234/vocational-images@main/tools/batch-19/physical-education-and-sports-exercise-bands.jpg" TargetMode="External"/><Relationship Id="rId2979" Type="http://schemas.openxmlformats.org/officeDocument/2006/relationships/hyperlink" Target="https://cdn.jsdelivr.net/gh/EngineerX1234/vocational-images@main/tools/batch-19/physical-education-and-sports-ankle-wrist-weights.jpg" TargetMode="External"/><Relationship Id="rId2980" Type="http://schemas.openxmlformats.org/officeDocument/2006/relationships/hyperlink" Target="https://cdn.jsdelivr.net/gh/EngineerX1234/vocational-images@main/tools/batch-19/physical-education-and-sports-abdominal-wheel.jpg" TargetMode="External"/><Relationship Id="rId2981" Type="http://schemas.openxmlformats.org/officeDocument/2006/relationships/hyperlink" Target="https://cdn.jsdelivr.net/gh/EngineerX1234/vocational-images@main/tools/batch-19/physical-education-and-sports-push-up-bars.jpg" TargetMode="External"/><Relationship Id="rId2982" Type="http://schemas.openxmlformats.org/officeDocument/2006/relationships/hyperlink" Target="https://cdn.jsdelivr.net/gh/EngineerX1234/vocational-images@main/tools/batch-19/physical-education-and-sports-digital-weighing-scale.jpg" TargetMode="External"/><Relationship Id="rId2983" Type="http://schemas.openxmlformats.org/officeDocument/2006/relationships/hyperlink" Target="https://cdn.jsdelivr.net/gh/EngineerX1234/vocational-images@main/tools/batch-19/physical-education-and-sports-height-measuring-scale.jpg" TargetMode="External"/><Relationship Id="rId2984" Type="http://schemas.openxmlformats.org/officeDocument/2006/relationships/hyperlink" Target="https://cdn.jsdelivr.net/gh/EngineerX1234/vocational-images@main/tools/batch-19/physical-education-and-sports-stopwatch.jpg" TargetMode="External"/><Relationship Id="rId2985" Type="http://schemas.openxmlformats.org/officeDocument/2006/relationships/hyperlink" Target="https://cdn.jsdelivr.net/gh/EngineerX1234/vocational-images@main/tools/batch-19/physical-education-and-sports-heart-rate-monitor.jpg" TargetMode="External"/><Relationship Id="rId2986" Type="http://schemas.openxmlformats.org/officeDocument/2006/relationships/hyperlink" Target="https://cdn.jsdelivr.net/gh/EngineerX1234/vocational-images@main/tools/batch-19/physical-education-and-sports-blood-pressure-monitor.jpg" TargetMode="External"/><Relationship Id="rId2987" Type="http://schemas.openxmlformats.org/officeDocument/2006/relationships/hyperlink" Target="https://cdn.jsdelivr.net/gh/EngineerX1234/vocational-images@main/tools/batch-19/physical-education-and-sports-pulse-oximeter.jpg" TargetMode="External"/><Relationship Id="rId2988" Type="http://schemas.openxmlformats.org/officeDocument/2006/relationships/hyperlink" Target="https://cdn.jsdelivr.net/gh/EngineerX1234/vocational-images@main/tools/batch-19/physical-education-and-sports-bluetooth-speaker.jpg" TargetMode="External"/><Relationship Id="rId2989" Type="http://schemas.openxmlformats.org/officeDocument/2006/relationships/hyperlink" Target="https://cdn.jsdelivr.net/gh/EngineerX1234/vocational-images@main/tools/batch-19/physical-education-and-sports-whistle.jpg" TargetMode="External"/><Relationship Id="rId2990" Type="http://schemas.openxmlformats.org/officeDocument/2006/relationships/hyperlink" Target="https://cdn.jsdelivr.net/gh/EngineerX1234/vocational-images@main/tools/batch-19/physical-education-and-sports-wooden-cricket-bat.jpg" TargetMode="External"/><Relationship Id="rId2991" Type="http://schemas.openxmlformats.org/officeDocument/2006/relationships/hyperlink" Target="https://cdn.jsdelivr.net/gh/EngineerX1234/vocational-images@main/tools/batch-19/physical-education-and-sports-tennis-ball.jpg" TargetMode="External"/><Relationship Id="rId2992" Type="http://schemas.openxmlformats.org/officeDocument/2006/relationships/hyperlink" Target="https://cdn.jsdelivr.net/gh/EngineerX1234/vocational-images@main/tools/batch-19/physical-education-and-sports-cricket-stump-set.jpg" TargetMode="External"/><Relationship Id="rId2993" Type="http://schemas.openxmlformats.org/officeDocument/2006/relationships/hyperlink" Target="https://cdn.jsdelivr.net/gh/EngineerX1234/vocational-images@main/tools/batch-19/physical-education-and-sports-rugby-ball.jpg" TargetMode="External"/><Relationship Id="rId2994" Type="http://schemas.openxmlformats.org/officeDocument/2006/relationships/hyperlink" Target="https://cdn.jsdelivr.net/gh/EngineerX1234/vocational-images@main/tools/batch-19/physical-education-and-sports-nylon-bibs.jpg" TargetMode="External"/><Relationship Id="rId2995" Type="http://schemas.openxmlformats.org/officeDocument/2006/relationships/hyperlink" Target="https://cdn.jsdelivr.net/gh/EngineerX1234/vocational-images@main/tools/batch-19/physical-education-and-sports-handball.jpg" TargetMode="External"/><Relationship Id="rId2996" Type="http://schemas.openxmlformats.org/officeDocument/2006/relationships/hyperlink" Target="https://cdn.jsdelivr.net/gh/EngineerX1234/vocational-images@main/tools/batch-19/physical-education-and-sports-sit-and-reach-box.jpg" TargetMode="External"/><Relationship Id="rId2997" Type="http://schemas.openxmlformats.org/officeDocument/2006/relationships/hyperlink" Target="https://cdn.jsdelivr.net/gh/EngineerX1234/vocational-images@main/tools/batch-19/physical-education-and-sports-pop-up-goal-post.jpg" TargetMode="External"/><Relationship Id="rId2998" Type="http://schemas.openxmlformats.org/officeDocument/2006/relationships/hyperlink" Target="https://cdn.jsdelivr.net/gh/EngineerX1234/vocational-images@main/tools/batch-19/physical-education-and-sports-tennis-ball.jpg" TargetMode="External"/><Relationship Id="rId2999" Type="http://schemas.openxmlformats.org/officeDocument/2006/relationships/hyperlink" Target="https://cdn.jsdelivr.net/gh/EngineerX1234/vocational-images@main/tools/batch-19/physical-education-and-sports-frisbee.jpg" TargetMode="External"/><Relationship Id="rId3000" Type="http://schemas.openxmlformats.org/officeDocument/2006/relationships/hyperlink" Target="https://cdn.jsdelivr.net/gh/EngineerX1234/vocational-images@main/tools/batch-19/physical-education-and-sports-agility-ladder.jpg" TargetMode="External"/><Relationship Id="rId3001" Type="http://schemas.openxmlformats.org/officeDocument/2006/relationships/hyperlink" Target="https://cdn.jsdelivr.net/gh/EngineerX1234/vocational-images@main/tools/batch-19/physical-education-and-sports-flat-ring.jpg" TargetMode="External"/><Relationship Id="rId3002" Type="http://schemas.openxmlformats.org/officeDocument/2006/relationships/hyperlink" Target="https://cdn.jsdelivr.net/gh/EngineerX1234/vocational-images@main/tools/batch-17/home-management-and-care-giving-weighing-scale.jpg" TargetMode="External"/><Relationship Id="rId3003" Type="http://schemas.openxmlformats.org/officeDocument/2006/relationships/hyperlink" Target="https://cdn.jsdelivr.net/gh/EngineerX1234/vocational-images@main/tools/batch-19/physical-education-and-sports-relay-batons.jpg" TargetMode="External"/><Relationship Id="rId3004" Type="http://schemas.openxmlformats.org/officeDocument/2006/relationships/hyperlink" Target="https://cdn.jsdelivr.net/gh/EngineerX1234/vocational-images@main/tools/batch-19/physical-education-and-sports-agility-ladder.jpg" TargetMode="External"/><Relationship Id="rId3005" Type="http://schemas.openxmlformats.org/officeDocument/2006/relationships/hyperlink" Target="https://cdn.jsdelivr.net/gh/EngineerX1234/vocational-images@main/tools/batch-20/plumbing-pipe-wrench.jpg" TargetMode="External"/><Relationship Id="rId3006" Type="http://schemas.openxmlformats.org/officeDocument/2006/relationships/hyperlink" Target="https://cdn.jsdelivr.net/gh/EngineerX1234/vocational-images@main/tools/batch-20/plumbing-parrot-pliers.jpg" TargetMode="External"/><Relationship Id="rId3007" Type="http://schemas.openxmlformats.org/officeDocument/2006/relationships/hyperlink" Target="https://cdn.jsdelivr.net/gh/EngineerX1234/vocational-images@main/tools/batch-20/plumbing-slide-wrench.jpg" TargetMode="External"/><Relationship Id="rId3008" Type="http://schemas.openxmlformats.org/officeDocument/2006/relationships/hyperlink" Target="https://cdn.jsdelivr.net/gh/EngineerX1234/vocational-images@main/tools/batch-20/plumbing-die-set-complete.jpg" TargetMode="External"/><Relationship Id="rId3009" Type="http://schemas.openxmlformats.org/officeDocument/2006/relationships/hyperlink" Target="https://cdn.jsdelivr.net/gh/EngineerX1234/vocational-images@main/tools/batch-20/plumbing-hacksaw.jpg" TargetMode="External"/><Relationship Id="rId3010" Type="http://schemas.openxmlformats.org/officeDocument/2006/relationships/hyperlink" Target="https://cdn.jsdelivr.net/gh/EngineerX1234/vocational-images@main/tools/batch-20/plumbing-pipe-vice.jpg" TargetMode="External"/><Relationship Id="rId3011" Type="http://schemas.openxmlformats.org/officeDocument/2006/relationships/hyperlink" Target="https://cdn.jsdelivr.net/gh/EngineerX1234/vocational-images@main/tools/batch-20/plumbing-screw-drivers-set.jpg" TargetMode="External"/><Relationship Id="rId3012" Type="http://schemas.openxmlformats.org/officeDocument/2006/relationships/hyperlink" Target="https://cdn.jsdelivr.net/gh/EngineerX1234/vocational-images@main/tools/batch-20/plumbing-double-ended-spanner-set.jpg" TargetMode="External"/><Relationship Id="rId3013" Type="http://schemas.openxmlformats.org/officeDocument/2006/relationships/hyperlink" Target="https://cdn.jsdelivr.net/gh/EngineerX1234/vocational-images@main/tools/batch-20/plumbing-allen-key-set.jpg" TargetMode="External"/><Relationship Id="rId3014" Type="http://schemas.openxmlformats.org/officeDocument/2006/relationships/hyperlink" Target="https://cdn.jsdelivr.net/gh/EngineerX1234/vocational-images@main/tools/batch-20/plumbing-drill-bit-set.jpg" TargetMode="External"/><Relationship Id="rId3015" Type="http://schemas.openxmlformats.org/officeDocument/2006/relationships/hyperlink" Target="https://cdn.jsdelivr.net/gh/EngineerX1234/vocational-images@main/tools/batch-20/plumbing-caulking-tools.jpg" TargetMode="External"/><Relationship Id="rId3016" Type="http://schemas.openxmlformats.org/officeDocument/2006/relationships/hyperlink" Target="https://cdn.jsdelivr.net/gh/EngineerX1234/vocational-images@main/tools/batch-20/plumbing-hammers.jpg" TargetMode="External"/><Relationship Id="rId3017" Type="http://schemas.openxmlformats.org/officeDocument/2006/relationships/hyperlink" Target="https://cdn.jsdelivr.net/gh/EngineerX1234/vocational-images@main/tools/batch-20/plumbing-l-square.jpg" TargetMode="External"/><Relationship Id="rId3018" Type="http://schemas.openxmlformats.org/officeDocument/2006/relationships/hyperlink" Target="https://cdn.jsdelivr.net/gh/EngineerX1234/vocational-images@main/tools/batch-20/plumbing-spirit-level.jpg" TargetMode="External"/><Relationship Id="rId3019" Type="http://schemas.openxmlformats.org/officeDocument/2006/relationships/hyperlink" Target="https://cdn.jsdelivr.net/gh/EngineerX1234/vocational-images@main/tools/batch-20/plumbing-sink-auger.jpg" TargetMode="External"/><Relationship Id="rId3020" Type="http://schemas.openxmlformats.org/officeDocument/2006/relationships/hyperlink" Target="https://cdn.jsdelivr.net/gh/EngineerX1234/vocational-images@main/tools/batch-20/plumbing-drilling-machine.jpg" TargetMode="External"/><Relationship Id="rId3021" Type="http://schemas.openxmlformats.org/officeDocument/2006/relationships/hyperlink" Target="https://cdn.jsdelivr.net/gh/EngineerX1234/vocational-images@main/tools/batch-20/plumbing-pressure-gauge.jpg" TargetMode="External"/><Relationship Id="rId3022" Type="http://schemas.openxmlformats.org/officeDocument/2006/relationships/hyperlink" Target="https://cdn.jsdelivr.net/gh/EngineerX1234/vocational-images@main/tools/batch-20/plumbing-geyser-water-heater.jpg" TargetMode="External"/><Relationship Id="rId3023" Type="http://schemas.openxmlformats.org/officeDocument/2006/relationships/hyperlink" Target="https://cdn.jsdelivr.net/gh/EngineerX1234/vocational-images@main/tools/batch-20/plumbing-powered-pipe-threading-machine.jpg" TargetMode="External"/><Relationship Id="rId3024" Type="http://schemas.openxmlformats.org/officeDocument/2006/relationships/hyperlink" Target="https://cdn.jsdelivr.net/gh/EngineerX1234/vocational-images@main/tools/batch-15/healthcare-bath-tub.jpg" TargetMode="External"/><Relationship Id="rId3025" Type="http://schemas.openxmlformats.org/officeDocument/2006/relationships/hyperlink" Target="https://cdn.jsdelivr.net/gh/EngineerX1234/vocational-images@main/tools/batch-20/plumbing-pipe-wrench.jpg" TargetMode="External"/><Relationship Id="rId3026" Type="http://schemas.openxmlformats.org/officeDocument/2006/relationships/hyperlink" Target="https://cdn.jsdelivr.net/gh/EngineerX1234/vocational-images@main/tools/batch-20/plumbing-parrot-pliers.jpg" TargetMode="External"/><Relationship Id="rId3027" Type="http://schemas.openxmlformats.org/officeDocument/2006/relationships/hyperlink" Target="https://cdn.jsdelivr.net/gh/EngineerX1234/vocational-images@main/tools/batch-20/plumbing-slide-wrench.jpg" TargetMode="External"/><Relationship Id="rId3028" Type="http://schemas.openxmlformats.org/officeDocument/2006/relationships/hyperlink" Target="https://cdn.jsdelivr.net/gh/EngineerX1234/vocational-images@main/tools/batch-20/plumbing-die-set-complete.jpg" TargetMode="External"/><Relationship Id="rId3029" Type="http://schemas.openxmlformats.org/officeDocument/2006/relationships/hyperlink" Target="https://cdn.jsdelivr.net/gh/EngineerX1234/vocational-images@main/tools/batch-20/plumbing-hacksaw.jpg" TargetMode="External"/><Relationship Id="rId3030" Type="http://schemas.openxmlformats.org/officeDocument/2006/relationships/hyperlink" Target="https://cdn.jsdelivr.net/gh/EngineerX1234/vocational-images@main/tools/batch-20/plumbing-pipe-vice.jpg" TargetMode="External"/><Relationship Id="rId3031" Type="http://schemas.openxmlformats.org/officeDocument/2006/relationships/hyperlink" Target="https://cdn.jsdelivr.net/gh/EngineerX1234/vocational-images@main/tools/batch-20/plumbing-screw-drivers-set.jpg" TargetMode="External"/><Relationship Id="rId3032" Type="http://schemas.openxmlformats.org/officeDocument/2006/relationships/hyperlink" Target="https://cdn.jsdelivr.net/gh/EngineerX1234/vocational-images@main/tools/batch-20/plumbing-double-ended-spanner-set.jpg" TargetMode="External"/><Relationship Id="rId3033" Type="http://schemas.openxmlformats.org/officeDocument/2006/relationships/hyperlink" Target="https://cdn.jsdelivr.net/gh/EngineerX1234/vocational-images@main/tools/batch-20/plumbing-allen-key-set.jpg" TargetMode="External"/><Relationship Id="rId3034" Type="http://schemas.openxmlformats.org/officeDocument/2006/relationships/hyperlink" Target="https://cdn.jsdelivr.net/gh/EngineerX1234/vocational-images@main/tools/batch-20/plumbing-drill-bit-set.jpg" TargetMode="External"/><Relationship Id="rId3035" Type="http://schemas.openxmlformats.org/officeDocument/2006/relationships/hyperlink" Target="https://cdn.jsdelivr.net/gh/EngineerX1234/vocational-images@main/tools/batch-20/plumbing-caulking-tools.jpg" TargetMode="External"/><Relationship Id="rId3036" Type="http://schemas.openxmlformats.org/officeDocument/2006/relationships/hyperlink" Target="https://cdn.jsdelivr.net/gh/EngineerX1234/vocational-images@main/tools/batch-20/plumbing-hammers.jpg" TargetMode="External"/><Relationship Id="rId3037" Type="http://schemas.openxmlformats.org/officeDocument/2006/relationships/hyperlink" Target="https://cdn.jsdelivr.net/gh/EngineerX1234/vocational-images@main/tools/batch-20/plumbing-l-square.jpg" TargetMode="External"/><Relationship Id="rId3038" Type="http://schemas.openxmlformats.org/officeDocument/2006/relationships/hyperlink" Target="https://cdn.jsdelivr.net/gh/EngineerX1234/vocational-images@main/tools/batch-20/plumbing-spirit-level.jpg" TargetMode="External"/><Relationship Id="rId3039" Type="http://schemas.openxmlformats.org/officeDocument/2006/relationships/hyperlink" Target="https://cdn.jsdelivr.net/gh/EngineerX1234/vocational-images@main/tools/batch-20/plumbing-drilling-machine.jpg" TargetMode="External"/><Relationship Id="rId3040" Type="http://schemas.openxmlformats.org/officeDocument/2006/relationships/hyperlink" Target="https://cdn.jsdelivr.net/gh/EngineerX1234/vocational-images@main/tools/batch-20/plumbing-pressure-gauge.jpg" TargetMode="External"/><Relationship Id="rId3041" Type="http://schemas.openxmlformats.org/officeDocument/2006/relationships/hyperlink" Target="https://cdn.jsdelivr.net/gh/EngineerX1234/vocational-images@main/tools/batch-20/plumbing-powered-pipe-threading-machine.jpg" TargetMode="External"/><Relationship Id="rId3042" Type="http://schemas.openxmlformats.org/officeDocument/2006/relationships/hyperlink" Target="https://cdn.jsdelivr.net/gh/EngineerX1234/vocational-images@main/tools/batch-15/healthcare-bath-tub.jpg" TargetMode="External"/><Relationship Id="rId3043" Type="http://schemas.openxmlformats.org/officeDocument/2006/relationships/hyperlink" Target="https://cdn.jsdelivr.net/gh/EngineerX1234/vocational-images@main/tools/batch-20/power-pliers.jpg" TargetMode="External"/><Relationship Id="rId3044" Type="http://schemas.openxmlformats.org/officeDocument/2006/relationships/hyperlink" Target="https://cdn.jsdelivr.net/gh/EngineerX1234/vocational-images@main/tools/batch-20/power-screwdrivers-and-nut-drivers.jpg" TargetMode="External"/><Relationship Id="rId3045" Type="http://schemas.openxmlformats.org/officeDocument/2006/relationships/hyperlink" Target="https://cdn.jsdelivr.net/gh/EngineerX1234/vocational-images@main/tools/batch-20/power-wire-strippers.jpg" TargetMode="External"/><Relationship Id="rId3046" Type="http://schemas.openxmlformats.org/officeDocument/2006/relationships/hyperlink" Target="https://cdn.jsdelivr.net/gh/EngineerX1234/vocational-images@main/tools/batch-20/power-fishing-tools.jpg" TargetMode="External"/><Relationship Id="rId3047" Type="http://schemas.openxmlformats.org/officeDocument/2006/relationships/hyperlink" Target="https://cdn.jsdelivr.net/gh/EngineerX1234/vocational-images@main/tools/batch-20/telecom-hammer-drills.jpg" TargetMode="External"/><Relationship Id="rId3048" Type="http://schemas.openxmlformats.org/officeDocument/2006/relationships/hyperlink" Target="https://cdn.jsdelivr.net/gh/EngineerX1234/vocational-images@main/tools/batch-20/power-a-tool-pouch.jpg" TargetMode="External"/><Relationship Id="rId3049" Type="http://schemas.openxmlformats.org/officeDocument/2006/relationships/hyperlink" Target="https://cdn.jsdelivr.net/gh/EngineerX1234/vocational-images@main/tools/batch-20/power-ladders-and-step-stools.jpg" TargetMode="External"/><Relationship Id="rId3050" Type="http://schemas.openxmlformats.org/officeDocument/2006/relationships/hyperlink" Target="https://cdn.jsdelivr.net/gh/EngineerX1234/vocational-images@main/tools/batch-20/power-allen-wrench-set-hex-set.jpg" TargetMode="External"/><Relationship Id="rId3051" Type="http://schemas.openxmlformats.org/officeDocument/2006/relationships/hyperlink" Target="https://cdn.jsdelivr.net/gh/EngineerX1234/vocational-images@main/tools/batch-20/power-wire-crimpers.jpg" TargetMode="External"/><Relationship Id="rId3052" Type="http://schemas.openxmlformats.org/officeDocument/2006/relationships/hyperlink" Target="https://cdn.jsdelivr.net/gh/EngineerX1234/vocational-images@main/tools/batch-20/power-voltmeter.jpg" TargetMode="External"/><Relationship Id="rId3053" Type="http://schemas.openxmlformats.org/officeDocument/2006/relationships/hyperlink" Target="https://cdn.jsdelivr.net/gh/EngineerX1234/vocational-images@main/tools/batch-20/power-ammeter.jpg" TargetMode="External"/><Relationship Id="rId3054" Type="http://schemas.openxmlformats.org/officeDocument/2006/relationships/hyperlink" Target="https://cdn.jsdelivr.net/gh/EngineerX1234/vocational-images@main/tools/batch-20/power-labelling-machines.jpg" TargetMode="External"/><Relationship Id="rId3055" Type="http://schemas.openxmlformats.org/officeDocument/2006/relationships/hyperlink" Target="https://cdn.jsdelivr.net/gh/EngineerX1234/vocational-images@main/tools/batch-20/power-power-drills-and-drivers.jpg" TargetMode="External"/><Relationship Id="rId3056" Type="http://schemas.openxmlformats.org/officeDocument/2006/relationships/hyperlink" Target="https://cdn.jsdelivr.net/gh/EngineerX1234/vocational-images@main/tools/batch-20/power-circuit-testers.jpg" TargetMode="External"/><Relationship Id="rId3057" Type="http://schemas.openxmlformats.org/officeDocument/2006/relationships/hyperlink" Target="https://cdn.jsdelivr.net/gh/EngineerX1234/vocational-images@main/tools/batch-20/power-non-contact-voltage-detector.jpg" TargetMode="External"/><Relationship Id="rId3058" Type="http://schemas.openxmlformats.org/officeDocument/2006/relationships/hyperlink" Target="https://cdn.jsdelivr.net/gh/EngineerX1234/vocational-images@main/tools/batch-20/private-security-cctv-cameras-2.jpg" TargetMode="External"/><Relationship Id="rId3059" Type="http://schemas.openxmlformats.org/officeDocument/2006/relationships/hyperlink" Target="https://cdn.jsdelivr.net/gh/EngineerX1234/vocational-images@main/tools/batch-20/rubber-bed-leveling-tools.jpg" TargetMode="External"/><Relationship Id="rId3060" Type="http://schemas.openxmlformats.org/officeDocument/2006/relationships/hyperlink" Target="https://cdn.jsdelivr.net/gh/EngineerX1234/vocational-images@main/tools/batch-20/rubber-calipers-and-measuring-tools.jpg" TargetMode="External"/><Relationship Id="rId3061" Type="http://schemas.openxmlformats.org/officeDocument/2006/relationships/hyperlink" Target="https://cdn.jsdelivr.net/gh/EngineerX1234/vocational-images@main/tools/batch-20/rubber-3d-filament-pen.jpg" TargetMode="External"/><Relationship Id="rId3062" Type="http://schemas.openxmlformats.org/officeDocument/2006/relationships/hyperlink" Target="https://cdn.jsdelivr.net/gh/EngineerX1234/vocational-images@main/tools/batch-20/rubber-3d-printer.jpg" TargetMode="External"/><Relationship Id="rId3063" Type="http://schemas.openxmlformats.org/officeDocument/2006/relationships/hyperlink" Target="https://cdn.jsdelivr.net/gh/EngineerX1234/vocational-images@main/tools/batch-20/rubber-build-plates.jpg" TargetMode="External"/><Relationship Id="rId3064" Type="http://schemas.openxmlformats.org/officeDocument/2006/relationships/hyperlink" Target="https://cdn.jsdelivr.net/gh/EngineerX1234/vocational-images@main/tools/batch-20/rubber-3d-scanners.jpg" TargetMode="External"/><Relationship Id="rId3065" Type="http://schemas.openxmlformats.org/officeDocument/2006/relationships/hyperlink" Target="https://cdn.jsdelivr.net/gh/EngineerX1234/vocational-images@main/tools/batch-20/rubber-filament-dryer.jpg" TargetMode="External"/><Relationship Id="rId3066" Type="http://schemas.openxmlformats.org/officeDocument/2006/relationships/hyperlink" Target="https://cdn.jsdelivr.net/gh/EngineerX1234/vocational-images@main/tools/batch-20/rubber-computer-workstation.jpg" TargetMode="External"/><Relationship Id="rId3067" Type="http://schemas.openxmlformats.org/officeDocument/2006/relationships/hyperlink" Target="https://cdn.jsdelivr.net/gh/EngineerX1234/vocational-images@main/tools/batch-19/physical-education-and-sports-walkie-talkie-intercom.jpg" TargetMode="External"/><Relationship Id="rId3068" Type="http://schemas.openxmlformats.org/officeDocument/2006/relationships/hyperlink" Target="https://cdn.jsdelivr.net/gh/EngineerX1234/vocational-images@main/tools/batch-19/physical-education-and-sports-projector.jpg" TargetMode="External"/><Relationship Id="rId3069" Type="http://schemas.openxmlformats.org/officeDocument/2006/relationships/hyperlink" Target="https://cdn.jsdelivr.net/gh/EngineerX1234/vocational-images@main/tools/batch-19/physical-education-and-sports-speakers.jpg" TargetMode="External"/><Relationship Id="rId3070" Type="http://schemas.openxmlformats.org/officeDocument/2006/relationships/hyperlink" Target="https://cdn.jsdelivr.net/gh/EngineerX1234/vocational-images@main/tools/batch-21/telecom-rulers.jpg" TargetMode="External"/><Relationship Id="rId3071" Type="http://schemas.openxmlformats.org/officeDocument/2006/relationships/hyperlink" Target="https://cdn.jsdelivr.net/gh/EngineerX1234/vocational-images@main/tools/batch-21/telecom-t-square.jpg" TargetMode="External"/><Relationship Id="rId3072" Type="http://schemas.openxmlformats.org/officeDocument/2006/relationships/hyperlink" Target="https://cdn.jsdelivr.net/gh/EngineerX1234/vocational-images@main/tools/batch-21/telecom-pliers.jpg" TargetMode="External"/><Relationship Id="rId3073" Type="http://schemas.openxmlformats.org/officeDocument/2006/relationships/hyperlink" Target="https://cdn.jsdelivr.net/gh/EngineerX1234/vocational-images@main/tools/batch-20/telecom-cutters.jpg" TargetMode="External"/><Relationship Id="rId3074" Type="http://schemas.openxmlformats.org/officeDocument/2006/relationships/hyperlink" Target="https://cdn.jsdelivr.net/gh/EngineerX1234/vocational-images@main/tools/batch-21/telecom-screw-drivers.jpg" TargetMode="External"/><Relationship Id="rId3075" Type="http://schemas.openxmlformats.org/officeDocument/2006/relationships/hyperlink" Target="https://cdn.jsdelivr.net/gh/EngineerX1234/vocational-images@main/tools/batch-21/telecom-protractor.jpg" TargetMode="External"/><Relationship Id="rId3076" Type="http://schemas.openxmlformats.org/officeDocument/2006/relationships/hyperlink" Target="https://cdn.jsdelivr.net/gh/EngineerX1234/vocational-images@main/tools/batch-21/telecom-steel-rule.jpg" TargetMode="External"/><Relationship Id="rId3077" Type="http://schemas.openxmlformats.org/officeDocument/2006/relationships/hyperlink" Target="https://cdn.jsdelivr.net/gh/EngineerX1234/vocational-images@main/tools/batch-21/telecom-lan-tester.jpg" TargetMode="External"/><Relationship Id="rId3078" Type="http://schemas.openxmlformats.org/officeDocument/2006/relationships/hyperlink" Target="https://cdn.jsdelivr.net/gh/EngineerX1234/vocational-images@main/tools/batch-20/telecom-crimping-tools.jpg" TargetMode="External"/><Relationship Id="rId3079" Type="http://schemas.openxmlformats.org/officeDocument/2006/relationships/hyperlink" Target="https://cdn.jsdelivr.net/gh/EngineerX1234/vocational-images@main/tools/batch-20/telecom-flashlights.jpg" TargetMode="External"/><Relationship Id="rId3080" Type="http://schemas.openxmlformats.org/officeDocument/2006/relationships/hyperlink" Target="https://cdn.jsdelivr.net/gh/EngineerX1234/vocational-images@main/tools/batch-21/telecom-sharp-pointed-tweezers.jpg" TargetMode="External"/><Relationship Id="rId3081" Type="http://schemas.openxmlformats.org/officeDocument/2006/relationships/hyperlink" Target="https://cdn.jsdelivr.net/gh/EngineerX1234/vocational-images@main/tools/batch-21/telecom-mirror-inspection.jpg" TargetMode="External"/><Relationship Id="rId3082" Type="http://schemas.openxmlformats.org/officeDocument/2006/relationships/hyperlink" Target="https://cdn.jsdelivr.net/gh/EngineerX1234/vocational-images@main/tools/batch-21/telecom-soldering-irons.jpg" TargetMode="External"/><Relationship Id="rId3083" Type="http://schemas.openxmlformats.org/officeDocument/2006/relationships/hyperlink" Target="https://cdn.jsdelivr.net/gh/EngineerX1234/vocational-images@main/tools/batch-21/telecom-oscilloscope.jpg" TargetMode="External"/><Relationship Id="rId3084" Type="http://schemas.openxmlformats.org/officeDocument/2006/relationships/hyperlink" Target="https://cdn.jsdelivr.net/gh/EngineerX1234/vocational-images@main/tools/batch-21/telecom-multi-tester.jpg" TargetMode="External"/><Relationship Id="rId3085" Type="http://schemas.openxmlformats.org/officeDocument/2006/relationships/hyperlink" Target="https://cdn.jsdelivr.net/gh/EngineerX1234/vocational-images@main/tools/batch-21/telecom-multimeters.jpg" TargetMode="External"/><Relationship Id="rId3086" Type="http://schemas.openxmlformats.org/officeDocument/2006/relationships/hyperlink" Target="https://cdn.jsdelivr.net/gh/EngineerX1234/vocational-images@main/tools/batch-21/telecom-modem-router.jpg" TargetMode="External"/><Relationship Id="rId3087" Type="http://schemas.openxmlformats.org/officeDocument/2006/relationships/hyperlink" Target="https://cdn.jsdelivr.net/gh/EngineerX1234/vocational-images@main/tools/batch-10/electronics-hubs.jpg" TargetMode="External"/><Relationship Id="rId3088" Type="http://schemas.openxmlformats.org/officeDocument/2006/relationships/hyperlink" Target="https://cdn.jsdelivr.net/gh/EngineerX1234/vocational-images@main/tools/batch-21/telecom-server.jpg" TargetMode="External"/><Relationship Id="rId3089" Type="http://schemas.openxmlformats.org/officeDocument/2006/relationships/hyperlink" Target="https://cdn.jsdelivr.net/gh/EngineerX1234/vocational-images@main/tools/batch-20/telecom-desktop-computers.jpg" TargetMode="External"/><Relationship Id="rId3090" Type="http://schemas.openxmlformats.org/officeDocument/2006/relationships/hyperlink" Target="https://cdn.jsdelivr.net/gh/EngineerX1234/vocational-images@main/tools/batch-21/telecom-laptops.jpg" TargetMode="External"/><Relationship Id="rId3091" Type="http://schemas.openxmlformats.org/officeDocument/2006/relationships/hyperlink" Target="https://cdn.jsdelivr.net/gh/EngineerX1234/vocational-images@main/tools/batch-21/telecom-laser-printers.jpg" TargetMode="External"/><Relationship Id="rId3092" Type="http://schemas.openxmlformats.org/officeDocument/2006/relationships/hyperlink" Target="https://cdn.jsdelivr.net/gh/EngineerX1234/vocational-images@main/tools/batch-20/telecom-ink-jet-printers.jpg" TargetMode="External"/><Relationship Id="rId3093" Type="http://schemas.openxmlformats.org/officeDocument/2006/relationships/hyperlink" Target="https://cdn.jsdelivr.net/gh/EngineerX1234/vocational-images@main/tools/batch-20/telecom-dot-matrix-printers.jpg" TargetMode="External"/><Relationship Id="rId3094" Type="http://schemas.openxmlformats.org/officeDocument/2006/relationships/hyperlink" Target="https://cdn.jsdelivr.net/gh/EngineerX1234/vocational-images@main/tools/batch-11/electronics-scanners.jpg" TargetMode="External"/><Relationship Id="rId3095" Type="http://schemas.openxmlformats.org/officeDocument/2006/relationships/hyperlink" Target="https://cdn.jsdelivr.net/gh/EngineerX1234/vocational-images@main/tools/batch-21/telecom-network-switch.jpg" TargetMode="External"/><Relationship Id="rId3096" Type="http://schemas.openxmlformats.org/officeDocument/2006/relationships/hyperlink" Target="https://cdn.jsdelivr.net/gh/EngineerX1234/vocational-images@main/tools/batch-20/telecom-arduino.jpg" TargetMode="External"/><Relationship Id="rId3097" Type="http://schemas.openxmlformats.org/officeDocument/2006/relationships/hyperlink" Target="https://cdn.jsdelivr.net/gh/EngineerX1234/vocational-images@main/tools/batch-21/tourism-and-hospitality-bar-tool-kit.jpg" TargetMode="External"/><Relationship Id="rId3098" Type="http://schemas.openxmlformats.org/officeDocument/2006/relationships/hyperlink" Target="https://cdn.jsdelivr.net/gh/EngineerX1234/vocational-images@main/tools/batch-21/tourism-and-hospitality-dinner-plate-11.jpg" TargetMode="External"/><Relationship Id="rId3099" Type="http://schemas.openxmlformats.org/officeDocument/2006/relationships/hyperlink" Target="https://cdn.jsdelivr.net/gh/EngineerX1234/vocational-images@main/tools/batch-21/tourism-and-hospitality-dessert-plate-9.jpg" TargetMode="External"/><Relationship Id="rId3100" Type="http://schemas.openxmlformats.org/officeDocument/2006/relationships/hyperlink" Target="https://cdn.jsdelivr.net/gh/EngineerX1234/vocational-images@main/tools/batch-21/tourism-and-hospitality-bandb-plate.jpg" TargetMode="External"/><Relationship Id="rId3101" Type="http://schemas.openxmlformats.org/officeDocument/2006/relationships/hyperlink" Target="https://cdn.jsdelivr.net/gh/EngineerX1234/vocational-images@main/tools/batch-22/tourism-and-hospitality-tea-cup.jpg" TargetMode="External"/><Relationship Id="rId3102" Type="http://schemas.openxmlformats.org/officeDocument/2006/relationships/hyperlink" Target="https://cdn.jsdelivr.net/gh/EngineerX1234/vocational-images@main/tools/batch-22/tourism-and-hospitality-tea-saucer.jpg" TargetMode="External"/><Relationship Id="rId3103" Type="http://schemas.openxmlformats.org/officeDocument/2006/relationships/hyperlink" Target="https://cdn.jsdelivr.net/gh/EngineerX1234/vocational-images@main/tools/batch-21/tourism-and-hospitality-soup-bowl.jpg" TargetMode="External"/><Relationship Id="rId3104" Type="http://schemas.openxmlformats.org/officeDocument/2006/relationships/hyperlink" Target="https://cdn.jsdelivr.net/gh/EngineerX1234/vocational-images@main/tools/batch-21/tourism-and-hospitality-pasta-plate-11.jpg" TargetMode="External"/><Relationship Id="rId3105" Type="http://schemas.openxmlformats.org/officeDocument/2006/relationships/hyperlink" Target="https://cdn.jsdelivr.net/gh/EngineerX1234/vocational-images@main/tools/batch-21/tourism-and-hospitality-cereal-bowl.jpg" TargetMode="External"/><Relationship Id="rId3106" Type="http://schemas.openxmlformats.org/officeDocument/2006/relationships/hyperlink" Target="https://cdn.jsdelivr.net/gh/EngineerX1234/vocational-images@main/tools/batch-21/tourism-and-hospitality-chutney-bowl-small.jpg" TargetMode="External"/><Relationship Id="rId3107" Type="http://schemas.openxmlformats.org/officeDocument/2006/relationships/hyperlink" Target="https://cdn.jsdelivr.net/gh/EngineerX1234/vocational-images@main/tools/batch-22/tourism-and-hospitality-tea-spoon.jpg" TargetMode="External"/><Relationship Id="rId3108" Type="http://schemas.openxmlformats.org/officeDocument/2006/relationships/hyperlink" Target="https://cdn.jsdelivr.net/gh/EngineerX1234/vocational-images@main/tools/batch-21/tourism-and-hospitality-dessert-a-p-spoon.jpg" TargetMode="External"/><Relationship Id="rId3109" Type="http://schemas.openxmlformats.org/officeDocument/2006/relationships/hyperlink" Target="https://cdn.jsdelivr.net/gh/EngineerX1234/vocational-images@main/tools/batch-21/tourism-and-hospitality-dessert-a-p-fork.jpg" TargetMode="External"/><Relationship Id="rId3110" Type="http://schemas.openxmlformats.org/officeDocument/2006/relationships/hyperlink" Target="https://cdn.jsdelivr.net/gh/EngineerX1234/vocational-images@main/tools/batch-21/tourism-and-hospitality-soup-spoon.jpg" TargetMode="External"/><Relationship Id="rId3111" Type="http://schemas.openxmlformats.org/officeDocument/2006/relationships/hyperlink" Target="https://cdn.jsdelivr.net/gh/EngineerX1234/vocational-images@main/tools/batch-21/tourism-and-hospitality-dessert-knife.jpg" TargetMode="External"/><Relationship Id="rId3112" Type="http://schemas.openxmlformats.org/officeDocument/2006/relationships/hyperlink" Target="https://cdn.jsdelivr.net/gh/EngineerX1234/vocational-images@main/tools/batch-21/tourism-and-hospitality-table-service-spoon.jpg" TargetMode="External"/><Relationship Id="rId3113" Type="http://schemas.openxmlformats.org/officeDocument/2006/relationships/hyperlink" Target="https://cdn.jsdelivr.net/gh/EngineerX1234/vocational-images@main/tools/batch-21/tourism-and-hospitality-table-service-fork.jpg" TargetMode="External"/><Relationship Id="rId3114" Type="http://schemas.openxmlformats.org/officeDocument/2006/relationships/hyperlink" Target="https://cdn.jsdelivr.net/gh/EngineerX1234/vocational-images@main/tools/batch-22/tourism-and-hospitality-tea-strainer.jpg" TargetMode="External"/><Relationship Id="rId3115" Type="http://schemas.openxmlformats.org/officeDocument/2006/relationships/hyperlink" Target="https://cdn.jsdelivr.net/gh/EngineerX1234/vocational-images@main/tools/batch-22/tourism-and-hospitality-tea-set.jpg" TargetMode="External"/><Relationship Id="rId3116" Type="http://schemas.openxmlformats.org/officeDocument/2006/relationships/hyperlink" Target="https://cdn.jsdelivr.net/gh/EngineerX1234/vocational-images@main/tools/batch-22/tourism-and-hospitality-water-jug.jpg" TargetMode="External"/><Relationship Id="rId3117" Type="http://schemas.openxmlformats.org/officeDocument/2006/relationships/hyperlink" Target="https://cdn.jsdelivr.net/gh/EngineerX1234/vocational-images@main/tools/batch-21/tourism-and-hospitality-salt-and-pepper-set.jpg" TargetMode="External"/><Relationship Id="rId3118" Type="http://schemas.openxmlformats.org/officeDocument/2006/relationships/hyperlink" Target="https://cdn.jsdelivr.net/gh/EngineerX1234/vocational-images@main/tools/batch-22/tourism-and-hospitality-tooth-pick-holder.jpg" TargetMode="External"/><Relationship Id="rId3119" Type="http://schemas.openxmlformats.org/officeDocument/2006/relationships/hyperlink" Target="https://cdn.jsdelivr.net/gh/EngineerX1234/vocational-images@main/tools/batch-21/tourism-and-hospitality-straw-holder.jpg" TargetMode="External"/><Relationship Id="rId3120" Type="http://schemas.openxmlformats.org/officeDocument/2006/relationships/hyperlink" Target="https://cdn.jsdelivr.net/gh/EngineerX1234/vocational-images@main/tools/batch-21/tourism-and-hospitality-sugar-sachet-holder.jpg" TargetMode="External"/><Relationship Id="rId3121" Type="http://schemas.openxmlformats.org/officeDocument/2006/relationships/hyperlink" Target="https://cdn.jsdelivr.net/gh/EngineerX1234/vocational-images@main/tools/batch-21/tourism-and-hospitality-napkin-holder.jpg" TargetMode="External"/><Relationship Id="rId3122" Type="http://schemas.openxmlformats.org/officeDocument/2006/relationships/hyperlink" Target="https://cdn.jsdelivr.net/gh/EngineerX1234/vocational-images@main/tools/batch-21/tourism-and-hospitality-oval-platter.jpg" TargetMode="External"/><Relationship Id="rId3123" Type="http://schemas.openxmlformats.org/officeDocument/2006/relationships/hyperlink" Target="https://cdn.jsdelivr.net/gh/EngineerX1234/vocational-images@main/tools/batch-21/tourism-and-hospitality-round-service-tray.jpg" TargetMode="External"/><Relationship Id="rId3124" Type="http://schemas.openxmlformats.org/officeDocument/2006/relationships/hyperlink" Target="https://cdn.jsdelivr.net/gh/EngineerX1234/vocational-images@main/tools/batch-21/tourism-and-hospitality-rectangular-service-tray.jpg" TargetMode="External"/><Relationship Id="rId3125" Type="http://schemas.openxmlformats.org/officeDocument/2006/relationships/hyperlink" Target="https://cdn.jsdelivr.net/gh/EngineerX1234/vocational-images@main/tools/batch-21/tourism-and-hospitality-ash-tray.jpg" TargetMode="External"/><Relationship Id="rId3126" Type="http://schemas.openxmlformats.org/officeDocument/2006/relationships/hyperlink" Target="https://cdn.jsdelivr.net/gh/EngineerX1234/vocational-images@main/tools/batch-21/tourism-and-hospitality-decanter-small.jpg" TargetMode="External"/><Relationship Id="rId3127" Type="http://schemas.openxmlformats.org/officeDocument/2006/relationships/hyperlink" Target="https://cdn.jsdelivr.net/gh/EngineerX1234/vocational-images@main/tools/batch-21/tourism-and-hospitality-decanter-large.jpg" TargetMode="External"/><Relationship Id="rId3128" Type="http://schemas.openxmlformats.org/officeDocument/2006/relationships/hyperlink" Target="https://cdn.jsdelivr.net/gh/EngineerX1234/vocational-images@main/tools/batch-22/tourism-and-hospitality-wine-glass.jpg" TargetMode="External"/><Relationship Id="rId3129" Type="http://schemas.openxmlformats.org/officeDocument/2006/relationships/hyperlink" Target="https://cdn.jsdelivr.net/gh/EngineerX1234/vocational-images@main/tools/batch-21/tourism-and-hospitality-cocktail-shaker.jpg" TargetMode="External"/><Relationship Id="rId3130" Type="http://schemas.openxmlformats.org/officeDocument/2006/relationships/hyperlink" Target="https://cdn.jsdelivr.net/gh/EngineerX1234/vocational-images@main/tools/batch-21/tourism-and-hospitality-bar-tool-kit.jpg" TargetMode="External"/><Relationship Id="rId3131" Type="http://schemas.openxmlformats.org/officeDocument/2006/relationships/hyperlink" Target="https://cdn.jsdelivr.net/gh/EngineerX1234/vocational-images@main/tools/batch-21/tourism-and-hospitality-cocktail-shaker.jpg" TargetMode="External"/><Relationship Id="rId3132" Type="http://schemas.openxmlformats.org/officeDocument/2006/relationships/hyperlink" Target="https://cdn.jsdelivr.net/gh/EngineerX1234/vocational-images@main/tools/batch-21/tourism-and-hospitality-dinner-plate-11.jpg" TargetMode="External"/><Relationship Id="rId3133" Type="http://schemas.openxmlformats.org/officeDocument/2006/relationships/hyperlink" Target="https://cdn.jsdelivr.net/gh/EngineerX1234/vocational-images@main/tools/batch-21/tourism-and-hospitality-dessert-plate-9.jpg" TargetMode="External"/><Relationship Id="rId3134" Type="http://schemas.openxmlformats.org/officeDocument/2006/relationships/hyperlink" Target="https://cdn.jsdelivr.net/gh/EngineerX1234/vocational-images@main/tools/batch-21/tourism-and-hospitality-bandb-plate.jpg" TargetMode="External"/><Relationship Id="rId3135" Type="http://schemas.openxmlformats.org/officeDocument/2006/relationships/hyperlink" Target="https://cdn.jsdelivr.net/gh/EngineerX1234/vocational-images@main/tools/batch-22/tourism-and-hospitality-tea-cup.jpg" TargetMode="External"/><Relationship Id="rId3136" Type="http://schemas.openxmlformats.org/officeDocument/2006/relationships/hyperlink" Target="https://cdn.jsdelivr.net/gh/EngineerX1234/vocational-images@main/tools/batch-22/tourism-and-hospitality-tea-saucer.jpg" TargetMode="External"/><Relationship Id="rId3137" Type="http://schemas.openxmlformats.org/officeDocument/2006/relationships/hyperlink" Target="https://cdn.jsdelivr.net/gh/EngineerX1234/vocational-images@main/tools/batch-21/tourism-and-hospitality-soup-bowl.jpg" TargetMode="External"/><Relationship Id="rId3138" Type="http://schemas.openxmlformats.org/officeDocument/2006/relationships/hyperlink" Target="https://cdn.jsdelivr.net/gh/EngineerX1234/vocational-images@main/tools/batch-21/tourism-and-hospitality-pasta-plate-11.jpg" TargetMode="External"/><Relationship Id="rId3139" Type="http://schemas.openxmlformats.org/officeDocument/2006/relationships/hyperlink" Target="https://cdn.jsdelivr.net/gh/EngineerX1234/vocational-images@main/tools/batch-21/tourism-and-hospitality-cereal-bowl.jpg" TargetMode="External"/><Relationship Id="rId3140" Type="http://schemas.openxmlformats.org/officeDocument/2006/relationships/hyperlink" Target="https://cdn.jsdelivr.net/gh/EngineerX1234/vocational-images@main/tools/batch-21/tourism-and-hospitality-chutney-bowl-small.jpg" TargetMode="External"/><Relationship Id="rId3141" Type="http://schemas.openxmlformats.org/officeDocument/2006/relationships/hyperlink" Target="https://cdn.jsdelivr.net/gh/EngineerX1234/vocational-images@main/tools/batch-22/tourism-and-hospitality-tea-spoon.jpg" TargetMode="External"/><Relationship Id="rId3142" Type="http://schemas.openxmlformats.org/officeDocument/2006/relationships/hyperlink" Target="https://cdn.jsdelivr.net/gh/EngineerX1234/vocational-images@main/tools/batch-21/tourism-and-hospitality-dessert-a-p-spoon.jpg" TargetMode="External"/><Relationship Id="rId3143" Type="http://schemas.openxmlformats.org/officeDocument/2006/relationships/hyperlink" Target="https://cdn.jsdelivr.net/gh/EngineerX1234/vocational-images@main/tools/batch-21/tourism-and-hospitality-dessert-a-p-fork.jpg" TargetMode="External"/><Relationship Id="rId3144" Type="http://schemas.openxmlformats.org/officeDocument/2006/relationships/hyperlink" Target="https://cdn.jsdelivr.net/gh/EngineerX1234/vocational-images@main/tools/batch-21/tourism-and-hospitality-soup-spoon.jpg" TargetMode="External"/><Relationship Id="rId3145" Type="http://schemas.openxmlformats.org/officeDocument/2006/relationships/hyperlink" Target="https://cdn.jsdelivr.net/gh/EngineerX1234/vocational-images@main/tools/batch-21/tourism-and-hospitality-dessert-knife.jpg" TargetMode="External"/><Relationship Id="rId3146" Type="http://schemas.openxmlformats.org/officeDocument/2006/relationships/hyperlink" Target="https://cdn.jsdelivr.net/gh/EngineerX1234/vocational-images@main/tools/batch-21/tourism-and-hospitality-table-service-spoon.jpg" TargetMode="External"/><Relationship Id="rId3147" Type="http://schemas.openxmlformats.org/officeDocument/2006/relationships/hyperlink" Target="https://cdn.jsdelivr.net/gh/EngineerX1234/vocational-images@main/tools/batch-21/tourism-and-hospitality-table-service-fork.jpg" TargetMode="External"/><Relationship Id="rId3148" Type="http://schemas.openxmlformats.org/officeDocument/2006/relationships/hyperlink" Target="https://cdn.jsdelivr.net/gh/EngineerX1234/vocational-images@main/tools/batch-22/tourism-and-hospitality-tea-strainer.jpg" TargetMode="External"/><Relationship Id="rId3149" Type="http://schemas.openxmlformats.org/officeDocument/2006/relationships/hyperlink" Target="https://cdn.jsdelivr.net/gh/EngineerX1234/vocational-images@main/tools/batch-22/tourism-and-hospitality-tea-set.jpg" TargetMode="External"/><Relationship Id="rId3150" Type="http://schemas.openxmlformats.org/officeDocument/2006/relationships/hyperlink" Target="https://cdn.jsdelivr.net/gh/EngineerX1234/vocational-images@main/tools/batch-22/tourism-and-hospitality-water-jug.jpg" TargetMode="External"/><Relationship Id="rId3151" Type="http://schemas.openxmlformats.org/officeDocument/2006/relationships/hyperlink" Target="https://cdn.jsdelivr.net/gh/EngineerX1234/vocational-images@main/tools/batch-21/tourism-and-hospitality-salt-and-pepper-set.jpg" TargetMode="External"/><Relationship Id="rId3152" Type="http://schemas.openxmlformats.org/officeDocument/2006/relationships/hyperlink" Target="https://cdn.jsdelivr.net/gh/EngineerX1234/vocational-images@main/tools/batch-22/tourism-and-hospitality-tooth-pick-holder.jpg" TargetMode="External"/><Relationship Id="rId3153" Type="http://schemas.openxmlformats.org/officeDocument/2006/relationships/hyperlink" Target="https://cdn.jsdelivr.net/gh/EngineerX1234/vocational-images@main/tools/batch-21/tourism-and-hospitality-straw-holder.jpg" TargetMode="External"/><Relationship Id="rId3154" Type="http://schemas.openxmlformats.org/officeDocument/2006/relationships/hyperlink" Target="https://cdn.jsdelivr.net/gh/EngineerX1234/vocational-images@main/tools/batch-21/tourism-and-hospitality-sugar-sachet-holder.jpg" TargetMode="External"/><Relationship Id="rId3155" Type="http://schemas.openxmlformats.org/officeDocument/2006/relationships/hyperlink" Target="https://cdn.jsdelivr.net/gh/EngineerX1234/vocational-images@main/tools/batch-21/tourism-and-hospitality-napkin-holder.jpg" TargetMode="External"/><Relationship Id="rId3156" Type="http://schemas.openxmlformats.org/officeDocument/2006/relationships/hyperlink" Target="https://cdn.jsdelivr.net/gh/EngineerX1234/vocational-images@main/tools/batch-21/tourism-and-hospitality-oval-platter.jpg" TargetMode="External"/><Relationship Id="rId3157" Type="http://schemas.openxmlformats.org/officeDocument/2006/relationships/hyperlink" Target="https://cdn.jsdelivr.net/gh/EngineerX1234/vocational-images@main/tools/batch-21/tourism-and-hospitality-round-service-tray.jpg" TargetMode="External"/><Relationship Id="rId3158" Type="http://schemas.openxmlformats.org/officeDocument/2006/relationships/hyperlink" Target="https://cdn.jsdelivr.net/gh/EngineerX1234/vocational-images@main/tools/batch-21/tourism-and-hospitality-rectangular-service-tray.jpg" TargetMode="External"/><Relationship Id="rId3159" Type="http://schemas.openxmlformats.org/officeDocument/2006/relationships/hyperlink" Target="https://cdn.jsdelivr.net/gh/EngineerX1234/vocational-images@main/tools/batch-21/tourism-and-hospitality-ash-tray.jpg" TargetMode="External"/><Relationship Id="rId3160" Type="http://schemas.openxmlformats.org/officeDocument/2006/relationships/hyperlink" Target="https://cdn.jsdelivr.net/gh/EngineerX1234/vocational-images@main/tools/batch-21/tourism-and-hospitality-decanter-small.jpg" TargetMode="External"/><Relationship Id="rId3161" Type="http://schemas.openxmlformats.org/officeDocument/2006/relationships/hyperlink" Target="https://cdn.jsdelivr.net/gh/EngineerX1234/vocational-images@main/tools/batch-21/tourism-and-hospitality-decanter-large.jpg" TargetMode="External"/><Relationship Id="rId3162" Type="http://schemas.openxmlformats.org/officeDocument/2006/relationships/hyperlink" Target="https://cdn.jsdelivr.net/gh/EngineerX1234/vocational-images@main/tools/batch-22/tourism-and-hospitality-wine-glass.jpg" TargetMode="External"/><Relationship Id="rId3163" Type="http://schemas.openxmlformats.org/officeDocument/2006/relationships/hyperlink" Target="https://cdn.jsdelivr.net/gh/EngineerX1234/vocational-images@main/tools/batch-21/tourism-and-hospitality-mops.jpg" TargetMode="External"/><Relationship Id="rId3164" Type="http://schemas.openxmlformats.org/officeDocument/2006/relationships/hyperlink" Target="https://cdn.jsdelivr.net/gh/EngineerX1234/vocational-images@main/tools/batch-22/tourism-and-hospitality-vacuum-cleaners.jpg" TargetMode="External"/><Relationship Id="rId3165" Type="http://schemas.openxmlformats.org/officeDocument/2006/relationships/hyperlink" Target="https://cdn.jsdelivr.net/gh/EngineerX1234/vocational-images@main/tools/batch-21/tourism-and-hospitality-air-purifiers.jpg" TargetMode="External"/><Relationship Id="rId3166" Type="http://schemas.openxmlformats.org/officeDocument/2006/relationships/hyperlink" Target="https://cdn.jsdelivr.net/gh/EngineerX1234/vocational-images@main/tools/batch-21/tourism-and-hospitality-cctv-cameras.jpg" TargetMode="External"/><Relationship Id="rId3167" Type="http://schemas.openxmlformats.org/officeDocument/2006/relationships/hyperlink" Target="https://cdn.jsdelivr.net/gh/EngineerX1234/vocational-images@main/tools/batch-18/media-and-entertainment-computer.jpg" TargetMode="External"/><Relationship Id="rId3168" Type="http://schemas.openxmlformats.org/officeDocument/2006/relationships/hyperlink" Target="https://cdn.jsdelivr.net/gh/EngineerX1234/vocational-images@main/tools/batch-21/tourism-and-hospitality-lcd-projector.jpg" TargetMode="External"/><Relationship Id="rId3169" Type="http://schemas.openxmlformats.org/officeDocument/2006/relationships/hyperlink" Target="https://cdn.jsdelivr.net/gh/EngineerX1234/vocational-images@main/tools/batch-18/media-and-entertainment-computer.jpg" TargetMode="External"/><Relationship Id="rId3170" Type="http://schemas.openxmlformats.org/officeDocument/2006/relationships/hyperlink" Target="https://cdn.jsdelivr.net/gh/EngineerX1234/vocational-images@main/tools/batch-21/tourism-and-hospitality-lcd-projector.jpg" TargetMode="External"/><Relationship Id="rId3171" Type="http://schemas.openxmlformats.org/officeDocument/2006/relationships/hyperlink" Target="https://cdn.jsdelivr.net/gh/EngineerX1234/vocational-images@main/tools/batch-21/tourism-and-hospitality-printer-and-scanner.jpg" TargetMode="External"/><Relationship Id="rId3172" Type="http://schemas.openxmlformats.org/officeDocument/2006/relationships/hyperlink" Target="https://cdn.jsdelivr.net/gh/EngineerX1234/vocational-images@main/tools/batch-21/tourism-and-hospitality-professional-binoculars.jpg" TargetMode="External"/><Relationship Id="rId3173" Type="http://schemas.openxmlformats.org/officeDocument/2006/relationships/hyperlink" Target="https://cdn.jsdelivr.net/gh/EngineerX1234/vocational-images@main/tools/batch-20/telecom-desktop-computers.jpg" TargetMode="External"/><Relationship Id="rId3174" Type="http://schemas.openxmlformats.org/officeDocument/2006/relationships/hyperlink" Target="https://www.google.com/search?tbm=isch&amp;q=Intel+Brand+or+Equivalent+Learning+Kit" TargetMode="External"/><Relationship Id="rId3175" Type="http://schemas.openxmlformats.org/officeDocument/2006/relationships/hyperlink" Target="https://www.google.com/search?tbm=isch&amp;q=Printer%2FScanner%2FXerox" TargetMode="External"/><Relationship Id="rId3176" Type="http://schemas.openxmlformats.org/officeDocument/2006/relationships/hyperlink" Target="https://www.google.com/search?tbm=isch&amp;q=Local+Area+Network" TargetMode="External"/><Relationship Id="rId3177" Type="http://schemas.openxmlformats.org/officeDocument/2006/relationships/hyperlink" Target="https://www.google.com/search?tbm=isch&amp;q=Lab+Chairs" TargetMode="External"/><Relationship Id="rId3178" Type="http://schemas.openxmlformats.org/officeDocument/2006/relationships/hyperlink" Target="https://www.google.com/search?tbm=isch&amp;q=Computer+Tables" TargetMode="External"/><Relationship Id="rId3179" Type="http://schemas.openxmlformats.org/officeDocument/2006/relationships/hyperlink" Target="https://www.google.com/search?tbm=isch&amp;q=White+Board" TargetMode="External"/><Relationship Id="rId3180" Type="http://schemas.openxmlformats.org/officeDocument/2006/relationships/hyperlink" Target="https://www.google.com/search?tbm=isch&amp;q=Demonstration+Charts" TargetMode="External"/><Relationship Id="rId3181" Type="http://schemas.openxmlformats.org/officeDocument/2006/relationships/hyperlink" Target="https://www.google.com/search?tbm=isch&amp;q=USB+%2F+Pen+drive" TargetMode="External"/><Relationship Id="rId3182" Type="http://schemas.openxmlformats.org/officeDocument/2006/relationships/hyperlink" Target="https://www.google.com/search?tbm=isch&amp;q=RJ45+connecters" TargetMode="External"/><Relationship Id="rId3183" Type="http://schemas.openxmlformats.org/officeDocument/2006/relationships/hyperlink" Target="https://www.google.com/search?tbm=isch&amp;q=Anti+Virus+software" TargetMode="External"/><Relationship Id="rId3184" Type="http://schemas.openxmlformats.org/officeDocument/2006/relationships/hyperlink" Target="https://www.google.com/search?tbm=isch&amp;q=Printer+Cartridges+%28Compatible+Printer+Type+Required%29" TargetMode="External"/><Relationship Id="rId3185" Type="http://schemas.openxmlformats.org/officeDocument/2006/relationships/hyperlink" Target="https://www.google.com/search?tbm=isch&amp;q=Fire+extinguisher" TargetMode="External"/><Relationship Id="rId3186" Type="http://schemas.openxmlformats.org/officeDocument/2006/relationships/hyperlink" Target="https://www.google.com/search?tbm=isch&amp;q=LibreOffice+or+MS+Office+or+Equivalent" TargetMode="External"/><Relationship Id="rId3187" Type="http://schemas.openxmlformats.org/officeDocument/2006/relationships/hyperlink" Target="https://www.google.com/search?tbm=isch&amp;q=Printer+Tables" TargetMode="External"/><Relationship Id="rId3188" Type="http://schemas.openxmlformats.org/officeDocument/2006/relationships/hyperlink" Target="https://www.google.com/search?tbm=isch&amp;q=Smart+Board" TargetMode="External"/><Relationship Id="rId3189" Type="http://schemas.openxmlformats.org/officeDocument/2006/relationships/hyperlink" Target="https://www.google.com/search?tbm=isch&amp;q=VR+Standalone+Headset" TargetMode="External"/><Relationship Id="rId3190" Type="http://schemas.openxmlformats.org/officeDocument/2006/relationships/hyperlink" Target="https://www.google.com/search?tbm=isch&amp;q=Tablets" TargetMode="External"/><Relationship Id="rId3191" Type="http://schemas.openxmlformats.org/officeDocument/2006/relationships/hyperlink" Target="https://cdn.jsdelivr.net/gh/EngineerX1234/vocational-images@main/tools/batch-18/media-and-entertainment-headphones.jpg" TargetMode="External"/><Relationship Id="rId3192" Type="http://schemas.openxmlformats.org/officeDocument/2006/relationships/hyperlink" Target="https://www.google.com/search?tbm=isch&amp;q=AR+Globe+Kit" TargetMode="External"/><Relationship Id="rId3193" Type="http://schemas.openxmlformats.org/officeDocument/2006/relationships/hyperlink" Target="https://www.google.com/search?tbm=isch&amp;q=AR+Cubes-based" TargetMode="External"/><Relationship Id="rId3194" Type="http://schemas.openxmlformats.org/officeDocument/2006/relationships/hyperlink" Target="https://www.google.com/search?tbm=isch&amp;q=Laptop+for+Teacher" TargetMode="External"/><Relationship Id="rId3195" Type="http://schemas.openxmlformats.org/officeDocument/2006/relationships/hyperlink" Target="https://cdn.jsdelivr.net/gh/EngineerX1234/vocational-images@main/tools/batch-11/electronics-projector.jpg" TargetMode="External"/><Relationship Id="rId3196" Type="http://schemas.openxmlformats.org/officeDocument/2006/relationships/hyperlink" Target="https://www.google.com/search?tbm=isch&amp;q=Projector+Mounting+Kit" TargetMode="External"/><Relationship Id="rId3197" Type="http://schemas.openxmlformats.org/officeDocument/2006/relationships/hyperlink" Target="https://www.google.com/search?tbm=isch&amp;q=Gaming+Chair+for+Virtual+Reality+Laboratory" TargetMode="External"/><Relationship Id="rId3198" Type="http://schemas.openxmlformats.org/officeDocument/2006/relationships/hyperlink" Target="https://www.google.com/search?tbm=isch&amp;q=Activity+Table" TargetMode="External"/><Relationship Id="rId3199" Type="http://schemas.openxmlformats.org/officeDocument/2006/relationships/hyperlink" Target="https://www.google.com/search?tbm=isch&amp;q=Teacher+Table" TargetMode="External"/><Relationship Id="rId3200" Type="http://schemas.openxmlformats.org/officeDocument/2006/relationships/hyperlink" Target="https://www.google.com/search?tbm=isch&amp;q=Cupboard" TargetMode="External"/><Relationship Id="rId3201" Type="http://schemas.openxmlformats.org/officeDocument/2006/relationships/hyperlink" Target="https://www.google.com/search?tbm=isch&amp;q=Activity+Book+for+Students+-+English+%28Class+6%29" TargetMode="External"/><Relationship Id="rId3202" Type="http://schemas.openxmlformats.org/officeDocument/2006/relationships/hyperlink" Target="https://www.google.com/search?tbm=isch&amp;q=Activity+Book+for+Students+-+English+%28Class+7%29" TargetMode="External"/><Relationship Id="rId3203" Type="http://schemas.openxmlformats.org/officeDocument/2006/relationships/hyperlink" Target="https://www.google.com/search?tbm=isch&amp;q=Activity+Book+for+Students+-+English+%28Class+8%29" TargetMode="External"/><Relationship Id="rId3204" Type="http://schemas.openxmlformats.org/officeDocument/2006/relationships/hyperlink" Target="https://www.google.com/search?tbm=isch&amp;q=Activity+Book+for+Students+-+English+%28Class+9%29" TargetMode="External"/><Relationship Id="rId3205" Type="http://schemas.openxmlformats.org/officeDocument/2006/relationships/hyperlink" Target="https://www.google.com/search?tbm=isch&amp;q=Activity+Book+for+Students+-+English+%28Class+10%29" TargetMode="External"/><Relationship Id="rId3206" Type="http://schemas.openxmlformats.org/officeDocument/2006/relationships/hyperlink" Target="https://www.google.com/search?tbm=isch&amp;q=Activity+Book+for+Students+-+English+%28Class+11%29" TargetMode="External"/><Relationship Id="rId3207" Type="http://schemas.openxmlformats.org/officeDocument/2006/relationships/hyperlink" Target="https://www.google.com/search?tbm=isch&amp;q=Software+and+Content+for+Teacher" TargetMode="External"/><Relationship Id="rId3208" Type="http://schemas.openxmlformats.org/officeDocument/2006/relationships/hyperlink" Target="https://www.google.com/search?tbm=isch&amp;q=Software+and+Content+for+Students" TargetMode="External"/><Relationship Id="rId3209" Type="http://schemas.openxmlformats.org/officeDocument/2006/relationships/hyperlink" Target="https://cdn.jsdelivr.net/gh/EngineerX1234/vocational-images@main/tools/batch-10/electronics-desktop-computer.jpg" TargetMode="External"/><Relationship Id="rId3210" Type="http://schemas.openxmlformats.org/officeDocument/2006/relationships/hyperlink" Target="https://www.google.com/search?tbm=isch&amp;q=Printer%2FScanner%2FXerox" TargetMode="External"/><Relationship Id="rId3211" Type="http://schemas.openxmlformats.org/officeDocument/2006/relationships/hyperlink" Target="https://www.google.com/search?tbm=isch&amp;q=Local+Area+Network" TargetMode="External"/><Relationship Id="rId3212" Type="http://schemas.openxmlformats.org/officeDocument/2006/relationships/hyperlink" Target="https://www.google.com/search?tbm=isch&amp;q=Lab+Chairs" TargetMode="External"/><Relationship Id="rId3213" Type="http://schemas.openxmlformats.org/officeDocument/2006/relationships/hyperlink" Target="https://www.google.com/search?tbm=isch&amp;q=Computer+Tables" TargetMode="External"/><Relationship Id="rId3214" Type="http://schemas.openxmlformats.org/officeDocument/2006/relationships/hyperlink" Target="https://www.google.com/search?tbm=isch&amp;q=White+Board" TargetMode="External"/><Relationship Id="rId3215" Type="http://schemas.openxmlformats.org/officeDocument/2006/relationships/hyperlink" Target="https://www.google.com/search?tbm=isch&amp;q=Demonstration+Charts" TargetMode="External"/><Relationship Id="rId3216" Type="http://schemas.openxmlformats.org/officeDocument/2006/relationships/hyperlink" Target="https://www.google.com/search?tbm=isch&amp;q=USB+%2F+Pen+drive" TargetMode="External"/><Relationship Id="rId3217" Type="http://schemas.openxmlformats.org/officeDocument/2006/relationships/hyperlink" Target="https://www.google.com/search?tbm=isch&amp;q=RJ45+connecters" TargetMode="External"/><Relationship Id="rId3218" Type="http://schemas.openxmlformats.org/officeDocument/2006/relationships/hyperlink" Target="https://www.google.com/search?tbm=isch&amp;q=Anti+Virus+software" TargetMode="External"/><Relationship Id="rId3219" Type="http://schemas.openxmlformats.org/officeDocument/2006/relationships/hyperlink" Target="https://www.google.com/search?tbm=isch&amp;q=Printer+Cartridges+%28Compatible+Printer+Type+Required%29" TargetMode="External"/><Relationship Id="rId3220" Type="http://schemas.openxmlformats.org/officeDocument/2006/relationships/hyperlink" Target="https://www.google.com/search?tbm=isch&amp;q=Fire+extinguisher" TargetMode="External"/><Relationship Id="rId3221" Type="http://schemas.openxmlformats.org/officeDocument/2006/relationships/hyperlink" Target="https://www.google.com/search?tbm=isch&amp;q=LibreOffice+or+MS+Office+or+Equivalent+package" TargetMode="External"/><Relationship Id="rId3222" Type="http://schemas.openxmlformats.org/officeDocument/2006/relationships/hyperlink" Target="https://www.google.com/search?tbm=isch&amp;q=Printer+Tables" TargetMode="External"/><Relationship Id="rId3223" Type="http://schemas.openxmlformats.org/officeDocument/2006/relationships/hyperlink" Target="https://www.google.com/search?tbm=isch&amp;q=Smart+Board" TargetMode="External"/><Relationship Id="rId3224" Type="http://schemas.openxmlformats.org/officeDocument/2006/relationships/hyperlink" Target="https://www.google.com/search?tbm=isch&amp;q=Steel+Ruler" TargetMode="External"/><Relationship Id="rId3225" Type="http://schemas.openxmlformats.org/officeDocument/2006/relationships/hyperlink" Target="https://cdn.jsdelivr.net/gh/EngineerX1234/vocational-images@main/tools/batch-11/electronics-measuring-tape.jpg" TargetMode="External"/><Relationship Id="rId3226" Type="http://schemas.openxmlformats.org/officeDocument/2006/relationships/hyperlink" Target="https://www.google.com/search?tbm=isch&amp;q=Spirit+Level+Bottle" TargetMode="External"/><Relationship Id="rId3227" Type="http://schemas.openxmlformats.org/officeDocument/2006/relationships/hyperlink" Target="https://cdn.jsdelivr.net/gh/EngineerX1234/vocational-images@main/tools/batch-05/agriculture-vernier-caliper.jpg" TargetMode="External"/><Relationship Id="rId3228" Type="http://schemas.openxmlformats.org/officeDocument/2006/relationships/hyperlink" Target="https://www.google.com/search?tbm=isch&amp;q=Vernier+Caliper-+Digital" TargetMode="External"/><Relationship Id="rId3229" Type="http://schemas.openxmlformats.org/officeDocument/2006/relationships/hyperlink" Target="https://www.google.com/search?tbm=isch&amp;q=Spring+Caliper+Inside+%2FOutside+%2FDivider" TargetMode="External"/><Relationship Id="rId3230" Type="http://schemas.openxmlformats.org/officeDocument/2006/relationships/hyperlink" Target="https://www.google.com/search?tbm=isch&amp;q=Out+-+Side+Micromet+er" TargetMode="External"/><Relationship Id="rId3231" Type="http://schemas.openxmlformats.org/officeDocument/2006/relationships/hyperlink" Target="https://www.google.com/search?tbm=isch&amp;q=Out+-+Side+Micromet+er+Digital" TargetMode="External"/><Relationship Id="rId3232" Type="http://schemas.openxmlformats.org/officeDocument/2006/relationships/hyperlink" Target="https://www.google.com/search?tbm=isch&amp;q=Threading+Gauge+%28+Engineerin+g%29" TargetMode="External"/><Relationship Id="rId3233" Type="http://schemas.openxmlformats.org/officeDocument/2006/relationships/hyperlink" Target="https://www.google.com/search?tbm=isch&amp;q=Threading+Gauge+%28+Plumbing%29" TargetMode="External"/><Relationship Id="rId3234" Type="http://schemas.openxmlformats.org/officeDocument/2006/relationships/hyperlink" Target="https://www.google.com/search?tbm=isch&amp;q=Radius+Gauge" TargetMode="External"/><Relationship Id="rId3235" Type="http://schemas.openxmlformats.org/officeDocument/2006/relationships/hyperlink" Target="https://www.google.com/search?tbm=isch&amp;q=Try+Square" TargetMode="External"/><Relationship Id="rId3236" Type="http://schemas.openxmlformats.org/officeDocument/2006/relationships/hyperlink" Target="https://www.google.com/search?tbm=isch&amp;q=Tri-square+%28Welding%29" TargetMode="External"/><Relationship Id="rId3237" Type="http://schemas.openxmlformats.org/officeDocument/2006/relationships/hyperlink" Target="https://www.google.com/search?tbm=isch&amp;q=Tri-Square+%28Casting+base%29+%28construction+and+Carpentry%29" TargetMode="External"/><Relationship Id="rId3238" Type="http://schemas.openxmlformats.org/officeDocument/2006/relationships/hyperlink" Target="https://www.google.com/search?tbm=isch&amp;q=Scriber" TargetMode="External"/><Relationship Id="rId3239" Type="http://schemas.openxmlformats.org/officeDocument/2006/relationships/hyperlink" Target="https://www.google.com/search?tbm=isch&amp;q=Claw+Hammer" TargetMode="External"/><Relationship Id="rId3240" Type="http://schemas.openxmlformats.org/officeDocument/2006/relationships/hyperlink" Target="https://www.google.com/search?tbm=isch&amp;q=Mallet+Wooden" TargetMode="External"/><Relationship Id="rId3241" Type="http://schemas.openxmlformats.org/officeDocument/2006/relationships/hyperlink" Target="https://www.google.com/search?tbm=isch&amp;q=Mallet+Plastic" TargetMode="External"/><Relationship Id="rId3242" Type="http://schemas.openxmlformats.org/officeDocument/2006/relationships/hyperlink" Target="https://www.google.com/search?tbm=isch&amp;q=Tenon+Saw" TargetMode="External"/><Relationship Id="rId3243" Type="http://schemas.openxmlformats.org/officeDocument/2006/relationships/hyperlink" Target="https://www.google.com/search?tbm=isch&amp;q=Saw" TargetMode="External"/><Relationship Id="rId3244" Type="http://schemas.openxmlformats.org/officeDocument/2006/relationships/hyperlink" Target="https://www.google.com/search?tbm=isch&amp;q=ELECTRIC+CIRCULAR+SAW" TargetMode="External"/><Relationship Id="rId3245" Type="http://schemas.openxmlformats.org/officeDocument/2006/relationships/hyperlink" Target="https://www.google.com/search?tbm=isch&amp;q=Saw+small+size" TargetMode="External"/><Relationship Id="rId3246" Type="http://schemas.openxmlformats.org/officeDocument/2006/relationships/hyperlink" Target="https://www.google.com/search?tbm=isch&amp;q=Diwad+Plier+%2F+Saw+teeth+setting+plier" TargetMode="External"/><Relationship Id="rId3247" Type="http://schemas.openxmlformats.org/officeDocument/2006/relationships/hyperlink" Target="https://www.google.com/search?tbm=isch&amp;q=Hacksaw+Frame" TargetMode="External"/><Relationship Id="rId3248" Type="http://schemas.openxmlformats.org/officeDocument/2006/relationships/hyperlink" Target="https://www.google.com/search?tbm=isch&amp;q=ADJUSTAB+LE+HACKSAW+FRAME" TargetMode="External"/><Relationship Id="rId3249" Type="http://schemas.openxmlformats.org/officeDocument/2006/relationships/hyperlink" Target="https://www.google.com/search?tbm=isch&amp;q=Half+Round+%28+Wood+rasp+File+%29" TargetMode="External"/><Relationship Id="rId3250" Type="http://schemas.openxmlformats.org/officeDocument/2006/relationships/hyperlink" Target="https://www.google.com/search?tbm=isch&amp;q=Flat+file+Rasp+%29" TargetMode="External"/><Relationship Id="rId3251" Type="http://schemas.openxmlformats.org/officeDocument/2006/relationships/hyperlink" Target="https://www.google.com/search?tbm=isch&amp;q=Flat+file+Rough+%29" TargetMode="External"/><Relationship Id="rId3252" Type="http://schemas.openxmlformats.org/officeDocument/2006/relationships/hyperlink" Target="https://www.google.com/search?tbm=isch&amp;q=C-Clamps+%28for+carpentry+use%29" TargetMode="External"/><Relationship Id="rId3253" Type="http://schemas.openxmlformats.org/officeDocument/2006/relationships/hyperlink" Target="https://www.google.com/search?tbm=isch&amp;q=Iron+Plane" TargetMode="External"/><Relationship Id="rId3254" Type="http://schemas.openxmlformats.org/officeDocument/2006/relationships/hyperlink" Target="https://www.google.com/search?tbm=isch&amp;q=Firmer+Chisel" TargetMode="External"/><Relationship Id="rId3255" Type="http://schemas.openxmlformats.org/officeDocument/2006/relationships/hyperlink" Target="https://www.google.com/search?tbm=isch&amp;q=Mortise+%2F+Chisel+%2F" TargetMode="External"/><Relationship Id="rId3256" Type="http://schemas.openxmlformats.org/officeDocument/2006/relationships/hyperlink" Target="https://www.google.com/search?tbm=isch&amp;q=Pairing+Chisel+%29" TargetMode="External"/><Relationship Id="rId3257" Type="http://schemas.openxmlformats.org/officeDocument/2006/relationships/hyperlink" Target="https://www.google.com/search?tbm=isch&amp;q=Hand+Drill+Machine" TargetMode="External"/><Relationship Id="rId3258" Type="http://schemas.openxmlformats.org/officeDocument/2006/relationships/hyperlink" Target="https://www.google.com/search?tbm=isch&amp;q=Butt+Hinges+%29" TargetMode="External"/><Relationship Id="rId3259" Type="http://schemas.openxmlformats.org/officeDocument/2006/relationships/hyperlink" Target="https://www.google.com/search?tbm=isch&amp;q=Rising+Butt+Hinges" TargetMode="External"/><Relationship Id="rId3260" Type="http://schemas.openxmlformats.org/officeDocument/2006/relationships/hyperlink" Target="https://www.google.com/search?tbm=isch&amp;q=T%27+hinges" TargetMode="External"/><Relationship Id="rId3261" Type="http://schemas.openxmlformats.org/officeDocument/2006/relationships/hyperlink" Target="https://www.google.com/search?tbm=isch&amp;q=Parliamen+t+hinge" TargetMode="External"/><Relationship Id="rId3262" Type="http://schemas.openxmlformats.org/officeDocument/2006/relationships/hyperlink" Target="https://www.google.com/search?tbm=isch&amp;q=Piano+Hinges" TargetMode="External"/><Relationship Id="rId3263" Type="http://schemas.openxmlformats.org/officeDocument/2006/relationships/hyperlink" Target="https://www.google.com/search?tbm=isch&amp;q=Sun+mica+Cutter" TargetMode="External"/><Relationship Id="rId3264" Type="http://schemas.openxmlformats.org/officeDocument/2006/relationships/hyperlink" Target="https://www.google.com/search?tbm=isch&amp;q=Carbound+um+Stone+%28Emery%29" TargetMode="External"/><Relationship Id="rId3265" Type="http://schemas.openxmlformats.org/officeDocument/2006/relationships/hyperlink" Target="https://www.google.com/search?tbm=isch&amp;q=Auger+Bit" TargetMode="External"/><Relationship Id="rId3266" Type="http://schemas.openxmlformats.org/officeDocument/2006/relationships/hyperlink" Target="https://www.google.com/search?tbm=isch&amp;q=Tin+Cutter+%28Tin+cutter+with+spring%29" TargetMode="External"/><Relationship Id="rId3267" Type="http://schemas.openxmlformats.org/officeDocument/2006/relationships/hyperlink" Target="https://www.google.com/search?tbm=isch&amp;q=Tin+Cutter+-Scissor" TargetMode="External"/><Relationship Id="rId3268" Type="http://schemas.openxmlformats.org/officeDocument/2006/relationships/hyperlink" Target="https://www.google.com/search?tbm=isch&amp;q=Blow+Lamp" TargetMode="External"/><Relationship Id="rId3269" Type="http://schemas.openxmlformats.org/officeDocument/2006/relationships/hyperlink" Target="https://www.google.com/search?tbm=isch&amp;q=Soldering+Iron+%28khadya%29" TargetMode="External"/><Relationship Id="rId3270" Type="http://schemas.openxmlformats.org/officeDocument/2006/relationships/hyperlink" Target="https://www.google.com/search?tbm=isch&amp;q=Bench+Drill+Machine+%28With+belt+safety+guard+%26+on%2Foff+switch+" TargetMode="External"/><Relationship Id="rId3271" Type="http://schemas.openxmlformats.org/officeDocument/2006/relationships/hyperlink" Target="https://www.google.com/search?tbm=isch&amp;q=HSS+Drill+set" TargetMode="External"/><Relationship Id="rId3272" Type="http://schemas.openxmlformats.org/officeDocument/2006/relationships/hyperlink" Target="https://www.google.com/search?tbm=isch&amp;q=Center+Drill" TargetMode="External"/><Relationship Id="rId3273" Type="http://schemas.openxmlformats.org/officeDocument/2006/relationships/hyperlink" Target="https://www.google.com/search?tbm=isch&amp;q=Tap+Wrench" TargetMode="External"/><Relationship Id="rId3274" Type="http://schemas.openxmlformats.org/officeDocument/2006/relationships/hyperlink" Target="https://cdn.jsdelivr.net/gh/EngineerX1234/vocational-images@main/tools/batch-07/automotive-oil-can.jpg" TargetMode="External"/><Relationship Id="rId3275" Type="http://schemas.openxmlformats.org/officeDocument/2006/relationships/hyperlink" Target="https://www.google.com/search?tbm=isch&amp;q=Machine+vice" TargetMode="External"/><Relationship Id="rId3276" Type="http://schemas.openxmlformats.org/officeDocument/2006/relationships/hyperlink" Target="https://www.google.com/search?tbm=isch&amp;q=Hammers+B.P+%28Hammers+ball+pain%29" TargetMode="External"/><Relationship Id="rId3277" Type="http://schemas.openxmlformats.org/officeDocument/2006/relationships/hyperlink" Target="https://www.google.com/search?tbm=isch&amp;q=Hammer+C.P+%28hammer+cross+pain%29+with+handle+forged+steel" TargetMode="External"/><Relationship Id="rId3278" Type="http://schemas.openxmlformats.org/officeDocument/2006/relationships/hyperlink" Target="https://www.google.com/search?tbm=isch&amp;q=Flat+Chisel" TargetMode="External"/><Relationship Id="rId3279" Type="http://schemas.openxmlformats.org/officeDocument/2006/relationships/hyperlink" Target="https://www.google.com/search?tbm=isch&amp;q=File+Handle+%28+Wooden" TargetMode="External"/><Relationship Id="rId3280" Type="http://schemas.openxmlformats.org/officeDocument/2006/relationships/hyperlink" Target="https://www.google.com/search?tbm=isch&amp;q=Flat+Basted+File" TargetMode="External"/><Relationship Id="rId3281" Type="http://schemas.openxmlformats.org/officeDocument/2006/relationships/hyperlink" Target="https://www.google.com/search?tbm=isch&amp;q=Flat+Smooth+File" TargetMode="External"/><Relationship Id="rId3282" Type="http://schemas.openxmlformats.org/officeDocument/2006/relationships/hyperlink" Target="https://www.google.com/search?tbm=isch&amp;q=Triangular+files" TargetMode="External"/><Relationship Id="rId3283" Type="http://schemas.openxmlformats.org/officeDocument/2006/relationships/hyperlink" Target="https://www.google.com/search?tbm=isch&amp;q=Round+Basted+File" TargetMode="External"/><Relationship Id="rId3284" Type="http://schemas.openxmlformats.org/officeDocument/2006/relationships/hyperlink" Target="https://www.google.com/search?tbm=isch&amp;q=Bench+Grinder" TargetMode="External"/><Relationship Id="rId3285" Type="http://schemas.openxmlformats.org/officeDocument/2006/relationships/hyperlink" Target="https://www.google.com/search?tbm=isch&amp;q=Electrical+hand+drill+machine" TargetMode="External"/><Relationship Id="rId3286" Type="http://schemas.openxmlformats.org/officeDocument/2006/relationships/hyperlink" Target="https://www.google.com/search?tbm=isch&amp;q=Bench+Vice+%28Code-U+-+301%29" TargetMode="External"/><Relationship Id="rId3287" Type="http://schemas.openxmlformats.org/officeDocument/2006/relationships/hyperlink" Target="https://www.google.com/search?tbm=isch&amp;q=Open+End+Wrench%2F+Spanner+SET" TargetMode="External"/><Relationship Id="rId3288" Type="http://schemas.openxmlformats.org/officeDocument/2006/relationships/hyperlink" Target="https://www.google.com/search?tbm=isch&amp;q=Ring+Spanner+Set" TargetMode="External"/><Relationship Id="rId3289" Type="http://schemas.openxmlformats.org/officeDocument/2006/relationships/hyperlink" Target="https://www.google.com/search?tbm=isch&amp;q=Tap+%26+Die+Set" TargetMode="External"/><Relationship Id="rId3290" Type="http://schemas.openxmlformats.org/officeDocument/2006/relationships/hyperlink" Target="https://www.google.com/search?tbm=isch&amp;q=Die+wrench" TargetMode="External"/><Relationship Id="rId3291" Type="http://schemas.openxmlformats.org/officeDocument/2006/relationships/hyperlink" Target="https://www.google.com/search?tbm=isch&amp;q=Arc+Welding+Machine+%28Transfor+mer%29" TargetMode="External"/><Relationship Id="rId3292" Type="http://schemas.openxmlformats.org/officeDocument/2006/relationships/hyperlink" Target="https://www.google.com/search?tbm=isch&amp;q=Cable+%26+Lugs+%28Welding+cable%29" TargetMode="External"/><Relationship Id="rId3293" Type="http://schemas.openxmlformats.org/officeDocument/2006/relationships/hyperlink" Target="https://www.google.com/search?tbm=isch&amp;q=Welding+%2F+Electrode+Holder" TargetMode="External"/><Relationship Id="rId3294" Type="http://schemas.openxmlformats.org/officeDocument/2006/relationships/hyperlink" Target="https://www.google.com/search?tbm=isch&amp;q=Wire+Brush" TargetMode="External"/><Relationship Id="rId3295" Type="http://schemas.openxmlformats.org/officeDocument/2006/relationships/hyperlink" Target="https://www.google.com/search?tbm=isch&amp;q=Adjustable+Wrench+%28Adjustabl+e+Spanner+%29" TargetMode="External"/><Relationship Id="rId3296" Type="http://schemas.openxmlformats.org/officeDocument/2006/relationships/hyperlink" Target="https://www.google.com/search?tbm=isch&amp;q=Grip-on-+pliers" TargetMode="External"/><Relationship Id="rId3297" Type="http://schemas.openxmlformats.org/officeDocument/2006/relationships/hyperlink" Target="https://www.google.com/search?tbm=isch&amp;q=Vise+Grip" TargetMode="External"/><Relationship Id="rId3298" Type="http://schemas.openxmlformats.org/officeDocument/2006/relationships/hyperlink" Target="https://www.google.com/search?tbm=isch&amp;q=Trowel+%28Thapi%29+Set" TargetMode="External"/><Relationship Id="rId3299" Type="http://schemas.openxmlformats.org/officeDocument/2006/relationships/hyperlink" Target="https://www.google.com/search?tbm=isch&amp;q=Trowel+%28Thapi-+Plane%29" TargetMode="External"/><Relationship Id="rId3300" Type="http://schemas.openxmlformats.org/officeDocument/2006/relationships/hyperlink" Target="https://cdn.jsdelivr.net/gh/EngineerX1234/vocational-images@main/tools/batch-11/electronics-plumb-bob.jpg" TargetMode="External"/><Relationship Id="rId3301" Type="http://schemas.openxmlformats.org/officeDocument/2006/relationships/hyperlink" Target="https://www.google.com/search?tbm=isch&amp;q=Line+Rope" TargetMode="External"/><Relationship Id="rId3302" Type="http://schemas.openxmlformats.org/officeDocument/2006/relationships/hyperlink" Target="https://www.google.com/search?tbm=isch&amp;q=Sand+Sieve" TargetMode="External"/><Relationship Id="rId3303" Type="http://schemas.openxmlformats.org/officeDocument/2006/relationships/hyperlink" Target="https://www.google.com/search?tbm=isch&amp;q=Masonry+Drill+%28Concrete+Drill+%29" TargetMode="External"/><Relationship Id="rId3304" Type="http://schemas.openxmlformats.org/officeDocument/2006/relationships/hyperlink" Target="https://www.google.com/search?tbm=isch&amp;q=Bucket+%28+MS+steel+bucket+%29" TargetMode="External"/><Relationship Id="rId3305" Type="http://schemas.openxmlformats.org/officeDocument/2006/relationships/hyperlink" Target="https://www.google.com/search?tbm=isch&amp;q=Ghamelas+%28MS+Steel%29+%28for+construction+work%29" TargetMode="External"/><Relationship Id="rId3306" Type="http://schemas.openxmlformats.org/officeDocument/2006/relationships/hyperlink" Target="https://www.google.com/search?tbm=isch&amp;q=Spade+with+wooden+handle" TargetMode="External"/><Relationship Id="rId3307" Type="http://schemas.openxmlformats.org/officeDocument/2006/relationships/hyperlink" Target="https://www.google.com/search?tbm=isch&amp;q=Pipe+Die+Set+-+with+D%2FE+Handle%28pi+pe+wrench%29" TargetMode="External"/><Relationship Id="rId3308" Type="http://schemas.openxmlformats.org/officeDocument/2006/relationships/hyperlink" Target="https://cdn.jsdelivr.net/gh/EngineerX1234/vocational-images@main/tools/batch-20/plumbing-pipe-vice.jpg" TargetMode="External"/><Relationship Id="rId3309" Type="http://schemas.openxmlformats.org/officeDocument/2006/relationships/hyperlink" Target="https://cdn.jsdelivr.net/gh/EngineerX1234/vocational-images@main/tools/batch-20/plumbing-pipe-wrench.jpg" TargetMode="External"/><Relationship Id="rId3310" Type="http://schemas.openxmlformats.org/officeDocument/2006/relationships/hyperlink" Target="https://www.google.com/search?tbm=isch&amp;q=Water+Pump+Plier" TargetMode="External"/><Relationship Id="rId3311" Type="http://schemas.openxmlformats.org/officeDocument/2006/relationships/hyperlink" Target="https://www.google.com/search?tbm=isch&amp;q=Hack+Saw+Blade" TargetMode="External"/><Relationship Id="rId3312" Type="http://schemas.openxmlformats.org/officeDocument/2006/relationships/hyperlink" Target="https://www.google.com/search?tbm=isch&amp;q=Safety+Helmet" TargetMode="External"/><Relationship Id="rId3313" Type="http://schemas.openxmlformats.org/officeDocument/2006/relationships/hyperlink" Target="https://www.google.com/search?tbm=isch&amp;q=Safety+Goggle" TargetMode="External"/><Relationship Id="rId3314" Type="http://schemas.openxmlformats.org/officeDocument/2006/relationships/hyperlink" Target="https://www.google.com/search?tbm=isch&amp;q=Welding+Goggle" TargetMode="External"/><Relationship Id="rId3315" Type="http://schemas.openxmlformats.org/officeDocument/2006/relationships/hyperlink" Target="https://www.google.com/search?tbm=isch&amp;q=Welding+Screen+with+Head+Band" TargetMode="External"/><Relationship Id="rId3316" Type="http://schemas.openxmlformats.org/officeDocument/2006/relationships/hyperlink" Target="https://www.google.com/search?tbm=isch&amp;q=Overcoat+-+%28Apron-+Blue+color%29" TargetMode="External"/><Relationship Id="rId3317" Type="http://schemas.openxmlformats.org/officeDocument/2006/relationships/hyperlink" Target="https://www.google.com/search?tbm=isch&amp;q=Hand+Gloves+%28Welding+leather+hand+gloves%29" TargetMode="External"/><Relationship Id="rId3318" Type="http://schemas.openxmlformats.org/officeDocument/2006/relationships/hyperlink" Target="https://www.google.com/search?tbm=isch&amp;q=Cotton+Hand+Gloves+%28sheet+metal+work%29" TargetMode="External"/><Relationship Id="rId3319" Type="http://schemas.openxmlformats.org/officeDocument/2006/relationships/hyperlink" Target="https://www.google.com/search?tbm=isch&amp;q=Hand+gloves+pairs+%28constricti+on%29" TargetMode="External"/><Relationship Id="rId3320" Type="http://schemas.openxmlformats.org/officeDocument/2006/relationships/hyperlink" Target="https://www.google.com/search?tbm=isch&amp;q=Welding+Apron" TargetMode="External"/><Relationship Id="rId3321" Type="http://schemas.openxmlformats.org/officeDocument/2006/relationships/hyperlink" Target="https://www.google.com/search?tbm=isch&amp;q=Rubber+Chappals" TargetMode="External"/><Relationship Id="rId3322" Type="http://schemas.openxmlformats.org/officeDocument/2006/relationships/hyperlink" Target="https://www.google.com/search?tbm=isch&amp;q=First+Aid+Box" TargetMode="External"/><Relationship Id="rId3323" Type="http://schemas.openxmlformats.org/officeDocument/2006/relationships/hyperlink" Target="https://cdn.jsdelivr.net/gh/EngineerX1234/vocational-images@main/tools/batch-11/electronics-voltmeter.jpg" TargetMode="External"/><Relationship Id="rId3324" Type="http://schemas.openxmlformats.org/officeDocument/2006/relationships/hyperlink" Target="https://cdn.jsdelivr.net/gh/EngineerX1234/vocational-images@main/tools/batch-10/electronics-ammeter.jpg" TargetMode="External"/><Relationship Id="rId3325" Type="http://schemas.openxmlformats.org/officeDocument/2006/relationships/hyperlink" Target="https://cdn.jsdelivr.net/gh/EngineerX1234/vocational-images@main/tools/batch-11/electronics-wattmeter.jpg" TargetMode="External"/><Relationship Id="rId3326" Type="http://schemas.openxmlformats.org/officeDocument/2006/relationships/hyperlink" Target="https://cdn.jsdelivr.net/gh/EngineerX1234/vocational-images@main/tools/batch-13/green-jobs-frequency-meter.jpg" TargetMode="External"/><Relationship Id="rId3327" Type="http://schemas.openxmlformats.org/officeDocument/2006/relationships/hyperlink" Target="https://www.google.com/search?tbm=isch&amp;q=Voltmeter+%2F+DIGITAL+MULTIMETER" TargetMode="External"/><Relationship Id="rId3328" Type="http://schemas.openxmlformats.org/officeDocument/2006/relationships/hyperlink" Target="https://cdn.jsdelivr.net/gh/EngineerX1234/vocational-images@main/tools/batch-11/electronics-non-contact-voltage-detector.jpg" TargetMode="External"/><Relationship Id="rId3329" Type="http://schemas.openxmlformats.org/officeDocument/2006/relationships/hyperlink" Target="https://cdn.jsdelivr.net/gh/EngineerX1234/vocational-images@main/tools/batch-11/electronics-wire-gauge.jpg" TargetMode="External"/><Relationship Id="rId3330" Type="http://schemas.openxmlformats.org/officeDocument/2006/relationships/hyperlink" Target="https://cdn.jsdelivr.net/gh/EngineerX1234/vocational-images@main/tools/batch-26/agriculture-hydrometer.jpg" TargetMode="External"/><Relationship Id="rId3331" Type="http://schemas.openxmlformats.org/officeDocument/2006/relationships/hyperlink" Target="https://www.google.com/search?tbm=isch&amp;q=Fish+Tape" TargetMode="External"/><Relationship Id="rId3332" Type="http://schemas.openxmlformats.org/officeDocument/2006/relationships/hyperlink" Target="https://www.google.com/search?tbm=isch&amp;q=Linesman+Pliers+%28Combination+Pliers%29" TargetMode="External"/><Relationship Id="rId3333" Type="http://schemas.openxmlformats.org/officeDocument/2006/relationships/hyperlink" Target="https://www.google.com/search?tbm=isch&amp;q=Long+Nose+Pliers" TargetMode="External"/><Relationship Id="rId3334" Type="http://schemas.openxmlformats.org/officeDocument/2006/relationships/hyperlink" Target="https://www.google.com/search?tbm=isch&amp;q=Side+Cutting+Player" TargetMode="External"/><Relationship Id="rId3335" Type="http://schemas.openxmlformats.org/officeDocument/2006/relationships/hyperlink" Target="https://cdn.jsdelivr.net/gh/EngineerX1234/vocational-images@main/tools/batch-11/electronics-screwdriver-set.jpg" TargetMode="External"/><Relationship Id="rId3336" Type="http://schemas.openxmlformats.org/officeDocument/2006/relationships/hyperlink" Target="https://www.google.com/search?tbm=isch&amp;q=Screw+Driver+Set+%2F+Electrician-Wiremen+Set" TargetMode="External"/><Relationship Id="rId3337" Type="http://schemas.openxmlformats.org/officeDocument/2006/relationships/hyperlink" Target="https://www.google.com/search?tbm=isch&amp;q=Pokar" TargetMode="External"/><Relationship Id="rId3338" Type="http://schemas.openxmlformats.org/officeDocument/2006/relationships/hyperlink" Target="https://www.google.com/search?tbm=isch&amp;q=Tester" TargetMode="External"/><Relationship Id="rId3339" Type="http://schemas.openxmlformats.org/officeDocument/2006/relationships/hyperlink" Target="https://cdn.jsdelivr.net/gh/EngineerX1234/vocational-images@main/tools/batch-05/agriculture-wire-stripper.jpg" TargetMode="External"/><Relationship Id="rId3340" Type="http://schemas.openxmlformats.org/officeDocument/2006/relationships/hyperlink" Target="https://www.google.com/search?tbm=isch&amp;q=Wire+Stripper+%28Automatic%29" TargetMode="External"/><Relationship Id="rId3341" Type="http://schemas.openxmlformats.org/officeDocument/2006/relationships/hyperlink" Target="https://www.google.com/search?tbm=isch&amp;q=Razor+Blade+Knife+%28Utility+Knife%29" TargetMode="External"/><Relationship Id="rId3342" Type="http://schemas.openxmlformats.org/officeDocument/2006/relationships/hyperlink" Target="https://cdn.jsdelivr.net/gh/EngineerX1234/vocational-images@main/tools/batch-10/electronics-hacksaw.jpg" TargetMode="External"/><Relationship Id="rId3343" Type="http://schemas.openxmlformats.org/officeDocument/2006/relationships/hyperlink" Target="https://www.google.com/search?tbm=isch&amp;q=3+Core+Flexible+Cable+%28+For+Drilling+%2C+Grinding+%2C+Welding+M%2F" TargetMode="External"/><Relationship Id="rId3344" Type="http://schemas.openxmlformats.org/officeDocument/2006/relationships/hyperlink" Target="https://www.google.com/search?tbm=isch&amp;q=Sockets+%28Assorted%29+2+Pin" TargetMode="External"/><Relationship Id="rId3345" Type="http://schemas.openxmlformats.org/officeDocument/2006/relationships/hyperlink" Target="https://www.google.com/search?tbm=isch&amp;q=Sockets+%28Assorted%29+3+Pin" TargetMode="External"/><Relationship Id="rId3346" Type="http://schemas.openxmlformats.org/officeDocument/2006/relationships/hyperlink" Target="https://www.google.com/search?tbm=isch&amp;q=Plugs+%28Assorted%29+Top+2+Pin" TargetMode="External"/><Relationship Id="rId3347" Type="http://schemas.openxmlformats.org/officeDocument/2006/relationships/hyperlink" Target="https://www.google.com/search?tbm=isch&amp;q=Plugs+%28Assorted%29+Top+3+Pin" TargetMode="External"/><Relationship Id="rId3348" Type="http://schemas.openxmlformats.org/officeDocument/2006/relationships/hyperlink" Target="https://cdn.jsdelivr.net/gh/EngineerX1234/vocational-images@main/tools/batch-11/electronics-switches.jpg" TargetMode="External"/><Relationship Id="rId3349" Type="http://schemas.openxmlformats.org/officeDocument/2006/relationships/hyperlink" Target="https://www.google.com/search?tbm=isch&amp;q=Switches+%28Assorted%29+One+way" TargetMode="External"/><Relationship Id="rId3350" Type="http://schemas.openxmlformats.org/officeDocument/2006/relationships/hyperlink" Target="https://www.google.com/search?tbm=isch&amp;q=Switches+%28Assorted%29+Two+way" TargetMode="External"/><Relationship Id="rId3351" Type="http://schemas.openxmlformats.org/officeDocument/2006/relationships/hyperlink" Target="https://www.google.com/search?tbm=isch&amp;q=Bell+Push+Switch" TargetMode="External"/><Relationship Id="rId3352" Type="http://schemas.openxmlformats.org/officeDocument/2006/relationships/hyperlink" Target="https://www.google.com/search?tbm=isch&amp;q=Lamp+Holders+%28Assorted%29+Angle" TargetMode="External"/><Relationship Id="rId3353" Type="http://schemas.openxmlformats.org/officeDocument/2006/relationships/hyperlink" Target="https://www.google.com/search?tbm=isch&amp;q=Lamp+Holders+%28Assorted%29+Bettle" TargetMode="External"/><Relationship Id="rId3354" Type="http://schemas.openxmlformats.org/officeDocument/2006/relationships/hyperlink" Target="https://www.google.com/search?tbm=isch&amp;q=Light+Emission+Diode" TargetMode="External"/><Relationship Id="rId3355" Type="http://schemas.openxmlformats.org/officeDocument/2006/relationships/hyperlink" Target="https://www.google.com/search?tbm=isch&amp;q=Pull-Push+Switch" TargetMode="External"/><Relationship Id="rId3356" Type="http://schemas.openxmlformats.org/officeDocument/2006/relationships/hyperlink" Target="https://www.google.com/search?tbm=isch&amp;q=Capacitor" TargetMode="External"/><Relationship Id="rId3357" Type="http://schemas.openxmlformats.org/officeDocument/2006/relationships/hyperlink" Target="https://www.google.com/search?tbm=isch&amp;q=Relay" TargetMode="External"/><Relationship Id="rId3358" Type="http://schemas.openxmlformats.org/officeDocument/2006/relationships/hyperlink" Target="https://www.google.com/search?tbm=isch&amp;q=Earthing+Plate" TargetMode="External"/><Relationship Id="rId3359" Type="http://schemas.openxmlformats.org/officeDocument/2006/relationships/hyperlink" Target="https://www.google.com/search?tbm=isch&amp;q=Earthing+Rod" TargetMode="External"/><Relationship Id="rId3360" Type="http://schemas.openxmlformats.org/officeDocument/2006/relationships/hyperlink" Target="https://www.google.com/search?tbm=isch&amp;q=Earthing+Pipe" TargetMode="External"/><Relationship Id="rId3361" Type="http://schemas.openxmlformats.org/officeDocument/2006/relationships/hyperlink" Target="https://www.google.com/search?tbm=isch&amp;q=Different+Type+of+Fuse" TargetMode="External"/><Relationship Id="rId3362" Type="http://schemas.openxmlformats.org/officeDocument/2006/relationships/hyperlink" Target="https://www.google.com/search?tbm=isch&amp;q=Miniature+Circuit+Breaker" TargetMode="External"/><Relationship Id="rId3363" Type="http://schemas.openxmlformats.org/officeDocument/2006/relationships/hyperlink" Target="https://www.google.com/search?tbm=isch&amp;q=Electric+Soldering+Iron" TargetMode="External"/><Relationship Id="rId3364" Type="http://schemas.openxmlformats.org/officeDocument/2006/relationships/hyperlink" Target="https://www.google.com/search?tbm=isch&amp;q=Valve+Spanner" TargetMode="External"/><Relationship Id="rId3365" Type="http://schemas.openxmlformats.org/officeDocument/2006/relationships/hyperlink" Target="https://www.google.com/search?tbm=isch&amp;q=Nozzel%2FNippl+e+spanner" TargetMode="External"/><Relationship Id="rId3366" Type="http://schemas.openxmlformats.org/officeDocument/2006/relationships/hyperlink" Target="https://www.google.com/search?tbm=isch&amp;q=Wick+Stove" TargetMode="External"/><Relationship Id="rId3367" Type="http://schemas.openxmlformats.org/officeDocument/2006/relationships/hyperlink" Target="https://www.google.com/search?tbm=isch&amp;q=Pressure+Stove" TargetMode="External"/><Relationship Id="rId3368" Type="http://schemas.openxmlformats.org/officeDocument/2006/relationships/hyperlink" Target="https://www.google.com/search?tbm=isch&amp;q=DOL+STARTER" TargetMode="External"/><Relationship Id="rId3369" Type="http://schemas.openxmlformats.org/officeDocument/2006/relationships/hyperlink" Target="https://www.google.com/search?tbm=isch&amp;q=WATER+PUMP+1+PHASE" TargetMode="External"/><Relationship Id="rId3370" Type="http://schemas.openxmlformats.org/officeDocument/2006/relationships/hyperlink" Target="https://www.google.com/search?tbm=isch&amp;q=MOTER+ELECTRIC+1+PHASE" TargetMode="External"/><Relationship Id="rId3371" Type="http://schemas.openxmlformats.org/officeDocument/2006/relationships/hyperlink" Target="https://www.google.com/search?tbm=isch&amp;q=Rotary+Switch" TargetMode="External"/><Relationship Id="rId3372" Type="http://schemas.openxmlformats.org/officeDocument/2006/relationships/hyperlink" Target="https://www.google.com/search?tbm=isch&amp;q=Earthing+Wire" TargetMode="External"/><Relationship Id="rId3373" Type="http://schemas.openxmlformats.org/officeDocument/2006/relationships/hyperlink" Target="https://www.google.com/search?tbm=isch&amp;q=Electric+Wires" TargetMode="External"/><Relationship Id="rId3374" Type="http://schemas.openxmlformats.org/officeDocument/2006/relationships/hyperlink" Target="https://www.google.com/search?tbm=isch&amp;q=Electrical+Hand+Gloves" TargetMode="External"/><Relationship Id="rId3375" Type="http://schemas.openxmlformats.org/officeDocument/2006/relationships/hyperlink" Target="https://www.google.com/search?tbm=isch&amp;q=Rubber+Matting" TargetMode="External"/><Relationship Id="rId3376" Type="http://schemas.openxmlformats.org/officeDocument/2006/relationships/hyperlink" Target="https://www.google.com/search?tbm=isch&amp;q=Sand+Bucket" TargetMode="External"/><Relationship Id="rId3377" Type="http://schemas.openxmlformats.org/officeDocument/2006/relationships/hyperlink" Target="https://www.google.com/search?tbm=isch&amp;q=Fire+Extinguisher+CO2" TargetMode="External"/><Relationship Id="rId3378" Type="http://schemas.openxmlformats.org/officeDocument/2006/relationships/hyperlink" Target="https://www.google.com/search?tbm=isch&amp;q=Stainless+steel+Plates" TargetMode="External"/><Relationship Id="rId3379" Type="http://schemas.openxmlformats.org/officeDocument/2006/relationships/hyperlink" Target="https://www.google.com/search?tbm=isch&amp;q=Sieves+%29" TargetMode="External"/><Relationship Id="rId3380" Type="http://schemas.openxmlformats.org/officeDocument/2006/relationships/hyperlink" Target="https://www.google.com/search?tbm=isch&amp;q=Set+of+cooking+spoon" TargetMode="External"/><Relationship Id="rId3381" Type="http://schemas.openxmlformats.org/officeDocument/2006/relationships/hyperlink" Target="https://www.google.com/search?tbm=isch&amp;q=Stainless+steel+Containers+with+Cover+%28Pot%29" TargetMode="External"/><Relationship Id="rId3382" Type="http://schemas.openxmlformats.org/officeDocument/2006/relationships/hyperlink" Target="https://www.google.com/search?tbm=isch&amp;q=Steel+Bowls" TargetMode="External"/><Relationship Id="rId3383" Type="http://schemas.openxmlformats.org/officeDocument/2006/relationships/hyperlink" Target="https://www.google.com/search?tbm=isch&amp;q=Frying+Pan+%28medium%29-+With+Handle" TargetMode="External"/><Relationship Id="rId3384" Type="http://schemas.openxmlformats.org/officeDocument/2006/relationships/hyperlink" Target="https://www.google.com/search?tbm=isch&amp;q=Grater%2F+Shredder" TargetMode="External"/><Relationship Id="rId3385" Type="http://schemas.openxmlformats.org/officeDocument/2006/relationships/hyperlink" Target="https://www.google.com/search?tbm=isch&amp;q=Hand+Operated+Chikki+Slicer+%28Roller%29%2C+cutter" TargetMode="External"/><Relationship Id="rId3386" Type="http://schemas.openxmlformats.org/officeDocument/2006/relationships/hyperlink" Target="https://www.google.com/search?tbm=isch&amp;q=Knives" TargetMode="External"/><Relationship Id="rId3387" Type="http://schemas.openxmlformats.org/officeDocument/2006/relationships/hyperlink" Target="https://www.google.com/search?tbm=isch&amp;q=Polpat+and+Latan+%28Roller%29" TargetMode="External"/><Relationship Id="rId3388" Type="http://schemas.openxmlformats.org/officeDocument/2006/relationships/hyperlink" Target="https://www.google.com/search?tbm=isch&amp;q=Gas+lighter" TargetMode="External"/><Relationship Id="rId3389" Type="http://schemas.openxmlformats.org/officeDocument/2006/relationships/hyperlink" Target="https://www.google.com/search?tbm=isch&amp;q=Measuring+Mug+%2F+Cup" TargetMode="External"/><Relationship Id="rId3390" Type="http://schemas.openxmlformats.org/officeDocument/2006/relationships/hyperlink" Target="https://www.google.com/search?tbm=isch&amp;q=Measuring+Spoons" TargetMode="External"/><Relationship Id="rId3391" Type="http://schemas.openxmlformats.org/officeDocument/2006/relationships/hyperlink" Target="https://www.google.com/search?tbm=isch&amp;q=Mixer+%28Mixture-+Grinder%29" TargetMode="External"/><Relationship Id="rId3392" Type="http://schemas.openxmlformats.org/officeDocument/2006/relationships/hyperlink" Target="https://www.google.com/search?tbm=isch&amp;q=Pressure+Cooker" TargetMode="External"/><Relationship Id="rId3393" Type="http://schemas.openxmlformats.org/officeDocument/2006/relationships/hyperlink" Target="https://cdn.jsdelivr.net/gh/EngineerX1234/vocational-images@main/tools/batch-25/apparel-scissors.jpg" TargetMode="External"/><Relationship Id="rId3394" Type="http://schemas.openxmlformats.org/officeDocument/2006/relationships/hyperlink" Target="https://www.google.com/search?tbm=isch&amp;q=Table+Spoons" TargetMode="External"/><Relationship Id="rId3395" Type="http://schemas.openxmlformats.org/officeDocument/2006/relationships/hyperlink" Target="https://www.google.com/search?tbm=isch&amp;q=Single+Burner+Stove" TargetMode="External"/><Relationship Id="rId3396" Type="http://schemas.openxmlformats.org/officeDocument/2006/relationships/hyperlink" Target="https://www.google.com/search?tbm=isch&amp;q=Tong+%2F" TargetMode="External"/><Relationship Id="rId3397" Type="http://schemas.openxmlformats.org/officeDocument/2006/relationships/hyperlink" Target="https://www.google.com/search?tbm=isch&amp;q=Vegetable+Peeler" TargetMode="External"/><Relationship Id="rId3398" Type="http://schemas.openxmlformats.org/officeDocument/2006/relationships/hyperlink" Target="https://www.google.com/search?tbm=isch&amp;q=Water+Container+%28Jug%29" TargetMode="External"/><Relationship Id="rId3399" Type="http://schemas.openxmlformats.org/officeDocument/2006/relationships/hyperlink" Target="https://www.google.com/search?tbm=isch&amp;q=hindalium+container+with+lid+-+3+lit+-+3+3" TargetMode="External"/><Relationship Id="rId3400" Type="http://schemas.openxmlformats.org/officeDocument/2006/relationships/hyperlink" Target="https://cdn.jsdelivr.net/gh/EngineerX1234/vocational-images@main/tools/batch-16/home-management-and-care-giving-dust-pan.jpg" TargetMode="External"/><Relationship Id="rId3401" Type="http://schemas.openxmlformats.org/officeDocument/2006/relationships/hyperlink" Target="https://www.google.com/search?tbm=isch&amp;q=Sieves+-" TargetMode="External"/><Relationship Id="rId3402" Type="http://schemas.openxmlformats.org/officeDocument/2006/relationships/hyperlink" Target="https://www.google.com/search?tbm=isch&amp;q=Plastic+Container+-" TargetMode="External"/><Relationship Id="rId3403" Type="http://schemas.openxmlformats.org/officeDocument/2006/relationships/hyperlink" Target="https://www.google.com/search?tbm=isch&amp;q=Glass+container+-" TargetMode="External"/><Relationship Id="rId3404" Type="http://schemas.openxmlformats.org/officeDocument/2006/relationships/hyperlink" Target="https://www.google.com/search?tbm=isch&amp;q=Digital+Kitchen+Balance" TargetMode="External"/><Relationship Id="rId3405" Type="http://schemas.openxmlformats.org/officeDocument/2006/relationships/hyperlink" Target="https://www.google.com/search?tbm=isch&amp;q=Plastic+Bucket" TargetMode="External"/><Relationship Id="rId3406" Type="http://schemas.openxmlformats.org/officeDocument/2006/relationships/hyperlink" Target="https://www.google.com/search?tbm=isch&amp;q=Plastic+Dustbin" TargetMode="External"/><Relationship Id="rId3407" Type="http://schemas.openxmlformats.org/officeDocument/2006/relationships/hyperlink" Target="https://www.google.com/search?tbm=isch&amp;q=Blood+Pressure+Measuring+%28Sphygmomanometer%29-+Mercury+Free" TargetMode="External"/><Relationship Id="rId3408" Type="http://schemas.openxmlformats.org/officeDocument/2006/relationships/hyperlink" Target="https://cdn.jsdelivr.net/gh/EngineerX1234/vocational-images@main/tools/batch-17/home-management-and-care-giving-stethoscope.jpg" TargetMode="External"/><Relationship Id="rId3409" Type="http://schemas.openxmlformats.org/officeDocument/2006/relationships/hyperlink" Target="https://cdn.jsdelivr.net/gh/EngineerX1234/vocational-images@main/tools/batch-20/private-security-thermometer.jpg" TargetMode="External"/><Relationship Id="rId3410" Type="http://schemas.openxmlformats.org/officeDocument/2006/relationships/hyperlink" Target="https://cdn.jsdelivr.net/gh/EngineerX1234/vocational-images@main/tools/batch-13/food-processing-weighing-machine.jpg" TargetMode="External"/><Relationship Id="rId3411" Type="http://schemas.openxmlformats.org/officeDocument/2006/relationships/hyperlink" Target="https://www.google.com/search?tbm=isch&amp;q=First+-aid+Box" TargetMode="External"/><Relationship Id="rId3412" Type="http://schemas.openxmlformats.org/officeDocument/2006/relationships/hyperlink" Target="https://www.google.com/search?tbm=isch&amp;q=Beaker" TargetMode="External"/><Relationship Id="rId3413" Type="http://schemas.openxmlformats.org/officeDocument/2006/relationships/hyperlink" Target="https://www.google.com/search?tbm=isch&amp;q=Digital+BP+machine" TargetMode="External"/><Relationship Id="rId3414" Type="http://schemas.openxmlformats.org/officeDocument/2006/relationships/hyperlink" Target="https://www.google.com/search?tbm=isch&amp;q=Digital+timer" TargetMode="External"/><Relationship Id="rId3415" Type="http://schemas.openxmlformats.org/officeDocument/2006/relationships/hyperlink" Target="https://www.google.com/search?tbm=isch&amp;q=Digital+Candy+Thermometer+%28for+taking+food+temperature" TargetMode="External"/><Relationship Id="rId3416" Type="http://schemas.openxmlformats.org/officeDocument/2006/relationships/hyperlink" Target="https://www.google.com/search?tbm=isch&amp;q=Wall+clock" TargetMode="External"/><Relationship Id="rId3417" Type="http://schemas.openxmlformats.org/officeDocument/2006/relationships/hyperlink" Target="https://www.google.com/search?tbm=isch&amp;q=Fire+Extinguisher+CO2" TargetMode="External"/><Relationship Id="rId3418" Type="http://schemas.openxmlformats.org/officeDocument/2006/relationships/hyperlink" Target="https://www.google.com/search?tbm=isch&amp;q=Apron+%28Cloth%29" TargetMode="External"/><Relationship Id="rId3419" Type="http://schemas.openxmlformats.org/officeDocument/2006/relationships/hyperlink" Target="https://www.google.com/search?tbm=isch&amp;q=Dish+towels" TargetMode="External"/><Relationship Id="rId3420" Type="http://schemas.openxmlformats.org/officeDocument/2006/relationships/hyperlink" Target="https://www.google.com/search?tbm=isch&amp;q=Hand+Gloves" TargetMode="External"/><Relationship Id="rId3421" Type="http://schemas.openxmlformats.org/officeDocument/2006/relationships/hyperlink" Target="https://www.google.com/search?tbm=isch&amp;q=Hand+Gloves+%28Plastic%29" TargetMode="External"/><Relationship Id="rId3422" Type="http://schemas.openxmlformats.org/officeDocument/2006/relationships/hyperlink" Target="https://www.google.com/search?tbm=isch&amp;q=Head+Caps+%28Cloth%29" TargetMode="External"/><Relationship Id="rId3423" Type="http://schemas.openxmlformats.org/officeDocument/2006/relationships/hyperlink" Target="https://www.google.com/search?tbm=isch&amp;q=Candles" TargetMode="External"/><Relationship Id="rId3424" Type="http://schemas.openxmlformats.org/officeDocument/2006/relationships/hyperlink" Target="https://www.google.com/search?tbm=isch&amp;q=Aluminum+foil+Charts" TargetMode="External"/><Relationship Id="rId3425" Type="http://schemas.openxmlformats.org/officeDocument/2006/relationships/hyperlink" Target="https://www.google.com/search?tbm=isch&amp;q=Food+Pyramid" TargetMode="External"/><Relationship Id="rId3426" Type="http://schemas.openxmlformats.org/officeDocument/2006/relationships/hyperlink" Target="https://www.google.com/search?tbm=isch&amp;q=Nutrition+Chart" TargetMode="External"/><Relationship Id="rId3427" Type="http://schemas.openxmlformats.org/officeDocument/2006/relationships/hyperlink" Target="https://www.google.com/search?tbm=isch&amp;q=Diseases+Chart" TargetMode="External"/><Relationship Id="rId3428" Type="http://schemas.openxmlformats.org/officeDocument/2006/relationships/hyperlink" Target="https://cdn.jsdelivr.net/gh/EngineerX1234/vocational-images@main/tools/batch-01/agriculture-budding-knife.jpg" TargetMode="External"/><Relationship Id="rId3429" Type="http://schemas.openxmlformats.org/officeDocument/2006/relationships/hyperlink" Target="https://cdn.jsdelivr.net/gh/EngineerX1234/vocational-images@main/tools/batch-23/agriculture-garden-knife.jpg" TargetMode="External"/><Relationship Id="rId3430" Type="http://schemas.openxmlformats.org/officeDocument/2006/relationships/hyperlink" Target="https://cdn.jsdelivr.net/gh/EngineerX1234/vocational-images@main/tools/batch-23/agriculture-grafting-knife.jpg" TargetMode="External"/><Relationship Id="rId3431" Type="http://schemas.openxmlformats.org/officeDocument/2006/relationships/hyperlink" Target="https://www.google.com/search?tbm=isch&amp;q=Hori+Hori+Knife+%28Soil+Knife%29" TargetMode="External"/><Relationship Id="rId3432" Type="http://schemas.openxmlformats.org/officeDocument/2006/relationships/hyperlink" Target="https://www.google.com/search?tbm=isch&amp;q=Tree+Cutting+Shears" TargetMode="External"/><Relationship Id="rId3433" Type="http://schemas.openxmlformats.org/officeDocument/2006/relationships/hyperlink" Target="https://www.google.com/search?tbm=isch&amp;q=Pruning+Sheared+%2F+C+Cutter" TargetMode="External"/><Relationship Id="rId3434" Type="http://schemas.openxmlformats.org/officeDocument/2006/relationships/hyperlink" Target="https://cdn.jsdelivr.net/gh/EngineerX1234/vocational-images@main/tools/batch-04/agriculture-pruning-knife.jpg" TargetMode="External"/><Relationship Id="rId3435" Type="http://schemas.openxmlformats.org/officeDocument/2006/relationships/hyperlink" Target="https://cdn.jsdelivr.net/gh/EngineerX1234/vocational-images@main/tools/batch-05/agriculture-trowels.jpg" TargetMode="External"/><Relationship Id="rId3436" Type="http://schemas.openxmlformats.org/officeDocument/2006/relationships/hyperlink" Target="https://www.google.com/search?tbm=isch&amp;q=Spade+with+wooden+Handle" TargetMode="External"/><Relationship Id="rId3437" Type="http://schemas.openxmlformats.org/officeDocument/2006/relationships/hyperlink" Target="https://www.google.com/search?tbm=isch&amp;q=Axe+with+wooden+handle" TargetMode="External"/><Relationship Id="rId3438" Type="http://schemas.openxmlformats.org/officeDocument/2006/relationships/hyperlink" Target="https://www.google.com/search?tbm=isch&amp;q=Pickaxe+%28Tikav%29+with+wooden+handle" TargetMode="External"/><Relationship Id="rId3439" Type="http://schemas.openxmlformats.org/officeDocument/2006/relationships/hyperlink" Target="https://cdn.jsdelivr.net/gh/EngineerX1234/vocational-images@main/tools/batch-26/agriculture-khurpi.jpg" TargetMode="External"/><Relationship Id="rId3440" Type="http://schemas.openxmlformats.org/officeDocument/2006/relationships/hyperlink" Target="https://cdn.jsdelivr.net/gh/EngineerX1234/vocational-images@main/tools/batch-24/agriculture-sickle.jpg" TargetMode="External"/><Relationship Id="rId3441" Type="http://schemas.openxmlformats.org/officeDocument/2006/relationships/hyperlink" Target="https://www.google.com/search?tbm=isch&amp;q=Leaf+Rake+with+Handle" TargetMode="External"/><Relationship Id="rId3442" Type="http://schemas.openxmlformats.org/officeDocument/2006/relationships/hyperlink" Target="https://cdn.jsdelivr.net/gh/EngineerX1234/vocational-images@main/tools/batch-11/electronics-scissor.jpg" TargetMode="External"/><Relationship Id="rId3443" Type="http://schemas.openxmlformats.org/officeDocument/2006/relationships/hyperlink" Target="https://www.google.com/search?tbm=isch&amp;q=Watering+Can+%2C+8+to+10+Ltr." TargetMode="External"/><Relationship Id="rId3444" Type="http://schemas.openxmlformats.org/officeDocument/2006/relationships/hyperlink" Target="https://www.google.com/search?tbm=isch&amp;q=Plastic+Ghamale" TargetMode="External"/><Relationship Id="rId3445" Type="http://schemas.openxmlformats.org/officeDocument/2006/relationships/hyperlink" Target="https://www.google.com/search?tbm=isch&amp;q=Crate" TargetMode="External"/><Relationship Id="rId3446" Type="http://schemas.openxmlformats.org/officeDocument/2006/relationships/hyperlink" Target="https://www.google.com/search?tbm=isch&amp;q=Plastic+Jar+-+500+ml+%28Mug%29" TargetMode="External"/><Relationship Id="rId3447" Type="http://schemas.openxmlformats.org/officeDocument/2006/relationships/hyperlink" Target="https://www.google.com/search?tbm=isch&amp;q=Plastic+Buckets+%2C+10+Ltr" TargetMode="External"/><Relationship Id="rId3448" Type="http://schemas.openxmlformats.org/officeDocument/2006/relationships/hyperlink" Target="https://www.google.com/search?tbm=isch&amp;q=Spraying+%2C+Pump" TargetMode="External"/><Relationship Id="rId3449" Type="http://schemas.openxmlformats.org/officeDocument/2006/relationships/hyperlink" Target="https://www.google.com/search?tbm=isch&amp;q=Measuring+30+meter+Tape" TargetMode="External"/><Relationship Id="rId3450" Type="http://schemas.openxmlformats.org/officeDocument/2006/relationships/hyperlink" Target="https://www.google.com/search?tbm=isch&amp;q=Weighing+10+kg+%2C+Balance+Capacity+with+minimum+Division+of+0" TargetMode="External"/><Relationship Id="rId3451" Type="http://schemas.openxmlformats.org/officeDocument/2006/relationships/hyperlink" Target="https://www.google.com/search?tbm=isch&amp;q=Animal+Digital+Thermometer" TargetMode="External"/><Relationship Id="rId3452" Type="http://schemas.openxmlformats.org/officeDocument/2006/relationships/hyperlink" Target="https://www.google.com/search?tbm=isch&amp;q=Magnifying+lens%28bi-+concave+lens%29" TargetMode="External"/><Relationship Id="rId3453" Type="http://schemas.openxmlformats.org/officeDocument/2006/relationships/hyperlink" Target="https://www.google.com/search?tbm=isch&amp;q=Seeding+Trays+for+Nursery+%3F%28+70+Cavity+%2F+holes+%29" TargetMode="External"/><Relationship Id="rId3454" Type="http://schemas.openxmlformats.org/officeDocument/2006/relationships/hyperlink" Target="https://www.google.com/search?tbm=isch&amp;q=Sprinkler+Irrigation+Unit+%28+Lateral+pipe+16mm+x+20ft+%2C+Micro" TargetMode="External"/><Relationship Id="rId3455" Type="http://schemas.openxmlformats.org/officeDocument/2006/relationships/hyperlink" Target="https://www.google.com/search?tbm=isch&amp;q=Drip+Irrigation+Unit+%28+Lateral+pipe+16mm+x+20+ft+%2C+Elbow+%2C+c" TargetMode="External"/><Relationship Id="rId3456" Type="http://schemas.openxmlformats.org/officeDocument/2006/relationships/hyperlink" Target="https://www.google.com/search?tbm=isch&amp;q=Grafting+transplanting+bags" TargetMode="External"/><Relationship Id="rId3457" Type="http://schemas.openxmlformats.org/officeDocument/2006/relationships/hyperlink" Target="https://cdn.jsdelivr.net/gh/EngineerX1234/vocational-images@main/tools/batch-12/food-processing-lactometer.jpg" TargetMode="External"/><Relationship Id="rId3458" Type="http://schemas.openxmlformats.org/officeDocument/2006/relationships/hyperlink" Target="https://www.google.com/search?tbm=isch&amp;q=Measuring+250ml+Cylinder" TargetMode="External"/><Relationship Id="rId3459" Type="http://schemas.openxmlformats.org/officeDocument/2006/relationships/hyperlink" Target="https://www.google.com/search?tbm=isch&amp;q=Beaker+250ml" TargetMode="External"/><Relationship Id="rId3460" Type="http://schemas.openxmlformats.org/officeDocument/2006/relationships/hyperlink" Target="https://www.google.com/search?tbm=isch&amp;q=Hand+Gloves+%28Long%29" TargetMode="External"/><Relationship Id="rId3461" Type="http://schemas.openxmlformats.org/officeDocument/2006/relationships/hyperlink" Target="https://www.google.com/search?tbm=isch&amp;q=Mask+%28+Canvas+Mask+%29+Charts" TargetMode="External"/><Relationship Id="rId3462" Type="http://schemas.openxmlformats.org/officeDocument/2006/relationships/hyperlink" Target="https://www.google.com/search?tbm=isch&amp;q=Irrigation+method+charts" TargetMode="External"/><Relationship Id="rId3463" Type="http://schemas.openxmlformats.org/officeDocument/2006/relationships/hyperlink" Target="https://www.google.com/search?tbm=isch&amp;q=Artificial+insemination+Chart" TargetMode="External"/><Relationship Id="rId3464" Type="http://schemas.openxmlformats.org/officeDocument/2006/relationships/hyperlink" Target="https://www.google.com/search?tbm=isch&amp;q=Breed+charts+Cow%2CGoat%2CBull+ock" TargetMode="External"/><Relationship Id="rId3465" Type="http://schemas.openxmlformats.org/officeDocument/2006/relationships/hyperlink" Target="https://www.google.com/search?tbm=isch&amp;q=Display+board+for+tools+display+and+easy+access+to+students" TargetMode="External"/><Relationship Id="rId3466" Type="http://schemas.openxmlformats.org/officeDocument/2006/relationships/hyperlink" Target="https://www.google.com/search?tbm=isch&amp;q=Display+board+for+tools+display+and+easy+access+to+students" TargetMode="External"/><Relationship Id="rId3467" Type="http://schemas.openxmlformats.org/officeDocument/2006/relationships/hyperlink" Target="https://www.google.com/search?tbm=isch&amp;q=Working+Table+to+perform+practicals+for+15+students" TargetMode="External"/><Relationship Id="rId3468" Type="http://schemas.openxmlformats.org/officeDocument/2006/relationships/hyperlink" Target="https://www.google.com/search?tbm=isch&amp;q=Machine+Table+for+Machine+Installation" TargetMode="External"/><Relationship Id="rId3469" Type="http://schemas.openxmlformats.org/officeDocument/2006/relationships/hyperlink" Target="https://www.google.com/search?tbm=isch&amp;q=Cupboard+for+Storage+of+tools%2C+Raw+material+and+other+Resour" TargetMode="External"/><Relationship Id="rId3470" Type="http://schemas.openxmlformats.org/officeDocument/2006/relationships/hyperlink" Target="https://www.google.com/search?tbm=isch&amp;q=Stools+for+sitting" TargetMode="External"/><Relationship Id="rId3471" Type="http://schemas.openxmlformats.org/officeDocument/2006/relationships/hyperlink" Target="https://www.google.com/search?tbm=isch&amp;q=Kitchen+Table+with+Drawer+and+Storage+cupboard+%2F+Working+tab" TargetMode="External"/><Relationship Id="rId3472" Type="http://schemas.openxmlformats.org/officeDocument/2006/relationships/hyperlink" Target="https://www.google.com/search?tbm=isch&amp;q=Utensil+Rack" TargetMode="External"/><Relationship Id="rId3473" Type="http://schemas.openxmlformats.org/officeDocument/2006/relationships/hyperlink" Target="https://www.google.com/search?tbm=isch&amp;q=Gypsum+Screw" TargetMode="External"/><Relationship Id="rId3474" Type="http://schemas.openxmlformats.org/officeDocument/2006/relationships/hyperlink" Target="https://www.google.com/search?tbm=isch&amp;q=Gypsum+Screw" TargetMode="External"/><Relationship Id="rId3475" Type="http://schemas.openxmlformats.org/officeDocument/2006/relationships/hyperlink" Target="https://www.google.com/search?tbm=isch&amp;q=Gypsum+Screw" TargetMode="External"/><Relationship Id="rId3476" Type="http://schemas.openxmlformats.org/officeDocument/2006/relationships/hyperlink" Target="https://www.google.com/search?tbm=isch&amp;q=Gypsum+Screw" TargetMode="External"/><Relationship Id="rId3477" Type="http://schemas.openxmlformats.org/officeDocument/2006/relationships/hyperlink" Target="https://www.google.com/search?tbm=isch&amp;q=Clamp" TargetMode="External"/><Relationship Id="rId3478" Type="http://schemas.openxmlformats.org/officeDocument/2006/relationships/hyperlink" Target="https://www.google.com/search?tbm=isch&amp;q=Clamp" TargetMode="External"/><Relationship Id="rId3479" Type="http://schemas.openxmlformats.org/officeDocument/2006/relationships/hyperlink" Target="https://www.google.com/search?tbm=isch&amp;q=Clamp" TargetMode="External"/><Relationship Id="rId3480" Type="http://schemas.openxmlformats.org/officeDocument/2006/relationships/hyperlink" Target="https://www.google.com/search?tbm=isch&amp;q=Nail" TargetMode="External"/><Relationship Id="rId3481" Type="http://schemas.openxmlformats.org/officeDocument/2006/relationships/hyperlink" Target="https://www.google.com/search?tbm=isch&amp;q=Hook" TargetMode="External"/><Relationship Id="rId3482" Type="http://schemas.openxmlformats.org/officeDocument/2006/relationships/hyperlink" Target="https://www.google.com/search?tbm=isch&amp;q=Nut+Bolt" TargetMode="External"/><Relationship Id="rId3483" Type="http://schemas.openxmlformats.org/officeDocument/2006/relationships/hyperlink" Target="https://www.google.com/search?tbm=isch&amp;q=Nut+Bolt" TargetMode="External"/><Relationship Id="rId3484" Type="http://schemas.openxmlformats.org/officeDocument/2006/relationships/hyperlink" Target="https://www.google.com/search?tbm=isch&amp;q=Nut+Bolt" TargetMode="External"/><Relationship Id="rId3485" Type="http://schemas.openxmlformats.org/officeDocument/2006/relationships/hyperlink" Target="https://www.google.com/search?tbm=isch&amp;q=Floor+Marking+Tape" TargetMode="External"/><Relationship Id="rId3486" Type="http://schemas.openxmlformats.org/officeDocument/2006/relationships/hyperlink" Target="https://www.google.com/search?tbm=isch&amp;q=Multi+Skill+Foundation+Course+%28MSFC%29" TargetMode="External"/><Relationship Id="rId3487" Type="http://schemas.openxmlformats.org/officeDocument/2006/relationships/hyperlink" Target="https://www.google.com/search?tbm=isch&amp;q=Energy+%26+Environment+%28EE%29" TargetMode="External"/><Relationship Id="rId3488" Type="http://schemas.openxmlformats.org/officeDocument/2006/relationships/hyperlink" Target="https://www.google.com/search?tbm=isch&amp;q=Workshop+%26+Engineering+Techniques+%28WET%29" TargetMode="External"/><Relationship Id="rId3489" Type="http://schemas.openxmlformats.org/officeDocument/2006/relationships/hyperlink" Target="https://www.google.com/search?tbm=isch&amp;q=Gardening%2C+Nursery+%26+Agriculture+Techniques+%28GNAT%29" TargetMode="External"/><Relationship Id="rId3490" Type="http://schemas.openxmlformats.org/officeDocument/2006/relationships/hyperlink" Target="https://www.google.com/search?tbm=isch&amp;q=Food+Processing+Techniques+%28FPT%29" TargetMode="External"/><Relationship Id="rId3491" Type="http://schemas.openxmlformats.org/officeDocument/2006/relationships/hyperlink" Target="https://www.google.com/search?tbm=isch&amp;q=Resource+Corner" TargetMode="External"/><Relationship Id="rId3492" Type="http://schemas.openxmlformats.org/officeDocument/2006/relationships/hyperlink" Target="https://www.google.com/search?tbm=isch&amp;q=Safety+Wall" TargetMode="External"/><Relationship Id="rId3493" Type="http://schemas.openxmlformats.org/officeDocument/2006/relationships/hyperlink" Target="https://www.google.com/search?tbm=isch&amp;q=First+Aid+Box" TargetMode="External"/><Relationship Id="rId3494" Type="http://schemas.openxmlformats.org/officeDocument/2006/relationships/hyperlink" Target="https://www.google.com/search?tbm=isch&amp;q=Fire+Extinguisher" TargetMode="External"/><Relationship Id="rId3495" Type="http://schemas.openxmlformats.org/officeDocument/2006/relationships/hyperlink" Target="https://www.google.com/search?tbm=isch&amp;q=Display+Corner" TargetMode="External"/><Relationship Id="rId3496" Type="http://schemas.openxmlformats.org/officeDocument/2006/relationships/hyperlink" Target="https://cdn.jsdelivr.net/gh/EngineerX1234/vocational-images@main/tools/batch-19/physical-education-and-sports-computer-laptop.jpg" TargetMode="External"/><Relationship Id="rId3497" Type="http://schemas.openxmlformats.org/officeDocument/2006/relationships/hyperlink" Target="https://www.google.com/search?tbm=isch&amp;q=Microsoft+Office" TargetMode="External"/><Relationship Id="rId3498" Type="http://schemas.openxmlformats.org/officeDocument/2006/relationships/hyperlink" Target="https://www.google.com/search?tbm=isch&amp;q=AutoCAD+software+%28to+be+integrated+in+computer%29" TargetMode="External"/><Relationship Id="rId3499" Type="http://schemas.openxmlformats.org/officeDocument/2006/relationships/hyperlink" Target="https://cdn.jsdelivr.net/gh/EngineerX1234/vocational-images@main/tools/batch-10/electronics-battery.jpg" TargetMode="External"/><Relationship Id="rId3500" Type="http://schemas.openxmlformats.org/officeDocument/2006/relationships/hyperlink" Target="https://cdn.jsdelivr.net/gh/EngineerX1234/vocational-images@main/tools/batch-05/aerospace-and-aviation-battery-charger.jpg" TargetMode="External"/><Relationship Id="rId3501" Type="http://schemas.openxmlformats.org/officeDocument/2006/relationships/hyperlink" Target="https://www.google.com/search?tbm=isch&amp;q=Power+Adaptor" TargetMode="External"/><Relationship Id="rId3502" Type="http://schemas.openxmlformats.org/officeDocument/2006/relationships/hyperlink" Target="https://www.google.com/search?tbm=isch&amp;q=Resistor+Kit" TargetMode="External"/><Relationship Id="rId3503" Type="http://schemas.openxmlformats.org/officeDocument/2006/relationships/hyperlink" Target="https://www.google.com/search?tbm=isch&amp;q=Capacitor+Kit" TargetMode="External"/><Relationship Id="rId3504" Type="http://schemas.openxmlformats.org/officeDocument/2006/relationships/hyperlink" Target="https://www.google.com/search?tbm=isch&amp;q=LDR+Module" TargetMode="External"/><Relationship Id="rId3505" Type="http://schemas.openxmlformats.org/officeDocument/2006/relationships/hyperlink" Target="https://www.google.com/search?tbm=isch&amp;q=Active+Buzzer" TargetMode="External"/><Relationship Id="rId3506" Type="http://schemas.openxmlformats.org/officeDocument/2006/relationships/hyperlink" Target="https://www.google.com/search?tbm=isch&amp;q=Jumper+Cable" TargetMode="External"/><Relationship Id="rId3507" Type="http://schemas.openxmlformats.org/officeDocument/2006/relationships/hyperlink" Target="https://www.google.com/search?tbm=isch&amp;q=Jumper+Cable" TargetMode="External"/><Relationship Id="rId3508" Type="http://schemas.openxmlformats.org/officeDocument/2006/relationships/hyperlink" Target="https://www.google.com/search?tbm=isch&amp;q=Jumper+Cable" TargetMode="External"/><Relationship Id="rId3509" Type="http://schemas.openxmlformats.org/officeDocument/2006/relationships/hyperlink" Target="https://www.google.com/search?tbm=isch&amp;q=RGB+LEDs" TargetMode="External"/><Relationship Id="rId3510" Type="http://schemas.openxmlformats.org/officeDocument/2006/relationships/hyperlink" Target="https://www.google.com/search?tbm=isch&amp;q=LEDs+Multi+Color" TargetMode="External"/><Relationship Id="rId3511" Type="http://schemas.openxmlformats.org/officeDocument/2006/relationships/hyperlink" Target="https://www.google.com/search?tbm=isch&amp;q=Potentiometer" TargetMode="External"/><Relationship Id="rId3512" Type="http://schemas.openxmlformats.org/officeDocument/2006/relationships/hyperlink" Target="https://www.google.com/search?tbm=isch&amp;q=Hot+glue+gun" TargetMode="External"/><Relationship Id="rId3513" Type="http://schemas.openxmlformats.org/officeDocument/2006/relationships/hyperlink" Target="https://www.google.com/search?tbm=isch&amp;q=Digital+Multi+Meter" TargetMode="External"/><Relationship Id="rId3514" Type="http://schemas.openxmlformats.org/officeDocument/2006/relationships/hyperlink" Target="https://www.google.com/search?tbm=isch&amp;q=Glue+Sticks" TargetMode="External"/><Relationship Id="rId3515" Type="http://schemas.openxmlformats.org/officeDocument/2006/relationships/hyperlink" Target="https://www.google.com/search?tbm=isch&amp;q=Coin+Cell" TargetMode="External"/><Relationship Id="rId3516" Type="http://schemas.openxmlformats.org/officeDocument/2006/relationships/hyperlink" Target="https://www.google.com/search?tbm=isch&amp;q=Conductive+Tape+or+Aluminium+Foil" TargetMode="External"/><Relationship Id="rId3517" Type="http://schemas.openxmlformats.org/officeDocument/2006/relationships/hyperlink" Target="https://www.google.com/search?tbm=isch&amp;q=Hook+Up+Wire" TargetMode="External"/><Relationship Id="rId3518" Type="http://schemas.openxmlformats.org/officeDocument/2006/relationships/hyperlink" Target="https://www.google.com/search?tbm=isch&amp;q=Battery+Holder%2FConnector" TargetMode="External"/><Relationship Id="rId3519" Type="http://schemas.openxmlformats.org/officeDocument/2006/relationships/hyperlink" Target="https://www.google.com/search?tbm=isch&amp;q=Breadboard" TargetMode="External"/><Relationship Id="rId3520" Type="http://schemas.openxmlformats.org/officeDocument/2006/relationships/hyperlink" Target="https://www.google.com/search?tbm=isch&amp;q=Humidity+Sensor" TargetMode="External"/><Relationship Id="rId3521" Type="http://schemas.openxmlformats.org/officeDocument/2006/relationships/hyperlink" Target="https://www.google.com/search?tbm=isch&amp;q=IR+Sensor" TargetMode="External"/><Relationship Id="rId3522" Type="http://schemas.openxmlformats.org/officeDocument/2006/relationships/hyperlink" Target="https://www.google.com/search?tbm=isch&amp;q=Ultrasonic+Sensor+Module+HC04" TargetMode="External"/><Relationship Id="rId3523" Type="http://schemas.openxmlformats.org/officeDocument/2006/relationships/hyperlink" Target="https://www.google.com/search?tbm=isch&amp;q=Pulse+Rate+Heart+Sensor" TargetMode="External"/><Relationship Id="rId3524" Type="http://schemas.openxmlformats.org/officeDocument/2006/relationships/hyperlink" Target="https://www.google.com/search?tbm=isch&amp;q=Sound+Sensor" TargetMode="External"/><Relationship Id="rId3525" Type="http://schemas.openxmlformats.org/officeDocument/2006/relationships/hyperlink" Target="https://www.google.com/search?tbm=isch&amp;q=Soil+Moisture+Sensor" TargetMode="External"/><Relationship Id="rId3526" Type="http://schemas.openxmlformats.org/officeDocument/2006/relationships/hyperlink" Target="https://www.google.com/search?tbm=isch&amp;q=Rain+Drop+Sensor" TargetMode="External"/><Relationship Id="rId3527" Type="http://schemas.openxmlformats.org/officeDocument/2006/relationships/hyperlink" Target="https://www.google.com/search?tbm=isch&amp;q=Water+Depth+Sensor" TargetMode="External"/><Relationship Id="rId3528" Type="http://schemas.openxmlformats.org/officeDocument/2006/relationships/hyperlink" Target="https://www.google.com/search?tbm=isch&amp;q=Temperature+Sensor" TargetMode="External"/><Relationship Id="rId3529" Type="http://schemas.openxmlformats.org/officeDocument/2006/relationships/hyperlink" Target="https://www.google.com/search?tbm=isch&amp;q=Smoke+Sensor" TargetMode="External"/><Relationship Id="rId3530" Type="http://schemas.openxmlformats.org/officeDocument/2006/relationships/hyperlink" Target="https://www.google.com/search?tbm=isch&amp;q=Arduino+UNO" TargetMode="External"/><Relationship Id="rId3531" Type="http://schemas.openxmlformats.org/officeDocument/2006/relationships/hyperlink" Target="https://www.google.com/search?tbm=isch&amp;q=Tinker+Cad+Software" TargetMode="External"/><Relationship Id="rId3532" Type="http://schemas.openxmlformats.org/officeDocument/2006/relationships/hyperlink" Target="https://www.google.com/search?tbm=isch&amp;q=Arduino+IDE+Software" TargetMode="External"/><Relationship Id="rId3533" Type="http://schemas.openxmlformats.org/officeDocument/2006/relationships/hyperlink" Target="https://www.google.com/search?tbm=isch&amp;q=Water+Pump" TargetMode="External"/><Relationship Id="rId3534" Type="http://schemas.openxmlformats.org/officeDocument/2006/relationships/hyperlink" Target="https://www.google.com/search?tbm=isch&amp;q=LCD+Display" TargetMode="External"/><Relationship Id="rId3535" Type="http://schemas.openxmlformats.org/officeDocument/2006/relationships/hyperlink" Target="https://www.google.com/search?tbm=isch&amp;q=Relay" TargetMode="External"/><Relationship Id="rId3536" Type="http://schemas.openxmlformats.org/officeDocument/2006/relationships/hyperlink" Target="https://www.google.com/search?tbm=isch&amp;q=Relay" TargetMode="External"/><Relationship Id="rId3537" Type="http://schemas.openxmlformats.org/officeDocument/2006/relationships/hyperlink" Target="https://www.google.com/search?tbm=isch&amp;q=Servo+Motor" TargetMode="External"/><Relationship Id="rId3538" Type="http://schemas.openxmlformats.org/officeDocument/2006/relationships/hyperlink" Target="https://www.google.com/search?tbm=isch&amp;q=DC+Motor" TargetMode="External"/><Relationship Id="rId3539" Type="http://schemas.openxmlformats.org/officeDocument/2006/relationships/hyperlink" Target="https://www.google.com/search?tbm=isch&amp;q=L298P+Motor+Driver" TargetMode="External"/><Relationship Id="rId3540" Type="http://schemas.openxmlformats.org/officeDocument/2006/relationships/hyperlink" Target="https://www.google.com/search?tbm=isch&amp;q=ESP32" TargetMode="External"/><Relationship Id="rId3541" Type="http://schemas.openxmlformats.org/officeDocument/2006/relationships/hyperlink" Target="https://www.google.com/search?tbm=isch&amp;q=7+Segment+Display" TargetMode="External"/><Relationship Id="rId3542" Type="http://schemas.openxmlformats.org/officeDocument/2006/relationships/hyperlink" Target="https://www.google.com/search?tbm=isch&amp;q=Battery+clips+with+DC+Jack" TargetMode="External"/><Relationship Id="rId3543" Type="http://schemas.openxmlformats.org/officeDocument/2006/relationships/hyperlink" Target="https://www.google.com/search?tbm=isch&amp;q=Steel+Ruler" TargetMode="External"/><Relationship Id="rId3544" Type="http://schemas.openxmlformats.org/officeDocument/2006/relationships/hyperlink" Target="https://www.google.com/search?tbm=isch&amp;q=Measuring+Tape+ISI+Mark" TargetMode="External"/><Relationship Id="rId3545" Type="http://schemas.openxmlformats.org/officeDocument/2006/relationships/hyperlink" Target="https://www.google.com/search?tbm=isch&amp;q=Spirit+Level+Bottle" TargetMode="External"/><Relationship Id="rId3546" Type="http://schemas.openxmlformats.org/officeDocument/2006/relationships/hyperlink" Target="https://cdn.jsdelivr.net/gh/EngineerX1234/vocational-images@main/tools/batch-05/agriculture-vernier-caliper.jpg" TargetMode="External"/><Relationship Id="rId3547" Type="http://schemas.openxmlformats.org/officeDocument/2006/relationships/hyperlink" Target="https://www.google.com/search?tbm=isch&amp;q=Vernier+Caliper-+Digital" TargetMode="External"/><Relationship Id="rId3548" Type="http://schemas.openxmlformats.org/officeDocument/2006/relationships/hyperlink" Target="https://www.google.com/search?tbm=isch&amp;q=Spring+Caliper+Inside+%2FOutside+%2FDivider" TargetMode="External"/><Relationship Id="rId3549" Type="http://schemas.openxmlformats.org/officeDocument/2006/relationships/hyperlink" Target="https://www.google.com/search?tbm=isch&amp;q=Out+-+Side+Micrometer" TargetMode="External"/><Relationship Id="rId3550" Type="http://schemas.openxmlformats.org/officeDocument/2006/relationships/hyperlink" Target="https://www.google.com/search?tbm=isch&amp;q=Out+-+Side+Micrometer+Digital" TargetMode="External"/><Relationship Id="rId3551" Type="http://schemas.openxmlformats.org/officeDocument/2006/relationships/hyperlink" Target="https://www.google.com/search?tbm=isch&amp;q=Threading+Gauge+%28+Engineering%29" TargetMode="External"/><Relationship Id="rId3552" Type="http://schemas.openxmlformats.org/officeDocument/2006/relationships/hyperlink" Target="https://www.google.com/search?tbm=isch&amp;q=Threading+Gauge+%28+Plumbing%29" TargetMode="External"/><Relationship Id="rId3553" Type="http://schemas.openxmlformats.org/officeDocument/2006/relationships/hyperlink" Target="https://www.google.com/search?tbm=isch&amp;q=Radius+Gauge" TargetMode="External"/><Relationship Id="rId3554" Type="http://schemas.openxmlformats.org/officeDocument/2006/relationships/hyperlink" Target="https://www.google.com/search?tbm=isch&amp;q=Try+Square" TargetMode="External"/><Relationship Id="rId3555" Type="http://schemas.openxmlformats.org/officeDocument/2006/relationships/hyperlink" Target="https://www.google.com/search?tbm=isch&amp;q=Tri-square+%28Welding%29" TargetMode="External"/><Relationship Id="rId3556" Type="http://schemas.openxmlformats.org/officeDocument/2006/relationships/hyperlink" Target="https://www.google.com/search?tbm=isch&amp;q=Tri-Square+%28Casting+base%29+%28construction+and+Carpentry%29" TargetMode="External"/><Relationship Id="rId3557" Type="http://schemas.openxmlformats.org/officeDocument/2006/relationships/hyperlink" Target="https://www.google.com/search?tbm=isch&amp;q=Scriber" TargetMode="External"/><Relationship Id="rId3558" Type="http://schemas.openxmlformats.org/officeDocument/2006/relationships/hyperlink" Target="https://www.google.com/search?tbm=isch&amp;q=Claw+Hammer" TargetMode="External"/><Relationship Id="rId3559" Type="http://schemas.openxmlformats.org/officeDocument/2006/relationships/hyperlink" Target="https://www.google.com/search?tbm=isch&amp;q=Mallet+Wooden" TargetMode="External"/><Relationship Id="rId3560" Type="http://schemas.openxmlformats.org/officeDocument/2006/relationships/hyperlink" Target="https://www.google.com/search?tbm=isch&amp;q=Mallet+Plastic" TargetMode="External"/><Relationship Id="rId3561" Type="http://schemas.openxmlformats.org/officeDocument/2006/relationships/hyperlink" Target="https://www.google.com/search?tbm=isch&amp;q=Tenon+Saw" TargetMode="External"/><Relationship Id="rId3562" Type="http://schemas.openxmlformats.org/officeDocument/2006/relationships/hyperlink" Target="https://www.google.com/search?tbm=isch&amp;q=Saw" TargetMode="External"/><Relationship Id="rId3563" Type="http://schemas.openxmlformats.org/officeDocument/2006/relationships/hyperlink" Target="https://www.google.com/search?tbm=isch&amp;q=ELECTRIC+CIRCULAR+SAW" TargetMode="External"/><Relationship Id="rId3564" Type="http://schemas.openxmlformats.org/officeDocument/2006/relationships/hyperlink" Target="https://www.google.com/search?tbm=isch&amp;q=Saw+small+size" TargetMode="External"/><Relationship Id="rId3565" Type="http://schemas.openxmlformats.org/officeDocument/2006/relationships/hyperlink" Target="https://www.google.com/search?tbm=isch&amp;q=Diwad+Plier+%2F+Saw+teeth+setting+plier" TargetMode="External"/><Relationship Id="rId3566" Type="http://schemas.openxmlformats.org/officeDocument/2006/relationships/hyperlink" Target="https://www.google.com/search?tbm=isch&amp;q=Hacksaw+Frame" TargetMode="External"/><Relationship Id="rId3567" Type="http://schemas.openxmlformats.org/officeDocument/2006/relationships/hyperlink" Target="https://www.google.com/search?tbm=isch&amp;q=ADJUSTABLE+HACKSAW+FRAME" TargetMode="External"/><Relationship Id="rId3568" Type="http://schemas.openxmlformats.org/officeDocument/2006/relationships/hyperlink" Target="https://www.google.com/search?tbm=isch&amp;q=Half+Round+Wood+rasp+File" TargetMode="External"/><Relationship Id="rId3569" Type="http://schemas.openxmlformats.org/officeDocument/2006/relationships/hyperlink" Target="https://www.google.com/search?tbm=isch&amp;q=Flat+file+Rasp" TargetMode="External"/><Relationship Id="rId3570" Type="http://schemas.openxmlformats.org/officeDocument/2006/relationships/hyperlink" Target="https://www.google.com/search?tbm=isch&amp;q=Flat+file+Rough" TargetMode="External"/><Relationship Id="rId3571" Type="http://schemas.openxmlformats.org/officeDocument/2006/relationships/hyperlink" Target="https://www.google.com/search?tbm=isch&amp;q=C-Clamps+%28for+carpentry+use%29" TargetMode="External"/><Relationship Id="rId3572" Type="http://schemas.openxmlformats.org/officeDocument/2006/relationships/hyperlink" Target="https://www.google.com/search?tbm=isch&amp;q=Iron+Plane" TargetMode="External"/><Relationship Id="rId3573" Type="http://schemas.openxmlformats.org/officeDocument/2006/relationships/hyperlink" Target="https://www.google.com/search?tbm=isch&amp;q=Iron+Plane" TargetMode="External"/><Relationship Id="rId3574" Type="http://schemas.openxmlformats.org/officeDocument/2006/relationships/hyperlink" Target="https://www.google.com/search?tbm=isch&amp;q=Firmer+Chisel" TargetMode="External"/><Relationship Id="rId3575" Type="http://schemas.openxmlformats.org/officeDocument/2006/relationships/hyperlink" Target="https://www.google.com/search?tbm=isch&amp;q=Firmer+Chisel" TargetMode="External"/><Relationship Id="rId3576" Type="http://schemas.openxmlformats.org/officeDocument/2006/relationships/hyperlink" Target="https://www.google.com/search?tbm=isch&amp;q=Mortise+Chisel" TargetMode="External"/><Relationship Id="rId3577" Type="http://schemas.openxmlformats.org/officeDocument/2006/relationships/hyperlink" Target="https://www.google.com/search?tbm=isch&amp;q=Mortise+Chisel" TargetMode="External"/><Relationship Id="rId3578" Type="http://schemas.openxmlformats.org/officeDocument/2006/relationships/hyperlink" Target="https://www.google.com/search?tbm=isch&amp;q=Pairing+Chisel" TargetMode="External"/><Relationship Id="rId3579" Type="http://schemas.openxmlformats.org/officeDocument/2006/relationships/hyperlink" Target="https://www.google.com/search?tbm=isch&amp;q=Hand+Drill+Machine" TargetMode="External"/><Relationship Id="rId3580" Type="http://schemas.openxmlformats.org/officeDocument/2006/relationships/hyperlink" Target="https://www.google.com/search?tbm=isch&amp;q=Butt+Hinges" TargetMode="External"/><Relationship Id="rId3581" Type="http://schemas.openxmlformats.org/officeDocument/2006/relationships/hyperlink" Target="https://www.google.com/search?tbm=isch&amp;q=Rising+Butt+Hinges" TargetMode="External"/><Relationship Id="rId3582" Type="http://schemas.openxmlformats.org/officeDocument/2006/relationships/hyperlink" Target="https://www.google.com/search?tbm=isch&amp;q=T%27+hinges" TargetMode="External"/><Relationship Id="rId3583" Type="http://schemas.openxmlformats.org/officeDocument/2006/relationships/hyperlink" Target="https://www.google.com/search?tbm=isch&amp;q=Parliament+hinge" TargetMode="External"/><Relationship Id="rId3584" Type="http://schemas.openxmlformats.org/officeDocument/2006/relationships/hyperlink" Target="https://www.google.com/search?tbm=isch&amp;q=Piano+Hinges" TargetMode="External"/><Relationship Id="rId3585" Type="http://schemas.openxmlformats.org/officeDocument/2006/relationships/hyperlink" Target="https://www.google.com/search?tbm=isch&amp;q=Sun+mica+Cutter" TargetMode="External"/><Relationship Id="rId3586" Type="http://schemas.openxmlformats.org/officeDocument/2006/relationships/hyperlink" Target="https://www.google.com/search?tbm=isch&amp;q=Carboundum+Stone+%28Emery%29" TargetMode="External"/><Relationship Id="rId3587" Type="http://schemas.openxmlformats.org/officeDocument/2006/relationships/hyperlink" Target="https://www.google.com/search?tbm=isch&amp;q=Auger+Bit" TargetMode="External"/><Relationship Id="rId3588" Type="http://schemas.openxmlformats.org/officeDocument/2006/relationships/hyperlink" Target="https://www.google.com/search?tbm=isch&amp;q=Tin+Cutter+%28Tin+cutter+with+spring%29" TargetMode="External"/><Relationship Id="rId3589" Type="http://schemas.openxmlformats.org/officeDocument/2006/relationships/hyperlink" Target="https://www.google.com/search?tbm=isch&amp;q=Tin+Cutter+-Scissor" TargetMode="External"/><Relationship Id="rId3590" Type="http://schemas.openxmlformats.org/officeDocument/2006/relationships/hyperlink" Target="https://www.google.com/search?tbm=isch&amp;q=Soldering+Iron+%28khadya%29" TargetMode="External"/><Relationship Id="rId3591" Type="http://schemas.openxmlformats.org/officeDocument/2006/relationships/hyperlink" Target="https://www.google.com/search?tbm=isch&amp;q=Bench+Drill+Machine+%28With+belt+safety+guard+%26+on%2Foff+switch+" TargetMode="External"/><Relationship Id="rId3592" Type="http://schemas.openxmlformats.org/officeDocument/2006/relationships/hyperlink" Target="https://www.google.com/search?tbm=isch&amp;q=HSS+Drill+set" TargetMode="External"/><Relationship Id="rId3593" Type="http://schemas.openxmlformats.org/officeDocument/2006/relationships/hyperlink" Target="https://www.google.com/search?tbm=isch&amp;q=Center+Drill" TargetMode="External"/><Relationship Id="rId3594" Type="http://schemas.openxmlformats.org/officeDocument/2006/relationships/hyperlink" Target="https://www.google.com/search?tbm=isch&amp;q=Tap+Wrench" TargetMode="External"/><Relationship Id="rId3595" Type="http://schemas.openxmlformats.org/officeDocument/2006/relationships/hyperlink" Target="https://cdn.jsdelivr.net/gh/EngineerX1234/vocational-images@main/tools/batch-07/automotive-oil-can.jpg" TargetMode="External"/><Relationship Id="rId3596" Type="http://schemas.openxmlformats.org/officeDocument/2006/relationships/hyperlink" Target="https://www.google.com/search?tbm=isch&amp;q=Machine+vice" TargetMode="External"/><Relationship Id="rId3597" Type="http://schemas.openxmlformats.org/officeDocument/2006/relationships/hyperlink" Target="https://www.google.com/search?tbm=isch&amp;q=Hammers+B.P+%28Hammers+ball+pain%29" TargetMode="External"/><Relationship Id="rId3598" Type="http://schemas.openxmlformats.org/officeDocument/2006/relationships/hyperlink" Target="https://www.google.com/search?tbm=isch&amp;q=Hammer+C.P+%28hammer+cross+pain%29+with+handle+forged+steel" TargetMode="External"/><Relationship Id="rId3599" Type="http://schemas.openxmlformats.org/officeDocument/2006/relationships/hyperlink" Target="https://www.google.com/search?tbm=isch&amp;q=Flat+Chisel" TargetMode="External"/><Relationship Id="rId3600" Type="http://schemas.openxmlformats.org/officeDocument/2006/relationships/hyperlink" Target="https://www.google.com/search?tbm=isch&amp;q=File+Handle+Wooden" TargetMode="External"/><Relationship Id="rId3601" Type="http://schemas.openxmlformats.org/officeDocument/2006/relationships/hyperlink" Target="https://www.google.com/search?tbm=isch&amp;q=Flat+Basted+File" TargetMode="External"/><Relationship Id="rId3602" Type="http://schemas.openxmlformats.org/officeDocument/2006/relationships/hyperlink" Target="https://www.google.com/search?tbm=isch&amp;q=Flat+Smooth+File" TargetMode="External"/><Relationship Id="rId3603" Type="http://schemas.openxmlformats.org/officeDocument/2006/relationships/hyperlink" Target="https://www.google.com/search?tbm=isch&amp;q=Triangular+files" TargetMode="External"/><Relationship Id="rId3604" Type="http://schemas.openxmlformats.org/officeDocument/2006/relationships/hyperlink" Target="https://www.google.com/search?tbm=isch&amp;q=Round+Basted+File" TargetMode="External"/><Relationship Id="rId3605" Type="http://schemas.openxmlformats.org/officeDocument/2006/relationships/hyperlink" Target="https://www.google.com/search?tbm=isch&amp;q=Bench+Grinder" TargetMode="External"/><Relationship Id="rId3606" Type="http://schemas.openxmlformats.org/officeDocument/2006/relationships/hyperlink" Target="https://www.google.com/search?tbm=isch&amp;q=Electrical+hand+drill+machine+MII+Class+1+Compliant" TargetMode="External"/><Relationship Id="rId3607" Type="http://schemas.openxmlformats.org/officeDocument/2006/relationships/hyperlink" Target="https://www.google.com/search?tbm=isch&amp;q=Bench+Vice+%28Code-U+-301%29" TargetMode="External"/><Relationship Id="rId3608" Type="http://schemas.openxmlformats.org/officeDocument/2006/relationships/hyperlink" Target="https://www.google.com/search?tbm=isch&amp;q=Open+End+Wrench%2F+Spanner+SET" TargetMode="External"/><Relationship Id="rId3609" Type="http://schemas.openxmlformats.org/officeDocument/2006/relationships/hyperlink" Target="https://www.google.com/search?tbm=isch&amp;q=Ring+Spanner+Set" TargetMode="External"/><Relationship Id="rId3610" Type="http://schemas.openxmlformats.org/officeDocument/2006/relationships/hyperlink" Target="https://www.google.com/search?tbm=isch&amp;q=Tap+%26+Die+Set" TargetMode="External"/><Relationship Id="rId3611" Type="http://schemas.openxmlformats.org/officeDocument/2006/relationships/hyperlink" Target="https://www.google.com/search?tbm=isch&amp;q=Die+wrench" TargetMode="External"/><Relationship Id="rId3612" Type="http://schemas.openxmlformats.org/officeDocument/2006/relationships/hyperlink" Target="https://www.google.com/search?tbm=isch&amp;q=Arc+Welding+Machine+%28Transformer%29+NABL+test+certified" TargetMode="External"/><Relationship Id="rId3613" Type="http://schemas.openxmlformats.org/officeDocument/2006/relationships/hyperlink" Target="https://www.google.com/search?tbm=isch&amp;q=Cable+%26+Lugs+%28Welding+cable%29" TargetMode="External"/><Relationship Id="rId3614" Type="http://schemas.openxmlformats.org/officeDocument/2006/relationships/hyperlink" Target="https://www.google.com/search?tbm=isch&amp;q=Welding+%2F+Electrode+Holder" TargetMode="External"/><Relationship Id="rId3615" Type="http://schemas.openxmlformats.org/officeDocument/2006/relationships/hyperlink" Target="https://www.google.com/search?tbm=isch&amp;q=Wire+Brush" TargetMode="External"/><Relationship Id="rId3616" Type="http://schemas.openxmlformats.org/officeDocument/2006/relationships/hyperlink" Target="https://www.google.com/search?tbm=isch&amp;q=Adjustable+Wrench+%28Adjustable+Spanner%29" TargetMode="External"/><Relationship Id="rId3617" Type="http://schemas.openxmlformats.org/officeDocument/2006/relationships/hyperlink" Target="https://www.google.com/search?tbm=isch&amp;q=Grip-on-pliers" TargetMode="External"/><Relationship Id="rId3618" Type="http://schemas.openxmlformats.org/officeDocument/2006/relationships/hyperlink" Target="https://www.google.com/search?tbm=isch&amp;q=Vise+Grip" TargetMode="External"/><Relationship Id="rId3619" Type="http://schemas.openxmlformats.org/officeDocument/2006/relationships/hyperlink" Target="https://www.google.com/search?tbm=isch&amp;q=Trowel+%28Thapi%29+Set" TargetMode="External"/><Relationship Id="rId3620" Type="http://schemas.openxmlformats.org/officeDocument/2006/relationships/hyperlink" Target="https://www.google.com/search?tbm=isch&amp;q=Trowel+%28Thapi-Plane%29" TargetMode="External"/><Relationship Id="rId3621" Type="http://schemas.openxmlformats.org/officeDocument/2006/relationships/hyperlink" Target="https://cdn.jsdelivr.net/gh/EngineerX1234/vocational-images@main/tools/batch-11/electronics-plumb-bob.jpg" TargetMode="External"/><Relationship Id="rId3622" Type="http://schemas.openxmlformats.org/officeDocument/2006/relationships/hyperlink" Target="https://www.google.com/search?tbm=isch&amp;q=Line+Rope" TargetMode="External"/><Relationship Id="rId3623" Type="http://schemas.openxmlformats.org/officeDocument/2006/relationships/hyperlink" Target="https://www.google.com/search?tbm=isch&amp;q=Sand+Sieve" TargetMode="External"/><Relationship Id="rId3624" Type="http://schemas.openxmlformats.org/officeDocument/2006/relationships/hyperlink" Target="https://www.google.com/search?tbm=isch&amp;q=Masonry+Drill+%28Concrete+Drill%29" TargetMode="External"/><Relationship Id="rId3625" Type="http://schemas.openxmlformats.org/officeDocument/2006/relationships/hyperlink" Target="https://www.google.com/search?tbm=isch&amp;q=Bucket+%28+MS+steel+bucket%29" TargetMode="External"/><Relationship Id="rId3626" Type="http://schemas.openxmlformats.org/officeDocument/2006/relationships/hyperlink" Target="https://www.google.com/search?tbm=isch&amp;q=Ghamelas+%28MS+Steel%29+%28for+construction+work%29" TargetMode="External"/><Relationship Id="rId3627" Type="http://schemas.openxmlformats.org/officeDocument/2006/relationships/hyperlink" Target="https://www.google.com/search?tbm=isch&amp;q=Spade+with+wooden+handle" TargetMode="External"/><Relationship Id="rId3628" Type="http://schemas.openxmlformats.org/officeDocument/2006/relationships/hyperlink" Target="https://www.google.com/search?tbm=isch&amp;q=Pipe+Die+Set+-+with+D%2FE+Handle+%28pipe+wrench%29" TargetMode="External"/><Relationship Id="rId3629" Type="http://schemas.openxmlformats.org/officeDocument/2006/relationships/hyperlink" Target="https://cdn.jsdelivr.net/gh/EngineerX1234/vocational-images@main/tools/batch-20/plumbing-pipe-vice.jpg" TargetMode="External"/><Relationship Id="rId3630" Type="http://schemas.openxmlformats.org/officeDocument/2006/relationships/hyperlink" Target="https://www.google.com/search?tbm=isch&amp;q=Pipe+Wrench+BIS+certified" TargetMode="External"/><Relationship Id="rId3631" Type="http://schemas.openxmlformats.org/officeDocument/2006/relationships/hyperlink" Target="https://www.google.com/search?tbm=isch&amp;q=Water+Pump+Plier" TargetMode="External"/><Relationship Id="rId3632" Type="http://schemas.openxmlformats.org/officeDocument/2006/relationships/hyperlink" Target="https://www.google.com/search?tbm=isch&amp;q=Hack+Saw+Blade" TargetMode="External"/><Relationship Id="rId3633" Type="http://schemas.openxmlformats.org/officeDocument/2006/relationships/hyperlink" Target="https://www.google.com/search?tbm=isch&amp;q=Safety+Helmet" TargetMode="External"/><Relationship Id="rId3634" Type="http://schemas.openxmlformats.org/officeDocument/2006/relationships/hyperlink" Target="https://www.google.com/search?tbm=isch&amp;q=Safety+Goggle" TargetMode="External"/><Relationship Id="rId3635" Type="http://schemas.openxmlformats.org/officeDocument/2006/relationships/hyperlink" Target="https://www.google.com/search?tbm=isch&amp;q=Welding+Goggle" TargetMode="External"/><Relationship Id="rId3636" Type="http://schemas.openxmlformats.org/officeDocument/2006/relationships/hyperlink" Target="https://www.google.com/search?tbm=isch&amp;q=Welding+Screen+with+Head+Band" TargetMode="External"/><Relationship Id="rId3637" Type="http://schemas.openxmlformats.org/officeDocument/2006/relationships/hyperlink" Target="https://www.google.com/search?tbm=isch&amp;q=Overcoat+%28Apron-+Blue+color%29" TargetMode="External"/><Relationship Id="rId3638" Type="http://schemas.openxmlformats.org/officeDocument/2006/relationships/hyperlink" Target="https://www.google.com/search?tbm=isch&amp;q=Hand+Gloves+%28Welding+leather+hand+gloves%29" TargetMode="External"/><Relationship Id="rId3639" Type="http://schemas.openxmlformats.org/officeDocument/2006/relationships/hyperlink" Target="https://www.google.com/search?tbm=isch&amp;q=Cotton+Hand+Gloves+%28sheet+metal+work%29" TargetMode="External"/><Relationship Id="rId3640" Type="http://schemas.openxmlformats.org/officeDocument/2006/relationships/hyperlink" Target="https://www.google.com/search?tbm=isch&amp;q=Hand+gloves+pairs+%28constriction%29" TargetMode="External"/><Relationship Id="rId3641" Type="http://schemas.openxmlformats.org/officeDocument/2006/relationships/hyperlink" Target="https://www.google.com/search?tbm=isch&amp;q=Welding+Apron" TargetMode="External"/><Relationship Id="rId3642" Type="http://schemas.openxmlformats.org/officeDocument/2006/relationships/hyperlink" Target="https://www.google.com/search?tbm=isch&amp;q=Rubber+Chappals" TargetMode="External"/><Relationship Id="rId3643" Type="http://schemas.openxmlformats.org/officeDocument/2006/relationships/hyperlink" Target="https://www.google.com/search?tbm=isch&amp;q=First+Aid+Box" TargetMode="External"/><Relationship Id="rId3644" Type="http://schemas.openxmlformats.org/officeDocument/2006/relationships/hyperlink" Target="https://cdn.jsdelivr.net/gh/EngineerX1234/vocational-images@main/tools/batch-11/electronics-voltmeter.jpg" TargetMode="External"/><Relationship Id="rId3645" Type="http://schemas.openxmlformats.org/officeDocument/2006/relationships/hyperlink" Target="https://cdn.jsdelivr.net/gh/EngineerX1234/vocational-images@main/tools/batch-10/electronics-ammeter.jpg" TargetMode="External"/><Relationship Id="rId3646" Type="http://schemas.openxmlformats.org/officeDocument/2006/relationships/hyperlink" Target="https://cdn.jsdelivr.net/gh/EngineerX1234/vocational-images@main/tools/batch-11/electronics-wattmeter.jpg" TargetMode="External"/><Relationship Id="rId3647" Type="http://schemas.openxmlformats.org/officeDocument/2006/relationships/hyperlink" Target="https://cdn.jsdelivr.net/gh/EngineerX1234/vocational-images@main/tools/batch-13/green-jobs-frequency-meter.jpg" TargetMode="External"/><Relationship Id="rId3648" Type="http://schemas.openxmlformats.org/officeDocument/2006/relationships/hyperlink" Target="https://www.google.com/search?tbm=isch&amp;q=Voltmeter+%2F+DIGITAL+MULTIMETER" TargetMode="External"/><Relationship Id="rId3649" Type="http://schemas.openxmlformats.org/officeDocument/2006/relationships/hyperlink" Target="https://cdn.jsdelivr.net/gh/EngineerX1234/vocational-images@main/tools/batch-11/electronics-non-contact-voltage-detector.jpg" TargetMode="External"/><Relationship Id="rId3650" Type="http://schemas.openxmlformats.org/officeDocument/2006/relationships/hyperlink" Target="https://cdn.jsdelivr.net/gh/EngineerX1234/vocational-images@main/tools/batch-11/electronics-wire-gauge.jpg" TargetMode="External"/><Relationship Id="rId3651" Type="http://schemas.openxmlformats.org/officeDocument/2006/relationships/hyperlink" Target="https://cdn.jsdelivr.net/gh/EngineerX1234/vocational-images@main/tools/batch-26/agriculture-hydrometer.jpg" TargetMode="External"/><Relationship Id="rId3652" Type="http://schemas.openxmlformats.org/officeDocument/2006/relationships/hyperlink" Target="https://www.google.com/search?tbm=isch&amp;q=Fish+Tape" TargetMode="External"/><Relationship Id="rId3653" Type="http://schemas.openxmlformats.org/officeDocument/2006/relationships/hyperlink" Target="https://www.google.com/search?tbm=isch&amp;q=Linesman+Pliers+ISI+Mark%2CRoHS" TargetMode="External"/><Relationship Id="rId3654" Type="http://schemas.openxmlformats.org/officeDocument/2006/relationships/hyperlink" Target="https://www.google.com/search?tbm=isch&amp;q=Long+Nose+Pliers+ISI+Mark%2CRoHS" TargetMode="External"/><Relationship Id="rId3655" Type="http://schemas.openxmlformats.org/officeDocument/2006/relationships/hyperlink" Target="https://www.google.com/search?tbm=isch&amp;q=Side+Cutting+Plier+ISI+Mark%2C+RoHS" TargetMode="External"/><Relationship Id="rId3656" Type="http://schemas.openxmlformats.org/officeDocument/2006/relationships/hyperlink" Target="https://cdn.jsdelivr.net/gh/EngineerX1234/vocational-images@main/tools/batch-11/electronics-screwdriver-set.jpg" TargetMode="External"/><Relationship Id="rId3657" Type="http://schemas.openxmlformats.org/officeDocument/2006/relationships/hyperlink" Target="https://www.google.com/search?tbm=isch&amp;q=Screw+Driver+Set+%2F+Electrician-Wiremen+Set" TargetMode="External"/><Relationship Id="rId3658" Type="http://schemas.openxmlformats.org/officeDocument/2006/relationships/hyperlink" Target="https://www.google.com/search?tbm=isch&amp;q=Pokar" TargetMode="External"/><Relationship Id="rId3659" Type="http://schemas.openxmlformats.org/officeDocument/2006/relationships/hyperlink" Target="https://www.google.com/search?tbm=isch&amp;q=Tester" TargetMode="External"/><Relationship Id="rId3660" Type="http://schemas.openxmlformats.org/officeDocument/2006/relationships/hyperlink" Target="https://cdn.jsdelivr.net/gh/EngineerX1234/vocational-images@main/tools/batch-05/agriculture-wire-stripper.jpg" TargetMode="External"/><Relationship Id="rId3661" Type="http://schemas.openxmlformats.org/officeDocument/2006/relationships/hyperlink" Target="https://www.google.com/search?tbm=isch&amp;q=Wire+Stripper+%28Automatic%29" TargetMode="External"/><Relationship Id="rId3662" Type="http://schemas.openxmlformats.org/officeDocument/2006/relationships/hyperlink" Target="https://www.google.com/search?tbm=isch&amp;q=Razor+Blade+Knife+%28Utility+Knife%29" TargetMode="External"/><Relationship Id="rId3663" Type="http://schemas.openxmlformats.org/officeDocument/2006/relationships/hyperlink" Target="https://cdn.jsdelivr.net/gh/EngineerX1234/vocational-images@main/tools/batch-10/electronics-hacksaw.jpg" TargetMode="External"/><Relationship Id="rId3664" Type="http://schemas.openxmlformats.org/officeDocument/2006/relationships/hyperlink" Target="https://www.google.com/search?tbm=isch&amp;q=3+Core+Flexible+Cable+%28+For+Drilling+%2C+Grinding+%2C+Welding+M%2F" TargetMode="External"/><Relationship Id="rId3665" Type="http://schemas.openxmlformats.org/officeDocument/2006/relationships/hyperlink" Target="https://www.google.com/search?tbm=isch&amp;q=Sockets+%28Assorted%29+2+Pin" TargetMode="External"/><Relationship Id="rId3666" Type="http://schemas.openxmlformats.org/officeDocument/2006/relationships/hyperlink" Target="https://www.google.com/search?tbm=isch&amp;q=Sockets+%28Assorted%29+3+Pin" TargetMode="External"/><Relationship Id="rId3667" Type="http://schemas.openxmlformats.org/officeDocument/2006/relationships/hyperlink" Target="https://www.google.com/search?tbm=isch&amp;q=Plugs+%28Assorted%29+Top+2+Pin" TargetMode="External"/><Relationship Id="rId3668" Type="http://schemas.openxmlformats.org/officeDocument/2006/relationships/hyperlink" Target="https://www.google.com/search?tbm=isch&amp;q=Plugs+%28Assorted%29+Top+3+Pin" TargetMode="External"/><Relationship Id="rId3669" Type="http://schemas.openxmlformats.org/officeDocument/2006/relationships/hyperlink" Target="https://cdn.jsdelivr.net/gh/EngineerX1234/vocational-images@main/tools/batch-11/electronics-switches.jpg" TargetMode="External"/><Relationship Id="rId3670" Type="http://schemas.openxmlformats.org/officeDocument/2006/relationships/hyperlink" Target="https://www.google.com/search?tbm=isch&amp;q=Switches+%28Assorted%29+One+way" TargetMode="External"/><Relationship Id="rId3671" Type="http://schemas.openxmlformats.org/officeDocument/2006/relationships/hyperlink" Target="https://www.google.com/search?tbm=isch&amp;q=Switches+%28Assorted%29+Two+way" TargetMode="External"/><Relationship Id="rId3672" Type="http://schemas.openxmlformats.org/officeDocument/2006/relationships/hyperlink" Target="https://www.google.com/search?tbm=isch&amp;q=Bell+Push+Switch" TargetMode="External"/><Relationship Id="rId3673" Type="http://schemas.openxmlformats.org/officeDocument/2006/relationships/hyperlink" Target="https://www.google.com/search?tbm=isch&amp;q=Lamp+Holders+%28Assorted%29+Angle" TargetMode="External"/><Relationship Id="rId3674" Type="http://schemas.openxmlformats.org/officeDocument/2006/relationships/hyperlink" Target="https://www.google.com/search?tbm=isch&amp;q=Lamp+Holders+%28Assorted%29+Bettle" TargetMode="External"/><Relationship Id="rId3675" Type="http://schemas.openxmlformats.org/officeDocument/2006/relationships/hyperlink" Target="https://www.google.com/search?tbm=isch&amp;q=Light+Emission+Diode" TargetMode="External"/><Relationship Id="rId3676" Type="http://schemas.openxmlformats.org/officeDocument/2006/relationships/hyperlink" Target="https://www.google.com/search?tbm=isch&amp;q=Pull-Push+Switch" TargetMode="External"/><Relationship Id="rId3677" Type="http://schemas.openxmlformats.org/officeDocument/2006/relationships/hyperlink" Target="https://www.google.com/search?tbm=isch&amp;q=Capacitor" TargetMode="External"/><Relationship Id="rId3678" Type="http://schemas.openxmlformats.org/officeDocument/2006/relationships/hyperlink" Target="https://www.google.com/search?tbm=isch&amp;q=Relay" TargetMode="External"/><Relationship Id="rId3679" Type="http://schemas.openxmlformats.org/officeDocument/2006/relationships/hyperlink" Target="https://www.google.com/search?tbm=isch&amp;q=Earthing+Plate" TargetMode="External"/><Relationship Id="rId3680" Type="http://schemas.openxmlformats.org/officeDocument/2006/relationships/hyperlink" Target="https://www.google.com/search?tbm=isch&amp;q=Earthing+Rod" TargetMode="External"/><Relationship Id="rId3681" Type="http://schemas.openxmlformats.org/officeDocument/2006/relationships/hyperlink" Target="https://www.google.com/search?tbm=isch&amp;q=Earthing+Pipe" TargetMode="External"/><Relationship Id="rId3682" Type="http://schemas.openxmlformats.org/officeDocument/2006/relationships/hyperlink" Target="https://www.google.com/search?tbm=isch&amp;q=Different+Type+of+Fuse" TargetMode="External"/><Relationship Id="rId3683" Type="http://schemas.openxmlformats.org/officeDocument/2006/relationships/hyperlink" Target="https://www.google.com/search?tbm=isch&amp;q=Miniature+Circuit+Breaker" TargetMode="External"/><Relationship Id="rId3684" Type="http://schemas.openxmlformats.org/officeDocument/2006/relationships/hyperlink" Target="https://www.google.com/search?tbm=isch&amp;q=Electric+Soldering+Iron" TargetMode="External"/><Relationship Id="rId3685" Type="http://schemas.openxmlformats.org/officeDocument/2006/relationships/hyperlink" Target="https://www.google.com/search?tbm=isch&amp;q=Valve+Spanner" TargetMode="External"/><Relationship Id="rId3686" Type="http://schemas.openxmlformats.org/officeDocument/2006/relationships/hyperlink" Target="https://www.google.com/search?tbm=isch&amp;q=Nozzel%2FNipple+spanner" TargetMode="External"/><Relationship Id="rId3687" Type="http://schemas.openxmlformats.org/officeDocument/2006/relationships/hyperlink" Target="https://www.google.com/search?tbm=isch&amp;q=Wick+Stove" TargetMode="External"/><Relationship Id="rId3688" Type="http://schemas.openxmlformats.org/officeDocument/2006/relationships/hyperlink" Target="https://www.google.com/search?tbm=isch&amp;q=Pressure+Stove" TargetMode="External"/><Relationship Id="rId3689" Type="http://schemas.openxmlformats.org/officeDocument/2006/relationships/hyperlink" Target="https://www.google.com/search?tbm=isch&amp;q=DOL+STARTER" TargetMode="External"/><Relationship Id="rId3690" Type="http://schemas.openxmlformats.org/officeDocument/2006/relationships/hyperlink" Target="https://www.google.com/search?tbm=isch&amp;q=WATER+PUMP+1+PHASE+ISI+Mark" TargetMode="External"/><Relationship Id="rId3691" Type="http://schemas.openxmlformats.org/officeDocument/2006/relationships/hyperlink" Target="https://www.google.com/search?tbm=isch&amp;q=MOTER+ELECTRIC+1+PHASE+ISI+Mark" TargetMode="External"/><Relationship Id="rId3692" Type="http://schemas.openxmlformats.org/officeDocument/2006/relationships/hyperlink" Target="https://www.google.com/search?tbm=isch&amp;q=Rotary+Switch" TargetMode="External"/><Relationship Id="rId3693" Type="http://schemas.openxmlformats.org/officeDocument/2006/relationships/hyperlink" Target="https://www.google.com/search?tbm=isch&amp;q=Earthing+Wire" TargetMode="External"/><Relationship Id="rId3694" Type="http://schemas.openxmlformats.org/officeDocument/2006/relationships/hyperlink" Target="https://www.google.com/search?tbm=isch&amp;q=Electric+Wires" TargetMode="External"/><Relationship Id="rId3695" Type="http://schemas.openxmlformats.org/officeDocument/2006/relationships/hyperlink" Target="https://www.google.com/search?tbm=isch&amp;q=Electrical+Hand+Gloves" TargetMode="External"/><Relationship Id="rId3696" Type="http://schemas.openxmlformats.org/officeDocument/2006/relationships/hyperlink" Target="https://www.google.com/search?tbm=isch&amp;q=Rubber+Matting" TargetMode="External"/><Relationship Id="rId3697" Type="http://schemas.openxmlformats.org/officeDocument/2006/relationships/hyperlink" Target="https://www.google.com/search?tbm=isch&amp;q=Sand+Bucket" TargetMode="External"/><Relationship Id="rId3698" Type="http://schemas.openxmlformats.org/officeDocument/2006/relationships/hyperlink" Target="https://www.google.com/search?tbm=isch&amp;q=Fire+Extinguisher+CO2" TargetMode="External"/><Relationship Id="rId3699" Type="http://schemas.openxmlformats.org/officeDocument/2006/relationships/hyperlink" Target="https://www.google.com/search?tbm=isch&amp;q=Stainless+steel+Plates" TargetMode="External"/><Relationship Id="rId3700" Type="http://schemas.openxmlformats.org/officeDocument/2006/relationships/hyperlink" Target="https://www.google.com/search?tbm=isch&amp;q=Sieves" TargetMode="External"/><Relationship Id="rId3701" Type="http://schemas.openxmlformats.org/officeDocument/2006/relationships/hyperlink" Target="https://www.google.com/search?tbm=isch&amp;q=Set+of+cooking+spoon" TargetMode="External"/><Relationship Id="rId3702" Type="http://schemas.openxmlformats.org/officeDocument/2006/relationships/hyperlink" Target="https://www.google.com/search?tbm=isch&amp;q=Stainless+steel+Containers+with+Cover+%28Pot%29" TargetMode="External"/><Relationship Id="rId3703" Type="http://schemas.openxmlformats.org/officeDocument/2006/relationships/hyperlink" Target="https://www.google.com/search?tbm=isch&amp;q=Steel+Bowls" TargetMode="External"/><Relationship Id="rId3704" Type="http://schemas.openxmlformats.org/officeDocument/2006/relationships/hyperlink" Target="https://www.google.com/search?tbm=isch&amp;q=Frying+Pan+%28medium%29-+With+Handle" TargetMode="External"/><Relationship Id="rId3705" Type="http://schemas.openxmlformats.org/officeDocument/2006/relationships/hyperlink" Target="https://www.google.com/search?tbm=isch&amp;q=Grater%2F+Shredder" TargetMode="External"/><Relationship Id="rId3706" Type="http://schemas.openxmlformats.org/officeDocument/2006/relationships/hyperlink" Target="https://www.google.com/search?tbm=isch&amp;q=Hand+Operated+Chikki+Slicer+%28Roller%29%2C+cutter" TargetMode="External"/><Relationship Id="rId3707" Type="http://schemas.openxmlformats.org/officeDocument/2006/relationships/hyperlink" Target="https://www.google.com/search?tbm=isch&amp;q=Knives" TargetMode="External"/><Relationship Id="rId3708" Type="http://schemas.openxmlformats.org/officeDocument/2006/relationships/hyperlink" Target="https://www.google.com/search?tbm=isch&amp;q=Polpat+and+Latan+%28Roller%29" TargetMode="External"/><Relationship Id="rId3709" Type="http://schemas.openxmlformats.org/officeDocument/2006/relationships/hyperlink" Target="https://www.google.com/search?tbm=isch&amp;q=Gas+lighter" TargetMode="External"/><Relationship Id="rId3710" Type="http://schemas.openxmlformats.org/officeDocument/2006/relationships/hyperlink" Target="https://www.google.com/search?tbm=isch&amp;q=Measuring+Mug+%2F+Cup" TargetMode="External"/><Relationship Id="rId3711" Type="http://schemas.openxmlformats.org/officeDocument/2006/relationships/hyperlink" Target="https://www.google.com/search?tbm=isch&amp;q=Measuring+Spoons" TargetMode="External"/><Relationship Id="rId3712" Type="http://schemas.openxmlformats.org/officeDocument/2006/relationships/hyperlink" Target="https://www.google.com/search?tbm=isch&amp;q=Mixer+%28Mixture-+Grinder%29" TargetMode="External"/><Relationship Id="rId3713" Type="http://schemas.openxmlformats.org/officeDocument/2006/relationships/hyperlink" Target="https://www.google.com/search?tbm=isch&amp;q=Pressure+Cooker+ISI+Certified" TargetMode="External"/><Relationship Id="rId3714" Type="http://schemas.openxmlformats.org/officeDocument/2006/relationships/hyperlink" Target="https://cdn.jsdelivr.net/gh/EngineerX1234/vocational-images@main/tools/batch-25/apparel-scissors.jpg" TargetMode="External"/><Relationship Id="rId3715" Type="http://schemas.openxmlformats.org/officeDocument/2006/relationships/hyperlink" Target="https://www.google.com/search?tbm=isch&amp;q=Table+Spoons" TargetMode="External"/><Relationship Id="rId3716" Type="http://schemas.openxmlformats.org/officeDocument/2006/relationships/hyperlink" Target="https://www.google.com/search?tbm=isch&amp;q=Single+Burner+Stove" TargetMode="External"/><Relationship Id="rId3717" Type="http://schemas.openxmlformats.org/officeDocument/2006/relationships/hyperlink" Target="https://www.google.com/search?tbm=isch&amp;q=Tong" TargetMode="External"/><Relationship Id="rId3718" Type="http://schemas.openxmlformats.org/officeDocument/2006/relationships/hyperlink" Target="https://www.google.com/search?tbm=isch&amp;q=Vegetable+Peeler" TargetMode="External"/><Relationship Id="rId3719" Type="http://schemas.openxmlformats.org/officeDocument/2006/relationships/hyperlink" Target="https://www.google.com/search?tbm=isch&amp;q=Water+Container+%28Jug%29" TargetMode="External"/><Relationship Id="rId3720" Type="http://schemas.openxmlformats.org/officeDocument/2006/relationships/hyperlink" Target="https://www.google.com/search?tbm=isch&amp;q=hindalium+container+with+lid+-+3+lit" TargetMode="External"/><Relationship Id="rId3721" Type="http://schemas.openxmlformats.org/officeDocument/2006/relationships/hyperlink" Target="https://cdn.jsdelivr.net/gh/EngineerX1234/vocational-images@main/tools/batch-16/home-management-and-care-giving-dust-pan.jpg" TargetMode="External"/><Relationship Id="rId3722" Type="http://schemas.openxmlformats.org/officeDocument/2006/relationships/hyperlink" Target="https://www.google.com/search?tbm=isch&amp;q=Sieves" TargetMode="External"/><Relationship Id="rId3723" Type="http://schemas.openxmlformats.org/officeDocument/2006/relationships/hyperlink" Target="https://www.google.com/search?tbm=isch&amp;q=Plastic+Container" TargetMode="External"/><Relationship Id="rId3724" Type="http://schemas.openxmlformats.org/officeDocument/2006/relationships/hyperlink" Target="https://www.google.com/search?tbm=isch&amp;q=Glass+container" TargetMode="External"/><Relationship Id="rId3725" Type="http://schemas.openxmlformats.org/officeDocument/2006/relationships/hyperlink" Target="https://www.google.com/search?tbm=isch&amp;q=Digital+Kitchen+Balance" TargetMode="External"/><Relationship Id="rId3726" Type="http://schemas.openxmlformats.org/officeDocument/2006/relationships/hyperlink" Target="https://www.google.com/search?tbm=isch&amp;q=Plastic+Bucket" TargetMode="External"/><Relationship Id="rId3727" Type="http://schemas.openxmlformats.org/officeDocument/2006/relationships/hyperlink" Target="https://www.google.com/search?tbm=isch&amp;q=Plastic+Dustbin" TargetMode="External"/><Relationship Id="rId3728" Type="http://schemas.openxmlformats.org/officeDocument/2006/relationships/hyperlink" Target="https://cdn.jsdelivr.net/gh/EngineerX1234/vocational-images@main/tools/batch-17/home-management-and-care-giving-stethoscope.jpg" TargetMode="External"/><Relationship Id="rId3729" Type="http://schemas.openxmlformats.org/officeDocument/2006/relationships/hyperlink" Target="https://cdn.jsdelivr.net/gh/EngineerX1234/vocational-images@main/tools/batch-20/private-security-thermometer.jpg" TargetMode="External"/><Relationship Id="rId3730" Type="http://schemas.openxmlformats.org/officeDocument/2006/relationships/hyperlink" Target="https://cdn.jsdelivr.net/gh/EngineerX1234/vocational-images@main/tools/batch-13/food-processing-weighing-machine.jpg" TargetMode="External"/><Relationship Id="rId3731" Type="http://schemas.openxmlformats.org/officeDocument/2006/relationships/hyperlink" Target="https://www.google.com/search?tbm=isch&amp;q=First+-aid+Box" TargetMode="External"/><Relationship Id="rId3732" Type="http://schemas.openxmlformats.org/officeDocument/2006/relationships/hyperlink" Target="https://www.google.com/search?tbm=isch&amp;q=Beaker" TargetMode="External"/><Relationship Id="rId3733" Type="http://schemas.openxmlformats.org/officeDocument/2006/relationships/hyperlink" Target="https://www.google.com/search?tbm=isch&amp;q=Digital+BP+machine" TargetMode="External"/><Relationship Id="rId3734" Type="http://schemas.openxmlformats.org/officeDocument/2006/relationships/hyperlink" Target="https://www.google.com/search?tbm=isch&amp;q=Digital+timer" TargetMode="External"/><Relationship Id="rId3735" Type="http://schemas.openxmlformats.org/officeDocument/2006/relationships/hyperlink" Target="https://www.google.com/search?tbm=isch&amp;q=Digital+Candy+Thermometer+%28for+taking+food+temperature" TargetMode="External"/><Relationship Id="rId3736" Type="http://schemas.openxmlformats.org/officeDocument/2006/relationships/hyperlink" Target="https://www.google.com/search?tbm=isch&amp;q=Fire+Extinguisher+CO2" TargetMode="External"/><Relationship Id="rId3737" Type="http://schemas.openxmlformats.org/officeDocument/2006/relationships/hyperlink" Target="https://www.google.com/search?tbm=isch&amp;q=Apron+%28Cloth%29" TargetMode="External"/><Relationship Id="rId3738" Type="http://schemas.openxmlformats.org/officeDocument/2006/relationships/hyperlink" Target="https://www.google.com/search?tbm=isch&amp;q=Dish+towels" TargetMode="External"/><Relationship Id="rId3739" Type="http://schemas.openxmlformats.org/officeDocument/2006/relationships/hyperlink" Target="https://www.google.com/search?tbm=isch&amp;q=Hand+Gloves" TargetMode="External"/><Relationship Id="rId3740" Type="http://schemas.openxmlformats.org/officeDocument/2006/relationships/hyperlink" Target="https://www.google.com/search?tbm=isch&amp;q=Hand+Gloves+%28Plastic%29" TargetMode="External"/><Relationship Id="rId3741" Type="http://schemas.openxmlformats.org/officeDocument/2006/relationships/hyperlink" Target="https://www.google.com/search?tbm=isch&amp;q=Head+Caps+%28Cloth%29" TargetMode="External"/><Relationship Id="rId3742" Type="http://schemas.openxmlformats.org/officeDocument/2006/relationships/hyperlink" Target="https://www.google.com/search?tbm=isch&amp;q=Aluminum+foil" TargetMode="External"/><Relationship Id="rId3743" Type="http://schemas.openxmlformats.org/officeDocument/2006/relationships/hyperlink" Target="https://www.google.com/search?tbm=isch&amp;q=Food+Pyramid" TargetMode="External"/><Relationship Id="rId3744" Type="http://schemas.openxmlformats.org/officeDocument/2006/relationships/hyperlink" Target="https://www.google.com/search?tbm=isch&amp;q=Nutrition+Chart" TargetMode="External"/><Relationship Id="rId3745" Type="http://schemas.openxmlformats.org/officeDocument/2006/relationships/hyperlink" Target="https://www.google.com/search?tbm=isch&amp;q=Diseases+Chart" TargetMode="External"/><Relationship Id="rId3746" Type="http://schemas.openxmlformats.org/officeDocument/2006/relationships/hyperlink" Target="https://cdn.jsdelivr.net/gh/EngineerX1234/vocational-images@main/tools/batch-01/agriculture-budding-knife.jpg" TargetMode="External"/><Relationship Id="rId3747" Type="http://schemas.openxmlformats.org/officeDocument/2006/relationships/hyperlink" Target="https://cdn.jsdelivr.net/gh/EngineerX1234/vocational-images@main/tools/batch-23/agriculture-garden-knife.jpg" TargetMode="External"/><Relationship Id="rId3748" Type="http://schemas.openxmlformats.org/officeDocument/2006/relationships/hyperlink" Target="https://cdn.jsdelivr.net/gh/EngineerX1234/vocational-images@main/tools/batch-23/agriculture-grafting-knife.jpg" TargetMode="External"/><Relationship Id="rId3749" Type="http://schemas.openxmlformats.org/officeDocument/2006/relationships/hyperlink" Target="https://www.google.com/search?tbm=isch&amp;q=Hori+Hori+Knife+%28Soil+Knife%29" TargetMode="External"/><Relationship Id="rId3750" Type="http://schemas.openxmlformats.org/officeDocument/2006/relationships/hyperlink" Target="https://www.google.com/search?tbm=isch&amp;q=Tree+Cutting+Shears" TargetMode="External"/><Relationship Id="rId3751" Type="http://schemas.openxmlformats.org/officeDocument/2006/relationships/hyperlink" Target="https://www.google.com/search?tbm=isch&amp;q=Pruning+Sheared+%2F+C+Cutter" TargetMode="External"/><Relationship Id="rId3752" Type="http://schemas.openxmlformats.org/officeDocument/2006/relationships/hyperlink" Target="https://cdn.jsdelivr.net/gh/EngineerX1234/vocational-images@main/tools/batch-04/agriculture-pruning-knife.jpg" TargetMode="External"/><Relationship Id="rId3753" Type="http://schemas.openxmlformats.org/officeDocument/2006/relationships/hyperlink" Target="https://cdn.jsdelivr.net/gh/EngineerX1234/vocational-images@main/tools/batch-05/agriculture-trowels.jpg" TargetMode="External"/><Relationship Id="rId3754" Type="http://schemas.openxmlformats.org/officeDocument/2006/relationships/hyperlink" Target="https://www.google.com/search?tbm=isch&amp;q=Spade+with+wooden+Handle" TargetMode="External"/><Relationship Id="rId3755" Type="http://schemas.openxmlformats.org/officeDocument/2006/relationships/hyperlink" Target="https://www.google.com/search?tbm=isch&amp;q=Axe+with+wooden+handle" TargetMode="External"/><Relationship Id="rId3756" Type="http://schemas.openxmlformats.org/officeDocument/2006/relationships/hyperlink" Target="https://www.google.com/search?tbm=isch&amp;q=Pickaxe+%28Tikav%29+with+wooden+handle" TargetMode="External"/><Relationship Id="rId3757" Type="http://schemas.openxmlformats.org/officeDocument/2006/relationships/hyperlink" Target="https://cdn.jsdelivr.net/gh/EngineerX1234/vocational-images@main/tools/batch-26/agriculture-khurpi.jpg" TargetMode="External"/><Relationship Id="rId3758" Type="http://schemas.openxmlformats.org/officeDocument/2006/relationships/hyperlink" Target="https://cdn.jsdelivr.net/gh/EngineerX1234/vocational-images@main/tools/batch-24/agriculture-sickle.jpg" TargetMode="External"/><Relationship Id="rId3759" Type="http://schemas.openxmlformats.org/officeDocument/2006/relationships/hyperlink" Target="https://www.google.com/search?tbm=isch&amp;q=Leaf+Rake+with+Handle" TargetMode="External"/><Relationship Id="rId3760" Type="http://schemas.openxmlformats.org/officeDocument/2006/relationships/hyperlink" Target="https://cdn.jsdelivr.net/gh/EngineerX1234/vocational-images@main/tools/batch-11/electronics-scissor.jpg" TargetMode="External"/><Relationship Id="rId3761" Type="http://schemas.openxmlformats.org/officeDocument/2006/relationships/hyperlink" Target="https://www.google.com/search?tbm=isch&amp;q=Watering+Can+%2C+8+to+10+Ltr." TargetMode="External"/><Relationship Id="rId3762" Type="http://schemas.openxmlformats.org/officeDocument/2006/relationships/hyperlink" Target="https://www.google.com/search?tbm=isch&amp;q=Plastic+Ghamale" TargetMode="External"/><Relationship Id="rId3763" Type="http://schemas.openxmlformats.org/officeDocument/2006/relationships/hyperlink" Target="https://www.google.com/search?tbm=isch&amp;q=Crate" TargetMode="External"/><Relationship Id="rId3764" Type="http://schemas.openxmlformats.org/officeDocument/2006/relationships/hyperlink" Target="https://www.google.com/search?tbm=isch&amp;q=Plastic+Jar+-+500+ml+%28Mug%29" TargetMode="External"/><Relationship Id="rId3765" Type="http://schemas.openxmlformats.org/officeDocument/2006/relationships/hyperlink" Target="https://www.google.com/search?tbm=isch&amp;q=Plastic+Buckets+%2C+10+Ltr" TargetMode="External"/><Relationship Id="rId3766" Type="http://schemas.openxmlformats.org/officeDocument/2006/relationships/hyperlink" Target="https://www.google.com/search?tbm=isch&amp;q=Spraying+Pump" TargetMode="External"/><Relationship Id="rId3767" Type="http://schemas.openxmlformats.org/officeDocument/2006/relationships/hyperlink" Target="https://cdn.jsdelivr.net/gh/EngineerX1234/vocational-images@main/tools/batch-11/electronics-measuring-tape.jpg" TargetMode="External"/><Relationship Id="rId3768" Type="http://schemas.openxmlformats.org/officeDocument/2006/relationships/hyperlink" Target="https://cdn.jsdelivr.net/gh/EngineerX1234/vocational-images@main/tools/batch-13/food-processing-weighing-balance.jpg" TargetMode="External"/><Relationship Id="rId3769" Type="http://schemas.openxmlformats.org/officeDocument/2006/relationships/hyperlink" Target="https://www.google.com/search?tbm=isch&amp;q=Animal+Digital+Thermometer" TargetMode="External"/><Relationship Id="rId3770" Type="http://schemas.openxmlformats.org/officeDocument/2006/relationships/hyperlink" Target="https://www.google.com/search?tbm=isch&amp;q=Magnifying+lens%28bi-+concave+lens%29" TargetMode="External"/><Relationship Id="rId3771" Type="http://schemas.openxmlformats.org/officeDocument/2006/relationships/hyperlink" Target="https://www.google.com/search?tbm=isch&amp;q=Seeding+Trays+for+Nursery+%3F%28+70+Cavity+%2F+holes+%29" TargetMode="External"/><Relationship Id="rId3772" Type="http://schemas.openxmlformats.org/officeDocument/2006/relationships/hyperlink" Target="https://www.google.com/search?tbm=isch&amp;q=Sprinkler+Irrigation+UTender+%28+Lateral+pipe+16mm+x+20ft+%2C+Mi" TargetMode="External"/><Relationship Id="rId3773" Type="http://schemas.openxmlformats.org/officeDocument/2006/relationships/hyperlink" Target="https://www.google.com/search?tbm=isch&amp;q=Drip+Irrigation+UTender+%28+Lateral+pipe+16mm+x+20+ft+%2C+Elbow+" TargetMode="External"/><Relationship Id="rId3774" Type="http://schemas.openxmlformats.org/officeDocument/2006/relationships/hyperlink" Target="https://www.google.com/search?tbm=isch&amp;q=Grafting+transplanting+bags" TargetMode="External"/><Relationship Id="rId3775" Type="http://schemas.openxmlformats.org/officeDocument/2006/relationships/hyperlink" Target="https://cdn.jsdelivr.net/gh/EngineerX1234/vocational-images@main/tools/batch-12/food-processing-lactometer.jpg" TargetMode="External"/><Relationship Id="rId3776" Type="http://schemas.openxmlformats.org/officeDocument/2006/relationships/hyperlink" Target="https://cdn.jsdelivr.net/gh/EngineerX1234/vocational-images@main/tools/batch-12/food-processing-measuring-cylinder.jpg" TargetMode="External"/><Relationship Id="rId3777" Type="http://schemas.openxmlformats.org/officeDocument/2006/relationships/hyperlink" Target="https://www.google.com/search?tbm=isch&amp;q=Beaker" TargetMode="External"/><Relationship Id="rId3778" Type="http://schemas.openxmlformats.org/officeDocument/2006/relationships/hyperlink" Target="https://www.google.com/search?tbm=isch&amp;q=Hand+Gloves+%28Long%29" TargetMode="External"/><Relationship Id="rId3779" Type="http://schemas.openxmlformats.org/officeDocument/2006/relationships/hyperlink" Target="https://www.google.com/search?tbm=isch&amp;q=Mask+%28+Canvas+Mask+%29" TargetMode="External"/><Relationship Id="rId3780" Type="http://schemas.openxmlformats.org/officeDocument/2006/relationships/hyperlink" Target="https://www.google.com/search?tbm=isch&amp;q=Irrigation+method+charts" TargetMode="External"/><Relationship Id="rId3781" Type="http://schemas.openxmlformats.org/officeDocument/2006/relationships/hyperlink" Target="https://www.google.com/search?tbm=isch&amp;q=Artificial+insemination+Chart" TargetMode="External"/><Relationship Id="rId3782" Type="http://schemas.openxmlformats.org/officeDocument/2006/relationships/hyperlink" Target="https://www.google.com/search?tbm=isch&amp;q=Breed+charts+Cow%2C+Goat%2C+Bullock" TargetMode="External"/><Relationship Id="rId3783" Type="http://schemas.openxmlformats.org/officeDocument/2006/relationships/hyperlink" Target="https://cdn.jsdelivr.net/gh/EngineerX1234/vocational-images@main/tools/batch-09/construction-computer-system.jpg" TargetMode="External"/><Relationship Id="rId3784" Type="http://schemas.openxmlformats.org/officeDocument/2006/relationships/hyperlink" Target="https://www.google.com/search?tbm=isch&amp;q=Anti-virus+for+Computer+Systems" TargetMode="External"/><Relationship Id="rId3785" Type="http://schemas.openxmlformats.org/officeDocument/2006/relationships/hyperlink" Target="https://cdn.jsdelivr.net/gh/EngineerX1234/vocational-images@main/tools/batch-17/it-ites-printer.jpg" TargetMode="External"/><Relationship Id="rId3786" Type="http://schemas.openxmlformats.org/officeDocument/2006/relationships/hyperlink" Target="https://cdn.jsdelivr.net/gh/EngineerX1234/vocational-images@main/tools/batch-11/electronics-ups.jpg" TargetMode="External"/><Relationship Id="rId3787" Type="http://schemas.openxmlformats.org/officeDocument/2006/relationships/hyperlink" Target="https://www.google.com/search?tbm=isch&amp;q=Internet+wifi+setup" TargetMode="External"/><Relationship Id="rId3788" Type="http://schemas.openxmlformats.org/officeDocument/2006/relationships/hyperlink" Target="https://www.google.com/search?tbm=isch&amp;q=Subject+Specific+TLM+%28laminated+charts%29" TargetMode="External"/><Relationship Id="rId3789" Type="http://schemas.openxmlformats.org/officeDocument/2006/relationships/hyperlink" Target="https://www.google.com/search?tbm=isch&amp;q=Classroom+chairs" TargetMode="External"/><Relationship Id="rId3790" Type="http://schemas.openxmlformats.org/officeDocument/2006/relationships/hyperlink" Target="https://www.google.com/search?tbm=isch&amp;q=Computer+Tables" TargetMode="External"/><Relationship Id="rId3791" Type="http://schemas.openxmlformats.org/officeDocument/2006/relationships/hyperlink" Target="https://www.google.com/search?tbm=isch&amp;q=Computer+Systems+%28Desktop+Computer%29" TargetMode="External"/><Relationship Id="rId3792" Type="http://schemas.openxmlformats.org/officeDocument/2006/relationships/hyperlink" Target="https://www.google.com/search?tbm=isch&amp;q=Anti-virus+for+Computer+Systems" TargetMode="External"/><Relationship Id="rId3793" Type="http://schemas.openxmlformats.org/officeDocument/2006/relationships/hyperlink" Target="https://cdn.jsdelivr.net/gh/EngineerX1234/vocational-images@main/tools/batch-11/electronics-ups.jpg" TargetMode="External"/><Relationship Id="rId3794" Type="http://schemas.openxmlformats.org/officeDocument/2006/relationships/hyperlink" Target="https://cdn.jsdelivr.net/gh/EngineerX1234/vocational-images@main/tools/batch-17/it-ites-printer.jpg" TargetMode="External"/><Relationship Id="rId3795" Type="http://schemas.openxmlformats.org/officeDocument/2006/relationships/hyperlink" Target="https://www.google.com/search?tbm=isch&amp;q=Internet+wifi+setup" TargetMode="External"/><Relationship Id="rId3796" Type="http://schemas.openxmlformats.org/officeDocument/2006/relationships/hyperlink" Target="https://www.google.com/search?tbm=isch&amp;q=Subject+specific+TLM%28Laminated+Charts%29" TargetMode="External"/><Relationship Id="rId3797" Type="http://schemas.openxmlformats.org/officeDocument/2006/relationships/hyperlink" Target="https://www.google.com/search?tbm=isch&amp;q=Classroom+chairs" TargetMode="External"/><Relationship Id="rId3798" Type="http://schemas.openxmlformats.org/officeDocument/2006/relationships/hyperlink" Target="https://www.google.com/search?tbm=isch&amp;q=Computer+tables" TargetMode="External"/><Relationship Id="rId3799" Type="http://schemas.openxmlformats.org/officeDocument/2006/relationships/hyperlink" Target="https://cdn.jsdelivr.net/gh/EngineerX1234/vocational-images@main/tools/batch-18/media-and-entertainment-computer.jpg" TargetMode="External"/><Relationship Id="rId3800" Type="http://schemas.openxmlformats.org/officeDocument/2006/relationships/hyperlink" Target="https://www.google.com/search?tbm=isch&amp;q=Anti-virus+for+Computer+Systems" TargetMode="External"/><Relationship Id="rId3801" Type="http://schemas.openxmlformats.org/officeDocument/2006/relationships/hyperlink" Target="https://www.google.com/search?tbm=isch&amp;q=Internet+wifi+setup" TargetMode="External"/><Relationship Id="rId3802" Type="http://schemas.openxmlformats.org/officeDocument/2006/relationships/hyperlink" Target="https://cdn.jsdelivr.net/gh/EngineerX1234/vocational-images@main/tools/batch-17/it-ites-printer.jpg" TargetMode="External"/><Relationship Id="rId3803" Type="http://schemas.openxmlformats.org/officeDocument/2006/relationships/hyperlink" Target="https://www.google.com/search?tbm=isch&amp;q=White+Board" TargetMode="External"/><Relationship Id="rId3804" Type="http://schemas.openxmlformats.org/officeDocument/2006/relationships/hyperlink" Target="https://cdn.jsdelivr.net/gh/EngineerX1234/vocational-images@main/tools/batch-11/electronics-projector.jpg" TargetMode="External"/><Relationship Id="rId3805" Type="http://schemas.openxmlformats.org/officeDocument/2006/relationships/hyperlink" Target="https://cdn.jsdelivr.net/gh/EngineerX1234/vocational-images@main/tools/batch-11/electronics-ups.jpg" TargetMode="External"/><Relationship Id="rId3806" Type="http://schemas.openxmlformats.org/officeDocument/2006/relationships/hyperlink" Target="https://www.google.com/search?tbm=isch&amp;q=Accounting+Software" TargetMode="External"/><Relationship Id="rId3807" Type="http://schemas.openxmlformats.org/officeDocument/2006/relationships/hyperlink" Target="https://www.google.com/search?tbm=isch&amp;q=Tax+Charts" TargetMode="External"/><Relationship Id="rId3808" Type="http://schemas.openxmlformats.org/officeDocument/2006/relationships/hyperlink" Target="https://www.google.com/search?tbm=isch&amp;q=Sample+documentation+kit" TargetMode="External"/><Relationship Id="rId3809" Type="http://schemas.openxmlformats.org/officeDocument/2006/relationships/hyperlink" Target="https://www.google.com/search?tbm=isch&amp;q=Classroom+chairs" TargetMode="External"/><Relationship Id="rId3810" Type="http://schemas.openxmlformats.org/officeDocument/2006/relationships/hyperlink" Target="https://www.google.com/search?tbm=isch&amp;q=Computer+Tables" TargetMode="External"/><Relationship Id="rId3811" Type="http://schemas.openxmlformats.org/officeDocument/2006/relationships/hyperlink" Target="https://www.google.com/search?tbm=isch&amp;q=Registers+for+documentation" TargetMode="External"/><Relationship Id="rId3812" Type="http://schemas.openxmlformats.org/officeDocument/2006/relationships/hyperlink" Target="https://www.google.com/search?tbm=isch&amp;q=Bio+hazard+bags+for+Waste+Disposal" TargetMode="External"/><Relationship Id="rId3813" Type="http://schemas.openxmlformats.org/officeDocument/2006/relationships/hyperlink" Target="https://www.google.com/search?tbm=isch&amp;q=Staining+solution+%2F+reagents+%2F+Romanowsky+stains" TargetMode="External"/><Relationship Id="rId3814" Type="http://schemas.openxmlformats.org/officeDocument/2006/relationships/hyperlink" Target="https://www.google.com/search?tbm=isch&amp;q=Buffer" TargetMode="External"/><Relationship Id="rId3815" Type="http://schemas.openxmlformats.org/officeDocument/2006/relationships/hyperlink" Target="https://www.google.com/search?tbm=isch&amp;q=RBC+pipette" TargetMode="External"/><Relationship Id="rId3816" Type="http://schemas.openxmlformats.org/officeDocument/2006/relationships/hyperlink" Target="https://www.google.com/search?tbm=isch&amp;q=WBC+Pipette" TargetMode="External"/><Relationship Id="rId3817" Type="http://schemas.openxmlformats.org/officeDocument/2006/relationships/hyperlink" Target="https://www.google.com/search?tbm=isch&amp;q=Pasteur+Pipette" TargetMode="External"/><Relationship Id="rId3818" Type="http://schemas.openxmlformats.org/officeDocument/2006/relationships/hyperlink" Target="https://www.google.com/search?tbm=isch&amp;q=Diluting+fluids" TargetMode="External"/><Relationship Id="rId3819" Type="http://schemas.openxmlformats.org/officeDocument/2006/relationships/hyperlink" Target="https://cdn.jsdelivr.net/gh/EngineerX1234/vocational-images@main/tools/batch-17/logistics-glass-tubes.jpg" TargetMode="External"/><Relationship Id="rId3820" Type="http://schemas.openxmlformats.org/officeDocument/2006/relationships/hyperlink" Target="https://www.google.com/search?tbm=isch&amp;q=Urine+Testing+strips" TargetMode="External"/><Relationship Id="rId3821" Type="http://schemas.openxmlformats.org/officeDocument/2006/relationships/hyperlink" Target="https://www.google.com/search?tbm=isch&amp;q=Occult+blood+strips" TargetMode="External"/><Relationship Id="rId3822" Type="http://schemas.openxmlformats.org/officeDocument/2006/relationships/hyperlink" Target="https://www.google.com/search?tbm=isch&amp;q=Bio+hazard+bags+for+Waste+Disposal+%2F+Blue+sharps+container+f" TargetMode="External"/><Relationship Id="rId3823" Type="http://schemas.openxmlformats.org/officeDocument/2006/relationships/hyperlink" Target="https://www.google.com/search?tbm=isch&amp;q=Spirit+Lamp" TargetMode="External"/><Relationship Id="rId3824" Type="http://schemas.openxmlformats.org/officeDocument/2006/relationships/hyperlink" Target="https://www.google.com/search?tbm=isch&amp;q=Glass+Slides%2C+coverslips+%26+mounting+media" TargetMode="External"/><Relationship Id="rId3825" Type="http://schemas.openxmlformats.org/officeDocument/2006/relationships/hyperlink" Target="https://www.google.com/search?tbm=isch&amp;q=Cedarwood+oil" TargetMode="External"/><Relationship Id="rId3826" Type="http://schemas.openxmlformats.org/officeDocument/2006/relationships/hyperlink" Target="https://www.google.com/search?tbm=isch&amp;q=Blotting+paper+for+BT" TargetMode="External"/><Relationship Id="rId3827" Type="http://schemas.openxmlformats.org/officeDocument/2006/relationships/hyperlink" Target="https://www.google.com/search?tbm=isch&amp;q=Capillary+tube+for+CT" TargetMode="External"/><Relationship Id="rId3828" Type="http://schemas.openxmlformats.org/officeDocument/2006/relationships/hyperlink" Target="https://www.google.com/search?tbm=isch&amp;q=Westergren+tubes+%26+sodium+citrate+reagent" TargetMode="External"/><Relationship Id="rId3829" Type="http://schemas.openxmlformats.org/officeDocument/2006/relationships/hyperlink" Target="https://www.google.com/search?tbm=isch&amp;q=Sahli%27s+Hemoglobinometer" TargetMode="External"/><Relationship Id="rId3830" Type="http://schemas.openxmlformats.org/officeDocument/2006/relationships/hyperlink" Target="https://www.google.com/search?tbm=isch&amp;q=Simple+Balance" TargetMode="External"/><Relationship Id="rId3831" Type="http://schemas.openxmlformats.org/officeDocument/2006/relationships/hyperlink" Target="https://www.google.com/search?tbm=isch&amp;q=Staining+solution+%2F+reagents+%2F+Gram+stain+%2F+AFB+stain+%2F+KOH+" TargetMode="External"/><Relationship Id="rId3832" Type="http://schemas.openxmlformats.org/officeDocument/2006/relationships/hyperlink" Target="https://www.google.com/search?tbm=isch&amp;q=Sample+Container+%2F+Swab+sticks+%2F+culture+bottles+%2F+Syringe+%26" TargetMode="External"/><Relationship Id="rId3833" Type="http://schemas.openxmlformats.org/officeDocument/2006/relationships/hyperlink" Target="https://www.google.com/search?tbm=isch&amp;q=Sterile+Loops" TargetMode="External"/><Relationship Id="rId3834" Type="http://schemas.openxmlformats.org/officeDocument/2006/relationships/hyperlink" Target="https://cdn.jsdelivr.net/gh/EngineerX1234/vocational-images@main/tools/batch-17/logistics-petri-dish.jpg" TargetMode="External"/><Relationship Id="rId3835" Type="http://schemas.openxmlformats.org/officeDocument/2006/relationships/hyperlink" Target="https://www.google.com/search?tbm=isch&amp;q=Antibiotic+discs" TargetMode="External"/><Relationship Id="rId3836" Type="http://schemas.openxmlformats.org/officeDocument/2006/relationships/hyperlink" Target="https://www.google.com/search?tbm=isch&amp;q=Culture+media" TargetMode="External"/><Relationship Id="rId3837" Type="http://schemas.openxmlformats.org/officeDocument/2006/relationships/hyperlink" Target="https://www.google.com/search?tbm=isch&amp;q=Rapid+test+kits+for+Malaria%2C+Dengue%2C+HIV%2C+HCV%2C+Typhoid%2C+Preg" TargetMode="External"/><Relationship Id="rId3838" Type="http://schemas.openxmlformats.org/officeDocument/2006/relationships/hyperlink" Target="https://www.google.com/search?tbm=isch&amp;q=Laminar+Flow" TargetMode="External"/><Relationship Id="rId3839" Type="http://schemas.openxmlformats.org/officeDocument/2006/relationships/hyperlink" Target="https://www.google.com/search?tbm=isch&amp;q=Autoclave+-+separate+for+media+sterilization+and+waste+dispo" TargetMode="External"/><Relationship Id="rId3840" Type="http://schemas.openxmlformats.org/officeDocument/2006/relationships/hyperlink" Target="https://cdn.jsdelivr.net/gh/EngineerX1234/vocational-images@main/tools/batch-19/physical-education-and-sports-stopwatch.jpg" TargetMode="External"/><Relationship Id="rId3841" Type="http://schemas.openxmlformats.org/officeDocument/2006/relationships/hyperlink" Target="https://www.google.com/search?tbm=isch&amp;q=Normal+Saline" TargetMode="External"/><Relationship Id="rId3842" Type="http://schemas.openxmlformats.org/officeDocument/2006/relationships/hyperlink" Target="https://www.google.com/search?tbm=isch&amp;q=Pipettes+Glass+-+%281+mL%2C+2+mL%2C+5+mL%2C+10+mL%29" TargetMode="External"/><Relationship Id="rId3843" Type="http://schemas.openxmlformats.org/officeDocument/2006/relationships/hyperlink" Target="https://www.google.com/search?tbm=isch&amp;q=Gloves" TargetMode="External"/><Relationship Id="rId3844" Type="http://schemas.openxmlformats.org/officeDocument/2006/relationships/hyperlink" Target="https://www.google.com/search?tbm=isch&amp;q=Beaker+%2F+glass+flask" TargetMode="External"/><Relationship Id="rId3845" Type="http://schemas.openxmlformats.org/officeDocument/2006/relationships/hyperlink" Target="https://www.google.com/search?tbm=isch&amp;q=Distilled+water" TargetMode="External"/><Relationship Id="rId3846" Type="http://schemas.openxmlformats.org/officeDocument/2006/relationships/hyperlink" Target="https://www.google.com/search?tbm=isch&amp;q=Tissue+paper+%2F+Filter+paper+%2F+Cotton" TargetMode="External"/><Relationship Id="rId3847" Type="http://schemas.openxmlformats.org/officeDocument/2006/relationships/hyperlink" Target="https://cdn.jsdelivr.net/gh/EngineerX1234/vocational-images@main/tools/batch-12/food-processing-centrifuge.jpg" TargetMode="External"/><Relationship Id="rId3848" Type="http://schemas.openxmlformats.org/officeDocument/2006/relationships/hyperlink" Target="https://cdn.jsdelivr.net/gh/EngineerX1234/vocational-images@main/tools/batch-26/agriculture-incubator.jpg" TargetMode="External"/><Relationship Id="rId3849" Type="http://schemas.openxmlformats.org/officeDocument/2006/relationships/hyperlink" Target="https://cdn.jsdelivr.net/gh/EngineerX1234/vocational-images@main/tools/batch-13/food-processing-refrigerator.jpg" TargetMode="External"/><Relationship Id="rId3850" Type="http://schemas.openxmlformats.org/officeDocument/2006/relationships/hyperlink" Target="https://www.google.com/search?tbm=isch&amp;q=Tube+racks+%2F+slide+racks" TargetMode="External"/><Relationship Id="rId3851" Type="http://schemas.openxmlformats.org/officeDocument/2006/relationships/hyperlink" Target="https://www.google.com/search?tbm=isch&amp;q=Display+board+for+tools+display+and+easy+access+to+students" TargetMode="External"/><Relationship Id="rId3852" Type="http://schemas.openxmlformats.org/officeDocument/2006/relationships/hyperlink" Target="https://www.google.com/search?tbm=isch&amp;q=Display+board+for+tools+display+and+easy+access+to+students" TargetMode="External"/><Relationship Id="rId3853" Type="http://schemas.openxmlformats.org/officeDocument/2006/relationships/hyperlink" Target="https://www.google.com/search?tbm=isch&amp;q=Working+Table+to+perform+practical+for+15+students" TargetMode="External"/><Relationship Id="rId3854" Type="http://schemas.openxmlformats.org/officeDocument/2006/relationships/hyperlink" Target="https://www.google.com/search?tbm=isch&amp;q=Machine+Table+for+Machine+Installation" TargetMode="External"/><Relationship Id="rId3855" Type="http://schemas.openxmlformats.org/officeDocument/2006/relationships/hyperlink" Target="https://www.google.com/search?tbm=isch&amp;q=Cupboard+for+Storage+of+tools%2C+Raw+material+and+other+Resour" TargetMode="External"/><Relationship Id="rId3856" Type="http://schemas.openxmlformats.org/officeDocument/2006/relationships/hyperlink" Target="https://www.google.com/search?tbm=isch&amp;q=Stools+for+sitting" TargetMode="External"/><Relationship Id="rId3857" Type="http://schemas.openxmlformats.org/officeDocument/2006/relationships/hyperlink" Target="https://www.google.com/search?tbm=isch&amp;q=Kitchen+Table+with+Drawer+and+Storage+cupboard+%2F+Working+tab" TargetMode="External"/><Relationship Id="rId3858" Type="http://schemas.openxmlformats.org/officeDocument/2006/relationships/hyperlink" Target="https://www.google.com/search?tbm=isch&amp;q=Utensil+Rack" TargetMode="External"/><Relationship Id="rId3859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7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4"/>
    <col collapsed="false" customWidth="true" hidden="false" outlineLevel="0" max="3" min="3" style="0" width="18"/>
    <col collapsed="false" customWidth="true" hidden="false" outlineLevel="0" max="4" min="4" style="0" width="8"/>
    <col collapsed="false" customWidth="true" hidden="false" outlineLevel="0" max="5" min="5" style="0" width="10"/>
    <col collapsed="false" customWidth="true" hidden="false" outlineLevel="0" max="6" min="6" style="0" width="9"/>
    <col collapsed="false" customWidth="true" hidden="false" outlineLevel="0" max="8" min="7" style="0" width="16"/>
    <col collapsed="false" customWidth="true" hidden="false" outlineLevel="0" max="9" min="9" style="0" width="14"/>
    <col collapsed="false" customWidth="true" hidden="false" outlineLevel="0" max="10" min="10" style="0" width="16"/>
    <col collapsed="false" customWidth="true" hidden="false" outlineLevel="0" max="11" min="11" style="0" width="11"/>
  </cols>
  <sheetData>
    <row r="1" customFormat="false" ht="18.5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31.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</row>
    <row r="5" customFormat="false" ht="15" hidden="false" customHeight="false" outlineLevel="0" collapsed="false">
      <c r="A5" s="4" t="s">
        <v>13</v>
      </c>
      <c r="B5" s="5" t="s">
        <v>14</v>
      </c>
      <c r="C5" s="5" t="s">
        <v>15</v>
      </c>
      <c r="D5" s="4" t="s">
        <v>16</v>
      </c>
      <c r="E5" s="4" t="s">
        <v>17</v>
      </c>
      <c r="F5" s="4" t="n">
        <f aca="false">COUNTIFS(Data!$C$2:$C$7199,C5,Data!$D$2:$D$7199,D5)</f>
        <v>4</v>
      </c>
      <c r="G5" s="6" t="n">
        <f aca="false">SUMIFS(Data!$L$2:$L$7199,Data!$C$2:$C$7199,$C5,Data!$D$2:$D$7199,$D5,Data!$F$2:$F$7199,"Tools &amp; Equipment")</f>
        <v>0</v>
      </c>
      <c r="H5" s="6" t="n">
        <f aca="false">SUMIFS(Data!$L$2:$L$7199,Data!$C$2:$C$7199,$C5,Data!$D$2:$D$7199,$D5,Data!$F$2:$F$7199,"Other Lab Items")</f>
        <v>94500</v>
      </c>
      <c r="I5" s="6" t="n">
        <f aca="false">SUMIFS(Data!$L$2:$L$7199,Data!$C$2:$C$7199,$C5,Data!$D$2:$D$7199,$D5,Data!$F$2:$F$7199,"Consumables")</f>
        <v>0</v>
      </c>
      <c r="J5" s="6" t="n">
        <f aca="false">SUM(G5:I5)</f>
        <v>94500</v>
      </c>
      <c r="K5" s="4" t="n">
        <f aca="false">ROUND(J5/100000,2)</f>
        <v>0.95</v>
      </c>
    </row>
    <row r="6" customFormat="false" ht="15" hidden="false" customHeight="false" outlineLevel="0" collapsed="false">
      <c r="A6" s="4" t="s">
        <v>13</v>
      </c>
      <c r="B6" s="5" t="s">
        <v>18</v>
      </c>
      <c r="C6" s="5" t="s">
        <v>19</v>
      </c>
      <c r="D6" s="4" t="s">
        <v>16</v>
      </c>
      <c r="E6" s="4" t="s">
        <v>17</v>
      </c>
      <c r="F6" s="4" t="n">
        <f aca="false">COUNTIFS(Data!$C$2:$C$7199,C6,Data!$D$2:$D$7199,D6)</f>
        <v>52</v>
      </c>
      <c r="G6" s="6" t="n">
        <f aca="false">SUMIFS(Data!$L$2:$L$7199,Data!$C$2:$C$7199,$C6,Data!$D$2:$D$7199,$D6,Data!$F$2:$F$7199,"Tools &amp; Equipment")</f>
        <v>613960</v>
      </c>
      <c r="H6" s="6" t="n">
        <f aca="false">SUMIFS(Data!$L$2:$L$7199,Data!$C$2:$C$7199,$C6,Data!$D$2:$D$7199,$D6,Data!$F$2:$F$7199,"Other Lab Items")</f>
        <v>0</v>
      </c>
      <c r="I6" s="6" t="n">
        <f aca="false">SUMIFS(Data!$L$2:$L$7199,Data!$C$2:$C$7199,$C6,Data!$D$2:$D$7199,$D6,Data!$F$2:$F$7199,"Consumables")</f>
        <v>0</v>
      </c>
      <c r="J6" s="6" t="n">
        <f aca="false">SUM(G6:I6)</f>
        <v>613960</v>
      </c>
      <c r="K6" s="4" t="n">
        <f aca="false">ROUND(J6/100000,2)</f>
        <v>6.14</v>
      </c>
    </row>
    <row r="7" customFormat="false" ht="15" hidden="false" customHeight="false" outlineLevel="0" collapsed="false">
      <c r="A7" s="4" t="s">
        <v>13</v>
      </c>
      <c r="B7" s="5" t="s">
        <v>20</v>
      </c>
      <c r="C7" s="5" t="s">
        <v>21</v>
      </c>
      <c r="D7" s="4" t="s">
        <v>22</v>
      </c>
      <c r="E7" s="4" t="s">
        <v>17</v>
      </c>
      <c r="F7" s="4" t="n">
        <f aca="false">COUNTIFS(Data!$C$2:$C$7199,C7,Data!$D$2:$D$7199,D7)</f>
        <v>43</v>
      </c>
      <c r="G7" s="6" t="n">
        <f aca="false">SUMIFS(Data!$L$2:$L$7199,Data!$C$2:$C$7199,$C7,Data!$D$2:$D$7199,$D7,Data!$F$2:$F$7199,"Tools &amp; Equipment")</f>
        <v>77980</v>
      </c>
      <c r="H7" s="6" t="n">
        <f aca="false">SUMIFS(Data!$L$2:$L$7199,Data!$C$2:$C$7199,$C7,Data!$D$2:$D$7199,$D7,Data!$F$2:$F$7199,"Other Lab Items")</f>
        <v>102100</v>
      </c>
      <c r="I7" s="6" t="n">
        <f aca="false">SUMIFS(Data!$L$2:$L$7199,Data!$C$2:$C$7199,$C7,Data!$D$2:$D$7199,$D7,Data!$F$2:$F$7199,"Consumables")</f>
        <v>1820</v>
      </c>
      <c r="J7" s="6" t="n">
        <f aca="false">SUM(G7:I7)</f>
        <v>181900</v>
      </c>
      <c r="K7" s="4" t="n">
        <f aca="false">ROUND(J7/100000,2)</f>
        <v>1.82</v>
      </c>
    </row>
    <row r="8" customFormat="false" ht="15" hidden="false" customHeight="false" outlineLevel="0" collapsed="false">
      <c r="A8" s="4" t="s">
        <v>13</v>
      </c>
      <c r="B8" s="5" t="s">
        <v>23</v>
      </c>
      <c r="C8" s="5" t="s">
        <v>24</v>
      </c>
      <c r="D8" s="4" t="s">
        <v>22</v>
      </c>
      <c r="E8" s="4" t="s">
        <v>17</v>
      </c>
      <c r="F8" s="4" t="n">
        <f aca="false">COUNTIFS(Data!$C$2:$C$7199,C8,Data!$D$2:$D$7199,D8)</f>
        <v>21</v>
      </c>
      <c r="G8" s="6" t="n">
        <f aca="false">SUMIFS(Data!$L$2:$L$7199,Data!$C$2:$C$7199,$C8,Data!$D$2:$D$7199,$D8,Data!$F$2:$F$7199,"Tools &amp; Equipment")</f>
        <v>44150</v>
      </c>
      <c r="H8" s="6" t="n">
        <f aca="false">SUMIFS(Data!$L$2:$L$7199,Data!$C$2:$C$7199,$C8,Data!$D$2:$D$7199,$D8,Data!$F$2:$F$7199,"Other Lab Items")</f>
        <v>0</v>
      </c>
      <c r="I8" s="6" t="n">
        <f aca="false">SUMIFS(Data!$L$2:$L$7199,Data!$C$2:$C$7199,$C8,Data!$D$2:$D$7199,$D8,Data!$F$2:$F$7199,"Consumables")</f>
        <v>370</v>
      </c>
      <c r="J8" s="6" t="n">
        <f aca="false">SUM(G8:I8)</f>
        <v>44520</v>
      </c>
      <c r="K8" s="4" t="n">
        <f aca="false">ROUND(J8/100000,2)</f>
        <v>0.45</v>
      </c>
    </row>
    <row r="9" customFormat="false" ht="15" hidden="false" customHeight="false" outlineLevel="0" collapsed="false">
      <c r="A9" s="4" t="s">
        <v>13</v>
      </c>
      <c r="B9" s="5" t="s">
        <v>25</v>
      </c>
      <c r="C9" s="5" t="s">
        <v>26</v>
      </c>
      <c r="D9" s="4" t="s">
        <v>22</v>
      </c>
      <c r="E9" s="4" t="s">
        <v>17</v>
      </c>
      <c r="F9" s="4" t="n">
        <f aca="false">COUNTIFS(Data!$C$2:$C$7199,C9,Data!$D$2:$D$7199,D9)</f>
        <v>26</v>
      </c>
      <c r="G9" s="6" t="n">
        <f aca="false">SUMIFS(Data!$L$2:$L$7199,Data!$C$2:$C$7199,$C9,Data!$D$2:$D$7199,$D9,Data!$F$2:$F$7199,"Tools &amp; Equipment")</f>
        <v>110000</v>
      </c>
      <c r="H9" s="6" t="n">
        <f aca="false">SUMIFS(Data!$L$2:$L$7199,Data!$C$2:$C$7199,$C9,Data!$D$2:$D$7199,$D9,Data!$F$2:$F$7199,"Other Lab Items")</f>
        <v>0</v>
      </c>
      <c r="I9" s="6" t="n">
        <f aca="false">SUMIFS(Data!$L$2:$L$7199,Data!$C$2:$C$7199,$C9,Data!$D$2:$D$7199,$D9,Data!$F$2:$F$7199,"Consumables")</f>
        <v>873</v>
      </c>
      <c r="J9" s="6" t="n">
        <f aca="false">SUM(G9:I9)</f>
        <v>110873</v>
      </c>
      <c r="K9" s="4" t="n">
        <f aca="false">ROUND(J9/100000,2)</f>
        <v>1.11</v>
      </c>
    </row>
    <row r="10" customFormat="false" ht="15" hidden="false" customHeight="false" outlineLevel="0" collapsed="false">
      <c r="A10" s="4" t="s">
        <v>13</v>
      </c>
      <c r="B10" s="5" t="s">
        <v>27</v>
      </c>
      <c r="C10" s="5" t="s">
        <v>28</v>
      </c>
      <c r="D10" s="4" t="s">
        <v>22</v>
      </c>
      <c r="E10" s="4" t="s">
        <v>17</v>
      </c>
      <c r="F10" s="4" t="n">
        <f aca="false">COUNTIFS(Data!$C$2:$C$7199,C10,Data!$D$2:$D$7199,D10)</f>
        <v>66</v>
      </c>
      <c r="G10" s="6" t="n">
        <f aca="false">SUMIFS(Data!$L$2:$L$7199,Data!$C$2:$C$7199,$C10,Data!$D$2:$D$7199,$D10,Data!$F$2:$F$7199,"Tools &amp; Equipment")</f>
        <v>570690</v>
      </c>
      <c r="H10" s="6" t="n">
        <f aca="false">SUMIFS(Data!$L$2:$L$7199,Data!$C$2:$C$7199,$C10,Data!$D$2:$D$7199,$D10,Data!$F$2:$F$7199,"Other Lab Items")</f>
        <v>250</v>
      </c>
      <c r="I10" s="6" t="n">
        <f aca="false">SUMIFS(Data!$L$2:$L$7199,Data!$C$2:$C$7199,$C10,Data!$D$2:$D$7199,$D10,Data!$F$2:$F$7199,"Consumables")</f>
        <v>873</v>
      </c>
      <c r="J10" s="6" t="n">
        <f aca="false">SUM(G10:I10)</f>
        <v>571813</v>
      </c>
      <c r="K10" s="4" t="n">
        <f aca="false">ROUND(J10/100000,2)</f>
        <v>5.72</v>
      </c>
    </row>
    <row r="11" customFormat="false" ht="15" hidden="false" customHeight="false" outlineLevel="0" collapsed="false">
      <c r="A11" s="4" t="s">
        <v>13</v>
      </c>
      <c r="B11" s="5" t="s">
        <v>29</v>
      </c>
      <c r="C11" s="5" t="s">
        <v>30</v>
      </c>
      <c r="D11" s="4" t="s">
        <v>16</v>
      </c>
      <c r="E11" s="4" t="s">
        <v>31</v>
      </c>
      <c r="F11" s="4" t="n">
        <f aca="false">COUNTIFS(Data!$C$2:$C$7199,C11,Data!$D$2:$D$7199,D11)</f>
        <v>43</v>
      </c>
      <c r="G11" s="6" t="n">
        <f aca="false">SUMIFS(Data!$L$2:$L$7199,Data!$C$2:$C$7199,$C11,Data!$D$2:$D$7199,$D11,Data!$F$2:$F$7199,"Tools &amp; Equipment")</f>
        <v>77380</v>
      </c>
      <c r="H11" s="6" t="n">
        <f aca="false">SUMIFS(Data!$L$2:$L$7199,Data!$C$2:$C$7199,$C11,Data!$D$2:$D$7199,$D11,Data!$F$2:$F$7199,"Other Lab Items")</f>
        <v>102100</v>
      </c>
      <c r="I11" s="6" t="n">
        <f aca="false">SUMIFS(Data!$L$2:$L$7199,Data!$C$2:$C$7199,$C11,Data!$D$2:$D$7199,$D11,Data!$F$2:$F$7199,"Consumables")</f>
        <v>1820</v>
      </c>
      <c r="J11" s="6" t="n">
        <f aca="false">SUM(G11:I11)</f>
        <v>181300</v>
      </c>
      <c r="K11" s="4" t="n">
        <f aca="false">ROUND(J11/100000,2)</f>
        <v>1.81</v>
      </c>
    </row>
    <row r="12" customFormat="false" ht="15" hidden="false" customHeight="false" outlineLevel="0" collapsed="false">
      <c r="A12" s="4" t="s">
        <v>13</v>
      </c>
      <c r="B12" s="5" t="s">
        <v>32</v>
      </c>
      <c r="C12" s="5" t="s">
        <v>33</v>
      </c>
      <c r="D12" s="4" t="s">
        <v>22</v>
      </c>
      <c r="E12" s="4" t="s">
        <v>31</v>
      </c>
      <c r="F12" s="4" t="n">
        <f aca="false">COUNTIFS(Data!$C$2:$C$7199,C12,Data!$D$2:$D$7199,D12)</f>
        <v>42</v>
      </c>
      <c r="G12" s="6" t="n">
        <f aca="false">SUMIFS(Data!$L$2:$L$7199,Data!$C$2:$C$7199,$C12,Data!$D$2:$D$7199,$D12,Data!$F$2:$F$7199,"Tools &amp; Equipment")</f>
        <v>77260</v>
      </c>
      <c r="H12" s="6" t="n">
        <f aca="false">SUMIFS(Data!$L$2:$L$7199,Data!$C$2:$C$7199,$C12,Data!$D$2:$D$7199,$D12,Data!$F$2:$F$7199,"Other Lab Items")</f>
        <v>102100</v>
      </c>
      <c r="I12" s="6" t="n">
        <f aca="false">SUMIFS(Data!$L$2:$L$7199,Data!$C$2:$C$7199,$C12,Data!$D$2:$D$7199,$D12,Data!$F$2:$F$7199,"Consumables")</f>
        <v>2810</v>
      </c>
      <c r="J12" s="6" t="n">
        <f aca="false">SUM(G12:I12)</f>
        <v>182170</v>
      </c>
      <c r="K12" s="4" t="n">
        <f aca="false">ROUND(J12/100000,2)</f>
        <v>1.82</v>
      </c>
    </row>
    <row r="13" customFormat="false" ht="15" hidden="false" customHeight="false" outlineLevel="0" collapsed="false">
      <c r="A13" s="4" t="s">
        <v>13</v>
      </c>
      <c r="B13" s="5" t="s">
        <v>34</v>
      </c>
      <c r="C13" s="5" t="s">
        <v>35</v>
      </c>
      <c r="D13" s="4" t="s">
        <v>16</v>
      </c>
      <c r="E13" s="4" t="s">
        <v>17</v>
      </c>
      <c r="F13" s="4" t="n">
        <f aca="false">COUNTIFS(Data!$C$2:$C$7199,C13,Data!$D$2:$D$7199,D13)</f>
        <v>28</v>
      </c>
      <c r="G13" s="6" t="n">
        <f aca="false">SUMIFS(Data!$L$2:$L$7199,Data!$C$2:$C$7199,$C13,Data!$D$2:$D$7199,$D13,Data!$F$2:$F$7199,"Tools &amp; Equipment")</f>
        <v>83150</v>
      </c>
      <c r="H13" s="6" t="n">
        <f aca="false">SUMIFS(Data!$L$2:$L$7199,Data!$C$2:$C$7199,$C13,Data!$D$2:$D$7199,$D13,Data!$F$2:$F$7199,"Other Lab Items")</f>
        <v>1750</v>
      </c>
      <c r="I13" s="6" t="n">
        <f aca="false">SUMIFS(Data!$L$2:$L$7199,Data!$C$2:$C$7199,$C13,Data!$D$2:$D$7199,$D13,Data!$F$2:$F$7199,"Consumables")</f>
        <v>1050</v>
      </c>
      <c r="J13" s="6" t="n">
        <f aca="false">SUM(G13:I13)</f>
        <v>85950</v>
      </c>
      <c r="K13" s="4" t="n">
        <f aca="false">ROUND(J13/100000,2)</f>
        <v>0.86</v>
      </c>
    </row>
    <row r="14" customFormat="false" ht="15" hidden="false" customHeight="false" outlineLevel="0" collapsed="false">
      <c r="A14" s="4" t="s">
        <v>13</v>
      </c>
      <c r="B14" s="5" t="s">
        <v>36</v>
      </c>
      <c r="C14" s="5" t="s">
        <v>37</v>
      </c>
      <c r="D14" s="4" t="s">
        <v>16</v>
      </c>
      <c r="E14" s="4" t="s">
        <v>31</v>
      </c>
      <c r="F14" s="4" t="n">
        <f aca="false">COUNTIFS(Data!$C$2:$C$7199,C14,Data!$D$2:$D$7199,D14)</f>
        <v>70</v>
      </c>
      <c r="G14" s="6" t="n">
        <f aca="false">SUMIFS(Data!$L$2:$L$7199,Data!$C$2:$C$7199,$C14,Data!$D$2:$D$7199,$D14,Data!$F$2:$F$7199,"Tools &amp; Equipment")</f>
        <v>115250</v>
      </c>
      <c r="H14" s="6" t="n">
        <f aca="false">SUMIFS(Data!$L$2:$L$7199,Data!$C$2:$C$7199,$C14,Data!$D$2:$D$7199,$D14,Data!$F$2:$F$7199,"Other Lab Items")</f>
        <v>0</v>
      </c>
      <c r="I14" s="6" t="n">
        <f aca="false">SUMIFS(Data!$L$2:$L$7199,Data!$C$2:$C$7199,$C14,Data!$D$2:$D$7199,$D14,Data!$F$2:$F$7199,"Consumables")</f>
        <v>3598</v>
      </c>
      <c r="J14" s="6" t="n">
        <f aca="false">SUM(G14:I14)</f>
        <v>118848</v>
      </c>
      <c r="K14" s="4" t="n">
        <f aca="false">ROUND(J14/100000,2)</f>
        <v>1.19</v>
      </c>
    </row>
    <row r="15" customFormat="false" ht="15" hidden="false" customHeight="false" outlineLevel="0" collapsed="false">
      <c r="A15" s="4" t="s">
        <v>13</v>
      </c>
      <c r="B15" s="5" t="s">
        <v>38</v>
      </c>
      <c r="C15" s="5" t="s">
        <v>39</v>
      </c>
      <c r="D15" s="4" t="s">
        <v>16</v>
      </c>
      <c r="E15" s="4" t="s">
        <v>17</v>
      </c>
      <c r="F15" s="4" t="n">
        <f aca="false">COUNTIFS(Data!$C$2:$C$7199,C15,Data!$D$2:$D$7199,D15)</f>
        <v>68</v>
      </c>
      <c r="G15" s="6" t="n">
        <f aca="false">SUMIFS(Data!$L$2:$L$7199,Data!$C$2:$C$7199,$C15,Data!$D$2:$D$7199,$D15,Data!$F$2:$F$7199,"Tools &amp; Equipment")</f>
        <v>644040</v>
      </c>
      <c r="H15" s="6" t="n">
        <f aca="false">SUMIFS(Data!$L$2:$L$7199,Data!$C$2:$C$7199,$C15,Data!$D$2:$D$7199,$D15,Data!$F$2:$F$7199,"Other Lab Items")</f>
        <v>24000</v>
      </c>
      <c r="I15" s="6" t="n">
        <f aca="false">SUMIFS(Data!$L$2:$L$7199,Data!$C$2:$C$7199,$C15,Data!$D$2:$D$7199,$D15,Data!$F$2:$F$7199,"Consumables")</f>
        <v>2055</v>
      </c>
      <c r="J15" s="6" t="n">
        <f aca="false">SUM(G15:I15)</f>
        <v>670095</v>
      </c>
      <c r="K15" s="4" t="n">
        <f aca="false">ROUND(J15/100000,2)</f>
        <v>6.7</v>
      </c>
    </row>
    <row r="16" customFormat="false" ht="15" hidden="false" customHeight="false" outlineLevel="0" collapsed="false">
      <c r="A16" s="4" t="s">
        <v>13</v>
      </c>
      <c r="B16" s="5" t="s">
        <v>40</v>
      </c>
      <c r="C16" s="5" t="s">
        <v>41</v>
      </c>
      <c r="D16" s="4" t="s">
        <v>16</v>
      </c>
      <c r="E16" s="4" t="s">
        <v>31</v>
      </c>
      <c r="F16" s="4" t="n">
        <f aca="false">COUNTIFS(Data!$C$2:$C$7199,C16,Data!$D$2:$D$7199,D16)</f>
        <v>33</v>
      </c>
      <c r="G16" s="6" t="n">
        <f aca="false">SUMIFS(Data!$L$2:$L$7199,Data!$C$2:$C$7199,$C16,Data!$D$2:$D$7199,$D16,Data!$F$2:$F$7199,"Tools &amp; Equipment")</f>
        <v>155520</v>
      </c>
      <c r="H16" s="6" t="n">
        <f aca="false">SUMIFS(Data!$L$2:$L$7199,Data!$C$2:$C$7199,$C16,Data!$D$2:$D$7199,$D16,Data!$F$2:$F$7199,"Other Lab Items")</f>
        <v>250</v>
      </c>
      <c r="I16" s="6" t="n">
        <f aca="false">SUMIFS(Data!$L$2:$L$7199,Data!$C$2:$C$7199,$C16,Data!$D$2:$D$7199,$D16,Data!$F$2:$F$7199,"Consumables")</f>
        <v>358</v>
      </c>
      <c r="J16" s="6" t="n">
        <f aca="false">SUM(G16:I16)</f>
        <v>156128</v>
      </c>
      <c r="K16" s="4" t="n">
        <f aca="false">ROUND(J16/100000,2)</f>
        <v>1.56</v>
      </c>
    </row>
    <row r="17" customFormat="false" ht="15" hidden="false" customHeight="false" outlineLevel="0" collapsed="false">
      <c r="A17" s="4" t="s">
        <v>13</v>
      </c>
      <c r="B17" s="5" t="s">
        <v>42</v>
      </c>
      <c r="C17" s="5" t="s">
        <v>43</v>
      </c>
      <c r="D17" s="4" t="s">
        <v>16</v>
      </c>
      <c r="E17" s="4" t="s">
        <v>31</v>
      </c>
      <c r="F17" s="4" t="n">
        <f aca="false">COUNTIFS(Data!$C$2:$C$7199,C17,Data!$D$2:$D$7199,D17)</f>
        <v>48</v>
      </c>
      <c r="G17" s="6" t="n">
        <f aca="false">SUMIFS(Data!$L$2:$L$7199,Data!$C$2:$C$7199,$C17,Data!$D$2:$D$7199,$D17,Data!$F$2:$F$7199,"Tools &amp; Equipment")</f>
        <v>468940</v>
      </c>
      <c r="H17" s="6" t="n">
        <f aca="false">SUMIFS(Data!$L$2:$L$7199,Data!$C$2:$C$7199,$C17,Data!$D$2:$D$7199,$D17,Data!$F$2:$F$7199,"Other Lab Items")</f>
        <v>12000</v>
      </c>
      <c r="I17" s="6" t="n">
        <f aca="false">SUMIFS(Data!$L$2:$L$7199,Data!$C$2:$C$7199,$C17,Data!$D$2:$D$7199,$D17,Data!$F$2:$F$7199,"Consumables")</f>
        <v>2210</v>
      </c>
      <c r="J17" s="6" t="n">
        <f aca="false">SUM(G17:I17)</f>
        <v>483150</v>
      </c>
      <c r="K17" s="4" t="n">
        <f aca="false">ROUND(J17/100000,2)</f>
        <v>4.83</v>
      </c>
    </row>
    <row r="18" customFormat="false" ht="15" hidden="false" customHeight="false" outlineLevel="0" collapsed="false">
      <c r="A18" s="4" t="s">
        <v>13</v>
      </c>
      <c r="B18" s="5" t="s">
        <v>44</v>
      </c>
      <c r="C18" s="5" t="s">
        <v>45</v>
      </c>
      <c r="D18" s="4" t="s">
        <v>16</v>
      </c>
      <c r="E18" s="4" t="s">
        <v>31</v>
      </c>
      <c r="F18" s="4" t="n">
        <f aca="false">COUNTIFS(Data!$C$2:$C$7199,C18,Data!$D$2:$D$7199,D18)</f>
        <v>29</v>
      </c>
      <c r="G18" s="6" t="n">
        <f aca="false">SUMIFS(Data!$L$2:$L$7199,Data!$C$2:$C$7199,$C18,Data!$D$2:$D$7199,$D18,Data!$F$2:$F$7199,"Tools &amp; Equipment")</f>
        <v>44700</v>
      </c>
      <c r="H18" s="6" t="n">
        <f aca="false">SUMIFS(Data!$L$2:$L$7199,Data!$C$2:$C$7199,$C18,Data!$D$2:$D$7199,$D18,Data!$F$2:$F$7199,"Other Lab Items")</f>
        <v>0</v>
      </c>
      <c r="I18" s="6" t="n">
        <f aca="false">SUMIFS(Data!$L$2:$L$7199,Data!$C$2:$C$7199,$C18,Data!$D$2:$D$7199,$D18,Data!$F$2:$F$7199,"Consumables")</f>
        <v>505</v>
      </c>
      <c r="J18" s="6" t="n">
        <f aca="false">SUM(G18:I18)</f>
        <v>45205</v>
      </c>
      <c r="K18" s="4" t="n">
        <f aca="false">ROUND(J18/100000,2)</f>
        <v>0.45</v>
      </c>
    </row>
    <row r="19" customFormat="false" ht="15" hidden="false" customHeight="false" outlineLevel="0" collapsed="false">
      <c r="A19" s="4" t="s">
        <v>13</v>
      </c>
      <c r="B19" s="5" t="s">
        <v>46</v>
      </c>
      <c r="C19" s="5" t="s">
        <v>47</v>
      </c>
      <c r="D19" s="4" t="s">
        <v>16</v>
      </c>
      <c r="E19" s="4" t="s">
        <v>31</v>
      </c>
      <c r="F19" s="4" t="n">
        <f aca="false">COUNTIFS(Data!$C$2:$C$7199,C19,Data!$D$2:$D$7199,D19)</f>
        <v>44</v>
      </c>
      <c r="G19" s="6" t="n">
        <f aca="false">SUMIFS(Data!$L$2:$L$7199,Data!$C$2:$C$7199,$C19,Data!$D$2:$D$7199,$D19,Data!$F$2:$F$7199,"Tools &amp; Equipment")</f>
        <v>1060850</v>
      </c>
      <c r="H19" s="6" t="n">
        <f aca="false">SUMIFS(Data!$L$2:$L$7199,Data!$C$2:$C$7199,$C19,Data!$D$2:$D$7199,$D19,Data!$F$2:$F$7199,"Other Lab Items")</f>
        <v>60000</v>
      </c>
      <c r="I19" s="6" t="n">
        <f aca="false">SUMIFS(Data!$L$2:$L$7199,Data!$C$2:$C$7199,$C19,Data!$D$2:$D$7199,$D19,Data!$F$2:$F$7199,"Consumables")</f>
        <v>251000</v>
      </c>
      <c r="J19" s="6" t="n">
        <f aca="false">SUM(G19:I19)</f>
        <v>1371850</v>
      </c>
      <c r="K19" s="4" t="n">
        <f aca="false">ROUND(J19/100000,2)</f>
        <v>13.72</v>
      </c>
    </row>
    <row r="20" customFormat="false" ht="15" hidden="false" customHeight="false" outlineLevel="0" collapsed="false">
      <c r="A20" s="4" t="s">
        <v>13</v>
      </c>
      <c r="B20" s="5" t="s">
        <v>48</v>
      </c>
      <c r="C20" s="5" t="s">
        <v>49</v>
      </c>
      <c r="D20" s="4" t="s">
        <v>22</v>
      </c>
      <c r="E20" s="4" t="s">
        <v>17</v>
      </c>
      <c r="F20" s="4" t="n">
        <f aca="false">COUNTIFS(Data!$C$2:$C$7199,C20,Data!$D$2:$D$7199,D20)</f>
        <v>66</v>
      </c>
      <c r="G20" s="6" t="n">
        <f aca="false">SUMIFS(Data!$L$2:$L$7199,Data!$C$2:$C$7199,$C20,Data!$D$2:$D$7199,$D20,Data!$F$2:$F$7199,"Tools &amp; Equipment")</f>
        <v>570940</v>
      </c>
      <c r="H20" s="6" t="n">
        <f aca="false">SUMIFS(Data!$L$2:$L$7199,Data!$C$2:$C$7199,$C20,Data!$D$2:$D$7199,$D20,Data!$F$2:$F$7199,"Other Lab Items")</f>
        <v>0</v>
      </c>
      <c r="I20" s="6" t="n">
        <f aca="false">SUMIFS(Data!$L$2:$L$7199,Data!$C$2:$C$7199,$C20,Data!$D$2:$D$7199,$D20,Data!$F$2:$F$7199,"Consumables")</f>
        <v>873</v>
      </c>
      <c r="J20" s="6" t="n">
        <f aca="false">SUM(G20:I20)</f>
        <v>571813</v>
      </c>
      <c r="K20" s="4" t="n">
        <f aca="false">ROUND(J20/100000,2)</f>
        <v>5.72</v>
      </c>
    </row>
    <row r="21" customFormat="false" ht="15" hidden="false" customHeight="false" outlineLevel="0" collapsed="false">
      <c r="A21" s="4" t="s">
        <v>13</v>
      </c>
      <c r="B21" s="5" t="s">
        <v>50</v>
      </c>
      <c r="C21" s="5" t="s">
        <v>51</v>
      </c>
      <c r="D21" s="4" t="s">
        <v>16</v>
      </c>
      <c r="E21" s="4" t="s">
        <v>31</v>
      </c>
      <c r="F21" s="4" t="n">
        <f aca="false">COUNTIFS(Data!$C$2:$C$7199,C21,Data!$D$2:$D$7199,D21)</f>
        <v>1</v>
      </c>
      <c r="G21" s="6" t="n">
        <f aca="false">SUMIFS(Data!$L$2:$L$7199,Data!$C$2:$C$7199,$C21,Data!$D$2:$D$7199,$D21,Data!$F$2:$F$7199,"Tools &amp; Equipment")</f>
        <v>2500</v>
      </c>
      <c r="H21" s="6" t="n">
        <f aca="false">SUMIFS(Data!$L$2:$L$7199,Data!$C$2:$C$7199,$C21,Data!$D$2:$D$7199,$D21,Data!$F$2:$F$7199,"Other Lab Items")</f>
        <v>0</v>
      </c>
      <c r="I21" s="6" t="n">
        <f aca="false">SUMIFS(Data!$L$2:$L$7199,Data!$C$2:$C$7199,$C21,Data!$D$2:$D$7199,$D21,Data!$F$2:$F$7199,"Consumables")</f>
        <v>0</v>
      </c>
      <c r="J21" s="6" t="n">
        <f aca="false">SUM(G21:I21)</f>
        <v>2500</v>
      </c>
      <c r="K21" s="4" t="n">
        <f aca="false">ROUND(J21/100000,2)</f>
        <v>0.03</v>
      </c>
    </row>
    <row r="22" customFormat="false" ht="15" hidden="false" customHeight="false" outlineLevel="0" collapsed="false">
      <c r="A22" s="4" t="s">
        <v>13</v>
      </c>
      <c r="B22" s="5" t="s">
        <v>52</v>
      </c>
      <c r="C22" s="5" t="s">
        <v>53</v>
      </c>
      <c r="D22" s="4" t="s">
        <v>16</v>
      </c>
      <c r="E22" s="4" t="s">
        <v>17</v>
      </c>
      <c r="F22" s="4" t="n">
        <f aca="false">COUNTIFS(Data!$C$2:$C$7199,C22,Data!$D$2:$D$7199,D22)</f>
        <v>26</v>
      </c>
      <c r="G22" s="6" t="n">
        <f aca="false">SUMIFS(Data!$L$2:$L$7199,Data!$C$2:$C$7199,$C22,Data!$D$2:$D$7199,$D22,Data!$F$2:$F$7199,"Tools &amp; Equipment")</f>
        <v>109750</v>
      </c>
      <c r="H22" s="6" t="n">
        <f aca="false">SUMIFS(Data!$L$2:$L$7199,Data!$C$2:$C$7199,$C22,Data!$D$2:$D$7199,$D22,Data!$F$2:$F$7199,"Other Lab Items")</f>
        <v>250</v>
      </c>
      <c r="I22" s="6" t="n">
        <f aca="false">SUMIFS(Data!$L$2:$L$7199,Data!$C$2:$C$7199,$C22,Data!$D$2:$D$7199,$D22,Data!$F$2:$F$7199,"Consumables")</f>
        <v>873</v>
      </c>
      <c r="J22" s="6" t="n">
        <f aca="false">SUM(G22:I22)</f>
        <v>110873</v>
      </c>
      <c r="K22" s="4" t="n">
        <f aca="false">ROUND(J22/100000,2)</f>
        <v>1.11</v>
      </c>
    </row>
    <row r="23" customFormat="false" ht="15" hidden="false" customHeight="false" outlineLevel="0" collapsed="false">
      <c r="A23" s="4" t="s">
        <v>13</v>
      </c>
      <c r="B23" s="5" t="s">
        <v>54</v>
      </c>
      <c r="C23" s="5" t="s">
        <v>55</v>
      </c>
      <c r="D23" s="4" t="s">
        <v>22</v>
      </c>
      <c r="E23" s="4" t="s">
        <v>31</v>
      </c>
      <c r="F23" s="4" t="n">
        <f aca="false">COUNTIFS(Data!$C$2:$C$7199,C23,Data!$D$2:$D$7199,D23)</f>
        <v>37</v>
      </c>
      <c r="G23" s="6" t="n">
        <f aca="false">SUMIFS(Data!$L$2:$L$7199,Data!$C$2:$C$7199,$C23,Data!$D$2:$D$7199,$D23,Data!$F$2:$F$7199,"Tools &amp; Equipment")</f>
        <v>1089500</v>
      </c>
      <c r="H23" s="6" t="n">
        <f aca="false">SUMIFS(Data!$L$2:$L$7199,Data!$C$2:$C$7199,$C23,Data!$D$2:$D$7199,$D23,Data!$F$2:$F$7199,"Other Lab Items")</f>
        <v>0</v>
      </c>
      <c r="I23" s="6" t="n">
        <f aca="false">SUMIFS(Data!$L$2:$L$7199,Data!$C$2:$C$7199,$C23,Data!$D$2:$D$7199,$D23,Data!$F$2:$F$7199,"Consumables")</f>
        <v>1053</v>
      </c>
      <c r="J23" s="6" t="n">
        <f aca="false">SUM(G23:I23)</f>
        <v>1090553</v>
      </c>
      <c r="K23" s="4" t="n">
        <f aca="false">ROUND(J23/100000,2)</f>
        <v>10.91</v>
      </c>
    </row>
    <row r="24" customFormat="false" ht="15" hidden="false" customHeight="false" outlineLevel="0" collapsed="false">
      <c r="A24" s="4" t="s">
        <v>13</v>
      </c>
      <c r="B24" s="5" t="s">
        <v>56</v>
      </c>
      <c r="C24" s="5" t="s">
        <v>57</v>
      </c>
      <c r="D24" s="4" t="s">
        <v>16</v>
      </c>
      <c r="E24" s="4" t="s">
        <v>31</v>
      </c>
      <c r="F24" s="4" t="n">
        <f aca="false">COUNTIFS(Data!$C$2:$C$7199,C24,Data!$D$2:$D$7199,D24)</f>
        <v>31</v>
      </c>
      <c r="G24" s="6" t="n">
        <f aca="false">SUMIFS(Data!$L$2:$L$7199,Data!$C$2:$C$7199,$C24,Data!$D$2:$D$7199,$D24,Data!$F$2:$F$7199,"Tools &amp; Equipment")</f>
        <v>731480</v>
      </c>
      <c r="H24" s="6" t="n">
        <f aca="false">SUMIFS(Data!$L$2:$L$7199,Data!$C$2:$C$7199,$C24,Data!$D$2:$D$7199,$D24,Data!$F$2:$F$7199,"Other Lab Items")</f>
        <v>335000</v>
      </c>
      <c r="I24" s="6" t="n">
        <f aca="false">SUMIFS(Data!$L$2:$L$7199,Data!$C$2:$C$7199,$C24,Data!$D$2:$D$7199,$D24,Data!$F$2:$F$7199,"Consumables")</f>
        <v>1000</v>
      </c>
      <c r="J24" s="6" t="n">
        <f aca="false">SUM(G24:I24)</f>
        <v>1067480</v>
      </c>
      <c r="K24" s="4" t="n">
        <f aca="false">ROUND(J24/100000,2)</f>
        <v>10.67</v>
      </c>
    </row>
    <row r="25" customFormat="false" ht="15" hidden="false" customHeight="false" outlineLevel="0" collapsed="false">
      <c r="A25" s="4" t="s">
        <v>13</v>
      </c>
      <c r="B25" s="5" t="s">
        <v>58</v>
      </c>
      <c r="C25" s="5" t="s">
        <v>59</v>
      </c>
      <c r="D25" s="4" t="s">
        <v>16</v>
      </c>
      <c r="E25" s="4" t="s">
        <v>17</v>
      </c>
      <c r="F25" s="4" t="n">
        <f aca="false">COUNTIFS(Data!$C$2:$C$7199,C25,Data!$D$2:$D$7199,D25)</f>
        <v>38</v>
      </c>
      <c r="G25" s="6" t="n">
        <f aca="false">SUMIFS(Data!$L$2:$L$7199,Data!$C$2:$C$7199,$C25,Data!$D$2:$D$7199,$D25,Data!$F$2:$F$7199,"Tools &amp; Equipment")</f>
        <v>581500</v>
      </c>
      <c r="H25" s="6" t="n">
        <f aca="false">SUMIFS(Data!$L$2:$L$7199,Data!$C$2:$C$7199,$C25,Data!$D$2:$D$7199,$D25,Data!$F$2:$F$7199,"Other Lab Items")</f>
        <v>1100</v>
      </c>
      <c r="I25" s="6" t="n">
        <f aca="false">SUMIFS(Data!$L$2:$L$7199,Data!$C$2:$C$7199,$C25,Data!$D$2:$D$7199,$D25,Data!$F$2:$F$7199,"Consumables")</f>
        <v>1053</v>
      </c>
      <c r="J25" s="6" t="n">
        <f aca="false">SUM(G25:I25)</f>
        <v>583653</v>
      </c>
      <c r="K25" s="4" t="n">
        <f aca="false">ROUND(J25/100000,2)</f>
        <v>5.84</v>
      </c>
    </row>
    <row r="26" customFormat="false" ht="15" hidden="false" customHeight="false" outlineLevel="0" collapsed="false">
      <c r="A26" s="4" t="s">
        <v>13</v>
      </c>
      <c r="B26" s="5" t="s">
        <v>60</v>
      </c>
      <c r="C26" s="5" t="s">
        <v>61</v>
      </c>
      <c r="D26" s="4" t="s">
        <v>16</v>
      </c>
      <c r="E26" s="4" t="s">
        <v>31</v>
      </c>
      <c r="F26" s="4" t="n">
        <f aca="false">COUNTIFS(Data!$C$2:$C$7199,C26,Data!$D$2:$D$7199,D26)</f>
        <v>25</v>
      </c>
      <c r="G26" s="6" t="n">
        <f aca="false">SUMIFS(Data!$L$2:$L$7199,Data!$C$2:$C$7199,$C26,Data!$D$2:$D$7199,$D26,Data!$F$2:$F$7199,"Tools &amp; Equipment")</f>
        <v>204030</v>
      </c>
      <c r="H26" s="6" t="n">
        <f aca="false">SUMIFS(Data!$L$2:$L$7199,Data!$C$2:$C$7199,$C26,Data!$D$2:$D$7199,$D26,Data!$F$2:$F$7199,"Other Lab Items")</f>
        <v>0</v>
      </c>
      <c r="I26" s="6" t="n">
        <f aca="false">SUMIFS(Data!$L$2:$L$7199,Data!$C$2:$C$7199,$C26,Data!$D$2:$D$7199,$D26,Data!$F$2:$F$7199,"Consumables")</f>
        <v>545</v>
      </c>
      <c r="J26" s="6" t="n">
        <f aca="false">SUM(G26:I26)</f>
        <v>204575</v>
      </c>
      <c r="K26" s="4" t="n">
        <f aca="false">ROUND(J26/100000,2)</f>
        <v>2.05</v>
      </c>
    </row>
    <row r="27" customFormat="false" ht="15" hidden="false" customHeight="false" outlineLevel="0" collapsed="false">
      <c r="A27" s="4" t="s">
        <v>13</v>
      </c>
      <c r="B27" s="5" t="s">
        <v>62</v>
      </c>
      <c r="C27" s="5" t="s">
        <v>63</v>
      </c>
      <c r="D27" s="4" t="s">
        <v>22</v>
      </c>
      <c r="E27" s="4" t="s">
        <v>31</v>
      </c>
      <c r="F27" s="4" t="n">
        <f aca="false">COUNTIFS(Data!$C$2:$C$7199,C27,Data!$D$2:$D$7199,D27)</f>
        <v>34</v>
      </c>
      <c r="G27" s="6" t="n">
        <f aca="false">SUMIFS(Data!$L$2:$L$7199,Data!$C$2:$C$7199,$C27,Data!$D$2:$D$7199,$D27,Data!$F$2:$F$7199,"Tools &amp; Equipment")</f>
        <v>157120</v>
      </c>
      <c r="H27" s="6" t="n">
        <f aca="false">SUMIFS(Data!$L$2:$L$7199,Data!$C$2:$C$7199,$C27,Data!$D$2:$D$7199,$D27,Data!$F$2:$F$7199,"Other Lab Items")</f>
        <v>0</v>
      </c>
      <c r="I27" s="6" t="n">
        <f aca="false">SUMIFS(Data!$L$2:$L$7199,Data!$C$2:$C$7199,$C27,Data!$D$2:$D$7199,$D27,Data!$F$2:$F$7199,"Consumables")</f>
        <v>608</v>
      </c>
      <c r="J27" s="6" t="n">
        <f aca="false">SUM(G27:I27)</f>
        <v>157728</v>
      </c>
      <c r="K27" s="4" t="n">
        <f aca="false">ROUND(J27/100000,2)</f>
        <v>1.58</v>
      </c>
    </row>
    <row r="28" customFormat="false" ht="15" hidden="false" customHeight="false" outlineLevel="0" collapsed="false">
      <c r="A28" s="4" t="s">
        <v>13</v>
      </c>
      <c r="B28" s="5" t="s">
        <v>64</v>
      </c>
      <c r="C28" s="5" t="s">
        <v>65</v>
      </c>
      <c r="D28" s="4" t="s">
        <v>16</v>
      </c>
      <c r="E28" s="4" t="s">
        <v>17</v>
      </c>
      <c r="F28" s="4" t="n">
        <f aca="false">COUNTIFS(Data!$C$2:$C$7199,C28,Data!$D$2:$D$7199,D28)</f>
        <v>87</v>
      </c>
      <c r="G28" s="6" t="n">
        <f aca="false">SUMIFS(Data!$L$2:$L$7199,Data!$C$2:$C$7199,$C28,Data!$D$2:$D$7199,$D28,Data!$F$2:$F$7199,"Tools &amp; Equipment")</f>
        <v>747900</v>
      </c>
      <c r="H28" s="6" t="n">
        <f aca="false">SUMIFS(Data!$L$2:$L$7199,Data!$C$2:$C$7199,$C28,Data!$D$2:$D$7199,$D28,Data!$F$2:$F$7199,"Other Lab Items")</f>
        <v>114090</v>
      </c>
      <c r="I28" s="6" t="n">
        <f aca="false">SUMIFS(Data!$L$2:$L$7199,Data!$C$2:$C$7199,$C28,Data!$D$2:$D$7199,$D28,Data!$F$2:$F$7199,"Consumables")</f>
        <v>4680</v>
      </c>
      <c r="J28" s="6" t="n">
        <f aca="false">SUM(G28:I28)</f>
        <v>866670</v>
      </c>
      <c r="K28" s="4" t="n">
        <f aca="false">ROUND(J28/100000,2)</f>
        <v>8.67</v>
      </c>
    </row>
    <row r="29" customFormat="false" ht="15" hidden="false" customHeight="false" outlineLevel="0" collapsed="false">
      <c r="A29" s="4" t="s">
        <v>66</v>
      </c>
      <c r="B29" s="5" t="s">
        <v>67</v>
      </c>
      <c r="C29" s="5" t="s">
        <v>68</v>
      </c>
      <c r="D29" s="4" t="s">
        <v>16</v>
      </c>
      <c r="E29" s="4" t="s">
        <v>31</v>
      </c>
      <c r="F29" s="4" t="n">
        <f aca="false">COUNTIFS(Data!$C$2:$C$7199,C29,Data!$D$2:$D$7199,D29)</f>
        <v>44</v>
      </c>
      <c r="G29" s="6" t="n">
        <f aca="false">SUMIFS(Data!$L$2:$L$7199,Data!$C$2:$C$7199,$C29,Data!$D$2:$D$7199,$D29,Data!$F$2:$F$7199,"Tools &amp; Equipment")</f>
        <v>975850</v>
      </c>
      <c r="H29" s="6" t="n">
        <f aca="false">SUMIFS(Data!$L$2:$L$7199,Data!$C$2:$C$7199,$C29,Data!$D$2:$D$7199,$D29,Data!$F$2:$F$7199,"Other Lab Items")</f>
        <v>145000</v>
      </c>
      <c r="I29" s="6" t="n">
        <f aca="false">SUMIFS(Data!$L$2:$L$7199,Data!$C$2:$C$7199,$C29,Data!$D$2:$D$7199,$D29,Data!$F$2:$F$7199,"Consumables")</f>
        <v>251000</v>
      </c>
      <c r="J29" s="6" t="n">
        <f aca="false">SUM(G29:I29)</f>
        <v>1371850</v>
      </c>
      <c r="K29" s="4" t="n">
        <f aca="false">ROUND(J29/100000,2)</f>
        <v>13.72</v>
      </c>
    </row>
    <row r="30" customFormat="false" ht="15" hidden="false" customHeight="false" outlineLevel="0" collapsed="false">
      <c r="A30" s="4" t="s">
        <v>69</v>
      </c>
      <c r="B30" s="5" t="s">
        <v>70</v>
      </c>
      <c r="C30" s="5" t="s">
        <v>71</v>
      </c>
      <c r="D30" s="4" t="s">
        <v>16</v>
      </c>
      <c r="E30" s="4" t="s">
        <v>31</v>
      </c>
      <c r="F30" s="4" t="n">
        <f aca="false">COUNTIFS(Data!$C$2:$C$7199,C30,Data!$D$2:$D$7199,D30)</f>
        <v>44</v>
      </c>
      <c r="G30" s="6" t="n">
        <f aca="false">SUMIFS(Data!$L$2:$L$7199,Data!$C$2:$C$7199,$C30,Data!$D$2:$D$7199,$D30,Data!$F$2:$F$7199,"Tools &amp; Equipment")</f>
        <v>185280</v>
      </c>
      <c r="H30" s="6" t="n">
        <f aca="false">SUMIFS(Data!$L$2:$L$7199,Data!$C$2:$C$7199,$C30,Data!$D$2:$D$7199,$D30,Data!$F$2:$F$7199,"Other Lab Items")</f>
        <v>273480</v>
      </c>
      <c r="I30" s="6" t="n">
        <f aca="false">SUMIFS(Data!$L$2:$L$7199,Data!$C$2:$C$7199,$C30,Data!$D$2:$D$7199,$D30,Data!$F$2:$F$7199,"Consumables")</f>
        <v>3875</v>
      </c>
      <c r="J30" s="6" t="n">
        <f aca="false">SUM(G30:I30)</f>
        <v>462635</v>
      </c>
      <c r="K30" s="4" t="n">
        <f aca="false">ROUND(J30/100000,2)</f>
        <v>4.63</v>
      </c>
    </row>
    <row r="31" customFormat="false" ht="15" hidden="false" customHeight="false" outlineLevel="0" collapsed="false">
      <c r="A31" s="4" t="s">
        <v>69</v>
      </c>
      <c r="B31" s="5" t="s">
        <v>72</v>
      </c>
      <c r="C31" s="5" t="s">
        <v>73</v>
      </c>
      <c r="D31" s="4" t="s">
        <v>16</v>
      </c>
      <c r="E31" s="4" t="s">
        <v>17</v>
      </c>
      <c r="F31" s="4" t="n">
        <f aca="false">COUNTIFS(Data!$C$2:$C$7199,C31,Data!$D$2:$D$7199,D31)</f>
        <v>37</v>
      </c>
      <c r="G31" s="6" t="n">
        <f aca="false">SUMIFS(Data!$L$2:$L$7199,Data!$C$2:$C$7199,$C31,Data!$D$2:$D$7199,$D31,Data!$F$2:$F$7199,"Tools &amp; Equipment")</f>
        <v>185940</v>
      </c>
      <c r="H31" s="6" t="n">
        <f aca="false">SUMIFS(Data!$L$2:$L$7199,Data!$C$2:$C$7199,$C31,Data!$D$2:$D$7199,$D31,Data!$F$2:$F$7199,"Other Lab Items")</f>
        <v>36450</v>
      </c>
      <c r="I31" s="6" t="n">
        <f aca="false">SUMIFS(Data!$L$2:$L$7199,Data!$C$2:$C$7199,$C31,Data!$D$2:$D$7199,$D31,Data!$F$2:$F$7199,"Consumables")</f>
        <v>4670</v>
      </c>
      <c r="J31" s="6" t="n">
        <f aca="false">SUM(G31:I31)</f>
        <v>227060</v>
      </c>
      <c r="K31" s="4" t="n">
        <f aca="false">ROUND(J31/100000,2)</f>
        <v>2.27</v>
      </c>
    </row>
    <row r="32" customFormat="false" ht="15" hidden="false" customHeight="false" outlineLevel="0" collapsed="false">
      <c r="A32" s="4" t="s">
        <v>69</v>
      </c>
      <c r="B32" s="5" t="s">
        <v>74</v>
      </c>
      <c r="C32" s="5" t="s">
        <v>75</v>
      </c>
      <c r="D32" s="4" t="s">
        <v>16</v>
      </c>
      <c r="E32" s="4" t="s">
        <v>17</v>
      </c>
      <c r="F32" s="4" t="n">
        <f aca="false">COUNTIFS(Data!$C$2:$C$7199,C32,Data!$D$2:$D$7199,D32)</f>
        <v>23</v>
      </c>
      <c r="G32" s="6" t="n">
        <f aca="false">SUMIFS(Data!$L$2:$L$7199,Data!$C$2:$C$7199,$C32,Data!$D$2:$D$7199,$D32,Data!$F$2:$F$7199,"Tools &amp; Equipment")</f>
        <v>590</v>
      </c>
      <c r="H32" s="6" t="n">
        <f aca="false">SUMIFS(Data!$L$2:$L$7199,Data!$C$2:$C$7199,$C32,Data!$D$2:$D$7199,$D32,Data!$F$2:$F$7199,"Other Lab Items")</f>
        <v>117350</v>
      </c>
      <c r="I32" s="6" t="n">
        <f aca="false">SUMIFS(Data!$L$2:$L$7199,Data!$C$2:$C$7199,$C32,Data!$D$2:$D$7199,$D32,Data!$F$2:$F$7199,"Consumables")</f>
        <v>80</v>
      </c>
      <c r="J32" s="6" t="n">
        <f aca="false">SUM(G32:I32)</f>
        <v>118020</v>
      </c>
      <c r="K32" s="4" t="n">
        <f aca="false">ROUND(J32/100000,2)</f>
        <v>1.18</v>
      </c>
    </row>
    <row r="33" customFormat="false" ht="15" hidden="false" customHeight="false" outlineLevel="0" collapsed="false">
      <c r="A33" s="4" t="s">
        <v>69</v>
      </c>
      <c r="B33" s="5" t="s">
        <v>76</v>
      </c>
      <c r="C33" s="5" t="s">
        <v>77</v>
      </c>
      <c r="D33" s="4" t="s">
        <v>16</v>
      </c>
      <c r="E33" s="4" t="s">
        <v>17</v>
      </c>
      <c r="F33" s="4" t="n">
        <f aca="false">COUNTIFS(Data!$C$2:$C$7199,C33,Data!$D$2:$D$7199,D33)</f>
        <v>20</v>
      </c>
      <c r="G33" s="6" t="n">
        <f aca="false">SUMIFS(Data!$L$2:$L$7199,Data!$C$2:$C$7199,$C33,Data!$D$2:$D$7199,$D33,Data!$F$2:$F$7199,"Tools &amp; Equipment")</f>
        <v>229910</v>
      </c>
      <c r="H33" s="6" t="n">
        <f aca="false">SUMIFS(Data!$L$2:$L$7199,Data!$C$2:$C$7199,$C33,Data!$D$2:$D$7199,$D33,Data!$F$2:$F$7199,"Other Lab Items")</f>
        <v>25000</v>
      </c>
      <c r="I33" s="6" t="n">
        <f aca="false">SUMIFS(Data!$L$2:$L$7199,Data!$C$2:$C$7199,$C33,Data!$D$2:$D$7199,$D33,Data!$F$2:$F$7199,"Consumables")</f>
        <v>275</v>
      </c>
      <c r="J33" s="6" t="n">
        <f aca="false">SUM(G33:I33)</f>
        <v>255185</v>
      </c>
      <c r="K33" s="4" t="n">
        <f aca="false">ROUND(J33/100000,2)</f>
        <v>2.55</v>
      </c>
    </row>
    <row r="34" customFormat="false" ht="15" hidden="false" customHeight="false" outlineLevel="0" collapsed="false">
      <c r="A34" s="4" t="s">
        <v>69</v>
      </c>
      <c r="B34" s="5" t="s">
        <v>78</v>
      </c>
      <c r="C34" s="5" t="s">
        <v>79</v>
      </c>
      <c r="D34" s="4" t="s">
        <v>16</v>
      </c>
      <c r="E34" s="4" t="s">
        <v>31</v>
      </c>
      <c r="F34" s="4" t="n">
        <f aca="false">COUNTIFS(Data!$C$2:$C$7199,C34,Data!$D$2:$D$7199,D34)</f>
        <v>83</v>
      </c>
      <c r="G34" s="6" t="n">
        <f aca="false">SUMIFS(Data!$L$2:$L$7199,Data!$C$2:$C$7199,$C34,Data!$D$2:$D$7199,$D34,Data!$F$2:$F$7199,"Tools &amp; Equipment")</f>
        <v>3648400</v>
      </c>
      <c r="H34" s="6" t="n">
        <f aca="false">SUMIFS(Data!$L$2:$L$7199,Data!$C$2:$C$7199,$C34,Data!$D$2:$D$7199,$D34,Data!$F$2:$F$7199,"Other Lab Items")</f>
        <v>500650</v>
      </c>
      <c r="I34" s="6" t="n">
        <f aca="false">SUMIFS(Data!$L$2:$L$7199,Data!$C$2:$C$7199,$C34,Data!$D$2:$D$7199,$D34,Data!$F$2:$F$7199,"Consumables")</f>
        <v>23765</v>
      </c>
      <c r="J34" s="6" t="n">
        <f aca="false">SUM(G34:I34)</f>
        <v>4172815</v>
      </c>
      <c r="K34" s="4" t="n">
        <f aca="false">ROUND(J34/100000,2)</f>
        <v>41.73</v>
      </c>
    </row>
    <row r="35" customFormat="false" ht="15" hidden="false" customHeight="false" outlineLevel="0" collapsed="false">
      <c r="A35" s="4" t="s">
        <v>69</v>
      </c>
      <c r="B35" s="5" t="s">
        <v>80</v>
      </c>
      <c r="C35" s="5" t="s">
        <v>81</v>
      </c>
      <c r="D35" s="4" t="s">
        <v>22</v>
      </c>
      <c r="E35" s="4" t="s">
        <v>17</v>
      </c>
      <c r="F35" s="4" t="n">
        <f aca="false">COUNTIFS(Data!$C$2:$C$7199,C35,Data!$D$2:$D$7199,D35)</f>
        <v>31</v>
      </c>
      <c r="G35" s="6" t="n">
        <f aca="false">SUMIFS(Data!$L$2:$L$7199,Data!$C$2:$C$7199,$C35,Data!$D$2:$D$7199,$D35,Data!$F$2:$F$7199,"Tools &amp; Equipment")</f>
        <v>3800</v>
      </c>
      <c r="H35" s="6" t="n">
        <f aca="false">SUMIFS(Data!$L$2:$L$7199,Data!$C$2:$C$7199,$C35,Data!$D$2:$D$7199,$D35,Data!$F$2:$F$7199,"Other Lab Items")</f>
        <v>11450</v>
      </c>
      <c r="I35" s="6" t="n">
        <f aca="false">SUMIFS(Data!$L$2:$L$7199,Data!$C$2:$C$7199,$C35,Data!$D$2:$D$7199,$D35,Data!$F$2:$F$7199,"Consumables")</f>
        <v>1705</v>
      </c>
      <c r="J35" s="6" t="n">
        <f aca="false">SUM(G35:I35)</f>
        <v>16955</v>
      </c>
      <c r="K35" s="4" t="n">
        <f aca="false">ROUND(J35/100000,2)</f>
        <v>0.17</v>
      </c>
    </row>
    <row r="36" customFormat="false" ht="15" hidden="false" customHeight="false" outlineLevel="0" collapsed="false">
      <c r="A36" s="4" t="s">
        <v>69</v>
      </c>
      <c r="B36" s="5" t="s">
        <v>82</v>
      </c>
      <c r="C36" s="5" t="s">
        <v>83</v>
      </c>
      <c r="D36" s="4" t="s">
        <v>22</v>
      </c>
      <c r="E36" s="4" t="s">
        <v>31</v>
      </c>
      <c r="F36" s="4" t="n">
        <f aca="false">COUNTIFS(Data!$C$2:$C$7199,C36,Data!$D$2:$D$7199,D36)</f>
        <v>33</v>
      </c>
      <c r="G36" s="6" t="n">
        <f aca="false">SUMIFS(Data!$L$2:$L$7199,Data!$C$2:$C$7199,$C36,Data!$D$2:$D$7199,$D36,Data!$F$2:$F$7199,"Tools &amp; Equipment")</f>
        <v>6090</v>
      </c>
      <c r="H36" s="6" t="n">
        <f aca="false">SUMIFS(Data!$L$2:$L$7199,Data!$C$2:$C$7199,$C36,Data!$D$2:$D$7199,$D36,Data!$F$2:$F$7199,"Other Lab Items")</f>
        <v>6500</v>
      </c>
      <c r="I36" s="6" t="n">
        <f aca="false">SUMIFS(Data!$L$2:$L$7199,Data!$C$2:$C$7199,$C36,Data!$D$2:$D$7199,$D36,Data!$F$2:$F$7199,"Consumables")</f>
        <v>2960</v>
      </c>
      <c r="J36" s="6" t="n">
        <f aca="false">SUM(G36:I36)</f>
        <v>15550</v>
      </c>
      <c r="K36" s="4" t="n">
        <f aca="false">ROUND(J36/100000,2)</f>
        <v>0.16</v>
      </c>
    </row>
    <row r="37" customFormat="false" ht="15" hidden="false" customHeight="false" outlineLevel="0" collapsed="false">
      <c r="A37" s="4" t="s">
        <v>69</v>
      </c>
      <c r="B37" s="5" t="s">
        <v>84</v>
      </c>
      <c r="C37" s="5" t="s">
        <v>85</v>
      </c>
      <c r="D37" s="4" t="s">
        <v>16</v>
      </c>
      <c r="E37" s="4" t="s">
        <v>17</v>
      </c>
      <c r="F37" s="4" t="n">
        <f aca="false">COUNTIFS(Data!$C$2:$C$7199,C37,Data!$D$2:$D$7199,D37)</f>
        <v>41</v>
      </c>
      <c r="G37" s="6" t="n">
        <f aca="false">SUMIFS(Data!$L$2:$L$7199,Data!$C$2:$C$7199,$C37,Data!$D$2:$D$7199,$D37,Data!$F$2:$F$7199,"Tools &amp; Equipment")</f>
        <v>17260</v>
      </c>
      <c r="H37" s="6" t="n">
        <f aca="false">SUMIFS(Data!$L$2:$L$7199,Data!$C$2:$C$7199,$C37,Data!$D$2:$D$7199,$D37,Data!$F$2:$F$7199,"Other Lab Items")</f>
        <v>43450</v>
      </c>
      <c r="I37" s="6" t="n">
        <f aca="false">SUMIFS(Data!$L$2:$L$7199,Data!$C$2:$C$7199,$C37,Data!$D$2:$D$7199,$D37,Data!$F$2:$F$7199,"Consumables")</f>
        <v>2195</v>
      </c>
      <c r="J37" s="6" t="n">
        <f aca="false">SUM(G37:I37)</f>
        <v>62905</v>
      </c>
      <c r="K37" s="4" t="n">
        <f aca="false">ROUND(J37/100000,2)</f>
        <v>0.63</v>
      </c>
    </row>
    <row r="38" customFormat="false" ht="15" hidden="false" customHeight="false" outlineLevel="0" collapsed="false">
      <c r="A38" s="4" t="s">
        <v>69</v>
      </c>
      <c r="B38" s="5" t="s">
        <v>86</v>
      </c>
      <c r="C38" s="5" t="s">
        <v>87</v>
      </c>
      <c r="D38" s="4" t="s">
        <v>16</v>
      </c>
      <c r="E38" s="4" t="s">
        <v>31</v>
      </c>
      <c r="F38" s="4" t="n">
        <f aca="false">COUNTIFS(Data!$C$2:$C$7199,C38,Data!$D$2:$D$7199,D38)</f>
        <v>37</v>
      </c>
      <c r="G38" s="6" t="n">
        <f aca="false">SUMIFS(Data!$L$2:$L$7199,Data!$C$2:$C$7199,$C38,Data!$D$2:$D$7199,$D38,Data!$F$2:$F$7199,"Tools &amp; Equipment")</f>
        <v>24930</v>
      </c>
      <c r="H38" s="6" t="n">
        <f aca="false">SUMIFS(Data!$L$2:$L$7199,Data!$C$2:$C$7199,$C38,Data!$D$2:$D$7199,$D38,Data!$F$2:$F$7199,"Other Lab Items")</f>
        <v>8300</v>
      </c>
      <c r="I38" s="6" t="n">
        <f aca="false">SUMIFS(Data!$L$2:$L$7199,Data!$C$2:$C$7199,$C38,Data!$D$2:$D$7199,$D38,Data!$F$2:$F$7199,"Consumables")</f>
        <v>695</v>
      </c>
      <c r="J38" s="6" t="n">
        <f aca="false">SUM(G38:I38)</f>
        <v>33925</v>
      </c>
      <c r="K38" s="4" t="n">
        <f aca="false">ROUND(J38/100000,2)</f>
        <v>0.34</v>
      </c>
    </row>
    <row r="39" customFormat="false" ht="15" hidden="false" customHeight="false" outlineLevel="0" collapsed="false">
      <c r="A39" s="4" t="s">
        <v>69</v>
      </c>
      <c r="B39" s="5" t="s">
        <v>88</v>
      </c>
      <c r="C39" s="5" t="s">
        <v>89</v>
      </c>
      <c r="D39" s="4" t="s">
        <v>22</v>
      </c>
      <c r="E39" s="4" t="s">
        <v>31</v>
      </c>
      <c r="F39" s="4" t="n">
        <f aca="false">COUNTIFS(Data!$C$2:$C$7199,C39,Data!$D$2:$D$7199,D39)</f>
        <v>37</v>
      </c>
      <c r="G39" s="6" t="n">
        <f aca="false">SUMIFS(Data!$L$2:$L$7199,Data!$C$2:$C$7199,$C39,Data!$D$2:$D$7199,$D39,Data!$F$2:$F$7199,"Tools &amp; Equipment")</f>
        <v>26730</v>
      </c>
      <c r="H39" s="6" t="n">
        <f aca="false">SUMIFS(Data!$L$2:$L$7199,Data!$C$2:$C$7199,$C39,Data!$D$2:$D$7199,$D39,Data!$F$2:$F$7199,"Other Lab Items")</f>
        <v>6500</v>
      </c>
      <c r="I39" s="6" t="n">
        <f aca="false">SUMIFS(Data!$L$2:$L$7199,Data!$C$2:$C$7199,$C39,Data!$D$2:$D$7199,$D39,Data!$F$2:$F$7199,"Consumables")</f>
        <v>695</v>
      </c>
      <c r="J39" s="6" t="n">
        <f aca="false">SUM(G39:I39)</f>
        <v>33925</v>
      </c>
      <c r="K39" s="4" t="n">
        <f aca="false">ROUND(J39/100000,2)</f>
        <v>0.34</v>
      </c>
    </row>
    <row r="40" customFormat="false" ht="15" hidden="false" customHeight="false" outlineLevel="0" collapsed="false">
      <c r="A40" s="4" t="s">
        <v>69</v>
      </c>
      <c r="B40" s="5" t="s">
        <v>90</v>
      </c>
      <c r="C40" s="5" t="s">
        <v>91</v>
      </c>
      <c r="D40" s="4" t="s">
        <v>16</v>
      </c>
      <c r="E40" s="4" t="s">
        <v>31</v>
      </c>
      <c r="F40" s="4" t="n">
        <f aca="false">COUNTIFS(Data!$C$2:$C$7199,C40,Data!$D$2:$D$7199,D40)</f>
        <v>25</v>
      </c>
      <c r="G40" s="6" t="n">
        <f aca="false">SUMIFS(Data!$L$2:$L$7199,Data!$C$2:$C$7199,$C40,Data!$D$2:$D$7199,$D40,Data!$F$2:$F$7199,"Tools &amp; Equipment")</f>
        <v>756370</v>
      </c>
      <c r="H40" s="6" t="n">
        <f aca="false">SUMIFS(Data!$L$2:$L$7199,Data!$C$2:$C$7199,$C40,Data!$D$2:$D$7199,$D40,Data!$F$2:$F$7199,"Other Lab Items")</f>
        <v>850</v>
      </c>
      <c r="I40" s="6" t="n">
        <f aca="false">SUMIFS(Data!$L$2:$L$7199,Data!$C$2:$C$7199,$C40,Data!$D$2:$D$7199,$D40,Data!$F$2:$F$7199,"Consumables")</f>
        <v>845</v>
      </c>
      <c r="J40" s="6" t="n">
        <f aca="false">SUM(G40:I40)</f>
        <v>758065</v>
      </c>
      <c r="K40" s="4" t="n">
        <f aca="false">ROUND(J40/100000,2)</f>
        <v>7.58</v>
      </c>
    </row>
    <row r="41" customFormat="false" ht="15" hidden="false" customHeight="false" outlineLevel="0" collapsed="false">
      <c r="A41" s="4" t="s">
        <v>69</v>
      </c>
      <c r="B41" s="5" t="s">
        <v>92</v>
      </c>
      <c r="C41" s="5" t="s">
        <v>93</v>
      </c>
      <c r="D41" s="4" t="s">
        <v>16</v>
      </c>
      <c r="E41" s="4" t="s">
        <v>17</v>
      </c>
      <c r="F41" s="4" t="n">
        <f aca="false">COUNTIFS(Data!$C$2:$C$7199,C41,Data!$D$2:$D$7199,D41)</f>
        <v>33</v>
      </c>
      <c r="G41" s="6" t="n">
        <f aca="false">SUMIFS(Data!$L$2:$L$7199,Data!$C$2:$C$7199,$C41,Data!$D$2:$D$7199,$D41,Data!$F$2:$F$7199,"Tools &amp; Equipment")</f>
        <v>470</v>
      </c>
      <c r="H41" s="6" t="n">
        <f aca="false">SUMIFS(Data!$L$2:$L$7199,Data!$C$2:$C$7199,$C41,Data!$D$2:$D$7199,$D41,Data!$F$2:$F$7199,"Other Lab Items")</f>
        <v>205800</v>
      </c>
      <c r="I41" s="6" t="n">
        <f aca="false">SUMIFS(Data!$L$2:$L$7199,Data!$C$2:$C$7199,$C41,Data!$D$2:$D$7199,$D41,Data!$F$2:$F$7199,"Consumables")</f>
        <v>1850</v>
      </c>
      <c r="J41" s="6" t="n">
        <f aca="false">SUM(G41:I41)</f>
        <v>208120</v>
      </c>
      <c r="K41" s="4" t="n">
        <f aca="false">ROUND(J41/100000,2)</f>
        <v>2.08</v>
      </c>
    </row>
    <row r="42" customFormat="false" ht="23.85" hidden="false" customHeight="false" outlineLevel="0" collapsed="false">
      <c r="A42" s="4" t="s">
        <v>94</v>
      </c>
      <c r="B42" s="5" t="s">
        <v>95</v>
      </c>
      <c r="C42" s="5" t="s">
        <v>96</v>
      </c>
      <c r="D42" s="4" t="s">
        <v>16</v>
      </c>
      <c r="E42" s="4" t="s">
        <v>17</v>
      </c>
      <c r="F42" s="4" t="n">
        <f aca="false">COUNTIFS(Data!$C$2:$C$7199,C42,Data!$D$2:$D$7199,D42)</f>
        <v>53</v>
      </c>
      <c r="G42" s="6" t="n">
        <f aca="false">SUMIFS(Data!$L$2:$L$7199,Data!$C$2:$C$7199,$C42,Data!$D$2:$D$7199,$D42,Data!$F$2:$F$7199,"Tools &amp; Equipment")</f>
        <v>1167900</v>
      </c>
      <c r="H42" s="6" t="n">
        <f aca="false">SUMIFS(Data!$L$2:$L$7199,Data!$C$2:$C$7199,$C42,Data!$D$2:$D$7199,$D42,Data!$F$2:$F$7199,"Other Lab Items")</f>
        <v>5218550</v>
      </c>
      <c r="I42" s="6" t="n">
        <f aca="false">SUMIFS(Data!$L$2:$L$7199,Data!$C$2:$C$7199,$C42,Data!$D$2:$D$7199,$D42,Data!$F$2:$F$7199,"Consumables")</f>
        <v>2680</v>
      </c>
      <c r="J42" s="6" t="n">
        <f aca="false">SUM(G42:I42)</f>
        <v>6389130</v>
      </c>
      <c r="K42" s="4" t="n">
        <f aca="false">ROUND(J42/100000,2)</f>
        <v>63.89</v>
      </c>
    </row>
    <row r="43" customFormat="false" ht="23.85" hidden="false" customHeight="false" outlineLevel="0" collapsed="false">
      <c r="A43" s="4" t="s">
        <v>94</v>
      </c>
      <c r="B43" s="5" t="s">
        <v>97</v>
      </c>
      <c r="C43" s="5" t="s">
        <v>98</v>
      </c>
      <c r="D43" s="4" t="s">
        <v>16</v>
      </c>
      <c r="E43" s="4" t="s">
        <v>17</v>
      </c>
      <c r="F43" s="4" t="n">
        <f aca="false">COUNTIFS(Data!$C$2:$C$7199,C43,Data!$D$2:$D$7199,D43)</f>
        <v>130</v>
      </c>
      <c r="G43" s="6" t="n">
        <f aca="false">SUMIFS(Data!$L$2:$L$7199,Data!$C$2:$C$7199,$C43,Data!$D$2:$D$7199,$D43,Data!$F$2:$F$7199,"Tools &amp; Equipment")</f>
        <v>2534860</v>
      </c>
      <c r="H43" s="6" t="n">
        <f aca="false">SUMIFS(Data!$L$2:$L$7199,Data!$C$2:$C$7199,$C43,Data!$D$2:$D$7199,$D43,Data!$F$2:$F$7199,"Other Lab Items")</f>
        <v>845200</v>
      </c>
      <c r="I43" s="6" t="n">
        <f aca="false">SUMIFS(Data!$L$2:$L$7199,Data!$C$2:$C$7199,$C43,Data!$D$2:$D$7199,$D43,Data!$F$2:$F$7199,"Consumables")</f>
        <v>4645</v>
      </c>
      <c r="J43" s="6" t="n">
        <f aca="false">SUM(G43:I43)</f>
        <v>3384705</v>
      </c>
      <c r="K43" s="4" t="n">
        <f aca="false">ROUND(J43/100000,2)</f>
        <v>33.85</v>
      </c>
    </row>
    <row r="44" customFormat="false" ht="15" hidden="false" customHeight="false" outlineLevel="0" collapsed="false">
      <c r="A44" s="4" t="s">
        <v>94</v>
      </c>
      <c r="B44" s="5" t="s">
        <v>99</v>
      </c>
      <c r="C44" s="5" t="s">
        <v>100</v>
      </c>
      <c r="D44" s="4" t="s">
        <v>16</v>
      </c>
      <c r="E44" s="4" t="s">
        <v>17</v>
      </c>
      <c r="F44" s="4" t="n">
        <f aca="false">COUNTIFS(Data!$C$2:$C$7199,C44,Data!$D$2:$D$7199,D44)</f>
        <v>15</v>
      </c>
      <c r="G44" s="6" t="n">
        <f aca="false">SUMIFS(Data!$L$2:$L$7199,Data!$C$2:$C$7199,$C44,Data!$D$2:$D$7199,$D44,Data!$F$2:$F$7199,"Tools &amp; Equipment")</f>
        <v>36650</v>
      </c>
      <c r="H44" s="6" t="n">
        <f aca="false">SUMIFS(Data!$L$2:$L$7199,Data!$C$2:$C$7199,$C44,Data!$D$2:$D$7199,$D44,Data!$F$2:$F$7199,"Other Lab Items")</f>
        <v>69350</v>
      </c>
      <c r="I44" s="6" t="n">
        <f aca="false">SUMIFS(Data!$L$2:$L$7199,Data!$C$2:$C$7199,$C44,Data!$D$2:$D$7199,$D44,Data!$F$2:$F$7199,"Consumables")</f>
        <v>5250</v>
      </c>
      <c r="J44" s="6" t="n">
        <f aca="false">SUM(G44:I44)</f>
        <v>111250</v>
      </c>
      <c r="K44" s="4" t="n">
        <f aca="false">ROUND(J44/100000,2)</f>
        <v>1.11</v>
      </c>
    </row>
    <row r="45" customFormat="false" ht="15" hidden="false" customHeight="false" outlineLevel="0" collapsed="false">
      <c r="A45" s="4" t="s">
        <v>94</v>
      </c>
      <c r="B45" s="5" t="s">
        <v>101</v>
      </c>
      <c r="C45" s="5" t="s">
        <v>102</v>
      </c>
      <c r="D45" s="4" t="s">
        <v>22</v>
      </c>
      <c r="E45" s="4" t="s">
        <v>31</v>
      </c>
      <c r="F45" s="4" t="n">
        <f aca="false">COUNTIFS(Data!$C$2:$C$7199,C45,Data!$D$2:$D$7199,D45)</f>
        <v>129</v>
      </c>
      <c r="G45" s="6" t="n">
        <f aca="false">SUMIFS(Data!$L$2:$L$7199,Data!$C$2:$C$7199,$C45,Data!$D$2:$D$7199,$D45,Data!$F$2:$F$7199,"Tools &amp; Equipment")</f>
        <v>2262410</v>
      </c>
      <c r="H45" s="6" t="n">
        <f aca="false">SUMIFS(Data!$L$2:$L$7199,Data!$C$2:$C$7199,$C45,Data!$D$2:$D$7199,$D45,Data!$F$2:$F$7199,"Other Lab Items")</f>
        <v>1400100</v>
      </c>
      <c r="I45" s="6" t="n">
        <f aca="false">SUMIFS(Data!$L$2:$L$7199,Data!$C$2:$C$7199,$C45,Data!$D$2:$D$7199,$D45,Data!$F$2:$F$7199,"Consumables")</f>
        <v>4115</v>
      </c>
      <c r="J45" s="6" t="n">
        <f aca="false">SUM(G45:I45)</f>
        <v>3666625</v>
      </c>
      <c r="K45" s="4" t="n">
        <f aca="false">ROUND(J45/100000,2)</f>
        <v>36.67</v>
      </c>
    </row>
    <row r="46" customFormat="false" ht="23.85" hidden="false" customHeight="false" outlineLevel="0" collapsed="false">
      <c r="A46" s="4" t="s">
        <v>94</v>
      </c>
      <c r="B46" s="5" t="s">
        <v>103</v>
      </c>
      <c r="C46" s="5" t="s">
        <v>104</v>
      </c>
      <c r="D46" s="4" t="s">
        <v>22</v>
      </c>
      <c r="E46" s="4" t="s">
        <v>31</v>
      </c>
      <c r="F46" s="4" t="n">
        <f aca="false">COUNTIFS(Data!$C$2:$C$7199,C46,Data!$D$2:$D$7199,D46)</f>
        <v>58</v>
      </c>
      <c r="G46" s="6" t="n">
        <f aca="false">SUMIFS(Data!$L$2:$L$7199,Data!$C$2:$C$7199,$C46,Data!$D$2:$D$7199,$D46,Data!$F$2:$F$7199,"Tools &amp; Equipment")</f>
        <v>271180</v>
      </c>
      <c r="H46" s="6" t="n">
        <f aca="false">SUMIFS(Data!$L$2:$L$7199,Data!$C$2:$C$7199,$C46,Data!$D$2:$D$7199,$D46,Data!$F$2:$F$7199,"Other Lab Items")</f>
        <v>599550</v>
      </c>
      <c r="I46" s="6" t="n">
        <f aca="false">SUMIFS(Data!$L$2:$L$7199,Data!$C$2:$C$7199,$C46,Data!$D$2:$D$7199,$D46,Data!$F$2:$F$7199,"Consumables")</f>
        <v>2680</v>
      </c>
      <c r="J46" s="6" t="n">
        <f aca="false">SUM(G46:I46)</f>
        <v>873410</v>
      </c>
      <c r="K46" s="4" t="n">
        <f aca="false">ROUND(J46/100000,2)</f>
        <v>8.73</v>
      </c>
    </row>
    <row r="47" customFormat="false" ht="23.85" hidden="false" customHeight="false" outlineLevel="0" collapsed="false">
      <c r="A47" s="4" t="s">
        <v>94</v>
      </c>
      <c r="B47" s="5" t="s">
        <v>105</v>
      </c>
      <c r="C47" s="5" t="s">
        <v>106</v>
      </c>
      <c r="D47" s="4" t="s">
        <v>16</v>
      </c>
      <c r="E47" s="4" t="s">
        <v>31</v>
      </c>
      <c r="F47" s="4" t="n">
        <f aca="false">COUNTIFS(Data!$C$2:$C$7199,C47,Data!$D$2:$D$7199,D47)</f>
        <v>104</v>
      </c>
      <c r="G47" s="6" t="n">
        <f aca="false">SUMIFS(Data!$L$2:$L$7199,Data!$C$2:$C$7199,$C47,Data!$D$2:$D$7199,$D47,Data!$F$2:$F$7199,"Tools &amp; Equipment")</f>
        <v>1496080</v>
      </c>
      <c r="H47" s="6" t="n">
        <f aca="false">SUMIFS(Data!$L$2:$L$7199,Data!$C$2:$C$7199,$C47,Data!$D$2:$D$7199,$D47,Data!$F$2:$F$7199,"Other Lab Items")</f>
        <v>566300</v>
      </c>
      <c r="I47" s="6" t="n">
        <f aca="false">SUMIFS(Data!$L$2:$L$7199,Data!$C$2:$C$7199,$C47,Data!$D$2:$D$7199,$D47,Data!$F$2:$F$7199,"Consumables")</f>
        <v>4115</v>
      </c>
      <c r="J47" s="6" t="n">
        <f aca="false">SUM(G47:I47)</f>
        <v>2066495</v>
      </c>
      <c r="K47" s="4" t="n">
        <f aca="false">ROUND(J47/100000,2)</f>
        <v>20.66</v>
      </c>
    </row>
    <row r="48" customFormat="false" ht="23.85" hidden="false" customHeight="false" outlineLevel="0" collapsed="false">
      <c r="A48" s="4" t="s">
        <v>107</v>
      </c>
      <c r="B48" s="5" t="s">
        <v>108</v>
      </c>
      <c r="C48" s="5" t="s">
        <v>109</v>
      </c>
      <c r="D48" s="4" t="s">
        <v>16</v>
      </c>
      <c r="E48" s="4" t="s">
        <v>17</v>
      </c>
      <c r="F48" s="4" t="n">
        <f aca="false">COUNTIFS(Data!$C$2:$C$7199,C48,Data!$D$2:$D$7199,D48)</f>
        <v>22</v>
      </c>
      <c r="G48" s="6" t="n">
        <f aca="false">SUMIFS(Data!$L$2:$L$7199,Data!$C$2:$C$7199,$C48,Data!$D$2:$D$7199,$D48,Data!$F$2:$F$7199,"Tools &amp; Equipment")</f>
        <v>8500</v>
      </c>
      <c r="H48" s="6" t="n">
        <f aca="false">SUMIFS(Data!$L$2:$L$7199,Data!$C$2:$C$7199,$C48,Data!$D$2:$D$7199,$D48,Data!$F$2:$F$7199,"Other Lab Items")</f>
        <v>549550</v>
      </c>
      <c r="I48" s="6" t="n">
        <f aca="false">SUMIFS(Data!$L$2:$L$7199,Data!$C$2:$C$7199,$C48,Data!$D$2:$D$7199,$D48,Data!$F$2:$F$7199,"Consumables")</f>
        <v>600</v>
      </c>
      <c r="J48" s="6" t="n">
        <f aca="false">SUM(G48:I48)</f>
        <v>558650</v>
      </c>
      <c r="K48" s="4" t="n">
        <f aca="false">ROUND(J48/100000,2)</f>
        <v>5.59</v>
      </c>
    </row>
    <row r="49" customFormat="false" ht="15" hidden="false" customHeight="false" outlineLevel="0" collapsed="false">
      <c r="A49" s="4" t="s">
        <v>107</v>
      </c>
      <c r="B49" s="5" t="s">
        <v>110</v>
      </c>
      <c r="C49" s="5" t="s">
        <v>111</v>
      </c>
      <c r="D49" s="4" t="s">
        <v>16</v>
      </c>
      <c r="E49" s="4" t="s">
        <v>17</v>
      </c>
      <c r="F49" s="4" t="n">
        <f aca="false">COUNTIFS(Data!$C$2:$C$7199,C49,Data!$D$2:$D$7199,D49)</f>
        <v>17</v>
      </c>
      <c r="G49" s="6" t="n">
        <f aca="false">SUMIFS(Data!$L$2:$L$7199,Data!$C$2:$C$7199,$C49,Data!$D$2:$D$7199,$D49,Data!$F$2:$F$7199,"Tools &amp; Equipment")</f>
        <v>1800</v>
      </c>
      <c r="H49" s="6" t="n">
        <f aca="false">SUMIFS(Data!$L$2:$L$7199,Data!$C$2:$C$7199,$C49,Data!$D$2:$D$7199,$D49,Data!$F$2:$F$7199,"Other Lab Items")</f>
        <v>366200</v>
      </c>
      <c r="I49" s="6" t="n">
        <f aca="false">SUMIFS(Data!$L$2:$L$7199,Data!$C$2:$C$7199,$C49,Data!$D$2:$D$7199,$D49,Data!$F$2:$F$7199,"Consumables")</f>
        <v>120</v>
      </c>
      <c r="J49" s="6" t="n">
        <f aca="false">SUM(G49:I49)</f>
        <v>368120</v>
      </c>
      <c r="K49" s="4" t="n">
        <f aca="false">ROUND(J49/100000,2)</f>
        <v>3.68</v>
      </c>
    </row>
    <row r="50" customFormat="false" ht="15" hidden="false" customHeight="false" outlineLevel="0" collapsed="false">
      <c r="A50" s="4" t="s">
        <v>107</v>
      </c>
      <c r="B50" s="5" t="s">
        <v>112</v>
      </c>
      <c r="C50" s="5" t="s">
        <v>113</v>
      </c>
      <c r="D50" s="4" t="s">
        <v>16</v>
      </c>
      <c r="E50" s="4" t="s">
        <v>31</v>
      </c>
      <c r="F50" s="4" t="n">
        <f aca="false">COUNTIFS(Data!$C$2:$C$7199,C50,Data!$D$2:$D$7199,D50)</f>
        <v>8</v>
      </c>
      <c r="G50" s="6" t="n">
        <f aca="false">SUMIFS(Data!$L$2:$L$7199,Data!$C$2:$C$7199,$C50,Data!$D$2:$D$7199,$D50,Data!$F$2:$F$7199,"Tools &amp; Equipment")</f>
        <v>6500</v>
      </c>
      <c r="H50" s="6" t="n">
        <f aca="false">SUMIFS(Data!$L$2:$L$7199,Data!$C$2:$C$7199,$C50,Data!$D$2:$D$7199,$D50,Data!$F$2:$F$7199,"Other Lab Items")</f>
        <v>184000</v>
      </c>
      <c r="I50" s="6" t="n">
        <f aca="false">SUMIFS(Data!$L$2:$L$7199,Data!$C$2:$C$7199,$C50,Data!$D$2:$D$7199,$D50,Data!$F$2:$F$7199,"Consumables")</f>
        <v>25</v>
      </c>
      <c r="J50" s="6" t="n">
        <f aca="false">SUM(G50:I50)</f>
        <v>190525</v>
      </c>
      <c r="K50" s="4" t="n">
        <f aca="false">ROUND(J50/100000,2)</f>
        <v>1.91</v>
      </c>
    </row>
    <row r="51" customFormat="false" ht="23.85" hidden="false" customHeight="false" outlineLevel="0" collapsed="false">
      <c r="A51" s="4" t="s">
        <v>107</v>
      </c>
      <c r="B51" s="5" t="s">
        <v>114</v>
      </c>
      <c r="C51" s="5" t="s">
        <v>115</v>
      </c>
      <c r="D51" s="4" t="s">
        <v>16</v>
      </c>
      <c r="E51" s="4" t="s">
        <v>17</v>
      </c>
      <c r="F51" s="4" t="n">
        <f aca="false">COUNTIFS(Data!$C$2:$C$7199,C51,Data!$D$2:$D$7199,D51)</f>
        <v>18</v>
      </c>
      <c r="G51" s="6" t="n">
        <f aca="false">SUMIFS(Data!$L$2:$L$7199,Data!$C$2:$C$7199,$C51,Data!$D$2:$D$7199,$D51,Data!$F$2:$F$7199,"Tools &amp; Equipment")</f>
        <v>8500</v>
      </c>
      <c r="H51" s="6" t="n">
        <f aca="false">SUMIFS(Data!$L$2:$L$7199,Data!$C$2:$C$7199,$C51,Data!$D$2:$D$7199,$D51,Data!$F$2:$F$7199,"Other Lab Items")</f>
        <v>330700</v>
      </c>
      <c r="I51" s="6" t="n">
        <f aca="false">SUMIFS(Data!$L$2:$L$7199,Data!$C$2:$C$7199,$C51,Data!$D$2:$D$7199,$D51,Data!$F$2:$F$7199,"Consumables")</f>
        <v>1450</v>
      </c>
      <c r="J51" s="6" t="n">
        <f aca="false">SUM(G51:I51)</f>
        <v>340650</v>
      </c>
      <c r="K51" s="4" t="n">
        <f aca="false">ROUND(J51/100000,2)</f>
        <v>3.41</v>
      </c>
    </row>
    <row r="52" customFormat="false" ht="15" hidden="false" customHeight="false" outlineLevel="0" collapsed="false">
      <c r="A52" s="4" t="s">
        <v>107</v>
      </c>
      <c r="B52" s="5" t="s">
        <v>116</v>
      </c>
      <c r="C52" s="5" t="s">
        <v>117</v>
      </c>
      <c r="D52" s="4" t="s">
        <v>16</v>
      </c>
      <c r="E52" s="4" t="s">
        <v>17</v>
      </c>
      <c r="F52" s="4" t="n">
        <f aca="false">COUNTIFS(Data!$C$2:$C$7199,C52,Data!$D$2:$D$7199,D52)</f>
        <v>27</v>
      </c>
      <c r="G52" s="6" t="n">
        <f aca="false">SUMIFS(Data!$L$2:$L$7199,Data!$C$2:$C$7199,$C52,Data!$D$2:$D$7199,$D52,Data!$F$2:$F$7199,"Tools &amp; Equipment")</f>
        <v>8500</v>
      </c>
      <c r="H52" s="6" t="n">
        <f aca="false">SUMIFS(Data!$L$2:$L$7199,Data!$C$2:$C$7199,$C52,Data!$D$2:$D$7199,$D52,Data!$F$2:$F$7199,"Other Lab Items")</f>
        <v>450820</v>
      </c>
      <c r="I52" s="6" t="n">
        <f aca="false">SUMIFS(Data!$L$2:$L$7199,Data!$C$2:$C$7199,$C52,Data!$D$2:$D$7199,$D52,Data!$F$2:$F$7199,"Consumables")</f>
        <v>1070</v>
      </c>
      <c r="J52" s="6" t="n">
        <f aca="false">SUM(G52:I52)</f>
        <v>460390</v>
      </c>
      <c r="K52" s="4" t="n">
        <f aca="false">ROUND(J52/100000,2)</f>
        <v>4.6</v>
      </c>
    </row>
    <row r="53" customFormat="false" ht="15" hidden="false" customHeight="false" outlineLevel="0" collapsed="false">
      <c r="A53" s="4" t="s">
        <v>107</v>
      </c>
      <c r="B53" s="5" t="s">
        <v>118</v>
      </c>
      <c r="C53" s="5" t="s">
        <v>119</v>
      </c>
      <c r="D53" s="4" t="s">
        <v>22</v>
      </c>
      <c r="E53" s="4" t="s">
        <v>31</v>
      </c>
      <c r="F53" s="4" t="n">
        <f aca="false">COUNTIFS(Data!$C$2:$C$7199,C53,Data!$D$2:$D$7199,D53)</f>
        <v>8</v>
      </c>
      <c r="G53" s="6" t="n">
        <f aca="false">SUMIFS(Data!$L$2:$L$7199,Data!$C$2:$C$7199,$C53,Data!$D$2:$D$7199,$D53,Data!$F$2:$F$7199,"Tools &amp; Equipment")</f>
        <v>6500</v>
      </c>
      <c r="H53" s="6" t="n">
        <f aca="false">SUMIFS(Data!$L$2:$L$7199,Data!$C$2:$C$7199,$C53,Data!$D$2:$D$7199,$D53,Data!$F$2:$F$7199,"Other Lab Items")</f>
        <v>184000</v>
      </c>
      <c r="I53" s="6" t="n">
        <f aca="false">SUMIFS(Data!$L$2:$L$7199,Data!$C$2:$C$7199,$C53,Data!$D$2:$D$7199,$D53,Data!$F$2:$F$7199,"Consumables")</f>
        <v>25</v>
      </c>
      <c r="J53" s="6" t="n">
        <f aca="false">SUM(G53:I53)</f>
        <v>190525</v>
      </c>
      <c r="K53" s="4" t="n">
        <f aca="false">ROUND(J53/100000,2)</f>
        <v>1.91</v>
      </c>
    </row>
    <row r="54" customFormat="false" ht="15" hidden="false" customHeight="false" outlineLevel="0" collapsed="false">
      <c r="A54" s="4" t="s">
        <v>120</v>
      </c>
      <c r="B54" s="5" t="s">
        <v>121</v>
      </c>
      <c r="C54" s="5" t="s">
        <v>122</v>
      </c>
      <c r="D54" s="4" t="s">
        <v>22</v>
      </c>
      <c r="E54" s="4" t="s">
        <v>31</v>
      </c>
      <c r="F54" s="4" t="n">
        <f aca="false">COUNTIFS(Data!$C$2:$C$7199,C54,Data!$D$2:$D$7199,D54)</f>
        <v>93</v>
      </c>
      <c r="G54" s="6" t="n">
        <f aca="false">SUMIFS(Data!$L$2:$L$7199,Data!$C$2:$C$7199,$C54,Data!$D$2:$D$7199,$D54,Data!$F$2:$F$7199,"Tools &amp; Equipment")</f>
        <v>181460</v>
      </c>
      <c r="H54" s="6" t="n">
        <f aca="false">SUMIFS(Data!$L$2:$L$7199,Data!$C$2:$C$7199,$C54,Data!$D$2:$D$7199,$D54,Data!$F$2:$F$7199,"Other Lab Items")</f>
        <v>191900</v>
      </c>
      <c r="I54" s="6" t="n">
        <f aca="false">SUMIFS(Data!$L$2:$L$7199,Data!$C$2:$C$7199,$C54,Data!$D$2:$D$7199,$D54,Data!$F$2:$F$7199,"Consumables")</f>
        <v>915</v>
      </c>
      <c r="J54" s="6" t="n">
        <f aca="false">SUM(G54:I54)</f>
        <v>374275</v>
      </c>
      <c r="K54" s="4" t="n">
        <f aca="false">ROUND(J54/100000,2)</f>
        <v>3.74</v>
      </c>
    </row>
    <row r="55" customFormat="false" ht="15" hidden="false" customHeight="false" outlineLevel="0" collapsed="false">
      <c r="A55" s="4" t="s">
        <v>120</v>
      </c>
      <c r="B55" s="5" t="s">
        <v>123</v>
      </c>
      <c r="C55" s="5" t="s">
        <v>124</v>
      </c>
      <c r="D55" s="4" t="s">
        <v>22</v>
      </c>
      <c r="E55" s="4" t="s">
        <v>17</v>
      </c>
      <c r="F55" s="4" t="n">
        <f aca="false">COUNTIFS(Data!$C$2:$C$7199,C55,Data!$D$2:$D$7199,D55)</f>
        <v>43</v>
      </c>
      <c r="G55" s="6" t="n">
        <f aca="false">SUMIFS(Data!$L$2:$L$7199,Data!$C$2:$C$7199,$C55,Data!$D$2:$D$7199,$D55,Data!$F$2:$F$7199,"Tools &amp; Equipment")</f>
        <v>71180</v>
      </c>
      <c r="H55" s="6" t="n">
        <f aca="false">SUMIFS(Data!$L$2:$L$7199,Data!$C$2:$C$7199,$C55,Data!$D$2:$D$7199,$D55,Data!$F$2:$F$7199,"Other Lab Items")</f>
        <v>110450</v>
      </c>
      <c r="I55" s="6" t="n">
        <f aca="false">SUMIFS(Data!$L$2:$L$7199,Data!$C$2:$C$7199,$C55,Data!$D$2:$D$7199,$D55,Data!$F$2:$F$7199,"Consumables")</f>
        <v>1490</v>
      </c>
      <c r="J55" s="6" t="n">
        <f aca="false">SUM(G55:I55)</f>
        <v>183120</v>
      </c>
      <c r="K55" s="4" t="n">
        <f aca="false">ROUND(J55/100000,2)</f>
        <v>1.83</v>
      </c>
    </row>
    <row r="56" customFormat="false" ht="15" hidden="false" customHeight="false" outlineLevel="0" collapsed="false">
      <c r="A56" s="4" t="s">
        <v>120</v>
      </c>
      <c r="B56" s="5" t="s">
        <v>125</v>
      </c>
      <c r="C56" s="5" t="s">
        <v>126</v>
      </c>
      <c r="D56" s="4" t="s">
        <v>22</v>
      </c>
      <c r="E56" s="4" t="s">
        <v>17</v>
      </c>
      <c r="F56" s="4" t="n">
        <f aca="false">COUNTIFS(Data!$C$2:$C$7199,C56,Data!$D$2:$D$7199,D56)</f>
        <v>90</v>
      </c>
      <c r="G56" s="6" t="n">
        <f aca="false">SUMIFS(Data!$L$2:$L$7199,Data!$C$2:$C$7199,$C56,Data!$D$2:$D$7199,$D56,Data!$F$2:$F$7199,"Tools &amp; Equipment")</f>
        <v>110920</v>
      </c>
      <c r="H56" s="6" t="n">
        <f aca="false">SUMIFS(Data!$L$2:$L$7199,Data!$C$2:$C$7199,$C56,Data!$D$2:$D$7199,$D56,Data!$F$2:$F$7199,"Other Lab Items")</f>
        <v>172000</v>
      </c>
      <c r="I56" s="6" t="n">
        <f aca="false">SUMIFS(Data!$L$2:$L$7199,Data!$C$2:$C$7199,$C56,Data!$D$2:$D$7199,$D56,Data!$F$2:$F$7199,"Consumables")</f>
        <v>2025</v>
      </c>
      <c r="J56" s="6" t="n">
        <f aca="false">SUM(G56:I56)</f>
        <v>284945</v>
      </c>
      <c r="K56" s="4" t="n">
        <f aca="false">ROUND(J56/100000,2)</f>
        <v>2.85</v>
      </c>
    </row>
    <row r="57" customFormat="false" ht="15" hidden="false" customHeight="false" outlineLevel="0" collapsed="false">
      <c r="A57" s="4" t="s">
        <v>120</v>
      </c>
      <c r="B57" s="5" t="s">
        <v>127</v>
      </c>
      <c r="C57" s="5" t="s">
        <v>128</v>
      </c>
      <c r="D57" s="4" t="s">
        <v>16</v>
      </c>
      <c r="E57" s="4" t="s">
        <v>31</v>
      </c>
      <c r="F57" s="4" t="n">
        <f aca="false">COUNTIFS(Data!$C$2:$C$7199,C57,Data!$D$2:$D$7199,D57)</f>
        <v>92</v>
      </c>
      <c r="G57" s="6" t="n">
        <f aca="false">SUMIFS(Data!$L$2:$L$7199,Data!$C$2:$C$7199,$C57,Data!$D$2:$D$7199,$D57,Data!$F$2:$F$7199,"Tools &amp; Equipment")</f>
        <v>138580</v>
      </c>
      <c r="H57" s="6" t="n">
        <f aca="false">SUMIFS(Data!$L$2:$L$7199,Data!$C$2:$C$7199,$C57,Data!$D$2:$D$7199,$D57,Data!$F$2:$F$7199,"Other Lab Items")</f>
        <v>232400</v>
      </c>
      <c r="I57" s="6" t="n">
        <f aca="false">SUMIFS(Data!$L$2:$L$7199,Data!$C$2:$C$7199,$C57,Data!$D$2:$D$7199,$D57,Data!$F$2:$F$7199,"Consumables")</f>
        <v>795</v>
      </c>
      <c r="J57" s="6" t="n">
        <f aca="false">SUM(G57:I57)</f>
        <v>371775</v>
      </c>
      <c r="K57" s="4" t="n">
        <f aca="false">ROUND(J57/100000,2)</f>
        <v>3.72</v>
      </c>
    </row>
    <row r="58" customFormat="false" ht="15" hidden="false" customHeight="false" outlineLevel="0" collapsed="false">
      <c r="A58" s="4" t="s">
        <v>120</v>
      </c>
      <c r="B58" s="5" t="s">
        <v>129</v>
      </c>
      <c r="C58" s="5" t="s">
        <v>130</v>
      </c>
      <c r="D58" s="4" t="s">
        <v>16</v>
      </c>
      <c r="E58" s="4" t="s">
        <v>17</v>
      </c>
      <c r="F58" s="4" t="n">
        <f aca="false">COUNTIFS(Data!$C$2:$C$7199,C58,Data!$D$2:$D$7199,D58)</f>
        <v>86</v>
      </c>
      <c r="G58" s="6" t="n">
        <f aca="false">SUMIFS(Data!$L$2:$L$7199,Data!$C$2:$C$7199,$C58,Data!$D$2:$D$7199,$D58,Data!$F$2:$F$7199,"Tools &amp; Equipment")</f>
        <v>154550</v>
      </c>
      <c r="H58" s="6" t="n">
        <f aca="false">SUMIFS(Data!$L$2:$L$7199,Data!$C$2:$C$7199,$C58,Data!$D$2:$D$7199,$D58,Data!$F$2:$F$7199,"Other Lab Items")</f>
        <v>129000</v>
      </c>
      <c r="I58" s="6" t="n">
        <f aca="false">SUMIFS(Data!$L$2:$L$7199,Data!$C$2:$C$7199,$C58,Data!$D$2:$D$7199,$D58,Data!$F$2:$F$7199,"Consumables")</f>
        <v>1395</v>
      </c>
      <c r="J58" s="6" t="n">
        <f aca="false">SUM(G58:I58)</f>
        <v>284945</v>
      </c>
      <c r="K58" s="4" t="n">
        <f aca="false">ROUND(J58/100000,2)</f>
        <v>2.85</v>
      </c>
    </row>
    <row r="59" customFormat="false" ht="15" hidden="false" customHeight="false" outlineLevel="0" collapsed="false">
      <c r="A59" s="4" t="s">
        <v>120</v>
      </c>
      <c r="B59" s="5" t="s">
        <v>131</v>
      </c>
      <c r="C59" s="5" t="s">
        <v>132</v>
      </c>
      <c r="D59" s="4" t="s">
        <v>16</v>
      </c>
      <c r="E59" s="4" t="s">
        <v>17</v>
      </c>
      <c r="F59" s="4" t="n">
        <f aca="false">COUNTIFS(Data!$C$2:$C$7199,C59,Data!$D$2:$D$7199,D59)</f>
        <v>23</v>
      </c>
      <c r="G59" s="6" t="n">
        <f aca="false">SUMIFS(Data!$L$2:$L$7199,Data!$C$2:$C$7199,$C59,Data!$D$2:$D$7199,$D59,Data!$F$2:$F$7199,"Tools &amp; Equipment")</f>
        <v>48300</v>
      </c>
      <c r="H59" s="6" t="n">
        <f aca="false">SUMIFS(Data!$L$2:$L$7199,Data!$C$2:$C$7199,$C59,Data!$D$2:$D$7199,$D59,Data!$F$2:$F$7199,"Other Lab Items")</f>
        <v>49070</v>
      </c>
      <c r="I59" s="6" t="n">
        <f aca="false">SUMIFS(Data!$L$2:$L$7199,Data!$C$2:$C$7199,$C59,Data!$D$2:$D$7199,$D59,Data!$F$2:$F$7199,"Consumables")</f>
        <v>590</v>
      </c>
      <c r="J59" s="6" t="n">
        <f aca="false">SUM(G59:I59)</f>
        <v>97960</v>
      </c>
      <c r="K59" s="4" t="n">
        <f aca="false">ROUND(J59/100000,2)</f>
        <v>0.98</v>
      </c>
    </row>
    <row r="60" customFormat="false" ht="15" hidden="false" customHeight="false" outlineLevel="0" collapsed="false">
      <c r="A60" s="4" t="s">
        <v>133</v>
      </c>
      <c r="B60" s="5" t="s">
        <v>134</v>
      </c>
      <c r="C60" s="5" t="s">
        <v>135</v>
      </c>
      <c r="D60" s="4" t="s">
        <v>16</v>
      </c>
      <c r="E60" s="4" t="s">
        <v>17</v>
      </c>
      <c r="F60" s="4" t="n">
        <f aca="false">COUNTIFS(Data!$C$2:$C$7199,C60,Data!$D$2:$D$7199,D60)</f>
        <v>28</v>
      </c>
      <c r="G60" s="6" t="n">
        <f aca="false">SUMIFS(Data!$L$2:$L$7199,Data!$C$2:$C$7199,$C60,Data!$D$2:$D$7199,$D60,Data!$F$2:$F$7199,"Tools &amp; Equipment")</f>
        <v>71260</v>
      </c>
      <c r="H60" s="6" t="n">
        <f aca="false">SUMIFS(Data!$L$2:$L$7199,Data!$C$2:$C$7199,$C60,Data!$D$2:$D$7199,$D60,Data!$F$2:$F$7199,"Other Lab Items")</f>
        <v>316500</v>
      </c>
      <c r="I60" s="6" t="n">
        <f aca="false">SUMIFS(Data!$L$2:$L$7199,Data!$C$2:$C$7199,$C60,Data!$D$2:$D$7199,$D60,Data!$F$2:$F$7199,"Consumables")</f>
        <v>900</v>
      </c>
      <c r="J60" s="6" t="n">
        <f aca="false">SUM(G60:I60)</f>
        <v>388660</v>
      </c>
      <c r="K60" s="4" t="n">
        <f aca="false">ROUND(J60/100000,2)</f>
        <v>3.89</v>
      </c>
    </row>
    <row r="61" customFormat="false" ht="15" hidden="false" customHeight="false" outlineLevel="0" collapsed="false">
      <c r="A61" s="4" t="s">
        <v>136</v>
      </c>
      <c r="B61" s="5" t="s">
        <v>137</v>
      </c>
      <c r="C61" s="5" t="s">
        <v>138</v>
      </c>
      <c r="D61" s="4" t="s">
        <v>22</v>
      </c>
      <c r="E61" s="4" t="s">
        <v>31</v>
      </c>
      <c r="F61" s="4" t="n">
        <f aca="false">COUNTIFS(Data!$C$2:$C$7199,C61,Data!$D$2:$D$7199,D61)</f>
        <v>32</v>
      </c>
      <c r="G61" s="6" t="n">
        <f aca="false">SUMIFS(Data!$L$2:$L$7199,Data!$C$2:$C$7199,$C61,Data!$D$2:$D$7199,$D61,Data!$F$2:$F$7199,"Tools &amp; Equipment")</f>
        <v>14630</v>
      </c>
      <c r="H61" s="6" t="n">
        <f aca="false">SUMIFS(Data!$L$2:$L$7199,Data!$C$2:$C$7199,$C61,Data!$D$2:$D$7199,$D61,Data!$F$2:$F$7199,"Other Lab Items")</f>
        <v>0</v>
      </c>
      <c r="I61" s="6" t="n">
        <f aca="false">SUMIFS(Data!$L$2:$L$7199,Data!$C$2:$C$7199,$C61,Data!$D$2:$D$7199,$D61,Data!$F$2:$F$7199,"Consumables")</f>
        <v>114</v>
      </c>
      <c r="J61" s="6" t="n">
        <f aca="false">SUM(G61:I61)</f>
        <v>14744</v>
      </c>
      <c r="K61" s="4" t="n">
        <f aca="false">ROUND(J61/100000,2)</f>
        <v>0.15</v>
      </c>
    </row>
    <row r="62" customFormat="false" ht="15" hidden="false" customHeight="false" outlineLevel="0" collapsed="false">
      <c r="A62" s="4" t="s">
        <v>136</v>
      </c>
      <c r="B62" s="5" t="s">
        <v>139</v>
      </c>
      <c r="C62" s="5" t="s">
        <v>140</v>
      </c>
      <c r="D62" s="4" t="s">
        <v>16</v>
      </c>
      <c r="E62" s="4" t="s">
        <v>31</v>
      </c>
      <c r="F62" s="4" t="n">
        <f aca="false">COUNTIFS(Data!$C$2:$C$7199,C62,Data!$D$2:$D$7199,D62)</f>
        <v>31</v>
      </c>
      <c r="G62" s="6" t="n">
        <f aca="false">SUMIFS(Data!$L$2:$L$7199,Data!$C$2:$C$7199,$C62,Data!$D$2:$D$7199,$D62,Data!$F$2:$F$7199,"Tools &amp; Equipment")</f>
        <v>13780</v>
      </c>
      <c r="H62" s="6" t="n">
        <f aca="false">SUMIFS(Data!$L$2:$L$7199,Data!$C$2:$C$7199,$C62,Data!$D$2:$D$7199,$D62,Data!$F$2:$F$7199,"Other Lab Items")</f>
        <v>0</v>
      </c>
      <c r="I62" s="6" t="n">
        <f aca="false">SUMIFS(Data!$L$2:$L$7199,Data!$C$2:$C$7199,$C62,Data!$D$2:$D$7199,$D62,Data!$F$2:$F$7199,"Consumables")</f>
        <v>114</v>
      </c>
      <c r="J62" s="6" t="n">
        <f aca="false">SUM(G62:I62)</f>
        <v>13894</v>
      </c>
      <c r="K62" s="4" t="n">
        <f aca="false">ROUND(J62/100000,2)</f>
        <v>0.14</v>
      </c>
    </row>
    <row r="63" customFormat="false" ht="15" hidden="false" customHeight="false" outlineLevel="0" collapsed="false">
      <c r="A63" s="4" t="s">
        <v>136</v>
      </c>
      <c r="B63" s="5" t="s">
        <v>141</v>
      </c>
      <c r="C63" s="5" t="s">
        <v>142</v>
      </c>
      <c r="D63" s="4" t="s">
        <v>16</v>
      </c>
      <c r="E63" s="4" t="s">
        <v>31</v>
      </c>
      <c r="F63" s="4" t="n">
        <f aca="false">COUNTIFS(Data!$C$2:$C$7199,C63,Data!$D$2:$D$7199,D63)</f>
        <v>49</v>
      </c>
      <c r="G63" s="6" t="n">
        <f aca="false">SUMIFS(Data!$L$2:$L$7199,Data!$C$2:$C$7199,$C63,Data!$D$2:$D$7199,$D63,Data!$F$2:$F$7199,"Tools &amp; Equipment")</f>
        <v>29570</v>
      </c>
      <c r="H63" s="6" t="n">
        <f aca="false">SUMIFS(Data!$L$2:$L$7199,Data!$C$2:$C$7199,$C63,Data!$D$2:$D$7199,$D63,Data!$F$2:$F$7199,"Other Lab Items")</f>
        <v>141105</v>
      </c>
      <c r="I63" s="6" t="n">
        <f aca="false">SUMIFS(Data!$L$2:$L$7199,Data!$C$2:$C$7199,$C63,Data!$D$2:$D$7199,$D63,Data!$F$2:$F$7199,"Consumables")</f>
        <v>335</v>
      </c>
      <c r="J63" s="6" t="n">
        <f aca="false">SUM(G63:I63)</f>
        <v>171010</v>
      </c>
      <c r="K63" s="4" t="n">
        <f aca="false">ROUND(J63/100000,2)</f>
        <v>1.71</v>
      </c>
    </row>
    <row r="64" customFormat="false" ht="23.85" hidden="false" customHeight="false" outlineLevel="0" collapsed="false">
      <c r="A64" s="4" t="s">
        <v>136</v>
      </c>
      <c r="B64" s="5" t="s">
        <v>143</v>
      </c>
      <c r="C64" s="5" t="s">
        <v>144</v>
      </c>
      <c r="D64" s="4" t="s">
        <v>16</v>
      </c>
      <c r="E64" s="4" t="s">
        <v>17</v>
      </c>
      <c r="F64" s="4" t="n">
        <f aca="false">COUNTIFS(Data!$C$2:$C$7199,C64,Data!$D$2:$D$7199,D64)</f>
        <v>56</v>
      </c>
      <c r="G64" s="6" t="n">
        <f aca="false">SUMIFS(Data!$L$2:$L$7199,Data!$C$2:$C$7199,$C64,Data!$D$2:$D$7199,$D64,Data!$F$2:$F$7199,"Tools &amp; Equipment")</f>
        <v>280560</v>
      </c>
      <c r="H64" s="6" t="n">
        <f aca="false">SUMIFS(Data!$L$2:$L$7199,Data!$C$2:$C$7199,$C64,Data!$D$2:$D$7199,$D64,Data!$F$2:$F$7199,"Other Lab Items")</f>
        <v>334550</v>
      </c>
      <c r="I64" s="6" t="n">
        <f aca="false">SUMIFS(Data!$L$2:$L$7199,Data!$C$2:$C$7199,$C64,Data!$D$2:$D$7199,$D64,Data!$F$2:$F$7199,"Consumables")</f>
        <v>3885</v>
      </c>
      <c r="J64" s="6" t="n">
        <f aca="false">SUM(G64:I64)</f>
        <v>618995</v>
      </c>
      <c r="K64" s="4" t="n">
        <f aca="false">ROUND(J64/100000,2)</f>
        <v>6.19</v>
      </c>
    </row>
    <row r="65" customFormat="false" ht="15" hidden="false" customHeight="false" outlineLevel="0" collapsed="false">
      <c r="A65" s="4" t="s">
        <v>136</v>
      </c>
      <c r="B65" s="5" t="s">
        <v>145</v>
      </c>
      <c r="C65" s="5" t="s">
        <v>146</v>
      </c>
      <c r="D65" s="4" t="s">
        <v>16</v>
      </c>
      <c r="E65" s="4" t="s">
        <v>17</v>
      </c>
      <c r="F65" s="4" t="n">
        <f aca="false">COUNTIFS(Data!$C$2:$C$7199,C65,Data!$D$2:$D$7199,D65)</f>
        <v>32</v>
      </c>
      <c r="G65" s="6" t="n">
        <f aca="false">SUMIFS(Data!$L$2:$L$7199,Data!$C$2:$C$7199,$C65,Data!$D$2:$D$7199,$D65,Data!$F$2:$F$7199,"Tools &amp; Equipment")</f>
        <v>14630</v>
      </c>
      <c r="H65" s="6" t="n">
        <f aca="false">SUMIFS(Data!$L$2:$L$7199,Data!$C$2:$C$7199,$C65,Data!$D$2:$D$7199,$D65,Data!$F$2:$F$7199,"Other Lab Items")</f>
        <v>0</v>
      </c>
      <c r="I65" s="6" t="n">
        <f aca="false">SUMIFS(Data!$L$2:$L$7199,Data!$C$2:$C$7199,$C65,Data!$D$2:$D$7199,$D65,Data!$F$2:$F$7199,"Consumables")</f>
        <v>114</v>
      </c>
      <c r="J65" s="6" t="n">
        <f aca="false">SUM(G65:I65)</f>
        <v>14744</v>
      </c>
      <c r="K65" s="4" t="n">
        <f aca="false">ROUND(J65/100000,2)</f>
        <v>0.15</v>
      </c>
    </row>
    <row r="66" customFormat="false" ht="23.85" hidden="false" customHeight="false" outlineLevel="0" collapsed="false">
      <c r="A66" s="4" t="s">
        <v>147</v>
      </c>
      <c r="B66" s="5" t="s">
        <v>148</v>
      </c>
      <c r="C66" s="5" t="s">
        <v>149</v>
      </c>
      <c r="D66" s="4" t="s">
        <v>22</v>
      </c>
      <c r="E66" s="4" t="s">
        <v>31</v>
      </c>
      <c r="F66" s="4" t="n">
        <f aca="false">COUNTIFS(Data!$C$2:$C$7199,C66,Data!$D$2:$D$7199,D66)</f>
        <v>38</v>
      </c>
      <c r="G66" s="6" t="n">
        <f aca="false">SUMIFS(Data!$L$2:$L$7199,Data!$C$2:$C$7199,$C66,Data!$D$2:$D$7199,$D66,Data!$F$2:$F$7199,"Tools &amp; Equipment")</f>
        <v>12950</v>
      </c>
      <c r="H66" s="6" t="n">
        <f aca="false">SUMIFS(Data!$L$2:$L$7199,Data!$C$2:$C$7199,$C66,Data!$D$2:$D$7199,$D66,Data!$F$2:$F$7199,"Other Lab Items")</f>
        <v>320080</v>
      </c>
      <c r="I66" s="6" t="n">
        <f aca="false">SUMIFS(Data!$L$2:$L$7199,Data!$C$2:$C$7199,$C66,Data!$D$2:$D$7199,$D66,Data!$F$2:$F$7199,"Consumables")</f>
        <v>1335</v>
      </c>
      <c r="J66" s="6" t="n">
        <f aca="false">SUM(G66:I66)</f>
        <v>334365</v>
      </c>
      <c r="K66" s="4" t="n">
        <f aca="false">ROUND(J66/100000,2)</f>
        <v>3.34</v>
      </c>
    </row>
    <row r="67" customFormat="false" ht="23.85" hidden="false" customHeight="false" outlineLevel="0" collapsed="false">
      <c r="A67" s="4" t="s">
        <v>147</v>
      </c>
      <c r="B67" s="5" t="s">
        <v>148</v>
      </c>
      <c r="C67" s="5" t="s">
        <v>149</v>
      </c>
      <c r="D67" s="4" t="s">
        <v>16</v>
      </c>
      <c r="E67" s="4" t="s">
        <v>31</v>
      </c>
      <c r="F67" s="4" t="n">
        <f aca="false">COUNTIFS(Data!$C$2:$C$7199,C67,Data!$D$2:$D$7199,D67)</f>
        <v>38</v>
      </c>
      <c r="G67" s="6" t="n">
        <f aca="false">SUMIFS(Data!$L$2:$L$7199,Data!$C$2:$C$7199,$C67,Data!$D$2:$D$7199,$D67,Data!$F$2:$F$7199,"Tools &amp; Equipment")</f>
        <v>12950</v>
      </c>
      <c r="H67" s="6" t="n">
        <f aca="false">SUMIFS(Data!$L$2:$L$7199,Data!$C$2:$C$7199,$C67,Data!$D$2:$D$7199,$D67,Data!$F$2:$F$7199,"Other Lab Items")</f>
        <v>320080</v>
      </c>
      <c r="I67" s="6" t="n">
        <f aca="false">SUMIFS(Data!$L$2:$L$7199,Data!$C$2:$C$7199,$C67,Data!$D$2:$D$7199,$D67,Data!$F$2:$F$7199,"Consumables")</f>
        <v>1335</v>
      </c>
      <c r="J67" s="6" t="n">
        <f aca="false">SUM(G67:I67)</f>
        <v>334365</v>
      </c>
      <c r="K67" s="4" t="n">
        <f aca="false">ROUND(J67/100000,2)</f>
        <v>3.34</v>
      </c>
    </row>
    <row r="68" customFormat="false" ht="15" hidden="false" customHeight="false" outlineLevel="0" collapsed="false">
      <c r="A68" s="4" t="s">
        <v>147</v>
      </c>
      <c r="B68" s="5" t="s">
        <v>150</v>
      </c>
      <c r="C68" s="5" t="s">
        <v>151</v>
      </c>
      <c r="D68" s="4" t="s">
        <v>16</v>
      </c>
      <c r="E68" s="4" t="s">
        <v>17</v>
      </c>
      <c r="F68" s="4" t="n">
        <f aca="false">COUNTIFS(Data!$C$2:$C$7199,C68,Data!$D$2:$D$7199,D68)</f>
        <v>12</v>
      </c>
      <c r="G68" s="6" t="n">
        <f aca="false">SUMIFS(Data!$L$2:$L$7199,Data!$C$2:$C$7199,$C68,Data!$D$2:$D$7199,$D68,Data!$F$2:$F$7199,"Tools &amp; Equipment")</f>
        <v>15300</v>
      </c>
      <c r="H68" s="6" t="n">
        <f aca="false">SUMIFS(Data!$L$2:$L$7199,Data!$C$2:$C$7199,$C68,Data!$D$2:$D$7199,$D68,Data!$F$2:$F$7199,"Other Lab Items")</f>
        <v>123300</v>
      </c>
      <c r="I68" s="6" t="n">
        <f aca="false">SUMIFS(Data!$L$2:$L$7199,Data!$C$2:$C$7199,$C68,Data!$D$2:$D$7199,$D68,Data!$F$2:$F$7199,"Consumables")</f>
        <v>270</v>
      </c>
      <c r="J68" s="6" t="n">
        <f aca="false">SUM(G68:I68)</f>
        <v>138870</v>
      </c>
      <c r="K68" s="4" t="n">
        <f aca="false">ROUND(J68/100000,2)</f>
        <v>1.39</v>
      </c>
    </row>
    <row r="69" customFormat="false" ht="15" hidden="false" customHeight="false" outlineLevel="0" collapsed="false">
      <c r="A69" s="4" t="s">
        <v>147</v>
      </c>
      <c r="B69" s="5" t="s">
        <v>152</v>
      </c>
      <c r="C69" s="5" t="s">
        <v>153</v>
      </c>
      <c r="D69" s="4" t="s">
        <v>16</v>
      </c>
      <c r="E69" s="4" t="s">
        <v>31</v>
      </c>
      <c r="F69" s="4" t="n">
        <f aca="false">COUNTIFS(Data!$C$2:$C$7199,C69,Data!$D$2:$D$7199,D69)</f>
        <v>65</v>
      </c>
      <c r="G69" s="6" t="n">
        <f aca="false">SUMIFS(Data!$L$2:$L$7199,Data!$C$2:$C$7199,$C69,Data!$D$2:$D$7199,$D69,Data!$F$2:$F$7199,"Tools &amp; Equipment")</f>
        <v>170550</v>
      </c>
      <c r="H69" s="6" t="n">
        <f aca="false">SUMIFS(Data!$L$2:$L$7199,Data!$C$2:$C$7199,$C69,Data!$D$2:$D$7199,$D69,Data!$F$2:$F$7199,"Other Lab Items")</f>
        <v>87790</v>
      </c>
      <c r="I69" s="6" t="n">
        <f aca="false">SUMIFS(Data!$L$2:$L$7199,Data!$C$2:$C$7199,$C69,Data!$D$2:$D$7199,$D69,Data!$F$2:$F$7199,"Consumables")</f>
        <v>880</v>
      </c>
      <c r="J69" s="6" t="n">
        <f aca="false">SUM(G69:I69)</f>
        <v>259220</v>
      </c>
      <c r="K69" s="4" t="n">
        <f aca="false">ROUND(J69/100000,2)</f>
        <v>2.59</v>
      </c>
    </row>
    <row r="70" customFormat="false" ht="15" hidden="false" customHeight="false" outlineLevel="0" collapsed="false">
      <c r="A70" s="4" t="s">
        <v>147</v>
      </c>
      <c r="B70" s="5" t="s">
        <v>154</v>
      </c>
      <c r="C70" s="5" t="s">
        <v>155</v>
      </c>
      <c r="D70" s="4" t="s">
        <v>16</v>
      </c>
      <c r="E70" s="4" t="s">
        <v>31</v>
      </c>
      <c r="F70" s="4" t="n">
        <f aca="false">COUNTIFS(Data!$C$2:$C$7199,C70,Data!$D$2:$D$7199,D70)</f>
        <v>65</v>
      </c>
      <c r="G70" s="6" t="n">
        <f aca="false">SUMIFS(Data!$L$2:$L$7199,Data!$C$2:$C$7199,$C70,Data!$D$2:$D$7199,$D70,Data!$F$2:$F$7199,"Tools &amp; Equipment")</f>
        <v>185740</v>
      </c>
      <c r="H70" s="6" t="n">
        <f aca="false">SUMIFS(Data!$L$2:$L$7199,Data!$C$2:$C$7199,$C70,Data!$D$2:$D$7199,$D70,Data!$F$2:$F$7199,"Other Lab Items")</f>
        <v>49195</v>
      </c>
      <c r="I70" s="6" t="n">
        <f aca="false">SUMIFS(Data!$L$2:$L$7199,Data!$C$2:$C$7199,$C70,Data!$D$2:$D$7199,$D70,Data!$F$2:$F$7199,"Consumables")</f>
        <v>2300</v>
      </c>
      <c r="J70" s="6" t="n">
        <f aca="false">SUM(G70:I70)</f>
        <v>237235</v>
      </c>
      <c r="K70" s="4" t="n">
        <f aca="false">ROUND(J70/100000,2)</f>
        <v>2.37</v>
      </c>
    </row>
    <row r="71" customFormat="false" ht="23.85" hidden="false" customHeight="false" outlineLevel="0" collapsed="false">
      <c r="A71" s="4" t="s">
        <v>147</v>
      </c>
      <c r="B71" s="5" t="s">
        <v>156</v>
      </c>
      <c r="C71" s="5" t="s">
        <v>157</v>
      </c>
      <c r="D71" s="4" t="s">
        <v>16</v>
      </c>
      <c r="E71" s="4" t="s">
        <v>17</v>
      </c>
      <c r="F71" s="4" t="n">
        <f aca="false">COUNTIFS(Data!$C$2:$C$7199,C71,Data!$D$2:$D$7199,D71)</f>
        <v>74</v>
      </c>
      <c r="G71" s="6" t="n">
        <f aca="false">SUMIFS(Data!$L$2:$L$7199,Data!$C$2:$C$7199,$C71,Data!$D$2:$D$7199,$D71,Data!$F$2:$F$7199,"Tools &amp; Equipment")</f>
        <v>80740</v>
      </c>
      <c r="H71" s="6" t="n">
        <f aca="false">SUMIFS(Data!$L$2:$L$7199,Data!$C$2:$C$7199,$C71,Data!$D$2:$D$7199,$D71,Data!$F$2:$F$7199,"Other Lab Items")</f>
        <v>311700</v>
      </c>
      <c r="I71" s="6" t="n">
        <f aca="false">SUMIFS(Data!$L$2:$L$7199,Data!$C$2:$C$7199,$C71,Data!$D$2:$D$7199,$D71,Data!$F$2:$F$7199,"Consumables")</f>
        <v>1605</v>
      </c>
      <c r="J71" s="6" t="n">
        <f aca="false">SUM(G71:I71)</f>
        <v>394045</v>
      </c>
      <c r="K71" s="4" t="n">
        <f aca="false">ROUND(J71/100000,2)</f>
        <v>3.94</v>
      </c>
    </row>
    <row r="72" customFormat="false" ht="15" hidden="false" customHeight="false" outlineLevel="0" collapsed="false">
      <c r="A72" s="4" t="s">
        <v>147</v>
      </c>
      <c r="B72" s="5" t="s">
        <v>158</v>
      </c>
      <c r="C72" s="5" t="s">
        <v>159</v>
      </c>
      <c r="D72" s="4" t="s">
        <v>16</v>
      </c>
      <c r="E72" s="4" t="s">
        <v>31</v>
      </c>
      <c r="F72" s="4" t="n">
        <f aca="false">COUNTIFS(Data!$C$2:$C$7199,C72,Data!$D$2:$D$7199,D72)</f>
        <v>42</v>
      </c>
      <c r="G72" s="6" t="n">
        <f aca="false">SUMIFS(Data!$L$2:$L$7199,Data!$C$2:$C$7199,$C72,Data!$D$2:$D$7199,$D72,Data!$F$2:$F$7199,"Tools &amp; Equipment")</f>
        <v>77420</v>
      </c>
      <c r="H72" s="6" t="n">
        <f aca="false">SUMIFS(Data!$L$2:$L$7199,Data!$C$2:$C$7199,$C72,Data!$D$2:$D$7199,$D72,Data!$F$2:$F$7199,"Other Lab Items")</f>
        <v>114200</v>
      </c>
      <c r="I72" s="6" t="n">
        <f aca="false">SUMIFS(Data!$L$2:$L$7199,Data!$C$2:$C$7199,$C72,Data!$D$2:$D$7199,$D72,Data!$F$2:$F$7199,"Consumables")</f>
        <v>3970</v>
      </c>
      <c r="J72" s="6" t="n">
        <f aca="false">SUM(G72:I72)</f>
        <v>195590</v>
      </c>
      <c r="K72" s="4" t="n">
        <f aca="false">ROUND(J72/100000,2)</f>
        <v>1.96</v>
      </c>
    </row>
    <row r="73" customFormat="false" ht="15" hidden="false" customHeight="false" outlineLevel="0" collapsed="false">
      <c r="A73" s="4" t="s">
        <v>147</v>
      </c>
      <c r="B73" s="5" t="s">
        <v>160</v>
      </c>
      <c r="C73" s="5" t="s">
        <v>161</v>
      </c>
      <c r="D73" s="4" t="s">
        <v>22</v>
      </c>
      <c r="E73" s="4" t="s">
        <v>31</v>
      </c>
      <c r="F73" s="4" t="n">
        <f aca="false">COUNTIFS(Data!$C$2:$C$7199,C73,Data!$D$2:$D$7199,D73)</f>
        <v>36</v>
      </c>
      <c r="G73" s="6" t="n">
        <f aca="false">SUMIFS(Data!$L$2:$L$7199,Data!$C$2:$C$7199,$C73,Data!$D$2:$D$7199,$D73,Data!$F$2:$F$7199,"Tools &amp; Equipment")</f>
        <v>51840</v>
      </c>
      <c r="H73" s="6" t="n">
        <f aca="false">SUMIFS(Data!$L$2:$L$7199,Data!$C$2:$C$7199,$C73,Data!$D$2:$D$7199,$D73,Data!$F$2:$F$7199,"Other Lab Items")</f>
        <v>110700</v>
      </c>
      <c r="I73" s="6" t="n">
        <f aca="false">SUMIFS(Data!$L$2:$L$7199,Data!$C$2:$C$7199,$C73,Data!$D$2:$D$7199,$D73,Data!$F$2:$F$7199,"Consumables")</f>
        <v>1395</v>
      </c>
      <c r="J73" s="6" t="n">
        <f aca="false">SUM(G73:I73)</f>
        <v>163935</v>
      </c>
      <c r="K73" s="4" t="n">
        <f aca="false">ROUND(J73/100000,2)</f>
        <v>1.64</v>
      </c>
    </row>
    <row r="74" customFormat="false" ht="15" hidden="false" customHeight="false" outlineLevel="0" collapsed="false">
      <c r="A74" s="4" t="s">
        <v>147</v>
      </c>
      <c r="B74" s="5" t="s">
        <v>162</v>
      </c>
      <c r="C74" s="5" t="s">
        <v>163</v>
      </c>
      <c r="D74" s="4" t="s">
        <v>16</v>
      </c>
      <c r="E74" s="4" t="s">
        <v>31</v>
      </c>
      <c r="F74" s="4" t="n">
        <f aca="false">COUNTIFS(Data!$C$2:$C$7199,C74,Data!$D$2:$D$7199,D74)</f>
        <v>86</v>
      </c>
      <c r="G74" s="6" t="n">
        <f aca="false">SUMIFS(Data!$L$2:$L$7199,Data!$C$2:$C$7199,$C74,Data!$D$2:$D$7199,$D74,Data!$F$2:$F$7199,"Tools &amp; Equipment")</f>
        <v>670780</v>
      </c>
      <c r="H74" s="6" t="n">
        <f aca="false">SUMIFS(Data!$L$2:$L$7199,Data!$C$2:$C$7199,$C74,Data!$D$2:$D$7199,$D74,Data!$F$2:$F$7199,"Other Lab Items")</f>
        <v>113240</v>
      </c>
      <c r="I74" s="6" t="n">
        <f aca="false">SUMIFS(Data!$L$2:$L$7199,Data!$C$2:$C$7199,$C74,Data!$D$2:$D$7199,$D74,Data!$F$2:$F$7199,"Consumables")</f>
        <v>5575</v>
      </c>
      <c r="J74" s="6" t="n">
        <f aca="false">SUM(G74:I74)</f>
        <v>789595</v>
      </c>
      <c r="K74" s="4" t="n">
        <f aca="false">ROUND(J74/100000,2)</f>
        <v>7.9</v>
      </c>
    </row>
    <row r="75" customFormat="false" ht="15" hidden="false" customHeight="false" outlineLevel="0" collapsed="false">
      <c r="A75" s="4" t="s">
        <v>147</v>
      </c>
      <c r="B75" s="5" t="s">
        <v>164</v>
      </c>
      <c r="C75" s="5" t="s">
        <v>165</v>
      </c>
      <c r="D75" s="4" t="s">
        <v>16</v>
      </c>
      <c r="E75" s="4" t="s">
        <v>31</v>
      </c>
      <c r="F75" s="4" t="n">
        <f aca="false">COUNTIFS(Data!$C$2:$C$7199,C75,Data!$D$2:$D$7199,D75)</f>
        <v>19</v>
      </c>
      <c r="G75" s="6" t="n">
        <f aca="false">SUMIFS(Data!$L$2:$L$7199,Data!$C$2:$C$7199,$C75,Data!$D$2:$D$7199,$D75,Data!$F$2:$F$7199,"Tools &amp; Equipment")</f>
        <v>52000</v>
      </c>
      <c r="H75" s="6" t="n">
        <f aca="false">SUMIFS(Data!$L$2:$L$7199,Data!$C$2:$C$7199,$C75,Data!$D$2:$D$7199,$D75,Data!$F$2:$F$7199,"Other Lab Items")</f>
        <v>0</v>
      </c>
      <c r="I75" s="6" t="n">
        <f aca="false">SUMIFS(Data!$L$2:$L$7199,Data!$C$2:$C$7199,$C75,Data!$D$2:$D$7199,$D75,Data!$F$2:$F$7199,"Consumables")</f>
        <v>195</v>
      </c>
      <c r="J75" s="6" t="n">
        <f aca="false">SUM(G75:I75)</f>
        <v>52195</v>
      </c>
      <c r="K75" s="4" t="n">
        <f aca="false">ROUND(J75/100000,2)</f>
        <v>0.52</v>
      </c>
    </row>
    <row r="76" customFormat="false" ht="15" hidden="false" customHeight="false" outlineLevel="0" collapsed="false">
      <c r="A76" s="4" t="s">
        <v>166</v>
      </c>
      <c r="B76" s="5" t="s">
        <v>167</v>
      </c>
      <c r="C76" s="5" t="s">
        <v>168</v>
      </c>
      <c r="D76" s="4" t="s">
        <v>22</v>
      </c>
      <c r="E76" s="4" t="s">
        <v>31</v>
      </c>
      <c r="F76" s="4" t="n">
        <f aca="false">COUNTIFS(Data!$C$2:$C$7199,C76,Data!$D$2:$D$7199,D76)</f>
        <v>41</v>
      </c>
      <c r="G76" s="6" t="n">
        <f aca="false">SUMIFS(Data!$L$2:$L$7199,Data!$C$2:$C$7199,$C76,Data!$D$2:$D$7199,$D76,Data!$F$2:$F$7199,"Tools &amp; Equipment")</f>
        <v>911240</v>
      </c>
      <c r="H76" s="6" t="n">
        <f aca="false">SUMIFS(Data!$L$2:$L$7199,Data!$C$2:$C$7199,$C76,Data!$D$2:$D$7199,$D76,Data!$F$2:$F$7199,"Other Lab Items")</f>
        <v>9800</v>
      </c>
      <c r="I76" s="6" t="n">
        <f aca="false">SUMIFS(Data!$L$2:$L$7199,Data!$C$2:$C$7199,$C76,Data!$D$2:$D$7199,$D76,Data!$F$2:$F$7199,"Consumables")</f>
        <v>830</v>
      </c>
      <c r="J76" s="6" t="n">
        <f aca="false">SUM(G76:I76)</f>
        <v>921870</v>
      </c>
      <c r="K76" s="4" t="n">
        <f aca="false">ROUND(J76/100000,2)</f>
        <v>9.22</v>
      </c>
    </row>
    <row r="77" customFormat="false" ht="15" hidden="false" customHeight="false" outlineLevel="0" collapsed="false">
      <c r="A77" s="4" t="s">
        <v>166</v>
      </c>
      <c r="B77" s="5" t="s">
        <v>169</v>
      </c>
      <c r="C77" s="5" t="s">
        <v>170</v>
      </c>
      <c r="D77" s="4" t="s">
        <v>16</v>
      </c>
      <c r="E77" s="4" t="s">
        <v>31</v>
      </c>
      <c r="F77" s="4" t="n">
        <f aca="false">COUNTIFS(Data!$C$2:$C$7199,C77,Data!$D$2:$D$7199,D77)</f>
        <v>45</v>
      </c>
      <c r="G77" s="6" t="n">
        <f aca="false">SUMIFS(Data!$L$2:$L$7199,Data!$C$2:$C$7199,$C77,Data!$D$2:$D$7199,$D77,Data!$F$2:$F$7199,"Tools &amp; Equipment")</f>
        <v>1246640</v>
      </c>
      <c r="H77" s="6" t="n">
        <f aca="false">SUMIFS(Data!$L$2:$L$7199,Data!$C$2:$C$7199,$C77,Data!$D$2:$D$7199,$D77,Data!$F$2:$F$7199,"Other Lab Items")</f>
        <v>9800</v>
      </c>
      <c r="I77" s="6" t="n">
        <f aca="false">SUMIFS(Data!$L$2:$L$7199,Data!$C$2:$C$7199,$C77,Data!$D$2:$D$7199,$D77,Data!$F$2:$F$7199,"Consumables")</f>
        <v>830</v>
      </c>
      <c r="J77" s="6" t="n">
        <f aca="false">SUM(G77:I77)</f>
        <v>1257270</v>
      </c>
      <c r="K77" s="4" t="n">
        <f aca="false">ROUND(J77/100000,2)</f>
        <v>12.57</v>
      </c>
    </row>
    <row r="78" customFormat="false" ht="15" hidden="false" customHeight="false" outlineLevel="0" collapsed="false">
      <c r="A78" s="4" t="s">
        <v>166</v>
      </c>
      <c r="B78" s="5" t="s">
        <v>171</v>
      </c>
      <c r="C78" s="5" t="s">
        <v>172</v>
      </c>
      <c r="D78" s="4" t="s">
        <v>16</v>
      </c>
      <c r="E78" s="4" t="s">
        <v>17</v>
      </c>
      <c r="F78" s="4" t="n">
        <f aca="false">COUNTIFS(Data!$C$2:$C$7199,C78,Data!$D$2:$D$7199,D78)</f>
        <v>28</v>
      </c>
      <c r="G78" s="6" t="n">
        <f aca="false">SUMIFS(Data!$L$2:$L$7199,Data!$C$2:$C$7199,$C78,Data!$D$2:$D$7199,$D78,Data!$F$2:$F$7199,"Tools &amp; Equipment")</f>
        <v>675800</v>
      </c>
      <c r="H78" s="6" t="n">
        <f aca="false">SUMIFS(Data!$L$2:$L$7199,Data!$C$2:$C$7199,$C78,Data!$D$2:$D$7199,$D78,Data!$F$2:$F$7199,"Other Lab Items")</f>
        <v>21400</v>
      </c>
      <c r="I78" s="6" t="n">
        <f aca="false">SUMIFS(Data!$L$2:$L$7199,Data!$C$2:$C$7199,$C78,Data!$D$2:$D$7199,$D78,Data!$F$2:$F$7199,"Consumables")</f>
        <v>0</v>
      </c>
      <c r="J78" s="6" t="n">
        <f aca="false">SUM(G78:I78)</f>
        <v>697200</v>
      </c>
      <c r="K78" s="4" t="n">
        <f aca="false">ROUND(J78/100000,2)</f>
        <v>6.97</v>
      </c>
    </row>
    <row r="79" customFormat="false" ht="15" hidden="false" customHeight="false" outlineLevel="0" collapsed="false">
      <c r="A79" s="4" t="s">
        <v>166</v>
      </c>
      <c r="B79" s="5" t="s">
        <v>173</v>
      </c>
      <c r="C79" s="5" t="s">
        <v>174</v>
      </c>
      <c r="D79" s="4" t="s">
        <v>16</v>
      </c>
      <c r="E79" s="4" t="s">
        <v>17</v>
      </c>
      <c r="F79" s="4" t="n">
        <f aca="false">COUNTIFS(Data!$C$2:$C$7199,C79,Data!$D$2:$D$7199,D79)</f>
        <v>13</v>
      </c>
      <c r="G79" s="6" t="n">
        <f aca="false">SUMIFS(Data!$L$2:$L$7199,Data!$C$2:$C$7199,$C79,Data!$D$2:$D$7199,$D79,Data!$F$2:$F$7199,"Tools &amp; Equipment")</f>
        <v>454300</v>
      </c>
      <c r="H79" s="6" t="n">
        <f aca="false">SUMIFS(Data!$L$2:$L$7199,Data!$C$2:$C$7199,$C79,Data!$D$2:$D$7199,$D79,Data!$F$2:$F$7199,"Other Lab Items")</f>
        <v>0</v>
      </c>
      <c r="I79" s="6" t="n">
        <f aca="false">SUMIFS(Data!$L$2:$L$7199,Data!$C$2:$C$7199,$C79,Data!$D$2:$D$7199,$D79,Data!$F$2:$F$7199,"Consumables")</f>
        <v>0</v>
      </c>
      <c r="J79" s="6" t="n">
        <f aca="false">SUM(G79:I79)</f>
        <v>454300</v>
      </c>
      <c r="K79" s="4" t="n">
        <f aca="false">ROUND(J79/100000,2)</f>
        <v>4.54</v>
      </c>
    </row>
    <row r="80" customFormat="false" ht="15" hidden="false" customHeight="false" outlineLevel="0" collapsed="false">
      <c r="A80" s="4" t="s">
        <v>166</v>
      </c>
      <c r="B80" s="5" t="s">
        <v>175</v>
      </c>
      <c r="C80" s="5" t="s">
        <v>176</v>
      </c>
      <c r="D80" s="4" t="s">
        <v>16</v>
      </c>
      <c r="E80" s="4" t="s">
        <v>31</v>
      </c>
      <c r="F80" s="4" t="n">
        <f aca="false">COUNTIFS(Data!$C$2:$C$7199,C80,Data!$D$2:$D$7199,D80)</f>
        <v>16</v>
      </c>
      <c r="G80" s="6" t="n">
        <f aca="false">SUMIFS(Data!$L$2:$L$7199,Data!$C$2:$C$7199,$C80,Data!$D$2:$D$7199,$D80,Data!$F$2:$F$7199,"Tools &amp; Equipment")</f>
        <v>1271000</v>
      </c>
      <c r="H80" s="6" t="n">
        <f aca="false">SUMIFS(Data!$L$2:$L$7199,Data!$C$2:$C$7199,$C80,Data!$D$2:$D$7199,$D80,Data!$F$2:$F$7199,"Other Lab Items")</f>
        <v>2500</v>
      </c>
      <c r="I80" s="6" t="n">
        <f aca="false">SUMIFS(Data!$L$2:$L$7199,Data!$C$2:$C$7199,$C80,Data!$D$2:$D$7199,$D80,Data!$F$2:$F$7199,"Consumables")</f>
        <v>0</v>
      </c>
      <c r="J80" s="6" t="n">
        <f aca="false">SUM(G80:I80)</f>
        <v>1273500</v>
      </c>
      <c r="K80" s="4" t="n">
        <f aca="false">ROUND(J80/100000,2)</f>
        <v>12.74</v>
      </c>
    </row>
    <row r="81" customFormat="false" ht="23.85" hidden="false" customHeight="false" outlineLevel="0" collapsed="false">
      <c r="A81" s="4" t="s">
        <v>166</v>
      </c>
      <c r="B81" s="5" t="s">
        <v>177</v>
      </c>
      <c r="C81" s="5" t="s">
        <v>178</v>
      </c>
      <c r="D81" s="4" t="s">
        <v>16</v>
      </c>
      <c r="E81" s="4" t="s">
        <v>31</v>
      </c>
      <c r="F81" s="4" t="n">
        <f aca="false">COUNTIFS(Data!$C$2:$C$7199,C81,Data!$D$2:$D$7199,D81)</f>
        <v>39</v>
      </c>
      <c r="G81" s="6" t="n">
        <f aca="false">SUMIFS(Data!$L$2:$L$7199,Data!$C$2:$C$7199,$C81,Data!$D$2:$D$7199,$D81,Data!$F$2:$F$7199,"Tools &amp; Equipment")</f>
        <v>1448350</v>
      </c>
      <c r="H81" s="6" t="n">
        <f aca="false">SUMIFS(Data!$L$2:$L$7199,Data!$C$2:$C$7199,$C81,Data!$D$2:$D$7199,$D81,Data!$F$2:$F$7199,"Other Lab Items")</f>
        <v>55450</v>
      </c>
      <c r="I81" s="6" t="n">
        <f aca="false">SUMIFS(Data!$L$2:$L$7199,Data!$C$2:$C$7199,$C81,Data!$D$2:$D$7199,$D81,Data!$F$2:$F$7199,"Consumables")</f>
        <v>940</v>
      </c>
      <c r="J81" s="6" t="n">
        <f aca="false">SUM(G81:I81)</f>
        <v>1504740</v>
      </c>
      <c r="K81" s="4" t="n">
        <f aca="false">ROUND(J81/100000,2)</f>
        <v>15.05</v>
      </c>
    </row>
    <row r="82" customFormat="false" ht="15" hidden="false" customHeight="false" outlineLevel="0" collapsed="false">
      <c r="A82" s="4" t="s">
        <v>166</v>
      </c>
      <c r="B82" s="5" t="s">
        <v>179</v>
      </c>
      <c r="C82" s="5" t="s">
        <v>180</v>
      </c>
      <c r="D82" s="4" t="s">
        <v>22</v>
      </c>
      <c r="E82" s="4" t="s">
        <v>17</v>
      </c>
      <c r="F82" s="4" t="n">
        <f aca="false">COUNTIFS(Data!$C$2:$C$7199,C82,Data!$D$2:$D$7199,D82)</f>
        <v>21</v>
      </c>
      <c r="G82" s="6" t="n">
        <f aca="false">SUMIFS(Data!$L$2:$L$7199,Data!$C$2:$C$7199,$C82,Data!$D$2:$D$7199,$D82,Data!$F$2:$F$7199,"Tools &amp; Equipment")</f>
        <v>2889700</v>
      </c>
      <c r="H82" s="6" t="n">
        <f aca="false">SUMIFS(Data!$L$2:$L$7199,Data!$C$2:$C$7199,$C82,Data!$D$2:$D$7199,$D82,Data!$F$2:$F$7199,"Other Lab Items")</f>
        <v>0</v>
      </c>
      <c r="I82" s="6" t="n">
        <f aca="false">SUMIFS(Data!$L$2:$L$7199,Data!$C$2:$C$7199,$C82,Data!$D$2:$D$7199,$D82,Data!$F$2:$F$7199,"Consumables")</f>
        <v>350</v>
      </c>
      <c r="J82" s="6" t="n">
        <f aca="false">SUM(G82:I82)</f>
        <v>2890050</v>
      </c>
      <c r="K82" s="4" t="n">
        <f aca="false">ROUND(J82/100000,2)</f>
        <v>28.9</v>
      </c>
    </row>
    <row r="83" customFormat="false" ht="15" hidden="false" customHeight="false" outlineLevel="0" collapsed="false">
      <c r="A83" s="4" t="s">
        <v>166</v>
      </c>
      <c r="B83" s="5" t="s">
        <v>181</v>
      </c>
      <c r="C83" s="5" t="s">
        <v>182</v>
      </c>
      <c r="D83" s="4" t="s">
        <v>16</v>
      </c>
      <c r="E83" s="4" t="s">
        <v>31</v>
      </c>
      <c r="F83" s="4" t="n">
        <f aca="false">COUNTIFS(Data!$C$2:$C$7199,C83,Data!$D$2:$D$7199,D83)</f>
        <v>18</v>
      </c>
      <c r="G83" s="6" t="n">
        <f aca="false">SUMIFS(Data!$L$2:$L$7199,Data!$C$2:$C$7199,$C83,Data!$D$2:$D$7199,$D83,Data!$F$2:$F$7199,"Tools &amp; Equipment")</f>
        <v>1444500</v>
      </c>
      <c r="H83" s="6" t="n">
        <f aca="false">SUMIFS(Data!$L$2:$L$7199,Data!$C$2:$C$7199,$C83,Data!$D$2:$D$7199,$D83,Data!$F$2:$F$7199,"Other Lab Items")</f>
        <v>2500</v>
      </c>
      <c r="I83" s="6" t="n">
        <f aca="false">SUMIFS(Data!$L$2:$L$7199,Data!$C$2:$C$7199,$C83,Data!$D$2:$D$7199,$D83,Data!$F$2:$F$7199,"Consumables")</f>
        <v>0</v>
      </c>
      <c r="J83" s="6" t="n">
        <f aca="false">SUM(G83:I83)</f>
        <v>1447000</v>
      </c>
      <c r="K83" s="4" t="n">
        <f aca="false">ROUND(J83/100000,2)</f>
        <v>14.47</v>
      </c>
    </row>
    <row r="84" customFormat="false" ht="15" hidden="false" customHeight="false" outlineLevel="0" collapsed="false">
      <c r="A84" s="4" t="s">
        <v>183</v>
      </c>
      <c r="B84" s="5" t="s">
        <v>184</v>
      </c>
      <c r="C84" s="5" t="s">
        <v>185</v>
      </c>
      <c r="D84" s="4" t="s">
        <v>16</v>
      </c>
      <c r="E84" s="4" t="s">
        <v>17</v>
      </c>
      <c r="F84" s="4" t="n">
        <f aca="false">COUNTIFS(Data!$C$2:$C$7199,C84,Data!$D$2:$D$7199,D84)</f>
        <v>58</v>
      </c>
      <c r="G84" s="6" t="n">
        <f aca="false">SUMIFS(Data!$L$2:$L$7199,Data!$C$2:$C$7199,$C84,Data!$D$2:$D$7199,$D84,Data!$F$2:$F$7199,"Tools &amp; Equipment")</f>
        <v>1734980</v>
      </c>
      <c r="H84" s="6" t="n">
        <f aca="false">SUMIFS(Data!$L$2:$L$7199,Data!$C$2:$C$7199,$C84,Data!$D$2:$D$7199,$D84,Data!$F$2:$F$7199,"Other Lab Items")</f>
        <v>260070</v>
      </c>
      <c r="I84" s="6" t="n">
        <f aca="false">SUMIFS(Data!$L$2:$L$7199,Data!$C$2:$C$7199,$C84,Data!$D$2:$D$7199,$D84,Data!$F$2:$F$7199,"Consumables")</f>
        <v>1200</v>
      </c>
      <c r="J84" s="6" t="n">
        <f aca="false">SUM(G84:I84)</f>
        <v>1996250</v>
      </c>
      <c r="K84" s="4" t="n">
        <f aca="false">ROUND(J84/100000,2)</f>
        <v>19.96</v>
      </c>
    </row>
    <row r="85" customFormat="false" ht="23.85" hidden="false" customHeight="false" outlineLevel="0" collapsed="false">
      <c r="A85" s="4" t="s">
        <v>183</v>
      </c>
      <c r="B85" s="5" t="s">
        <v>186</v>
      </c>
      <c r="C85" s="5" t="s">
        <v>187</v>
      </c>
      <c r="D85" s="4" t="s">
        <v>16</v>
      </c>
      <c r="E85" s="4" t="s">
        <v>17</v>
      </c>
      <c r="F85" s="4" t="n">
        <f aca="false">COUNTIFS(Data!$C$2:$C$7199,C85,Data!$D$2:$D$7199,D85)</f>
        <v>56</v>
      </c>
      <c r="G85" s="6" t="n">
        <f aca="false">SUMIFS(Data!$L$2:$L$7199,Data!$C$2:$C$7199,$C85,Data!$D$2:$D$7199,$D85,Data!$F$2:$F$7199,"Tools &amp; Equipment")</f>
        <v>149900</v>
      </c>
      <c r="H85" s="6" t="n">
        <f aca="false">SUMIFS(Data!$L$2:$L$7199,Data!$C$2:$C$7199,$C85,Data!$D$2:$D$7199,$D85,Data!$F$2:$F$7199,"Other Lab Items")</f>
        <v>126490</v>
      </c>
      <c r="I85" s="6" t="n">
        <f aca="false">SUMIFS(Data!$L$2:$L$7199,Data!$C$2:$C$7199,$C85,Data!$D$2:$D$7199,$D85,Data!$F$2:$F$7199,"Consumables")</f>
        <v>1350</v>
      </c>
      <c r="J85" s="6" t="n">
        <f aca="false">SUM(G85:I85)</f>
        <v>277740</v>
      </c>
      <c r="K85" s="4" t="n">
        <f aca="false">ROUND(J85/100000,2)</f>
        <v>2.78</v>
      </c>
    </row>
    <row r="86" customFormat="false" ht="23.85" hidden="false" customHeight="false" outlineLevel="0" collapsed="false">
      <c r="A86" s="4" t="s">
        <v>183</v>
      </c>
      <c r="B86" s="5" t="s">
        <v>188</v>
      </c>
      <c r="C86" s="5" t="s">
        <v>189</v>
      </c>
      <c r="D86" s="4" t="s">
        <v>22</v>
      </c>
      <c r="E86" s="4" t="s">
        <v>17</v>
      </c>
      <c r="F86" s="4" t="n">
        <f aca="false">COUNTIFS(Data!$C$2:$C$7199,C86,Data!$D$2:$D$7199,D86)</f>
        <v>78</v>
      </c>
      <c r="G86" s="6" t="n">
        <f aca="false">SUMIFS(Data!$L$2:$L$7199,Data!$C$2:$C$7199,$C86,Data!$D$2:$D$7199,$D86,Data!$F$2:$F$7199,"Tools &amp; Equipment")</f>
        <v>302430</v>
      </c>
      <c r="H86" s="6" t="n">
        <f aca="false">SUMIFS(Data!$L$2:$L$7199,Data!$C$2:$C$7199,$C86,Data!$D$2:$D$7199,$D86,Data!$F$2:$F$7199,"Other Lab Items")</f>
        <v>114090</v>
      </c>
      <c r="I86" s="6" t="n">
        <f aca="false">SUMIFS(Data!$L$2:$L$7199,Data!$C$2:$C$7199,$C86,Data!$D$2:$D$7199,$D86,Data!$F$2:$F$7199,"Consumables")</f>
        <v>4725</v>
      </c>
      <c r="J86" s="6" t="n">
        <f aca="false">SUM(G86:I86)</f>
        <v>421245</v>
      </c>
      <c r="K86" s="4" t="n">
        <f aca="false">ROUND(J86/100000,2)</f>
        <v>4.21</v>
      </c>
    </row>
    <row r="87" customFormat="false" ht="15" hidden="false" customHeight="false" outlineLevel="0" collapsed="false">
      <c r="A87" s="4" t="s">
        <v>183</v>
      </c>
      <c r="B87" s="5" t="s">
        <v>190</v>
      </c>
      <c r="C87" s="5" t="s">
        <v>191</v>
      </c>
      <c r="D87" s="4" t="s">
        <v>16</v>
      </c>
      <c r="E87" s="4" t="s">
        <v>17</v>
      </c>
      <c r="F87" s="4" t="n">
        <f aca="false">COUNTIFS(Data!$C$2:$C$7199,C87,Data!$D$2:$D$7199,D87)</f>
        <v>20</v>
      </c>
      <c r="G87" s="6" t="n">
        <f aca="false">SUMIFS(Data!$L$2:$L$7199,Data!$C$2:$C$7199,$C87,Data!$D$2:$D$7199,$D87,Data!$F$2:$F$7199,"Tools &amp; Equipment")</f>
        <v>562640</v>
      </c>
      <c r="H87" s="6" t="n">
        <f aca="false">SUMIFS(Data!$L$2:$L$7199,Data!$C$2:$C$7199,$C87,Data!$D$2:$D$7199,$D87,Data!$F$2:$F$7199,"Other Lab Items")</f>
        <v>2500</v>
      </c>
      <c r="I87" s="6" t="n">
        <f aca="false">SUMIFS(Data!$L$2:$L$7199,Data!$C$2:$C$7199,$C87,Data!$D$2:$D$7199,$D87,Data!$F$2:$F$7199,"Consumables")</f>
        <v>1730</v>
      </c>
      <c r="J87" s="6" t="n">
        <f aca="false">SUM(G87:I87)</f>
        <v>566870</v>
      </c>
      <c r="K87" s="4" t="n">
        <f aca="false">ROUND(J87/100000,2)</f>
        <v>5.67</v>
      </c>
    </row>
    <row r="88" customFormat="false" ht="15" hidden="false" customHeight="false" outlineLevel="0" collapsed="false">
      <c r="A88" s="4" t="s">
        <v>183</v>
      </c>
      <c r="B88" s="5" t="s">
        <v>192</v>
      </c>
      <c r="C88" s="5" t="s">
        <v>193</v>
      </c>
      <c r="D88" s="4" t="s">
        <v>16</v>
      </c>
      <c r="E88" s="4" t="s">
        <v>17</v>
      </c>
      <c r="F88" s="4" t="n">
        <f aca="false">COUNTIFS(Data!$C$2:$C$7199,C88,Data!$D$2:$D$7199,D88)</f>
        <v>31</v>
      </c>
      <c r="G88" s="6" t="n">
        <f aca="false">SUMIFS(Data!$L$2:$L$7199,Data!$C$2:$C$7199,$C88,Data!$D$2:$D$7199,$D88,Data!$F$2:$F$7199,"Tools &amp; Equipment")</f>
        <v>44810</v>
      </c>
      <c r="H88" s="6" t="n">
        <f aca="false">SUMIFS(Data!$L$2:$L$7199,Data!$C$2:$C$7199,$C88,Data!$D$2:$D$7199,$D88,Data!$F$2:$F$7199,"Other Lab Items")</f>
        <v>0</v>
      </c>
      <c r="I88" s="6" t="n">
        <f aca="false">SUMIFS(Data!$L$2:$L$7199,Data!$C$2:$C$7199,$C88,Data!$D$2:$D$7199,$D88,Data!$F$2:$F$7199,"Consumables")</f>
        <v>47770</v>
      </c>
      <c r="J88" s="6" t="n">
        <f aca="false">SUM(G88:I88)</f>
        <v>92580</v>
      </c>
      <c r="K88" s="4" t="n">
        <f aca="false">ROUND(J88/100000,2)</f>
        <v>0.93</v>
      </c>
    </row>
    <row r="89" customFormat="false" ht="15" hidden="false" customHeight="false" outlineLevel="0" collapsed="false">
      <c r="A89" s="4" t="s">
        <v>194</v>
      </c>
      <c r="B89" s="5" t="s">
        <v>195</v>
      </c>
      <c r="C89" s="5" t="s">
        <v>196</v>
      </c>
      <c r="D89" s="4" t="s">
        <v>16</v>
      </c>
      <c r="E89" s="4" t="s">
        <v>17</v>
      </c>
      <c r="F89" s="4" t="n">
        <f aca="false">COUNTIFS(Data!$C$2:$C$7199,C89,Data!$D$2:$D$7199,D89)</f>
        <v>80</v>
      </c>
      <c r="G89" s="6" t="n">
        <f aca="false">SUMIFS(Data!$L$2:$L$7199,Data!$C$2:$C$7199,$C89,Data!$D$2:$D$7199,$D89,Data!$F$2:$F$7199,"Tools &amp; Equipment")</f>
        <v>4534550</v>
      </c>
      <c r="H89" s="6" t="n">
        <f aca="false">SUMIFS(Data!$L$2:$L$7199,Data!$C$2:$C$7199,$C89,Data!$D$2:$D$7199,$D89,Data!$F$2:$F$7199,"Other Lab Items")</f>
        <v>225300</v>
      </c>
      <c r="I89" s="6" t="n">
        <f aca="false">SUMIFS(Data!$L$2:$L$7199,Data!$C$2:$C$7199,$C89,Data!$D$2:$D$7199,$D89,Data!$F$2:$F$7199,"Consumables")</f>
        <v>1100</v>
      </c>
      <c r="J89" s="6" t="n">
        <f aca="false">SUM(G89:I89)</f>
        <v>4760950</v>
      </c>
      <c r="K89" s="4" t="n">
        <f aca="false">ROUND(J89/100000,2)</f>
        <v>47.61</v>
      </c>
    </row>
    <row r="90" customFormat="false" ht="15" hidden="false" customHeight="false" outlineLevel="0" collapsed="false">
      <c r="A90" s="4" t="s">
        <v>194</v>
      </c>
      <c r="B90" s="5" t="s">
        <v>197</v>
      </c>
      <c r="C90" s="5" t="s">
        <v>198</v>
      </c>
      <c r="D90" s="4" t="s">
        <v>16</v>
      </c>
      <c r="E90" s="4" t="s">
        <v>17</v>
      </c>
      <c r="F90" s="4" t="n">
        <f aca="false">COUNTIFS(Data!$C$2:$C$7199,C90,Data!$D$2:$D$7199,D90)</f>
        <v>54</v>
      </c>
      <c r="G90" s="6" t="n">
        <f aca="false">SUMIFS(Data!$L$2:$L$7199,Data!$C$2:$C$7199,$C90,Data!$D$2:$D$7199,$D90,Data!$F$2:$F$7199,"Tools &amp; Equipment")</f>
        <v>570250</v>
      </c>
      <c r="H90" s="6" t="n">
        <f aca="false">SUMIFS(Data!$L$2:$L$7199,Data!$C$2:$C$7199,$C90,Data!$D$2:$D$7199,$D90,Data!$F$2:$F$7199,"Other Lab Items")</f>
        <v>423350</v>
      </c>
      <c r="I90" s="6" t="n">
        <f aca="false">SUMIFS(Data!$L$2:$L$7199,Data!$C$2:$C$7199,$C90,Data!$D$2:$D$7199,$D90,Data!$F$2:$F$7199,"Consumables")</f>
        <v>46100</v>
      </c>
      <c r="J90" s="6" t="n">
        <f aca="false">SUM(G90:I90)</f>
        <v>1039700</v>
      </c>
      <c r="K90" s="4" t="n">
        <f aca="false">ROUND(J90/100000,2)</f>
        <v>10.4</v>
      </c>
    </row>
    <row r="91" customFormat="false" ht="15" hidden="false" customHeight="false" outlineLevel="0" collapsed="false">
      <c r="A91" s="4" t="s">
        <v>194</v>
      </c>
      <c r="B91" s="5" t="s">
        <v>199</v>
      </c>
      <c r="C91" s="5" t="s">
        <v>200</v>
      </c>
      <c r="D91" s="4" t="s">
        <v>16</v>
      </c>
      <c r="E91" s="4" t="s">
        <v>31</v>
      </c>
      <c r="F91" s="4" t="n">
        <f aca="false">COUNTIFS(Data!$C$2:$C$7199,C91,Data!$D$2:$D$7199,D91)</f>
        <v>68</v>
      </c>
      <c r="G91" s="6" t="n">
        <f aca="false">SUMIFS(Data!$L$2:$L$7199,Data!$C$2:$C$7199,$C91,Data!$D$2:$D$7199,$D91,Data!$F$2:$F$7199,"Tools &amp; Equipment")</f>
        <v>3347850</v>
      </c>
      <c r="H91" s="6" t="n">
        <f aca="false">SUMIFS(Data!$L$2:$L$7199,Data!$C$2:$C$7199,$C91,Data!$D$2:$D$7199,$D91,Data!$F$2:$F$7199,"Other Lab Items")</f>
        <v>254500</v>
      </c>
      <c r="I91" s="6" t="n">
        <f aca="false">SUMIFS(Data!$L$2:$L$7199,Data!$C$2:$C$7199,$C91,Data!$D$2:$D$7199,$D91,Data!$F$2:$F$7199,"Consumables")</f>
        <v>56225</v>
      </c>
      <c r="J91" s="6" t="n">
        <f aca="false">SUM(G91:I91)</f>
        <v>3658575</v>
      </c>
      <c r="K91" s="4" t="n">
        <f aca="false">ROUND(J91/100000,2)</f>
        <v>36.59</v>
      </c>
    </row>
    <row r="92" customFormat="false" ht="15" hidden="false" customHeight="false" outlineLevel="0" collapsed="false">
      <c r="A92" s="4" t="s">
        <v>194</v>
      </c>
      <c r="B92" s="5" t="s">
        <v>201</v>
      </c>
      <c r="C92" s="5" t="s">
        <v>202</v>
      </c>
      <c r="D92" s="4" t="s">
        <v>16</v>
      </c>
      <c r="E92" s="4" t="s">
        <v>17</v>
      </c>
      <c r="F92" s="4" t="n">
        <f aca="false">COUNTIFS(Data!$C$2:$C$7199,C92,Data!$D$2:$D$7199,D92)</f>
        <v>65</v>
      </c>
      <c r="G92" s="6" t="n">
        <f aca="false">SUMIFS(Data!$L$2:$L$7199,Data!$C$2:$C$7199,$C92,Data!$D$2:$D$7199,$D92,Data!$F$2:$F$7199,"Tools &amp; Equipment")</f>
        <v>1039450</v>
      </c>
      <c r="H92" s="6" t="n">
        <f aca="false">SUMIFS(Data!$L$2:$L$7199,Data!$C$2:$C$7199,$C92,Data!$D$2:$D$7199,$D92,Data!$F$2:$F$7199,"Other Lab Items")</f>
        <v>589750</v>
      </c>
      <c r="I92" s="6" t="n">
        <f aca="false">SUMIFS(Data!$L$2:$L$7199,Data!$C$2:$C$7199,$C92,Data!$D$2:$D$7199,$D92,Data!$F$2:$F$7199,"Consumables")</f>
        <v>23110</v>
      </c>
      <c r="J92" s="6" t="n">
        <f aca="false">SUM(G92:I92)</f>
        <v>1652310</v>
      </c>
      <c r="K92" s="4" t="n">
        <f aca="false">ROUND(J92/100000,2)</f>
        <v>16.52</v>
      </c>
    </row>
    <row r="93" customFormat="false" ht="15" hidden="false" customHeight="false" outlineLevel="0" collapsed="false">
      <c r="A93" s="4" t="s">
        <v>203</v>
      </c>
      <c r="B93" s="5" t="s">
        <v>204</v>
      </c>
      <c r="C93" s="5" t="s">
        <v>205</v>
      </c>
      <c r="D93" s="4" t="s">
        <v>16</v>
      </c>
      <c r="E93" s="4" t="s">
        <v>31</v>
      </c>
      <c r="F93" s="4" t="n">
        <f aca="false">COUNTIFS(Data!$C$2:$C$7199,C93,Data!$D$2:$D$7199,D93)</f>
        <v>68</v>
      </c>
      <c r="G93" s="6" t="n">
        <f aca="false">SUMIFS(Data!$L$2:$L$7199,Data!$C$2:$C$7199,$C93,Data!$D$2:$D$7199,$D93,Data!$F$2:$F$7199,"Tools &amp; Equipment")</f>
        <v>217390</v>
      </c>
      <c r="H93" s="6" t="n">
        <f aca="false">SUMIFS(Data!$L$2:$L$7199,Data!$C$2:$C$7199,$C93,Data!$D$2:$D$7199,$D93,Data!$F$2:$F$7199,"Other Lab Items")</f>
        <v>325800</v>
      </c>
      <c r="I93" s="6" t="n">
        <f aca="false">SUMIFS(Data!$L$2:$L$7199,Data!$C$2:$C$7199,$C93,Data!$D$2:$D$7199,$D93,Data!$F$2:$F$7199,"Consumables")</f>
        <v>2850</v>
      </c>
      <c r="J93" s="6" t="n">
        <f aca="false">SUM(G93:I93)</f>
        <v>546040</v>
      </c>
      <c r="K93" s="4" t="n">
        <f aca="false">ROUND(J93/100000,2)</f>
        <v>5.46</v>
      </c>
    </row>
    <row r="94" customFormat="false" ht="15" hidden="false" customHeight="false" outlineLevel="0" collapsed="false">
      <c r="A94" s="4" t="s">
        <v>203</v>
      </c>
      <c r="B94" s="5" t="s">
        <v>206</v>
      </c>
      <c r="C94" s="5" t="s">
        <v>207</v>
      </c>
      <c r="D94" s="4" t="s">
        <v>16</v>
      </c>
      <c r="E94" s="4" t="s">
        <v>17</v>
      </c>
      <c r="F94" s="4" t="n">
        <f aca="false">COUNTIFS(Data!$C$2:$C$7199,C94,Data!$D$2:$D$7199,D94)</f>
        <v>100</v>
      </c>
      <c r="G94" s="6" t="n">
        <f aca="false">SUMIFS(Data!$L$2:$L$7199,Data!$C$2:$C$7199,$C94,Data!$D$2:$D$7199,$D94,Data!$F$2:$F$7199,"Tools &amp; Equipment")</f>
        <v>104790</v>
      </c>
      <c r="H94" s="6" t="n">
        <f aca="false">SUMIFS(Data!$L$2:$L$7199,Data!$C$2:$C$7199,$C94,Data!$D$2:$D$7199,$D94,Data!$F$2:$F$7199,"Other Lab Items")</f>
        <v>183790</v>
      </c>
      <c r="I94" s="6" t="n">
        <f aca="false">SUMIFS(Data!$L$2:$L$7199,Data!$C$2:$C$7199,$C94,Data!$D$2:$D$7199,$D94,Data!$F$2:$F$7199,"Consumables")</f>
        <v>5945</v>
      </c>
      <c r="J94" s="6" t="n">
        <f aca="false">SUM(G94:I94)</f>
        <v>294525</v>
      </c>
      <c r="K94" s="4" t="n">
        <f aca="false">ROUND(J94/100000,2)</f>
        <v>2.95</v>
      </c>
    </row>
    <row r="95" customFormat="false" ht="15" hidden="false" customHeight="false" outlineLevel="0" collapsed="false">
      <c r="A95" s="4" t="s">
        <v>203</v>
      </c>
      <c r="B95" s="5" t="s">
        <v>208</v>
      </c>
      <c r="C95" s="5" t="s">
        <v>209</v>
      </c>
      <c r="D95" s="4" t="s">
        <v>22</v>
      </c>
      <c r="E95" s="4" t="s">
        <v>31</v>
      </c>
      <c r="F95" s="4" t="n">
        <f aca="false">COUNTIFS(Data!$C$2:$C$7199,C95,Data!$D$2:$D$7199,D95)</f>
        <v>96</v>
      </c>
      <c r="G95" s="6" t="n">
        <f aca="false">SUMIFS(Data!$L$2:$L$7199,Data!$C$2:$C$7199,$C95,Data!$D$2:$D$7199,$D95,Data!$F$2:$F$7199,"Tools &amp; Equipment")</f>
        <v>68450</v>
      </c>
      <c r="H95" s="6" t="n">
        <f aca="false">SUMIFS(Data!$L$2:$L$7199,Data!$C$2:$C$7199,$C95,Data!$D$2:$D$7199,$D95,Data!$F$2:$F$7199,"Other Lab Items")</f>
        <v>220070</v>
      </c>
      <c r="I95" s="6" t="n">
        <f aca="false">SUMIFS(Data!$L$2:$L$7199,Data!$C$2:$C$7199,$C95,Data!$D$2:$D$7199,$D95,Data!$F$2:$F$7199,"Consumables")</f>
        <v>3245</v>
      </c>
      <c r="J95" s="6" t="n">
        <f aca="false">SUM(G95:I95)</f>
        <v>291765</v>
      </c>
      <c r="K95" s="4" t="n">
        <f aca="false">ROUND(J95/100000,2)</f>
        <v>2.92</v>
      </c>
    </row>
    <row r="96" customFormat="false" ht="23.85" hidden="false" customHeight="false" outlineLevel="0" collapsed="false">
      <c r="A96" s="4" t="s">
        <v>203</v>
      </c>
      <c r="B96" s="5" t="s">
        <v>210</v>
      </c>
      <c r="C96" s="5" t="s">
        <v>211</v>
      </c>
      <c r="D96" s="4" t="s">
        <v>16</v>
      </c>
      <c r="E96" s="4" t="s">
        <v>17</v>
      </c>
      <c r="F96" s="4" t="n">
        <f aca="false">COUNTIFS(Data!$C$2:$C$7199,C96,Data!$D$2:$D$7199,D96)</f>
        <v>54</v>
      </c>
      <c r="G96" s="6" t="n">
        <f aca="false">SUMIFS(Data!$L$2:$L$7199,Data!$C$2:$C$7199,$C96,Data!$D$2:$D$7199,$D96,Data!$F$2:$F$7199,"Tools &amp; Equipment")</f>
        <v>114660</v>
      </c>
      <c r="H96" s="6" t="n">
        <f aca="false">SUMIFS(Data!$L$2:$L$7199,Data!$C$2:$C$7199,$C96,Data!$D$2:$D$7199,$D96,Data!$F$2:$F$7199,"Other Lab Items")</f>
        <v>172350</v>
      </c>
      <c r="I96" s="6" t="n">
        <f aca="false">SUMIFS(Data!$L$2:$L$7199,Data!$C$2:$C$7199,$C96,Data!$D$2:$D$7199,$D96,Data!$F$2:$F$7199,"Consumables")</f>
        <v>1685</v>
      </c>
      <c r="J96" s="6" t="n">
        <f aca="false">SUM(G96:I96)</f>
        <v>288695</v>
      </c>
      <c r="K96" s="4" t="n">
        <f aca="false">ROUND(J96/100000,2)</f>
        <v>2.89</v>
      </c>
    </row>
    <row r="97" customFormat="false" ht="15" hidden="false" customHeight="false" outlineLevel="0" collapsed="false">
      <c r="A97" s="4" t="s">
        <v>203</v>
      </c>
      <c r="B97" s="5" t="s">
        <v>212</v>
      </c>
      <c r="C97" s="5" t="s">
        <v>213</v>
      </c>
      <c r="D97" s="4" t="s">
        <v>16</v>
      </c>
      <c r="E97" s="4" t="s">
        <v>31</v>
      </c>
      <c r="F97" s="4" t="n">
        <f aca="false">COUNTIFS(Data!$C$2:$C$7199,C97,Data!$D$2:$D$7199,D97)</f>
        <v>47</v>
      </c>
      <c r="G97" s="6" t="n">
        <f aca="false">SUMIFS(Data!$L$2:$L$7199,Data!$C$2:$C$7199,$C97,Data!$D$2:$D$7199,$D97,Data!$F$2:$F$7199,"Tools &amp; Equipment")</f>
        <v>264750</v>
      </c>
      <c r="H97" s="6" t="n">
        <f aca="false">SUMIFS(Data!$L$2:$L$7199,Data!$C$2:$C$7199,$C97,Data!$D$2:$D$7199,$D97,Data!$F$2:$F$7199,"Other Lab Items")</f>
        <v>506120</v>
      </c>
      <c r="I97" s="6" t="n">
        <f aca="false">SUMIFS(Data!$L$2:$L$7199,Data!$C$2:$C$7199,$C97,Data!$D$2:$D$7199,$D97,Data!$F$2:$F$7199,"Consumables")</f>
        <v>695</v>
      </c>
      <c r="J97" s="6" t="n">
        <f aca="false">SUM(G97:I97)</f>
        <v>771565</v>
      </c>
      <c r="K97" s="4" t="n">
        <f aca="false">ROUND(J97/100000,2)</f>
        <v>7.72</v>
      </c>
    </row>
    <row r="98" customFormat="false" ht="15" hidden="false" customHeight="false" outlineLevel="0" collapsed="false">
      <c r="A98" s="4" t="s">
        <v>203</v>
      </c>
      <c r="B98" s="5" t="s">
        <v>214</v>
      </c>
      <c r="C98" s="5" t="s">
        <v>215</v>
      </c>
      <c r="D98" s="4" t="s">
        <v>16</v>
      </c>
      <c r="E98" s="4" t="s">
        <v>31</v>
      </c>
      <c r="F98" s="4" t="n">
        <f aca="false">COUNTIFS(Data!$C$2:$C$7199,C98,Data!$D$2:$D$7199,D98)</f>
        <v>30</v>
      </c>
      <c r="G98" s="6" t="n">
        <f aca="false">SUMIFS(Data!$L$2:$L$7199,Data!$C$2:$C$7199,$C98,Data!$D$2:$D$7199,$D98,Data!$F$2:$F$7199,"Tools &amp; Equipment")</f>
        <v>5200</v>
      </c>
      <c r="H98" s="6" t="n">
        <f aca="false">SUMIFS(Data!$L$2:$L$7199,Data!$C$2:$C$7199,$C98,Data!$D$2:$D$7199,$D98,Data!$F$2:$F$7199,"Other Lab Items")</f>
        <v>80200</v>
      </c>
      <c r="I98" s="6" t="n">
        <f aca="false">SUMIFS(Data!$L$2:$L$7199,Data!$C$2:$C$7199,$C98,Data!$D$2:$D$7199,$D98,Data!$F$2:$F$7199,"Consumables")</f>
        <v>1445</v>
      </c>
      <c r="J98" s="6" t="n">
        <f aca="false">SUM(G98:I98)</f>
        <v>86845</v>
      </c>
      <c r="K98" s="4" t="n">
        <f aca="false">ROUND(J98/100000,2)</f>
        <v>0.87</v>
      </c>
    </row>
    <row r="99" customFormat="false" ht="15" hidden="false" customHeight="false" outlineLevel="0" collapsed="false">
      <c r="A99" s="4" t="s">
        <v>216</v>
      </c>
      <c r="B99" s="5" t="s">
        <v>217</v>
      </c>
      <c r="C99" s="5" t="s">
        <v>218</v>
      </c>
      <c r="D99" s="4" t="s">
        <v>16</v>
      </c>
      <c r="E99" s="4" t="s">
        <v>17</v>
      </c>
      <c r="F99" s="4" t="n">
        <f aca="false">COUNTIFS(Data!$C$2:$C$7199,C99,Data!$D$2:$D$7199,D99)</f>
        <v>81</v>
      </c>
      <c r="G99" s="6" t="n">
        <f aca="false">SUMIFS(Data!$L$2:$L$7199,Data!$C$2:$C$7199,$C99,Data!$D$2:$D$7199,$D99,Data!$F$2:$F$7199,"Tools &amp; Equipment")</f>
        <v>117150</v>
      </c>
      <c r="H99" s="6" t="n">
        <f aca="false">SUMIFS(Data!$L$2:$L$7199,Data!$C$2:$C$7199,$C99,Data!$D$2:$D$7199,$D99,Data!$F$2:$F$7199,"Other Lab Items")</f>
        <v>273470</v>
      </c>
      <c r="I99" s="6" t="n">
        <f aca="false">SUMIFS(Data!$L$2:$L$7199,Data!$C$2:$C$7199,$C99,Data!$D$2:$D$7199,$D99,Data!$F$2:$F$7199,"Consumables")</f>
        <v>4615</v>
      </c>
      <c r="J99" s="6" t="n">
        <f aca="false">SUM(G99:I99)</f>
        <v>395235</v>
      </c>
      <c r="K99" s="4" t="n">
        <f aca="false">ROUND(J99/100000,2)</f>
        <v>3.95</v>
      </c>
    </row>
    <row r="100" customFormat="false" ht="23.85" hidden="false" customHeight="false" outlineLevel="0" collapsed="false">
      <c r="A100" s="4" t="s">
        <v>216</v>
      </c>
      <c r="B100" s="5" t="s">
        <v>219</v>
      </c>
      <c r="C100" s="5" t="s">
        <v>220</v>
      </c>
      <c r="D100" s="4" t="s">
        <v>16</v>
      </c>
      <c r="E100" s="4" t="s">
        <v>17</v>
      </c>
      <c r="F100" s="4" t="n">
        <f aca="false">COUNTIFS(Data!$C$2:$C$7199,C100,Data!$D$2:$D$7199,D100)</f>
        <v>55</v>
      </c>
      <c r="G100" s="6" t="n">
        <f aca="false">SUMIFS(Data!$L$2:$L$7199,Data!$C$2:$C$7199,$C100,Data!$D$2:$D$7199,$D100,Data!$F$2:$F$7199,"Tools &amp; Equipment")</f>
        <v>312850</v>
      </c>
      <c r="H100" s="6" t="n">
        <f aca="false">SUMIFS(Data!$L$2:$L$7199,Data!$C$2:$C$7199,$C100,Data!$D$2:$D$7199,$D100,Data!$F$2:$F$7199,"Other Lab Items")</f>
        <v>158550</v>
      </c>
      <c r="I100" s="6" t="n">
        <f aca="false">SUMIFS(Data!$L$2:$L$7199,Data!$C$2:$C$7199,$C100,Data!$D$2:$D$7199,$D100,Data!$F$2:$F$7199,"Consumables")</f>
        <v>12720</v>
      </c>
      <c r="J100" s="6" t="n">
        <f aca="false">SUM(G100:I100)</f>
        <v>484120</v>
      </c>
      <c r="K100" s="4" t="n">
        <f aca="false">ROUND(J100/100000,2)</f>
        <v>4.84</v>
      </c>
    </row>
    <row r="101" customFormat="false" ht="15" hidden="false" customHeight="false" outlineLevel="0" collapsed="false">
      <c r="A101" s="4" t="s">
        <v>221</v>
      </c>
      <c r="B101" s="5" t="s">
        <v>222</v>
      </c>
      <c r="C101" s="5" t="s">
        <v>223</v>
      </c>
      <c r="D101" s="4" t="s">
        <v>22</v>
      </c>
      <c r="E101" s="4" t="s">
        <v>17</v>
      </c>
      <c r="F101" s="4" t="n">
        <f aca="false">COUNTIFS(Data!$C$2:$C$7199,C101,Data!$D$2:$D$7199,D101)</f>
        <v>12</v>
      </c>
      <c r="G101" s="6" t="n">
        <f aca="false">SUMIFS(Data!$L$2:$L$7199,Data!$C$2:$C$7199,$C101,Data!$D$2:$D$7199,$D101,Data!$F$2:$F$7199,"Tools &amp; Equipment")</f>
        <v>0</v>
      </c>
      <c r="H101" s="6" t="n">
        <f aca="false">SUMIFS(Data!$L$2:$L$7199,Data!$C$2:$C$7199,$C101,Data!$D$2:$D$7199,$D101,Data!$F$2:$F$7199,"Other Lab Items")</f>
        <v>2034700</v>
      </c>
      <c r="I101" s="6" t="n">
        <f aca="false">SUMIFS(Data!$L$2:$L$7199,Data!$C$2:$C$7199,$C101,Data!$D$2:$D$7199,$D101,Data!$F$2:$F$7199,"Consumables")</f>
        <v>25</v>
      </c>
      <c r="J101" s="6" t="n">
        <f aca="false">SUM(G101:I101)</f>
        <v>2034725</v>
      </c>
      <c r="K101" s="4" t="n">
        <f aca="false">ROUND(J101/100000,2)</f>
        <v>20.35</v>
      </c>
    </row>
    <row r="102" customFormat="false" ht="15" hidden="false" customHeight="false" outlineLevel="0" collapsed="false">
      <c r="A102" s="4" t="s">
        <v>221</v>
      </c>
      <c r="B102" s="5" t="s">
        <v>224</v>
      </c>
      <c r="C102" s="5" t="s">
        <v>225</v>
      </c>
      <c r="D102" s="4" t="s">
        <v>16</v>
      </c>
      <c r="E102" s="4" t="s">
        <v>17</v>
      </c>
      <c r="F102" s="4" t="n">
        <f aca="false">COUNTIFS(Data!$C$2:$C$7199,C102,Data!$D$2:$D$7199,D102)</f>
        <v>12</v>
      </c>
      <c r="G102" s="6" t="n">
        <f aca="false">SUMIFS(Data!$L$2:$L$7199,Data!$C$2:$C$7199,$C102,Data!$D$2:$D$7199,$D102,Data!$F$2:$F$7199,"Tools &amp; Equipment")</f>
        <v>0</v>
      </c>
      <c r="H102" s="6" t="n">
        <f aca="false">SUMIFS(Data!$L$2:$L$7199,Data!$C$2:$C$7199,$C102,Data!$D$2:$D$7199,$D102,Data!$F$2:$F$7199,"Other Lab Items")</f>
        <v>2034700</v>
      </c>
      <c r="I102" s="6" t="n">
        <f aca="false">SUMIFS(Data!$L$2:$L$7199,Data!$C$2:$C$7199,$C102,Data!$D$2:$D$7199,$D102,Data!$F$2:$F$7199,"Consumables")</f>
        <v>25</v>
      </c>
      <c r="J102" s="6" t="n">
        <f aca="false">SUM(G102:I102)</f>
        <v>2034725</v>
      </c>
      <c r="K102" s="4" t="n">
        <f aca="false">ROUND(J102/100000,2)</f>
        <v>20.35</v>
      </c>
    </row>
    <row r="103" customFormat="false" ht="15" hidden="false" customHeight="false" outlineLevel="0" collapsed="false">
      <c r="A103" s="4" t="s">
        <v>221</v>
      </c>
      <c r="B103" s="5" t="s">
        <v>226</v>
      </c>
      <c r="C103" s="5" t="s">
        <v>227</v>
      </c>
      <c r="D103" s="4" t="s">
        <v>22</v>
      </c>
      <c r="E103" s="4" t="s">
        <v>17</v>
      </c>
      <c r="F103" s="4" t="n">
        <f aca="false">COUNTIFS(Data!$C$2:$C$7199,C103,Data!$D$2:$D$7199,D103)</f>
        <v>12</v>
      </c>
      <c r="G103" s="6" t="n">
        <f aca="false">SUMIFS(Data!$L$2:$L$7199,Data!$C$2:$C$7199,$C103,Data!$D$2:$D$7199,$D103,Data!$F$2:$F$7199,"Tools &amp; Equipment")</f>
        <v>0</v>
      </c>
      <c r="H103" s="6" t="n">
        <f aca="false">SUMIFS(Data!$L$2:$L$7199,Data!$C$2:$C$7199,$C103,Data!$D$2:$D$7199,$D103,Data!$F$2:$F$7199,"Other Lab Items")</f>
        <v>2034700</v>
      </c>
      <c r="I103" s="6" t="n">
        <f aca="false">SUMIFS(Data!$L$2:$L$7199,Data!$C$2:$C$7199,$C103,Data!$D$2:$D$7199,$D103,Data!$F$2:$F$7199,"Consumables")</f>
        <v>25</v>
      </c>
      <c r="J103" s="6" t="n">
        <f aca="false">SUM(G103:I103)</f>
        <v>2034725</v>
      </c>
      <c r="K103" s="4" t="n">
        <f aca="false">ROUND(J103/100000,2)</f>
        <v>20.35</v>
      </c>
    </row>
    <row r="104" customFormat="false" ht="23.85" hidden="false" customHeight="false" outlineLevel="0" collapsed="false">
      <c r="A104" s="4" t="s">
        <v>221</v>
      </c>
      <c r="B104" s="5" t="s">
        <v>228</v>
      </c>
      <c r="C104" s="5" t="s">
        <v>229</v>
      </c>
      <c r="D104" s="4" t="s">
        <v>22</v>
      </c>
      <c r="E104" s="4" t="s">
        <v>17</v>
      </c>
      <c r="F104" s="4" t="n">
        <f aca="false">COUNTIFS(Data!$C$2:$C$7199,C104,Data!$D$2:$D$7199,D104)</f>
        <v>17</v>
      </c>
      <c r="G104" s="6" t="n">
        <f aca="false">SUMIFS(Data!$L$2:$L$7199,Data!$C$2:$C$7199,$C104,Data!$D$2:$D$7199,$D104,Data!$F$2:$F$7199,"Tools &amp; Equipment")</f>
        <v>12000</v>
      </c>
      <c r="H104" s="6" t="n">
        <f aca="false">SUMIFS(Data!$L$2:$L$7199,Data!$C$2:$C$7199,$C104,Data!$D$2:$D$7199,$D104,Data!$F$2:$F$7199,"Other Lab Items")</f>
        <v>1483200</v>
      </c>
      <c r="I104" s="6" t="n">
        <f aca="false">SUMIFS(Data!$L$2:$L$7199,Data!$C$2:$C$7199,$C104,Data!$D$2:$D$7199,$D104,Data!$F$2:$F$7199,"Consumables")</f>
        <v>265</v>
      </c>
      <c r="J104" s="6" t="n">
        <f aca="false">SUM(G104:I104)</f>
        <v>1495465</v>
      </c>
      <c r="K104" s="4" t="n">
        <f aca="false">ROUND(J104/100000,2)</f>
        <v>14.95</v>
      </c>
    </row>
    <row r="105" customFormat="false" ht="15" hidden="false" customHeight="false" outlineLevel="0" collapsed="false">
      <c r="A105" s="4" t="s">
        <v>221</v>
      </c>
      <c r="B105" s="5" t="s">
        <v>230</v>
      </c>
      <c r="C105" s="5" t="s">
        <v>231</v>
      </c>
      <c r="D105" s="4" t="s">
        <v>16</v>
      </c>
      <c r="E105" s="4" t="s">
        <v>31</v>
      </c>
      <c r="F105" s="4" t="n">
        <f aca="false">COUNTIFS(Data!$C$2:$C$7199,C105,Data!$D$2:$D$7199,D105)</f>
        <v>15</v>
      </c>
      <c r="G105" s="6" t="n">
        <f aca="false">SUMIFS(Data!$L$2:$L$7199,Data!$C$2:$C$7199,$C105,Data!$D$2:$D$7199,$D105,Data!$F$2:$F$7199,"Tools &amp; Equipment")</f>
        <v>0</v>
      </c>
      <c r="H105" s="6" t="n">
        <f aca="false">SUMIFS(Data!$L$2:$L$7199,Data!$C$2:$C$7199,$C105,Data!$D$2:$D$7199,$D105,Data!$F$2:$F$7199,"Other Lab Items")</f>
        <v>325800</v>
      </c>
      <c r="I105" s="6" t="n">
        <f aca="false">SUMIFS(Data!$L$2:$L$7199,Data!$C$2:$C$7199,$C105,Data!$D$2:$D$7199,$D105,Data!$F$2:$F$7199,"Consumables")</f>
        <v>265</v>
      </c>
      <c r="J105" s="6" t="n">
        <f aca="false">SUM(G105:I105)</f>
        <v>326065</v>
      </c>
      <c r="K105" s="4" t="n">
        <f aca="false">ROUND(J105/100000,2)</f>
        <v>3.26</v>
      </c>
    </row>
    <row r="106" customFormat="false" ht="15" hidden="false" customHeight="false" outlineLevel="0" collapsed="false">
      <c r="A106" s="4" t="s">
        <v>221</v>
      </c>
      <c r="B106" s="5" t="s">
        <v>232</v>
      </c>
      <c r="C106" s="5" t="s">
        <v>233</v>
      </c>
      <c r="D106" s="4" t="s">
        <v>16</v>
      </c>
      <c r="E106" s="4" t="s">
        <v>31</v>
      </c>
      <c r="F106" s="4" t="n">
        <f aca="false">COUNTIFS(Data!$C$2:$C$7199,C106,Data!$D$2:$D$7199,D106)</f>
        <v>14</v>
      </c>
      <c r="G106" s="6" t="n">
        <f aca="false">SUMIFS(Data!$L$2:$L$7199,Data!$C$2:$C$7199,$C106,Data!$D$2:$D$7199,$D106,Data!$F$2:$F$7199,"Tools &amp; Equipment")</f>
        <v>19200</v>
      </c>
      <c r="H106" s="6" t="n">
        <f aca="false">SUMIFS(Data!$L$2:$L$7199,Data!$C$2:$C$7199,$C106,Data!$D$2:$D$7199,$D106,Data!$F$2:$F$7199,"Other Lab Items")</f>
        <v>165980</v>
      </c>
      <c r="I106" s="6" t="n">
        <f aca="false">SUMIFS(Data!$L$2:$L$7199,Data!$C$2:$C$7199,$C106,Data!$D$2:$D$7199,$D106,Data!$F$2:$F$7199,"Consumables")</f>
        <v>0</v>
      </c>
      <c r="J106" s="6" t="n">
        <f aca="false">SUM(G106:I106)</f>
        <v>185180</v>
      </c>
      <c r="K106" s="4" t="n">
        <f aca="false">ROUND(J106/100000,2)</f>
        <v>1.85</v>
      </c>
    </row>
    <row r="107" customFormat="false" ht="15" hidden="false" customHeight="false" outlineLevel="0" collapsed="false">
      <c r="A107" s="4" t="s">
        <v>221</v>
      </c>
      <c r="B107" s="5" t="s">
        <v>234</v>
      </c>
      <c r="C107" s="5" t="s">
        <v>235</v>
      </c>
      <c r="D107" s="4" t="s">
        <v>16</v>
      </c>
      <c r="E107" s="4" t="s">
        <v>31</v>
      </c>
      <c r="F107" s="4" t="n">
        <f aca="false">COUNTIFS(Data!$C$2:$C$7199,C107,Data!$D$2:$D$7199,D107)</f>
        <v>21</v>
      </c>
      <c r="G107" s="6" t="n">
        <f aca="false">SUMIFS(Data!$L$2:$L$7199,Data!$C$2:$C$7199,$C107,Data!$D$2:$D$7199,$D107,Data!$F$2:$F$7199,"Tools &amp; Equipment")</f>
        <v>3500</v>
      </c>
      <c r="H107" s="6" t="n">
        <f aca="false">SUMIFS(Data!$L$2:$L$7199,Data!$C$2:$C$7199,$C107,Data!$D$2:$D$7199,$D107,Data!$F$2:$F$7199,"Other Lab Items")</f>
        <v>1650310</v>
      </c>
      <c r="I107" s="6" t="n">
        <f aca="false">SUMIFS(Data!$L$2:$L$7199,Data!$C$2:$C$7199,$C107,Data!$D$2:$D$7199,$D107,Data!$F$2:$F$7199,"Consumables")</f>
        <v>570</v>
      </c>
      <c r="J107" s="6" t="n">
        <f aca="false">SUM(G107:I107)</f>
        <v>1654380</v>
      </c>
      <c r="K107" s="4" t="n">
        <f aca="false">ROUND(J107/100000,2)</f>
        <v>16.54</v>
      </c>
    </row>
    <row r="108" customFormat="false" ht="15" hidden="false" customHeight="false" outlineLevel="0" collapsed="false">
      <c r="A108" s="4" t="s">
        <v>221</v>
      </c>
      <c r="B108" s="5" t="s">
        <v>236</v>
      </c>
      <c r="C108" s="5" t="s">
        <v>237</v>
      </c>
      <c r="D108" s="4" t="s">
        <v>22</v>
      </c>
      <c r="E108" s="4" t="s">
        <v>31</v>
      </c>
      <c r="F108" s="4" t="n">
        <f aca="false">COUNTIFS(Data!$C$2:$C$7199,C108,Data!$D$2:$D$7199,D108)</f>
        <v>22</v>
      </c>
      <c r="G108" s="6" t="n">
        <f aca="false">SUMIFS(Data!$L$2:$L$7199,Data!$C$2:$C$7199,$C108,Data!$D$2:$D$7199,$D108,Data!$F$2:$F$7199,"Tools &amp; Equipment")</f>
        <v>90000</v>
      </c>
      <c r="H108" s="6" t="n">
        <f aca="false">SUMIFS(Data!$L$2:$L$7199,Data!$C$2:$C$7199,$C108,Data!$D$2:$D$7199,$D108,Data!$F$2:$F$7199,"Other Lab Items")</f>
        <v>1437700</v>
      </c>
      <c r="I108" s="6" t="n">
        <f aca="false">SUMIFS(Data!$L$2:$L$7199,Data!$C$2:$C$7199,$C108,Data!$D$2:$D$7199,$D108,Data!$F$2:$F$7199,"Consumables")</f>
        <v>0</v>
      </c>
      <c r="J108" s="6" t="n">
        <f aca="false">SUM(G108:I108)</f>
        <v>1527700</v>
      </c>
      <c r="K108" s="4" t="n">
        <f aca="false">ROUND(J108/100000,2)</f>
        <v>15.28</v>
      </c>
    </row>
    <row r="109" customFormat="false" ht="23.85" hidden="false" customHeight="false" outlineLevel="0" collapsed="false">
      <c r="A109" s="4" t="s">
        <v>221</v>
      </c>
      <c r="B109" s="5" t="s">
        <v>238</v>
      </c>
      <c r="C109" s="5" t="s">
        <v>239</v>
      </c>
      <c r="D109" s="4" t="s">
        <v>16</v>
      </c>
      <c r="E109" s="4" t="s">
        <v>17</v>
      </c>
      <c r="F109" s="4" t="n">
        <f aca="false">COUNTIFS(Data!$C$2:$C$7199,C109,Data!$D$2:$D$7199,D109)</f>
        <v>19</v>
      </c>
      <c r="G109" s="6" t="n">
        <f aca="false">SUMIFS(Data!$L$2:$L$7199,Data!$C$2:$C$7199,$C109,Data!$D$2:$D$7199,$D109,Data!$F$2:$F$7199,"Tools &amp; Equipment")</f>
        <v>0</v>
      </c>
      <c r="H109" s="6" t="n">
        <f aca="false">SUMIFS(Data!$L$2:$L$7199,Data!$C$2:$C$7199,$C109,Data!$D$2:$D$7199,$D109,Data!$F$2:$F$7199,"Other Lab Items")</f>
        <v>1560000</v>
      </c>
      <c r="I109" s="6" t="n">
        <f aca="false">SUMIFS(Data!$L$2:$L$7199,Data!$C$2:$C$7199,$C109,Data!$D$2:$D$7199,$D109,Data!$F$2:$F$7199,"Consumables")</f>
        <v>240</v>
      </c>
      <c r="J109" s="6" t="n">
        <f aca="false">SUM(G109:I109)</f>
        <v>1560240</v>
      </c>
      <c r="K109" s="4" t="n">
        <f aca="false">ROUND(J109/100000,2)</f>
        <v>15.6</v>
      </c>
    </row>
    <row r="110" customFormat="false" ht="23.85" hidden="false" customHeight="false" outlineLevel="0" collapsed="false">
      <c r="A110" s="4" t="s">
        <v>221</v>
      </c>
      <c r="B110" s="5" t="s">
        <v>240</v>
      </c>
      <c r="C110" s="5" t="s">
        <v>241</v>
      </c>
      <c r="D110" s="4" t="s">
        <v>16</v>
      </c>
      <c r="E110" s="4" t="s">
        <v>17</v>
      </c>
      <c r="F110" s="4" t="n">
        <f aca="false">COUNTIFS(Data!$C$2:$C$7199,C110,Data!$D$2:$D$7199,D110)</f>
        <v>19</v>
      </c>
      <c r="G110" s="6" t="n">
        <f aca="false">SUMIFS(Data!$L$2:$L$7199,Data!$C$2:$C$7199,$C110,Data!$D$2:$D$7199,$D110,Data!$F$2:$F$7199,"Tools &amp; Equipment")</f>
        <v>12000</v>
      </c>
      <c r="H110" s="6" t="n">
        <f aca="false">SUMIFS(Data!$L$2:$L$7199,Data!$C$2:$C$7199,$C110,Data!$D$2:$D$7199,$D110,Data!$F$2:$F$7199,"Other Lab Items")</f>
        <v>1544800</v>
      </c>
      <c r="I110" s="6" t="n">
        <f aca="false">SUMIFS(Data!$L$2:$L$7199,Data!$C$2:$C$7199,$C110,Data!$D$2:$D$7199,$D110,Data!$F$2:$F$7199,"Consumables")</f>
        <v>265</v>
      </c>
      <c r="J110" s="6" t="n">
        <f aca="false">SUM(G110:I110)</f>
        <v>1557065</v>
      </c>
      <c r="K110" s="4" t="n">
        <f aca="false">ROUND(J110/100000,2)</f>
        <v>15.57</v>
      </c>
    </row>
    <row r="111" customFormat="false" ht="15" hidden="false" customHeight="false" outlineLevel="0" collapsed="false">
      <c r="A111" s="4" t="s">
        <v>221</v>
      </c>
      <c r="B111" s="5" t="s">
        <v>242</v>
      </c>
      <c r="C111" s="5" t="s">
        <v>243</v>
      </c>
      <c r="D111" s="4" t="s">
        <v>16</v>
      </c>
      <c r="E111" s="4" t="s">
        <v>31</v>
      </c>
      <c r="F111" s="4" t="n">
        <f aca="false">COUNTIFS(Data!$C$2:$C$7199,C111,Data!$D$2:$D$7199,D111)</f>
        <v>10</v>
      </c>
      <c r="G111" s="6" t="n">
        <f aca="false">SUMIFS(Data!$L$2:$L$7199,Data!$C$2:$C$7199,$C111,Data!$D$2:$D$7199,$D111,Data!$F$2:$F$7199,"Tools &amp; Equipment")</f>
        <v>0</v>
      </c>
      <c r="H111" s="6" t="n">
        <f aca="false">SUMIFS(Data!$L$2:$L$7199,Data!$C$2:$C$7199,$C111,Data!$D$2:$D$7199,$D111,Data!$F$2:$F$7199,"Other Lab Items")</f>
        <v>179500</v>
      </c>
      <c r="I111" s="6" t="n">
        <f aca="false">SUMIFS(Data!$L$2:$L$7199,Data!$C$2:$C$7199,$C111,Data!$D$2:$D$7199,$D111,Data!$F$2:$F$7199,"Consumables")</f>
        <v>240</v>
      </c>
      <c r="J111" s="6" t="n">
        <f aca="false">SUM(G111:I111)</f>
        <v>179740</v>
      </c>
      <c r="K111" s="4" t="n">
        <f aca="false">ROUND(J111/100000,2)</f>
        <v>1.8</v>
      </c>
    </row>
    <row r="112" customFormat="false" ht="15" hidden="false" customHeight="false" outlineLevel="0" collapsed="false">
      <c r="A112" s="4" t="s">
        <v>221</v>
      </c>
      <c r="B112" s="5" t="s">
        <v>244</v>
      </c>
      <c r="C112" s="5" t="s">
        <v>245</v>
      </c>
      <c r="D112" s="4" t="s">
        <v>16</v>
      </c>
      <c r="E112" s="4" t="s">
        <v>31</v>
      </c>
      <c r="F112" s="4" t="n">
        <f aca="false">COUNTIFS(Data!$C$2:$C$7199,C112,Data!$D$2:$D$7199,D112)</f>
        <v>17</v>
      </c>
      <c r="G112" s="6" t="n">
        <f aca="false">SUMIFS(Data!$L$2:$L$7199,Data!$C$2:$C$7199,$C112,Data!$D$2:$D$7199,$D112,Data!$F$2:$F$7199,"Tools &amp; Equipment")</f>
        <v>12000</v>
      </c>
      <c r="H112" s="6" t="n">
        <f aca="false">SUMIFS(Data!$L$2:$L$7199,Data!$C$2:$C$7199,$C112,Data!$D$2:$D$7199,$D112,Data!$F$2:$F$7199,"Other Lab Items")</f>
        <v>1530700</v>
      </c>
      <c r="I112" s="6" t="n">
        <f aca="false">SUMIFS(Data!$L$2:$L$7199,Data!$C$2:$C$7199,$C112,Data!$D$2:$D$7199,$D112,Data!$F$2:$F$7199,"Consumables")</f>
        <v>265</v>
      </c>
      <c r="J112" s="6" t="n">
        <f aca="false">SUM(G112:I112)</f>
        <v>1542965</v>
      </c>
      <c r="K112" s="4" t="n">
        <f aca="false">ROUND(J112/100000,2)</f>
        <v>15.43</v>
      </c>
    </row>
    <row r="113" customFormat="false" ht="15" hidden="false" customHeight="false" outlineLevel="0" collapsed="false">
      <c r="A113" s="4" t="s">
        <v>246</v>
      </c>
      <c r="B113" s="5" t="s">
        <v>247</v>
      </c>
      <c r="C113" s="5" t="s">
        <v>248</v>
      </c>
      <c r="D113" s="4" t="s">
        <v>16</v>
      </c>
      <c r="E113" s="4" t="s">
        <v>31</v>
      </c>
      <c r="F113" s="4" t="n">
        <f aca="false">COUNTIFS(Data!$C$2:$C$7199,C113,Data!$D$2:$D$7199,D113)</f>
        <v>39</v>
      </c>
      <c r="G113" s="6" t="n">
        <f aca="false">SUMIFS(Data!$L$2:$L$7199,Data!$C$2:$C$7199,$C113,Data!$D$2:$D$7199,$D113,Data!$F$2:$F$7199,"Tools &amp; Equipment")</f>
        <v>1855350</v>
      </c>
      <c r="H113" s="6" t="n">
        <f aca="false">SUMIFS(Data!$L$2:$L$7199,Data!$C$2:$C$7199,$C113,Data!$D$2:$D$7199,$D113,Data!$F$2:$F$7199,"Other Lab Items")</f>
        <v>206400</v>
      </c>
      <c r="I113" s="6" t="n">
        <f aca="false">SUMIFS(Data!$L$2:$L$7199,Data!$C$2:$C$7199,$C113,Data!$D$2:$D$7199,$D113,Data!$F$2:$F$7199,"Consumables")</f>
        <v>1550</v>
      </c>
      <c r="J113" s="6" t="n">
        <f aca="false">SUM(G113:I113)</f>
        <v>2063300</v>
      </c>
      <c r="K113" s="4" t="n">
        <f aca="false">ROUND(J113/100000,2)</f>
        <v>20.63</v>
      </c>
    </row>
    <row r="114" customFormat="false" ht="15" hidden="false" customHeight="false" outlineLevel="0" collapsed="false">
      <c r="A114" s="4" t="s">
        <v>246</v>
      </c>
      <c r="B114" s="5" t="s">
        <v>249</v>
      </c>
      <c r="C114" s="5" t="s">
        <v>250</v>
      </c>
      <c r="D114" s="4" t="s">
        <v>16</v>
      </c>
      <c r="E114" s="4" t="s">
        <v>17</v>
      </c>
      <c r="F114" s="4" t="n">
        <f aca="false">COUNTIFS(Data!$C$2:$C$7199,C114,Data!$D$2:$D$7199,D114)</f>
        <v>45</v>
      </c>
      <c r="G114" s="6" t="n">
        <f aca="false">SUMIFS(Data!$L$2:$L$7199,Data!$C$2:$C$7199,$C114,Data!$D$2:$D$7199,$D114,Data!$F$2:$F$7199,"Tools &amp; Equipment")</f>
        <v>2212850</v>
      </c>
      <c r="H114" s="6" t="n">
        <f aca="false">SUMIFS(Data!$L$2:$L$7199,Data!$C$2:$C$7199,$C114,Data!$D$2:$D$7199,$D114,Data!$F$2:$F$7199,"Other Lab Items")</f>
        <v>191650</v>
      </c>
      <c r="I114" s="6" t="n">
        <f aca="false">SUMIFS(Data!$L$2:$L$7199,Data!$C$2:$C$7199,$C114,Data!$D$2:$D$7199,$D114,Data!$F$2:$F$7199,"Consumables")</f>
        <v>1550</v>
      </c>
      <c r="J114" s="6" t="n">
        <f aca="false">SUM(G114:I114)</f>
        <v>2406050</v>
      </c>
      <c r="K114" s="4" t="n">
        <f aca="false">ROUND(J114/100000,2)</f>
        <v>24.06</v>
      </c>
    </row>
    <row r="115" customFormat="false" ht="15" hidden="false" customHeight="false" outlineLevel="0" collapsed="false">
      <c r="A115" s="4" t="s">
        <v>246</v>
      </c>
      <c r="B115" s="5" t="s">
        <v>251</v>
      </c>
      <c r="C115" s="5" t="s">
        <v>252</v>
      </c>
      <c r="D115" s="4" t="s">
        <v>22</v>
      </c>
      <c r="E115" s="4" t="s">
        <v>31</v>
      </c>
      <c r="F115" s="4" t="n">
        <f aca="false">COUNTIFS(Data!$C$2:$C$7199,C115,Data!$D$2:$D$7199,D115)</f>
        <v>77</v>
      </c>
      <c r="G115" s="6" t="n">
        <f aca="false">SUMIFS(Data!$L$2:$L$7199,Data!$C$2:$C$7199,$C115,Data!$D$2:$D$7199,$D115,Data!$F$2:$F$7199,"Tools &amp; Equipment")</f>
        <v>1326450</v>
      </c>
      <c r="H115" s="6" t="n">
        <f aca="false">SUMIFS(Data!$L$2:$L$7199,Data!$C$2:$C$7199,$C115,Data!$D$2:$D$7199,$D115,Data!$F$2:$F$7199,"Other Lab Items")</f>
        <v>294725</v>
      </c>
      <c r="I115" s="6" t="n">
        <f aca="false">SUMIFS(Data!$L$2:$L$7199,Data!$C$2:$C$7199,$C115,Data!$D$2:$D$7199,$D115,Data!$F$2:$F$7199,"Consumables")</f>
        <v>3950</v>
      </c>
      <c r="J115" s="6" t="n">
        <f aca="false">SUM(G115:I115)</f>
        <v>1625125</v>
      </c>
      <c r="K115" s="4" t="n">
        <f aca="false">ROUND(J115/100000,2)</f>
        <v>16.25</v>
      </c>
    </row>
    <row r="116" customFormat="false" ht="15" hidden="false" customHeight="false" outlineLevel="0" collapsed="false">
      <c r="A116" s="4" t="s">
        <v>246</v>
      </c>
      <c r="B116" s="5" t="s">
        <v>253</v>
      </c>
      <c r="C116" s="5" t="s">
        <v>254</v>
      </c>
      <c r="D116" s="4" t="s">
        <v>16</v>
      </c>
      <c r="E116" s="4" t="s">
        <v>17</v>
      </c>
      <c r="F116" s="4" t="n">
        <f aca="false">COUNTIFS(Data!$C$2:$C$7199,C116,Data!$D$2:$D$7199,D116)</f>
        <v>44</v>
      </c>
      <c r="G116" s="6" t="n">
        <f aca="false">SUMIFS(Data!$L$2:$L$7199,Data!$C$2:$C$7199,$C116,Data!$D$2:$D$7199,$D116,Data!$F$2:$F$7199,"Tools &amp; Equipment")</f>
        <v>1990550</v>
      </c>
      <c r="H116" s="6" t="n">
        <f aca="false">SUMIFS(Data!$L$2:$L$7199,Data!$C$2:$C$7199,$C116,Data!$D$2:$D$7199,$D116,Data!$F$2:$F$7199,"Other Lab Items")</f>
        <v>189900</v>
      </c>
      <c r="I116" s="6" t="n">
        <f aca="false">SUMIFS(Data!$L$2:$L$7199,Data!$C$2:$C$7199,$C116,Data!$D$2:$D$7199,$D116,Data!$F$2:$F$7199,"Consumables")</f>
        <v>1550</v>
      </c>
      <c r="J116" s="6" t="n">
        <f aca="false">SUM(G116:I116)</f>
        <v>2182000</v>
      </c>
      <c r="K116" s="4" t="n">
        <f aca="false">ROUND(J116/100000,2)</f>
        <v>21.82</v>
      </c>
    </row>
    <row r="117" customFormat="false" ht="15" hidden="false" customHeight="false" outlineLevel="0" collapsed="false">
      <c r="A117" s="4" t="s">
        <v>246</v>
      </c>
      <c r="B117" s="5" t="s">
        <v>255</v>
      </c>
      <c r="C117" s="5" t="s">
        <v>256</v>
      </c>
      <c r="D117" s="4" t="s">
        <v>22</v>
      </c>
      <c r="E117" s="4" t="s">
        <v>17</v>
      </c>
      <c r="F117" s="4" t="n">
        <f aca="false">COUNTIFS(Data!$C$2:$C$7199,C117,Data!$D$2:$D$7199,D117)</f>
        <v>74</v>
      </c>
      <c r="G117" s="6" t="n">
        <f aca="false">SUMIFS(Data!$L$2:$L$7199,Data!$C$2:$C$7199,$C117,Data!$D$2:$D$7199,$D117,Data!$F$2:$F$7199,"Tools &amp; Equipment")</f>
        <v>3817950</v>
      </c>
      <c r="H117" s="6" t="n">
        <f aca="false">SUMIFS(Data!$L$2:$L$7199,Data!$C$2:$C$7199,$C117,Data!$D$2:$D$7199,$D117,Data!$F$2:$F$7199,"Other Lab Items")</f>
        <v>206685</v>
      </c>
      <c r="I117" s="6" t="n">
        <f aca="false">SUMIFS(Data!$L$2:$L$7199,Data!$C$2:$C$7199,$C117,Data!$D$2:$D$7199,$D117,Data!$F$2:$F$7199,"Consumables")</f>
        <v>4090</v>
      </c>
      <c r="J117" s="6" t="n">
        <f aca="false">SUM(G117:I117)</f>
        <v>4028725</v>
      </c>
      <c r="K117" s="4" t="n">
        <f aca="false">ROUND(J117/100000,2)</f>
        <v>40.29</v>
      </c>
    </row>
    <row r="118" customFormat="false" ht="15" hidden="false" customHeight="false" outlineLevel="0" collapsed="false">
      <c r="A118" s="4" t="s">
        <v>246</v>
      </c>
      <c r="B118" s="5" t="s">
        <v>257</v>
      </c>
      <c r="C118" s="5" t="s">
        <v>258</v>
      </c>
      <c r="D118" s="4" t="s">
        <v>22</v>
      </c>
      <c r="E118" s="4" t="s">
        <v>17</v>
      </c>
      <c r="F118" s="4" t="n">
        <f aca="false">COUNTIFS(Data!$C$2:$C$7199,C118,Data!$D$2:$D$7199,D118)</f>
        <v>35</v>
      </c>
      <c r="G118" s="6" t="n">
        <f aca="false">SUMIFS(Data!$L$2:$L$7199,Data!$C$2:$C$7199,$C118,Data!$D$2:$D$7199,$D118,Data!$F$2:$F$7199,"Tools &amp; Equipment")</f>
        <v>3505350</v>
      </c>
      <c r="H118" s="6" t="n">
        <f aca="false">SUMIFS(Data!$L$2:$L$7199,Data!$C$2:$C$7199,$C118,Data!$D$2:$D$7199,$D118,Data!$F$2:$F$7199,"Other Lab Items")</f>
        <v>190000</v>
      </c>
      <c r="I118" s="6" t="n">
        <f aca="false">SUMIFS(Data!$L$2:$L$7199,Data!$C$2:$C$7199,$C118,Data!$D$2:$D$7199,$D118,Data!$F$2:$F$7199,"Consumables")</f>
        <v>1100</v>
      </c>
      <c r="J118" s="6" t="n">
        <f aca="false">SUM(G118:I118)</f>
        <v>3696450</v>
      </c>
      <c r="K118" s="4" t="n">
        <f aca="false">ROUND(J118/100000,2)</f>
        <v>36.96</v>
      </c>
    </row>
    <row r="119" customFormat="false" ht="15" hidden="false" customHeight="false" outlineLevel="0" collapsed="false">
      <c r="A119" s="4" t="s">
        <v>246</v>
      </c>
      <c r="B119" s="5" t="s">
        <v>259</v>
      </c>
      <c r="C119" s="5" t="s">
        <v>260</v>
      </c>
      <c r="D119" s="4" t="s">
        <v>16</v>
      </c>
      <c r="E119" s="4" t="s">
        <v>31</v>
      </c>
      <c r="F119" s="4" t="n">
        <f aca="false">COUNTIFS(Data!$C$2:$C$7199,C119,Data!$D$2:$D$7199,D119)</f>
        <v>74</v>
      </c>
      <c r="G119" s="6" t="n">
        <f aca="false">SUMIFS(Data!$L$2:$L$7199,Data!$C$2:$C$7199,$C119,Data!$D$2:$D$7199,$D119,Data!$F$2:$F$7199,"Tools &amp; Equipment")</f>
        <v>3851450</v>
      </c>
      <c r="H119" s="6" t="n">
        <f aca="false">SUMIFS(Data!$L$2:$L$7199,Data!$C$2:$C$7199,$C119,Data!$D$2:$D$7199,$D119,Data!$F$2:$F$7199,"Other Lab Items")</f>
        <v>173775</v>
      </c>
      <c r="I119" s="6" t="n">
        <f aca="false">SUMIFS(Data!$L$2:$L$7199,Data!$C$2:$C$7199,$C119,Data!$D$2:$D$7199,$D119,Data!$F$2:$F$7199,"Consumables")</f>
        <v>3500</v>
      </c>
      <c r="J119" s="6" t="n">
        <f aca="false">SUM(G119:I119)</f>
        <v>4028725</v>
      </c>
      <c r="K119" s="4" t="n">
        <f aca="false">ROUND(J119/100000,2)</f>
        <v>40.29</v>
      </c>
    </row>
    <row r="120" customFormat="false" ht="15" hidden="false" customHeight="false" outlineLevel="0" collapsed="false">
      <c r="A120" s="4" t="s">
        <v>261</v>
      </c>
      <c r="B120" s="5" t="s">
        <v>262</v>
      </c>
      <c r="C120" s="5" t="s">
        <v>263</v>
      </c>
      <c r="D120" s="4" t="s">
        <v>22</v>
      </c>
      <c r="E120" s="4" t="s">
        <v>31</v>
      </c>
      <c r="F120" s="4" t="n">
        <f aca="false">COUNTIFS(Data!$C$2:$C$7199,C120,Data!$D$2:$D$7199,D120)</f>
        <v>16</v>
      </c>
      <c r="G120" s="6" t="n">
        <f aca="false">SUMIFS(Data!$L$2:$L$7199,Data!$C$2:$C$7199,$C120,Data!$D$2:$D$7199,$D120,Data!$F$2:$F$7199,"Tools &amp; Equipment")</f>
        <v>0</v>
      </c>
      <c r="H120" s="6" t="n">
        <f aca="false">SUMIFS(Data!$L$2:$L$7199,Data!$C$2:$C$7199,$C120,Data!$D$2:$D$7199,$D120,Data!$F$2:$F$7199,"Other Lab Items")</f>
        <v>453250</v>
      </c>
      <c r="I120" s="6" t="n">
        <f aca="false">SUMIFS(Data!$L$2:$L$7199,Data!$C$2:$C$7199,$C120,Data!$D$2:$D$7199,$D120,Data!$F$2:$F$7199,"Consumables")</f>
        <v>350</v>
      </c>
      <c r="J120" s="6" t="n">
        <f aca="false">SUM(G120:I120)</f>
        <v>453600</v>
      </c>
      <c r="K120" s="4" t="n">
        <f aca="false">ROUND(J120/100000,2)</f>
        <v>4.54</v>
      </c>
    </row>
    <row r="121" customFormat="false" ht="15" hidden="false" customHeight="false" outlineLevel="0" collapsed="false">
      <c r="A121" s="4" t="s">
        <v>261</v>
      </c>
      <c r="B121" s="5" t="s">
        <v>264</v>
      </c>
      <c r="C121" s="5" t="s">
        <v>265</v>
      </c>
      <c r="D121" s="4" t="s">
        <v>16</v>
      </c>
      <c r="E121" s="4" t="s">
        <v>17</v>
      </c>
      <c r="F121" s="4" t="n">
        <f aca="false">COUNTIFS(Data!$C$2:$C$7199,C121,Data!$D$2:$D$7199,D121)</f>
        <v>60</v>
      </c>
      <c r="G121" s="6" t="n">
        <f aca="false">SUMIFS(Data!$L$2:$L$7199,Data!$C$2:$C$7199,$C121,Data!$D$2:$D$7199,$D121,Data!$F$2:$F$7199,"Tools &amp; Equipment")</f>
        <v>270000</v>
      </c>
      <c r="H121" s="6" t="n">
        <f aca="false">SUMIFS(Data!$L$2:$L$7199,Data!$C$2:$C$7199,$C121,Data!$D$2:$D$7199,$D121,Data!$F$2:$F$7199,"Other Lab Items")</f>
        <v>2136700</v>
      </c>
      <c r="I121" s="6" t="n">
        <f aca="false">SUMIFS(Data!$L$2:$L$7199,Data!$C$2:$C$7199,$C121,Data!$D$2:$D$7199,$D121,Data!$F$2:$F$7199,"Consumables")</f>
        <v>78550</v>
      </c>
      <c r="J121" s="6" t="n">
        <f aca="false">SUM(G121:I121)</f>
        <v>2485250</v>
      </c>
      <c r="K121" s="4" t="n">
        <f aca="false">ROUND(J121/100000,2)</f>
        <v>24.85</v>
      </c>
    </row>
    <row r="122" customFormat="false" ht="15" hidden="false" customHeight="false" outlineLevel="0" collapsed="false">
      <c r="A122" s="4" t="s">
        <v>261</v>
      </c>
      <c r="B122" s="5" t="s">
        <v>266</v>
      </c>
      <c r="C122" s="5" t="s">
        <v>267</v>
      </c>
      <c r="D122" s="4" t="s">
        <v>16</v>
      </c>
      <c r="E122" s="4" t="s">
        <v>17</v>
      </c>
      <c r="F122" s="4" t="n">
        <f aca="false">COUNTIFS(Data!$C$2:$C$7199,C122,Data!$D$2:$D$7199,D122)</f>
        <v>33</v>
      </c>
      <c r="G122" s="6" t="n">
        <f aca="false">SUMIFS(Data!$L$2:$L$7199,Data!$C$2:$C$7199,$C122,Data!$D$2:$D$7199,$D122,Data!$F$2:$F$7199,"Tools &amp; Equipment")</f>
        <v>22500</v>
      </c>
      <c r="H122" s="6" t="n">
        <f aca="false">SUMIFS(Data!$L$2:$L$7199,Data!$C$2:$C$7199,$C122,Data!$D$2:$D$7199,$D122,Data!$F$2:$F$7199,"Other Lab Items")</f>
        <v>591970</v>
      </c>
      <c r="I122" s="6" t="n">
        <f aca="false">SUMIFS(Data!$L$2:$L$7199,Data!$C$2:$C$7199,$C122,Data!$D$2:$D$7199,$D122,Data!$F$2:$F$7199,"Consumables")</f>
        <v>2490</v>
      </c>
      <c r="J122" s="6" t="n">
        <f aca="false">SUM(G122:I122)</f>
        <v>616960</v>
      </c>
      <c r="K122" s="4" t="n">
        <f aca="false">ROUND(J122/100000,2)</f>
        <v>6.17</v>
      </c>
    </row>
    <row r="123" customFormat="false" ht="15" hidden="false" customHeight="false" outlineLevel="0" collapsed="false">
      <c r="A123" s="4" t="s">
        <v>261</v>
      </c>
      <c r="B123" s="5" t="s">
        <v>268</v>
      </c>
      <c r="C123" s="5" t="s">
        <v>269</v>
      </c>
      <c r="D123" s="4" t="s">
        <v>16</v>
      </c>
      <c r="E123" s="4" t="s">
        <v>31</v>
      </c>
      <c r="F123" s="4" t="n">
        <f aca="false">COUNTIFS(Data!$C$2:$C$7199,C123,Data!$D$2:$D$7199,D123)</f>
        <v>16</v>
      </c>
      <c r="G123" s="6" t="n">
        <f aca="false">SUMIFS(Data!$L$2:$L$7199,Data!$C$2:$C$7199,$C123,Data!$D$2:$D$7199,$D123,Data!$F$2:$F$7199,"Tools &amp; Equipment")</f>
        <v>18000</v>
      </c>
      <c r="H123" s="6" t="n">
        <f aca="false">SUMIFS(Data!$L$2:$L$7199,Data!$C$2:$C$7199,$C123,Data!$D$2:$D$7199,$D123,Data!$F$2:$F$7199,"Other Lab Items")</f>
        <v>455250</v>
      </c>
      <c r="I123" s="6" t="n">
        <f aca="false">SUMIFS(Data!$L$2:$L$7199,Data!$C$2:$C$7199,$C123,Data!$D$2:$D$7199,$D123,Data!$F$2:$F$7199,"Consumables")</f>
        <v>350</v>
      </c>
      <c r="J123" s="6" t="n">
        <f aca="false">SUM(G123:I123)</f>
        <v>473600</v>
      </c>
      <c r="K123" s="4" t="n">
        <f aca="false">ROUND(J123/100000,2)</f>
        <v>4.74</v>
      </c>
    </row>
    <row r="124" customFormat="false" ht="15" hidden="false" customHeight="false" outlineLevel="0" collapsed="false">
      <c r="A124" s="4" t="s">
        <v>261</v>
      </c>
      <c r="B124" s="5" t="s">
        <v>270</v>
      </c>
      <c r="C124" s="5" t="s">
        <v>271</v>
      </c>
      <c r="D124" s="4" t="s">
        <v>16</v>
      </c>
      <c r="E124" s="4" t="s">
        <v>17</v>
      </c>
      <c r="F124" s="4" t="n">
        <f aca="false">COUNTIFS(Data!$C$2:$C$7199,C124,Data!$D$2:$D$7199,D124)</f>
        <v>30</v>
      </c>
      <c r="G124" s="6" t="n">
        <f aca="false">SUMIFS(Data!$L$2:$L$7199,Data!$C$2:$C$7199,$C124,Data!$D$2:$D$7199,$D124,Data!$F$2:$F$7199,"Tools &amp; Equipment")</f>
        <v>116650</v>
      </c>
      <c r="H124" s="6" t="n">
        <f aca="false">SUMIFS(Data!$L$2:$L$7199,Data!$C$2:$C$7199,$C124,Data!$D$2:$D$7199,$D124,Data!$F$2:$F$7199,"Other Lab Items")</f>
        <v>157550</v>
      </c>
      <c r="I124" s="6" t="n">
        <f aca="false">SUMIFS(Data!$L$2:$L$7199,Data!$C$2:$C$7199,$C124,Data!$D$2:$D$7199,$D124,Data!$F$2:$F$7199,"Consumables")</f>
        <v>2200</v>
      </c>
      <c r="J124" s="6" t="n">
        <f aca="false">SUM(G124:I124)</f>
        <v>276400</v>
      </c>
      <c r="K124" s="4" t="n">
        <f aca="false">ROUND(J124/100000,2)</f>
        <v>2.76</v>
      </c>
    </row>
    <row r="125" customFormat="false" ht="15" hidden="false" customHeight="false" outlineLevel="0" collapsed="false">
      <c r="A125" s="4" t="s">
        <v>272</v>
      </c>
      <c r="B125" s="5" t="s">
        <v>273</v>
      </c>
      <c r="C125" s="5" t="s">
        <v>274</v>
      </c>
      <c r="D125" s="4" t="s">
        <v>16</v>
      </c>
      <c r="E125" s="4" t="s">
        <v>17</v>
      </c>
      <c r="F125" s="4" t="n">
        <f aca="false">COUNTIFS(Data!$C$2:$C$7199,C125,Data!$D$2:$D$7199,D125)</f>
        <v>22</v>
      </c>
      <c r="G125" s="6" t="n">
        <f aca="false">SUMIFS(Data!$L$2:$L$7199,Data!$C$2:$C$7199,$C125,Data!$D$2:$D$7199,$D125,Data!$F$2:$F$7199,"Tools &amp; Equipment")</f>
        <v>27500</v>
      </c>
      <c r="H125" s="6" t="n">
        <f aca="false">SUMIFS(Data!$L$2:$L$7199,Data!$C$2:$C$7199,$C125,Data!$D$2:$D$7199,$D125,Data!$F$2:$F$7199,"Other Lab Items")</f>
        <v>3320000</v>
      </c>
      <c r="I125" s="6" t="n">
        <f aca="false">SUMIFS(Data!$L$2:$L$7199,Data!$C$2:$C$7199,$C125,Data!$D$2:$D$7199,$D125,Data!$F$2:$F$7199,"Consumables")</f>
        <v>27300</v>
      </c>
      <c r="J125" s="6" t="n">
        <f aca="false">SUM(G125:I125)</f>
        <v>3374800</v>
      </c>
      <c r="K125" s="4" t="n">
        <f aca="false">ROUND(J125/100000,2)</f>
        <v>33.75</v>
      </c>
    </row>
    <row r="126" customFormat="false" ht="15" hidden="false" customHeight="false" outlineLevel="0" collapsed="false">
      <c r="A126" s="4" t="s">
        <v>272</v>
      </c>
      <c r="B126" s="5" t="s">
        <v>275</v>
      </c>
      <c r="C126" s="5" t="s">
        <v>276</v>
      </c>
      <c r="D126" s="4" t="s">
        <v>16</v>
      </c>
      <c r="E126" s="4" t="s">
        <v>31</v>
      </c>
      <c r="F126" s="4" t="n">
        <f aca="false">COUNTIFS(Data!$C$2:$C$7199,C126,Data!$D$2:$D$7199,D126)</f>
        <v>20</v>
      </c>
      <c r="G126" s="6" t="n">
        <f aca="false">SUMIFS(Data!$L$2:$L$7199,Data!$C$2:$C$7199,$C126,Data!$D$2:$D$7199,$D126,Data!$F$2:$F$7199,"Tools &amp; Equipment")</f>
        <v>47080</v>
      </c>
      <c r="H126" s="6" t="n">
        <f aca="false">SUMIFS(Data!$L$2:$L$7199,Data!$C$2:$C$7199,$C126,Data!$D$2:$D$7199,$D126,Data!$F$2:$F$7199,"Other Lab Items")</f>
        <v>125850</v>
      </c>
      <c r="I126" s="6" t="n">
        <f aca="false">SUMIFS(Data!$L$2:$L$7199,Data!$C$2:$C$7199,$C126,Data!$D$2:$D$7199,$D126,Data!$F$2:$F$7199,"Consumables")</f>
        <v>1950</v>
      </c>
      <c r="J126" s="6" t="n">
        <f aca="false">SUM(G126:I126)</f>
        <v>174880</v>
      </c>
      <c r="K126" s="4" t="n">
        <f aca="false">ROUND(J126/100000,2)</f>
        <v>1.75</v>
      </c>
    </row>
    <row r="127" customFormat="false" ht="15" hidden="false" customHeight="false" outlineLevel="0" collapsed="false">
      <c r="A127" s="4" t="s">
        <v>272</v>
      </c>
      <c r="B127" s="5" t="s">
        <v>277</v>
      </c>
      <c r="C127" s="5" t="s">
        <v>278</v>
      </c>
      <c r="D127" s="4" t="s">
        <v>16</v>
      </c>
      <c r="E127" s="4" t="s">
        <v>31</v>
      </c>
      <c r="F127" s="4" t="n">
        <f aca="false">COUNTIFS(Data!$C$2:$C$7199,C127,Data!$D$2:$D$7199,D127)</f>
        <v>26</v>
      </c>
      <c r="G127" s="6" t="n">
        <f aca="false">SUMIFS(Data!$L$2:$L$7199,Data!$C$2:$C$7199,$C127,Data!$D$2:$D$7199,$D127,Data!$F$2:$F$7199,"Tools &amp; Equipment")</f>
        <v>46450</v>
      </c>
      <c r="H127" s="6" t="n">
        <f aca="false">SUMIFS(Data!$L$2:$L$7199,Data!$C$2:$C$7199,$C127,Data!$D$2:$D$7199,$D127,Data!$F$2:$F$7199,"Other Lab Items")</f>
        <v>1732500</v>
      </c>
      <c r="I127" s="6" t="n">
        <f aca="false">SUMIFS(Data!$L$2:$L$7199,Data!$C$2:$C$7199,$C127,Data!$D$2:$D$7199,$D127,Data!$F$2:$F$7199,"Consumables")</f>
        <v>25</v>
      </c>
      <c r="J127" s="6" t="n">
        <f aca="false">SUM(G127:I127)</f>
        <v>1778975</v>
      </c>
      <c r="K127" s="4" t="n">
        <f aca="false">ROUND(J127/100000,2)</f>
        <v>17.79</v>
      </c>
    </row>
    <row r="128" customFormat="false" ht="15" hidden="false" customHeight="false" outlineLevel="0" collapsed="false">
      <c r="A128" s="4" t="s">
        <v>272</v>
      </c>
      <c r="B128" s="5" t="s">
        <v>279</v>
      </c>
      <c r="C128" s="5" t="s">
        <v>280</v>
      </c>
      <c r="D128" s="4" t="s">
        <v>22</v>
      </c>
      <c r="E128" s="4" t="s">
        <v>31</v>
      </c>
      <c r="F128" s="4" t="n">
        <f aca="false">COUNTIFS(Data!$C$2:$C$7199,C128,Data!$D$2:$D$7199,D128)</f>
        <v>34</v>
      </c>
      <c r="G128" s="6" t="n">
        <f aca="false">SUMIFS(Data!$L$2:$L$7199,Data!$C$2:$C$7199,$C128,Data!$D$2:$D$7199,$D128,Data!$F$2:$F$7199,"Tools &amp; Equipment")</f>
        <v>146800</v>
      </c>
      <c r="H128" s="6" t="n">
        <f aca="false">SUMIFS(Data!$L$2:$L$7199,Data!$C$2:$C$7199,$C128,Data!$D$2:$D$7199,$D128,Data!$F$2:$F$7199,"Other Lab Items")</f>
        <v>1805200</v>
      </c>
      <c r="I128" s="6" t="n">
        <f aca="false">SUMIFS(Data!$L$2:$L$7199,Data!$C$2:$C$7199,$C128,Data!$D$2:$D$7199,$D128,Data!$F$2:$F$7199,"Consumables")</f>
        <v>23700</v>
      </c>
      <c r="J128" s="6" t="n">
        <f aca="false">SUM(G128:I128)</f>
        <v>1975700</v>
      </c>
      <c r="K128" s="4" t="n">
        <f aca="false">ROUND(J128/100000,2)</f>
        <v>19.76</v>
      </c>
    </row>
    <row r="129" customFormat="false" ht="15" hidden="false" customHeight="false" outlineLevel="0" collapsed="false">
      <c r="A129" s="4" t="s">
        <v>272</v>
      </c>
      <c r="B129" s="5" t="s">
        <v>281</v>
      </c>
      <c r="C129" s="5" t="s">
        <v>282</v>
      </c>
      <c r="D129" s="4" t="s">
        <v>16</v>
      </c>
      <c r="E129" s="4" t="s">
        <v>31</v>
      </c>
      <c r="F129" s="4" t="n">
        <f aca="false">COUNTIFS(Data!$C$2:$C$7199,C129,Data!$D$2:$D$7199,D129)</f>
        <v>17</v>
      </c>
      <c r="G129" s="6" t="n">
        <f aca="false">SUMIFS(Data!$L$2:$L$7199,Data!$C$2:$C$7199,$C129,Data!$D$2:$D$7199,$D129,Data!$F$2:$F$7199,"Tools &amp; Equipment")</f>
        <v>350</v>
      </c>
      <c r="H129" s="6" t="n">
        <f aca="false">SUMIFS(Data!$L$2:$L$7199,Data!$C$2:$C$7199,$C129,Data!$D$2:$D$7199,$D129,Data!$F$2:$F$7199,"Other Lab Items")</f>
        <v>106850</v>
      </c>
      <c r="I129" s="6" t="n">
        <f aca="false">SUMIFS(Data!$L$2:$L$7199,Data!$C$2:$C$7199,$C129,Data!$D$2:$D$7199,$D129,Data!$F$2:$F$7199,"Consumables")</f>
        <v>2010</v>
      </c>
      <c r="J129" s="6" t="n">
        <f aca="false">SUM(G129:I129)</f>
        <v>109210</v>
      </c>
      <c r="K129" s="4" t="n">
        <f aca="false">ROUND(J129/100000,2)</f>
        <v>1.09</v>
      </c>
    </row>
    <row r="130" customFormat="false" ht="15" hidden="false" customHeight="false" outlineLevel="0" collapsed="false">
      <c r="A130" s="4" t="s">
        <v>283</v>
      </c>
      <c r="B130" s="5" t="s">
        <v>284</v>
      </c>
      <c r="C130" s="5" t="s">
        <v>285</v>
      </c>
      <c r="D130" s="4" t="s">
        <v>16</v>
      </c>
      <c r="E130" s="4" t="s">
        <v>17</v>
      </c>
      <c r="F130" s="4" t="n">
        <f aca="false">COUNTIFS(Data!$C$2:$C$7199,C130,Data!$D$2:$D$7199,D130)</f>
        <v>33</v>
      </c>
      <c r="G130" s="6" t="n">
        <f aca="false">SUMIFS(Data!$L$2:$L$7199,Data!$C$2:$C$7199,$C130,Data!$D$2:$D$7199,$D130,Data!$F$2:$F$7199,"Tools &amp; Equipment")</f>
        <v>134850</v>
      </c>
      <c r="H130" s="6" t="n">
        <f aca="false">SUMIFS(Data!$L$2:$L$7199,Data!$C$2:$C$7199,$C130,Data!$D$2:$D$7199,$D130,Data!$F$2:$F$7199,"Other Lab Items")</f>
        <v>219650</v>
      </c>
      <c r="I130" s="6" t="n">
        <f aca="false">SUMIFS(Data!$L$2:$L$7199,Data!$C$2:$C$7199,$C130,Data!$D$2:$D$7199,$D130,Data!$F$2:$F$7199,"Consumables")</f>
        <v>1380</v>
      </c>
      <c r="J130" s="6" t="n">
        <f aca="false">SUM(G130:I130)</f>
        <v>355880</v>
      </c>
      <c r="K130" s="4" t="n">
        <f aca="false">ROUND(J130/100000,2)</f>
        <v>3.56</v>
      </c>
    </row>
    <row r="131" customFormat="false" ht="15" hidden="false" customHeight="false" outlineLevel="0" collapsed="false">
      <c r="A131" s="4" t="s">
        <v>283</v>
      </c>
      <c r="B131" s="5" t="s">
        <v>286</v>
      </c>
      <c r="C131" s="5" t="s">
        <v>287</v>
      </c>
      <c r="D131" s="4" t="s">
        <v>16</v>
      </c>
      <c r="E131" s="4" t="s">
        <v>17</v>
      </c>
      <c r="F131" s="4" t="n">
        <f aca="false">COUNTIFS(Data!$C$2:$C$7199,C131,Data!$D$2:$D$7199,D131)</f>
        <v>28</v>
      </c>
      <c r="G131" s="6" t="n">
        <f aca="false">SUMIFS(Data!$L$2:$L$7199,Data!$C$2:$C$7199,$C131,Data!$D$2:$D$7199,$D131,Data!$F$2:$F$7199,"Tools &amp; Equipment")</f>
        <v>46000</v>
      </c>
      <c r="H131" s="6" t="n">
        <f aca="false">SUMIFS(Data!$L$2:$L$7199,Data!$C$2:$C$7199,$C131,Data!$D$2:$D$7199,$D131,Data!$F$2:$F$7199,"Other Lab Items")</f>
        <v>171670</v>
      </c>
      <c r="I131" s="6" t="n">
        <f aca="false">SUMIFS(Data!$L$2:$L$7199,Data!$C$2:$C$7199,$C131,Data!$D$2:$D$7199,$D131,Data!$F$2:$F$7199,"Consumables")</f>
        <v>760</v>
      </c>
      <c r="J131" s="6" t="n">
        <f aca="false">SUM(G131:I131)</f>
        <v>218430</v>
      </c>
      <c r="K131" s="4" t="n">
        <f aca="false">ROUND(J131/100000,2)</f>
        <v>2.18</v>
      </c>
    </row>
    <row r="132" customFormat="false" ht="15" hidden="false" customHeight="false" outlineLevel="0" collapsed="false">
      <c r="A132" s="4" t="s">
        <v>283</v>
      </c>
      <c r="B132" s="5" t="s">
        <v>288</v>
      </c>
      <c r="C132" s="5" t="s">
        <v>289</v>
      </c>
      <c r="D132" s="4" t="s">
        <v>16</v>
      </c>
      <c r="E132" s="4" t="s">
        <v>17</v>
      </c>
      <c r="F132" s="4" t="n">
        <f aca="false">COUNTIFS(Data!$C$2:$C$7199,C132,Data!$D$2:$D$7199,D132)</f>
        <v>33</v>
      </c>
      <c r="G132" s="6" t="n">
        <f aca="false">SUMIFS(Data!$L$2:$L$7199,Data!$C$2:$C$7199,$C132,Data!$D$2:$D$7199,$D132,Data!$F$2:$F$7199,"Tools &amp; Equipment")</f>
        <v>151850</v>
      </c>
      <c r="H132" s="6" t="n">
        <f aca="false">SUMIFS(Data!$L$2:$L$7199,Data!$C$2:$C$7199,$C132,Data!$D$2:$D$7199,$D132,Data!$F$2:$F$7199,"Other Lab Items")</f>
        <v>202685</v>
      </c>
      <c r="I132" s="6" t="n">
        <f aca="false">SUMIFS(Data!$L$2:$L$7199,Data!$C$2:$C$7199,$C132,Data!$D$2:$D$7199,$D132,Data!$F$2:$F$7199,"Consumables")</f>
        <v>1345</v>
      </c>
      <c r="J132" s="6" t="n">
        <f aca="false">SUM(G132:I132)</f>
        <v>355880</v>
      </c>
      <c r="K132" s="4" t="n">
        <f aca="false">ROUND(J132/100000,2)</f>
        <v>3.56</v>
      </c>
    </row>
    <row r="133" customFormat="false" ht="15" hidden="false" customHeight="false" outlineLevel="0" collapsed="false">
      <c r="A133" s="4" t="s">
        <v>283</v>
      </c>
      <c r="B133" s="5" t="s">
        <v>290</v>
      </c>
      <c r="C133" s="5" t="s">
        <v>291</v>
      </c>
      <c r="D133" s="4" t="s">
        <v>16</v>
      </c>
      <c r="E133" s="4" t="s">
        <v>17</v>
      </c>
      <c r="F133" s="4" t="n">
        <f aca="false">COUNTIFS(Data!$C$2:$C$7199,C133,Data!$D$2:$D$7199,D133)</f>
        <v>49</v>
      </c>
      <c r="G133" s="6" t="n">
        <f aca="false">SUMIFS(Data!$L$2:$L$7199,Data!$C$2:$C$7199,$C133,Data!$D$2:$D$7199,$D133,Data!$F$2:$F$7199,"Tools &amp; Equipment")</f>
        <v>1979550</v>
      </c>
      <c r="H133" s="6" t="n">
        <f aca="false">SUMIFS(Data!$L$2:$L$7199,Data!$C$2:$C$7199,$C133,Data!$D$2:$D$7199,$D133,Data!$F$2:$F$7199,"Other Lab Items")</f>
        <v>204550</v>
      </c>
      <c r="I133" s="6" t="n">
        <f aca="false">SUMIFS(Data!$L$2:$L$7199,Data!$C$2:$C$7199,$C133,Data!$D$2:$D$7199,$D133,Data!$F$2:$F$7199,"Consumables")</f>
        <v>1550</v>
      </c>
      <c r="J133" s="6" t="n">
        <f aca="false">SUM(G133:I133)</f>
        <v>2185650</v>
      </c>
      <c r="K133" s="4" t="n">
        <f aca="false">ROUND(J133/100000,2)</f>
        <v>21.86</v>
      </c>
    </row>
    <row r="134" customFormat="false" ht="15" hidden="false" customHeight="false" outlineLevel="0" collapsed="false">
      <c r="A134" s="4" t="s">
        <v>283</v>
      </c>
      <c r="B134" s="5" t="s">
        <v>292</v>
      </c>
      <c r="C134" s="5" t="s">
        <v>293</v>
      </c>
      <c r="D134" s="4" t="s">
        <v>22</v>
      </c>
      <c r="E134" s="4" t="s">
        <v>31</v>
      </c>
      <c r="F134" s="4" t="n">
        <f aca="false">COUNTIFS(Data!$C$2:$C$7199,C134,Data!$D$2:$D$7199,D134)</f>
        <v>31</v>
      </c>
      <c r="G134" s="6" t="n">
        <f aca="false">SUMIFS(Data!$L$2:$L$7199,Data!$C$2:$C$7199,$C134,Data!$D$2:$D$7199,$D134,Data!$F$2:$F$7199,"Tools &amp; Equipment")</f>
        <v>143350</v>
      </c>
      <c r="H134" s="6" t="n">
        <f aca="false">SUMIFS(Data!$L$2:$L$7199,Data!$C$2:$C$7199,$C134,Data!$D$2:$D$7199,$D134,Data!$F$2:$F$7199,"Other Lab Items")</f>
        <v>199700</v>
      </c>
      <c r="I134" s="6" t="n">
        <f aca="false">SUMIFS(Data!$L$2:$L$7199,Data!$C$2:$C$7199,$C134,Data!$D$2:$D$7199,$D134,Data!$F$2:$F$7199,"Consumables")</f>
        <v>1830</v>
      </c>
      <c r="J134" s="6" t="n">
        <f aca="false">SUM(G134:I134)</f>
        <v>344880</v>
      </c>
      <c r="K134" s="4" t="n">
        <f aca="false">ROUND(J134/100000,2)</f>
        <v>3.45</v>
      </c>
    </row>
    <row r="135" customFormat="false" ht="15" hidden="false" customHeight="false" outlineLevel="0" collapsed="false">
      <c r="A135" s="4" t="s">
        <v>283</v>
      </c>
      <c r="B135" s="5" t="s">
        <v>294</v>
      </c>
      <c r="C135" s="5" t="s">
        <v>295</v>
      </c>
      <c r="D135" s="4" t="s">
        <v>16</v>
      </c>
      <c r="E135" s="4" t="s">
        <v>31</v>
      </c>
      <c r="F135" s="4" t="n">
        <f aca="false">COUNTIFS(Data!$C$2:$C$7199,C135,Data!$D$2:$D$7199,D135)</f>
        <v>31</v>
      </c>
      <c r="G135" s="6" t="n">
        <f aca="false">SUMIFS(Data!$L$2:$L$7199,Data!$C$2:$C$7199,$C135,Data!$D$2:$D$7199,$D135,Data!$F$2:$F$7199,"Tools &amp; Equipment")</f>
        <v>143350</v>
      </c>
      <c r="H135" s="6" t="n">
        <f aca="false">SUMIFS(Data!$L$2:$L$7199,Data!$C$2:$C$7199,$C135,Data!$D$2:$D$7199,$D135,Data!$F$2:$F$7199,"Other Lab Items")</f>
        <v>199700</v>
      </c>
      <c r="I135" s="6" t="n">
        <f aca="false">SUMIFS(Data!$L$2:$L$7199,Data!$C$2:$C$7199,$C135,Data!$D$2:$D$7199,$D135,Data!$F$2:$F$7199,"Consumables")</f>
        <v>1830</v>
      </c>
      <c r="J135" s="6" t="n">
        <f aca="false">SUM(G135:I135)</f>
        <v>344880</v>
      </c>
      <c r="K135" s="4" t="n">
        <f aca="false">ROUND(J135/100000,2)</f>
        <v>3.45</v>
      </c>
    </row>
    <row r="136" customFormat="false" ht="15" hidden="false" customHeight="false" outlineLevel="0" collapsed="false">
      <c r="A136" s="4" t="s">
        <v>283</v>
      </c>
      <c r="B136" s="5" t="s">
        <v>296</v>
      </c>
      <c r="C136" s="5" t="s">
        <v>297</v>
      </c>
      <c r="D136" s="4" t="s">
        <v>16</v>
      </c>
      <c r="E136" s="4" t="s">
        <v>17</v>
      </c>
      <c r="F136" s="4" t="n">
        <f aca="false">COUNTIFS(Data!$C$2:$C$7199,C136,Data!$D$2:$D$7199,D136)</f>
        <v>45</v>
      </c>
      <c r="G136" s="6" t="n">
        <f aca="false">SUMIFS(Data!$L$2:$L$7199,Data!$C$2:$C$7199,$C136,Data!$D$2:$D$7199,$D136,Data!$F$2:$F$7199,"Tools &amp; Equipment")</f>
        <v>31920</v>
      </c>
      <c r="H136" s="6" t="n">
        <f aca="false">SUMIFS(Data!$L$2:$L$7199,Data!$C$2:$C$7199,$C136,Data!$D$2:$D$7199,$D136,Data!$F$2:$F$7199,"Other Lab Items")</f>
        <v>608150</v>
      </c>
      <c r="I136" s="6" t="n">
        <f aca="false">SUMIFS(Data!$L$2:$L$7199,Data!$C$2:$C$7199,$C136,Data!$D$2:$D$7199,$D136,Data!$F$2:$F$7199,"Consumables")</f>
        <v>3590</v>
      </c>
      <c r="J136" s="6" t="n">
        <f aca="false">SUM(G136:I136)</f>
        <v>643660</v>
      </c>
      <c r="K136" s="4" t="n">
        <f aca="false">ROUND(J136/100000,2)</f>
        <v>6.44</v>
      </c>
    </row>
    <row r="137" customFormat="false" ht="15" hidden="false" customHeight="false" outlineLevel="0" collapsed="false">
      <c r="A137" s="4" t="s">
        <v>283</v>
      </c>
      <c r="B137" s="5" t="s">
        <v>298</v>
      </c>
      <c r="C137" s="5" t="s">
        <v>299</v>
      </c>
      <c r="D137" s="4" t="s">
        <v>22</v>
      </c>
      <c r="E137" s="4" t="s">
        <v>31</v>
      </c>
      <c r="F137" s="4" t="n">
        <f aca="false">COUNTIFS(Data!$C$2:$C$7199,C137,Data!$D$2:$D$7199,D137)</f>
        <v>33</v>
      </c>
      <c r="G137" s="6" t="n">
        <f aca="false">SUMIFS(Data!$L$2:$L$7199,Data!$C$2:$C$7199,$C137,Data!$D$2:$D$7199,$D137,Data!$F$2:$F$7199,"Tools &amp; Equipment")</f>
        <v>151850</v>
      </c>
      <c r="H137" s="6" t="n">
        <f aca="false">SUMIFS(Data!$L$2:$L$7199,Data!$C$2:$C$7199,$C137,Data!$D$2:$D$7199,$D137,Data!$F$2:$F$7199,"Other Lab Items")</f>
        <v>203200</v>
      </c>
      <c r="I137" s="6" t="n">
        <f aca="false">SUMIFS(Data!$L$2:$L$7199,Data!$C$2:$C$7199,$C137,Data!$D$2:$D$7199,$D137,Data!$F$2:$F$7199,"Consumables")</f>
        <v>4330</v>
      </c>
      <c r="J137" s="6" t="n">
        <f aca="false">SUM(G137:I137)</f>
        <v>359380</v>
      </c>
      <c r="K137" s="4" t="n">
        <f aca="false">ROUND(J137/100000,2)</f>
        <v>3.59</v>
      </c>
    </row>
    <row r="138" customFormat="false" ht="15" hidden="false" customHeight="false" outlineLevel="0" collapsed="false">
      <c r="A138" s="4" t="s">
        <v>283</v>
      </c>
      <c r="B138" s="5" t="s">
        <v>300</v>
      </c>
      <c r="C138" s="5" t="s">
        <v>301</v>
      </c>
      <c r="D138" s="4" t="s">
        <v>16</v>
      </c>
      <c r="E138" s="4" t="s">
        <v>31</v>
      </c>
      <c r="F138" s="4" t="n">
        <f aca="false">COUNTIFS(Data!$C$2:$C$7199,C138,Data!$D$2:$D$7199,D138)</f>
        <v>33</v>
      </c>
      <c r="G138" s="6" t="n">
        <f aca="false">SUMIFS(Data!$L$2:$L$7199,Data!$C$2:$C$7199,$C138,Data!$D$2:$D$7199,$D138,Data!$F$2:$F$7199,"Tools &amp; Equipment")</f>
        <v>151850</v>
      </c>
      <c r="H138" s="6" t="n">
        <f aca="false">SUMIFS(Data!$L$2:$L$7199,Data!$C$2:$C$7199,$C138,Data!$D$2:$D$7199,$D138,Data!$F$2:$F$7199,"Other Lab Items")</f>
        <v>199700</v>
      </c>
      <c r="I138" s="6" t="n">
        <f aca="false">SUMIFS(Data!$L$2:$L$7199,Data!$C$2:$C$7199,$C138,Data!$D$2:$D$7199,$D138,Data!$F$2:$F$7199,"Consumables")</f>
        <v>4330</v>
      </c>
      <c r="J138" s="6" t="n">
        <f aca="false">SUM(G138:I138)</f>
        <v>355880</v>
      </c>
      <c r="K138" s="4" t="n">
        <f aca="false">ROUND(J138/100000,2)</f>
        <v>3.56</v>
      </c>
    </row>
    <row r="139" customFormat="false" ht="15" hidden="false" customHeight="false" outlineLevel="0" collapsed="false">
      <c r="A139" s="4" t="s">
        <v>283</v>
      </c>
      <c r="B139" s="5" t="s">
        <v>302</v>
      </c>
      <c r="C139" s="5" t="s">
        <v>303</v>
      </c>
      <c r="D139" s="4" t="s">
        <v>16</v>
      </c>
      <c r="E139" s="4" t="s">
        <v>17</v>
      </c>
      <c r="F139" s="4" t="n">
        <f aca="false">COUNTIFS(Data!$C$2:$C$7199,C139,Data!$D$2:$D$7199,D139)</f>
        <v>33</v>
      </c>
      <c r="G139" s="6" t="n">
        <f aca="false">SUMIFS(Data!$L$2:$L$7199,Data!$C$2:$C$7199,$C139,Data!$D$2:$D$7199,$D139,Data!$F$2:$F$7199,"Tools &amp; Equipment")</f>
        <v>143350</v>
      </c>
      <c r="H139" s="6" t="n">
        <f aca="false">SUMIFS(Data!$L$2:$L$7199,Data!$C$2:$C$7199,$C139,Data!$D$2:$D$7199,$D139,Data!$F$2:$F$7199,"Other Lab Items")</f>
        <v>208685</v>
      </c>
      <c r="I139" s="6" t="n">
        <f aca="false">SUMIFS(Data!$L$2:$L$7199,Data!$C$2:$C$7199,$C139,Data!$D$2:$D$7199,$D139,Data!$F$2:$F$7199,"Consumables")</f>
        <v>3845</v>
      </c>
      <c r="J139" s="6" t="n">
        <f aca="false">SUM(G139:I139)</f>
        <v>355880</v>
      </c>
      <c r="K139" s="4" t="n">
        <f aca="false">ROUND(J139/100000,2)</f>
        <v>3.56</v>
      </c>
    </row>
    <row r="140" customFormat="false" ht="15" hidden="false" customHeight="false" outlineLevel="0" collapsed="false">
      <c r="A140" s="4" t="s">
        <v>304</v>
      </c>
      <c r="B140" s="5" t="s">
        <v>305</v>
      </c>
      <c r="C140" s="5" t="s">
        <v>306</v>
      </c>
      <c r="D140" s="4" t="s">
        <v>16</v>
      </c>
      <c r="E140" s="4" t="s">
        <v>17</v>
      </c>
      <c r="F140" s="4" t="n">
        <f aca="false">COUNTIFS(Data!$C$2:$C$7199,C140,Data!$D$2:$D$7199,D140)</f>
        <v>3</v>
      </c>
      <c r="G140" s="6" t="n">
        <f aca="false">SUMIFS(Data!$L$2:$L$7199,Data!$C$2:$C$7199,$C140,Data!$D$2:$D$7199,$D140,Data!$F$2:$F$7199,"Tools &amp; Equipment")</f>
        <v>37000</v>
      </c>
      <c r="H140" s="6" t="n">
        <f aca="false">SUMIFS(Data!$L$2:$L$7199,Data!$C$2:$C$7199,$C140,Data!$D$2:$D$7199,$D140,Data!$F$2:$F$7199,"Other Lab Items")</f>
        <v>5000</v>
      </c>
      <c r="I140" s="6" t="n">
        <f aca="false">SUMIFS(Data!$L$2:$L$7199,Data!$C$2:$C$7199,$C140,Data!$D$2:$D$7199,$D140,Data!$F$2:$F$7199,"Consumables")</f>
        <v>0</v>
      </c>
      <c r="J140" s="6" t="n">
        <f aca="false">SUM(G140:I140)</f>
        <v>42000</v>
      </c>
      <c r="K140" s="4" t="n">
        <f aca="false">ROUND(J140/100000,2)</f>
        <v>0.42</v>
      </c>
    </row>
    <row r="141" customFormat="false" ht="15" hidden="false" customHeight="false" outlineLevel="0" collapsed="false">
      <c r="A141" s="4" t="s">
        <v>304</v>
      </c>
      <c r="B141" s="5" t="s">
        <v>307</v>
      </c>
      <c r="C141" s="5" t="s">
        <v>308</v>
      </c>
      <c r="D141" s="4" t="s">
        <v>16</v>
      </c>
      <c r="E141" s="4" t="s">
        <v>31</v>
      </c>
      <c r="F141" s="4" t="n">
        <f aca="false">COUNTIFS(Data!$C$2:$C$7199,C141,Data!$D$2:$D$7199,D141)</f>
        <v>40</v>
      </c>
      <c r="G141" s="6" t="n">
        <f aca="false">SUMIFS(Data!$L$2:$L$7199,Data!$C$2:$C$7199,$C141,Data!$D$2:$D$7199,$D141,Data!$F$2:$F$7199,"Tools &amp; Equipment")</f>
        <v>191350</v>
      </c>
      <c r="H141" s="6" t="n">
        <f aca="false">SUMIFS(Data!$L$2:$L$7199,Data!$C$2:$C$7199,$C141,Data!$D$2:$D$7199,$D141,Data!$F$2:$F$7199,"Other Lab Items")</f>
        <v>66600</v>
      </c>
      <c r="I141" s="6" t="n">
        <f aca="false">SUMIFS(Data!$L$2:$L$7199,Data!$C$2:$C$7199,$C141,Data!$D$2:$D$7199,$D141,Data!$F$2:$F$7199,"Consumables")</f>
        <v>3840</v>
      </c>
      <c r="J141" s="6" t="n">
        <f aca="false">SUM(G141:I141)</f>
        <v>261790</v>
      </c>
      <c r="K141" s="4" t="n">
        <f aca="false">ROUND(J141/100000,2)</f>
        <v>2.62</v>
      </c>
    </row>
    <row r="142" customFormat="false" ht="23.85" hidden="false" customHeight="false" outlineLevel="0" collapsed="false">
      <c r="A142" s="4" t="s">
        <v>304</v>
      </c>
      <c r="B142" s="5" t="s">
        <v>309</v>
      </c>
      <c r="C142" s="5" t="s">
        <v>310</v>
      </c>
      <c r="D142" s="4" t="s">
        <v>22</v>
      </c>
      <c r="E142" s="4" t="s">
        <v>31</v>
      </c>
      <c r="F142" s="4" t="n">
        <f aca="false">COUNTIFS(Data!$C$2:$C$7199,C142,Data!$D$2:$D$7199,D142)</f>
        <v>15</v>
      </c>
      <c r="G142" s="6" t="n">
        <f aca="false">SUMIFS(Data!$L$2:$L$7199,Data!$C$2:$C$7199,$C142,Data!$D$2:$D$7199,$D142,Data!$F$2:$F$7199,"Tools &amp; Equipment")</f>
        <v>519750</v>
      </c>
      <c r="H142" s="6" t="n">
        <f aca="false">SUMIFS(Data!$L$2:$L$7199,Data!$C$2:$C$7199,$C142,Data!$D$2:$D$7199,$D142,Data!$F$2:$F$7199,"Other Lab Items")</f>
        <v>360</v>
      </c>
      <c r="I142" s="6" t="n">
        <f aca="false">SUMIFS(Data!$L$2:$L$7199,Data!$C$2:$C$7199,$C142,Data!$D$2:$D$7199,$D142,Data!$F$2:$F$7199,"Consumables")</f>
        <v>0</v>
      </c>
      <c r="J142" s="6" t="n">
        <f aca="false">SUM(G142:I142)</f>
        <v>520110</v>
      </c>
      <c r="K142" s="4" t="n">
        <f aca="false">ROUND(J142/100000,2)</f>
        <v>5.2</v>
      </c>
    </row>
    <row r="143" customFormat="false" ht="23.85" hidden="false" customHeight="false" outlineLevel="0" collapsed="false">
      <c r="A143" s="4" t="s">
        <v>304</v>
      </c>
      <c r="B143" s="5" t="s">
        <v>311</v>
      </c>
      <c r="C143" s="5" t="s">
        <v>312</v>
      </c>
      <c r="D143" s="4" t="s">
        <v>16</v>
      </c>
      <c r="E143" s="4" t="s">
        <v>31</v>
      </c>
      <c r="F143" s="4" t="n">
        <f aca="false">COUNTIFS(Data!$C$2:$C$7199,C143,Data!$D$2:$D$7199,D143)</f>
        <v>24</v>
      </c>
      <c r="G143" s="6" t="n">
        <f aca="false">SUMIFS(Data!$L$2:$L$7199,Data!$C$2:$C$7199,$C143,Data!$D$2:$D$7199,$D143,Data!$F$2:$F$7199,"Tools &amp; Equipment")</f>
        <v>198400</v>
      </c>
      <c r="H143" s="6" t="n">
        <f aca="false">SUMIFS(Data!$L$2:$L$7199,Data!$C$2:$C$7199,$C143,Data!$D$2:$D$7199,$D143,Data!$F$2:$F$7199,"Other Lab Items")</f>
        <v>11900</v>
      </c>
      <c r="I143" s="6" t="n">
        <f aca="false">SUMIFS(Data!$L$2:$L$7199,Data!$C$2:$C$7199,$C143,Data!$D$2:$D$7199,$D143,Data!$F$2:$F$7199,"Consumables")</f>
        <v>0</v>
      </c>
      <c r="J143" s="6" t="n">
        <f aca="false">SUM(G143:I143)</f>
        <v>210300</v>
      </c>
      <c r="K143" s="4" t="n">
        <f aca="false">ROUND(J143/100000,2)</f>
        <v>2.1</v>
      </c>
    </row>
    <row r="144" customFormat="false" ht="15" hidden="false" customHeight="false" outlineLevel="0" collapsed="false">
      <c r="A144" s="4" t="s">
        <v>304</v>
      </c>
      <c r="B144" s="5" t="s">
        <v>313</v>
      </c>
      <c r="C144" s="5" t="s">
        <v>314</v>
      </c>
      <c r="D144" s="4" t="s">
        <v>16</v>
      </c>
      <c r="E144" s="4" t="s">
        <v>17</v>
      </c>
      <c r="F144" s="4" t="n">
        <f aca="false">COUNTIFS(Data!$C$2:$C$7199,C144,Data!$D$2:$D$7199,D144)</f>
        <v>15</v>
      </c>
      <c r="G144" s="6" t="n">
        <f aca="false">SUMIFS(Data!$L$2:$L$7199,Data!$C$2:$C$7199,$C144,Data!$D$2:$D$7199,$D144,Data!$F$2:$F$7199,"Tools &amp; Equipment")</f>
        <v>150800</v>
      </c>
      <c r="H144" s="6" t="n">
        <f aca="false">SUMIFS(Data!$L$2:$L$7199,Data!$C$2:$C$7199,$C144,Data!$D$2:$D$7199,$D144,Data!$F$2:$F$7199,"Other Lab Items")</f>
        <v>140450</v>
      </c>
      <c r="I144" s="6" t="n">
        <f aca="false">SUMIFS(Data!$L$2:$L$7199,Data!$C$2:$C$7199,$C144,Data!$D$2:$D$7199,$D144,Data!$F$2:$F$7199,"Consumables")</f>
        <v>0</v>
      </c>
      <c r="J144" s="6" t="n">
        <f aca="false">SUM(G144:I144)</f>
        <v>291250</v>
      </c>
      <c r="K144" s="4" t="n">
        <f aca="false">ROUND(J144/100000,2)</f>
        <v>2.91</v>
      </c>
    </row>
    <row r="145" customFormat="false" ht="15" hidden="false" customHeight="false" outlineLevel="0" collapsed="false">
      <c r="A145" s="4" t="s">
        <v>315</v>
      </c>
      <c r="B145" s="5" t="s">
        <v>316</v>
      </c>
      <c r="C145" s="5" t="s">
        <v>317</v>
      </c>
      <c r="D145" s="4" t="s">
        <v>16</v>
      </c>
      <c r="E145" s="4" t="s">
        <v>31</v>
      </c>
      <c r="F145" s="4" t="n">
        <f aca="false">COUNTIFS(Data!$C$2:$C$7199,C145,Data!$D$2:$D$7199,D145)</f>
        <v>35</v>
      </c>
      <c r="G145" s="6" t="n">
        <f aca="false">SUMIFS(Data!$L$2:$L$7199,Data!$C$2:$C$7199,$C145,Data!$D$2:$D$7199,$D145,Data!$F$2:$F$7199,"Tools &amp; Equipment")</f>
        <v>200150</v>
      </c>
      <c r="H145" s="6" t="n">
        <f aca="false">SUMIFS(Data!$L$2:$L$7199,Data!$C$2:$C$7199,$C145,Data!$D$2:$D$7199,$D145,Data!$F$2:$F$7199,"Other Lab Items")</f>
        <v>0</v>
      </c>
      <c r="I145" s="6" t="n">
        <f aca="false">SUMIFS(Data!$L$2:$L$7199,Data!$C$2:$C$7199,$C145,Data!$D$2:$D$7199,$D145,Data!$F$2:$F$7199,"Consumables")</f>
        <v>53850</v>
      </c>
      <c r="J145" s="6" t="n">
        <f aca="false">SUM(G145:I145)</f>
        <v>254000</v>
      </c>
      <c r="K145" s="4" t="n">
        <f aca="false">ROUND(J145/100000,2)</f>
        <v>2.54</v>
      </c>
    </row>
    <row r="146" customFormat="false" ht="15" hidden="false" customHeight="false" outlineLevel="0" collapsed="false">
      <c r="A146" s="4" t="s">
        <v>315</v>
      </c>
      <c r="B146" s="5" t="s">
        <v>318</v>
      </c>
      <c r="C146" s="5" t="s">
        <v>319</v>
      </c>
      <c r="D146" s="4" t="s">
        <v>22</v>
      </c>
      <c r="E146" s="4" t="s">
        <v>31</v>
      </c>
      <c r="F146" s="4" t="n">
        <f aca="false">COUNTIFS(Data!$C$2:$C$7199,C146,Data!$D$2:$D$7199,D146)</f>
        <v>32</v>
      </c>
      <c r="G146" s="6" t="n">
        <f aca="false">SUMIFS(Data!$L$2:$L$7199,Data!$C$2:$C$7199,$C146,Data!$D$2:$D$7199,$D146,Data!$F$2:$F$7199,"Tools &amp; Equipment")</f>
        <v>226350</v>
      </c>
      <c r="H146" s="6" t="n">
        <f aca="false">SUMIFS(Data!$L$2:$L$7199,Data!$C$2:$C$7199,$C146,Data!$D$2:$D$7199,$D146,Data!$F$2:$F$7199,"Other Lab Items")</f>
        <v>46550</v>
      </c>
      <c r="I146" s="6" t="n">
        <f aca="false">SUMIFS(Data!$L$2:$L$7199,Data!$C$2:$C$7199,$C146,Data!$D$2:$D$7199,$D146,Data!$F$2:$F$7199,"Consumables")</f>
        <v>1480</v>
      </c>
      <c r="J146" s="6" t="n">
        <f aca="false">SUM(G146:I146)</f>
        <v>274380</v>
      </c>
      <c r="K146" s="4" t="n">
        <f aca="false">ROUND(J146/100000,2)</f>
        <v>2.74</v>
      </c>
    </row>
    <row r="147" customFormat="false" ht="15" hidden="false" customHeight="false" outlineLevel="0" collapsed="false">
      <c r="A147" s="4" t="s">
        <v>315</v>
      </c>
      <c r="B147" s="5" t="s">
        <v>320</v>
      </c>
      <c r="C147" s="5" t="s">
        <v>321</v>
      </c>
      <c r="D147" s="4" t="s">
        <v>22</v>
      </c>
      <c r="E147" s="4" t="s">
        <v>31</v>
      </c>
      <c r="F147" s="4" t="n">
        <f aca="false">COUNTIFS(Data!$C$2:$C$7199,C147,Data!$D$2:$D$7199,D147)</f>
        <v>34</v>
      </c>
      <c r="G147" s="6" t="n">
        <f aca="false">SUMIFS(Data!$L$2:$L$7199,Data!$C$2:$C$7199,$C147,Data!$D$2:$D$7199,$D147,Data!$F$2:$F$7199,"Tools &amp; Equipment")</f>
        <v>234850</v>
      </c>
      <c r="H147" s="6" t="n">
        <f aca="false">SUMIFS(Data!$L$2:$L$7199,Data!$C$2:$C$7199,$C147,Data!$D$2:$D$7199,$D147,Data!$F$2:$F$7199,"Other Lab Items")</f>
        <v>51050</v>
      </c>
      <c r="I147" s="6" t="n">
        <f aca="false">SUMIFS(Data!$L$2:$L$7199,Data!$C$2:$C$7199,$C147,Data!$D$2:$D$7199,$D147,Data!$F$2:$F$7199,"Consumables")</f>
        <v>1480</v>
      </c>
      <c r="J147" s="6" t="n">
        <f aca="false">SUM(G147:I147)</f>
        <v>287380</v>
      </c>
      <c r="K147" s="4" t="n">
        <f aca="false">ROUND(J147/100000,2)</f>
        <v>2.87</v>
      </c>
    </row>
    <row r="148" customFormat="false" ht="15" hidden="false" customHeight="false" outlineLevel="0" collapsed="false">
      <c r="A148" s="4" t="s">
        <v>315</v>
      </c>
      <c r="B148" s="5" t="s">
        <v>320</v>
      </c>
      <c r="C148" s="5" t="s">
        <v>321</v>
      </c>
      <c r="D148" s="4" t="s">
        <v>16</v>
      </c>
      <c r="E148" s="4" t="s">
        <v>31</v>
      </c>
      <c r="F148" s="4" t="n">
        <f aca="false">COUNTIFS(Data!$C$2:$C$7199,C148,Data!$D$2:$D$7199,D148)</f>
        <v>34</v>
      </c>
      <c r="G148" s="6" t="n">
        <f aca="false">SUMIFS(Data!$L$2:$L$7199,Data!$C$2:$C$7199,$C148,Data!$D$2:$D$7199,$D148,Data!$F$2:$F$7199,"Tools &amp; Equipment")</f>
        <v>234850</v>
      </c>
      <c r="H148" s="6" t="n">
        <f aca="false">SUMIFS(Data!$L$2:$L$7199,Data!$C$2:$C$7199,$C148,Data!$D$2:$D$7199,$D148,Data!$F$2:$F$7199,"Other Lab Items")</f>
        <v>51050</v>
      </c>
      <c r="I148" s="6" t="n">
        <f aca="false">SUMIFS(Data!$L$2:$L$7199,Data!$C$2:$C$7199,$C148,Data!$D$2:$D$7199,$D148,Data!$F$2:$F$7199,"Consumables")</f>
        <v>1480</v>
      </c>
      <c r="J148" s="6" t="n">
        <f aca="false">SUM(G148:I148)</f>
        <v>287380</v>
      </c>
      <c r="K148" s="4" t="n">
        <f aca="false">ROUND(J148/100000,2)</f>
        <v>2.87</v>
      </c>
    </row>
    <row r="149" customFormat="false" ht="15" hidden="false" customHeight="false" outlineLevel="0" collapsed="false">
      <c r="A149" s="4" t="s">
        <v>322</v>
      </c>
      <c r="B149" s="5" t="s">
        <v>323</v>
      </c>
      <c r="C149" s="5" t="s">
        <v>324</v>
      </c>
      <c r="D149" s="4" t="s">
        <v>22</v>
      </c>
      <c r="E149" s="4" t="s">
        <v>31</v>
      </c>
      <c r="F149" s="4" t="n">
        <f aca="false">COUNTIFS(Data!$C$2:$C$7199,C149,Data!$D$2:$D$7199,D149)</f>
        <v>19</v>
      </c>
      <c r="G149" s="6" t="n">
        <f aca="false">SUMIFS(Data!$L$2:$L$7199,Data!$C$2:$C$7199,$C149,Data!$D$2:$D$7199,$D149,Data!$F$2:$F$7199,"Tools &amp; Equipment")</f>
        <v>52500</v>
      </c>
      <c r="H149" s="6" t="n">
        <f aca="false">SUMIFS(Data!$L$2:$L$7199,Data!$C$2:$C$7199,$C149,Data!$D$2:$D$7199,$D149,Data!$F$2:$F$7199,"Other Lab Items")</f>
        <v>0</v>
      </c>
      <c r="I149" s="6" t="n">
        <f aca="false">SUMIFS(Data!$L$2:$L$7199,Data!$C$2:$C$7199,$C149,Data!$D$2:$D$7199,$D149,Data!$F$2:$F$7199,"Consumables")</f>
        <v>195</v>
      </c>
      <c r="J149" s="6" t="n">
        <f aca="false">SUM(G149:I149)</f>
        <v>52695</v>
      </c>
      <c r="K149" s="4" t="n">
        <f aca="false">ROUND(J149/100000,2)</f>
        <v>0.53</v>
      </c>
    </row>
    <row r="150" customFormat="false" ht="15" hidden="false" customHeight="false" outlineLevel="0" collapsed="false">
      <c r="A150" s="4" t="s">
        <v>322</v>
      </c>
      <c r="B150" s="5" t="s">
        <v>325</v>
      </c>
      <c r="C150" s="5" t="s">
        <v>326</v>
      </c>
      <c r="D150" s="4" t="s">
        <v>16</v>
      </c>
      <c r="E150" s="4" t="s">
        <v>31</v>
      </c>
      <c r="F150" s="4" t="n">
        <f aca="false">COUNTIFS(Data!$C$2:$C$7199,C150,Data!$D$2:$D$7199,D150)</f>
        <v>19</v>
      </c>
      <c r="G150" s="6" t="n">
        <f aca="false">SUMIFS(Data!$L$2:$L$7199,Data!$C$2:$C$7199,$C150,Data!$D$2:$D$7199,$D150,Data!$F$2:$F$7199,"Tools &amp; Equipment")</f>
        <v>52500</v>
      </c>
      <c r="H150" s="6" t="n">
        <f aca="false">SUMIFS(Data!$L$2:$L$7199,Data!$C$2:$C$7199,$C150,Data!$D$2:$D$7199,$D150,Data!$F$2:$F$7199,"Other Lab Items")</f>
        <v>0</v>
      </c>
      <c r="I150" s="6" t="n">
        <f aca="false">SUMIFS(Data!$L$2:$L$7199,Data!$C$2:$C$7199,$C150,Data!$D$2:$D$7199,$D150,Data!$F$2:$F$7199,"Consumables")</f>
        <v>195</v>
      </c>
      <c r="J150" s="6" t="n">
        <f aca="false">SUM(G150:I150)</f>
        <v>52695</v>
      </c>
      <c r="K150" s="4" t="n">
        <f aca="false">ROUND(J150/100000,2)</f>
        <v>0.53</v>
      </c>
    </row>
    <row r="151" customFormat="false" ht="15" hidden="false" customHeight="false" outlineLevel="0" collapsed="false">
      <c r="A151" s="4" t="s">
        <v>327</v>
      </c>
      <c r="B151" s="5" t="s">
        <v>328</v>
      </c>
      <c r="C151" s="5" t="s">
        <v>329</v>
      </c>
      <c r="D151" s="4" t="s">
        <v>16</v>
      </c>
      <c r="E151" s="4" t="s">
        <v>31</v>
      </c>
      <c r="F151" s="4" t="n">
        <f aca="false">COUNTIFS(Data!$C$2:$C$7199,C151,Data!$D$2:$D$7199,D151)</f>
        <v>3</v>
      </c>
      <c r="G151" s="6" t="n">
        <f aca="false">SUMIFS(Data!$L$2:$L$7199,Data!$C$2:$C$7199,$C151,Data!$D$2:$D$7199,$D151,Data!$F$2:$F$7199,"Tools &amp; Equipment")</f>
        <v>0</v>
      </c>
      <c r="H151" s="6" t="n">
        <f aca="false">SUMIFS(Data!$L$2:$L$7199,Data!$C$2:$C$7199,$C151,Data!$D$2:$D$7199,$D151,Data!$F$2:$F$7199,"Other Lab Items")</f>
        <v>66500</v>
      </c>
      <c r="I151" s="6" t="n">
        <f aca="false">SUMIFS(Data!$L$2:$L$7199,Data!$C$2:$C$7199,$C151,Data!$D$2:$D$7199,$D151,Data!$F$2:$F$7199,"Consumables")</f>
        <v>0</v>
      </c>
      <c r="J151" s="6" t="n">
        <f aca="false">SUM(G151:I151)</f>
        <v>66500</v>
      </c>
      <c r="K151" s="4" t="n">
        <f aca="false">ROUND(J151/100000,2)</f>
        <v>0.67</v>
      </c>
    </row>
    <row r="152" customFormat="false" ht="15" hidden="false" customHeight="false" outlineLevel="0" collapsed="false">
      <c r="A152" s="4" t="s">
        <v>327</v>
      </c>
      <c r="B152" s="5" t="s">
        <v>330</v>
      </c>
      <c r="C152" s="5" t="s">
        <v>331</v>
      </c>
      <c r="D152" s="4" t="s">
        <v>16</v>
      </c>
      <c r="E152" s="4" t="s">
        <v>17</v>
      </c>
      <c r="F152" s="4" t="n">
        <f aca="false">COUNTIFS(Data!$C$2:$C$7199,C152,Data!$D$2:$D$7199,D152)</f>
        <v>10</v>
      </c>
      <c r="G152" s="6" t="n">
        <f aca="false">SUMIFS(Data!$L$2:$L$7199,Data!$C$2:$C$7199,$C152,Data!$D$2:$D$7199,$D152,Data!$F$2:$F$7199,"Tools &amp; Equipment")</f>
        <v>193050</v>
      </c>
      <c r="H152" s="6" t="n">
        <f aca="false">SUMIFS(Data!$L$2:$L$7199,Data!$C$2:$C$7199,$C152,Data!$D$2:$D$7199,$D152,Data!$F$2:$F$7199,"Other Lab Items")</f>
        <v>76500</v>
      </c>
      <c r="I152" s="6" t="n">
        <f aca="false">SUMIFS(Data!$L$2:$L$7199,Data!$C$2:$C$7199,$C152,Data!$D$2:$D$7199,$D152,Data!$F$2:$F$7199,"Consumables")</f>
        <v>0</v>
      </c>
      <c r="J152" s="6" t="n">
        <f aca="false">SUM(G152:I152)</f>
        <v>269550</v>
      </c>
      <c r="K152" s="4" t="n">
        <f aca="false">ROUND(J152/100000,2)</f>
        <v>2.7</v>
      </c>
    </row>
    <row r="153" customFormat="false" ht="15" hidden="false" customHeight="false" outlineLevel="0" collapsed="false">
      <c r="A153" s="4" t="s">
        <v>327</v>
      </c>
      <c r="B153" s="5" t="s">
        <v>332</v>
      </c>
      <c r="C153" s="5" t="s">
        <v>333</v>
      </c>
      <c r="D153" s="4" t="s">
        <v>22</v>
      </c>
      <c r="E153" s="4" t="s">
        <v>31</v>
      </c>
      <c r="F153" s="4" t="n">
        <f aca="false">COUNTIFS(Data!$C$2:$C$7199,C153,Data!$D$2:$D$7199,D153)</f>
        <v>37</v>
      </c>
      <c r="G153" s="6" t="n">
        <f aca="false">SUMIFS(Data!$L$2:$L$7199,Data!$C$2:$C$7199,$C153,Data!$D$2:$D$7199,$D153,Data!$F$2:$F$7199,"Tools &amp; Equipment")</f>
        <v>452900</v>
      </c>
      <c r="H153" s="6" t="n">
        <f aca="false">SUMIFS(Data!$L$2:$L$7199,Data!$C$2:$C$7199,$C153,Data!$D$2:$D$7199,$D153,Data!$F$2:$F$7199,"Other Lab Items")</f>
        <v>67250</v>
      </c>
      <c r="I153" s="6" t="n">
        <f aca="false">SUMIFS(Data!$L$2:$L$7199,Data!$C$2:$C$7199,$C153,Data!$D$2:$D$7199,$D153,Data!$F$2:$F$7199,"Consumables")</f>
        <v>425</v>
      </c>
      <c r="J153" s="6" t="n">
        <f aca="false">SUM(G153:I153)</f>
        <v>520575</v>
      </c>
      <c r="K153" s="4" t="n">
        <f aca="false">ROUND(J153/100000,2)</f>
        <v>5.21</v>
      </c>
    </row>
    <row r="154" customFormat="false" ht="15" hidden="false" customHeight="false" outlineLevel="0" collapsed="false">
      <c r="A154" s="4" t="s">
        <v>334</v>
      </c>
      <c r="B154" s="5" t="s">
        <v>335</v>
      </c>
      <c r="C154" s="5" t="s">
        <v>336</v>
      </c>
      <c r="D154" s="4" t="s">
        <v>16</v>
      </c>
      <c r="E154" s="4" t="s">
        <v>17</v>
      </c>
      <c r="F154" s="4" t="n">
        <f aca="false">COUNTIFS(Data!$C$2:$C$7199,C154,Data!$D$2:$D$7199,D154)</f>
        <v>21</v>
      </c>
      <c r="G154" s="6" t="n">
        <f aca="false">SUMIFS(Data!$L$2:$L$7199,Data!$C$2:$C$7199,$C154,Data!$D$2:$D$7199,$D154,Data!$F$2:$F$7199,"Tools &amp; Equipment")</f>
        <v>339600</v>
      </c>
      <c r="H154" s="6" t="n">
        <f aca="false">SUMIFS(Data!$L$2:$L$7199,Data!$C$2:$C$7199,$C154,Data!$D$2:$D$7199,$D154,Data!$F$2:$F$7199,"Other Lab Items")</f>
        <v>182000</v>
      </c>
      <c r="I154" s="6" t="n">
        <f aca="false">SUMIFS(Data!$L$2:$L$7199,Data!$C$2:$C$7199,$C154,Data!$D$2:$D$7199,$D154,Data!$F$2:$F$7199,"Consumables")</f>
        <v>4400</v>
      </c>
      <c r="J154" s="6" t="n">
        <f aca="false">SUM(G154:I154)</f>
        <v>526000</v>
      </c>
      <c r="K154" s="4" t="n">
        <f aca="false">ROUND(J154/100000,2)</f>
        <v>5.26</v>
      </c>
    </row>
    <row r="155" customFormat="false" ht="15" hidden="false" customHeight="false" outlineLevel="0" collapsed="false">
      <c r="A155" s="4" t="s">
        <v>337</v>
      </c>
      <c r="B155" s="5" t="s">
        <v>338</v>
      </c>
      <c r="C155" s="5" t="s">
        <v>339</v>
      </c>
      <c r="D155" s="4" t="s">
        <v>22</v>
      </c>
      <c r="E155" s="4" t="s">
        <v>31</v>
      </c>
      <c r="F155" s="4" t="n">
        <f aca="false">COUNTIFS(Data!$C$2:$C$7199,C155,Data!$D$2:$D$7199,D155)</f>
        <v>13</v>
      </c>
      <c r="G155" s="6" t="n">
        <f aca="false">SUMIFS(Data!$L$2:$L$7199,Data!$C$2:$C$7199,$C155,Data!$D$2:$D$7199,$D155,Data!$F$2:$F$7199,"Tools &amp; Equipment")</f>
        <v>87500</v>
      </c>
      <c r="H155" s="6" t="n">
        <f aca="false">SUMIFS(Data!$L$2:$L$7199,Data!$C$2:$C$7199,$C155,Data!$D$2:$D$7199,$D155,Data!$F$2:$F$7199,"Other Lab Items")</f>
        <v>84400</v>
      </c>
      <c r="I155" s="6" t="n">
        <f aca="false">SUMIFS(Data!$L$2:$L$7199,Data!$C$2:$C$7199,$C155,Data!$D$2:$D$7199,$D155,Data!$F$2:$F$7199,"Consumables")</f>
        <v>25</v>
      </c>
      <c r="J155" s="6" t="n">
        <f aca="false">SUM(G155:I155)</f>
        <v>171925</v>
      </c>
      <c r="K155" s="4" t="n">
        <f aca="false">ROUND(J155/100000,2)</f>
        <v>1.72</v>
      </c>
    </row>
    <row r="156" customFormat="false" ht="15" hidden="false" customHeight="false" outlineLevel="0" collapsed="false">
      <c r="A156" s="4" t="s">
        <v>337</v>
      </c>
      <c r="B156" s="5" t="s">
        <v>340</v>
      </c>
      <c r="C156" s="5" t="s">
        <v>341</v>
      </c>
      <c r="D156" s="4" t="s">
        <v>22</v>
      </c>
      <c r="E156" s="4" t="s">
        <v>31</v>
      </c>
      <c r="F156" s="4" t="n">
        <f aca="false">COUNTIFS(Data!$C$2:$C$7199,C156,Data!$D$2:$D$7199,D156)</f>
        <v>21</v>
      </c>
      <c r="G156" s="6" t="n">
        <f aca="false">SUMIFS(Data!$L$2:$L$7199,Data!$C$2:$C$7199,$C156,Data!$D$2:$D$7199,$D156,Data!$F$2:$F$7199,"Tools &amp; Equipment")</f>
        <v>306500</v>
      </c>
      <c r="H156" s="6" t="n">
        <f aca="false">SUMIFS(Data!$L$2:$L$7199,Data!$C$2:$C$7199,$C156,Data!$D$2:$D$7199,$D156,Data!$F$2:$F$7199,"Other Lab Items")</f>
        <v>4500</v>
      </c>
      <c r="I156" s="6" t="n">
        <f aca="false">SUMIFS(Data!$L$2:$L$7199,Data!$C$2:$C$7199,$C156,Data!$D$2:$D$7199,$D156,Data!$F$2:$F$7199,"Consumables")</f>
        <v>195</v>
      </c>
      <c r="J156" s="6" t="n">
        <f aca="false">SUM(G156:I156)</f>
        <v>311195</v>
      </c>
      <c r="K156" s="4" t="n">
        <f aca="false">ROUND(J156/100000,2)</f>
        <v>3.11</v>
      </c>
    </row>
    <row r="157" customFormat="false" ht="15" hidden="false" customHeight="false" outlineLevel="0" collapsed="false">
      <c r="A157" s="4" t="s">
        <v>337</v>
      </c>
      <c r="B157" s="5" t="s">
        <v>342</v>
      </c>
      <c r="C157" s="5" t="s">
        <v>343</v>
      </c>
      <c r="D157" s="4" t="s">
        <v>16</v>
      </c>
      <c r="E157" s="4" t="s">
        <v>31</v>
      </c>
      <c r="F157" s="4" t="n">
        <f aca="false">COUNTIFS(Data!$C$2:$C$7199,C157,Data!$D$2:$D$7199,D157)</f>
        <v>54</v>
      </c>
      <c r="G157" s="6" t="n">
        <f aca="false">SUMIFS(Data!$L$2:$L$7199,Data!$C$2:$C$7199,$C157,Data!$D$2:$D$7199,$D157,Data!$F$2:$F$7199,"Tools &amp; Equipment")</f>
        <v>55120</v>
      </c>
      <c r="H157" s="6" t="n">
        <f aca="false">SUMIFS(Data!$L$2:$L$7199,Data!$C$2:$C$7199,$C157,Data!$D$2:$D$7199,$D157,Data!$F$2:$F$7199,"Other Lab Items")</f>
        <v>310690</v>
      </c>
      <c r="I157" s="6" t="n">
        <f aca="false">SUMIFS(Data!$L$2:$L$7199,Data!$C$2:$C$7199,$C157,Data!$D$2:$D$7199,$D157,Data!$F$2:$F$7199,"Consumables")</f>
        <v>305</v>
      </c>
      <c r="J157" s="6" t="n">
        <f aca="false">SUM(G157:I157)</f>
        <v>366115</v>
      </c>
      <c r="K157" s="4" t="n">
        <f aca="false">ROUND(J157/100000,2)</f>
        <v>3.66</v>
      </c>
    </row>
    <row r="158" customFormat="false" ht="23.85" hidden="false" customHeight="false" outlineLevel="0" collapsed="false">
      <c r="A158" s="4" t="s">
        <v>337</v>
      </c>
      <c r="B158" s="5" t="s">
        <v>344</v>
      </c>
      <c r="C158" s="5" t="s">
        <v>345</v>
      </c>
      <c r="D158" s="4" t="s">
        <v>16</v>
      </c>
      <c r="E158" s="4" t="s">
        <v>31</v>
      </c>
      <c r="F158" s="4" t="n">
        <f aca="false">COUNTIFS(Data!$C$2:$C$7199,C158,Data!$D$2:$D$7199,D158)</f>
        <v>32</v>
      </c>
      <c r="G158" s="6" t="n">
        <f aca="false">SUMIFS(Data!$L$2:$L$7199,Data!$C$2:$C$7199,$C158,Data!$D$2:$D$7199,$D158,Data!$F$2:$F$7199,"Tools &amp; Equipment")</f>
        <v>44350</v>
      </c>
      <c r="H158" s="6" t="n">
        <f aca="false">SUMIFS(Data!$L$2:$L$7199,Data!$C$2:$C$7199,$C158,Data!$D$2:$D$7199,$D158,Data!$F$2:$F$7199,"Other Lab Items")</f>
        <v>175230</v>
      </c>
      <c r="I158" s="6" t="n">
        <f aca="false">SUMIFS(Data!$L$2:$L$7199,Data!$C$2:$C$7199,$C158,Data!$D$2:$D$7199,$D158,Data!$F$2:$F$7199,"Consumables")</f>
        <v>510</v>
      </c>
      <c r="J158" s="6" t="n">
        <f aca="false">SUM(G158:I158)</f>
        <v>220090</v>
      </c>
      <c r="K158" s="4" t="n">
        <f aca="false">ROUND(J158/100000,2)</f>
        <v>2.2</v>
      </c>
    </row>
    <row r="159" customFormat="false" ht="15" hidden="false" customHeight="false" outlineLevel="0" collapsed="false">
      <c r="A159" s="4" t="s">
        <v>346</v>
      </c>
      <c r="B159" s="5" t="s">
        <v>347</v>
      </c>
      <c r="C159" s="5" t="s">
        <v>348</v>
      </c>
      <c r="D159" s="4" t="s">
        <v>16</v>
      </c>
      <c r="E159" s="4" t="s">
        <v>31</v>
      </c>
      <c r="F159" s="4" t="n">
        <f aca="false">COUNTIFS(Data!$C$2:$C$7199,C159,Data!$D$2:$D$7199,D159)</f>
        <v>55</v>
      </c>
      <c r="G159" s="6" t="n">
        <f aca="false">SUMIFS(Data!$L$2:$L$7199,Data!$C$2:$C$7199,$C159,Data!$D$2:$D$7199,$D159,Data!$F$2:$F$7199,"Tools &amp; Equipment")</f>
        <v>126710</v>
      </c>
      <c r="H159" s="6" t="n">
        <f aca="false">SUMIFS(Data!$L$2:$L$7199,Data!$C$2:$C$7199,$C159,Data!$D$2:$D$7199,$D159,Data!$F$2:$F$7199,"Other Lab Items")</f>
        <v>201000</v>
      </c>
      <c r="I159" s="6" t="n">
        <f aca="false">SUMIFS(Data!$L$2:$L$7199,Data!$C$2:$C$7199,$C159,Data!$D$2:$D$7199,$D159,Data!$F$2:$F$7199,"Consumables")</f>
        <v>15300</v>
      </c>
      <c r="J159" s="6" t="n">
        <f aca="false">SUM(G159:I159)</f>
        <v>343010</v>
      </c>
      <c r="K159" s="4" t="n">
        <f aca="false">ROUND(J159/100000,2)</f>
        <v>3.43</v>
      </c>
    </row>
    <row r="160" customFormat="false" ht="23.85" hidden="false" customHeight="false" outlineLevel="0" collapsed="false">
      <c r="A160" s="4" t="s">
        <v>346</v>
      </c>
      <c r="B160" s="5" t="s">
        <v>349</v>
      </c>
      <c r="C160" s="5" t="s">
        <v>350</v>
      </c>
      <c r="D160" s="4" t="s">
        <v>16</v>
      </c>
      <c r="E160" s="4" t="s">
        <v>31</v>
      </c>
      <c r="F160" s="4" t="n">
        <f aca="false">COUNTIFS(Data!$C$2:$C$7199,C160,Data!$D$2:$D$7199,D160)</f>
        <v>14</v>
      </c>
      <c r="G160" s="6" t="n">
        <f aca="false">SUMIFS(Data!$L$2:$L$7199,Data!$C$2:$C$7199,$C160,Data!$D$2:$D$7199,$D160,Data!$F$2:$F$7199,"Tools &amp; Equipment")</f>
        <v>0</v>
      </c>
      <c r="H160" s="6" t="n">
        <f aca="false">SUMIFS(Data!$L$2:$L$7199,Data!$C$2:$C$7199,$C160,Data!$D$2:$D$7199,$D160,Data!$F$2:$F$7199,"Other Lab Items")</f>
        <v>75420</v>
      </c>
      <c r="I160" s="6" t="n">
        <f aca="false">SUMIFS(Data!$L$2:$L$7199,Data!$C$2:$C$7199,$C160,Data!$D$2:$D$7199,$D160,Data!$F$2:$F$7199,"Consumables")</f>
        <v>0</v>
      </c>
      <c r="J160" s="6" t="n">
        <f aca="false">SUM(G160:I160)</f>
        <v>75420</v>
      </c>
      <c r="K160" s="4" t="n">
        <f aca="false">ROUND(J160/100000,2)</f>
        <v>0.75</v>
      </c>
    </row>
    <row r="161" customFormat="false" ht="15" hidden="false" customHeight="false" outlineLevel="0" collapsed="false">
      <c r="A161" s="4" t="s">
        <v>346</v>
      </c>
      <c r="B161" s="5" t="s">
        <v>351</v>
      </c>
      <c r="C161" s="5" t="s">
        <v>352</v>
      </c>
      <c r="D161" s="4" t="s">
        <v>16</v>
      </c>
      <c r="E161" s="4" t="s">
        <v>31</v>
      </c>
      <c r="F161" s="4" t="n">
        <f aca="false">COUNTIFS(Data!$C$2:$C$7199,C161,Data!$D$2:$D$7199,D161)</f>
        <v>55</v>
      </c>
      <c r="G161" s="6" t="n">
        <f aca="false">SUMIFS(Data!$L$2:$L$7199,Data!$C$2:$C$7199,$C161,Data!$D$2:$D$7199,$D161,Data!$F$2:$F$7199,"Tools &amp; Equipment")</f>
        <v>126710</v>
      </c>
      <c r="H161" s="6" t="n">
        <f aca="false">SUMIFS(Data!$L$2:$L$7199,Data!$C$2:$C$7199,$C161,Data!$D$2:$D$7199,$D161,Data!$F$2:$F$7199,"Other Lab Items")</f>
        <v>201000</v>
      </c>
      <c r="I161" s="6" t="n">
        <f aca="false">SUMIFS(Data!$L$2:$L$7199,Data!$C$2:$C$7199,$C161,Data!$D$2:$D$7199,$D161,Data!$F$2:$F$7199,"Consumables")</f>
        <v>15300</v>
      </c>
      <c r="J161" s="6" t="n">
        <f aca="false">SUM(G161:I161)</f>
        <v>343010</v>
      </c>
      <c r="K161" s="4" t="n">
        <f aca="false">ROUND(J161/100000,2)</f>
        <v>3.43</v>
      </c>
    </row>
    <row r="162" customFormat="false" ht="15" hidden="false" customHeight="false" outlineLevel="0" collapsed="false">
      <c r="A162" s="4" t="s">
        <v>346</v>
      </c>
      <c r="B162" s="5" t="s">
        <v>353</v>
      </c>
      <c r="C162" s="5" t="s">
        <v>354</v>
      </c>
      <c r="D162" s="4" t="s">
        <v>22</v>
      </c>
      <c r="E162" s="4" t="s">
        <v>31</v>
      </c>
      <c r="F162" s="4" t="n">
        <f aca="false">COUNTIFS(Data!$C$2:$C$7199,C162,Data!$D$2:$D$7199,D162)</f>
        <v>55</v>
      </c>
      <c r="G162" s="6" t="n">
        <f aca="false">SUMIFS(Data!$L$2:$L$7199,Data!$C$2:$C$7199,$C162,Data!$D$2:$D$7199,$D162,Data!$F$2:$F$7199,"Tools &amp; Equipment")</f>
        <v>126710</v>
      </c>
      <c r="H162" s="6" t="n">
        <f aca="false">SUMIFS(Data!$L$2:$L$7199,Data!$C$2:$C$7199,$C162,Data!$D$2:$D$7199,$D162,Data!$F$2:$F$7199,"Other Lab Items")</f>
        <v>216300</v>
      </c>
      <c r="I162" s="6" t="n">
        <f aca="false">SUMIFS(Data!$L$2:$L$7199,Data!$C$2:$C$7199,$C162,Data!$D$2:$D$7199,$D162,Data!$F$2:$F$7199,"Consumables")</f>
        <v>0</v>
      </c>
      <c r="J162" s="6" t="n">
        <f aca="false">SUM(G162:I162)</f>
        <v>343010</v>
      </c>
      <c r="K162" s="4" t="n">
        <f aca="false">ROUND(J162/100000,2)</f>
        <v>3.43</v>
      </c>
    </row>
    <row r="163" customFormat="false" ht="15" hidden="false" customHeight="false" outlineLevel="0" collapsed="false">
      <c r="A163" s="4" t="s">
        <v>346</v>
      </c>
      <c r="B163" s="5" t="s">
        <v>355</v>
      </c>
      <c r="C163" s="5" t="s">
        <v>356</v>
      </c>
      <c r="D163" s="4" t="s">
        <v>16</v>
      </c>
      <c r="E163" s="4" t="s">
        <v>17</v>
      </c>
      <c r="F163" s="4" t="n">
        <f aca="false">COUNTIFS(Data!$C$2:$C$7199,C163,Data!$D$2:$D$7199,D163)</f>
        <v>50</v>
      </c>
      <c r="G163" s="6" t="n">
        <f aca="false">SUMIFS(Data!$L$2:$L$7199,Data!$C$2:$C$7199,$C163,Data!$D$2:$D$7199,$D163,Data!$F$2:$F$7199,"Tools &amp; Equipment")</f>
        <v>49150</v>
      </c>
      <c r="H163" s="6" t="n">
        <f aca="false">SUMIFS(Data!$L$2:$L$7199,Data!$C$2:$C$7199,$C163,Data!$D$2:$D$7199,$D163,Data!$F$2:$F$7199,"Other Lab Items")</f>
        <v>895500</v>
      </c>
      <c r="I163" s="6" t="n">
        <f aca="false">SUMIFS(Data!$L$2:$L$7199,Data!$C$2:$C$7199,$C163,Data!$D$2:$D$7199,$D163,Data!$F$2:$F$7199,"Consumables")</f>
        <v>2150</v>
      </c>
      <c r="J163" s="6" t="n">
        <f aca="false">SUM(G163:I163)</f>
        <v>946800</v>
      </c>
      <c r="K163" s="4" t="n">
        <f aca="false">ROUND(J163/100000,2)</f>
        <v>9.47</v>
      </c>
    </row>
    <row r="164" customFormat="false" ht="15" hidden="false" customHeight="false" outlineLevel="0" collapsed="false">
      <c r="A164" s="4" t="s">
        <v>346</v>
      </c>
      <c r="B164" s="5" t="s">
        <v>357</v>
      </c>
      <c r="C164" s="5" t="s">
        <v>358</v>
      </c>
      <c r="D164" s="4" t="s">
        <v>16</v>
      </c>
      <c r="E164" s="4" t="s">
        <v>17</v>
      </c>
      <c r="F164" s="4" t="n">
        <f aca="false">COUNTIFS(Data!$C$2:$C$7199,C164,Data!$D$2:$D$7199,D164)</f>
        <v>8</v>
      </c>
      <c r="G164" s="6" t="n">
        <f aca="false">SUMIFS(Data!$L$2:$L$7199,Data!$C$2:$C$7199,$C164,Data!$D$2:$D$7199,$D164,Data!$F$2:$F$7199,"Tools &amp; Equipment")</f>
        <v>0</v>
      </c>
      <c r="H164" s="6" t="n">
        <f aca="false">SUMIFS(Data!$L$2:$L$7199,Data!$C$2:$C$7199,$C164,Data!$D$2:$D$7199,$D164,Data!$F$2:$F$7199,"Other Lab Items")</f>
        <v>6450</v>
      </c>
      <c r="I164" s="6" t="n">
        <f aca="false">SUMIFS(Data!$L$2:$L$7199,Data!$C$2:$C$7199,$C164,Data!$D$2:$D$7199,$D164,Data!$F$2:$F$7199,"Consumables")</f>
        <v>300</v>
      </c>
      <c r="J164" s="6" t="n">
        <f aca="false">SUM(G164:I164)</f>
        <v>6750</v>
      </c>
      <c r="K164" s="4" t="n">
        <f aca="false">ROUND(J164/100000,2)</f>
        <v>0.07</v>
      </c>
    </row>
    <row r="165" customFormat="false" ht="15" hidden="false" customHeight="false" outlineLevel="0" collapsed="false">
      <c r="A165" s="4" t="s">
        <v>346</v>
      </c>
      <c r="B165" s="5" t="s">
        <v>359</v>
      </c>
      <c r="C165" s="5" t="s">
        <v>360</v>
      </c>
      <c r="D165" s="4" t="s">
        <v>16</v>
      </c>
      <c r="E165" s="4" t="s">
        <v>17</v>
      </c>
      <c r="F165" s="4" t="n">
        <f aca="false">COUNTIFS(Data!$C$2:$C$7199,C165,Data!$D$2:$D$7199,D165)</f>
        <v>63</v>
      </c>
      <c r="G165" s="6" t="n">
        <f aca="false">SUMIFS(Data!$L$2:$L$7199,Data!$C$2:$C$7199,$C165,Data!$D$2:$D$7199,$D165,Data!$F$2:$F$7199,"Tools &amp; Equipment")</f>
        <v>353830</v>
      </c>
      <c r="H165" s="6" t="n">
        <f aca="false">SUMIFS(Data!$L$2:$L$7199,Data!$C$2:$C$7199,$C165,Data!$D$2:$D$7199,$D165,Data!$F$2:$F$7199,"Other Lab Items")</f>
        <v>213950</v>
      </c>
      <c r="I165" s="6" t="n">
        <f aca="false">SUMIFS(Data!$L$2:$L$7199,Data!$C$2:$C$7199,$C165,Data!$D$2:$D$7199,$D165,Data!$F$2:$F$7199,"Consumables")</f>
        <v>2100</v>
      </c>
      <c r="J165" s="6" t="n">
        <f aca="false">SUM(G165:I165)</f>
        <v>569880</v>
      </c>
      <c r="K165" s="4" t="n">
        <f aca="false">ROUND(J165/100000,2)</f>
        <v>5.7</v>
      </c>
    </row>
    <row r="166" customFormat="false" ht="15" hidden="false" customHeight="false" outlineLevel="0" collapsed="false">
      <c r="A166" s="4" t="s">
        <v>346</v>
      </c>
      <c r="B166" s="5" t="s">
        <v>361</v>
      </c>
      <c r="C166" s="5" t="s">
        <v>362</v>
      </c>
      <c r="D166" s="4" t="s">
        <v>16</v>
      </c>
      <c r="E166" s="4" t="s">
        <v>17</v>
      </c>
      <c r="F166" s="4" t="n">
        <f aca="false">COUNTIFS(Data!$C$2:$C$7199,C166,Data!$D$2:$D$7199,D166)</f>
        <v>11</v>
      </c>
      <c r="G166" s="6" t="n">
        <f aca="false">SUMIFS(Data!$L$2:$L$7199,Data!$C$2:$C$7199,$C166,Data!$D$2:$D$7199,$D166,Data!$F$2:$F$7199,"Tools &amp; Equipment")</f>
        <v>0</v>
      </c>
      <c r="H166" s="6" t="n">
        <f aca="false">SUMIFS(Data!$L$2:$L$7199,Data!$C$2:$C$7199,$C166,Data!$D$2:$D$7199,$D166,Data!$F$2:$F$7199,"Other Lab Items")</f>
        <v>6180</v>
      </c>
      <c r="I166" s="6" t="n">
        <f aca="false">SUMIFS(Data!$L$2:$L$7199,Data!$C$2:$C$7199,$C166,Data!$D$2:$D$7199,$D166,Data!$F$2:$F$7199,"Consumables")</f>
        <v>485</v>
      </c>
      <c r="J166" s="6" t="n">
        <f aca="false">SUM(G166:I166)</f>
        <v>6665</v>
      </c>
      <c r="K166" s="4" t="n">
        <f aca="false">ROUND(J166/100000,2)</f>
        <v>0.07</v>
      </c>
    </row>
    <row r="167" customFormat="false" ht="15" hidden="false" customHeight="false" outlineLevel="0" collapsed="false">
      <c r="A167" s="4" t="s">
        <v>346</v>
      </c>
      <c r="B167" s="5" t="s">
        <v>363</v>
      </c>
      <c r="C167" s="5" t="s">
        <v>364</v>
      </c>
      <c r="D167" s="4" t="s">
        <v>16</v>
      </c>
      <c r="E167" s="4" t="s">
        <v>31</v>
      </c>
      <c r="F167" s="4" t="n">
        <f aca="false">COUNTIFS(Data!$C$2:$C$7199,C167,Data!$D$2:$D$7199,D167)</f>
        <v>57</v>
      </c>
      <c r="G167" s="6" t="n">
        <f aca="false">SUMIFS(Data!$L$2:$L$7199,Data!$C$2:$C$7199,$C167,Data!$D$2:$D$7199,$D167,Data!$F$2:$F$7199,"Tools &amp; Equipment")</f>
        <v>25000</v>
      </c>
      <c r="H167" s="6" t="n">
        <f aca="false">SUMIFS(Data!$L$2:$L$7199,Data!$C$2:$C$7199,$C167,Data!$D$2:$D$7199,$D167,Data!$F$2:$F$7199,"Other Lab Items")</f>
        <v>938350</v>
      </c>
      <c r="I167" s="6" t="n">
        <f aca="false">SUMIFS(Data!$L$2:$L$7199,Data!$C$2:$C$7199,$C167,Data!$D$2:$D$7199,$D167,Data!$F$2:$F$7199,"Consumables")</f>
        <v>300</v>
      </c>
      <c r="J167" s="6" t="n">
        <f aca="false">SUM(G167:I167)</f>
        <v>963650</v>
      </c>
      <c r="K167" s="4" t="n">
        <f aca="false">ROUND(J167/100000,2)</f>
        <v>9.64</v>
      </c>
    </row>
    <row r="168" customFormat="false" ht="15" hidden="false" customHeight="false" outlineLevel="0" collapsed="false">
      <c r="A168" s="4" t="s">
        <v>346</v>
      </c>
      <c r="B168" s="5" t="s">
        <v>365</v>
      </c>
      <c r="C168" s="5" t="s">
        <v>366</v>
      </c>
      <c r="D168" s="4" t="s">
        <v>16</v>
      </c>
      <c r="E168" s="4" t="s">
        <v>17</v>
      </c>
      <c r="F168" s="4" t="n">
        <f aca="false">COUNTIFS(Data!$C$2:$C$7199,C168,Data!$D$2:$D$7199,D168)</f>
        <v>51</v>
      </c>
      <c r="G168" s="6" t="n">
        <f aca="false">SUMIFS(Data!$L$2:$L$7199,Data!$C$2:$C$7199,$C168,Data!$D$2:$D$7199,$D168,Data!$F$2:$F$7199,"Tools &amp; Equipment")</f>
        <v>75000</v>
      </c>
      <c r="H168" s="6" t="n">
        <f aca="false">SUMIFS(Data!$L$2:$L$7199,Data!$C$2:$C$7199,$C168,Data!$D$2:$D$7199,$D168,Data!$F$2:$F$7199,"Other Lab Items")</f>
        <v>629050</v>
      </c>
      <c r="I168" s="6" t="n">
        <f aca="false">SUMIFS(Data!$L$2:$L$7199,Data!$C$2:$C$7199,$C168,Data!$D$2:$D$7199,$D168,Data!$F$2:$F$7199,"Consumables")</f>
        <v>650</v>
      </c>
      <c r="J168" s="6" t="n">
        <f aca="false">SUM(G168:I168)</f>
        <v>704700</v>
      </c>
      <c r="K168" s="4" t="n">
        <f aca="false">ROUND(J168/100000,2)</f>
        <v>7.05</v>
      </c>
    </row>
    <row r="169" customFormat="false" ht="15" hidden="false" customHeight="false" outlineLevel="0" collapsed="false">
      <c r="A169" s="4" t="s">
        <v>367</v>
      </c>
      <c r="B169" s="5" t="s">
        <v>368</v>
      </c>
      <c r="C169" s="5" t="s">
        <v>369</v>
      </c>
      <c r="D169" s="4" t="s">
        <v>370</v>
      </c>
      <c r="E169" s="4" t="s">
        <v>371</v>
      </c>
      <c r="F169" s="4" t="n">
        <f aca="false">COUNTIFS(Data!$C$2:$C$7199,C169,Data!$D$2:$D$7199,D169)</f>
        <v>16</v>
      </c>
      <c r="G169" s="6" t="n">
        <f aca="false">SUMIFS(Data!$L$2:$L$7199,Data!$C$2:$C$7199,$C169,Data!$D$2:$D$7199,$D169,Data!$F$2:$F$7199,"Tools &amp; Equipment")</f>
        <v>1537500</v>
      </c>
      <c r="H169" s="6" t="n">
        <f aca="false">SUMIFS(Data!$L$2:$L$7199,Data!$C$2:$C$7199,$C169,Data!$D$2:$D$7199,$D169,Data!$F$2:$F$7199,"Other Lab Items")</f>
        <v>180750</v>
      </c>
      <c r="I169" s="6" t="n">
        <f aca="false">SUMIFS(Data!$L$2:$L$7199,Data!$C$2:$C$7199,$C169,Data!$D$2:$D$7199,$D169,Data!$F$2:$F$7199,"Consumables")</f>
        <v>1200</v>
      </c>
      <c r="J169" s="6" t="n">
        <f aca="false">SUM(G169:I169)</f>
        <v>1719450</v>
      </c>
      <c r="K169" s="4" t="n">
        <f aca="false">ROUND(J169/100000,2)</f>
        <v>17.19</v>
      </c>
    </row>
    <row r="170" customFormat="false" ht="15" hidden="false" customHeight="false" outlineLevel="0" collapsed="false">
      <c r="A170" s="4" t="s">
        <v>367</v>
      </c>
      <c r="B170" s="5" t="s">
        <v>372</v>
      </c>
      <c r="C170" s="5" t="s">
        <v>373</v>
      </c>
      <c r="D170" s="4" t="s">
        <v>370</v>
      </c>
      <c r="E170" s="4" t="s">
        <v>371</v>
      </c>
      <c r="F170" s="4" t="n">
        <f aca="false">COUNTIFS(Data!$C$2:$C$7199,C170,Data!$D$2:$D$7199,D170)</f>
        <v>20</v>
      </c>
      <c r="G170" s="6" t="n">
        <f aca="false">SUMIFS(Data!$L$2:$L$7199,Data!$C$2:$C$7199,$C170,Data!$D$2:$D$7199,$D170,Data!$F$2:$F$7199,"Tools &amp; Equipment")</f>
        <v>676500</v>
      </c>
      <c r="H170" s="6" t="n">
        <f aca="false">SUMIFS(Data!$L$2:$L$7199,Data!$C$2:$C$7199,$C170,Data!$D$2:$D$7199,$D170,Data!$F$2:$F$7199,"Other Lab Items")</f>
        <v>312800</v>
      </c>
      <c r="I170" s="6" t="n">
        <f aca="false">SUMIFS(Data!$L$2:$L$7199,Data!$C$2:$C$7199,$C170,Data!$D$2:$D$7199,$D170,Data!$F$2:$F$7199,"Consumables")</f>
        <v>0</v>
      </c>
      <c r="J170" s="6" t="n">
        <f aca="false">SUM(G170:I170)</f>
        <v>989300</v>
      </c>
      <c r="K170" s="4" t="n">
        <f aca="false">ROUND(J170/100000,2)</f>
        <v>9.89</v>
      </c>
    </row>
    <row r="171" customFormat="false" ht="23.85" hidden="false" customHeight="false" outlineLevel="0" collapsed="false">
      <c r="A171" s="4" t="s">
        <v>367</v>
      </c>
      <c r="B171" s="5" t="s">
        <v>374</v>
      </c>
      <c r="C171" s="5" t="s">
        <v>375</v>
      </c>
      <c r="D171" s="4" t="s">
        <v>370</v>
      </c>
      <c r="E171" s="4" t="s">
        <v>371</v>
      </c>
      <c r="F171" s="4" t="n">
        <f aca="false">COUNTIFS(Data!$C$2:$C$7199,C171,Data!$D$2:$D$7199,D171)</f>
        <v>15</v>
      </c>
      <c r="G171" s="6" t="n">
        <f aca="false">SUMIFS(Data!$L$2:$L$7199,Data!$C$2:$C$7199,$C171,Data!$D$2:$D$7199,$D171,Data!$F$2:$F$7199,"Tools &amp; Equipment")</f>
        <v>558000</v>
      </c>
      <c r="H171" s="6" t="n">
        <f aca="false">SUMIFS(Data!$L$2:$L$7199,Data!$C$2:$C$7199,$C171,Data!$D$2:$D$7199,$D171,Data!$F$2:$F$7199,"Other Lab Items")</f>
        <v>523750</v>
      </c>
      <c r="I171" s="6" t="n">
        <f aca="false">SUMIFS(Data!$L$2:$L$7199,Data!$C$2:$C$7199,$C171,Data!$D$2:$D$7199,$D171,Data!$F$2:$F$7199,"Consumables")</f>
        <v>8200</v>
      </c>
      <c r="J171" s="6" t="n">
        <f aca="false">SUM(G171:I171)</f>
        <v>1089950</v>
      </c>
      <c r="K171" s="4" t="n">
        <f aca="false">ROUND(J171/100000,2)</f>
        <v>10.9</v>
      </c>
    </row>
    <row r="172" customFormat="false" ht="23.85" hidden="false" customHeight="false" outlineLevel="0" collapsed="false">
      <c r="A172" s="4" t="s">
        <v>367</v>
      </c>
      <c r="B172" s="5" t="s">
        <v>376</v>
      </c>
      <c r="C172" s="5" t="s">
        <v>377</v>
      </c>
      <c r="D172" s="4" t="s">
        <v>370</v>
      </c>
      <c r="E172" s="4" t="s">
        <v>371</v>
      </c>
      <c r="F172" s="4" t="n">
        <f aca="false">COUNTIFS(Data!$C$2:$C$7199,C172,Data!$D$2:$D$7199,D172)</f>
        <v>272</v>
      </c>
      <c r="G172" s="6" t="n">
        <f aca="false">SUMIFS(Data!$L$2:$L$7199,Data!$C$2:$C$7199,$C172,Data!$D$2:$D$7199,$D172,Data!$F$2:$F$7199,"Tools &amp; Equipment")</f>
        <v>237420</v>
      </c>
      <c r="H172" s="6" t="n">
        <f aca="false">SUMIFS(Data!$L$2:$L$7199,Data!$C$2:$C$7199,$C172,Data!$D$2:$D$7199,$D172,Data!$F$2:$F$7199,"Other Lab Items")</f>
        <v>126750</v>
      </c>
      <c r="I172" s="6" t="n">
        <f aca="false">SUMIFS(Data!$L$2:$L$7199,Data!$C$2:$C$7199,$C172,Data!$D$2:$D$7199,$D172,Data!$F$2:$F$7199,"Consumables")</f>
        <v>12065</v>
      </c>
      <c r="J172" s="6" t="n">
        <f aca="false">SUM(G172:I172)</f>
        <v>376235</v>
      </c>
      <c r="K172" s="4" t="n">
        <f aca="false">ROUND(J172/100000,2)</f>
        <v>3.76</v>
      </c>
    </row>
    <row r="173" customFormat="false" ht="23.85" hidden="false" customHeight="false" outlineLevel="0" collapsed="false">
      <c r="A173" s="4" t="s">
        <v>378</v>
      </c>
      <c r="B173" s="5" t="s">
        <v>374</v>
      </c>
      <c r="C173" s="5" t="s">
        <v>379</v>
      </c>
      <c r="D173" s="4" t="s">
        <v>370</v>
      </c>
      <c r="E173" s="4" t="s">
        <v>371</v>
      </c>
      <c r="F173" s="4" t="n">
        <f aca="false">COUNTIFS(Data!$C$2:$C$7199,C173,Data!$D$2:$D$7199,D173)</f>
        <v>8</v>
      </c>
      <c r="G173" s="6" t="n">
        <f aca="false">SUMIFS(Data!$L$2:$L$7199,Data!$C$2:$C$7199,$C173,Data!$D$2:$D$7199,$D173,Data!$F$2:$F$7199,"Tools &amp; Equipment")</f>
        <v>229200</v>
      </c>
      <c r="H173" s="6" t="n">
        <f aca="false">SUMIFS(Data!$L$2:$L$7199,Data!$C$2:$C$7199,$C173,Data!$D$2:$D$7199,$D173,Data!$F$2:$F$7199,"Other Lab Items")</f>
        <v>61800</v>
      </c>
      <c r="I173" s="6" t="n">
        <f aca="false">SUMIFS(Data!$L$2:$L$7199,Data!$C$2:$C$7199,$C173,Data!$D$2:$D$7199,$D173,Data!$F$2:$F$7199,"Consumables")</f>
        <v>0</v>
      </c>
      <c r="J173" s="6" t="n">
        <f aca="false">SUM(G173:I173)</f>
        <v>291000</v>
      </c>
      <c r="K173" s="4" t="n">
        <f aca="false">ROUND(J173/100000,2)</f>
        <v>2.91</v>
      </c>
    </row>
    <row r="174" customFormat="false" ht="15" hidden="false" customHeight="false" outlineLevel="0" collapsed="false">
      <c r="A174" s="4" t="s">
        <v>378</v>
      </c>
      <c r="B174" s="5" t="s">
        <v>380</v>
      </c>
      <c r="C174" s="5" t="s">
        <v>381</v>
      </c>
      <c r="D174" s="4" t="s">
        <v>370</v>
      </c>
      <c r="E174" s="4" t="s">
        <v>371</v>
      </c>
      <c r="F174" s="4" t="n">
        <f aca="false">COUNTIFS(Data!$C$2:$C$7199,C174,Data!$D$2:$D$7199,D174)</f>
        <v>40</v>
      </c>
      <c r="G174" s="6" t="n">
        <f aca="false">SUMIFS(Data!$L$2:$L$7199,Data!$C$2:$C$7199,$C174,Data!$D$2:$D$7199,$D174,Data!$F$2:$F$7199,"Tools &amp; Equipment")</f>
        <v>285250</v>
      </c>
      <c r="H174" s="6" t="n">
        <f aca="false">SUMIFS(Data!$L$2:$L$7199,Data!$C$2:$C$7199,$C174,Data!$D$2:$D$7199,$D174,Data!$F$2:$F$7199,"Other Lab Items")</f>
        <v>5350</v>
      </c>
      <c r="I174" s="6" t="n">
        <f aca="false">SUMIFS(Data!$L$2:$L$7199,Data!$C$2:$C$7199,$C174,Data!$D$2:$D$7199,$D174,Data!$F$2:$F$7199,"Consumables")</f>
        <v>107650</v>
      </c>
      <c r="J174" s="6" t="n">
        <f aca="false">SUM(G174:I174)</f>
        <v>398250</v>
      </c>
      <c r="K174" s="4" t="n">
        <f aca="false">ROUND(J174/100000,2)</f>
        <v>3.98</v>
      </c>
    </row>
    <row r="175" customFormat="false" ht="15" hidden="false" customHeight="false" outlineLevel="0" collapsed="false">
      <c r="A175" s="4" t="s">
        <v>378</v>
      </c>
      <c r="B175" s="5" t="s">
        <v>382</v>
      </c>
      <c r="C175" s="5" t="s">
        <v>383</v>
      </c>
      <c r="D175" s="4" t="s">
        <v>370</v>
      </c>
      <c r="E175" s="4" t="s">
        <v>371</v>
      </c>
      <c r="F175" s="4" t="n">
        <f aca="false">COUNTIFS(Data!$C$2:$C$7199,C175,Data!$D$2:$D$7199,D175)</f>
        <v>8</v>
      </c>
      <c r="G175" s="6" t="n">
        <f aca="false">SUMIFS(Data!$L$2:$L$7199,Data!$C$2:$C$7199,$C175,Data!$D$2:$D$7199,$D175,Data!$F$2:$F$7199,"Tools &amp; Equipment")</f>
        <v>209200</v>
      </c>
      <c r="H175" s="6" t="n">
        <f aca="false">SUMIFS(Data!$L$2:$L$7199,Data!$C$2:$C$7199,$C175,Data!$D$2:$D$7199,$D175,Data!$F$2:$F$7199,"Other Lab Items")</f>
        <v>62500</v>
      </c>
      <c r="I175" s="6" t="n">
        <f aca="false">SUMIFS(Data!$L$2:$L$7199,Data!$C$2:$C$7199,$C175,Data!$D$2:$D$7199,$D175,Data!$F$2:$F$7199,"Consumables")</f>
        <v>0</v>
      </c>
      <c r="J175" s="6" t="n">
        <f aca="false">SUM(G175:I175)</f>
        <v>271700</v>
      </c>
      <c r="K175" s="4" t="n">
        <f aca="false">ROUND(J175/100000,2)</f>
        <v>2.72</v>
      </c>
    </row>
    <row r="176" customFormat="false" ht="15" hidden="false" customHeight="false" outlineLevel="0" collapsed="false">
      <c r="A176" s="4" t="s">
        <v>378</v>
      </c>
      <c r="B176" s="5" t="s">
        <v>384</v>
      </c>
      <c r="C176" s="5" t="s">
        <v>385</v>
      </c>
      <c r="D176" s="4" t="s">
        <v>370</v>
      </c>
      <c r="E176" s="4" t="s">
        <v>371</v>
      </c>
      <c r="F176" s="4" t="n">
        <f aca="false">COUNTIFS(Data!$C$2:$C$7199,C176,Data!$D$2:$D$7199,D176)</f>
        <v>12</v>
      </c>
      <c r="G176" s="6" t="n">
        <f aca="false">SUMIFS(Data!$L$2:$L$7199,Data!$C$2:$C$7199,$C176,Data!$D$2:$D$7199,$D176,Data!$F$2:$F$7199,"Tools &amp; Equipment")</f>
        <v>209200</v>
      </c>
      <c r="H176" s="6" t="n">
        <f aca="false">SUMIFS(Data!$L$2:$L$7199,Data!$C$2:$C$7199,$C176,Data!$D$2:$D$7199,$D176,Data!$F$2:$F$7199,"Other Lab Items")</f>
        <v>123000</v>
      </c>
      <c r="I176" s="6" t="n">
        <f aca="false">SUMIFS(Data!$L$2:$L$7199,Data!$C$2:$C$7199,$C176,Data!$D$2:$D$7199,$D176,Data!$F$2:$F$7199,"Consumables")</f>
        <v>7500</v>
      </c>
      <c r="J176" s="6" t="n">
        <f aca="false">SUM(G176:I176)</f>
        <v>339700</v>
      </c>
      <c r="K176" s="4" t="n">
        <f aca="false">ROUND(J176/100000,2)</f>
        <v>3.4</v>
      </c>
    </row>
    <row r="177" customFormat="false" ht="15" hidden="false" customHeight="false" outlineLevel="0" collapsed="false">
      <c r="A177" s="4" t="s">
        <v>386</v>
      </c>
      <c r="B177" s="5" t="s">
        <v>387</v>
      </c>
      <c r="C177" s="5" t="s">
        <v>388</v>
      </c>
      <c r="D177" s="4" t="s">
        <v>370</v>
      </c>
      <c r="E177" s="4" t="s">
        <v>371</v>
      </c>
      <c r="F177" s="4" t="n">
        <f aca="false">COUNTIFS(Data!$C$2:$C$7199,C177,Data!$D$2:$D$7199,D177)</f>
        <v>295</v>
      </c>
      <c r="G177" s="6" t="n">
        <f aca="false">SUMIFS(Data!$L$2:$L$7199,Data!$C$2:$C$7199,$C177,Data!$D$2:$D$7199,$D177,Data!$F$2:$F$7199,"Tools &amp; Equipment")</f>
        <v>320670</v>
      </c>
      <c r="H177" s="6" t="n">
        <f aca="false">SUMIFS(Data!$L$2:$L$7199,Data!$C$2:$C$7199,$C177,Data!$D$2:$D$7199,$D177,Data!$F$2:$F$7199,"Other Lab Items")</f>
        <v>108850</v>
      </c>
      <c r="I177" s="6" t="n">
        <f aca="false">SUMIFS(Data!$L$2:$L$7199,Data!$C$2:$C$7199,$C177,Data!$D$2:$D$7199,$D177,Data!$F$2:$F$7199,"Consumables")</f>
        <v>19405</v>
      </c>
      <c r="J177" s="6" t="n">
        <f aca="false">SUM(G177:I177)</f>
        <v>448925</v>
      </c>
      <c r="K177" s="4" t="n">
        <f aca="false">ROUND(J177/100000,2)</f>
        <v>4.49</v>
      </c>
    </row>
    <row r="178" customFormat="false" ht="15" hidden="false" customHeight="false" outlineLevel="0" collapsed="false">
      <c r="A178" s="7" t="s">
        <v>389</v>
      </c>
      <c r="B178" s="8"/>
      <c r="C178" s="8"/>
      <c r="D178" s="7"/>
      <c r="E178" s="7"/>
      <c r="F178" s="7" t="n">
        <f aca="false">SUM(F5:F177)</f>
        <v>7198</v>
      </c>
      <c r="G178" s="9" t="n">
        <f aca="false">SUM(G5:G177)</f>
        <v>79708380</v>
      </c>
      <c r="H178" s="9" t="n">
        <f aca="false">SUM(H5:H177)</f>
        <v>57306515</v>
      </c>
      <c r="I178" s="9" t="n">
        <f aca="false">SUM(I5:I177)</f>
        <v>1296579</v>
      </c>
      <c r="J178" s="9" t="n">
        <f aca="false">SUM(J5:J177)</f>
        <v>138311474</v>
      </c>
      <c r="K178" s="7" t="n">
        <f aca="false">ROUND(J178/100000,2)</f>
        <v>1383.11</v>
      </c>
    </row>
  </sheetData>
  <autoFilter ref="A4:K17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0"/>
    <col collapsed="false" customWidth="true" hidden="false" outlineLevel="0" max="4" min="3" style="0" width="18"/>
    <col collapsed="false" customWidth="true" hidden="false" outlineLevel="0" max="5" min="5" style="0" width="16"/>
    <col collapsed="false" customWidth="true" hidden="false" outlineLevel="0" max="6" min="6" style="0" width="20"/>
    <col collapsed="false" customWidth="true" hidden="false" outlineLevel="0" max="7" min="7" style="0" width="14"/>
  </cols>
  <sheetData>
    <row r="1" customFormat="false" ht="18.55" hidden="false" customHeight="false" outlineLevel="0" collapsed="false">
      <c r="A1" s="1" t="s">
        <v>390</v>
      </c>
    </row>
    <row r="2" customFormat="false" ht="15" hidden="false" customHeight="false" outlineLevel="0" collapsed="false">
      <c r="A2" s="2" t="s">
        <v>1</v>
      </c>
    </row>
    <row r="4" customFormat="false" ht="31.5" hidden="false" customHeight="true" outlineLevel="0" collapsed="false">
      <c r="A4" s="3" t="s">
        <v>2</v>
      </c>
      <c r="B4" s="3" t="s">
        <v>391</v>
      </c>
      <c r="C4" s="3" t="s">
        <v>8</v>
      </c>
      <c r="D4" s="3" t="s">
        <v>9</v>
      </c>
      <c r="E4" s="3" t="s">
        <v>10</v>
      </c>
      <c r="F4" s="3" t="s">
        <v>392</v>
      </c>
      <c r="G4" s="3" t="s">
        <v>393</v>
      </c>
    </row>
    <row r="5" customFormat="false" ht="15" hidden="false" customHeight="false" outlineLevel="0" collapsed="false">
      <c r="A5" s="4" t="s">
        <v>13</v>
      </c>
      <c r="B5" s="5" t="n">
        <f aca="false">COUNTIF('By Job Role'!$A$5:$A$177,A5)</f>
        <v>24</v>
      </c>
      <c r="C5" s="10" t="n">
        <f aca="false">SUMIF('By Job Role'!$A$5:$A$177,A5,'By Job Role'!$G$5:$G$177)</f>
        <v>8338590</v>
      </c>
      <c r="D5" s="6" t="n">
        <f aca="false">SUMIF('By Job Role'!$A$5:$A$177,A5,'By Job Role'!$H$5:$H$177)</f>
        <v>949490</v>
      </c>
      <c r="E5" s="6" t="n">
        <f aca="false">SUMIF('By Job Role'!$A$5:$A$177,A5,'By Job Role'!$I$5:$I$177)</f>
        <v>280027</v>
      </c>
      <c r="F5" s="6" t="n">
        <f aca="false">SUMIF('By Job Role'!$A$5:$A$177,A5,'By Job Role'!$J$5:$J$177)</f>
        <v>9568107</v>
      </c>
      <c r="G5" s="4" t="n">
        <f aca="false">IF(B5=0,0,ROUND(F5/B5/100000,2))</f>
        <v>3.99</v>
      </c>
    </row>
    <row r="6" customFormat="false" ht="15" hidden="false" customHeight="false" outlineLevel="0" collapsed="false">
      <c r="A6" s="4" t="s">
        <v>66</v>
      </c>
      <c r="B6" s="5" t="n">
        <f aca="false">COUNTIF('By Job Role'!$A$5:$A$177,A6)</f>
        <v>1</v>
      </c>
      <c r="C6" s="10" t="n">
        <f aca="false">SUMIF('By Job Role'!$A$5:$A$177,A6,'By Job Role'!$G$5:$G$177)</f>
        <v>975850</v>
      </c>
      <c r="D6" s="6" t="n">
        <f aca="false">SUMIF('By Job Role'!$A$5:$A$177,A6,'By Job Role'!$H$5:$H$177)</f>
        <v>145000</v>
      </c>
      <c r="E6" s="6" t="n">
        <f aca="false">SUMIF('By Job Role'!$A$5:$A$177,A6,'By Job Role'!$I$5:$I$177)</f>
        <v>251000</v>
      </c>
      <c r="F6" s="6" t="n">
        <f aca="false">SUMIF('By Job Role'!$A$5:$A$177,A6,'By Job Role'!$J$5:$J$177)</f>
        <v>1371850</v>
      </c>
      <c r="G6" s="4" t="n">
        <f aca="false">IF(B6=0,0,ROUND(F6/B6/100000,2))</f>
        <v>13.72</v>
      </c>
    </row>
    <row r="7" customFormat="false" ht="15" hidden="false" customHeight="false" outlineLevel="0" collapsed="false">
      <c r="A7" s="4" t="s">
        <v>69</v>
      </c>
      <c r="B7" s="5" t="n">
        <f aca="false">COUNTIF('By Job Role'!$A$5:$A$177,A7)</f>
        <v>12</v>
      </c>
      <c r="C7" s="10" t="n">
        <f aca="false">SUMIF('By Job Role'!$A$5:$A$177,A7,'By Job Role'!$G$5:$G$177)</f>
        <v>5085770</v>
      </c>
      <c r="D7" s="6" t="n">
        <f aca="false">SUMIF('By Job Role'!$A$5:$A$177,A7,'By Job Role'!$H$5:$H$177)</f>
        <v>1235780</v>
      </c>
      <c r="E7" s="6" t="n">
        <f aca="false">SUMIF('By Job Role'!$A$5:$A$177,A7,'By Job Role'!$I$5:$I$177)</f>
        <v>43610</v>
      </c>
      <c r="F7" s="6" t="n">
        <f aca="false">SUMIF('By Job Role'!$A$5:$A$177,A7,'By Job Role'!$J$5:$J$177)</f>
        <v>6365160</v>
      </c>
      <c r="G7" s="4" t="n">
        <f aca="false">IF(B7=0,0,ROUND(F7/B7/100000,2))</f>
        <v>5.3</v>
      </c>
    </row>
    <row r="8" customFormat="false" ht="15" hidden="false" customHeight="false" outlineLevel="0" collapsed="false">
      <c r="A8" s="4" t="s">
        <v>94</v>
      </c>
      <c r="B8" s="5" t="n">
        <f aca="false">COUNTIF('By Job Role'!$A$5:$A$177,A8)</f>
        <v>6</v>
      </c>
      <c r="C8" s="10" t="n">
        <f aca="false">SUMIF('By Job Role'!$A$5:$A$177,A8,'By Job Role'!$G$5:$G$177)</f>
        <v>7769080</v>
      </c>
      <c r="D8" s="6" t="n">
        <f aca="false">SUMIF('By Job Role'!$A$5:$A$177,A8,'By Job Role'!$H$5:$H$177)</f>
        <v>8699050</v>
      </c>
      <c r="E8" s="6" t="n">
        <f aca="false">SUMIF('By Job Role'!$A$5:$A$177,A8,'By Job Role'!$I$5:$I$177)</f>
        <v>23485</v>
      </c>
      <c r="F8" s="6" t="n">
        <f aca="false">SUMIF('By Job Role'!$A$5:$A$177,A8,'By Job Role'!$J$5:$J$177)</f>
        <v>16491615</v>
      </c>
      <c r="G8" s="4" t="n">
        <f aca="false">IF(B8=0,0,ROUND(F8/B8/100000,2))</f>
        <v>27.49</v>
      </c>
    </row>
    <row r="9" customFormat="false" ht="15" hidden="false" customHeight="false" outlineLevel="0" collapsed="false">
      <c r="A9" s="4" t="s">
        <v>107</v>
      </c>
      <c r="B9" s="5" t="n">
        <f aca="false">COUNTIF('By Job Role'!$A$5:$A$177,A9)</f>
        <v>6</v>
      </c>
      <c r="C9" s="10" t="n">
        <f aca="false">SUMIF('By Job Role'!$A$5:$A$177,A9,'By Job Role'!$G$5:$G$177)</f>
        <v>40300</v>
      </c>
      <c r="D9" s="6" t="n">
        <f aca="false">SUMIF('By Job Role'!$A$5:$A$177,A9,'By Job Role'!$H$5:$H$177)</f>
        <v>2065270</v>
      </c>
      <c r="E9" s="6" t="n">
        <f aca="false">SUMIF('By Job Role'!$A$5:$A$177,A9,'By Job Role'!$I$5:$I$177)</f>
        <v>3290</v>
      </c>
      <c r="F9" s="6" t="n">
        <f aca="false">SUMIF('By Job Role'!$A$5:$A$177,A9,'By Job Role'!$J$5:$J$177)</f>
        <v>2108860</v>
      </c>
      <c r="G9" s="4" t="n">
        <f aca="false">IF(B9=0,0,ROUND(F9/B9/100000,2))</f>
        <v>3.51</v>
      </c>
    </row>
    <row r="10" customFormat="false" ht="15" hidden="false" customHeight="false" outlineLevel="0" collapsed="false">
      <c r="A10" s="4" t="s">
        <v>120</v>
      </c>
      <c r="B10" s="5" t="n">
        <f aca="false">COUNTIF('By Job Role'!$A$5:$A$177,A10)</f>
        <v>6</v>
      </c>
      <c r="C10" s="10" t="n">
        <f aca="false">SUMIF('By Job Role'!$A$5:$A$177,A10,'By Job Role'!$G$5:$G$177)</f>
        <v>704990</v>
      </c>
      <c r="D10" s="6" t="n">
        <f aca="false">SUMIF('By Job Role'!$A$5:$A$177,A10,'By Job Role'!$H$5:$H$177)</f>
        <v>884820</v>
      </c>
      <c r="E10" s="6" t="n">
        <f aca="false">SUMIF('By Job Role'!$A$5:$A$177,A10,'By Job Role'!$I$5:$I$177)</f>
        <v>7210</v>
      </c>
      <c r="F10" s="6" t="n">
        <f aca="false">SUMIF('By Job Role'!$A$5:$A$177,A10,'By Job Role'!$J$5:$J$177)</f>
        <v>1597020</v>
      </c>
      <c r="G10" s="4" t="n">
        <f aca="false">IF(B10=0,0,ROUND(F10/B10/100000,2))</f>
        <v>2.66</v>
      </c>
    </row>
    <row r="11" customFormat="false" ht="15" hidden="false" customHeight="false" outlineLevel="0" collapsed="false">
      <c r="A11" s="4" t="s">
        <v>133</v>
      </c>
      <c r="B11" s="5" t="n">
        <f aca="false">COUNTIF('By Job Role'!$A$5:$A$177,A11)</f>
        <v>1</v>
      </c>
      <c r="C11" s="10" t="n">
        <f aca="false">SUMIF('By Job Role'!$A$5:$A$177,A11,'By Job Role'!$G$5:$G$177)</f>
        <v>71260</v>
      </c>
      <c r="D11" s="6" t="n">
        <f aca="false">SUMIF('By Job Role'!$A$5:$A$177,A11,'By Job Role'!$H$5:$H$177)</f>
        <v>316500</v>
      </c>
      <c r="E11" s="6" t="n">
        <f aca="false">SUMIF('By Job Role'!$A$5:$A$177,A11,'By Job Role'!$I$5:$I$177)</f>
        <v>900</v>
      </c>
      <c r="F11" s="6" t="n">
        <f aca="false">SUMIF('By Job Role'!$A$5:$A$177,A11,'By Job Role'!$J$5:$J$177)</f>
        <v>388660</v>
      </c>
      <c r="G11" s="4" t="n">
        <f aca="false">IF(B11=0,0,ROUND(F11/B11/100000,2))</f>
        <v>3.89</v>
      </c>
    </row>
    <row r="12" customFormat="false" ht="15" hidden="false" customHeight="false" outlineLevel="0" collapsed="false">
      <c r="A12" s="4" t="s">
        <v>136</v>
      </c>
      <c r="B12" s="5" t="n">
        <f aca="false">COUNTIF('By Job Role'!$A$5:$A$177,A12)</f>
        <v>5</v>
      </c>
      <c r="C12" s="10" t="n">
        <f aca="false">SUMIF('By Job Role'!$A$5:$A$177,A12,'By Job Role'!$G$5:$G$177)</f>
        <v>353170</v>
      </c>
      <c r="D12" s="6" t="n">
        <f aca="false">SUMIF('By Job Role'!$A$5:$A$177,A12,'By Job Role'!$H$5:$H$177)</f>
        <v>475655</v>
      </c>
      <c r="E12" s="6" t="n">
        <f aca="false">SUMIF('By Job Role'!$A$5:$A$177,A12,'By Job Role'!$I$5:$I$177)</f>
        <v>4562</v>
      </c>
      <c r="F12" s="6" t="n">
        <f aca="false">SUMIF('By Job Role'!$A$5:$A$177,A12,'By Job Role'!$J$5:$J$177)</f>
        <v>833387</v>
      </c>
      <c r="G12" s="4" t="n">
        <f aca="false">IF(B12=0,0,ROUND(F12/B12/100000,2))</f>
        <v>1.67</v>
      </c>
    </row>
    <row r="13" customFormat="false" ht="15" hidden="false" customHeight="false" outlineLevel="0" collapsed="false">
      <c r="A13" s="4" t="s">
        <v>147</v>
      </c>
      <c r="B13" s="5" t="n">
        <f aca="false">COUNTIF('By Job Role'!$A$5:$A$177,A13)</f>
        <v>10</v>
      </c>
      <c r="C13" s="10" t="n">
        <f aca="false">SUMIF('By Job Role'!$A$5:$A$177,A13,'By Job Role'!$G$5:$G$177)</f>
        <v>1330270</v>
      </c>
      <c r="D13" s="6" t="n">
        <f aca="false">SUMIF('By Job Role'!$A$5:$A$177,A13,'By Job Role'!$H$5:$H$177)</f>
        <v>1550285</v>
      </c>
      <c r="E13" s="6" t="n">
        <f aca="false">SUMIF('By Job Role'!$A$5:$A$177,A13,'By Job Role'!$I$5:$I$177)</f>
        <v>18860</v>
      </c>
      <c r="F13" s="6" t="n">
        <f aca="false">SUMIF('By Job Role'!$A$5:$A$177,A13,'By Job Role'!$J$5:$J$177)</f>
        <v>2899415</v>
      </c>
      <c r="G13" s="4" t="n">
        <f aca="false">IF(B13=0,0,ROUND(F13/B13/100000,2))</f>
        <v>2.9</v>
      </c>
    </row>
    <row r="14" customFormat="false" ht="15" hidden="false" customHeight="false" outlineLevel="0" collapsed="false">
      <c r="A14" s="4" t="s">
        <v>166</v>
      </c>
      <c r="B14" s="5" t="n">
        <f aca="false">COUNTIF('By Job Role'!$A$5:$A$177,A14)</f>
        <v>8</v>
      </c>
      <c r="C14" s="10" t="n">
        <f aca="false">SUMIF('By Job Role'!$A$5:$A$177,A14,'By Job Role'!$G$5:$G$177)</f>
        <v>10341530</v>
      </c>
      <c r="D14" s="6" t="n">
        <f aca="false">SUMIF('By Job Role'!$A$5:$A$177,A14,'By Job Role'!$H$5:$H$177)</f>
        <v>101450</v>
      </c>
      <c r="E14" s="6" t="n">
        <f aca="false">SUMIF('By Job Role'!$A$5:$A$177,A14,'By Job Role'!$I$5:$I$177)</f>
        <v>2950</v>
      </c>
      <c r="F14" s="6" t="n">
        <f aca="false">SUMIF('By Job Role'!$A$5:$A$177,A14,'By Job Role'!$J$5:$J$177)</f>
        <v>10445930</v>
      </c>
      <c r="G14" s="4" t="n">
        <f aca="false">IF(B14=0,0,ROUND(F14/B14/100000,2))</f>
        <v>13.06</v>
      </c>
    </row>
    <row r="15" customFormat="false" ht="15" hidden="false" customHeight="false" outlineLevel="0" collapsed="false">
      <c r="A15" s="4" t="s">
        <v>183</v>
      </c>
      <c r="B15" s="5" t="n">
        <f aca="false">COUNTIF('By Job Role'!$A$5:$A$177,A15)</f>
        <v>5</v>
      </c>
      <c r="C15" s="10" t="n">
        <f aca="false">SUMIF('By Job Role'!$A$5:$A$177,A15,'By Job Role'!$G$5:$G$177)</f>
        <v>2794760</v>
      </c>
      <c r="D15" s="6" t="n">
        <f aca="false">SUMIF('By Job Role'!$A$5:$A$177,A15,'By Job Role'!$H$5:$H$177)</f>
        <v>503150</v>
      </c>
      <c r="E15" s="6" t="n">
        <f aca="false">SUMIF('By Job Role'!$A$5:$A$177,A15,'By Job Role'!$I$5:$I$177)</f>
        <v>56775</v>
      </c>
      <c r="F15" s="6" t="n">
        <f aca="false">SUMIF('By Job Role'!$A$5:$A$177,A15,'By Job Role'!$J$5:$J$177)</f>
        <v>3354685</v>
      </c>
      <c r="G15" s="4" t="n">
        <f aca="false">IF(B15=0,0,ROUND(F15/B15/100000,2))</f>
        <v>6.71</v>
      </c>
    </row>
    <row r="16" customFormat="false" ht="15" hidden="false" customHeight="false" outlineLevel="0" collapsed="false">
      <c r="A16" s="4" t="s">
        <v>194</v>
      </c>
      <c r="B16" s="5" t="n">
        <f aca="false">COUNTIF('By Job Role'!$A$5:$A$177,A16)</f>
        <v>4</v>
      </c>
      <c r="C16" s="10" t="n">
        <f aca="false">SUMIF('By Job Role'!$A$5:$A$177,A16,'By Job Role'!$G$5:$G$177)</f>
        <v>9492100</v>
      </c>
      <c r="D16" s="6" t="n">
        <f aca="false">SUMIF('By Job Role'!$A$5:$A$177,A16,'By Job Role'!$H$5:$H$177)</f>
        <v>1492900</v>
      </c>
      <c r="E16" s="6" t="n">
        <f aca="false">SUMIF('By Job Role'!$A$5:$A$177,A16,'By Job Role'!$I$5:$I$177)</f>
        <v>126535</v>
      </c>
      <c r="F16" s="6" t="n">
        <f aca="false">SUMIF('By Job Role'!$A$5:$A$177,A16,'By Job Role'!$J$5:$J$177)</f>
        <v>11111535</v>
      </c>
      <c r="G16" s="4" t="n">
        <f aca="false">IF(B16=0,0,ROUND(F16/B16/100000,2))</f>
        <v>27.78</v>
      </c>
    </row>
    <row r="17" customFormat="false" ht="15" hidden="false" customHeight="false" outlineLevel="0" collapsed="false">
      <c r="A17" s="4" t="s">
        <v>203</v>
      </c>
      <c r="B17" s="5" t="n">
        <f aca="false">COUNTIF('By Job Role'!$A$5:$A$177,A17)</f>
        <v>6</v>
      </c>
      <c r="C17" s="10" t="n">
        <f aca="false">SUMIF('By Job Role'!$A$5:$A$177,A17,'By Job Role'!$G$5:$G$177)</f>
        <v>775240</v>
      </c>
      <c r="D17" s="6" t="n">
        <f aca="false">SUMIF('By Job Role'!$A$5:$A$177,A17,'By Job Role'!$H$5:$H$177)</f>
        <v>1488330</v>
      </c>
      <c r="E17" s="6" t="n">
        <f aca="false">SUMIF('By Job Role'!$A$5:$A$177,A17,'By Job Role'!$I$5:$I$177)</f>
        <v>15865</v>
      </c>
      <c r="F17" s="6" t="n">
        <f aca="false">SUMIF('By Job Role'!$A$5:$A$177,A17,'By Job Role'!$J$5:$J$177)</f>
        <v>2279435</v>
      </c>
      <c r="G17" s="4" t="n">
        <f aca="false">IF(B17=0,0,ROUND(F17/B17/100000,2))</f>
        <v>3.8</v>
      </c>
    </row>
    <row r="18" customFormat="false" ht="15" hidden="false" customHeight="false" outlineLevel="0" collapsed="false">
      <c r="A18" s="4" t="s">
        <v>216</v>
      </c>
      <c r="B18" s="5" t="n">
        <f aca="false">COUNTIF('By Job Role'!$A$5:$A$177,A18)</f>
        <v>2</v>
      </c>
      <c r="C18" s="10" t="n">
        <f aca="false">SUMIF('By Job Role'!$A$5:$A$177,A18,'By Job Role'!$G$5:$G$177)</f>
        <v>430000</v>
      </c>
      <c r="D18" s="6" t="n">
        <f aca="false">SUMIF('By Job Role'!$A$5:$A$177,A18,'By Job Role'!$H$5:$H$177)</f>
        <v>432020</v>
      </c>
      <c r="E18" s="6" t="n">
        <f aca="false">SUMIF('By Job Role'!$A$5:$A$177,A18,'By Job Role'!$I$5:$I$177)</f>
        <v>17335</v>
      </c>
      <c r="F18" s="6" t="n">
        <f aca="false">SUMIF('By Job Role'!$A$5:$A$177,A18,'By Job Role'!$J$5:$J$177)</f>
        <v>879355</v>
      </c>
      <c r="G18" s="4" t="n">
        <f aca="false">IF(B18=0,0,ROUND(F18/B18/100000,2))</f>
        <v>4.4</v>
      </c>
    </row>
    <row r="19" customFormat="false" ht="15" hidden="false" customHeight="false" outlineLevel="0" collapsed="false">
      <c r="A19" s="4" t="s">
        <v>221</v>
      </c>
      <c r="B19" s="5" t="n">
        <f aca="false">COUNTIF('By Job Role'!$A$5:$A$177,A19)</f>
        <v>12</v>
      </c>
      <c r="C19" s="10" t="n">
        <f aca="false">SUMIF('By Job Role'!$A$5:$A$177,A19,'By Job Role'!$G$5:$G$177)</f>
        <v>148700</v>
      </c>
      <c r="D19" s="6" t="n">
        <f aca="false">SUMIF('By Job Role'!$A$5:$A$177,A19,'By Job Role'!$H$5:$H$177)</f>
        <v>15982090</v>
      </c>
      <c r="E19" s="6" t="n">
        <f aca="false">SUMIF('By Job Role'!$A$5:$A$177,A19,'By Job Role'!$I$5:$I$177)</f>
        <v>2185</v>
      </c>
      <c r="F19" s="6" t="n">
        <f aca="false">SUMIF('By Job Role'!$A$5:$A$177,A19,'By Job Role'!$J$5:$J$177)</f>
        <v>16132975</v>
      </c>
      <c r="G19" s="4" t="n">
        <f aca="false">IF(B19=0,0,ROUND(F19/B19/100000,2))</f>
        <v>13.44</v>
      </c>
    </row>
    <row r="20" customFormat="false" ht="15" hidden="false" customHeight="false" outlineLevel="0" collapsed="false">
      <c r="A20" s="4" t="s">
        <v>246</v>
      </c>
      <c r="B20" s="5" t="n">
        <f aca="false">COUNTIF('By Job Role'!$A$5:$A$177,A20)</f>
        <v>7</v>
      </c>
      <c r="C20" s="10" t="n">
        <f aca="false">SUMIF('By Job Role'!$A$5:$A$177,A20,'By Job Role'!$G$5:$G$177)</f>
        <v>18559950</v>
      </c>
      <c r="D20" s="6" t="n">
        <f aca="false">SUMIF('By Job Role'!$A$5:$A$177,A20,'By Job Role'!$H$5:$H$177)</f>
        <v>1453135</v>
      </c>
      <c r="E20" s="6" t="n">
        <f aca="false">SUMIF('By Job Role'!$A$5:$A$177,A20,'By Job Role'!$I$5:$I$177)</f>
        <v>17290</v>
      </c>
      <c r="F20" s="6" t="n">
        <f aca="false">SUMIF('By Job Role'!$A$5:$A$177,A20,'By Job Role'!$J$5:$J$177)</f>
        <v>20030375</v>
      </c>
      <c r="G20" s="4" t="n">
        <f aca="false">IF(B20=0,0,ROUND(F20/B20/100000,2))</f>
        <v>28.61</v>
      </c>
    </row>
    <row r="21" customFormat="false" ht="15" hidden="false" customHeight="false" outlineLevel="0" collapsed="false">
      <c r="A21" s="4" t="s">
        <v>261</v>
      </c>
      <c r="B21" s="5" t="n">
        <f aca="false">COUNTIF('By Job Role'!$A$5:$A$177,A21)</f>
        <v>5</v>
      </c>
      <c r="C21" s="10" t="n">
        <f aca="false">SUMIF('By Job Role'!$A$5:$A$177,A21,'By Job Role'!$G$5:$G$177)</f>
        <v>427150</v>
      </c>
      <c r="D21" s="6" t="n">
        <f aca="false">SUMIF('By Job Role'!$A$5:$A$177,A21,'By Job Role'!$H$5:$H$177)</f>
        <v>3794720</v>
      </c>
      <c r="E21" s="6" t="n">
        <f aca="false">SUMIF('By Job Role'!$A$5:$A$177,A21,'By Job Role'!$I$5:$I$177)</f>
        <v>83940</v>
      </c>
      <c r="F21" s="6" t="n">
        <f aca="false">SUMIF('By Job Role'!$A$5:$A$177,A21,'By Job Role'!$J$5:$J$177)</f>
        <v>4305810</v>
      </c>
      <c r="G21" s="4" t="n">
        <f aca="false">IF(B21=0,0,ROUND(F21/B21/100000,2))</f>
        <v>8.61</v>
      </c>
    </row>
    <row r="22" customFormat="false" ht="15" hidden="false" customHeight="false" outlineLevel="0" collapsed="false">
      <c r="A22" s="4" t="s">
        <v>272</v>
      </c>
      <c r="B22" s="5" t="n">
        <f aca="false">COUNTIF('By Job Role'!$A$5:$A$177,A22)</f>
        <v>5</v>
      </c>
      <c r="C22" s="10" t="n">
        <f aca="false">SUMIF('By Job Role'!$A$5:$A$177,A22,'By Job Role'!$G$5:$G$177)</f>
        <v>268180</v>
      </c>
      <c r="D22" s="6" t="n">
        <f aca="false">SUMIF('By Job Role'!$A$5:$A$177,A22,'By Job Role'!$H$5:$H$177)</f>
        <v>7090400</v>
      </c>
      <c r="E22" s="6" t="n">
        <f aca="false">SUMIF('By Job Role'!$A$5:$A$177,A22,'By Job Role'!$I$5:$I$177)</f>
        <v>54985</v>
      </c>
      <c r="F22" s="6" t="n">
        <f aca="false">SUMIF('By Job Role'!$A$5:$A$177,A22,'By Job Role'!$J$5:$J$177)</f>
        <v>7413565</v>
      </c>
      <c r="G22" s="4" t="n">
        <f aca="false">IF(B22=0,0,ROUND(F22/B22/100000,2))</f>
        <v>14.83</v>
      </c>
    </row>
    <row r="23" customFormat="false" ht="15" hidden="false" customHeight="false" outlineLevel="0" collapsed="false">
      <c r="A23" s="4" t="s">
        <v>283</v>
      </c>
      <c r="B23" s="5" t="n">
        <f aca="false">COUNTIF('By Job Role'!$A$5:$A$177,A23)</f>
        <v>10</v>
      </c>
      <c r="C23" s="10" t="n">
        <f aca="false">SUMIF('By Job Role'!$A$5:$A$177,A23,'By Job Role'!$G$5:$G$177)</f>
        <v>3077920</v>
      </c>
      <c r="D23" s="6" t="n">
        <f aca="false">SUMIF('By Job Role'!$A$5:$A$177,A23,'By Job Role'!$H$5:$H$177)</f>
        <v>2417690</v>
      </c>
      <c r="E23" s="6" t="n">
        <f aca="false">SUMIF('By Job Role'!$A$5:$A$177,A23,'By Job Role'!$I$5:$I$177)</f>
        <v>24790</v>
      </c>
      <c r="F23" s="6" t="n">
        <f aca="false">SUMIF('By Job Role'!$A$5:$A$177,A23,'By Job Role'!$J$5:$J$177)</f>
        <v>5520400</v>
      </c>
      <c r="G23" s="4" t="n">
        <f aca="false">IF(B23=0,0,ROUND(F23/B23/100000,2))</f>
        <v>5.52</v>
      </c>
    </row>
    <row r="24" customFormat="false" ht="15" hidden="false" customHeight="false" outlineLevel="0" collapsed="false">
      <c r="A24" s="4" t="s">
        <v>304</v>
      </c>
      <c r="B24" s="5" t="n">
        <f aca="false">COUNTIF('By Job Role'!$A$5:$A$177,A24)</f>
        <v>5</v>
      </c>
      <c r="C24" s="10" t="n">
        <f aca="false">SUMIF('By Job Role'!$A$5:$A$177,A24,'By Job Role'!$G$5:$G$177)</f>
        <v>1097300</v>
      </c>
      <c r="D24" s="6" t="n">
        <f aca="false">SUMIF('By Job Role'!$A$5:$A$177,A24,'By Job Role'!$H$5:$H$177)</f>
        <v>224310</v>
      </c>
      <c r="E24" s="6" t="n">
        <f aca="false">SUMIF('By Job Role'!$A$5:$A$177,A24,'By Job Role'!$I$5:$I$177)</f>
        <v>3840</v>
      </c>
      <c r="F24" s="6" t="n">
        <f aca="false">SUMIF('By Job Role'!$A$5:$A$177,A24,'By Job Role'!$J$5:$J$177)</f>
        <v>1325450</v>
      </c>
      <c r="G24" s="4" t="n">
        <f aca="false">IF(B24=0,0,ROUND(F24/B24/100000,2))</f>
        <v>2.65</v>
      </c>
    </row>
    <row r="25" customFormat="false" ht="15" hidden="false" customHeight="false" outlineLevel="0" collapsed="false">
      <c r="A25" s="4" t="s">
        <v>315</v>
      </c>
      <c r="B25" s="5" t="n">
        <f aca="false">COUNTIF('By Job Role'!$A$5:$A$177,A25)</f>
        <v>4</v>
      </c>
      <c r="C25" s="10" t="n">
        <f aca="false">SUMIF('By Job Role'!$A$5:$A$177,A25,'By Job Role'!$G$5:$G$177)</f>
        <v>896200</v>
      </c>
      <c r="D25" s="6" t="n">
        <f aca="false">SUMIF('By Job Role'!$A$5:$A$177,A25,'By Job Role'!$H$5:$H$177)</f>
        <v>148650</v>
      </c>
      <c r="E25" s="6" t="n">
        <f aca="false">SUMIF('By Job Role'!$A$5:$A$177,A25,'By Job Role'!$I$5:$I$177)</f>
        <v>58290</v>
      </c>
      <c r="F25" s="6" t="n">
        <f aca="false">SUMIF('By Job Role'!$A$5:$A$177,A25,'By Job Role'!$J$5:$J$177)</f>
        <v>1103140</v>
      </c>
      <c r="G25" s="4" t="n">
        <f aca="false">IF(B25=0,0,ROUND(F25/B25/100000,2))</f>
        <v>2.76</v>
      </c>
    </row>
    <row r="26" customFormat="false" ht="15" hidden="false" customHeight="false" outlineLevel="0" collapsed="false">
      <c r="A26" s="4" t="s">
        <v>322</v>
      </c>
      <c r="B26" s="5" t="n">
        <f aca="false">COUNTIF('By Job Role'!$A$5:$A$177,A26)</f>
        <v>2</v>
      </c>
      <c r="C26" s="10" t="n">
        <f aca="false">SUMIF('By Job Role'!$A$5:$A$177,A26,'By Job Role'!$G$5:$G$177)</f>
        <v>105000</v>
      </c>
      <c r="D26" s="6" t="n">
        <f aca="false">SUMIF('By Job Role'!$A$5:$A$177,A26,'By Job Role'!$H$5:$H$177)</f>
        <v>0</v>
      </c>
      <c r="E26" s="6" t="n">
        <f aca="false">SUMIF('By Job Role'!$A$5:$A$177,A26,'By Job Role'!$I$5:$I$177)</f>
        <v>390</v>
      </c>
      <c r="F26" s="6" t="n">
        <f aca="false">SUMIF('By Job Role'!$A$5:$A$177,A26,'By Job Role'!$J$5:$J$177)</f>
        <v>105390</v>
      </c>
      <c r="G26" s="4" t="n">
        <f aca="false">IF(B26=0,0,ROUND(F26/B26/100000,2))</f>
        <v>0.53</v>
      </c>
    </row>
    <row r="27" customFormat="false" ht="15" hidden="false" customHeight="false" outlineLevel="0" collapsed="false">
      <c r="A27" s="4" t="s">
        <v>327</v>
      </c>
      <c r="B27" s="5" t="n">
        <f aca="false">COUNTIF('By Job Role'!$A$5:$A$177,A27)</f>
        <v>3</v>
      </c>
      <c r="C27" s="10" t="n">
        <f aca="false">SUMIF('By Job Role'!$A$5:$A$177,A27,'By Job Role'!$G$5:$G$177)</f>
        <v>645950</v>
      </c>
      <c r="D27" s="6" t="n">
        <f aca="false">SUMIF('By Job Role'!$A$5:$A$177,A27,'By Job Role'!$H$5:$H$177)</f>
        <v>210250</v>
      </c>
      <c r="E27" s="6" t="n">
        <f aca="false">SUMIF('By Job Role'!$A$5:$A$177,A27,'By Job Role'!$I$5:$I$177)</f>
        <v>425</v>
      </c>
      <c r="F27" s="6" t="n">
        <f aca="false">SUMIF('By Job Role'!$A$5:$A$177,A27,'By Job Role'!$J$5:$J$177)</f>
        <v>856625</v>
      </c>
      <c r="G27" s="4" t="n">
        <f aca="false">IF(B27=0,0,ROUND(F27/B27/100000,2))</f>
        <v>2.86</v>
      </c>
    </row>
    <row r="28" customFormat="false" ht="15" hidden="false" customHeight="false" outlineLevel="0" collapsed="false">
      <c r="A28" s="4" t="s">
        <v>334</v>
      </c>
      <c r="B28" s="5" t="n">
        <f aca="false">COUNTIF('By Job Role'!$A$5:$A$177,A28)</f>
        <v>1</v>
      </c>
      <c r="C28" s="10" t="n">
        <f aca="false">SUMIF('By Job Role'!$A$5:$A$177,A28,'By Job Role'!$G$5:$G$177)</f>
        <v>339600</v>
      </c>
      <c r="D28" s="6" t="n">
        <f aca="false">SUMIF('By Job Role'!$A$5:$A$177,A28,'By Job Role'!$H$5:$H$177)</f>
        <v>182000</v>
      </c>
      <c r="E28" s="6" t="n">
        <f aca="false">SUMIF('By Job Role'!$A$5:$A$177,A28,'By Job Role'!$I$5:$I$177)</f>
        <v>4400</v>
      </c>
      <c r="F28" s="6" t="n">
        <f aca="false">SUMIF('By Job Role'!$A$5:$A$177,A28,'By Job Role'!$J$5:$J$177)</f>
        <v>526000</v>
      </c>
      <c r="G28" s="4" t="n">
        <f aca="false">IF(B28=0,0,ROUND(F28/B28/100000,2))</f>
        <v>5.26</v>
      </c>
    </row>
    <row r="29" customFormat="false" ht="15" hidden="false" customHeight="false" outlineLevel="0" collapsed="false">
      <c r="A29" s="4" t="s">
        <v>337</v>
      </c>
      <c r="B29" s="5" t="n">
        <f aca="false">COUNTIF('By Job Role'!$A$5:$A$177,A29)</f>
        <v>4</v>
      </c>
      <c r="C29" s="10" t="n">
        <f aca="false">SUMIF('By Job Role'!$A$5:$A$177,A29,'By Job Role'!$G$5:$G$177)</f>
        <v>493470</v>
      </c>
      <c r="D29" s="6" t="n">
        <f aca="false">SUMIF('By Job Role'!$A$5:$A$177,A29,'By Job Role'!$H$5:$H$177)</f>
        <v>574820</v>
      </c>
      <c r="E29" s="6" t="n">
        <f aca="false">SUMIF('By Job Role'!$A$5:$A$177,A29,'By Job Role'!$I$5:$I$177)</f>
        <v>1035</v>
      </c>
      <c r="F29" s="6" t="n">
        <f aca="false">SUMIF('By Job Role'!$A$5:$A$177,A29,'By Job Role'!$J$5:$J$177)</f>
        <v>1069325</v>
      </c>
      <c r="G29" s="4" t="n">
        <f aca="false">IF(B29=0,0,ROUND(F29/B29/100000,2))</f>
        <v>2.67</v>
      </c>
    </row>
    <row r="30" customFormat="false" ht="15" hidden="false" customHeight="false" outlineLevel="0" collapsed="false">
      <c r="A30" s="4" t="s">
        <v>346</v>
      </c>
      <c r="B30" s="5" t="n">
        <f aca="false">COUNTIF('By Job Role'!$A$5:$A$177,A30)</f>
        <v>10</v>
      </c>
      <c r="C30" s="10" t="n">
        <f aca="false">SUMIF('By Job Role'!$A$5:$A$177,A30,'By Job Role'!$G$5:$G$177)</f>
        <v>883110</v>
      </c>
      <c r="D30" s="6" t="n">
        <f aca="false">SUMIF('By Job Role'!$A$5:$A$177,A30,'By Job Role'!$H$5:$H$177)</f>
        <v>3383200</v>
      </c>
      <c r="E30" s="6" t="n">
        <f aca="false">SUMIF('By Job Role'!$A$5:$A$177,A30,'By Job Role'!$I$5:$I$177)</f>
        <v>36585</v>
      </c>
      <c r="F30" s="6" t="n">
        <f aca="false">SUMIF('By Job Role'!$A$5:$A$177,A30,'By Job Role'!$J$5:$J$177)</f>
        <v>4302895</v>
      </c>
      <c r="G30" s="4" t="n">
        <f aca="false">IF(B30=0,0,ROUND(F30/B30/100000,2))</f>
        <v>4.3</v>
      </c>
    </row>
    <row r="31" customFormat="false" ht="15" hidden="false" customHeight="false" outlineLevel="0" collapsed="false">
      <c r="A31" s="4" t="s">
        <v>367</v>
      </c>
      <c r="B31" s="5" t="n">
        <f aca="false">COUNTIF('By Job Role'!$A$5:$A$177,A31)</f>
        <v>4</v>
      </c>
      <c r="C31" s="10" t="n">
        <f aca="false">SUMIF('By Job Role'!$A$5:$A$177,A31,'By Job Role'!$G$5:$G$177)</f>
        <v>3009420</v>
      </c>
      <c r="D31" s="6" t="n">
        <f aca="false">SUMIF('By Job Role'!$A$5:$A$177,A31,'By Job Role'!$H$5:$H$177)</f>
        <v>1144050</v>
      </c>
      <c r="E31" s="6" t="n">
        <f aca="false">SUMIF('By Job Role'!$A$5:$A$177,A31,'By Job Role'!$I$5:$I$177)</f>
        <v>21465</v>
      </c>
      <c r="F31" s="6" t="n">
        <f aca="false">SUMIF('By Job Role'!$A$5:$A$177,A31,'By Job Role'!$J$5:$J$177)</f>
        <v>4174935</v>
      </c>
      <c r="G31" s="4" t="n">
        <f aca="false">IF(B31=0,0,ROUND(F31/B31/100000,2))</f>
        <v>10.44</v>
      </c>
    </row>
    <row r="32" customFormat="false" ht="15" hidden="false" customHeight="false" outlineLevel="0" collapsed="false">
      <c r="A32" s="4" t="s">
        <v>378</v>
      </c>
      <c r="B32" s="5" t="n">
        <f aca="false">COUNTIF('By Job Role'!$A$5:$A$177,A32)</f>
        <v>4</v>
      </c>
      <c r="C32" s="10" t="n">
        <f aca="false">SUMIF('By Job Role'!$A$5:$A$177,A32,'By Job Role'!$G$5:$G$177)</f>
        <v>932850</v>
      </c>
      <c r="D32" s="6" t="n">
        <f aca="false">SUMIF('By Job Role'!$A$5:$A$177,A32,'By Job Role'!$H$5:$H$177)</f>
        <v>252650</v>
      </c>
      <c r="E32" s="6" t="n">
        <f aca="false">SUMIF('By Job Role'!$A$5:$A$177,A32,'By Job Role'!$I$5:$I$177)</f>
        <v>115150</v>
      </c>
      <c r="F32" s="6" t="n">
        <f aca="false">SUMIF('By Job Role'!$A$5:$A$177,A32,'By Job Role'!$J$5:$J$177)</f>
        <v>1300650</v>
      </c>
      <c r="G32" s="4" t="n">
        <f aca="false">IF(B32=0,0,ROUND(F32/B32/100000,2))</f>
        <v>3.25</v>
      </c>
    </row>
    <row r="33" customFormat="false" ht="15" hidden="false" customHeight="false" outlineLevel="0" collapsed="false">
      <c r="A33" s="4" t="s">
        <v>386</v>
      </c>
      <c r="B33" s="5" t="n">
        <f aca="false">COUNTIF('By Job Role'!$A$5:$A$177,A33)</f>
        <v>1</v>
      </c>
      <c r="C33" s="10" t="n">
        <f aca="false">SUMIF('By Job Role'!$A$5:$A$177,A33,'By Job Role'!$G$5:$G$177)</f>
        <v>320670</v>
      </c>
      <c r="D33" s="6" t="n">
        <f aca="false">SUMIF('By Job Role'!$A$5:$A$177,A33,'By Job Role'!$H$5:$H$177)</f>
        <v>108850</v>
      </c>
      <c r="E33" s="6" t="n">
        <f aca="false">SUMIF('By Job Role'!$A$5:$A$177,A33,'By Job Role'!$I$5:$I$177)</f>
        <v>19405</v>
      </c>
      <c r="F33" s="6" t="n">
        <f aca="false">SUMIF('By Job Role'!$A$5:$A$177,A33,'By Job Role'!$J$5:$J$177)</f>
        <v>448925</v>
      </c>
      <c r="G33" s="4" t="n">
        <f aca="false">IF(B33=0,0,ROUND(F33/B33/100000,2))</f>
        <v>4.49</v>
      </c>
    </row>
    <row r="34" customFormat="false" ht="15" hidden="false" customHeight="false" outlineLevel="0" collapsed="false">
      <c r="A34" s="7" t="s">
        <v>389</v>
      </c>
      <c r="B34" s="8" t="n">
        <f aca="false">SUM(B5:B33)</f>
        <v>173</v>
      </c>
      <c r="C34" s="11" t="n">
        <f aca="false">SUM(C5:C33)</f>
        <v>79708380</v>
      </c>
      <c r="D34" s="9" t="n">
        <f aca="false">SUM(D5:D33)</f>
        <v>57306515</v>
      </c>
      <c r="E34" s="9" t="n">
        <f aca="false">SUM(E5:E33)</f>
        <v>1296579</v>
      </c>
      <c r="F34" s="9" t="n">
        <f aca="false">SUM(F5:F33)</f>
        <v>138311474</v>
      </c>
      <c r="G34" s="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34"/>
    <col collapsed="false" customWidth="true" hidden="false" outlineLevel="0" max="3" min="3" style="0" width="26"/>
    <col collapsed="false" customWidth="true" hidden="false" outlineLevel="0" max="4" min="4" style="0" width="8"/>
    <col collapsed="false" customWidth="true" hidden="false" outlineLevel="0" max="5" min="5" style="0" width="16"/>
    <col collapsed="false" customWidth="true" hidden="false" outlineLevel="0" max="6" min="6" style="0" width="12"/>
  </cols>
  <sheetData>
    <row r="1" customFormat="false" ht="18.55" hidden="false" customHeight="false" outlineLevel="0" collapsed="false">
      <c r="A1" s="1" t="s">
        <v>394</v>
      </c>
    </row>
    <row r="2" customFormat="false" ht="15" hidden="false" customHeight="false" outlineLevel="0" collapsed="false">
      <c r="A2" s="2" t="s">
        <v>1</v>
      </c>
    </row>
    <row r="4" customFormat="false" ht="31.5" hidden="false" customHeight="true" outlineLevel="0" collapsed="false">
      <c r="A4" s="3" t="s">
        <v>395</v>
      </c>
      <c r="B4" s="3" t="s">
        <v>3</v>
      </c>
      <c r="C4" s="3" t="s">
        <v>2</v>
      </c>
      <c r="D4" s="3" t="s">
        <v>5</v>
      </c>
      <c r="E4" s="3" t="s">
        <v>11</v>
      </c>
      <c r="F4" s="3" t="s">
        <v>12</v>
      </c>
    </row>
    <row r="5" customFormat="false" ht="15" hidden="false" customHeight="false" outlineLevel="0" collapsed="false">
      <c r="A5" s="4" t="n">
        <v>1</v>
      </c>
      <c r="B5" s="5" t="str">
        <f aca="false">INDEX('By Job Role'!$B$5:$B$177,MATCH(E5,'By Job Role'!$J$5:$J$177,0))</f>
        <v>Auto Electrical Design Technician</v>
      </c>
      <c r="C5" s="5" t="str">
        <f aca="false">INDEX('By Job Role'!$A$5:$A$177,MATCH(E5,'By Job Role'!$J$5:$J$177,0))</f>
        <v>Automotive</v>
      </c>
      <c r="D5" s="4" t="str">
        <f aca="false">INDEX('By Job Role'!$D$5:$D$177,MATCH(E5,'By Job Role'!$J$5:$J$177,0))</f>
        <v>XI-XII</v>
      </c>
      <c r="E5" s="6" t="n">
        <f aca="false">LARGE('By Job Role'!$J$5:$J$177,A5)</f>
        <v>6389130</v>
      </c>
      <c r="F5" s="4" t="n">
        <f aca="false">ROUND(E5/100000,2)</f>
        <v>63.89</v>
      </c>
    </row>
    <row r="6" customFormat="false" ht="15" hidden="false" customHeight="false" outlineLevel="0" collapsed="false">
      <c r="A6" s="4" t="n">
        <v>2</v>
      </c>
      <c r="B6" s="5" t="str">
        <f aca="false">INDEX('By Job Role'!$B$5:$B$177,MATCH(E6,'By Job Role'!$J$5:$J$177,0))</f>
        <v>Bamboo Work Artisan</v>
      </c>
      <c r="C6" s="5" t="str">
        <f aca="false">INDEX('By Job Role'!$A$5:$A$177,MATCH(E6,'By Job Role'!$J$5:$J$177,0))</f>
        <v>Handicrafts &amp; Carpet</v>
      </c>
      <c r="D6" s="4" t="str">
        <f aca="false">INDEX('By Job Role'!$D$5:$D$177,MATCH(E6,'By Job Role'!$J$5:$J$177,0))</f>
        <v>XI-XII</v>
      </c>
      <c r="E6" s="6" t="n">
        <f aca="false">LARGE('By Job Role'!$J$5:$J$177,A6)</f>
        <v>4760950</v>
      </c>
      <c r="F6" s="4" t="n">
        <f aca="false">ROUND(E6/100000,2)</f>
        <v>47.61</v>
      </c>
    </row>
    <row r="7" customFormat="false" ht="15" hidden="false" customHeight="false" outlineLevel="0" collapsed="false">
      <c r="A7" s="4" t="n">
        <v>3</v>
      </c>
      <c r="B7" s="5" t="str">
        <f aca="false">INDEX('By Job Role'!$B$5:$B$177,MATCH(E7,'By Job Role'!$J$5:$J$177,0))</f>
        <v>Finisher and packer</v>
      </c>
      <c r="C7" s="5" t="str">
        <f aca="false">INDEX('By Job Role'!$A$5:$A$177,MATCH(E7,'By Job Role'!$J$5:$J$177,0))</f>
        <v>Apparel</v>
      </c>
      <c r="D7" s="4" t="str">
        <f aca="false">INDEX('By Job Role'!$D$5:$D$177,MATCH(E7,'By Job Role'!$J$5:$J$177,0))</f>
        <v>XI-XII</v>
      </c>
      <c r="E7" s="6" t="n">
        <f aca="false">LARGE('By Job Role'!$J$5:$J$177,A7)</f>
        <v>4172815</v>
      </c>
      <c r="F7" s="4" t="n">
        <f aca="false">ROUND(E7/100000,2)</f>
        <v>41.73</v>
      </c>
    </row>
    <row r="8" customFormat="false" ht="15" hidden="false" customHeight="false" outlineLevel="0" collapsed="false">
      <c r="A8" s="4" t="n">
        <v>4</v>
      </c>
      <c r="B8" s="5" t="str">
        <f aca="false">INDEX('By Job Role'!$B$5:$B$177,MATCH(E8,'By Job Role'!$J$5:$J$177,0))</f>
        <v>Warehouse Associate</v>
      </c>
      <c r="C8" s="5" t="str">
        <f aca="false">INDEX('By Job Role'!$A$5:$A$177,MATCH(E8,'By Job Role'!$J$5:$J$177,0))</f>
        <v>Logistics</v>
      </c>
      <c r="D8" s="4" t="str">
        <f aca="false">INDEX('By Job Role'!$D$5:$D$177,MATCH(E8,'By Job Role'!$J$5:$J$177,0))</f>
        <v>IX-X</v>
      </c>
      <c r="E8" s="6" t="n">
        <f aca="false">LARGE('By Job Role'!$J$5:$J$177,A8)</f>
        <v>4028725</v>
      </c>
      <c r="F8" s="4" t="n">
        <f aca="false">ROUND(E8/100000,2)</f>
        <v>40.29</v>
      </c>
    </row>
    <row r="9" customFormat="false" ht="15" hidden="false" customHeight="false" outlineLevel="0" collapsed="false">
      <c r="A9" s="4" t="n">
        <v>5</v>
      </c>
      <c r="B9" s="5" t="str">
        <f aca="false">INDEX('By Job Role'!$B$5:$B$177,MATCH(E9,'By Job Role'!$J$5:$J$177,0))</f>
        <v>Warehouse Associate</v>
      </c>
      <c r="C9" s="5" t="str">
        <f aca="false">INDEX('By Job Role'!$A$5:$A$177,MATCH(E9,'By Job Role'!$J$5:$J$177,0))</f>
        <v>Logistics</v>
      </c>
      <c r="D9" s="4" t="str">
        <f aca="false">INDEX('By Job Role'!$D$5:$D$177,MATCH(E9,'By Job Role'!$J$5:$J$177,0))</f>
        <v>IX-X</v>
      </c>
      <c r="E9" s="6" t="n">
        <f aca="false">LARGE('By Job Role'!$J$5:$J$177,A9)</f>
        <v>4028725</v>
      </c>
      <c r="F9" s="4" t="n">
        <f aca="false">ROUND(E9/100000,2)</f>
        <v>40.29</v>
      </c>
    </row>
    <row r="10" customFormat="false" ht="15" hidden="false" customHeight="false" outlineLevel="0" collapsed="false">
      <c r="A10" s="4" t="n">
        <v>6</v>
      </c>
      <c r="B10" s="5" t="str">
        <f aca="false">INDEX('By Job Role'!$B$5:$B$177,MATCH(E10,'By Job Role'!$J$5:$J$177,0))</f>
        <v>Warehouse Binner</v>
      </c>
      <c r="C10" s="5" t="str">
        <f aca="false">INDEX('By Job Role'!$A$5:$A$177,MATCH(E10,'By Job Role'!$J$5:$J$177,0))</f>
        <v>Logistics</v>
      </c>
      <c r="D10" s="4" t="str">
        <f aca="false">INDEX('By Job Role'!$D$5:$D$177,MATCH(E10,'By Job Role'!$J$5:$J$177,0))</f>
        <v>IX-X</v>
      </c>
      <c r="E10" s="6" t="n">
        <f aca="false">LARGE('By Job Role'!$J$5:$J$177,A10)</f>
        <v>3696450</v>
      </c>
      <c r="F10" s="4" t="n">
        <f aca="false">ROUND(E10/100000,2)</f>
        <v>36.96</v>
      </c>
    </row>
    <row r="11" customFormat="false" ht="15" hidden="false" customHeight="false" outlineLevel="0" collapsed="false">
      <c r="A11" s="4" t="n">
        <v>7</v>
      </c>
      <c r="B11" s="5" t="str">
        <f aca="false">INDEX('By Job Role'!$B$5:$B$177,MATCH(E11,'By Job Role'!$J$5:$J$177,0))</f>
        <v>Electric Vehicle Service Assistant</v>
      </c>
      <c r="C11" s="5" t="str">
        <f aca="false">INDEX('By Job Role'!$A$5:$A$177,MATCH(E11,'By Job Role'!$J$5:$J$177,0))</f>
        <v>Automotive</v>
      </c>
      <c r="D11" s="4" t="str">
        <f aca="false">INDEX('By Job Role'!$D$5:$D$177,MATCH(E11,'By Job Role'!$J$5:$J$177,0))</f>
        <v>IX-X</v>
      </c>
      <c r="E11" s="6" t="n">
        <f aca="false">LARGE('By Job Role'!$J$5:$J$177,A11)</f>
        <v>3666625</v>
      </c>
      <c r="F11" s="4" t="n">
        <f aca="false">ROUND(E11/100000,2)</f>
        <v>36.67</v>
      </c>
    </row>
    <row r="12" customFormat="false" ht="15" hidden="false" customHeight="false" outlineLevel="0" collapsed="false">
      <c r="A12" s="4" t="n">
        <v>8</v>
      </c>
      <c r="B12" s="5" t="str">
        <f aca="false">INDEX('By Job Role'!$B$5:$B$177,MATCH(E12,'By Job Role'!$J$5:$J$177,0))</f>
        <v>Jute Products Artisan</v>
      </c>
      <c r="C12" s="5" t="str">
        <f aca="false">INDEX('By Job Role'!$A$5:$A$177,MATCH(E12,'By Job Role'!$J$5:$J$177,0))</f>
        <v>Handicrafts &amp; Carpet</v>
      </c>
      <c r="D12" s="4" t="str">
        <f aca="false">INDEX('By Job Role'!$D$5:$D$177,MATCH(E12,'By Job Role'!$J$5:$J$177,0))</f>
        <v>XI-XII</v>
      </c>
      <c r="E12" s="6" t="n">
        <f aca="false">LARGE('By Job Role'!$J$5:$J$177,A12)</f>
        <v>3658575</v>
      </c>
      <c r="F12" s="4" t="n">
        <f aca="false">ROUND(E12/100000,2)</f>
        <v>36.59</v>
      </c>
    </row>
    <row r="13" customFormat="false" ht="23.85" hidden="false" customHeight="false" outlineLevel="0" collapsed="false">
      <c r="A13" s="4" t="n">
        <v>9</v>
      </c>
      <c r="B13" s="5" t="str">
        <f aca="false">INDEX('By Job Role'!$B$5:$B$177,MATCH(E13,'By Job Role'!$J$5:$J$177,0))</f>
        <v>Auto Service Technician (Two and Three Wheeler)</v>
      </c>
      <c r="C13" s="5" t="str">
        <f aca="false">INDEX('By Job Role'!$A$5:$A$177,MATCH(E13,'By Job Role'!$J$5:$J$177,0))</f>
        <v>Automotive</v>
      </c>
      <c r="D13" s="4" t="str">
        <f aca="false">INDEX('By Job Role'!$D$5:$D$177,MATCH(E13,'By Job Role'!$J$5:$J$177,0))</f>
        <v>XI-XII</v>
      </c>
      <c r="E13" s="6" t="n">
        <f aca="false">LARGE('By Job Role'!$J$5:$J$177,A13)</f>
        <v>3384705</v>
      </c>
      <c r="F13" s="4" t="n">
        <f aca="false">ROUND(E13/100000,2)</f>
        <v>33.85</v>
      </c>
    </row>
    <row r="14" customFormat="false" ht="15" hidden="false" customHeight="false" outlineLevel="0" collapsed="false">
      <c r="A14" s="4" t="n">
        <v>10</v>
      </c>
      <c r="B14" s="5" t="str">
        <f aca="false">INDEX('By Job Role'!$B$5:$B$177,MATCH(E14,'By Job Role'!$J$5:$J$177,0))</f>
        <v>Animator</v>
      </c>
      <c r="C14" s="5" t="str">
        <f aca="false">INDEX('By Job Role'!$A$5:$A$177,MATCH(E14,'By Job Role'!$J$5:$J$177,0))</f>
        <v>Media &amp; Entertainment</v>
      </c>
      <c r="D14" s="4" t="str">
        <f aca="false">INDEX('By Job Role'!$D$5:$D$177,MATCH(E14,'By Job Role'!$J$5:$J$177,0))</f>
        <v>XI-XII</v>
      </c>
      <c r="E14" s="6" t="n">
        <f aca="false">LARGE('By Job Role'!$J$5:$J$177,A14)</f>
        <v>3374800</v>
      </c>
      <c r="F14" s="4" t="n">
        <f aca="false">ROUND(E14/100000,2)</f>
        <v>33.75</v>
      </c>
    </row>
    <row r="15" customFormat="false" ht="15" hidden="false" customHeight="false" outlineLevel="0" collapsed="false">
      <c r="A15" s="4" t="n">
        <v>11</v>
      </c>
      <c r="B15" s="5" t="str">
        <f aca="false">INDEX('By Job Role'!$B$5:$B$177,MATCH(E15,'By Job Role'!$J$5:$J$177,0))</f>
        <v>Millet Product Processor</v>
      </c>
      <c r="C15" s="5" t="str">
        <f aca="false">INDEX('By Job Role'!$A$5:$A$177,MATCH(E15,'By Job Role'!$J$5:$J$177,0))</f>
        <v>Food Processing</v>
      </c>
      <c r="D15" s="4" t="str">
        <f aca="false">INDEX('By Job Role'!$D$5:$D$177,MATCH(E15,'By Job Role'!$J$5:$J$177,0))</f>
        <v>IX-X</v>
      </c>
      <c r="E15" s="6" t="n">
        <f aca="false">LARGE('By Job Role'!$J$5:$J$177,A15)</f>
        <v>2890050</v>
      </c>
      <c r="F15" s="4" t="n">
        <f aca="false">ROUND(E15/100000,2)</f>
        <v>28.9</v>
      </c>
    </row>
    <row r="16" customFormat="false" ht="23.85" hidden="false" customHeight="false" outlineLevel="0" collapsed="false">
      <c r="A16" s="4" t="n">
        <v>12</v>
      </c>
      <c r="B16" s="5" t="str">
        <f aca="false">INDEX('By Job Role'!$B$5:$B$177,MATCH(E16,'By Job Role'!$J$5:$J$177,0))</f>
        <v>Office Executive</v>
      </c>
      <c r="C16" s="5" t="str">
        <f aca="false">INDEX('By Job Role'!$A$5:$A$177,MATCH(E16,'By Job Role'!$J$5:$J$177,0))</f>
        <v>Management &amp; Entrepreneurship</v>
      </c>
      <c r="D16" s="4" t="str">
        <f aca="false">INDEX('By Job Role'!$D$5:$D$177,MATCH(E16,'By Job Role'!$J$5:$J$177,0))</f>
        <v>XI-XII</v>
      </c>
      <c r="E16" s="6" t="n">
        <f aca="false">LARGE('By Job Role'!$J$5:$J$177,A16)</f>
        <v>2485250</v>
      </c>
      <c r="F16" s="4" t="n">
        <f aca="false">ROUND(E16/100000,2)</f>
        <v>24.85</v>
      </c>
    </row>
    <row r="17" customFormat="false" ht="15" hidden="false" customHeight="false" outlineLevel="0" collapsed="false">
      <c r="A17" s="4" t="n">
        <v>13</v>
      </c>
      <c r="B17" s="5" t="str">
        <f aca="false">INDEX('By Job Role'!$B$5:$B$177,MATCH(E17,'By Job Role'!$J$5:$J$177,0))</f>
        <v>E-commerce Delivery Associate</v>
      </c>
      <c r="C17" s="5" t="str">
        <f aca="false">INDEX('By Job Role'!$A$5:$A$177,MATCH(E17,'By Job Role'!$J$5:$J$177,0))</f>
        <v>Logistics</v>
      </c>
      <c r="D17" s="4" t="str">
        <f aca="false">INDEX('By Job Role'!$D$5:$D$177,MATCH(E17,'By Job Role'!$J$5:$J$177,0))</f>
        <v>XI-XII</v>
      </c>
      <c r="E17" s="6" t="n">
        <f aca="false">LARGE('By Job Role'!$J$5:$J$177,A17)</f>
        <v>2406050</v>
      </c>
      <c r="F17" s="4" t="n">
        <f aca="false">ROUND(E17/100000,2)</f>
        <v>24.06</v>
      </c>
    </row>
    <row r="18" customFormat="false" ht="15" hidden="false" customHeight="false" outlineLevel="0" collapsed="false">
      <c r="A18" s="4" t="n">
        <v>14</v>
      </c>
      <c r="B18" s="5" t="str">
        <f aca="false">INDEX('By Job Role'!$B$5:$B$177,MATCH(E18,'By Job Role'!$J$5:$J$177,0))</f>
        <v>Retail Associate cum Cashier</v>
      </c>
      <c r="C18" s="5" t="str">
        <f aca="false">INDEX('By Job Role'!$A$5:$A$177,MATCH(E18,'By Job Role'!$J$5:$J$177,0))</f>
        <v>Organised Retail</v>
      </c>
      <c r="D18" s="4" t="str">
        <f aca="false">INDEX('By Job Role'!$D$5:$D$177,MATCH(E18,'By Job Role'!$J$5:$J$177,0))</f>
        <v>XI-XII</v>
      </c>
      <c r="E18" s="6" t="n">
        <f aca="false">LARGE('By Job Role'!$J$5:$J$177,A18)</f>
        <v>2185650</v>
      </c>
      <c r="F18" s="4" t="n">
        <f aca="false">ROUND(E18/100000,2)</f>
        <v>21.86</v>
      </c>
    </row>
    <row r="19" customFormat="false" ht="15" hidden="false" customHeight="false" outlineLevel="0" collapsed="false">
      <c r="A19" s="4" t="n">
        <v>15</v>
      </c>
      <c r="B19" s="5" t="str">
        <f aca="false">INDEX('By Job Role'!$B$5:$B$177,MATCH(E19,'By Job Role'!$J$5:$J$177,0))</f>
        <v>Supply Chain Executive</v>
      </c>
      <c r="C19" s="5" t="str">
        <f aca="false">INDEX('By Job Role'!$A$5:$A$177,MATCH(E19,'By Job Role'!$J$5:$J$177,0))</f>
        <v>Logistics</v>
      </c>
      <c r="D19" s="4" t="str">
        <f aca="false">INDEX('By Job Role'!$D$5:$D$177,MATCH(E19,'By Job Role'!$J$5:$J$177,0))</f>
        <v>XI-XII</v>
      </c>
      <c r="E19" s="6" t="n">
        <f aca="false">LARGE('By Job Role'!$J$5:$J$177,A19)</f>
        <v>2182000</v>
      </c>
      <c r="F19" s="4" t="n">
        <f aca="false">ROUND(E19/100000,2)</f>
        <v>21.82</v>
      </c>
    </row>
    <row r="20" customFormat="false" ht="23.85" hidden="false" customHeight="false" outlineLevel="0" collapsed="false">
      <c r="A20" s="4" t="n">
        <v>16</v>
      </c>
      <c r="B20" s="5" t="str">
        <f aca="false">INDEX('By Job Role'!$B$5:$B$177,MATCH(E20,'By Job Role'!$J$5:$J$177,0))</f>
        <v>Four Wheeler Service Technician (Old Auto Service Technician L4)</v>
      </c>
      <c r="C20" s="5" t="str">
        <f aca="false">INDEX('By Job Role'!$A$5:$A$177,MATCH(E20,'By Job Role'!$J$5:$J$177,0))</f>
        <v>Automotive</v>
      </c>
      <c r="D20" s="4" t="str">
        <f aca="false">INDEX('By Job Role'!$D$5:$D$177,MATCH(E20,'By Job Role'!$J$5:$J$177,0))</f>
        <v>XI-XII</v>
      </c>
      <c r="E20" s="6" t="n">
        <f aca="false">LARGE('By Job Role'!$J$5:$J$177,A20)</f>
        <v>2066495</v>
      </c>
      <c r="F20" s="4" t="n">
        <f aca="false">ROUND(E20/100000,2)</f>
        <v>20.66</v>
      </c>
    </row>
    <row r="21" customFormat="false" ht="15" hidden="false" customHeight="false" outlineLevel="0" collapsed="false">
      <c r="A21" s="4" t="n">
        <v>17</v>
      </c>
      <c r="B21" s="5" t="str">
        <f aca="false">INDEX('By Job Role'!$B$5:$B$177,MATCH(E21,'By Job Role'!$J$5:$J$177,0))</f>
        <v>Documentation Assistant</v>
      </c>
      <c r="C21" s="5" t="str">
        <f aca="false">INDEX('By Job Role'!$A$5:$A$177,MATCH(E21,'By Job Role'!$J$5:$J$177,0))</f>
        <v>Logistics</v>
      </c>
      <c r="D21" s="4" t="str">
        <f aca="false">INDEX('By Job Role'!$D$5:$D$177,MATCH(E21,'By Job Role'!$J$5:$J$177,0))</f>
        <v>XI-XII</v>
      </c>
      <c r="E21" s="6" t="n">
        <f aca="false">LARGE('By Job Role'!$J$5:$J$177,A21)</f>
        <v>2063300</v>
      </c>
      <c r="F21" s="4" t="n">
        <f aca="false">ROUND(E21/100000,2)</f>
        <v>20.63</v>
      </c>
    </row>
    <row r="22" customFormat="false" ht="15" hidden="false" customHeight="false" outlineLevel="0" collapsed="false">
      <c r="A22" s="4" t="n">
        <v>18</v>
      </c>
      <c r="B22" s="5" t="str">
        <f aca="false">INDEX('By Job Role'!$B$5:$B$177,MATCH(E22,'By Job Role'!$J$5:$J$177,0))</f>
        <v>Artificial Intelligence Assistant</v>
      </c>
      <c r="C22" s="5" t="str">
        <f aca="false">INDEX('By Job Role'!$A$5:$A$177,MATCH(E22,'By Job Role'!$J$5:$J$177,0))</f>
        <v>IT-ITeS</v>
      </c>
      <c r="D22" s="4" t="str">
        <f aca="false">INDEX('By Job Role'!$D$5:$D$177,MATCH(E22,'By Job Role'!$J$5:$J$177,0))</f>
        <v>IX-X</v>
      </c>
      <c r="E22" s="6" t="n">
        <f aca="false">LARGE('By Job Role'!$J$5:$J$177,A22)</f>
        <v>2034725</v>
      </c>
      <c r="F22" s="4" t="n">
        <f aca="false">ROUND(E22/100000,2)</f>
        <v>20.35</v>
      </c>
    </row>
    <row r="23" customFormat="false" ht="15" hidden="false" customHeight="false" outlineLevel="0" collapsed="false">
      <c r="A23" s="4" t="n">
        <v>19</v>
      </c>
      <c r="B23" s="5" t="str">
        <f aca="false">INDEX('By Job Role'!$B$5:$B$177,MATCH(E23,'By Job Role'!$J$5:$J$177,0))</f>
        <v>Artificial Intelligence Assistant</v>
      </c>
      <c r="C23" s="5" t="str">
        <f aca="false">INDEX('By Job Role'!$A$5:$A$177,MATCH(E23,'By Job Role'!$J$5:$J$177,0))</f>
        <v>IT-ITeS</v>
      </c>
      <c r="D23" s="4" t="str">
        <f aca="false">INDEX('By Job Role'!$D$5:$D$177,MATCH(E23,'By Job Role'!$J$5:$J$177,0))</f>
        <v>IX-X</v>
      </c>
      <c r="E23" s="6" t="n">
        <f aca="false">LARGE('By Job Role'!$J$5:$J$177,A23)</f>
        <v>2034725</v>
      </c>
      <c r="F23" s="4" t="n">
        <f aca="false">ROUND(E23/100000,2)</f>
        <v>20.35</v>
      </c>
    </row>
    <row r="24" customFormat="false" ht="15" hidden="false" customHeight="false" outlineLevel="0" collapsed="false">
      <c r="A24" s="4" t="n">
        <v>20</v>
      </c>
      <c r="B24" s="5" t="str">
        <f aca="false">INDEX('By Job Role'!$B$5:$B$177,MATCH(E24,'By Job Role'!$J$5:$J$177,0))</f>
        <v>Artificial Intelligence Assistant</v>
      </c>
      <c r="C24" s="5" t="str">
        <f aca="false">INDEX('By Job Role'!$A$5:$A$177,MATCH(E24,'By Job Role'!$J$5:$J$177,0))</f>
        <v>IT-ITeS</v>
      </c>
      <c r="D24" s="4" t="str">
        <f aca="false">INDEX('By Job Role'!$D$5:$D$177,MATCH(E24,'By Job Role'!$J$5:$J$177,0))</f>
        <v>IX-X</v>
      </c>
      <c r="E24" s="6" t="n">
        <f aca="false">LARGE('By Job Role'!$J$5:$J$177,A24)</f>
        <v>2034725</v>
      </c>
      <c r="F24" s="4" t="n">
        <f aca="false">ROUND(E24/100000,2)</f>
        <v>20.35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719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0"/>
    <col collapsed="false" customWidth="true" hidden="false" outlineLevel="0" max="3" min="3" style="0" width="16"/>
    <col collapsed="false" customWidth="true" hidden="false" outlineLevel="0" max="4" min="4" style="0" width="8"/>
    <col collapsed="false" customWidth="true" hidden="false" outlineLevel="0" max="5" min="5" style="0" width="40"/>
    <col collapsed="false" customWidth="true" hidden="false" outlineLevel="0" max="6" min="6" style="0" width="16"/>
    <col collapsed="false" customWidth="true" hidden="false" outlineLevel="0" max="7" min="7" style="0" width="8"/>
    <col collapsed="false" customWidth="true" hidden="false" outlineLevel="0" max="8" min="8" style="0" width="10"/>
    <col collapsed="false" customWidth="true" hidden="false" outlineLevel="0" max="9" min="9" style="0" width="14"/>
    <col collapsed="false" customWidth="true" hidden="false" outlineLevel="0" max="10" min="10" style="0" width="8"/>
    <col collapsed="false" customWidth="true" hidden="false" outlineLevel="0" max="11" min="11" style="0" width="12"/>
    <col collapsed="false" customWidth="true" hidden="false" outlineLevel="0" max="12" min="12" style="0" width="14"/>
    <col collapsed="false" customWidth="true" hidden="false" outlineLevel="0" max="13" min="13" style="0" width="11"/>
  </cols>
  <sheetData>
    <row r="1" customFormat="false" ht="31.5" hidden="false" customHeight="true" outlineLevel="0" collapsed="false">
      <c r="A1" s="3" t="s">
        <v>2</v>
      </c>
      <c r="B1" s="3" t="s">
        <v>3</v>
      </c>
      <c r="C1" s="3" t="s">
        <v>4</v>
      </c>
      <c r="D1" s="3" t="s">
        <v>5</v>
      </c>
      <c r="E1" s="3" t="s">
        <v>396</v>
      </c>
      <c r="F1" s="3" t="s">
        <v>397</v>
      </c>
      <c r="G1" s="3" t="s">
        <v>398</v>
      </c>
      <c r="H1" s="3" t="s">
        <v>399</v>
      </c>
      <c r="I1" s="3" t="s">
        <v>400</v>
      </c>
      <c r="J1" s="3" t="s">
        <v>401</v>
      </c>
      <c r="K1" s="3" t="s">
        <v>402</v>
      </c>
      <c r="L1" s="3" t="s">
        <v>403</v>
      </c>
      <c r="M1" s="3" t="s">
        <v>404</v>
      </c>
    </row>
    <row r="2" customFormat="false" ht="15" hidden="false" customHeight="false" outlineLevel="0" collapsed="false">
      <c r="A2" s="4" t="s">
        <v>13</v>
      </c>
      <c r="B2" s="5" t="s">
        <v>20</v>
      </c>
      <c r="C2" s="5" t="s">
        <v>21</v>
      </c>
      <c r="D2" s="4" t="s">
        <v>22</v>
      </c>
      <c r="E2" s="4" t="s">
        <v>405</v>
      </c>
      <c r="F2" s="4" t="s">
        <v>406</v>
      </c>
      <c r="G2" s="4" t="s">
        <v>407</v>
      </c>
      <c r="H2" s="12" t="n">
        <v>1</v>
      </c>
      <c r="I2" s="4" t="s">
        <v>408</v>
      </c>
      <c r="J2" s="4" t="s">
        <v>409</v>
      </c>
      <c r="K2" s="13" t="n">
        <v>8500</v>
      </c>
      <c r="L2" s="6" t="n">
        <f aca="false">H2*K2</f>
        <v>8500</v>
      </c>
      <c r="M2" s="14" t="s">
        <v>410</v>
      </c>
    </row>
    <row r="3" customFormat="false" ht="15" hidden="false" customHeight="false" outlineLevel="0" collapsed="false">
      <c r="A3" s="4" t="s">
        <v>13</v>
      </c>
      <c r="B3" s="5" t="s">
        <v>20</v>
      </c>
      <c r="C3" s="5" t="s">
        <v>21</v>
      </c>
      <c r="D3" s="4" t="s">
        <v>22</v>
      </c>
      <c r="E3" s="4" t="s">
        <v>411</v>
      </c>
      <c r="F3" s="4" t="s">
        <v>406</v>
      </c>
      <c r="G3" s="4" t="s">
        <v>412</v>
      </c>
      <c r="H3" s="12" t="n">
        <v>1</v>
      </c>
      <c r="I3" s="4" t="s">
        <v>408</v>
      </c>
      <c r="J3" s="4" t="s">
        <v>413</v>
      </c>
      <c r="K3" s="13" t="n">
        <v>1200</v>
      </c>
      <c r="L3" s="6" t="n">
        <f aca="false">H3*K3</f>
        <v>1200</v>
      </c>
      <c r="M3" s="14" t="s">
        <v>410</v>
      </c>
    </row>
    <row r="4" customFormat="false" ht="15" hidden="false" customHeight="false" outlineLevel="0" collapsed="false">
      <c r="A4" s="4" t="s">
        <v>13</v>
      </c>
      <c r="B4" s="5" t="s">
        <v>20</v>
      </c>
      <c r="C4" s="5" t="s">
        <v>21</v>
      </c>
      <c r="D4" s="4" t="s">
        <v>22</v>
      </c>
      <c r="E4" s="4" t="s">
        <v>414</v>
      </c>
      <c r="F4" s="4" t="s">
        <v>406</v>
      </c>
      <c r="G4" s="4" t="s">
        <v>415</v>
      </c>
      <c r="H4" s="12" t="n">
        <v>1</v>
      </c>
      <c r="I4" s="4" t="s">
        <v>408</v>
      </c>
      <c r="J4" s="4" t="s">
        <v>416</v>
      </c>
      <c r="K4" s="13" t="n">
        <v>1800</v>
      </c>
      <c r="L4" s="6" t="n">
        <f aca="false">H4*K4</f>
        <v>1800</v>
      </c>
      <c r="M4" s="14" t="s">
        <v>410</v>
      </c>
    </row>
    <row r="5" customFormat="false" ht="15" hidden="false" customHeight="false" outlineLevel="0" collapsed="false">
      <c r="A5" s="4" t="s">
        <v>13</v>
      </c>
      <c r="B5" s="5" t="s">
        <v>20</v>
      </c>
      <c r="C5" s="5" t="s">
        <v>21</v>
      </c>
      <c r="D5" s="4" t="s">
        <v>22</v>
      </c>
      <c r="E5" s="4" t="s">
        <v>417</v>
      </c>
      <c r="F5" s="4" t="s">
        <v>406</v>
      </c>
      <c r="G5" s="4" t="s">
        <v>418</v>
      </c>
      <c r="H5" s="12" t="n">
        <v>1</v>
      </c>
      <c r="I5" s="4" t="s">
        <v>408</v>
      </c>
      <c r="J5" s="4" t="s">
        <v>409</v>
      </c>
      <c r="K5" s="13" t="n">
        <v>850</v>
      </c>
      <c r="L5" s="6" t="n">
        <f aca="false">H5*K5</f>
        <v>850</v>
      </c>
      <c r="M5" s="14" t="s">
        <v>410</v>
      </c>
    </row>
    <row r="6" customFormat="false" ht="15" hidden="false" customHeight="false" outlineLevel="0" collapsed="false">
      <c r="A6" s="4" t="s">
        <v>13</v>
      </c>
      <c r="B6" s="5" t="s">
        <v>20</v>
      </c>
      <c r="C6" s="5" t="s">
        <v>21</v>
      </c>
      <c r="D6" s="4" t="s">
        <v>22</v>
      </c>
      <c r="E6" s="4" t="s">
        <v>419</v>
      </c>
      <c r="F6" s="4" t="s">
        <v>406</v>
      </c>
      <c r="G6" s="4" t="s">
        <v>420</v>
      </c>
      <c r="H6" s="12" t="n">
        <v>1</v>
      </c>
      <c r="I6" s="4" t="s">
        <v>408</v>
      </c>
      <c r="J6" s="4" t="s">
        <v>409</v>
      </c>
      <c r="K6" s="13" t="n">
        <v>450</v>
      </c>
      <c r="L6" s="6" t="n">
        <f aca="false">H6*K6</f>
        <v>450</v>
      </c>
      <c r="M6" s="14" t="s">
        <v>410</v>
      </c>
    </row>
    <row r="7" customFormat="false" ht="15" hidden="false" customHeight="false" outlineLevel="0" collapsed="false">
      <c r="A7" s="4" t="s">
        <v>13</v>
      </c>
      <c r="B7" s="5" t="s">
        <v>20</v>
      </c>
      <c r="C7" s="5" t="s">
        <v>21</v>
      </c>
      <c r="D7" s="4" t="s">
        <v>22</v>
      </c>
      <c r="E7" s="4" t="s">
        <v>421</v>
      </c>
      <c r="F7" s="4" t="s">
        <v>406</v>
      </c>
      <c r="G7" s="4" t="s">
        <v>422</v>
      </c>
      <c r="H7" s="12" t="n">
        <v>1</v>
      </c>
      <c r="I7" s="4" t="s">
        <v>408</v>
      </c>
      <c r="J7" s="4" t="s">
        <v>409</v>
      </c>
      <c r="K7" s="13" t="n">
        <v>850</v>
      </c>
      <c r="L7" s="6" t="n">
        <f aca="false">H7*K7</f>
        <v>850</v>
      </c>
      <c r="M7" s="14" t="s">
        <v>410</v>
      </c>
    </row>
    <row r="8" customFormat="false" ht="15" hidden="false" customHeight="false" outlineLevel="0" collapsed="false">
      <c r="A8" s="4" t="s">
        <v>13</v>
      </c>
      <c r="B8" s="5" t="s">
        <v>20</v>
      </c>
      <c r="C8" s="5" t="s">
        <v>21</v>
      </c>
      <c r="D8" s="4" t="s">
        <v>22</v>
      </c>
      <c r="E8" s="4" t="s">
        <v>423</v>
      </c>
      <c r="F8" s="4" t="s">
        <v>406</v>
      </c>
      <c r="G8" s="4" t="s">
        <v>424</v>
      </c>
      <c r="H8" s="12" t="n">
        <v>1</v>
      </c>
      <c r="I8" s="4" t="s">
        <v>408</v>
      </c>
      <c r="J8" s="4" t="s">
        <v>409</v>
      </c>
      <c r="K8" s="13" t="n">
        <v>650</v>
      </c>
      <c r="L8" s="6" t="n">
        <f aca="false">H8*K8</f>
        <v>650</v>
      </c>
      <c r="M8" s="14" t="s">
        <v>410</v>
      </c>
    </row>
    <row r="9" customFormat="false" ht="15" hidden="false" customHeight="false" outlineLevel="0" collapsed="false">
      <c r="A9" s="4" t="s">
        <v>13</v>
      </c>
      <c r="B9" s="5" t="s">
        <v>20</v>
      </c>
      <c r="C9" s="5" t="s">
        <v>21</v>
      </c>
      <c r="D9" s="4" t="s">
        <v>22</v>
      </c>
      <c r="E9" s="4" t="s">
        <v>425</v>
      </c>
      <c r="F9" s="4" t="s">
        <v>406</v>
      </c>
      <c r="G9" s="4" t="s">
        <v>426</v>
      </c>
      <c r="H9" s="12" t="n">
        <v>1</v>
      </c>
      <c r="I9" s="4" t="s">
        <v>408</v>
      </c>
      <c r="J9" s="4" t="s">
        <v>409</v>
      </c>
      <c r="K9" s="13" t="n">
        <v>4500</v>
      </c>
      <c r="L9" s="6" t="n">
        <f aca="false">H9*K9</f>
        <v>4500</v>
      </c>
      <c r="M9" s="14" t="s">
        <v>410</v>
      </c>
    </row>
    <row r="10" customFormat="false" ht="15" hidden="false" customHeight="false" outlineLevel="0" collapsed="false">
      <c r="A10" s="4" t="s">
        <v>13</v>
      </c>
      <c r="B10" s="5" t="s">
        <v>20</v>
      </c>
      <c r="C10" s="5" t="s">
        <v>21</v>
      </c>
      <c r="D10" s="4" t="s">
        <v>22</v>
      </c>
      <c r="E10" s="4" t="s">
        <v>427</v>
      </c>
      <c r="F10" s="4" t="s">
        <v>406</v>
      </c>
      <c r="G10" s="4" t="s">
        <v>428</v>
      </c>
      <c r="H10" s="12" t="n">
        <v>1</v>
      </c>
      <c r="I10" s="4" t="s">
        <v>408</v>
      </c>
      <c r="J10" s="4" t="s">
        <v>429</v>
      </c>
      <c r="K10" s="13" t="n">
        <v>120</v>
      </c>
      <c r="L10" s="6" t="n">
        <f aca="false">H10*K10</f>
        <v>120</v>
      </c>
      <c r="M10" s="14" t="s">
        <v>410</v>
      </c>
    </row>
    <row r="11" customFormat="false" ht="15" hidden="false" customHeight="false" outlineLevel="0" collapsed="false">
      <c r="A11" s="4" t="s">
        <v>13</v>
      </c>
      <c r="B11" s="5" t="s">
        <v>20</v>
      </c>
      <c r="C11" s="5" t="s">
        <v>21</v>
      </c>
      <c r="D11" s="4" t="s">
        <v>22</v>
      </c>
      <c r="E11" s="4" t="s">
        <v>430</v>
      </c>
      <c r="F11" s="4" t="s">
        <v>406</v>
      </c>
      <c r="G11" s="4" t="s">
        <v>431</v>
      </c>
      <c r="H11" s="12" t="n">
        <v>1</v>
      </c>
      <c r="I11" s="4" t="s">
        <v>408</v>
      </c>
      <c r="J11" s="4" t="s">
        <v>432</v>
      </c>
      <c r="K11" s="13" t="n">
        <v>250</v>
      </c>
      <c r="L11" s="6" t="n">
        <f aca="false">H11*K11</f>
        <v>250</v>
      </c>
      <c r="M11" s="14" t="s">
        <v>410</v>
      </c>
    </row>
    <row r="12" customFormat="false" ht="15" hidden="false" customHeight="false" outlineLevel="0" collapsed="false">
      <c r="A12" s="4" t="s">
        <v>13</v>
      </c>
      <c r="B12" s="5" t="s">
        <v>20</v>
      </c>
      <c r="C12" s="5" t="s">
        <v>21</v>
      </c>
      <c r="D12" s="4" t="s">
        <v>22</v>
      </c>
      <c r="E12" s="4" t="s">
        <v>433</v>
      </c>
      <c r="F12" s="4" t="s">
        <v>406</v>
      </c>
      <c r="G12" s="4" t="s">
        <v>434</v>
      </c>
      <c r="H12" s="12" t="n">
        <v>1</v>
      </c>
      <c r="I12" s="4" t="s">
        <v>408</v>
      </c>
      <c r="J12" s="4" t="s">
        <v>409</v>
      </c>
      <c r="K12" s="13" t="n">
        <v>450</v>
      </c>
      <c r="L12" s="6" t="n">
        <f aca="false">H12*K12</f>
        <v>450</v>
      </c>
      <c r="M12" s="14" t="s">
        <v>410</v>
      </c>
    </row>
    <row r="13" customFormat="false" ht="15" hidden="false" customHeight="false" outlineLevel="0" collapsed="false">
      <c r="A13" s="4" t="s">
        <v>13</v>
      </c>
      <c r="B13" s="5" t="s">
        <v>20</v>
      </c>
      <c r="C13" s="5" t="s">
        <v>21</v>
      </c>
      <c r="D13" s="4" t="s">
        <v>22</v>
      </c>
      <c r="E13" s="4" t="s">
        <v>435</v>
      </c>
      <c r="F13" s="4" t="s">
        <v>406</v>
      </c>
      <c r="G13" s="4" t="s">
        <v>436</v>
      </c>
      <c r="H13" s="12" t="n">
        <v>1</v>
      </c>
      <c r="I13" s="4" t="s">
        <v>408</v>
      </c>
      <c r="J13" s="4" t="s">
        <v>409</v>
      </c>
      <c r="K13" s="13" t="n">
        <v>450</v>
      </c>
      <c r="L13" s="6" t="n">
        <f aca="false">H13*K13</f>
        <v>450</v>
      </c>
      <c r="M13" s="14" t="s">
        <v>410</v>
      </c>
    </row>
    <row r="14" customFormat="false" ht="15" hidden="false" customHeight="false" outlineLevel="0" collapsed="false">
      <c r="A14" s="4" t="s">
        <v>13</v>
      </c>
      <c r="B14" s="5" t="s">
        <v>20</v>
      </c>
      <c r="C14" s="5" t="s">
        <v>21</v>
      </c>
      <c r="D14" s="4" t="s">
        <v>22</v>
      </c>
      <c r="E14" s="4" t="s">
        <v>437</v>
      </c>
      <c r="F14" s="4" t="s">
        <v>406</v>
      </c>
      <c r="G14" s="4" t="s">
        <v>438</v>
      </c>
      <c r="H14" s="12" t="n">
        <v>1</v>
      </c>
      <c r="I14" s="4" t="s">
        <v>408</v>
      </c>
      <c r="J14" s="4" t="s">
        <v>409</v>
      </c>
      <c r="K14" s="13" t="n">
        <v>850</v>
      </c>
      <c r="L14" s="6" t="n">
        <f aca="false">H14*K14</f>
        <v>850</v>
      </c>
      <c r="M14" s="14" t="s">
        <v>410</v>
      </c>
    </row>
    <row r="15" customFormat="false" ht="15" hidden="false" customHeight="false" outlineLevel="0" collapsed="false">
      <c r="A15" s="4" t="s">
        <v>13</v>
      </c>
      <c r="B15" s="5" t="s">
        <v>20</v>
      </c>
      <c r="C15" s="5" t="s">
        <v>21</v>
      </c>
      <c r="D15" s="4" t="s">
        <v>22</v>
      </c>
      <c r="E15" s="4" t="s">
        <v>439</v>
      </c>
      <c r="F15" s="4" t="s">
        <v>406</v>
      </c>
      <c r="G15" s="4" t="s">
        <v>440</v>
      </c>
      <c r="H15" s="12" t="n">
        <v>1</v>
      </c>
      <c r="I15" s="4" t="s">
        <v>408</v>
      </c>
      <c r="J15" s="4" t="s">
        <v>429</v>
      </c>
      <c r="K15" s="13" t="n">
        <v>80</v>
      </c>
      <c r="L15" s="6" t="n">
        <f aca="false">H15*K15</f>
        <v>80</v>
      </c>
      <c r="M15" s="14" t="s">
        <v>410</v>
      </c>
    </row>
    <row r="16" customFormat="false" ht="15" hidden="false" customHeight="false" outlineLevel="0" collapsed="false">
      <c r="A16" s="4" t="s">
        <v>13</v>
      </c>
      <c r="B16" s="5" t="s">
        <v>20</v>
      </c>
      <c r="C16" s="5" t="s">
        <v>21</v>
      </c>
      <c r="D16" s="4" t="s">
        <v>22</v>
      </c>
      <c r="E16" s="4" t="s">
        <v>441</v>
      </c>
      <c r="F16" s="4" t="s">
        <v>406</v>
      </c>
      <c r="G16" s="4" t="s">
        <v>442</v>
      </c>
      <c r="H16" s="12" t="n">
        <v>1</v>
      </c>
      <c r="I16" s="4" t="s">
        <v>408</v>
      </c>
      <c r="J16" s="4" t="s">
        <v>409</v>
      </c>
      <c r="K16" s="13" t="n">
        <v>350</v>
      </c>
      <c r="L16" s="6" t="n">
        <f aca="false">H16*K16</f>
        <v>350</v>
      </c>
      <c r="M16" s="14" t="s">
        <v>410</v>
      </c>
    </row>
    <row r="17" customFormat="false" ht="15" hidden="false" customHeight="false" outlineLevel="0" collapsed="false">
      <c r="A17" s="4" t="s">
        <v>13</v>
      </c>
      <c r="B17" s="5" t="s">
        <v>20</v>
      </c>
      <c r="C17" s="5" t="s">
        <v>21</v>
      </c>
      <c r="D17" s="4" t="s">
        <v>22</v>
      </c>
      <c r="E17" s="4" t="s">
        <v>443</v>
      </c>
      <c r="F17" s="4" t="s">
        <v>406</v>
      </c>
      <c r="G17" s="4" t="s">
        <v>444</v>
      </c>
      <c r="H17" s="12" t="n">
        <v>1</v>
      </c>
      <c r="I17" s="4" t="s">
        <v>408</v>
      </c>
      <c r="J17" s="4" t="s">
        <v>409</v>
      </c>
      <c r="K17" s="13" t="n">
        <v>1200</v>
      </c>
      <c r="L17" s="6" t="n">
        <f aca="false">H17*K17</f>
        <v>1200</v>
      </c>
      <c r="M17" s="14" t="s">
        <v>410</v>
      </c>
    </row>
    <row r="18" customFormat="false" ht="15" hidden="false" customHeight="false" outlineLevel="0" collapsed="false">
      <c r="A18" s="4" t="s">
        <v>13</v>
      </c>
      <c r="B18" s="5" t="s">
        <v>20</v>
      </c>
      <c r="C18" s="5" t="s">
        <v>21</v>
      </c>
      <c r="D18" s="4" t="s">
        <v>22</v>
      </c>
      <c r="E18" s="4" t="s">
        <v>445</v>
      </c>
      <c r="F18" s="4" t="s">
        <v>406</v>
      </c>
      <c r="G18" s="4" t="s">
        <v>446</v>
      </c>
      <c r="H18" s="12" t="n">
        <v>1</v>
      </c>
      <c r="I18" s="4" t="s">
        <v>408</v>
      </c>
      <c r="J18" s="4" t="s">
        <v>409</v>
      </c>
      <c r="K18" s="13" t="n">
        <v>250</v>
      </c>
      <c r="L18" s="6" t="n">
        <f aca="false">H18*K18</f>
        <v>250</v>
      </c>
      <c r="M18" s="14" t="s">
        <v>410</v>
      </c>
    </row>
    <row r="19" customFormat="false" ht="15" hidden="false" customHeight="false" outlineLevel="0" collapsed="false">
      <c r="A19" s="4" t="s">
        <v>13</v>
      </c>
      <c r="B19" s="5" t="s">
        <v>20</v>
      </c>
      <c r="C19" s="5" t="s">
        <v>21</v>
      </c>
      <c r="D19" s="4" t="s">
        <v>22</v>
      </c>
      <c r="E19" s="4" t="s">
        <v>447</v>
      </c>
      <c r="F19" s="4" t="s">
        <v>406</v>
      </c>
      <c r="G19" s="4" t="s">
        <v>448</v>
      </c>
      <c r="H19" s="12" t="n">
        <v>1</v>
      </c>
      <c r="I19" s="4" t="s">
        <v>408</v>
      </c>
      <c r="J19" s="4" t="s">
        <v>409</v>
      </c>
      <c r="K19" s="13" t="n">
        <v>180</v>
      </c>
      <c r="L19" s="6" t="n">
        <f aca="false">H19*K19</f>
        <v>180</v>
      </c>
      <c r="M19" s="14" t="s">
        <v>410</v>
      </c>
    </row>
    <row r="20" customFormat="false" ht="15" hidden="false" customHeight="false" outlineLevel="0" collapsed="false">
      <c r="A20" s="4" t="s">
        <v>13</v>
      </c>
      <c r="B20" s="5" t="s">
        <v>20</v>
      </c>
      <c r="C20" s="5" t="s">
        <v>21</v>
      </c>
      <c r="D20" s="4" t="s">
        <v>22</v>
      </c>
      <c r="E20" s="4" t="s">
        <v>449</v>
      </c>
      <c r="F20" s="4" t="s">
        <v>406</v>
      </c>
      <c r="G20" s="4" t="s">
        <v>450</v>
      </c>
      <c r="H20" s="12" t="n">
        <v>1</v>
      </c>
      <c r="I20" s="4" t="s">
        <v>408</v>
      </c>
      <c r="J20" s="4" t="s">
        <v>416</v>
      </c>
      <c r="K20" s="13" t="n">
        <v>1800</v>
      </c>
      <c r="L20" s="6" t="n">
        <f aca="false">H20*K20</f>
        <v>1800</v>
      </c>
      <c r="M20" s="14" t="s">
        <v>410</v>
      </c>
    </row>
    <row r="21" customFormat="false" ht="15" hidden="false" customHeight="false" outlineLevel="0" collapsed="false">
      <c r="A21" s="4" t="s">
        <v>13</v>
      </c>
      <c r="B21" s="5" t="s">
        <v>20</v>
      </c>
      <c r="C21" s="5" t="s">
        <v>21</v>
      </c>
      <c r="D21" s="4" t="s">
        <v>22</v>
      </c>
      <c r="E21" s="4" t="s">
        <v>451</v>
      </c>
      <c r="F21" s="4" t="s">
        <v>406</v>
      </c>
      <c r="G21" s="4" t="s">
        <v>452</v>
      </c>
      <c r="H21" s="12" t="n">
        <v>1</v>
      </c>
      <c r="I21" s="4" t="s">
        <v>408</v>
      </c>
      <c r="J21" s="4" t="s">
        <v>409</v>
      </c>
      <c r="K21" s="13" t="n">
        <v>1800</v>
      </c>
      <c r="L21" s="6" t="n">
        <f aca="false">H21*K21</f>
        <v>1800</v>
      </c>
      <c r="M21" s="14" t="s">
        <v>410</v>
      </c>
    </row>
    <row r="22" customFormat="false" ht="15" hidden="false" customHeight="false" outlineLevel="0" collapsed="false">
      <c r="A22" s="4" t="s">
        <v>13</v>
      </c>
      <c r="B22" s="5" t="s">
        <v>20</v>
      </c>
      <c r="C22" s="5" t="s">
        <v>21</v>
      </c>
      <c r="D22" s="4" t="s">
        <v>22</v>
      </c>
      <c r="E22" s="4" t="s">
        <v>453</v>
      </c>
      <c r="F22" s="4" t="s">
        <v>406</v>
      </c>
      <c r="G22" s="4" t="s">
        <v>454</v>
      </c>
      <c r="H22" s="12" t="n">
        <v>1</v>
      </c>
      <c r="I22" s="4" t="s">
        <v>408</v>
      </c>
      <c r="J22" s="4" t="s">
        <v>409</v>
      </c>
      <c r="K22" s="13" t="n">
        <v>4500</v>
      </c>
      <c r="L22" s="6" t="n">
        <f aca="false">H22*K22</f>
        <v>4500</v>
      </c>
      <c r="M22" s="14" t="s">
        <v>410</v>
      </c>
    </row>
    <row r="23" customFormat="false" ht="15" hidden="false" customHeight="false" outlineLevel="0" collapsed="false">
      <c r="A23" s="4" t="s">
        <v>13</v>
      </c>
      <c r="B23" s="5" t="s">
        <v>20</v>
      </c>
      <c r="C23" s="5" t="s">
        <v>21</v>
      </c>
      <c r="D23" s="4" t="s">
        <v>22</v>
      </c>
      <c r="E23" s="4" t="s">
        <v>455</v>
      </c>
      <c r="F23" s="4" t="s">
        <v>406</v>
      </c>
      <c r="G23" s="4" t="s">
        <v>456</v>
      </c>
      <c r="H23" s="12" t="n">
        <v>1</v>
      </c>
      <c r="I23" s="4" t="s">
        <v>408</v>
      </c>
      <c r="J23" s="4" t="s">
        <v>409</v>
      </c>
      <c r="K23" s="13" t="n">
        <v>850</v>
      </c>
      <c r="L23" s="6" t="n">
        <f aca="false">H23*K23</f>
        <v>850</v>
      </c>
      <c r="M23" s="14" t="s">
        <v>410</v>
      </c>
    </row>
    <row r="24" customFormat="false" ht="15" hidden="false" customHeight="false" outlineLevel="0" collapsed="false">
      <c r="A24" s="4" t="s">
        <v>13</v>
      </c>
      <c r="B24" s="5" t="s">
        <v>20</v>
      </c>
      <c r="C24" s="5" t="s">
        <v>21</v>
      </c>
      <c r="D24" s="4" t="s">
        <v>22</v>
      </c>
      <c r="E24" s="4" t="s">
        <v>457</v>
      </c>
      <c r="F24" s="4" t="s">
        <v>406</v>
      </c>
      <c r="G24" s="4" t="s">
        <v>458</v>
      </c>
      <c r="H24" s="12" t="n">
        <v>1</v>
      </c>
      <c r="I24" s="4" t="s">
        <v>408</v>
      </c>
      <c r="J24" s="4" t="s">
        <v>409</v>
      </c>
      <c r="K24" s="13" t="n">
        <v>18000</v>
      </c>
      <c r="L24" s="6" t="n">
        <f aca="false">H24*K24</f>
        <v>18000</v>
      </c>
      <c r="M24" s="14" t="s">
        <v>410</v>
      </c>
    </row>
    <row r="25" customFormat="false" ht="15" hidden="false" customHeight="false" outlineLevel="0" collapsed="false">
      <c r="A25" s="4" t="s">
        <v>13</v>
      </c>
      <c r="B25" s="5" t="s">
        <v>20</v>
      </c>
      <c r="C25" s="5" t="s">
        <v>21</v>
      </c>
      <c r="D25" s="4" t="s">
        <v>22</v>
      </c>
      <c r="E25" s="4" t="s">
        <v>459</v>
      </c>
      <c r="F25" s="4" t="s">
        <v>406</v>
      </c>
      <c r="G25" s="4" t="s">
        <v>460</v>
      </c>
      <c r="H25" s="12" t="n">
        <v>1</v>
      </c>
      <c r="I25" s="4" t="s">
        <v>408</v>
      </c>
      <c r="J25" s="4" t="s">
        <v>409</v>
      </c>
      <c r="K25" s="13" t="n">
        <v>4500</v>
      </c>
      <c r="L25" s="6" t="n">
        <f aca="false">H25*K25</f>
        <v>4500</v>
      </c>
      <c r="M25" s="14" t="s">
        <v>410</v>
      </c>
    </row>
    <row r="26" customFormat="false" ht="15" hidden="false" customHeight="false" outlineLevel="0" collapsed="false">
      <c r="A26" s="4" t="s">
        <v>13</v>
      </c>
      <c r="B26" s="5" t="s">
        <v>20</v>
      </c>
      <c r="C26" s="5" t="s">
        <v>21</v>
      </c>
      <c r="D26" s="4" t="s">
        <v>22</v>
      </c>
      <c r="E26" s="4" t="s">
        <v>461</v>
      </c>
      <c r="F26" s="4" t="s">
        <v>406</v>
      </c>
      <c r="G26" s="4" t="s">
        <v>462</v>
      </c>
      <c r="H26" s="12" t="n">
        <v>1</v>
      </c>
      <c r="I26" s="4" t="s">
        <v>408</v>
      </c>
      <c r="J26" s="4" t="s">
        <v>416</v>
      </c>
      <c r="K26" s="13" t="n">
        <v>3500</v>
      </c>
      <c r="L26" s="6" t="n">
        <f aca="false">H26*K26</f>
        <v>3500</v>
      </c>
      <c r="M26" s="14" t="s">
        <v>410</v>
      </c>
    </row>
    <row r="27" customFormat="false" ht="15" hidden="false" customHeight="false" outlineLevel="0" collapsed="false">
      <c r="A27" s="4" t="s">
        <v>13</v>
      </c>
      <c r="B27" s="5" t="s">
        <v>20</v>
      </c>
      <c r="C27" s="5" t="s">
        <v>21</v>
      </c>
      <c r="D27" s="4" t="s">
        <v>22</v>
      </c>
      <c r="E27" s="4" t="s">
        <v>463</v>
      </c>
      <c r="F27" s="4" t="s">
        <v>406</v>
      </c>
      <c r="G27" s="4" t="s">
        <v>464</v>
      </c>
      <c r="H27" s="12" t="n">
        <v>1</v>
      </c>
      <c r="I27" s="4" t="s">
        <v>408</v>
      </c>
      <c r="J27" s="4" t="s">
        <v>409</v>
      </c>
      <c r="K27" s="13" t="n">
        <v>1800</v>
      </c>
      <c r="L27" s="6" t="n">
        <f aca="false">H27*K27</f>
        <v>1800</v>
      </c>
      <c r="M27" s="14" t="s">
        <v>410</v>
      </c>
    </row>
    <row r="28" customFormat="false" ht="15" hidden="false" customHeight="false" outlineLevel="0" collapsed="false">
      <c r="A28" s="4" t="s">
        <v>13</v>
      </c>
      <c r="B28" s="5" t="s">
        <v>20</v>
      </c>
      <c r="C28" s="5" t="s">
        <v>21</v>
      </c>
      <c r="D28" s="4" t="s">
        <v>22</v>
      </c>
      <c r="E28" s="4" t="s">
        <v>465</v>
      </c>
      <c r="F28" s="4" t="s">
        <v>406</v>
      </c>
      <c r="G28" s="4" t="s">
        <v>466</v>
      </c>
      <c r="H28" s="12" t="n">
        <v>1</v>
      </c>
      <c r="I28" s="4" t="s">
        <v>408</v>
      </c>
      <c r="J28" s="4" t="s">
        <v>409</v>
      </c>
      <c r="K28" s="13" t="n">
        <v>18000</v>
      </c>
      <c r="L28" s="6" t="n">
        <f aca="false">H28*K28</f>
        <v>18000</v>
      </c>
      <c r="M28" s="14" t="s">
        <v>410</v>
      </c>
    </row>
    <row r="29" customFormat="false" ht="15" hidden="false" customHeight="false" outlineLevel="0" collapsed="false">
      <c r="A29" s="4" t="s">
        <v>13</v>
      </c>
      <c r="B29" s="5" t="s">
        <v>20</v>
      </c>
      <c r="C29" s="5" t="s">
        <v>21</v>
      </c>
      <c r="D29" s="4" t="s">
        <v>22</v>
      </c>
      <c r="E29" s="4" t="s">
        <v>467</v>
      </c>
      <c r="F29" s="4" t="s">
        <v>406</v>
      </c>
      <c r="G29" s="4" t="s">
        <v>468</v>
      </c>
      <c r="H29" s="12" t="n">
        <v>1</v>
      </c>
      <c r="I29" s="4" t="s">
        <v>408</v>
      </c>
      <c r="J29" s="4" t="s">
        <v>409</v>
      </c>
      <c r="K29" s="13" t="n">
        <v>250</v>
      </c>
      <c r="L29" s="6" t="n">
        <f aca="false">H29*K29</f>
        <v>250</v>
      </c>
      <c r="M29" s="14" t="s">
        <v>410</v>
      </c>
    </row>
    <row r="30" customFormat="false" ht="15" hidden="false" customHeight="false" outlineLevel="0" collapsed="false">
      <c r="A30" s="4" t="s">
        <v>13</v>
      </c>
      <c r="B30" s="5" t="s">
        <v>20</v>
      </c>
      <c r="C30" s="5" t="s">
        <v>21</v>
      </c>
      <c r="D30" s="4" t="s">
        <v>22</v>
      </c>
      <c r="E30" s="4" t="s">
        <v>469</v>
      </c>
      <c r="F30" s="4" t="s">
        <v>470</v>
      </c>
      <c r="G30" s="4" t="s">
        <v>471</v>
      </c>
      <c r="H30" s="12" t="n">
        <v>1</v>
      </c>
      <c r="I30" s="4" t="s">
        <v>408</v>
      </c>
      <c r="J30" s="4" t="s">
        <v>409</v>
      </c>
      <c r="K30" s="13" t="n">
        <v>350</v>
      </c>
      <c r="L30" s="6" t="n">
        <f aca="false">H30*K30</f>
        <v>350</v>
      </c>
      <c r="M30" s="4" t="s">
        <v>371</v>
      </c>
    </row>
    <row r="31" customFormat="false" ht="15" hidden="false" customHeight="false" outlineLevel="0" collapsed="false">
      <c r="A31" s="4" t="s">
        <v>13</v>
      </c>
      <c r="B31" s="5" t="s">
        <v>20</v>
      </c>
      <c r="C31" s="5" t="s">
        <v>21</v>
      </c>
      <c r="D31" s="4" t="s">
        <v>22</v>
      </c>
      <c r="E31" s="4" t="s">
        <v>472</v>
      </c>
      <c r="F31" s="4" t="s">
        <v>470</v>
      </c>
      <c r="G31" s="4" t="s">
        <v>473</v>
      </c>
      <c r="H31" s="12" t="n">
        <v>25</v>
      </c>
      <c r="I31" s="4" t="s">
        <v>474</v>
      </c>
      <c r="J31" s="4" t="s">
        <v>475</v>
      </c>
      <c r="K31" s="13" t="n">
        <v>180</v>
      </c>
      <c r="L31" s="6" t="n">
        <f aca="false">H31*K31</f>
        <v>4500</v>
      </c>
      <c r="M31" s="4" t="s">
        <v>371</v>
      </c>
    </row>
    <row r="32" customFormat="false" ht="15" hidden="false" customHeight="false" outlineLevel="0" collapsed="false">
      <c r="A32" s="4" t="s">
        <v>13</v>
      </c>
      <c r="B32" s="5" t="s">
        <v>20</v>
      </c>
      <c r="C32" s="5" t="s">
        <v>21</v>
      </c>
      <c r="D32" s="4" t="s">
        <v>22</v>
      </c>
      <c r="E32" s="4" t="s">
        <v>476</v>
      </c>
      <c r="F32" s="4" t="s">
        <v>470</v>
      </c>
      <c r="G32" s="4" t="s">
        <v>477</v>
      </c>
      <c r="H32" s="12" t="n">
        <v>25</v>
      </c>
      <c r="I32" s="4" t="s">
        <v>474</v>
      </c>
      <c r="J32" s="4" t="s">
        <v>475</v>
      </c>
      <c r="K32" s="13" t="n">
        <v>850</v>
      </c>
      <c r="L32" s="6" t="n">
        <f aca="false">H32*K32</f>
        <v>21250</v>
      </c>
      <c r="M32" s="4" t="s">
        <v>371</v>
      </c>
    </row>
    <row r="33" customFormat="false" ht="15" hidden="false" customHeight="false" outlineLevel="0" collapsed="false">
      <c r="A33" s="4" t="s">
        <v>13</v>
      </c>
      <c r="B33" s="5" t="s">
        <v>20</v>
      </c>
      <c r="C33" s="5" t="s">
        <v>21</v>
      </c>
      <c r="D33" s="4" t="s">
        <v>22</v>
      </c>
      <c r="E33" s="4" t="s">
        <v>478</v>
      </c>
      <c r="F33" s="4" t="s">
        <v>470</v>
      </c>
      <c r="G33" s="4" t="s">
        <v>479</v>
      </c>
      <c r="H33" s="12" t="n">
        <v>100</v>
      </c>
      <c r="I33" s="4" t="s">
        <v>474</v>
      </c>
      <c r="J33" s="4" t="s">
        <v>480</v>
      </c>
      <c r="K33" s="13" t="n">
        <v>180</v>
      </c>
      <c r="L33" s="6" t="n">
        <f aca="false">H33*K33</f>
        <v>18000</v>
      </c>
      <c r="M33" s="4" t="s">
        <v>371</v>
      </c>
    </row>
    <row r="34" customFormat="false" ht="15" hidden="false" customHeight="false" outlineLevel="0" collapsed="false">
      <c r="A34" s="4" t="s">
        <v>13</v>
      </c>
      <c r="B34" s="5" t="s">
        <v>20</v>
      </c>
      <c r="C34" s="5" t="s">
        <v>21</v>
      </c>
      <c r="D34" s="4" t="s">
        <v>22</v>
      </c>
      <c r="E34" s="4" t="s">
        <v>481</v>
      </c>
      <c r="F34" s="4" t="s">
        <v>470</v>
      </c>
      <c r="G34" s="4" t="s">
        <v>482</v>
      </c>
      <c r="H34" s="12" t="n">
        <v>25</v>
      </c>
      <c r="I34" s="4" t="s">
        <v>474</v>
      </c>
      <c r="J34" s="4" t="s">
        <v>409</v>
      </c>
      <c r="K34" s="13" t="n">
        <v>1800</v>
      </c>
      <c r="L34" s="6" t="n">
        <f aca="false">H34*K34</f>
        <v>45000</v>
      </c>
      <c r="M34" s="4" t="s">
        <v>371</v>
      </c>
    </row>
    <row r="35" customFormat="false" ht="15" hidden="false" customHeight="false" outlineLevel="0" collapsed="false">
      <c r="A35" s="4" t="s">
        <v>13</v>
      </c>
      <c r="B35" s="5" t="s">
        <v>20</v>
      </c>
      <c r="C35" s="5" t="s">
        <v>21</v>
      </c>
      <c r="D35" s="4" t="s">
        <v>22</v>
      </c>
      <c r="E35" s="4" t="s">
        <v>483</v>
      </c>
      <c r="F35" s="4" t="s">
        <v>470</v>
      </c>
      <c r="G35" s="4" t="s">
        <v>484</v>
      </c>
      <c r="H35" s="12" t="n">
        <v>1</v>
      </c>
      <c r="I35" s="4" t="s">
        <v>408</v>
      </c>
      <c r="J35" s="4" t="s">
        <v>416</v>
      </c>
      <c r="K35" s="13" t="n">
        <v>4500</v>
      </c>
      <c r="L35" s="6" t="n">
        <f aca="false">H35*K35</f>
        <v>4500</v>
      </c>
      <c r="M35" s="4" t="s">
        <v>371</v>
      </c>
    </row>
    <row r="36" customFormat="false" ht="15" hidden="false" customHeight="false" outlineLevel="0" collapsed="false">
      <c r="A36" s="4" t="s">
        <v>13</v>
      </c>
      <c r="B36" s="5" t="s">
        <v>20</v>
      </c>
      <c r="C36" s="5" t="s">
        <v>21</v>
      </c>
      <c r="D36" s="4" t="s">
        <v>22</v>
      </c>
      <c r="E36" s="4" t="s">
        <v>485</v>
      </c>
      <c r="F36" s="4" t="s">
        <v>470</v>
      </c>
      <c r="G36" s="4" t="s">
        <v>486</v>
      </c>
      <c r="H36" s="12" t="n">
        <v>1</v>
      </c>
      <c r="I36" s="4" t="s">
        <v>408</v>
      </c>
      <c r="J36" s="4" t="s">
        <v>416</v>
      </c>
      <c r="K36" s="13" t="n">
        <v>8500</v>
      </c>
      <c r="L36" s="6" t="n">
        <f aca="false">H36*K36</f>
        <v>8500</v>
      </c>
      <c r="M36" s="4" t="s">
        <v>371</v>
      </c>
    </row>
    <row r="37" customFormat="false" ht="15" hidden="false" customHeight="false" outlineLevel="0" collapsed="false">
      <c r="A37" s="4" t="s">
        <v>13</v>
      </c>
      <c r="B37" s="5" t="s">
        <v>20</v>
      </c>
      <c r="C37" s="5" t="s">
        <v>21</v>
      </c>
      <c r="D37" s="4" t="s">
        <v>22</v>
      </c>
      <c r="E37" s="4" t="s">
        <v>487</v>
      </c>
      <c r="F37" s="4" t="s">
        <v>488</v>
      </c>
      <c r="G37" s="4" t="s">
        <v>489</v>
      </c>
      <c r="H37" s="12" t="n">
        <v>1</v>
      </c>
      <c r="I37" s="4" t="s">
        <v>408</v>
      </c>
      <c r="J37" s="4" t="s">
        <v>490</v>
      </c>
      <c r="K37" s="13" t="n">
        <v>250</v>
      </c>
      <c r="L37" s="6" t="n">
        <f aca="false">H37*K37</f>
        <v>250</v>
      </c>
      <c r="M37" s="4" t="s">
        <v>371</v>
      </c>
    </row>
    <row r="38" customFormat="false" ht="15" hidden="false" customHeight="false" outlineLevel="0" collapsed="false">
      <c r="A38" s="4" t="s">
        <v>13</v>
      </c>
      <c r="B38" s="5" t="s">
        <v>20</v>
      </c>
      <c r="C38" s="5" t="s">
        <v>21</v>
      </c>
      <c r="D38" s="4" t="s">
        <v>22</v>
      </c>
      <c r="E38" s="4" t="s">
        <v>491</v>
      </c>
      <c r="F38" s="4" t="s">
        <v>488</v>
      </c>
      <c r="G38" s="4" t="s">
        <v>492</v>
      </c>
      <c r="H38" s="12" t="n">
        <v>1</v>
      </c>
      <c r="I38" s="4" t="s">
        <v>408</v>
      </c>
      <c r="J38" s="4" t="s">
        <v>409</v>
      </c>
      <c r="K38" s="13" t="n">
        <v>80</v>
      </c>
      <c r="L38" s="6" t="n">
        <f aca="false">H38*K38</f>
        <v>80</v>
      </c>
      <c r="M38" s="4" t="s">
        <v>371</v>
      </c>
    </row>
    <row r="39" customFormat="false" ht="15" hidden="false" customHeight="false" outlineLevel="0" collapsed="false">
      <c r="A39" s="4" t="s">
        <v>13</v>
      </c>
      <c r="B39" s="5" t="s">
        <v>20</v>
      </c>
      <c r="C39" s="5" t="s">
        <v>21</v>
      </c>
      <c r="D39" s="4" t="s">
        <v>22</v>
      </c>
      <c r="E39" s="4" t="s">
        <v>493</v>
      </c>
      <c r="F39" s="4" t="s">
        <v>488</v>
      </c>
      <c r="G39" s="4" t="s">
        <v>494</v>
      </c>
      <c r="H39" s="12" t="n">
        <v>1</v>
      </c>
      <c r="I39" s="4" t="s">
        <v>408</v>
      </c>
      <c r="J39" s="4" t="s">
        <v>432</v>
      </c>
      <c r="K39" s="13" t="n">
        <v>60</v>
      </c>
      <c r="L39" s="6" t="n">
        <f aca="false">H39*K39</f>
        <v>60</v>
      </c>
      <c r="M39" s="4" t="s">
        <v>371</v>
      </c>
    </row>
    <row r="40" customFormat="false" ht="15" hidden="false" customHeight="false" outlineLevel="0" collapsed="false">
      <c r="A40" s="4" t="s">
        <v>13</v>
      </c>
      <c r="B40" s="5" t="s">
        <v>20</v>
      </c>
      <c r="C40" s="5" t="s">
        <v>21</v>
      </c>
      <c r="D40" s="4" t="s">
        <v>22</v>
      </c>
      <c r="E40" s="4" t="s">
        <v>495</v>
      </c>
      <c r="F40" s="4" t="s">
        <v>488</v>
      </c>
      <c r="G40" s="4" t="s">
        <v>496</v>
      </c>
      <c r="H40" s="12" t="n">
        <v>1</v>
      </c>
      <c r="I40" s="4" t="s">
        <v>408</v>
      </c>
      <c r="J40" s="4" t="s">
        <v>490</v>
      </c>
      <c r="K40" s="13" t="n">
        <v>250</v>
      </c>
      <c r="L40" s="6" t="n">
        <f aca="false">H40*K40</f>
        <v>250</v>
      </c>
      <c r="M40" s="4" t="s">
        <v>371</v>
      </c>
    </row>
    <row r="41" customFormat="false" ht="15" hidden="false" customHeight="false" outlineLevel="0" collapsed="false">
      <c r="A41" s="4" t="s">
        <v>13</v>
      </c>
      <c r="B41" s="5" t="s">
        <v>20</v>
      </c>
      <c r="C41" s="5" t="s">
        <v>21</v>
      </c>
      <c r="D41" s="4" t="s">
        <v>22</v>
      </c>
      <c r="E41" s="4" t="s">
        <v>497</v>
      </c>
      <c r="F41" s="4" t="s">
        <v>488</v>
      </c>
      <c r="G41" s="4" t="s">
        <v>498</v>
      </c>
      <c r="H41" s="12" t="n">
        <v>1</v>
      </c>
      <c r="I41" s="4" t="s">
        <v>408</v>
      </c>
      <c r="J41" s="4" t="s">
        <v>490</v>
      </c>
      <c r="K41" s="13" t="n">
        <v>150</v>
      </c>
      <c r="L41" s="6" t="n">
        <f aca="false">H41*K41</f>
        <v>150</v>
      </c>
      <c r="M41" s="4" t="s">
        <v>371</v>
      </c>
    </row>
    <row r="42" customFormat="false" ht="15" hidden="false" customHeight="false" outlineLevel="0" collapsed="false">
      <c r="A42" s="4" t="s">
        <v>13</v>
      </c>
      <c r="B42" s="5" t="s">
        <v>20</v>
      </c>
      <c r="C42" s="5" t="s">
        <v>21</v>
      </c>
      <c r="D42" s="4" t="s">
        <v>22</v>
      </c>
      <c r="E42" s="4" t="s">
        <v>499</v>
      </c>
      <c r="F42" s="4" t="s">
        <v>488</v>
      </c>
      <c r="G42" s="4" t="s">
        <v>500</v>
      </c>
      <c r="H42" s="12" t="n">
        <v>1</v>
      </c>
      <c r="I42" s="4" t="s">
        <v>408</v>
      </c>
      <c r="J42" s="4" t="s">
        <v>416</v>
      </c>
      <c r="K42" s="13" t="n">
        <v>500</v>
      </c>
      <c r="L42" s="6" t="n">
        <f aca="false">H42*K42</f>
        <v>500</v>
      </c>
      <c r="M42" s="4" t="s">
        <v>371</v>
      </c>
    </row>
    <row r="43" customFormat="false" ht="15" hidden="false" customHeight="false" outlineLevel="0" collapsed="false">
      <c r="A43" s="4" t="s">
        <v>13</v>
      </c>
      <c r="B43" s="5" t="s">
        <v>20</v>
      </c>
      <c r="C43" s="5" t="s">
        <v>21</v>
      </c>
      <c r="D43" s="4" t="s">
        <v>22</v>
      </c>
      <c r="E43" s="4" t="s">
        <v>501</v>
      </c>
      <c r="F43" s="4" t="s">
        <v>488</v>
      </c>
      <c r="G43" s="4" t="s">
        <v>502</v>
      </c>
      <c r="H43" s="12" t="n">
        <v>1</v>
      </c>
      <c r="I43" s="4" t="s">
        <v>408</v>
      </c>
      <c r="J43" s="4" t="s">
        <v>503</v>
      </c>
      <c r="K43" s="13" t="n">
        <v>350</v>
      </c>
      <c r="L43" s="6" t="n">
        <f aca="false">H43*K43</f>
        <v>350</v>
      </c>
      <c r="M43" s="4" t="s">
        <v>371</v>
      </c>
    </row>
    <row r="44" customFormat="false" ht="15" hidden="false" customHeight="false" outlineLevel="0" collapsed="false">
      <c r="A44" s="4" t="s">
        <v>13</v>
      </c>
      <c r="B44" s="5" t="s">
        <v>20</v>
      </c>
      <c r="C44" s="5" t="s">
        <v>21</v>
      </c>
      <c r="D44" s="4" t="s">
        <v>22</v>
      </c>
      <c r="E44" s="4" t="s">
        <v>504</v>
      </c>
      <c r="F44" s="4" t="s">
        <v>488</v>
      </c>
      <c r="G44" s="4" t="s">
        <v>505</v>
      </c>
      <c r="H44" s="12" t="n">
        <v>1</v>
      </c>
      <c r="I44" s="4" t="s">
        <v>408</v>
      </c>
      <c r="J44" s="4" t="s">
        <v>506</v>
      </c>
      <c r="K44" s="13" t="n">
        <v>180</v>
      </c>
      <c r="L44" s="6" t="n">
        <f aca="false">H44*K44</f>
        <v>180</v>
      </c>
      <c r="M44" s="4" t="s">
        <v>371</v>
      </c>
    </row>
    <row r="45" customFormat="false" ht="15" hidden="false" customHeight="false" outlineLevel="0" collapsed="false">
      <c r="A45" s="4" t="s">
        <v>13</v>
      </c>
      <c r="B45" s="5" t="s">
        <v>23</v>
      </c>
      <c r="C45" s="5" t="s">
        <v>24</v>
      </c>
      <c r="D45" s="4" t="s">
        <v>22</v>
      </c>
      <c r="E45" s="4" t="s">
        <v>507</v>
      </c>
      <c r="F45" s="4" t="s">
        <v>406</v>
      </c>
      <c r="G45" s="4" t="s">
        <v>508</v>
      </c>
      <c r="H45" s="12" t="n">
        <v>1</v>
      </c>
      <c r="I45" s="4" t="s">
        <v>408</v>
      </c>
      <c r="J45" s="4" t="s">
        <v>416</v>
      </c>
      <c r="K45" s="13" t="n">
        <v>1800</v>
      </c>
      <c r="L45" s="6" t="n">
        <f aca="false">H45*K45</f>
        <v>1800</v>
      </c>
      <c r="M45" s="14" t="s">
        <v>410</v>
      </c>
    </row>
    <row r="46" customFormat="false" ht="15" hidden="false" customHeight="false" outlineLevel="0" collapsed="false">
      <c r="A46" s="4" t="s">
        <v>13</v>
      </c>
      <c r="B46" s="5" t="s">
        <v>23</v>
      </c>
      <c r="C46" s="5" t="s">
        <v>24</v>
      </c>
      <c r="D46" s="4" t="s">
        <v>22</v>
      </c>
      <c r="E46" s="4" t="s">
        <v>509</v>
      </c>
      <c r="F46" s="4" t="s">
        <v>406</v>
      </c>
      <c r="G46" s="4" t="s">
        <v>510</v>
      </c>
      <c r="H46" s="12" t="n">
        <v>1</v>
      </c>
      <c r="I46" s="4" t="s">
        <v>408</v>
      </c>
      <c r="J46" s="4" t="s">
        <v>409</v>
      </c>
      <c r="K46" s="13" t="n">
        <v>350</v>
      </c>
      <c r="L46" s="6" t="n">
        <f aca="false">H46*K46</f>
        <v>350</v>
      </c>
      <c r="M46" s="14" t="s">
        <v>410</v>
      </c>
    </row>
    <row r="47" customFormat="false" ht="15" hidden="false" customHeight="false" outlineLevel="0" collapsed="false">
      <c r="A47" s="4" t="s">
        <v>13</v>
      </c>
      <c r="B47" s="5" t="s">
        <v>23</v>
      </c>
      <c r="C47" s="5" t="s">
        <v>24</v>
      </c>
      <c r="D47" s="4" t="s">
        <v>22</v>
      </c>
      <c r="E47" s="4" t="s">
        <v>511</v>
      </c>
      <c r="F47" s="4" t="s">
        <v>406</v>
      </c>
      <c r="G47" s="4" t="s">
        <v>512</v>
      </c>
      <c r="H47" s="12" t="n">
        <v>1</v>
      </c>
      <c r="I47" s="4" t="s">
        <v>408</v>
      </c>
      <c r="J47" s="4" t="s">
        <v>409</v>
      </c>
      <c r="K47" s="13" t="n">
        <v>350</v>
      </c>
      <c r="L47" s="6" t="n">
        <f aca="false">H47*K47</f>
        <v>350</v>
      </c>
      <c r="M47" s="14" t="s">
        <v>410</v>
      </c>
    </row>
    <row r="48" customFormat="false" ht="15" hidden="false" customHeight="false" outlineLevel="0" collapsed="false">
      <c r="A48" s="4" t="s">
        <v>13</v>
      </c>
      <c r="B48" s="5" t="s">
        <v>23</v>
      </c>
      <c r="C48" s="5" t="s">
        <v>24</v>
      </c>
      <c r="D48" s="4" t="s">
        <v>22</v>
      </c>
      <c r="E48" s="4" t="s">
        <v>513</v>
      </c>
      <c r="F48" s="4" t="s">
        <v>406</v>
      </c>
      <c r="G48" s="4" t="s">
        <v>514</v>
      </c>
      <c r="H48" s="12" t="n">
        <v>1</v>
      </c>
      <c r="I48" s="4" t="s">
        <v>408</v>
      </c>
      <c r="J48" s="4" t="s">
        <v>409</v>
      </c>
      <c r="K48" s="13" t="n">
        <v>350</v>
      </c>
      <c r="L48" s="6" t="n">
        <f aca="false">H48*K48</f>
        <v>350</v>
      </c>
      <c r="M48" s="14" t="s">
        <v>410</v>
      </c>
    </row>
    <row r="49" customFormat="false" ht="15" hidden="false" customHeight="false" outlineLevel="0" collapsed="false">
      <c r="A49" s="4" t="s">
        <v>13</v>
      </c>
      <c r="B49" s="5" t="s">
        <v>23</v>
      </c>
      <c r="C49" s="5" t="s">
        <v>24</v>
      </c>
      <c r="D49" s="4" t="s">
        <v>22</v>
      </c>
      <c r="E49" s="4" t="s">
        <v>515</v>
      </c>
      <c r="F49" s="4" t="s">
        <v>406</v>
      </c>
      <c r="G49" s="4" t="s">
        <v>516</v>
      </c>
      <c r="H49" s="12" t="n">
        <v>1</v>
      </c>
      <c r="I49" s="4" t="s">
        <v>408</v>
      </c>
      <c r="J49" s="4" t="s">
        <v>409</v>
      </c>
      <c r="K49" s="13" t="n">
        <v>350</v>
      </c>
      <c r="L49" s="6" t="n">
        <f aca="false">H49*K49</f>
        <v>350</v>
      </c>
      <c r="M49" s="14" t="s">
        <v>410</v>
      </c>
    </row>
    <row r="50" customFormat="false" ht="15" hidden="false" customHeight="false" outlineLevel="0" collapsed="false">
      <c r="A50" s="4" t="s">
        <v>13</v>
      </c>
      <c r="B50" s="5" t="s">
        <v>23</v>
      </c>
      <c r="C50" s="5" t="s">
        <v>24</v>
      </c>
      <c r="D50" s="4" t="s">
        <v>22</v>
      </c>
      <c r="E50" s="4" t="s">
        <v>517</v>
      </c>
      <c r="F50" s="4" t="s">
        <v>406</v>
      </c>
      <c r="G50" s="4" t="s">
        <v>518</v>
      </c>
      <c r="H50" s="12" t="n">
        <v>1</v>
      </c>
      <c r="I50" s="4" t="s">
        <v>408</v>
      </c>
      <c r="J50" s="4" t="s">
        <v>409</v>
      </c>
      <c r="K50" s="13" t="n">
        <v>850</v>
      </c>
      <c r="L50" s="6" t="n">
        <f aca="false">H50*K50</f>
        <v>850</v>
      </c>
      <c r="M50" s="14" t="s">
        <v>410</v>
      </c>
    </row>
    <row r="51" customFormat="false" ht="15" hidden="false" customHeight="false" outlineLevel="0" collapsed="false">
      <c r="A51" s="4" t="s">
        <v>13</v>
      </c>
      <c r="B51" s="5" t="s">
        <v>23</v>
      </c>
      <c r="C51" s="5" t="s">
        <v>24</v>
      </c>
      <c r="D51" s="4" t="s">
        <v>22</v>
      </c>
      <c r="E51" s="4" t="s">
        <v>519</v>
      </c>
      <c r="F51" s="4" t="s">
        <v>406</v>
      </c>
      <c r="G51" s="4" t="s">
        <v>520</v>
      </c>
      <c r="H51" s="12" t="n">
        <v>1</v>
      </c>
      <c r="I51" s="4" t="s">
        <v>408</v>
      </c>
      <c r="J51" s="4" t="s">
        <v>409</v>
      </c>
      <c r="K51" s="13" t="n">
        <v>850</v>
      </c>
      <c r="L51" s="6" t="n">
        <f aca="false">H51*K51</f>
        <v>850</v>
      </c>
      <c r="M51" s="14" t="s">
        <v>410</v>
      </c>
    </row>
    <row r="52" customFormat="false" ht="15" hidden="false" customHeight="false" outlineLevel="0" collapsed="false">
      <c r="A52" s="4" t="s">
        <v>13</v>
      </c>
      <c r="B52" s="5" t="s">
        <v>23</v>
      </c>
      <c r="C52" s="5" t="s">
        <v>24</v>
      </c>
      <c r="D52" s="4" t="s">
        <v>22</v>
      </c>
      <c r="E52" s="4" t="s">
        <v>521</v>
      </c>
      <c r="F52" s="4" t="s">
        <v>406</v>
      </c>
      <c r="G52" s="4" t="s">
        <v>522</v>
      </c>
      <c r="H52" s="12" t="n">
        <v>1</v>
      </c>
      <c r="I52" s="4" t="s">
        <v>408</v>
      </c>
      <c r="J52" s="4" t="s">
        <v>409</v>
      </c>
      <c r="K52" s="13" t="n">
        <v>850</v>
      </c>
      <c r="L52" s="6" t="n">
        <f aca="false">H52*K52</f>
        <v>850</v>
      </c>
      <c r="M52" s="14" t="s">
        <v>410</v>
      </c>
    </row>
    <row r="53" customFormat="false" ht="15" hidden="false" customHeight="false" outlineLevel="0" collapsed="false">
      <c r="A53" s="4" t="s">
        <v>13</v>
      </c>
      <c r="B53" s="5" t="s">
        <v>23</v>
      </c>
      <c r="C53" s="5" t="s">
        <v>24</v>
      </c>
      <c r="D53" s="4" t="s">
        <v>22</v>
      </c>
      <c r="E53" s="4" t="s">
        <v>523</v>
      </c>
      <c r="F53" s="4" t="s">
        <v>406</v>
      </c>
      <c r="G53" s="4" t="s">
        <v>524</v>
      </c>
      <c r="H53" s="12" t="n">
        <v>1</v>
      </c>
      <c r="I53" s="4" t="s">
        <v>408</v>
      </c>
      <c r="J53" s="4" t="s">
        <v>409</v>
      </c>
      <c r="K53" s="13" t="n">
        <v>1200</v>
      </c>
      <c r="L53" s="6" t="n">
        <f aca="false">H53*K53</f>
        <v>1200</v>
      </c>
      <c r="M53" s="14" t="s">
        <v>410</v>
      </c>
    </row>
    <row r="54" customFormat="false" ht="15" hidden="false" customHeight="false" outlineLevel="0" collapsed="false">
      <c r="A54" s="4" t="s">
        <v>13</v>
      </c>
      <c r="B54" s="5" t="s">
        <v>23</v>
      </c>
      <c r="C54" s="5" t="s">
        <v>24</v>
      </c>
      <c r="D54" s="4" t="s">
        <v>22</v>
      </c>
      <c r="E54" s="4" t="s">
        <v>525</v>
      </c>
      <c r="F54" s="4" t="s">
        <v>406</v>
      </c>
      <c r="G54" s="4" t="s">
        <v>526</v>
      </c>
      <c r="H54" s="12" t="n">
        <v>1</v>
      </c>
      <c r="I54" s="4" t="s">
        <v>408</v>
      </c>
      <c r="J54" s="4" t="s">
        <v>409</v>
      </c>
      <c r="K54" s="13" t="n">
        <v>850</v>
      </c>
      <c r="L54" s="6" t="n">
        <f aca="false">H54*K54</f>
        <v>850</v>
      </c>
      <c r="M54" s="14" t="s">
        <v>410</v>
      </c>
    </row>
    <row r="55" customFormat="false" ht="15" hidden="false" customHeight="false" outlineLevel="0" collapsed="false">
      <c r="A55" s="4" t="s">
        <v>13</v>
      </c>
      <c r="B55" s="5" t="s">
        <v>23</v>
      </c>
      <c r="C55" s="5" t="s">
        <v>24</v>
      </c>
      <c r="D55" s="4" t="s">
        <v>22</v>
      </c>
      <c r="E55" s="4" t="s">
        <v>527</v>
      </c>
      <c r="F55" s="4" t="s">
        <v>406</v>
      </c>
      <c r="G55" s="4" t="s">
        <v>528</v>
      </c>
      <c r="H55" s="12" t="n">
        <v>1</v>
      </c>
      <c r="I55" s="4" t="s">
        <v>408</v>
      </c>
      <c r="J55" s="4" t="s">
        <v>409</v>
      </c>
      <c r="K55" s="13" t="n">
        <v>2500</v>
      </c>
      <c r="L55" s="6" t="n">
        <f aca="false">H55*K55</f>
        <v>2500</v>
      </c>
      <c r="M55" s="14" t="s">
        <v>410</v>
      </c>
    </row>
    <row r="56" customFormat="false" ht="15" hidden="false" customHeight="false" outlineLevel="0" collapsed="false">
      <c r="A56" s="4" t="s">
        <v>13</v>
      </c>
      <c r="B56" s="5" t="s">
        <v>23</v>
      </c>
      <c r="C56" s="5" t="s">
        <v>24</v>
      </c>
      <c r="D56" s="4" t="s">
        <v>22</v>
      </c>
      <c r="E56" s="4" t="s">
        <v>529</v>
      </c>
      <c r="F56" s="4" t="s">
        <v>406</v>
      </c>
      <c r="G56" s="4" t="s">
        <v>530</v>
      </c>
      <c r="H56" s="12" t="n">
        <v>1</v>
      </c>
      <c r="I56" s="4" t="s">
        <v>408</v>
      </c>
      <c r="J56" s="4" t="s">
        <v>409</v>
      </c>
      <c r="K56" s="13" t="n">
        <v>350</v>
      </c>
      <c r="L56" s="6" t="n">
        <f aca="false">H56*K56</f>
        <v>350</v>
      </c>
      <c r="M56" s="14" t="s">
        <v>410</v>
      </c>
    </row>
    <row r="57" customFormat="false" ht="15" hidden="false" customHeight="false" outlineLevel="0" collapsed="false">
      <c r="A57" s="4" t="s">
        <v>13</v>
      </c>
      <c r="B57" s="5" t="s">
        <v>23</v>
      </c>
      <c r="C57" s="5" t="s">
        <v>24</v>
      </c>
      <c r="D57" s="4" t="s">
        <v>22</v>
      </c>
      <c r="E57" s="4" t="s">
        <v>531</v>
      </c>
      <c r="F57" s="4" t="s">
        <v>406</v>
      </c>
      <c r="G57" s="4" t="s">
        <v>532</v>
      </c>
      <c r="H57" s="12" t="n">
        <v>1</v>
      </c>
      <c r="I57" s="4" t="s">
        <v>408</v>
      </c>
      <c r="J57" s="4" t="s">
        <v>409</v>
      </c>
      <c r="K57" s="13" t="n">
        <v>650</v>
      </c>
      <c r="L57" s="6" t="n">
        <f aca="false">H57*K57</f>
        <v>650</v>
      </c>
      <c r="M57" s="14" t="s">
        <v>410</v>
      </c>
    </row>
    <row r="58" customFormat="false" ht="15" hidden="false" customHeight="false" outlineLevel="0" collapsed="false">
      <c r="A58" s="4" t="s">
        <v>13</v>
      </c>
      <c r="B58" s="5" t="s">
        <v>23</v>
      </c>
      <c r="C58" s="5" t="s">
        <v>24</v>
      </c>
      <c r="D58" s="4" t="s">
        <v>22</v>
      </c>
      <c r="E58" s="4" t="s">
        <v>533</v>
      </c>
      <c r="F58" s="4" t="s">
        <v>406</v>
      </c>
      <c r="G58" s="4" t="s">
        <v>534</v>
      </c>
      <c r="H58" s="12" t="n">
        <v>1</v>
      </c>
      <c r="I58" s="4" t="s">
        <v>408</v>
      </c>
      <c r="J58" s="4" t="s">
        <v>409</v>
      </c>
      <c r="K58" s="13" t="n">
        <v>350</v>
      </c>
      <c r="L58" s="6" t="n">
        <f aca="false">H58*K58</f>
        <v>350</v>
      </c>
      <c r="M58" s="4" t="s">
        <v>371</v>
      </c>
    </row>
    <row r="59" customFormat="false" ht="15" hidden="false" customHeight="false" outlineLevel="0" collapsed="false">
      <c r="A59" s="4" t="s">
        <v>13</v>
      </c>
      <c r="B59" s="5" t="s">
        <v>23</v>
      </c>
      <c r="C59" s="5" t="s">
        <v>24</v>
      </c>
      <c r="D59" s="4" t="s">
        <v>22</v>
      </c>
      <c r="E59" s="4" t="s">
        <v>535</v>
      </c>
      <c r="F59" s="4" t="s">
        <v>406</v>
      </c>
      <c r="G59" s="4" t="s">
        <v>536</v>
      </c>
      <c r="H59" s="12" t="n">
        <v>1</v>
      </c>
      <c r="I59" s="4" t="s">
        <v>408</v>
      </c>
      <c r="J59" s="4" t="s">
        <v>416</v>
      </c>
      <c r="K59" s="13" t="n">
        <v>1800</v>
      </c>
      <c r="L59" s="6" t="n">
        <f aca="false">H59*K59</f>
        <v>1800</v>
      </c>
      <c r="M59" s="14" t="s">
        <v>410</v>
      </c>
    </row>
    <row r="60" customFormat="false" ht="15" hidden="false" customHeight="false" outlineLevel="0" collapsed="false">
      <c r="A60" s="4" t="s">
        <v>13</v>
      </c>
      <c r="B60" s="5" t="s">
        <v>23</v>
      </c>
      <c r="C60" s="5" t="s">
        <v>24</v>
      </c>
      <c r="D60" s="4" t="s">
        <v>22</v>
      </c>
      <c r="E60" s="4" t="s">
        <v>537</v>
      </c>
      <c r="F60" s="4" t="s">
        <v>406</v>
      </c>
      <c r="G60" s="4" t="s">
        <v>538</v>
      </c>
      <c r="H60" s="12" t="n">
        <v>1</v>
      </c>
      <c r="I60" s="4" t="s">
        <v>408</v>
      </c>
      <c r="J60" s="4" t="s">
        <v>409</v>
      </c>
      <c r="K60" s="13" t="n">
        <v>450</v>
      </c>
      <c r="L60" s="6" t="n">
        <f aca="false">H60*K60</f>
        <v>450</v>
      </c>
      <c r="M60" s="14" t="s">
        <v>410</v>
      </c>
    </row>
    <row r="61" customFormat="false" ht="15" hidden="false" customHeight="false" outlineLevel="0" collapsed="false">
      <c r="A61" s="4" t="s">
        <v>13</v>
      </c>
      <c r="B61" s="5" t="s">
        <v>23</v>
      </c>
      <c r="C61" s="5" t="s">
        <v>24</v>
      </c>
      <c r="D61" s="4" t="s">
        <v>22</v>
      </c>
      <c r="E61" s="4" t="s">
        <v>539</v>
      </c>
      <c r="F61" s="4" t="s">
        <v>406</v>
      </c>
      <c r="G61" s="4" t="s">
        <v>540</v>
      </c>
      <c r="H61" s="12" t="n">
        <v>1</v>
      </c>
      <c r="I61" s="4" t="s">
        <v>408</v>
      </c>
      <c r="J61" s="4" t="s">
        <v>409</v>
      </c>
      <c r="K61" s="13" t="n">
        <v>250</v>
      </c>
      <c r="L61" s="6" t="n">
        <f aca="false">H61*K61</f>
        <v>250</v>
      </c>
      <c r="M61" s="14" t="s">
        <v>410</v>
      </c>
    </row>
    <row r="62" customFormat="false" ht="15" hidden="false" customHeight="false" outlineLevel="0" collapsed="false">
      <c r="A62" s="4" t="s">
        <v>13</v>
      </c>
      <c r="B62" s="5" t="s">
        <v>23</v>
      </c>
      <c r="C62" s="5" t="s">
        <v>24</v>
      </c>
      <c r="D62" s="4" t="s">
        <v>22</v>
      </c>
      <c r="E62" s="4" t="s">
        <v>541</v>
      </c>
      <c r="F62" s="4" t="s">
        <v>406</v>
      </c>
      <c r="G62" s="4" t="s">
        <v>542</v>
      </c>
      <c r="H62" s="12" t="n">
        <v>1</v>
      </c>
      <c r="I62" s="4" t="s">
        <v>408</v>
      </c>
      <c r="J62" s="4" t="s">
        <v>543</v>
      </c>
      <c r="K62" s="13" t="n">
        <v>18000</v>
      </c>
      <c r="L62" s="6" t="n">
        <f aca="false">H62*K62</f>
        <v>18000</v>
      </c>
      <c r="M62" s="14" t="s">
        <v>410</v>
      </c>
    </row>
    <row r="63" customFormat="false" ht="15" hidden="false" customHeight="false" outlineLevel="0" collapsed="false">
      <c r="A63" s="4" t="s">
        <v>13</v>
      </c>
      <c r="B63" s="5" t="s">
        <v>23</v>
      </c>
      <c r="C63" s="5" t="s">
        <v>24</v>
      </c>
      <c r="D63" s="4" t="s">
        <v>22</v>
      </c>
      <c r="E63" s="4" t="s">
        <v>544</v>
      </c>
      <c r="F63" s="4" t="s">
        <v>406</v>
      </c>
      <c r="G63" s="4" t="s">
        <v>545</v>
      </c>
      <c r="H63" s="12" t="n">
        <v>1</v>
      </c>
      <c r="I63" s="4" t="s">
        <v>408</v>
      </c>
      <c r="J63" s="4" t="s">
        <v>416</v>
      </c>
      <c r="K63" s="13" t="n">
        <v>12000</v>
      </c>
      <c r="L63" s="6" t="n">
        <f aca="false">H63*K63</f>
        <v>12000</v>
      </c>
      <c r="M63" s="14" t="s">
        <v>410</v>
      </c>
    </row>
    <row r="64" customFormat="false" ht="15" hidden="false" customHeight="false" outlineLevel="0" collapsed="false">
      <c r="A64" s="4" t="s">
        <v>13</v>
      </c>
      <c r="B64" s="5" t="s">
        <v>23</v>
      </c>
      <c r="C64" s="5" t="s">
        <v>24</v>
      </c>
      <c r="D64" s="4" t="s">
        <v>22</v>
      </c>
      <c r="E64" s="4" t="s">
        <v>546</v>
      </c>
      <c r="F64" s="4" t="s">
        <v>488</v>
      </c>
      <c r="G64" s="4" t="s">
        <v>547</v>
      </c>
      <c r="H64" s="12" t="n">
        <v>1</v>
      </c>
      <c r="I64" s="4" t="s">
        <v>408</v>
      </c>
      <c r="J64" s="4" t="s">
        <v>506</v>
      </c>
      <c r="K64" s="13" t="n">
        <v>120</v>
      </c>
      <c r="L64" s="6" t="n">
        <f aca="false">H64*K64</f>
        <v>120</v>
      </c>
      <c r="M64" s="4" t="s">
        <v>371</v>
      </c>
    </row>
    <row r="65" customFormat="false" ht="15" hidden="false" customHeight="false" outlineLevel="0" collapsed="false">
      <c r="A65" s="4" t="s">
        <v>13</v>
      </c>
      <c r="B65" s="5" t="s">
        <v>23</v>
      </c>
      <c r="C65" s="5" t="s">
        <v>24</v>
      </c>
      <c r="D65" s="4" t="s">
        <v>22</v>
      </c>
      <c r="E65" s="4" t="s">
        <v>548</v>
      </c>
      <c r="F65" s="4" t="s">
        <v>488</v>
      </c>
      <c r="G65" s="4" t="s">
        <v>549</v>
      </c>
      <c r="H65" s="12" t="n">
        <v>1</v>
      </c>
      <c r="I65" s="4" t="s">
        <v>408</v>
      </c>
      <c r="J65" s="4" t="s">
        <v>506</v>
      </c>
      <c r="K65" s="13" t="n">
        <v>250</v>
      </c>
      <c r="L65" s="6" t="n">
        <f aca="false">H65*K65</f>
        <v>250</v>
      </c>
      <c r="M65" s="4" t="s">
        <v>371</v>
      </c>
    </row>
    <row r="66" customFormat="false" ht="15" hidden="false" customHeight="false" outlineLevel="0" collapsed="false">
      <c r="A66" s="4" t="s">
        <v>13</v>
      </c>
      <c r="B66" s="5" t="s">
        <v>25</v>
      </c>
      <c r="C66" s="5" t="s">
        <v>26</v>
      </c>
      <c r="D66" s="4" t="s">
        <v>22</v>
      </c>
      <c r="E66" s="4" t="s">
        <v>550</v>
      </c>
      <c r="F66" s="4" t="s">
        <v>406</v>
      </c>
      <c r="G66" s="4" t="s">
        <v>551</v>
      </c>
      <c r="H66" s="12" t="n">
        <v>1</v>
      </c>
      <c r="I66" s="4" t="s">
        <v>408</v>
      </c>
      <c r="J66" s="4" t="s">
        <v>409</v>
      </c>
      <c r="K66" s="13" t="n">
        <v>850</v>
      </c>
      <c r="L66" s="6" t="n">
        <f aca="false">H66*K66</f>
        <v>850</v>
      </c>
      <c r="M66" s="14" t="s">
        <v>410</v>
      </c>
    </row>
    <row r="67" customFormat="false" ht="15" hidden="false" customHeight="false" outlineLevel="0" collapsed="false">
      <c r="A67" s="4" t="s">
        <v>13</v>
      </c>
      <c r="B67" s="5" t="s">
        <v>25</v>
      </c>
      <c r="C67" s="5" t="s">
        <v>26</v>
      </c>
      <c r="D67" s="4" t="s">
        <v>22</v>
      </c>
      <c r="E67" s="4" t="s">
        <v>552</v>
      </c>
      <c r="F67" s="4" t="s">
        <v>406</v>
      </c>
      <c r="G67" s="4" t="s">
        <v>553</v>
      </c>
      <c r="H67" s="12" t="n">
        <v>1</v>
      </c>
      <c r="I67" s="4" t="s">
        <v>408</v>
      </c>
      <c r="J67" s="4" t="s">
        <v>409</v>
      </c>
      <c r="K67" s="13" t="n">
        <v>850</v>
      </c>
      <c r="L67" s="6" t="n">
        <f aca="false">H67*K67</f>
        <v>850</v>
      </c>
      <c r="M67" s="14" t="s">
        <v>410</v>
      </c>
    </row>
    <row r="68" customFormat="false" ht="15" hidden="false" customHeight="false" outlineLevel="0" collapsed="false">
      <c r="A68" s="4" t="s">
        <v>13</v>
      </c>
      <c r="B68" s="5" t="s">
        <v>25</v>
      </c>
      <c r="C68" s="5" t="s">
        <v>26</v>
      </c>
      <c r="D68" s="4" t="s">
        <v>22</v>
      </c>
      <c r="E68" s="4" t="s">
        <v>554</v>
      </c>
      <c r="F68" s="4" t="s">
        <v>406</v>
      </c>
      <c r="G68" s="4" t="s">
        <v>555</v>
      </c>
      <c r="H68" s="12" t="n">
        <v>1</v>
      </c>
      <c r="I68" s="4" t="s">
        <v>408</v>
      </c>
      <c r="J68" s="4" t="s">
        <v>409</v>
      </c>
      <c r="K68" s="13" t="n">
        <v>450</v>
      </c>
      <c r="L68" s="6" t="n">
        <f aca="false">H68*K68</f>
        <v>450</v>
      </c>
      <c r="M68" s="14" t="s">
        <v>410</v>
      </c>
    </row>
    <row r="69" customFormat="false" ht="15" hidden="false" customHeight="false" outlineLevel="0" collapsed="false">
      <c r="A69" s="4" t="s">
        <v>13</v>
      </c>
      <c r="B69" s="5" t="s">
        <v>25</v>
      </c>
      <c r="C69" s="5" t="s">
        <v>26</v>
      </c>
      <c r="D69" s="4" t="s">
        <v>22</v>
      </c>
      <c r="E69" s="4" t="s">
        <v>556</v>
      </c>
      <c r="F69" s="4" t="s">
        <v>406</v>
      </c>
      <c r="G69" s="4" t="s">
        <v>557</v>
      </c>
      <c r="H69" s="12" t="n">
        <v>1</v>
      </c>
      <c r="I69" s="4" t="s">
        <v>408</v>
      </c>
      <c r="J69" s="4" t="s">
        <v>409</v>
      </c>
      <c r="K69" s="13" t="n">
        <v>850</v>
      </c>
      <c r="L69" s="6" t="n">
        <f aca="false">H69*K69</f>
        <v>850</v>
      </c>
      <c r="M69" s="14" t="s">
        <v>410</v>
      </c>
    </row>
    <row r="70" customFormat="false" ht="15" hidden="false" customHeight="false" outlineLevel="0" collapsed="false">
      <c r="A70" s="4" t="s">
        <v>13</v>
      </c>
      <c r="B70" s="5" t="s">
        <v>25</v>
      </c>
      <c r="C70" s="5" t="s">
        <v>26</v>
      </c>
      <c r="D70" s="4" t="s">
        <v>22</v>
      </c>
      <c r="E70" s="4" t="s">
        <v>558</v>
      </c>
      <c r="F70" s="4" t="s">
        <v>406</v>
      </c>
      <c r="G70" s="4" t="s">
        <v>559</v>
      </c>
      <c r="H70" s="12" t="n">
        <v>1</v>
      </c>
      <c r="I70" s="4" t="s">
        <v>408</v>
      </c>
      <c r="J70" s="4" t="s">
        <v>409</v>
      </c>
      <c r="K70" s="13" t="n">
        <v>650</v>
      </c>
      <c r="L70" s="6" t="n">
        <f aca="false">H70*K70</f>
        <v>650</v>
      </c>
      <c r="M70" s="14" t="s">
        <v>410</v>
      </c>
    </row>
    <row r="71" customFormat="false" ht="15" hidden="false" customHeight="false" outlineLevel="0" collapsed="false">
      <c r="A71" s="4" t="s">
        <v>13</v>
      </c>
      <c r="B71" s="5" t="s">
        <v>25</v>
      </c>
      <c r="C71" s="5" t="s">
        <v>26</v>
      </c>
      <c r="D71" s="4" t="s">
        <v>22</v>
      </c>
      <c r="E71" s="4" t="s">
        <v>560</v>
      </c>
      <c r="F71" s="4" t="s">
        <v>406</v>
      </c>
      <c r="G71" s="4" t="s">
        <v>561</v>
      </c>
      <c r="H71" s="12" t="n">
        <v>1</v>
      </c>
      <c r="I71" s="4" t="s">
        <v>408</v>
      </c>
      <c r="J71" s="4" t="s">
        <v>409</v>
      </c>
      <c r="K71" s="13" t="n">
        <v>250</v>
      </c>
      <c r="L71" s="6" t="n">
        <f aca="false">H71*K71</f>
        <v>250</v>
      </c>
      <c r="M71" s="14" t="s">
        <v>410</v>
      </c>
    </row>
    <row r="72" customFormat="false" ht="15" hidden="false" customHeight="false" outlineLevel="0" collapsed="false">
      <c r="A72" s="4" t="s">
        <v>13</v>
      </c>
      <c r="B72" s="5" t="s">
        <v>25</v>
      </c>
      <c r="C72" s="5" t="s">
        <v>26</v>
      </c>
      <c r="D72" s="4" t="s">
        <v>22</v>
      </c>
      <c r="E72" s="4" t="s">
        <v>539</v>
      </c>
      <c r="F72" s="4" t="s">
        <v>406</v>
      </c>
      <c r="G72" s="4" t="s">
        <v>540</v>
      </c>
      <c r="H72" s="12" t="n">
        <v>1</v>
      </c>
      <c r="I72" s="4" t="s">
        <v>408</v>
      </c>
      <c r="J72" s="4" t="s">
        <v>409</v>
      </c>
      <c r="K72" s="13" t="n">
        <v>250</v>
      </c>
      <c r="L72" s="6" t="n">
        <f aca="false">H72*K72</f>
        <v>250</v>
      </c>
      <c r="M72" s="14" t="s">
        <v>410</v>
      </c>
    </row>
    <row r="73" customFormat="false" ht="15" hidden="false" customHeight="false" outlineLevel="0" collapsed="false">
      <c r="A73" s="4" t="s">
        <v>13</v>
      </c>
      <c r="B73" s="5" t="s">
        <v>25</v>
      </c>
      <c r="C73" s="5" t="s">
        <v>26</v>
      </c>
      <c r="D73" s="4" t="s">
        <v>22</v>
      </c>
      <c r="E73" s="4" t="s">
        <v>562</v>
      </c>
      <c r="F73" s="4" t="s">
        <v>406</v>
      </c>
      <c r="G73" s="4" t="s">
        <v>563</v>
      </c>
      <c r="H73" s="12" t="n">
        <v>1</v>
      </c>
      <c r="I73" s="4" t="s">
        <v>408</v>
      </c>
      <c r="J73" s="4" t="s">
        <v>409</v>
      </c>
      <c r="K73" s="13" t="n">
        <v>3500</v>
      </c>
      <c r="L73" s="6" t="n">
        <f aca="false">H73*K73</f>
        <v>3500</v>
      </c>
      <c r="M73" s="14" t="s">
        <v>410</v>
      </c>
    </row>
    <row r="74" customFormat="false" ht="15" hidden="false" customHeight="false" outlineLevel="0" collapsed="false">
      <c r="A74" s="4" t="s">
        <v>13</v>
      </c>
      <c r="B74" s="5" t="s">
        <v>25</v>
      </c>
      <c r="C74" s="5" t="s">
        <v>26</v>
      </c>
      <c r="D74" s="4" t="s">
        <v>22</v>
      </c>
      <c r="E74" s="4" t="s">
        <v>564</v>
      </c>
      <c r="F74" s="4" t="s">
        <v>406</v>
      </c>
      <c r="G74" s="4" t="s">
        <v>565</v>
      </c>
      <c r="H74" s="12" t="n">
        <v>1</v>
      </c>
      <c r="I74" s="4" t="s">
        <v>408</v>
      </c>
      <c r="J74" s="4" t="s">
        <v>409</v>
      </c>
      <c r="K74" s="13" t="n">
        <v>18000</v>
      </c>
      <c r="L74" s="6" t="n">
        <f aca="false">H74*K74</f>
        <v>18000</v>
      </c>
      <c r="M74" s="14" t="s">
        <v>410</v>
      </c>
    </row>
    <row r="75" customFormat="false" ht="15" hidden="false" customHeight="false" outlineLevel="0" collapsed="false">
      <c r="A75" s="4" t="s">
        <v>13</v>
      </c>
      <c r="B75" s="5" t="s">
        <v>25</v>
      </c>
      <c r="C75" s="5" t="s">
        <v>26</v>
      </c>
      <c r="D75" s="4" t="s">
        <v>22</v>
      </c>
      <c r="E75" s="4" t="s">
        <v>566</v>
      </c>
      <c r="F75" s="4" t="s">
        <v>406</v>
      </c>
      <c r="G75" s="4" t="s">
        <v>567</v>
      </c>
      <c r="H75" s="12" t="n">
        <v>1</v>
      </c>
      <c r="I75" s="4" t="s">
        <v>408</v>
      </c>
      <c r="J75" s="4" t="s">
        <v>413</v>
      </c>
      <c r="K75" s="13" t="n">
        <v>4500</v>
      </c>
      <c r="L75" s="6" t="n">
        <f aca="false">H75*K75</f>
        <v>4500</v>
      </c>
      <c r="M75" s="14" t="s">
        <v>410</v>
      </c>
    </row>
    <row r="76" customFormat="false" ht="15" hidden="false" customHeight="false" outlineLevel="0" collapsed="false">
      <c r="A76" s="4" t="s">
        <v>13</v>
      </c>
      <c r="B76" s="5" t="s">
        <v>25</v>
      </c>
      <c r="C76" s="5" t="s">
        <v>26</v>
      </c>
      <c r="D76" s="4" t="s">
        <v>22</v>
      </c>
      <c r="E76" s="4" t="s">
        <v>568</v>
      </c>
      <c r="F76" s="4" t="s">
        <v>406</v>
      </c>
      <c r="G76" s="4" t="s">
        <v>569</v>
      </c>
      <c r="H76" s="12" t="n">
        <v>1</v>
      </c>
      <c r="I76" s="4" t="s">
        <v>408</v>
      </c>
      <c r="J76" s="4" t="s">
        <v>409</v>
      </c>
      <c r="K76" s="13" t="n">
        <v>350</v>
      </c>
      <c r="L76" s="6" t="n">
        <f aca="false">H76*K76</f>
        <v>350</v>
      </c>
      <c r="M76" s="14" t="s">
        <v>410</v>
      </c>
    </row>
    <row r="77" customFormat="false" ht="15" hidden="false" customHeight="false" outlineLevel="0" collapsed="false">
      <c r="A77" s="4" t="s">
        <v>13</v>
      </c>
      <c r="B77" s="5" t="s">
        <v>25</v>
      </c>
      <c r="C77" s="5" t="s">
        <v>26</v>
      </c>
      <c r="D77" s="4" t="s">
        <v>22</v>
      </c>
      <c r="E77" s="4" t="s">
        <v>570</v>
      </c>
      <c r="F77" s="4" t="s">
        <v>406</v>
      </c>
      <c r="G77" s="4" t="s">
        <v>571</v>
      </c>
      <c r="H77" s="12" t="n">
        <v>1</v>
      </c>
      <c r="I77" s="4" t="s">
        <v>408</v>
      </c>
      <c r="J77" s="4" t="s">
        <v>409</v>
      </c>
      <c r="K77" s="13" t="n">
        <v>6500</v>
      </c>
      <c r="L77" s="6" t="n">
        <f aca="false">H77*K77</f>
        <v>6500</v>
      </c>
      <c r="M77" s="14" t="s">
        <v>410</v>
      </c>
    </row>
    <row r="78" customFormat="false" ht="15" hidden="false" customHeight="false" outlineLevel="0" collapsed="false">
      <c r="A78" s="4" t="s">
        <v>13</v>
      </c>
      <c r="B78" s="5" t="s">
        <v>25</v>
      </c>
      <c r="C78" s="5" t="s">
        <v>26</v>
      </c>
      <c r="D78" s="4" t="s">
        <v>22</v>
      </c>
      <c r="E78" s="4" t="s">
        <v>572</v>
      </c>
      <c r="F78" s="4" t="s">
        <v>406</v>
      </c>
      <c r="G78" s="4" t="s">
        <v>573</v>
      </c>
      <c r="H78" s="12" t="n">
        <v>1</v>
      </c>
      <c r="I78" s="4" t="s">
        <v>408</v>
      </c>
      <c r="J78" s="4" t="s">
        <v>409</v>
      </c>
      <c r="K78" s="13" t="n">
        <v>2500</v>
      </c>
      <c r="L78" s="6" t="n">
        <f aca="false">H78*K78</f>
        <v>2500</v>
      </c>
      <c r="M78" s="14" t="s">
        <v>410</v>
      </c>
    </row>
    <row r="79" customFormat="false" ht="15" hidden="false" customHeight="false" outlineLevel="0" collapsed="false">
      <c r="A79" s="4" t="s">
        <v>13</v>
      </c>
      <c r="B79" s="5" t="s">
        <v>25</v>
      </c>
      <c r="C79" s="5" t="s">
        <v>26</v>
      </c>
      <c r="D79" s="4" t="s">
        <v>22</v>
      </c>
      <c r="E79" s="4" t="s">
        <v>574</v>
      </c>
      <c r="F79" s="4" t="s">
        <v>406</v>
      </c>
      <c r="G79" s="4" t="s">
        <v>575</v>
      </c>
      <c r="H79" s="12" t="n">
        <v>1</v>
      </c>
      <c r="I79" s="4" t="s">
        <v>408</v>
      </c>
      <c r="J79" s="4" t="s">
        <v>409</v>
      </c>
      <c r="K79" s="13" t="n">
        <v>3500</v>
      </c>
      <c r="L79" s="6" t="n">
        <f aca="false">H79*K79</f>
        <v>3500</v>
      </c>
      <c r="M79" s="14" t="s">
        <v>410</v>
      </c>
    </row>
    <row r="80" customFormat="false" ht="15" hidden="false" customHeight="false" outlineLevel="0" collapsed="false">
      <c r="A80" s="4" t="s">
        <v>13</v>
      </c>
      <c r="B80" s="5" t="s">
        <v>25</v>
      </c>
      <c r="C80" s="5" t="s">
        <v>26</v>
      </c>
      <c r="D80" s="4" t="s">
        <v>22</v>
      </c>
      <c r="E80" s="4" t="s">
        <v>576</v>
      </c>
      <c r="F80" s="4" t="s">
        <v>406</v>
      </c>
      <c r="G80" s="4" t="s">
        <v>577</v>
      </c>
      <c r="H80" s="12" t="n">
        <v>1</v>
      </c>
      <c r="I80" s="4" t="s">
        <v>408</v>
      </c>
      <c r="J80" s="4" t="s">
        <v>543</v>
      </c>
      <c r="K80" s="13" t="n">
        <v>8500</v>
      </c>
      <c r="L80" s="6" t="n">
        <f aca="false">H80*K80</f>
        <v>8500</v>
      </c>
      <c r="M80" s="14" t="s">
        <v>410</v>
      </c>
    </row>
    <row r="81" customFormat="false" ht="15" hidden="false" customHeight="false" outlineLevel="0" collapsed="false">
      <c r="A81" s="4" t="s">
        <v>13</v>
      </c>
      <c r="B81" s="5" t="s">
        <v>25</v>
      </c>
      <c r="C81" s="5" t="s">
        <v>26</v>
      </c>
      <c r="D81" s="4" t="s">
        <v>22</v>
      </c>
      <c r="E81" s="4" t="s">
        <v>578</v>
      </c>
      <c r="F81" s="4" t="s">
        <v>406</v>
      </c>
      <c r="G81" s="4" t="s">
        <v>579</v>
      </c>
      <c r="H81" s="12" t="n">
        <v>1</v>
      </c>
      <c r="I81" s="4" t="s">
        <v>408</v>
      </c>
      <c r="J81" s="4" t="s">
        <v>543</v>
      </c>
      <c r="K81" s="13" t="n">
        <v>4500</v>
      </c>
      <c r="L81" s="6" t="n">
        <f aca="false">H81*K81</f>
        <v>4500</v>
      </c>
      <c r="M81" s="14" t="s">
        <v>410</v>
      </c>
    </row>
    <row r="82" customFormat="false" ht="15" hidden="false" customHeight="false" outlineLevel="0" collapsed="false">
      <c r="A82" s="4" t="s">
        <v>13</v>
      </c>
      <c r="B82" s="5" t="s">
        <v>25</v>
      </c>
      <c r="C82" s="5" t="s">
        <v>26</v>
      </c>
      <c r="D82" s="4" t="s">
        <v>22</v>
      </c>
      <c r="E82" s="4" t="s">
        <v>580</v>
      </c>
      <c r="F82" s="4" t="s">
        <v>406</v>
      </c>
      <c r="G82" s="4" t="s">
        <v>581</v>
      </c>
      <c r="H82" s="12" t="n">
        <v>1</v>
      </c>
      <c r="I82" s="4" t="s">
        <v>408</v>
      </c>
      <c r="J82" s="4" t="s">
        <v>409</v>
      </c>
      <c r="K82" s="13" t="n">
        <v>18000</v>
      </c>
      <c r="L82" s="6" t="n">
        <f aca="false">H82*K82</f>
        <v>18000</v>
      </c>
      <c r="M82" s="14" t="s">
        <v>410</v>
      </c>
    </row>
    <row r="83" customFormat="false" ht="15" hidden="false" customHeight="false" outlineLevel="0" collapsed="false">
      <c r="A83" s="4" t="s">
        <v>13</v>
      </c>
      <c r="B83" s="5" t="s">
        <v>25</v>
      </c>
      <c r="C83" s="5" t="s">
        <v>26</v>
      </c>
      <c r="D83" s="4" t="s">
        <v>22</v>
      </c>
      <c r="E83" s="4" t="s">
        <v>582</v>
      </c>
      <c r="F83" s="4" t="s">
        <v>406</v>
      </c>
      <c r="G83" s="4" t="s">
        <v>583</v>
      </c>
      <c r="H83" s="12" t="n">
        <v>1</v>
      </c>
      <c r="I83" s="4" t="s">
        <v>408</v>
      </c>
      <c r="J83" s="4" t="s">
        <v>409</v>
      </c>
      <c r="K83" s="13" t="n">
        <v>18000</v>
      </c>
      <c r="L83" s="6" t="n">
        <f aca="false">H83*K83</f>
        <v>18000</v>
      </c>
      <c r="M83" s="14" t="s">
        <v>410</v>
      </c>
    </row>
    <row r="84" customFormat="false" ht="15" hidden="false" customHeight="false" outlineLevel="0" collapsed="false">
      <c r="A84" s="4" t="s">
        <v>13</v>
      </c>
      <c r="B84" s="5" t="s">
        <v>25</v>
      </c>
      <c r="C84" s="5" t="s">
        <v>26</v>
      </c>
      <c r="D84" s="4" t="s">
        <v>22</v>
      </c>
      <c r="E84" s="4" t="s">
        <v>584</v>
      </c>
      <c r="F84" s="4" t="s">
        <v>406</v>
      </c>
      <c r="G84" s="4" t="s">
        <v>585</v>
      </c>
      <c r="H84" s="12" t="n">
        <v>1</v>
      </c>
      <c r="I84" s="4" t="s">
        <v>408</v>
      </c>
      <c r="J84" s="4" t="s">
        <v>543</v>
      </c>
      <c r="K84" s="13" t="n">
        <v>4500</v>
      </c>
      <c r="L84" s="6" t="n">
        <f aca="false">H84*K84</f>
        <v>4500</v>
      </c>
      <c r="M84" s="14" t="s">
        <v>410</v>
      </c>
    </row>
    <row r="85" customFormat="false" ht="15" hidden="false" customHeight="false" outlineLevel="0" collapsed="false">
      <c r="A85" s="4" t="s">
        <v>13</v>
      </c>
      <c r="B85" s="5" t="s">
        <v>25</v>
      </c>
      <c r="C85" s="5" t="s">
        <v>26</v>
      </c>
      <c r="D85" s="4" t="s">
        <v>22</v>
      </c>
      <c r="E85" s="4" t="s">
        <v>586</v>
      </c>
      <c r="F85" s="4" t="s">
        <v>406</v>
      </c>
      <c r="G85" s="4" t="s">
        <v>587</v>
      </c>
      <c r="H85" s="12" t="n">
        <v>1</v>
      </c>
      <c r="I85" s="4" t="s">
        <v>408</v>
      </c>
      <c r="J85" s="4" t="s">
        <v>543</v>
      </c>
      <c r="K85" s="13" t="n">
        <v>4500</v>
      </c>
      <c r="L85" s="6" t="n">
        <f aca="false">H85*K85</f>
        <v>4500</v>
      </c>
      <c r="M85" s="14" t="s">
        <v>410</v>
      </c>
    </row>
    <row r="86" customFormat="false" ht="15" hidden="false" customHeight="false" outlineLevel="0" collapsed="false">
      <c r="A86" s="4" t="s">
        <v>13</v>
      </c>
      <c r="B86" s="5" t="s">
        <v>25</v>
      </c>
      <c r="C86" s="5" t="s">
        <v>26</v>
      </c>
      <c r="D86" s="4" t="s">
        <v>22</v>
      </c>
      <c r="E86" s="4" t="s">
        <v>588</v>
      </c>
      <c r="F86" s="4" t="s">
        <v>406</v>
      </c>
      <c r="G86" s="4" t="s">
        <v>589</v>
      </c>
      <c r="H86" s="12" t="n">
        <v>1</v>
      </c>
      <c r="I86" s="4" t="s">
        <v>408</v>
      </c>
      <c r="J86" s="4" t="s">
        <v>543</v>
      </c>
      <c r="K86" s="13" t="n">
        <v>4500</v>
      </c>
      <c r="L86" s="6" t="n">
        <f aca="false">H86*K86</f>
        <v>4500</v>
      </c>
      <c r="M86" s="14" t="s">
        <v>410</v>
      </c>
    </row>
    <row r="87" customFormat="false" ht="15" hidden="false" customHeight="false" outlineLevel="0" collapsed="false">
      <c r="A87" s="4" t="s">
        <v>13</v>
      </c>
      <c r="B87" s="5" t="s">
        <v>25</v>
      </c>
      <c r="C87" s="5" t="s">
        <v>26</v>
      </c>
      <c r="D87" s="4" t="s">
        <v>22</v>
      </c>
      <c r="E87" s="4" t="s">
        <v>590</v>
      </c>
      <c r="F87" s="4" t="s">
        <v>406</v>
      </c>
      <c r="G87" s="4" t="s">
        <v>591</v>
      </c>
      <c r="H87" s="12" t="n">
        <v>1</v>
      </c>
      <c r="I87" s="4" t="s">
        <v>408</v>
      </c>
      <c r="J87" s="4" t="s">
        <v>543</v>
      </c>
      <c r="K87" s="13" t="n">
        <v>4500</v>
      </c>
      <c r="L87" s="6" t="n">
        <f aca="false">H87*K87</f>
        <v>4500</v>
      </c>
      <c r="M87" s="14" t="s">
        <v>410</v>
      </c>
    </row>
    <row r="88" customFormat="false" ht="15" hidden="false" customHeight="false" outlineLevel="0" collapsed="false">
      <c r="A88" s="4" t="s">
        <v>13</v>
      </c>
      <c r="B88" s="5" t="s">
        <v>25</v>
      </c>
      <c r="C88" s="5" t="s">
        <v>26</v>
      </c>
      <c r="D88" s="4" t="s">
        <v>22</v>
      </c>
      <c r="E88" s="4" t="s">
        <v>592</v>
      </c>
      <c r="F88" s="4" t="s">
        <v>488</v>
      </c>
      <c r="G88" s="4" t="s">
        <v>593</v>
      </c>
      <c r="H88" s="12" t="n">
        <v>1</v>
      </c>
      <c r="I88" s="4" t="s">
        <v>408</v>
      </c>
      <c r="J88" s="4" t="s">
        <v>432</v>
      </c>
      <c r="K88" s="13" t="n">
        <v>8</v>
      </c>
      <c r="L88" s="6" t="n">
        <f aca="false">H88*K88</f>
        <v>8</v>
      </c>
      <c r="M88" s="4" t="s">
        <v>371</v>
      </c>
    </row>
    <row r="89" customFormat="false" ht="15" hidden="false" customHeight="false" outlineLevel="0" collapsed="false">
      <c r="A89" s="4" t="s">
        <v>13</v>
      </c>
      <c r="B89" s="5" t="s">
        <v>25</v>
      </c>
      <c r="C89" s="5" t="s">
        <v>26</v>
      </c>
      <c r="D89" s="4" t="s">
        <v>22</v>
      </c>
      <c r="E89" s="4" t="s">
        <v>594</v>
      </c>
      <c r="F89" s="4" t="s">
        <v>488</v>
      </c>
      <c r="G89" s="4" t="s">
        <v>595</v>
      </c>
      <c r="H89" s="12" t="n">
        <v>1</v>
      </c>
      <c r="I89" s="4" t="s">
        <v>408</v>
      </c>
      <c r="J89" s="4" t="s">
        <v>432</v>
      </c>
      <c r="K89" s="13" t="n">
        <v>65</v>
      </c>
      <c r="L89" s="6" t="n">
        <f aca="false">H89*K89</f>
        <v>65</v>
      </c>
      <c r="M89" s="4" t="s">
        <v>371</v>
      </c>
    </row>
    <row r="90" customFormat="false" ht="15" hidden="false" customHeight="false" outlineLevel="0" collapsed="false">
      <c r="A90" s="4" t="s">
        <v>13</v>
      </c>
      <c r="B90" s="5" t="s">
        <v>25</v>
      </c>
      <c r="C90" s="5" t="s">
        <v>26</v>
      </c>
      <c r="D90" s="4" t="s">
        <v>22</v>
      </c>
      <c r="E90" s="4" t="s">
        <v>596</v>
      </c>
      <c r="F90" s="4" t="s">
        <v>488</v>
      </c>
      <c r="G90" s="4" t="s">
        <v>597</v>
      </c>
      <c r="H90" s="12" t="n">
        <v>1</v>
      </c>
      <c r="I90" s="4" t="s">
        <v>408</v>
      </c>
      <c r="J90" s="4" t="s">
        <v>490</v>
      </c>
      <c r="K90" s="13" t="n">
        <v>450</v>
      </c>
      <c r="L90" s="6" t="n">
        <f aca="false">H90*K90</f>
        <v>450</v>
      </c>
      <c r="M90" s="4" t="s">
        <v>371</v>
      </c>
    </row>
    <row r="91" customFormat="false" ht="15" hidden="false" customHeight="false" outlineLevel="0" collapsed="false">
      <c r="A91" s="4" t="s">
        <v>13</v>
      </c>
      <c r="B91" s="5" t="s">
        <v>25</v>
      </c>
      <c r="C91" s="5" t="s">
        <v>26</v>
      </c>
      <c r="D91" s="4" t="s">
        <v>22</v>
      </c>
      <c r="E91" s="4" t="s">
        <v>598</v>
      </c>
      <c r="F91" s="4" t="s">
        <v>488</v>
      </c>
      <c r="G91" s="4" t="s">
        <v>599</v>
      </c>
      <c r="H91" s="12" t="n">
        <v>1</v>
      </c>
      <c r="I91" s="4" t="s">
        <v>408</v>
      </c>
      <c r="J91" s="4" t="s">
        <v>506</v>
      </c>
      <c r="K91" s="13" t="n">
        <v>350</v>
      </c>
      <c r="L91" s="6" t="n">
        <f aca="false">H91*K91</f>
        <v>350</v>
      </c>
      <c r="M91" s="4" t="s">
        <v>371</v>
      </c>
    </row>
    <row r="92" customFormat="false" ht="15" hidden="false" customHeight="false" outlineLevel="0" collapsed="false">
      <c r="A92" s="4" t="s">
        <v>13</v>
      </c>
      <c r="B92" s="5" t="s">
        <v>27</v>
      </c>
      <c r="C92" s="5" t="s">
        <v>28</v>
      </c>
      <c r="D92" s="4" t="s">
        <v>22</v>
      </c>
      <c r="E92" s="4" t="s">
        <v>550</v>
      </c>
      <c r="F92" s="4" t="s">
        <v>406</v>
      </c>
      <c r="G92" s="4" t="s">
        <v>551</v>
      </c>
      <c r="H92" s="12" t="n">
        <v>1</v>
      </c>
      <c r="I92" s="4" t="s">
        <v>408</v>
      </c>
      <c r="J92" s="4" t="s">
        <v>409</v>
      </c>
      <c r="K92" s="13" t="n">
        <v>850</v>
      </c>
      <c r="L92" s="6" t="n">
        <f aca="false">H92*K92</f>
        <v>850</v>
      </c>
      <c r="M92" s="14" t="s">
        <v>410</v>
      </c>
    </row>
    <row r="93" customFormat="false" ht="15" hidden="false" customHeight="false" outlineLevel="0" collapsed="false">
      <c r="A93" s="4" t="s">
        <v>13</v>
      </c>
      <c r="B93" s="5" t="s">
        <v>27</v>
      </c>
      <c r="C93" s="5" t="s">
        <v>28</v>
      </c>
      <c r="D93" s="4" t="s">
        <v>22</v>
      </c>
      <c r="E93" s="4" t="s">
        <v>552</v>
      </c>
      <c r="F93" s="4" t="s">
        <v>406</v>
      </c>
      <c r="G93" s="4" t="s">
        <v>553</v>
      </c>
      <c r="H93" s="12" t="n">
        <v>1</v>
      </c>
      <c r="I93" s="4" t="s">
        <v>408</v>
      </c>
      <c r="J93" s="4" t="s">
        <v>409</v>
      </c>
      <c r="K93" s="13" t="n">
        <v>850</v>
      </c>
      <c r="L93" s="6" t="n">
        <f aca="false">H93*K93</f>
        <v>850</v>
      </c>
      <c r="M93" s="14" t="s">
        <v>410</v>
      </c>
    </row>
    <row r="94" customFormat="false" ht="15" hidden="false" customHeight="false" outlineLevel="0" collapsed="false">
      <c r="A94" s="4" t="s">
        <v>13</v>
      </c>
      <c r="B94" s="5" t="s">
        <v>27</v>
      </c>
      <c r="C94" s="5" t="s">
        <v>28</v>
      </c>
      <c r="D94" s="4" t="s">
        <v>22</v>
      </c>
      <c r="E94" s="4" t="s">
        <v>554</v>
      </c>
      <c r="F94" s="4" t="s">
        <v>406</v>
      </c>
      <c r="G94" s="4" t="s">
        <v>555</v>
      </c>
      <c r="H94" s="12" t="n">
        <v>1</v>
      </c>
      <c r="I94" s="4" t="s">
        <v>408</v>
      </c>
      <c r="J94" s="4" t="s">
        <v>409</v>
      </c>
      <c r="K94" s="13" t="n">
        <v>450</v>
      </c>
      <c r="L94" s="6" t="n">
        <f aca="false">H94*K94</f>
        <v>450</v>
      </c>
      <c r="M94" s="14" t="s">
        <v>410</v>
      </c>
    </row>
    <row r="95" customFormat="false" ht="15" hidden="false" customHeight="false" outlineLevel="0" collapsed="false">
      <c r="A95" s="4" t="s">
        <v>13</v>
      </c>
      <c r="B95" s="5" t="s">
        <v>27</v>
      </c>
      <c r="C95" s="5" t="s">
        <v>28</v>
      </c>
      <c r="D95" s="4" t="s">
        <v>22</v>
      </c>
      <c r="E95" s="4" t="s">
        <v>600</v>
      </c>
      <c r="F95" s="4" t="s">
        <v>406</v>
      </c>
      <c r="G95" s="4" t="s">
        <v>601</v>
      </c>
      <c r="H95" s="12" t="n">
        <v>1</v>
      </c>
      <c r="I95" s="4" t="s">
        <v>408</v>
      </c>
      <c r="J95" s="4" t="s">
        <v>409</v>
      </c>
      <c r="K95" s="13" t="n">
        <v>450</v>
      </c>
      <c r="L95" s="6" t="n">
        <f aca="false">H95*K95</f>
        <v>450</v>
      </c>
      <c r="M95" s="14" t="s">
        <v>410</v>
      </c>
    </row>
    <row r="96" customFormat="false" ht="15" hidden="false" customHeight="false" outlineLevel="0" collapsed="false">
      <c r="A96" s="4" t="s">
        <v>13</v>
      </c>
      <c r="B96" s="5" t="s">
        <v>27</v>
      </c>
      <c r="C96" s="5" t="s">
        <v>28</v>
      </c>
      <c r="D96" s="4" t="s">
        <v>22</v>
      </c>
      <c r="E96" s="4" t="s">
        <v>602</v>
      </c>
      <c r="F96" s="4" t="s">
        <v>406</v>
      </c>
      <c r="G96" s="4" t="s">
        <v>603</v>
      </c>
      <c r="H96" s="12" t="n">
        <v>1</v>
      </c>
      <c r="I96" s="4" t="s">
        <v>408</v>
      </c>
      <c r="J96" s="4" t="s">
        <v>409</v>
      </c>
      <c r="K96" s="13" t="n">
        <v>650</v>
      </c>
      <c r="L96" s="6" t="n">
        <f aca="false">H96*K96</f>
        <v>650</v>
      </c>
      <c r="M96" s="14" t="s">
        <v>410</v>
      </c>
    </row>
    <row r="97" customFormat="false" ht="15" hidden="false" customHeight="false" outlineLevel="0" collapsed="false">
      <c r="A97" s="4" t="s">
        <v>13</v>
      </c>
      <c r="B97" s="5" t="s">
        <v>27</v>
      </c>
      <c r="C97" s="5" t="s">
        <v>28</v>
      </c>
      <c r="D97" s="4" t="s">
        <v>22</v>
      </c>
      <c r="E97" s="4" t="s">
        <v>604</v>
      </c>
      <c r="F97" s="4" t="s">
        <v>406</v>
      </c>
      <c r="G97" s="4" t="s">
        <v>605</v>
      </c>
      <c r="H97" s="12" t="n">
        <v>1</v>
      </c>
      <c r="I97" s="4" t="s">
        <v>408</v>
      </c>
      <c r="J97" s="4" t="s">
        <v>409</v>
      </c>
      <c r="K97" s="13" t="n">
        <v>650</v>
      </c>
      <c r="L97" s="6" t="n">
        <f aca="false">H97*K97</f>
        <v>650</v>
      </c>
      <c r="M97" s="14" t="s">
        <v>410</v>
      </c>
    </row>
    <row r="98" customFormat="false" ht="15" hidden="false" customHeight="false" outlineLevel="0" collapsed="false">
      <c r="A98" s="4" t="s">
        <v>13</v>
      </c>
      <c r="B98" s="5" t="s">
        <v>27</v>
      </c>
      <c r="C98" s="5" t="s">
        <v>28</v>
      </c>
      <c r="D98" s="4" t="s">
        <v>22</v>
      </c>
      <c r="E98" s="4" t="s">
        <v>606</v>
      </c>
      <c r="F98" s="4" t="s">
        <v>406</v>
      </c>
      <c r="G98" s="4" t="s">
        <v>607</v>
      </c>
      <c r="H98" s="12" t="n">
        <v>1</v>
      </c>
      <c r="I98" s="4" t="s">
        <v>408</v>
      </c>
      <c r="J98" s="4" t="s">
        <v>409</v>
      </c>
      <c r="K98" s="13" t="n">
        <v>450</v>
      </c>
      <c r="L98" s="6" t="n">
        <f aca="false">H98*K98</f>
        <v>450</v>
      </c>
      <c r="M98" s="14" t="s">
        <v>410</v>
      </c>
    </row>
    <row r="99" customFormat="false" ht="15" hidden="false" customHeight="false" outlineLevel="0" collapsed="false">
      <c r="A99" s="4" t="s">
        <v>13</v>
      </c>
      <c r="B99" s="5" t="s">
        <v>27</v>
      </c>
      <c r="C99" s="5" t="s">
        <v>28</v>
      </c>
      <c r="D99" s="4" t="s">
        <v>22</v>
      </c>
      <c r="E99" s="4" t="s">
        <v>608</v>
      </c>
      <c r="F99" s="4" t="s">
        <v>406</v>
      </c>
      <c r="G99" s="4" t="s">
        <v>609</v>
      </c>
      <c r="H99" s="12" t="n">
        <v>1</v>
      </c>
      <c r="I99" s="4" t="s">
        <v>408</v>
      </c>
      <c r="J99" s="4" t="s">
        <v>409</v>
      </c>
      <c r="K99" s="13" t="n">
        <v>650</v>
      </c>
      <c r="L99" s="6" t="n">
        <f aca="false">H99*K99</f>
        <v>650</v>
      </c>
      <c r="M99" s="14" t="s">
        <v>410</v>
      </c>
    </row>
    <row r="100" customFormat="false" ht="15" hidden="false" customHeight="false" outlineLevel="0" collapsed="false">
      <c r="A100" s="4" t="s">
        <v>13</v>
      </c>
      <c r="B100" s="5" t="s">
        <v>27</v>
      </c>
      <c r="C100" s="5" t="s">
        <v>28</v>
      </c>
      <c r="D100" s="4" t="s">
        <v>22</v>
      </c>
      <c r="E100" s="4" t="s">
        <v>610</v>
      </c>
      <c r="F100" s="4" t="s">
        <v>406</v>
      </c>
      <c r="G100" s="4" t="s">
        <v>611</v>
      </c>
      <c r="H100" s="12" t="n">
        <v>1</v>
      </c>
      <c r="I100" s="4" t="s">
        <v>408</v>
      </c>
      <c r="J100" s="4" t="s">
        <v>409</v>
      </c>
      <c r="K100" s="13" t="n">
        <v>650</v>
      </c>
      <c r="L100" s="6" t="n">
        <f aca="false">H100*K100</f>
        <v>650</v>
      </c>
      <c r="M100" s="14" t="s">
        <v>410</v>
      </c>
    </row>
    <row r="101" customFormat="false" ht="15" hidden="false" customHeight="false" outlineLevel="0" collapsed="false">
      <c r="A101" s="4" t="s">
        <v>13</v>
      </c>
      <c r="B101" s="5" t="s">
        <v>27</v>
      </c>
      <c r="C101" s="5" t="s">
        <v>28</v>
      </c>
      <c r="D101" s="4" t="s">
        <v>22</v>
      </c>
      <c r="E101" s="4" t="s">
        <v>612</v>
      </c>
      <c r="F101" s="4" t="s">
        <v>406</v>
      </c>
      <c r="G101" s="4" t="s">
        <v>613</v>
      </c>
      <c r="H101" s="12" t="n">
        <v>1</v>
      </c>
      <c r="I101" s="4" t="s">
        <v>408</v>
      </c>
      <c r="J101" s="4" t="s">
        <v>409</v>
      </c>
      <c r="K101" s="13" t="n">
        <v>450</v>
      </c>
      <c r="L101" s="6" t="n">
        <f aca="false">H101*K101</f>
        <v>450</v>
      </c>
      <c r="M101" s="14" t="s">
        <v>410</v>
      </c>
    </row>
    <row r="102" customFormat="false" ht="15" hidden="false" customHeight="false" outlineLevel="0" collapsed="false">
      <c r="A102" s="4" t="s">
        <v>13</v>
      </c>
      <c r="B102" s="5" t="s">
        <v>27</v>
      </c>
      <c r="C102" s="5" t="s">
        <v>28</v>
      </c>
      <c r="D102" s="4" t="s">
        <v>22</v>
      </c>
      <c r="E102" s="4" t="s">
        <v>614</v>
      </c>
      <c r="F102" s="4" t="s">
        <v>406</v>
      </c>
      <c r="G102" s="4" t="s">
        <v>615</v>
      </c>
      <c r="H102" s="12" t="n">
        <v>1</v>
      </c>
      <c r="I102" s="4" t="s">
        <v>408</v>
      </c>
      <c r="J102" s="4" t="s">
        <v>409</v>
      </c>
      <c r="K102" s="13" t="n">
        <v>450</v>
      </c>
      <c r="L102" s="6" t="n">
        <f aca="false">H102*K102</f>
        <v>450</v>
      </c>
      <c r="M102" s="14" t="s">
        <v>410</v>
      </c>
    </row>
    <row r="103" customFormat="false" ht="15" hidden="false" customHeight="false" outlineLevel="0" collapsed="false">
      <c r="A103" s="4" t="s">
        <v>13</v>
      </c>
      <c r="B103" s="5" t="s">
        <v>27</v>
      </c>
      <c r="C103" s="5" t="s">
        <v>28</v>
      </c>
      <c r="D103" s="4" t="s">
        <v>22</v>
      </c>
      <c r="E103" s="4" t="s">
        <v>616</v>
      </c>
      <c r="F103" s="4" t="s">
        <v>406</v>
      </c>
      <c r="G103" s="4" t="s">
        <v>617</v>
      </c>
      <c r="H103" s="12" t="n">
        <v>1</v>
      </c>
      <c r="I103" s="4" t="s">
        <v>408</v>
      </c>
      <c r="J103" s="4" t="s">
        <v>409</v>
      </c>
      <c r="K103" s="13" t="n">
        <v>850</v>
      </c>
      <c r="L103" s="6" t="n">
        <f aca="false">H103*K103</f>
        <v>850</v>
      </c>
      <c r="M103" s="14" t="s">
        <v>410</v>
      </c>
    </row>
    <row r="104" customFormat="false" ht="15" hidden="false" customHeight="false" outlineLevel="0" collapsed="false">
      <c r="A104" s="4" t="s">
        <v>13</v>
      </c>
      <c r="B104" s="5" t="s">
        <v>27</v>
      </c>
      <c r="C104" s="5" t="s">
        <v>28</v>
      </c>
      <c r="D104" s="4" t="s">
        <v>22</v>
      </c>
      <c r="E104" s="4" t="s">
        <v>618</v>
      </c>
      <c r="F104" s="4" t="s">
        <v>406</v>
      </c>
      <c r="G104" s="4" t="s">
        <v>619</v>
      </c>
      <c r="H104" s="12" t="n">
        <v>1</v>
      </c>
      <c r="I104" s="4" t="s">
        <v>408</v>
      </c>
      <c r="J104" s="4" t="s">
        <v>409</v>
      </c>
      <c r="K104" s="13" t="n">
        <v>850</v>
      </c>
      <c r="L104" s="6" t="n">
        <f aca="false">H104*K104</f>
        <v>850</v>
      </c>
      <c r="M104" s="14" t="s">
        <v>410</v>
      </c>
    </row>
    <row r="105" customFormat="false" ht="15" hidden="false" customHeight="false" outlineLevel="0" collapsed="false">
      <c r="A105" s="4" t="s">
        <v>13</v>
      </c>
      <c r="B105" s="5" t="s">
        <v>27</v>
      </c>
      <c r="C105" s="5" t="s">
        <v>28</v>
      </c>
      <c r="D105" s="4" t="s">
        <v>22</v>
      </c>
      <c r="E105" s="4" t="s">
        <v>620</v>
      </c>
      <c r="F105" s="4" t="s">
        <v>406</v>
      </c>
      <c r="G105" s="4" t="s">
        <v>621</v>
      </c>
      <c r="H105" s="12" t="n">
        <v>1</v>
      </c>
      <c r="I105" s="4" t="s">
        <v>408</v>
      </c>
      <c r="J105" s="4" t="s">
        <v>409</v>
      </c>
      <c r="K105" s="13" t="n">
        <v>650</v>
      </c>
      <c r="L105" s="6" t="n">
        <f aca="false">H105*K105</f>
        <v>650</v>
      </c>
      <c r="M105" s="14" t="s">
        <v>410</v>
      </c>
    </row>
    <row r="106" customFormat="false" ht="15" hidden="false" customHeight="false" outlineLevel="0" collapsed="false">
      <c r="A106" s="4" t="s">
        <v>13</v>
      </c>
      <c r="B106" s="5" t="s">
        <v>27</v>
      </c>
      <c r="C106" s="5" t="s">
        <v>28</v>
      </c>
      <c r="D106" s="4" t="s">
        <v>22</v>
      </c>
      <c r="E106" s="4" t="s">
        <v>622</v>
      </c>
      <c r="F106" s="4" t="s">
        <v>406</v>
      </c>
      <c r="G106" s="4" t="s">
        <v>623</v>
      </c>
      <c r="H106" s="12" t="n">
        <v>1</v>
      </c>
      <c r="I106" s="4" t="s">
        <v>408</v>
      </c>
      <c r="J106" s="4" t="s">
        <v>409</v>
      </c>
      <c r="K106" s="13" t="n">
        <v>450</v>
      </c>
      <c r="L106" s="6" t="n">
        <f aca="false">H106*K106</f>
        <v>450</v>
      </c>
      <c r="M106" s="14" t="s">
        <v>410</v>
      </c>
    </row>
    <row r="107" customFormat="false" ht="15" hidden="false" customHeight="false" outlineLevel="0" collapsed="false">
      <c r="A107" s="4" t="s">
        <v>13</v>
      </c>
      <c r="B107" s="5" t="s">
        <v>27</v>
      </c>
      <c r="C107" s="5" t="s">
        <v>28</v>
      </c>
      <c r="D107" s="4" t="s">
        <v>22</v>
      </c>
      <c r="E107" s="4" t="s">
        <v>624</v>
      </c>
      <c r="F107" s="4" t="s">
        <v>406</v>
      </c>
      <c r="G107" s="4" t="s">
        <v>625</v>
      </c>
      <c r="H107" s="12" t="n">
        <v>1</v>
      </c>
      <c r="I107" s="4" t="s">
        <v>408</v>
      </c>
      <c r="J107" s="4" t="s">
        <v>409</v>
      </c>
      <c r="K107" s="13" t="n">
        <v>850</v>
      </c>
      <c r="L107" s="6" t="n">
        <f aca="false">H107*K107</f>
        <v>850</v>
      </c>
      <c r="M107" s="14" t="s">
        <v>410</v>
      </c>
    </row>
    <row r="108" customFormat="false" ht="15" hidden="false" customHeight="false" outlineLevel="0" collapsed="false">
      <c r="A108" s="4" t="s">
        <v>13</v>
      </c>
      <c r="B108" s="5" t="s">
        <v>27</v>
      </c>
      <c r="C108" s="5" t="s">
        <v>28</v>
      </c>
      <c r="D108" s="4" t="s">
        <v>22</v>
      </c>
      <c r="E108" s="4" t="s">
        <v>626</v>
      </c>
      <c r="F108" s="4" t="s">
        <v>406</v>
      </c>
      <c r="G108" s="4" t="s">
        <v>627</v>
      </c>
      <c r="H108" s="12" t="n">
        <v>1</v>
      </c>
      <c r="I108" s="4" t="s">
        <v>408</v>
      </c>
      <c r="J108" s="4" t="s">
        <v>409</v>
      </c>
      <c r="K108" s="13" t="n">
        <v>250</v>
      </c>
      <c r="L108" s="6" t="n">
        <f aca="false">H108*K108</f>
        <v>250</v>
      </c>
      <c r="M108" s="14" t="s">
        <v>410</v>
      </c>
    </row>
    <row r="109" customFormat="false" ht="15" hidden="false" customHeight="false" outlineLevel="0" collapsed="false">
      <c r="A109" s="4" t="s">
        <v>13</v>
      </c>
      <c r="B109" s="5" t="s">
        <v>27</v>
      </c>
      <c r="C109" s="5" t="s">
        <v>28</v>
      </c>
      <c r="D109" s="4" t="s">
        <v>22</v>
      </c>
      <c r="E109" s="4" t="s">
        <v>628</v>
      </c>
      <c r="F109" s="4" t="s">
        <v>406</v>
      </c>
      <c r="G109" s="4" t="s">
        <v>629</v>
      </c>
      <c r="H109" s="12" t="n">
        <v>1</v>
      </c>
      <c r="I109" s="4" t="s">
        <v>408</v>
      </c>
      <c r="J109" s="4" t="s">
        <v>409</v>
      </c>
      <c r="K109" s="13" t="n">
        <v>350</v>
      </c>
      <c r="L109" s="6" t="n">
        <f aca="false">H109*K109</f>
        <v>350</v>
      </c>
      <c r="M109" s="14" t="s">
        <v>410</v>
      </c>
    </row>
    <row r="110" customFormat="false" ht="15" hidden="false" customHeight="false" outlineLevel="0" collapsed="false">
      <c r="A110" s="4" t="s">
        <v>13</v>
      </c>
      <c r="B110" s="5" t="s">
        <v>27</v>
      </c>
      <c r="C110" s="5" t="s">
        <v>28</v>
      </c>
      <c r="D110" s="4" t="s">
        <v>22</v>
      </c>
      <c r="E110" s="4" t="s">
        <v>630</v>
      </c>
      <c r="F110" s="4" t="s">
        <v>406</v>
      </c>
      <c r="G110" s="4" t="s">
        <v>631</v>
      </c>
      <c r="H110" s="12" t="n">
        <v>1</v>
      </c>
      <c r="I110" s="4" t="s">
        <v>408</v>
      </c>
      <c r="J110" s="4" t="s">
        <v>409</v>
      </c>
      <c r="K110" s="13" t="n">
        <v>650</v>
      </c>
      <c r="L110" s="6" t="n">
        <f aca="false">H110*K110</f>
        <v>650</v>
      </c>
      <c r="M110" s="14" t="s">
        <v>410</v>
      </c>
    </row>
    <row r="111" customFormat="false" ht="15" hidden="false" customHeight="false" outlineLevel="0" collapsed="false">
      <c r="A111" s="4" t="s">
        <v>13</v>
      </c>
      <c r="B111" s="5" t="s">
        <v>27</v>
      </c>
      <c r="C111" s="5" t="s">
        <v>28</v>
      </c>
      <c r="D111" s="4" t="s">
        <v>22</v>
      </c>
      <c r="E111" s="4" t="s">
        <v>632</v>
      </c>
      <c r="F111" s="4" t="s">
        <v>406</v>
      </c>
      <c r="G111" s="4" t="s">
        <v>633</v>
      </c>
      <c r="H111" s="12" t="n">
        <v>1</v>
      </c>
      <c r="I111" s="4" t="s">
        <v>408</v>
      </c>
      <c r="J111" s="4" t="s">
        <v>409</v>
      </c>
      <c r="K111" s="13" t="n">
        <v>850</v>
      </c>
      <c r="L111" s="6" t="n">
        <f aca="false">H111*K111</f>
        <v>850</v>
      </c>
      <c r="M111" s="14" t="s">
        <v>410</v>
      </c>
    </row>
    <row r="112" customFormat="false" ht="15" hidden="false" customHeight="false" outlineLevel="0" collapsed="false">
      <c r="A112" s="4" t="s">
        <v>13</v>
      </c>
      <c r="B112" s="5" t="s">
        <v>27</v>
      </c>
      <c r="C112" s="5" t="s">
        <v>28</v>
      </c>
      <c r="D112" s="4" t="s">
        <v>22</v>
      </c>
      <c r="E112" s="4" t="s">
        <v>634</v>
      </c>
      <c r="F112" s="4" t="s">
        <v>406</v>
      </c>
      <c r="G112" s="4" t="s">
        <v>635</v>
      </c>
      <c r="H112" s="12" t="n">
        <v>1</v>
      </c>
      <c r="I112" s="4" t="s">
        <v>408</v>
      </c>
      <c r="J112" s="4" t="s">
        <v>409</v>
      </c>
      <c r="K112" s="13" t="n">
        <v>850</v>
      </c>
      <c r="L112" s="6" t="n">
        <f aca="false">H112*K112</f>
        <v>850</v>
      </c>
      <c r="M112" s="14" t="s">
        <v>410</v>
      </c>
    </row>
    <row r="113" customFormat="false" ht="15" hidden="false" customHeight="false" outlineLevel="0" collapsed="false">
      <c r="A113" s="4" t="s">
        <v>13</v>
      </c>
      <c r="B113" s="5" t="s">
        <v>27</v>
      </c>
      <c r="C113" s="5" t="s">
        <v>28</v>
      </c>
      <c r="D113" s="4" t="s">
        <v>22</v>
      </c>
      <c r="E113" s="4" t="s">
        <v>636</v>
      </c>
      <c r="F113" s="4" t="s">
        <v>406</v>
      </c>
      <c r="G113" s="4" t="s">
        <v>637</v>
      </c>
      <c r="H113" s="12" t="n">
        <v>1</v>
      </c>
      <c r="I113" s="4" t="s">
        <v>408</v>
      </c>
      <c r="J113" s="4" t="s">
        <v>409</v>
      </c>
      <c r="K113" s="13" t="n">
        <v>850</v>
      </c>
      <c r="L113" s="6" t="n">
        <f aca="false">H113*K113</f>
        <v>850</v>
      </c>
      <c r="M113" s="14" t="s">
        <v>410</v>
      </c>
    </row>
    <row r="114" customFormat="false" ht="15" hidden="false" customHeight="false" outlineLevel="0" collapsed="false">
      <c r="A114" s="4" t="s">
        <v>13</v>
      </c>
      <c r="B114" s="5" t="s">
        <v>27</v>
      </c>
      <c r="C114" s="5" t="s">
        <v>28</v>
      </c>
      <c r="D114" s="4" t="s">
        <v>22</v>
      </c>
      <c r="E114" s="4" t="s">
        <v>638</v>
      </c>
      <c r="F114" s="4" t="s">
        <v>406</v>
      </c>
      <c r="G114" s="4" t="s">
        <v>639</v>
      </c>
      <c r="H114" s="12" t="n">
        <v>1</v>
      </c>
      <c r="I114" s="4" t="s">
        <v>408</v>
      </c>
      <c r="J114" s="4" t="s">
        <v>409</v>
      </c>
      <c r="K114" s="13" t="n">
        <v>850</v>
      </c>
      <c r="L114" s="6" t="n">
        <f aca="false">H114*K114</f>
        <v>850</v>
      </c>
      <c r="M114" s="14" t="s">
        <v>410</v>
      </c>
    </row>
    <row r="115" customFormat="false" ht="15" hidden="false" customHeight="false" outlineLevel="0" collapsed="false">
      <c r="A115" s="4" t="s">
        <v>13</v>
      </c>
      <c r="B115" s="5" t="s">
        <v>27</v>
      </c>
      <c r="C115" s="5" t="s">
        <v>28</v>
      </c>
      <c r="D115" s="4" t="s">
        <v>22</v>
      </c>
      <c r="E115" s="4" t="s">
        <v>640</v>
      </c>
      <c r="F115" s="4" t="s">
        <v>406</v>
      </c>
      <c r="G115" s="4" t="s">
        <v>641</v>
      </c>
      <c r="H115" s="12" t="n">
        <v>1</v>
      </c>
      <c r="I115" s="4" t="s">
        <v>408</v>
      </c>
      <c r="J115" s="4" t="s">
        <v>409</v>
      </c>
      <c r="K115" s="13" t="n">
        <v>180</v>
      </c>
      <c r="L115" s="6" t="n">
        <f aca="false">H115*K115</f>
        <v>180</v>
      </c>
      <c r="M115" s="14" t="s">
        <v>410</v>
      </c>
    </row>
    <row r="116" customFormat="false" ht="15" hidden="false" customHeight="false" outlineLevel="0" collapsed="false">
      <c r="A116" s="4" t="s">
        <v>13</v>
      </c>
      <c r="B116" s="5" t="s">
        <v>27</v>
      </c>
      <c r="C116" s="5" t="s">
        <v>28</v>
      </c>
      <c r="D116" s="4" t="s">
        <v>22</v>
      </c>
      <c r="E116" s="4" t="s">
        <v>642</v>
      </c>
      <c r="F116" s="4" t="s">
        <v>406</v>
      </c>
      <c r="G116" s="4" t="s">
        <v>643</v>
      </c>
      <c r="H116" s="12" t="n">
        <v>1</v>
      </c>
      <c r="I116" s="4" t="s">
        <v>408</v>
      </c>
      <c r="J116" s="4" t="s">
        <v>409</v>
      </c>
      <c r="K116" s="13" t="n">
        <v>150</v>
      </c>
      <c r="L116" s="6" t="n">
        <f aca="false">H116*K116</f>
        <v>150</v>
      </c>
      <c r="M116" s="14" t="s">
        <v>410</v>
      </c>
    </row>
    <row r="117" customFormat="false" ht="15" hidden="false" customHeight="false" outlineLevel="0" collapsed="false">
      <c r="A117" s="4" t="s">
        <v>13</v>
      </c>
      <c r="B117" s="5" t="s">
        <v>27</v>
      </c>
      <c r="C117" s="5" t="s">
        <v>28</v>
      </c>
      <c r="D117" s="4" t="s">
        <v>22</v>
      </c>
      <c r="E117" s="4" t="s">
        <v>644</v>
      </c>
      <c r="F117" s="4" t="s">
        <v>406</v>
      </c>
      <c r="G117" s="4" t="s">
        <v>645</v>
      </c>
      <c r="H117" s="12" t="n">
        <v>1</v>
      </c>
      <c r="I117" s="4" t="s">
        <v>408</v>
      </c>
      <c r="J117" s="4" t="s">
        <v>409</v>
      </c>
      <c r="K117" s="13" t="n">
        <v>350</v>
      </c>
      <c r="L117" s="6" t="n">
        <f aca="false">H117*K117</f>
        <v>350</v>
      </c>
      <c r="M117" s="14" t="s">
        <v>410</v>
      </c>
    </row>
    <row r="118" customFormat="false" ht="15" hidden="false" customHeight="false" outlineLevel="0" collapsed="false">
      <c r="A118" s="4" t="s">
        <v>13</v>
      </c>
      <c r="B118" s="5" t="s">
        <v>27</v>
      </c>
      <c r="C118" s="5" t="s">
        <v>28</v>
      </c>
      <c r="D118" s="4" t="s">
        <v>22</v>
      </c>
      <c r="E118" s="4" t="s">
        <v>646</v>
      </c>
      <c r="F118" s="4" t="s">
        <v>406</v>
      </c>
      <c r="G118" s="4" t="s">
        <v>647</v>
      </c>
      <c r="H118" s="12" t="n">
        <v>1</v>
      </c>
      <c r="I118" s="4" t="s">
        <v>408</v>
      </c>
      <c r="J118" s="4" t="s">
        <v>409</v>
      </c>
      <c r="K118" s="13" t="n">
        <v>450</v>
      </c>
      <c r="L118" s="6" t="n">
        <f aca="false">H118*K118</f>
        <v>450</v>
      </c>
      <c r="M118" s="14" t="s">
        <v>410</v>
      </c>
    </row>
    <row r="119" customFormat="false" ht="15" hidden="false" customHeight="false" outlineLevel="0" collapsed="false">
      <c r="A119" s="4" t="s">
        <v>13</v>
      </c>
      <c r="B119" s="5" t="s">
        <v>27</v>
      </c>
      <c r="C119" s="5" t="s">
        <v>28</v>
      </c>
      <c r="D119" s="4" t="s">
        <v>22</v>
      </c>
      <c r="E119" s="4" t="s">
        <v>648</v>
      </c>
      <c r="F119" s="4" t="s">
        <v>406</v>
      </c>
      <c r="G119" s="4" t="s">
        <v>649</v>
      </c>
      <c r="H119" s="12" t="n">
        <v>1</v>
      </c>
      <c r="I119" s="4" t="s">
        <v>408</v>
      </c>
      <c r="J119" s="4" t="s">
        <v>409</v>
      </c>
      <c r="K119" s="13" t="n">
        <v>180</v>
      </c>
      <c r="L119" s="6" t="n">
        <f aca="false">H119*K119</f>
        <v>180</v>
      </c>
      <c r="M119" s="14" t="s">
        <v>410</v>
      </c>
    </row>
    <row r="120" customFormat="false" ht="15" hidden="false" customHeight="false" outlineLevel="0" collapsed="false">
      <c r="A120" s="4" t="s">
        <v>13</v>
      </c>
      <c r="B120" s="5" t="s">
        <v>27</v>
      </c>
      <c r="C120" s="5" t="s">
        <v>28</v>
      </c>
      <c r="D120" s="4" t="s">
        <v>22</v>
      </c>
      <c r="E120" s="4" t="s">
        <v>650</v>
      </c>
      <c r="F120" s="4" t="s">
        <v>406</v>
      </c>
      <c r="G120" s="4" t="s">
        <v>651</v>
      </c>
      <c r="H120" s="12" t="n">
        <v>1</v>
      </c>
      <c r="I120" s="4" t="s">
        <v>408</v>
      </c>
      <c r="J120" s="4" t="s">
        <v>409</v>
      </c>
      <c r="K120" s="13" t="n">
        <v>2500</v>
      </c>
      <c r="L120" s="6" t="n">
        <f aca="false">H120*K120</f>
        <v>2500</v>
      </c>
      <c r="M120" s="14" t="s">
        <v>410</v>
      </c>
    </row>
    <row r="121" customFormat="false" ht="15" hidden="false" customHeight="false" outlineLevel="0" collapsed="false">
      <c r="A121" s="4" t="s">
        <v>13</v>
      </c>
      <c r="B121" s="5" t="s">
        <v>27</v>
      </c>
      <c r="C121" s="5" t="s">
        <v>28</v>
      </c>
      <c r="D121" s="4" t="s">
        <v>22</v>
      </c>
      <c r="E121" s="4" t="s">
        <v>652</v>
      </c>
      <c r="F121" s="4" t="s">
        <v>406</v>
      </c>
      <c r="G121" s="4" t="s">
        <v>653</v>
      </c>
      <c r="H121" s="12" t="n">
        <v>1</v>
      </c>
      <c r="I121" s="4" t="s">
        <v>408</v>
      </c>
      <c r="J121" s="4" t="s">
        <v>409</v>
      </c>
      <c r="K121" s="13" t="n">
        <v>350</v>
      </c>
      <c r="L121" s="6" t="n">
        <f aca="false">H121*K121</f>
        <v>350</v>
      </c>
      <c r="M121" s="14" t="s">
        <v>410</v>
      </c>
    </row>
    <row r="122" customFormat="false" ht="15" hidden="false" customHeight="false" outlineLevel="0" collapsed="false">
      <c r="A122" s="4" t="s">
        <v>13</v>
      </c>
      <c r="B122" s="5" t="s">
        <v>27</v>
      </c>
      <c r="C122" s="5" t="s">
        <v>28</v>
      </c>
      <c r="D122" s="4" t="s">
        <v>22</v>
      </c>
      <c r="E122" s="4" t="s">
        <v>654</v>
      </c>
      <c r="F122" s="4" t="s">
        <v>406</v>
      </c>
      <c r="G122" s="4" t="s">
        <v>655</v>
      </c>
      <c r="H122" s="12" t="n">
        <v>1</v>
      </c>
      <c r="I122" s="4" t="s">
        <v>408</v>
      </c>
      <c r="J122" s="4" t="s">
        <v>409</v>
      </c>
      <c r="K122" s="13" t="n">
        <v>250</v>
      </c>
      <c r="L122" s="6" t="n">
        <f aca="false">H122*K122</f>
        <v>250</v>
      </c>
      <c r="M122" s="14" t="s">
        <v>410</v>
      </c>
    </row>
    <row r="123" customFormat="false" ht="15" hidden="false" customHeight="false" outlineLevel="0" collapsed="false">
      <c r="A123" s="4" t="s">
        <v>13</v>
      </c>
      <c r="B123" s="5" t="s">
        <v>27</v>
      </c>
      <c r="C123" s="5" t="s">
        <v>28</v>
      </c>
      <c r="D123" s="4" t="s">
        <v>22</v>
      </c>
      <c r="E123" s="4" t="s">
        <v>656</v>
      </c>
      <c r="F123" s="4" t="s">
        <v>406</v>
      </c>
      <c r="G123" s="4" t="s">
        <v>657</v>
      </c>
      <c r="H123" s="12" t="n">
        <v>1</v>
      </c>
      <c r="I123" s="4" t="s">
        <v>408</v>
      </c>
      <c r="J123" s="4" t="s">
        <v>409</v>
      </c>
      <c r="K123" s="13" t="n">
        <v>350</v>
      </c>
      <c r="L123" s="6" t="n">
        <f aca="false">H123*K123</f>
        <v>350</v>
      </c>
      <c r="M123" s="14" t="s">
        <v>410</v>
      </c>
    </row>
    <row r="124" customFormat="false" ht="15" hidden="false" customHeight="false" outlineLevel="0" collapsed="false">
      <c r="A124" s="4" t="s">
        <v>13</v>
      </c>
      <c r="B124" s="5" t="s">
        <v>27</v>
      </c>
      <c r="C124" s="5" t="s">
        <v>28</v>
      </c>
      <c r="D124" s="4" t="s">
        <v>22</v>
      </c>
      <c r="E124" s="4" t="s">
        <v>658</v>
      </c>
      <c r="F124" s="4" t="s">
        <v>406</v>
      </c>
      <c r="G124" s="4" t="s">
        <v>659</v>
      </c>
      <c r="H124" s="12" t="n">
        <v>1</v>
      </c>
      <c r="I124" s="4" t="s">
        <v>408</v>
      </c>
      <c r="J124" s="4" t="s">
        <v>409</v>
      </c>
      <c r="K124" s="13" t="n">
        <v>180</v>
      </c>
      <c r="L124" s="6" t="n">
        <f aca="false">H124*K124</f>
        <v>180</v>
      </c>
      <c r="M124" s="14" t="s">
        <v>410</v>
      </c>
    </row>
    <row r="125" customFormat="false" ht="15" hidden="false" customHeight="false" outlineLevel="0" collapsed="false">
      <c r="A125" s="4" t="s">
        <v>13</v>
      </c>
      <c r="B125" s="5" t="s">
        <v>27</v>
      </c>
      <c r="C125" s="5" t="s">
        <v>28</v>
      </c>
      <c r="D125" s="4" t="s">
        <v>22</v>
      </c>
      <c r="E125" s="4" t="s">
        <v>660</v>
      </c>
      <c r="F125" s="4" t="s">
        <v>406</v>
      </c>
      <c r="G125" s="4" t="s">
        <v>661</v>
      </c>
      <c r="H125" s="12" t="n">
        <v>1</v>
      </c>
      <c r="I125" s="4" t="s">
        <v>408</v>
      </c>
      <c r="J125" s="4" t="s">
        <v>409</v>
      </c>
      <c r="K125" s="13" t="n">
        <v>1800</v>
      </c>
      <c r="L125" s="6" t="n">
        <f aca="false">H125*K125</f>
        <v>1800</v>
      </c>
      <c r="M125" s="14" t="s">
        <v>410</v>
      </c>
    </row>
    <row r="126" customFormat="false" ht="15" hidden="false" customHeight="false" outlineLevel="0" collapsed="false">
      <c r="A126" s="4" t="s">
        <v>13</v>
      </c>
      <c r="B126" s="5" t="s">
        <v>27</v>
      </c>
      <c r="C126" s="5" t="s">
        <v>28</v>
      </c>
      <c r="D126" s="4" t="s">
        <v>22</v>
      </c>
      <c r="E126" s="4" t="s">
        <v>662</v>
      </c>
      <c r="F126" s="4" t="s">
        <v>406</v>
      </c>
      <c r="G126" s="4" t="s">
        <v>663</v>
      </c>
      <c r="H126" s="12" t="n">
        <v>1</v>
      </c>
      <c r="I126" s="4" t="s">
        <v>408</v>
      </c>
      <c r="J126" s="4" t="s">
        <v>416</v>
      </c>
      <c r="K126" s="13" t="n">
        <v>2500</v>
      </c>
      <c r="L126" s="6" t="n">
        <f aca="false">H126*K126</f>
        <v>2500</v>
      </c>
      <c r="M126" s="14" t="s">
        <v>410</v>
      </c>
    </row>
    <row r="127" customFormat="false" ht="15" hidden="false" customHeight="false" outlineLevel="0" collapsed="false">
      <c r="A127" s="4" t="s">
        <v>13</v>
      </c>
      <c r="B127" s="5" t="s">
        <v>27</v>
      </c>
      <c r="C127" s="5" t="s">
        <v>28</v>
      </c>
      <c r="D127" s="4" t="s">
        <v>22</v>
      </c>
      <c r="E127" s="4" t="s">
        <v>562</v>
      </c>
      <c r="F127" s="4" t="s">
        <v>406</v>
      </c>
      <c r="G127" s="4" t="s">
        <v>563</v>
      </c>
      <c r="H127" s="12" t="n">
        <v>1</v>
      </c>
      <c r="I127" s="4" t="s">
        <v>408</v>
      </c>
      <c r="J127" s="4" t="s">
        <v>409</v>
      </c>
      <c r="K127" s="13" t="n">
        <v>3500</v>
      </c>
      <c r="L127" s="6" t="n">
        <f aca="false">H127*K127</f>
        <v>3500</v>
      </c>
      <c r="M127" s="14" t="s">
        <v>410</v>
      </c>
    </row>
    <row r="128" customFormat="false" ht="15" hidden="false" customHeight="false" outlineLevel="0" collapsed="false">
      <c r="A128" s="4" t="s">
        <v>13</v>
      </c>
      <c r="B128" s="5" t="s">
        <v>27</v>
      </c>
      <c r="C128" s="5" t="s">
        <v>28</v>
      </c>
      <c r="D128" s="4" t="s">
        <v>22</v>
      </c>
      <c r="E128" s="4" t="s">
        <v>664</v>
      </c>
      <c r="F128" s="4" t="s">
        <v>406</v>
      </c>
      <c r="G128" s="4" t="s">
        <v>665</v>
      </c>
      <c r="H128" s="12" t="n">
        <v>1</v>
      </c>
      <c r="I128" s="4" t="s">
        <v>408</v>
      </c>
      <c r="J128" s="4" t="s">
        <v>409</v>
      </c>
      <c r="K128" s="13" t="n">
        <v>3500</v>
      </c>
      <c r="L128" s="6" t="n">
        <f aca="false">H128*K128</f>
        <v>3500</v>
      </c>
      <c r="M128" s="14" t="s">
        <v>410</v>
      </c>
    </row>
    <row r="129" customFormat="false" ht="15" hidden="false" customHeight="false" outlineLevel="0" collapsed="false">
      <c r="A129" s="4" t="s">
        <v>13</v>
      </c>
      <c r="B129" s="5" t="s">
        <v>27</v>
      </c>
      <c r="C129" s="5" t="s">
        <v>28</v>
      </c>
      <c r="D129" s="4" t="s">
        <v>22</v>
      </c>
      <c r="E129" s="4" t="s">
        <v>666</v>
      </c>
      <c r="F129" s="4" t="s">
        <v>406</v>
      </c>
      <c r="G129" s="4" t="s">
        <v>667</v>
      </c>
      <c r="H129" s="12" t="n">
        <v>1</v>
      </c>
      <c r="I129" s="4" t="s">
        <v>408</v>
      </c>
      <c r="J129" s="4" t="s">
        <v>409</v>
      </c>
      <c r="K129" s="13" t="n">
        <v>1200</v>
      </c>
      <c r="L129" s="6" t="n">
        <f aca="false">H129*K129</f>
        <v>1200</v>
      </c>
      <c r="M129" s="14" t="s">
        <v>410</v>
      </c>
    </row>
    <row r="130" customFormat="false" ht="15" hidden="false" customHeight="false" outlineLevel="0" collapsed="false">
      <c r="A130" s="4" t="s">
        <v>13</v>
      </c>
      <c r="B130" s="5" t="s">
        <v>27</v>
      </c>
      <c r="C130" s="5" t="s">
        <v>28</v>
      </c>
      <c r="D130" s="4" t="s">
        <v>22</v>
      </c>
      <c r="E130" s="4" t="s">
        <v>668</v>
      </c>
      <c r="F130" s="4" t="s">
        <v>406</v>
      </c>
      <c r="G130" s="4" t="s">
        <v>669</v>
      </c>
      <c r="H130" s="12" t="n">
        <v>1</v>
      </c>
      <c r="I130" s="4" t="s">
        <v>408</v>
      </c>
      <c r="J130" s="4" t="s">
        <v>409</v>
      </c>
      <c r="K130" s="13" t="n">
        <v>450</v>
      </c>
      <c r="L130" s="6" t="n">
        <f aca="false">H130*K130</f>
        <v>450</v>
      </c>
      <c r="M130" s="14" t="s">
        <v>410</v>
      </c>
    </row>
    <row r="131" customFormat="false" ht="15" hidden="false" customHeight="false" outlineLevel="0" collapsed="false">
      <c r="A131" s="4" t="s">
        <v>13</v>
      </c>
      <c r="B131" s="5" t="s">
        <v>27</v>
      </c>
      <c r="C131" s="5" t="s">
        <v>28</v>
      </c>
      <c r="D131" s="4" t="s">
        <v>22</v>
      </c>
      <c r="E131" s="4" t="s">
        <v>670</v>
      </c>
      <c r="F131" s="4" t="s">
        <v>406</v>
      </c>
      <c r="G131" s="4" t="s">
        <v>671</v>
      </c>
      <c r="H131" s="12" t="n">
        <v>1</v>
      </c>
      <c r="I131" s="4" t="s">
        <v>408</v>
      </c>
      <c r="J131" s="4" t="s">
        <v>409</v>
      </c>
      <c r="K131" s="13" t="n">
        <v>2500</v>
      </c>
      <c r="L131" s="6" t="n">
        <f aca="false">H131*K131</f>
        <v>2500</v>
      </c>
      <c r="M131" s="14" t="s">
        <v>410</v>
      </c>
    </row>
    <row r="132" customFormat="false" ht="15" hidden="false" customHeight="false" outlineLevel="0" collapsed="false">
      <c r="A132" s="4" t="s">
        <v>13</v>
      </c>
      <c r="B132" s="5" t="s">
        <v>27</v>
      </c>
      <c r="C132" s="5" t="s">
        <v>28</v>
      </c>
      <c r="D132" s="4" t="s">
        <v>22</v>
      </c>
      <c r="E132" s="4" t="s">
        <v>672</v>
      </c>
      <c r="F132" s="4" t="s">
        <v>406</v>
      </c>
      <c r="G132" s="4" t="s">
        <v>673</v>
      </c>
      <c r="H132" s="12" t="n">
        <v>1</v>
      </c>
      <c r="I132" s="4" t="s">
        <v>408</v>
      </c>
      <c r="J132" s="4" t="s">
        <v>409</v>
      </c>
      <c r="K132" s="13" t="n">
        <v>450</v>
      </c>
      <c r="L132" s="6" t="n">
        <f aca="false">H132*K132</f>
        <v>450</v>
      </c>
      <c r="M132" s="14" t="s">
        <v>410</v>
      </c>
    </row>
    <row r="133" customFormat="false" ht="15" hidden="false" customHeight="false" outlineLevel="0" collapsed="false">
      <c r="A133" s="4" t="s">
        <v>13</v>
      </c>
      <c r="B133" s="5" t="s">
        <v>27</v>
      </c>
      <c r="C133" s="5" t="s">
        <v>28</v>
      </c>
      <c r="D133" s="4" t="s">
        <v>22</v>
      </c>
      <c r="E133" s="4" t="s">
        <v>674</v>
      </c>
      <c r="F133" s="4" t="s">
        <v>406</v>
      </c>
      <c r="G133" s="4" t="s">
        <v>675</v>
      </c>
      <c r="H133" s="12" t="n">
        <v>1</v>
      </c>
      <c r="I133" s="4" t="s">
        <v>408</v>
      </c>
      <c r="J133" s="4" t="s">
        <v>409</v>
      </c>
      <c r="K133" s="13" t="n">
        <v>18000</v>
      </c>
      <c r="L133" s="6" t="n">
        <f aca="false">H133*K133</f>
        <v>18000</v>
      </c>
      <c r="M133" s="14" t="s">
        <v>410</v>
      </c>
    </row>
    <row r="134" customFormat="false" ht="15" hidden="false" customHeight="false" outlineLevel="0" collapsed="false">
      <c r="A134" s="4" t="s">
        <v>13</v>
      </c>
      <c r="B134" s="5" t="s">
        <v>27</v>
      </c>
      <c r="C134" s="5" t="s">
        <v>28</v>
      </c>
      <c r="D134" s="4" t="s">
        <v>22</v>
      </c>
      <c r="E134" s="4" t="s">
        <v>676</v>
      </c>
      <c r="F134" s="4" t="s">
        <v>406</v>
      </c>
      <c r="G134" s="4" t="s">
        <v>677</v>
      </c>
      <c r="H134" s="12" t="n">
        <v>1</v>
      </c>
      <c r="I134" s="4" t="s">
        <v>408</v>
      </c>
      <c r="J134" s="4" t="s">
        <v>409</v>
      </c>
      <c r="K134" s="13" t="n">
        <v>18000</v>
      </c>
      <c r="L134" s="6" t="n">
        <f aca="false">H134*K134</f>
        <v>18000</v>
      </c>
      <c r="M134" s="14" t="s">
        <v>410</v>
      </c>
    </row>
    <row r="135" customFormat="false" ht="15" hidden="false" customHeight="false" outlineLevel="0" collapsed="false">
      <c r="A135" s="4" t="s">
        <v>13</v>
      </c>
      <c r="B135" s="5" t="s">
        <v>27</v>
      </c>
      <c r="C135" s="5" t="s">
        <v>28</v>
      </c>
      <c r="D135" s="4" t="s">
        <v>22</v>
      </c>
      <c r="E135" s="4" t="s">
        <v>678</v>
      </c>
      <c r="F135" s="4" t="s">
        <v>406</v>
      </c>
      <c r="G135" s="4" t="s">
        <v>679</v>
      </c>
      <c r="H135" s="12" t="n">
        <v>1</v>
      </c>
      <c r="I135" s="4" t="s">
        <v>408</v>
      </c>
      <c r="J135" s="4" t="s">
        <v>409</v>
      </c>
      <c r="K135" s="13" t="n">
        <v>18000</v>
      </c>
      <c r="L135" s="6" t="n">
        <f aca="false">H135*K135</f>
        <v>18000</v>
      </c>
      <c r="M135" s="14" t="s">
        <v>410</v>
      </c>
    </row>
    <row r="136" customFormat="false" ht="15" hidden="false" customHeight="false" outlineLevel="0" collapsed="false">
      <c r="A136" s="4" t="s">
        <v>13</v>
      </c>
      <c r="B136" s="5" t="s">
        <v>27</v>
      </c>
      <c r="C136" s="5" t="s">
        <v>28</v>
      </c>
      <c r="D136" s="4" t="s">
        <v>22</v>
      </c>
      <c r="E136" s="4" t="s">
        <v>680</v>
      </c>
      <c r="F136" s="4" t="s">
        <v>406</v>
      </c>
      <c r="G136" s="4" t="s">
        <v>681</v>
      </c>
      <c r="H136" s="12" t="n">
        <v>1</v>
      </c>
      <c r="I136" s="4" t="s">
        <v>408</v>
      </c>
      <c r="J136" s="4" t="s">
        <v>409</v>
      </c>
      <c r="K136" s="13" t="n">
        <v>18000</v>
      </c>
      <c r="L136" s="6" t="n">
        <f aca="false">H136*K136</f>
        <v>18000</v>
      </c>
      <c r="M136" s="14" t="s">
        <v>410</v>
      </c>
    </row>
    <row r="137" customFormat="false" ht="15" hidden="false" customHeight="false" outlineLevel="0" collapsed="false">
      <c r="A137" s="4" t="s">
        <v>13</v>
      </c>
      <c r="B137" s="5" t="s">
        <v>27</v>
      </c>
      <c r="C137" s="5" t="s">
        <v>28</v>
      </c>
      <c r="D137" s="4" t="s">
        <v>22</v>
      </c>
      <c r="E137" s="4" t="s">
        <v>682</v>
      </c>
      <c r="F137" s="4" t="s">
        <v>406</v>
      </c>
      <c r="G137" s="4" t="s">
        <v>683</v>
      </c>
      <c r="H137" s="12" t="n">
        <v>1</v>
      </c>
      <c r="I137" s="4" t="s">
        <v>408</v>
      </c>
      <c r="J137" s="4" t="s">
        <v>409</v>
      </c>
      <c r="K137" s="13" t="n">
        <v>1800</v>
      </c>
      <c r="L137" s="6" t="n">
        <f aca="false">H137*K137</f>
        <v>1800</v>
      </c>
      <c r="M137" s="14" t="s">
        <v>410</v>
      </c>
    </row>
    <row r="138" customFormat="false" ht="15" hidden="false" customHeight="false" outlineLevel="0" collapsed="false">
      <c r="A138" s="4" t="s">
        <v>13</v>
      </c>
      <c r="B138" s="5" t="s">
        <v>27</v>
      </c>
      <c r="C138" s="5" t="s">
        <v>28</v>
      </c>
      <c r="D138" s="4" t="s">
        <v>22</v>
      </c>
      <c r="E138" s="4" t="s">
        <v>684</v>
      </c>
      <c r="F138" s="4" t="s">
        <v>406</v>
      </c>
      <c r="G138" s="4" t="s">
        <v>685</v>
      </c>
      <c r="H138" s="12" t="n">
        <v>1</v>
      </c>
      <c r="I138" s="4" t="s">
        <v>408</v>
      </c>
      <c r="J138" s="4" t="s">
        <v>409</v>
      </c>
      <c r="K138" s="13" t="n">
        <v>6500</v>
      </c>
      <c r="L138" s="6" t="n">
        <f aca="false">H138*K138</f>
        <v>6500</v>
      </c>
      <c r="M138" s="14" t="s">
        <v>410</v>
      </c>
    </row>
    <row r="139" customFormat="false" ht="15" hidden="false" customHeight="false" outlineLevel="0" collapsed="false">
      <c r="A139" s="4" t="s">
        <v>13</v>
      </c>
      <c r="B139" s="5" t="s">
        <v>27</v>
      </c>
      <c r="C139" s="5" t="s">
        <v>28</v>
      </c>
      <c r="D139" s="4" t="s">
        <v>22</v>
      </c>
      <c r="E139" s="4" t="s">
        <v>566</v>
      </c>
      <c r="F139" s="4" t="s">
        <v>406</v>
      </c>
      <c r="G139" s="4" t="s">
        <v>567</v>
      </c>
      <c r="H139" s="12" t="n">
        <v>1</v>
      </c>
      <c r="I139" s="4" t="s">
        <v>408</v>
      </c>
      <c r="J139" s="4" t="s">
        <v>413</v>
      </c>
      <c r="K139" s="13" t="n">
        <v>4500</v>
      </c>
      <c r="L139" s="6" t="n">
        <f aca="false">H139*K139</f>
        <v>4500</v>
      </c>
      <c r="M139" s="14" t="s">
        <v>410</v>
      </c>
    </row>
    <row r="140" customFormat="false" ht="15" hidden="false" customHeight="false" outlineLevel="0" collapsed="false">
      <c r="A140" s="4" t="s">
        <v>13</v>
      </c>
      <c r="B140" s="5" t="s">
        <v>27</v>
      </c>
      <c r="C140" s="5" t="s">
        <v>28</v>
      </c>
      <c r="D140" s="4" t="s">
        <v>22</v>
      </c>
      <c r="E140" s="4" t="s">
        <v>568</v>
      </c>
      <c r="F140" s="4" t="s">
        <v>406</v>
      </c>
      <c r="G140" s="4" t="s">
        <v>569</v>
      </c>
      <c r="H140" s="12" t="n">
        <v>1</v>
      </c>
      <c r="I140" s="4" t="s">
        <v>408</v>
      </c>
      <c r="J140" s="4" t="s">
        <v>409</v>
      </c>
      <c r="K140" s="13" t="n">
        <v>350</v>
      </c>
      <c r="L140" s="6" t="n">
        <f aca="false">H140*K140</f>
        <v>350</v>
      </c>
      <c r="M140" s="14" t="s">
        <v>410</v>
      </c>
    </row>
    <row r="141" customFormat="false" ht="15" hidden="false" customHeight="false" outlineLevel="0" collapsed="false">
      <c r="A141" s="4" t="s">
        <v>13</v>
      </c>
      <c r="B141" s="5" t="s">
        <v>27</v>
      </c>
      <c r="C141" s="5" t="s">
        <v>28</v>
      </c>
      <c r="D141" s="4" t="s">
        <v>22</v>
      </c>
      <c r="E141" s="4" t="s">
        <v>570</v>
      </c>
      <c r="F141" s="4" t="s">
        <v>406</v>
      </c>
      <c r="G141" s="4" t="s">
        <v>571</v>
      </c>
      <c r="H141" s="12" t="n">
        <v>1</v>
      </c>
      <c r="I141" s="4" t="s">
        <v>408</v>
      </c>
      <c r="J141" s="4" t="s">
        <v>409</v>
      </c>
      <c r="K141" s="13" t="n">
        <v>6500</v>
      </c>
      <c r="L141" s="6" t="n">
        <f aca="false">H141*K141</f>
        <v>6500</v>
      </c>
      <c r="M141" s="14" t="s">
        <v>410</v>
      </c>
    </row>
    <row r="142" customFormat="false" ht="15" hidden="false" customHeight="false" outlineLevel="0" collapsed="false">
      <c r="A142" s="4" t="s">
        <v>13</v>
      </c>
      <c r="B142" s="5" t="s">
        <v>27</v>
      </c>
      <c r="C142" s="5" t="s">
        <v>28</v>
      </c>
      <c r="D142" s="4" t="s">
        <v>22</v>
      </c>
      <c r="E142" s="4" t="s">
        <v>572</v>
      </c>
      <c r="F142" s="4" t="s">
        <v>406</v>
      </c>
      <c r="G142" s="4" t="s">
        <v>573</v>
      </c>
      <c r="H142" s="12" t="n">
        <v>1</v>
      </c>
      <c r="I142" s="4" t="s">
        <v>408</v>
      </c>
      <c r="J142" s="4" t="s">
        <v>409</v>
      </c>
      <c r="K142" s="13" t="n">
        <v>2500</v>
      </c>
      <c r="L142" s="6" t="n">
        <f aca="false">H142*K142</f>
        <v>2500</v>
      </c>
      <c r="M142" s="14" t="s">
        <v>410</v>
      </c>
    </row>
    <row r="143" customFormat="false" ht="15" hidden="false" customHeight="false" outlineLevel="0" collapsed="false">
      <c r="A143" s="4" t="s">
        <v>13</v>
      </c>
      <c r="B143" s="5" t="s">
        <v>27</v>
      </c>
      <c r="C143" s="5" t="s">
        <v>28</v>
      </c>
      <c r="D143" s="4" t="s">
        <v>22</v>
      </c>
      <c r="E143" s="4" t="s">
        <v>576</v>
      </c>
      <c r="F143" s="4" t="s">
        <v>406</v>
      </c>
      <c r="G143" s="4" t="s">
        <v>577</v>
      </c>
      <c r="H143" s="12" t="n">
        <v>1</v>
      </c>
      <c r="I143" s="4" t="s">
        <v>408</v>
      </c>
      <c r="J143" s="4" t="s">
        <v>543</v>
      </c>
      <c r="K143" s="13" t="n">
        <v>8500</v>
      </c>
      <c r="L143" s="6" t="n">
        <f aca="false">H143*K143</f>
        <v>8500</v>
      </c>
      <c r="M143" s="14" t="s">
        <v>410</v>
      </c>
    </row>
    <row r="144" customFormat="false" ht="15" hidden="false" customHeight="false" outlineLevel="0" collapsed="false">
      <c r="A144" s="4" t="s">
        <v>13</v>
      </c>
      <c r="B144" s="5" t="s">
        <v>27</v>
      </c>
      <c r="C144" s="5" t="s">
        <v>28</v>
      </c>
      <c r="D144" s="4" t="s">
        <v>22</v>
      </c>
      <c r="E144" s="4" t="s">
        <v>686</v>
      </c>
      <c r="F144" s="4" t="s">
        <v>406</v>
      </c>
      <c r="G144" s="4" t="s">
        <v>687</v>
      </c>
      <c r="H144" s="12" t="n">
        <v>1</v>
      </c>
      <c r="I144" s="4" t="s">
        <v>408</v>
      </c>
      <c r="J144" s="4" t="s">
        <v>409</v>
      </c>
      <c r="K144" s="13" t="n">
        <v>850</v>
      </c>
      <c r="L144" s="6" t="n">
        <f aca="false">H144*K144</f>
        <v>850</v>
      </c>
      <c r="M144" s="14" t="s">
        <v>410</v>
      </c>
    </row>
    <row r="145" customFormat="false" ht="15" hidden="false" customHeight="false" outlineLevel="0" collapsed="false">
      <c r="A145" s="4" t="s">
        <v>13</v>
      </c>
      <c r="B145" s="5" t="s">
        <v>27</v>
      </c>
      <c r="C145" s="5" t="s">
        <v>28</v>
      </c>
      <c r="D145" s="4" t="s">
        <v>22</v>
      </c>
      <c r="E145" s="4" t="s">
        <v>578</v>
      </c>
      <c r="F145" s="4" t="s">
        <v>406</v>
      </c>
      <c r="G145" s="4" t="s">
        <v>579</v>
      </c>
      <c r="H145" s="12" t="n">
        <v>1</v>
      </c>
      <c r="I145" s="4" t="s">
        <v>408</v>
      </c>
      <c r="J145" s="4" t="s">
        <v>543</v>
      </c>
      <c r="K145" s="13" t="n">
        <v>4500</v>
      </c>
      <c r="L145" s="6" t="n">
        <f aca="false">H145*K145</f>
        <v>4500</v>
      </c>
      <c r="M145" s="14" t="s">
        <v>410</v>
      </c>
    </row>
    <row r="146" customFormat="false" ht="15" hidden="false" customHeight="false" outlineLevel="0" collapsed="false">
      <c r="A146" s="4" t="s">
        <v>13</v>
      </c>
      <c r="B146" s="5" t="s">
        <v>27</v>
      </c>
      <c r="C146" s="5" t="s">
        <v>28</v>
      </c>
      <c r="D146" s="4" t="s">
        <v>22</v>
      </c>
      <c r="E146" s="4" t="s">
        <v>580</v>
      </c>
      <c r="F146" s="4" t="s">
        <v>406</v>
      </c>
      <c r="G146" s="4" t="s">
        <v>581</v>
      </c>
      <c r="H146" s="12" t="n">
        <v>1</v>
      </c>
      <c r="I146" s="4" t="s">
        <v>408</v>
      </c>
      <c r="J146" s="4" t="s">
        <v>409</v>
      </c>
      <c r="K146" s="13" t="n">
        <v>18000</v>
      </c>
      <c r="L146" s="6" t="n">
        <f aca="false">H146*K146</f>
        <v>18000</v>
      </c>
      <c r="M146" s="14" t="s">
        <v>410</v>
      </c>
    </row>
    <row r="147" customFormat="false" ht="15" hidden="false" customHeight="false" outlineLevel="0" collapsed="false">
      <c r="A147" s="4" t="s">
        <v>13</v>
      </c>
      <c r="B147" s="5" t="s">
        <v>27</v>
      </c>
      <c r="C147" s="5" t="s">
        <v>28</v>
      </c>
      <c r="D147" s="4" t="s">
        <v>22</v>
      </c>
      <c r="E147" s="4" t="s">
        <v>582</v>
      </c>
      <c r="F147" s="4" t="s">
        <v>406</v>
      </c>
      <c r="G147" s="4" t="s">
        <v>583</v>
      </c>
      <c r="H147" s="12" t="n">
        <v>1</v>
      </c>
      <c r="I147" s="4" t="s">
        <v>408</v>
      </c>
      <c r="J147" s="4" t="s">
        <v>409</v>
      </c>
      <c r="K147" s="13" t="n">
        <v>18000</v>
      </c>
      <c r="L147" s="6" t="n">
        <f aca="false">H147*K147</f>
        <v>18000</v>
      </c>
      <c r="M147" s="14" t="s">
        <v>410</v>
      </c>
    </row>
    <row r="148" customFormat="false" ht="15" hidden="false" customHeight="false" outlineLevel="0" collapsed="false">
      <c r="A148" s="4" t="s">
        <v>13</v>
      </c>
      <c r="B148" s="5" t="s">
        <v>27</v>
      </c>
      <c r="C148" s="5" t="s">
        <v>28</v>
      </c>
      <c r="D148" s="4" t="s">
        <v>22</v>
      </c>
      <c r="E148" s="4" t="s">
        <v>688</v>
      </c>
      <c r="F148" s="4" t="s">
        <v>406</v>
      </c>
      <c r="G148" s="4" t="s">
        <v>689</v>
      </c>
      <c r="H148" s="12" t="n">
        <v>1</v>
      </c>
      <c r="I148" s="4" t="s">
        <v>408</v>
      </c>
      <c r="J148" s="4" t="s">
        <v>409</v>
      </c>
      <c r="K148" s="13" t="n">
        <v>18000</v>
      </c>
      <c r="L148" s="6" t="n">
        <f aca="false">H148*K148</f>
        <v>18000</v>
      </c>
      <c r="M148" s="14" t="s">
        <v>410</v>
      </c>
    </row>
    <row r="149" customFormat="false" ht="15" hidden="false" customHeight="false" outlineLevel="0" collapsed="false">
      <c r="A149" s="4" t="s">
        <v>13</v>
      </c>
      <c r="B149" s="5" t="s">
        <v>27</v>
      </c>
      <c r="C149" s="5" t="s">
        <v>28</v>
      </c>
      <c r="D149" s="4" t="s">
        <v>22</v>
      </c>
      <c r="E149" s="4" t="s">
        <v>690</v>
      </c>
      <c r="F149" s="4" t="s">
        <v>406</v>
      </c>
      <c r="G149" s="4" t="s">
        <v>691</v>
      </c>
      <c r="H149" s="12" t="n">
        <v>1</v>
      </c>
      <c r="I149" s="4" t="s">
        <v>408</v>
      </c>
      <c r="J149" s="4" t="s">
        <v>409</v>
      </c>
      <c r="K149" s="13" t="n">
        <v>8500</v>
      </c>
      <c r="L149" s="6" t="n">
        <f aca="false">H149*K149</f>
        <v>8500</v>
      </c>
      <c r="M149" s="14" t="s">
        <v>410</v>
      </c>
    </row>
    <row r="150" customFormat="false" ht="15" hidden="false" customHeight="false" outlineLevel="0" collapsed="false">
      <c r="A150" s="4" t="s">
        <v>13</v>
      </c>
      <c r="B150" s="5" t="s">
        <v>27</v>
      </c>
      <c r="C150" s="5" t="s">
        <v>28</v>
      </c>
      <c r="D150" s="4" t="s">
        <v>22</v>
      </c>
      <c r="E150" s="4" t="s">
        <v>590</v>
      </c>
      <c r="F150" s="4" t="s">
        <v>406</v>
      </c>
      <c r="G150" s="4" t="s">
        <v>591</v>
      </c>
      <c r="H150" s="12" t="n">
        <v>1</v>
      </c>
      <c r="I150" s="4" t="s">
        <v>408</v>
      </c>
      <c r="J150" s="4" t="s">
        <v>543</v>
      </c>
      <c r="K150" s="13" t="n">
        <v>4500</v>
      </c>
      <c r="L150" s="6" t="n">
        <f aca="false">H150*K150</f>
        <v>4500</v>
      </c>
      <c r="M150" s="14" t="s">
        <v>410</v>
      </c>
    </row>
    <row r="151" customFormat="false" ht="15" hidden="false" customHeight="false" outlineLevel="0" collapsed="false">
      <c r="A151" s="4" t="s">
        <v>13</v>
      </c>
      <c r="B151" s="5" t="s">
        <v>27</v>
      </c>
      <c r="C151" s="5" t="s">
        <v>28</v>
      </c>
      <c r="D151" s="4" t="s">
        <v>22</v>
      </c>
      <c r="E151" s="4" t="s">
        <v>692</v>
      </c>
      <c r="F151" s="4" t="s">
        <v>406</v>
      </c>
      <c r="G151" s="4" t="s">
        <v>693</v>
      </c>
      <c r="H151" s="12" t="n">
        <v>1</v>
      </c>
      <c r="I151" s="4" t="s">
        <v>408</v>
      </c>
      <c r="J151" s="4" t="s">
        <v>409</v>
      </c>
      <c r="K151" s="13" t="n">
        <v>180000</v>
      </c>
      <c r="L151" s="6" t="n">
        <f aca="false">H151*K151</f>
        <v>180000</v>
      </c>
      <c r="M151" s="14" t="s">
        <v>410</v>
      </c>
    </row>
    <row r="152" customFormat="false" ht="15" hidden="false" customHeight="false" outlineLevel="0" collapsed="false">
      <c r="A152" s="4" t="s">
        <v>13</v>
      </c>
      <c r="B152" s="5" t="s">
        <v>27</v>
      </c>
      <c r="C152" s="5" t="s">
        <v>28</v>
      </c>
      <c r="D152" s="4" t="s">
        <v>22</v>
      </c>
      <c r="E152" s="4" t="s">
        <v>694</v>
      </c>
      <c r="F152" s="4" t="s">
        <v>406</v>
      </c>
      <c r="G152" s="4" t="s">
        <v>695</v>
      </c>
      <c r="H152" s="12" t="n">
        <v>1</v>
      </c>
      <c r="I152" s="4" t="s">
        <v>408</v>
      </c>
      <c r="J152" s="4" t="s">
        <v>409</v>
      </c>
      <c r="K152" s="13" t="n">
        <v>180000</v>
      </c>
      <c r="L152" s="6" t="n">
        <f aca="false">H152*K152</f>
        <v>180000</v>
      </c>
      <c r="M152" s="14" t="s">
        <v>410</v>
      </c>
    </row>
    <row r="153" customFormat="false" ht="15" hidden="false" customHeight="false" outlineLevel="0" collapsed="false">
      <c r="A153" s="4" t="s">
        <v>13</v>
      </c>
      <c r="B153" s="5" t="s">
        <v>27</v>
      </c>
      <c r="C153" s="5" t="s">
        <v>28</v>
      </c>
      <c r="D153" s="4" t="s">
        <v>22</v>
      </c>
      <c r="E153" s="4" t="s">
        <v>592</v>
      </c>
      <c r="F153" s="4" t="s">
        <v>488</v>
      </c>
      <c r="G153" s="4" t="s">
        <v>593</v>
      </c>
      <c r="H153" s="12" t="n">
        <v>1</v>
      </c>
      <c r="I153" s="4" t="s">
        <v>408</v>
      </c>
      <c r="J153" s="4" t="s">
        <v>432</v>
      </c>
      <c r="K153" s="13" t="n">
        <v>8</v>
      </c>
      <c r="L153" s="6" t="n">
        <f aca="false">H153*K153</f>
        <v>8</v>
      </c>
      <c r="M153" s="4" t="s">
        <v>371</v>
      </c>
    </row>
    <row r="154" customFormat="false" ht="15" hidden="false" customHeight="false" outlineLevel="0" collapsed="false">
      <c r="A154" s="4" t="s">
        <v>13</v>
      </c>
      <c r="B154" s="5" t="s">
        <v>27</v>
      </c>
      <c r="C154" s="5" t="s">
        <v>28</v>
      </c>
      <c r="D154" s="4" t="s">
        <v>22</v>
      </c>
      <c r="E154" s="4" t="s">
        <v>594</v>
      </c>
      <c r="F154" s="4" t="s">
        <v>488</v>
      </c>
      <c r="G154" s="4" t="s">
        <v>595</v>
      </c>
      <c r="H154" s="12" t="n">
        <v>1</v>
      </c>
      <c r="I154" s="4" t="s">
        <v>408</v>
      </c>
      <c r="J154" s="4" t="s">
        <v>432</v>
      </c>
      <c r="K154" s="13" t="n">
        <v>65</v>
      </c>
      <c r="L154" s="6" t="n">
        <f aca="false">H154*K154</f>
        <v>65</v>
      </c>
      <c r="M154" s="4" t="s">
        <v>371</v>
      </c>
    </row>
    <row r="155" customFormat="false" ht="15" hidden="false" customHeight="false" outlineLevel="0" collapsed="false">
      <c r="A155" s="4" t="s">
        <v>13</v>
      </c>
      <c r="B155" s="5" t="s">
        <v>27</v>
      </c>
      <c r="C155" s="5" t="s">
        <v>28</v>
      </c>
      <c r="D155" s="4" t="s">
        <v>22</v>
      </c>
      <c r="E155" s="4" t="s">
        <v>596</v>
      </c>
      <c r="F155" s="4" t="s">
        <v>488</v>
      </c>
      <c r="G155" s="4" t="s">
        <v>597</v>
      </c>
      <c r="H155" s="12" t="n">
        <v>1</v>
      </c>
      <c r="I155" s="4" t="s">
        <v>408</v>
      </c>
      <c r="J155" s="4" t="s">
        <v>490</v>
      </c>
      <c r="K155" s="13" t="n">
        <v>450</v>
      </c>
      <c r="L155" s="6" t="n">
        <f aca="false">H155*K155</f>
        <v>450</v>
      </c>
      <c r="M155" s="4" t="s">
        <v>371</v>
      </c>
    </row>
    <row r="156" customFormat="false" ht="15" hidden="false" customHeight="false" outlineLevel="0" collapsed="false">
      <c r="A156" s="4" t="s">
        <v>13</v>
      </c>
      <c r="B156" s="5" t="s">
        <v>27</v>
      </c>
      <c r="C156" s="5" t="s">
        <v>28</v>
      </c>
      <c r="D156" s="4" t="s">
        <v>22</v>
      </c>
      <c r="E156" s="4" t="s">
        <v>598</v>
      </c>
      <c r="F156" s="4" t="s">
        <v>488</v>
      </c>
      <c r="G156" s="4" t="s">
        <v>599</v>
      </c>
      <c r="H156" s="12" t="n">
        <v>1</v>
      </c>
      <c r="I156" s="4" t="s">
        <v>408</v>
      </c>
      <c r="J156" s="4" t="s">
        <v>506</v>
      </c>
      <c r="K156" s="13" t="n">
        <v>350</v>
      </c>
      <c r="L156" s="6" t="n">
        <f aca="false">H156*K156</f>
        <v>350</v>
      </c>
      <c r="M156" s="4" t="s">
        <v>371</v>
      </c>
    </row>
    <row r="157" customFormat="false" ht="15" hidden="false" customHeight="false" outlineLevel="0" collapsed="false">
      <c r="A157" s="4" t="s">
        <v>13</v>
      </c>
      <c r="B157" s="5" t="s">
        <v>27</v>
      </c>
      <c r="C157" s="5" t="s">
        <v>28</v>
      </c>
      <c r="D157" s="4" t="s">
        <v>22</v>
      </c>
      <c r="E157" s="4" t="s">
        <v>560</v>
      </c>
      <c r="F157" s="4" t="s">
        <v>470</v>
      </c>
      <c r="G157" s="4" t="s">
        <v>561</v>
      </c>
      <c r="H157" s="12" t="n">
        <v>1</v>
      </c>
      <c r="I157" s="4" t="s">
        <v>408</v>
      </c>
      <c r="J157" s="4" t="s">
        <v>409</v>
      </c>
      <c r="K157" s="13" t="n">
        <v>250</v>
      </c>
      <c r="L157" s="6" t="n">
        <f aca="false">H157*K157</f>
        <v>250</v>
      </c>
      <c r="M157" s="14" t="s">
        <v>410</v>
      </c>
    </row>
    <row r="158" customFormat="false" ht="15" hidden="false" customHeight="false" outlineLevel="0" collapsed="false">
      <c r="A158" s="4" t="s">
        <v>13</v>
      </c>
      <c r="B158" s="5" t="s">
        <v>32</v>
      </c>
      <c r="C158" s="5" t="s">
        <v>33</v>
      </c>
      <c r="D158" s="4" t="s">
        <v>22</v>
      </c>
      <c r="E158" s="4" t="s">
        <v>405</v>
      </c>
      <c r="F158" s="4" t="s">
        <v>406</v>
      </c>
      <c r="G158" s="4" t="s">
        <v>407</v>
      </c>
      <c r="H158" s="12" t="n">
        <v>1</v>
      </c>
      <c r="I158" s="4" t="s">
        <v>408</v>
      </c>
      <c r="J158" s="4" t="s">
        <v>409</v>
      </c>
      <c r="K158" s="13" t="n">
        <v>8500</v>
      </c>
      <c r="L158" s="6" t="n">
        <f aca="false">H158*K158</f>
        <v>8500</v>
      </c>
      <c r="M158" s="14" t="s">
        <v>410</v>
      </c>
    </row>
    <row r="159" customFormat="false" ht="15" hidden="false" customHeight="false" outlineLevel="0" collapsed="false">
      <c r="A159" s="4" t="s">
        <v>13</v>
      </c>
      <c r="B159" s="5" t="s">
        <v>32</v>
      </c>
      <c r="C159" s="5" t="s">
        <v>33</v>
      </c>
      <c r="D159" s="4" t="s">
        <v>22</v>
      </c>
      <c r="E159" s="4" t="s">
        <v>411</v>
      </c>
      <c r="F159" s="4" t="s">
        <v>406</v>
      </c>
      <c r="G159" s="4" t="s">
        <v>412</v>
      </c>
      <c r="H159" s="12" t="n">
        <v>1</v>
      </c>
      <c r="I159" s="4" t="s">
        <v>408</v>
      </c>
      <c r="J159" s="4" t="s">
        <v>413</v>
      </c>
      <c r="K159" s="13" t="n">
        <v>1200</v>
      </c>
      <c r="L159" s="6" t="n">
        <f aca="false">H159*K159</f>
        <v>1200</v>
      </c>
      <c r="M159" s="14" t="s">
        <v>410</v>
      </c>
    </row>
    <row r="160" customFormat="false" ht="15" hidden="false" customHeight="false" outlineLevel="0" collapsed="false">
      <c r="A160" s="4" t="s">
        <v>13</v>
      </c>
      <c r="B160" s="5" t="s">
        <v>32</v>
      </c>
      <c r="C160" s="5" t="s">
        <v>33</v>
      </c>
      <c r="D160" s="4" t="s">
        <v>22</v>
      </c>
      <c r="E160" s="4" t="s">
        <v>414</v>
      </c>
      <c r="F160" s="4" t="s">
        <v>406</v>
      </c>
      <c r="G160" s="4" t="s">
        <v>415</v>
      </c>
      <c r="H160" s="12" t="n">
        <v>1</v>
      </c>
      <c r="I160" s="4" t="s">
        <v>408</v>
      </c>
      <c r="J160" s="4" t="s">
        <v>416</v>
      </c>
      <c r="K160" s="13" t="n">
        <v>1800</v>
      </c>
      <c r="L160" s="6" t="n">
        <f aca="false">H160*K160</f>
        <v>1800</v>
      </c>
      <c r="M160" s="14" t="s">
        <v>410</v>
      </c>
    </row>
    <row r="161" customFormat="false" ht="15" hidden="false" customHeight="false" outlineLevel="0" collapsed="false">
      <c r="A161" s="4" t="s">
        <v>13</v>
      </c>
      <c r="B161" s="5" t="s">
        <v>32</v>
      </c>
      <c r="C161" s="5" t="s">
        <v>33</v>
      </c>
      <c r="D161" s="4" t="s">
        <v>22</v>
      </c>
      <c r="E161" s="4" t="s">
        <v>417</v>
      </c>
      <c r="F161" s="4" t="s">
        <v>406</v>
      </c>
      <c r="G161" s="4" t="s">
        <v>418</v>
      </c>
      <c r="H161" s="12" t="n">
        <v>1</v>
      </c>
      <c r="I161" s="4" t="s">
        <v>408</v>
      </c>
      <c r="J161" s="4" t="s">
        <v>409</v>
      </c>
      <c r="K161" s="13" t="n">
        <v>850</v>
      </c>
      <c r="L161" s="6" t="n">
        <f aca="false">H161*K161</f>
        <v>850</v>
      </c>
      <c r="M161" s="14" t="s">
        <v>410</v>
      </c>
    </row>
    <row r="162" customFormat="false" ht="15" hidden="false" customHeight="false" outlineLevel="0" collapsed="false">
      <c r="A162" s="4" t="s">
        <v>13</v>
      </c>
      <c r="B162" s="5" t="s">
        <v>32</v>
      </c>
      <c r="C162" s="5" t="s">
        <v>33</v>
      </c>
      <c r="D162" s="4" t="s">
        <v>22</v>
      </c>
      <c r="E162" s="4" t="s">
        <v>419</v>
      </c>
      <c r="F162" s="4" t="s">
        <v>406</v>
      </c>
      <c r="G162" s="4" t="s">
        <v>420</v>
      </c>
      <c r="H162" s="12" t="n">
        <v>1</v>
      </c>
      <c r="I162" s="4" t="s">
        <v>408</v>
      </c>
      <c r="J162" s="4" t="s">
        <v>409</v>
      </c>
      <c r="K162" s="13" t="n">
        <v>450</v>
      </c>
      <c r="L162" s="6" t="n">
        <f aca="false">H162*K162</f>
        <v>450</v>
      </c>
      <c r="M162" s="14" t="s">
        <v>410</v>
      </c>
    </row>
    <row r="163" customFormat="false" ht="15" hidden="false" customHeight="false" outlineLevel="0" collapsed="false">
      <c r="A163" s="4" t="s">
        <v>13</v>
      </c>
      <c r="B163" s="5" t="s">
        <v>32</v>
      </c>
      <c r="C163" s="5" t="s">
        <v>33</v>
      </c>
      <c r="D163" s="4" t="s">
        <v>22</v>
      </c>
      <c r="E163" s="4" t="s">
        <v>421</v>
      </c>
      <c r="F163" s="4" t="s">
        <v>406</v>
      </c>
      <c r="G163" s="4" t="s">
        <v>422</v>
      </c>
      <c r="H163" s="12" t="n">
        <v>1</v>
      </c>
      <c r="I163" s="4" t="s">
        <v>408</v>
      </c>
      <c r="J163" s="4" t="s">
        <v>409</v>
      </c>
      <c r="K163" s="13" t="n">
        <v>850</v>
      </c>
      <c r="L163" s="6" t="n">
        <f aca="false">H163*K163</f>
        <v>850</v>
      </c>
      <c r="M163" s="14" t="s">
        <v>410</v>
      </c>
    </row>
    <row r="164" customFormat="false" ht="15" hidden="false" customHeight="false" outlineLevel="0" collapsed="false">
      <c r="A164" s="4" t="s">
        <v>13</v>
      </c>
      <c r="B164" s="5" t="s">
        <v>32</v>
      </c>
      <c r="C164" s="5" t="s">
        <v>33</v>
      </c>
      <c r="D164" s="4" t="s">
        <v>22</v>
      </c>
      <c r="E164" s="4" t="s">
        <v>423</v>
      </c>
      <c r="F164" s="4" t="s">
        <v>406</v>
      </c>
      <c r="G164" s="4" t="s">
        <v>424</v>
      </c>
      <c r="H164" s="12" t="n">
        <v>1</v>
      </c>
      <c r="I164" s="4" t="s">
        <v>408</v>
      </c>
      <c r="J164" s="4" t="s">
        <v>409</v>
      </c>
      <c r="K164" s="13" t="n">
        <v>650</v>
      </c>
      <c r="L164" s="6" t="n">
        <f aca="false">H164*K164</f>
        <v>650</v>
      </c>
      <c r="M164" s="14" t="s">
        <v>410</v>
      </c>
    </row>
    <row r="165" customFormat="false" ht="15" hidden="false" customHeight="false" outlineLevel="0" collapsed="false">
      <c r="A165" s="4" t="s">
        <v>13</v>
      </c>
      <c r="B165" s="5" t="s">
        <v>32</v>
      </c>
      <c r="C165" s="5" t="s">
        <v>33</v>
      </c>
      <c r="D165" s="4" t="s">
        <v>22</v>
      </c>
      <c r="E165" s="4" t="s">
        <v>425</v>
      </c>
      <c r="F165" s="4" t="s">
        <v>406</v>
      </c>
      <c r="G165" s="4" t="s">
        <v>426</v>
      </c>
      <c r="H165" s="12" t="n">
        <v>1</v>
      </c>
      <c r="I165" s="4" t="s">
        <v>408</v>
      </c>
      <c r="J165" s="4" t="s">
        <v>409</v>
      </c>
      <c r="K165" s="13" t="n">
        <v>4500</v>
      </c>
      <c r="L165" s="6" t="n">
        <f aca="false">H165*K165</f>
        <v>4500</v>
      </c>
      <c r="M165" s="14" t="s">
        <v>410</v>
      </c>
    </row>
    <row r="166" customFormat="false" ht="15" hidden="false" customHeight="false" outlineLevel="0" collapsed="false">
      <c r="A166" s="4" t="s">
        <v>13</v>
      </c>
      <c r="B166" s="5" t="s">
        <v>32</v>
      </c>
      <c r="C166" s="5" t="s">
        <v>33</v>
      </c>
      <c r="D166" s="4" t="s">
        <v>22</v>
      </c>
      <c r="E166" s="4" t="s">
        <v>430</v>
      </c>
      <c r="F166" s="4" t="s">
        <v>406</v>
      </c>
      <c r="G166" s="4" t="s">
        <v>431</v>
      </c>
      <c r="H166" s="12" t="n">
        <v>1</v>
      </c>
      <c r="I166" s="4" t="s">
        <v>408</v>
      </c>
      <c r="J166" s="4" t="s">
        <v>432</v>
      </c>
      <c r="K166" s="13" t="n">
        <v>250</v>
      </c>
      <c r="L166" s="6" t="n">
        <f aca="false">H166*K166</f>
        <v>250</v>
      </c>
      <c r="M166" s="14" t="s">
        <v>410</v>
      </c>
    </row>
    <row r="167" customFormat="false" ht="15" hidden="false" customHeight="false" outlineLevel="0" collapsed="false">
      <c r="A167" s="4" t="s">
        <v>13</v>
      </c>
      <c r="B167" s="5" t="s">
        <v>32</v>
      </c>
      <c r="C167" s="5" t="s">
        <v>33</v>
      </c>
      <c r="D167" s="4" t="s">
        <v>22</v>
      </c>
      <c r="E167" s="4" t="s">
        <v>433</v>
      </c>
      <c r="F167" s="4" t="s">
        <v>406</v>
      </c>
      <c r="G167" s="4" t="s">
        <v>434</v>
      </c>
      <c r="H167" s="12" t="n">
        <v>1</v>
      </c>
      <c r="I167" s="4" t="s">
        <v>408</v>
      </c>
      <c r="J167" s="4" t="s">
        <v>409</v>
      </c>
      <c r="K167" s="13" t="n">
        <v>450</v>
      </c>
      <c r="L167" s="6" t="n">
        <f aca="false">H167*K167</f>
        <v>450</v>
      </c>
      <c r="M167" s="14" t="s">
        <v>410</v>
      </c>
    </row>
    <row r="168" customFormat="false" ht="15" hidden="false" customHeight="false" outlineLevel="0" collapsed="false">
      <c r="A168" s="4" t="s">
        <v>13</v>
      </c>
      <c r="B168" s="5" t="s">
        <v>32</v>
      </c>
      <c r="C168" s="5" t="s">
        <v>33</v>
      </c>
      <c r="D168" s="4" t="s">
        <v>22</v>
      </c>
      <c r="E168" s="4" t="s">
        <v>435</v>
      </c>
      <c r="F168" s="4" t="s">
        <v>406</v>
      </c>
      <c r="G168" s="4" t="s">
        <v>436</v>
      </c>
      <c r="H168" s="12" t="n">
        <v>1</v>
      </c>
      <c r="I168" s="4" t="s">
        <v>408</v>
      </c>
      <c r="J168" s="4" t="s">
        <v>409</v>
      </c>
      <c r="K168" s="13" t="n">
        <v>450</v>
      </c>
      <c r="L168" s="6" t="n">
        <f aca="false">H168*K168</f>
        <v>450</v>
      </c>
      <c r="M168" s="14" t="s">
        <v>410</v>
      </c>
    </row>
    <row r="169" customFormat="false" ht="15" hidden="false" customHeight="false" outlineLevel="0" collapsed="false">
      <c r="A169" s="4" t="s">
        <v>13</v>
      </c>
      <c r="B169" s="5" t="s">
        <v>32</v>
      </c>
      <c r="C169" s="5" t="s">
        <v>33</v>
      </c>
      <c r="D169" s="4" t="s">
        <v>22</v>
      </c>
      <c r="E169" s="4" t="s">
        <v>437</v>
      </c>
      <c r="F169" s="4" t="s">
        <v>406</v>
      </c>
      <c r="G169" s="4" t="s">
        <v>438</v>
      </c>
      <c r="H169" s="12" t="n">
        <v>1</v>
      </c>
      <c r="I169" s="4" t="s">
        <v>408</v>
      </c>
      <c r="J169" s="4" t="s">
        <v>409</v>
      </c>
      <c r="K169" s="13" t="n">
        <v>850</v>
      </c>
      <c r="L169" s="6" t="n">
        <f aca="false">H169*K169</f>
        <v>850</v>
      </c>
      <c r="M169" s="14" t="s">
        <v>410</v>
      </c>
    </row>
    <row r="170" customFormat="false" ht="15" hidden="false" customHeight="false" outlineLevel="0" collapsed="false">
      <c r="A170" s="4" t="s">
        <v>13</v>
      </c>
      <c r="B170" s="5" t="s">
        <v>32</v>
      </c>
      <c r="C170" s="5" t="s">
        <v>33</v>
      </c>
      <c r="D170" s="4" t="s">
        <v>22</v>
      </c>
      <c r="E170" s="4" t="s">
        <v>455</v>
      </c>
      <c r="F170" s="4" t="s">
        <v>406</v>
      </c>
      <c r="G170" s="4" t="s">
        <v>456</v>
      </c>
      <c r="H170" s="12" t="n">
        <v>1</v>
      </c>
      <c r="I170" s="4" t="s">
        <v>408</v>
      </c>
      <c r="J170" s="4" t="s">
        <v>409</v>
      </c>
      <c r="K170" s="13" t="n">
        <v>850</v>
      </c>
      <c r="L170" s="6" t="n">
        <f aca="false">H170*K170</f>
        <v>850</v>
      </c>
      <c r="M170" s="14" t="s">
        <v>410</v>
      </c>
    </row>
    <row r="171" customFormat="false" ht="15" hidden="false" customHeight="false" outlineLevel="0" collapsed="false">
      <c r="A171" s="4" t="s">
        <v>13</v>
      </c>
      <c r="B171" s="5" t="s">
        <v>32</v>
      </c>
      <c r="C171" s="5" t="s">
        <v>33</v>
      </c>
      <c r="D171" s="4" t="s">
        <v>22</v>
      </c>
      <c r="E171" s="4" t="s">
        <v>439</v>
      </c>
      <c r="F171" s="4" t="s">
        <v>406</v>
      </c>
      <c r="G171" s="4" t="s">
        <v>440</v>
      </c>
      <c r="H171" s="12" t="n">
        <v>1</v>
      </c>
      <c r="I171" s="4" t="s">
        <v>408</v>
      </c>
      <c r="J171" s="4" t="s">
        <v>429</v>
      </c>
      <c r="K171" s="13" t="n">
        <v>80</v>
      </c>
      <c r="L171" s="6" t="n">
        <f aca="false">H171*K171</f>
        <v>80</v>
      </c>
      <c r="M171" s="14" t="s">
        <v>410</v>
      </c>
    </row>
    <row r="172" customFormat="false" ht="15" hidden="false" customHeight="false" outlineLevel="0" collapsed="false">
      <c r="A172" s="4" t="s">
        <v>13</v>
      </c>
      <c r="B172" s="5" t="s">
        <v>32</v>
      </c>
      <c r="C172" s="5" t="s">
        <v>33</v>
      </c>
      <c r="D172" s="4" t="s">
        <v>22</v>
      </c>
      <c r="E172" s="4" t="s">
        <v>441</v>
      </c>
      <c r="F172" s="4" t="s">
        <v>406</v>
      </c>
      <c r="G172" s="4" t="s">
        <v>442</v>
      </c>
      <c r="H172" s="12" t="n">
        <v>1</v>
      </c>
      <c r="I172" s="4" t="s">
        <v>408</v>
      </c>
      <c r="J172" s="4" t="s">
        <v>409</v>
      </c>
      <c r="K172" s="13" t="n">
        <v>350</v>
      </c>
      <c r="L172" s="6" t="n">
        <f aca="false">H172*K172</f>
        <v>350</v>
      </c>
      <c r="M172" s="14" t="s">
        <v>410</v>
      </c>
    </row>
    <row r="173" customFormat="false" ht="15" hidden="false" customHeight="false" outlineLevel="0" collapsed="false">
      <c r="A173" s="4" t="s">
        <v>13</v>
      </c>
      <c r="B173" s="5" t="s">
        <v>32</v>
      </c>
      <c r="C173" s="5" t="s">
        <v>33</v>
      </c>
      <c r="D173" s="4" t="s">
        <v>22</v>
      </c>
      <c r="E173" s="4" t="s">
        <v>443</v>
      </c>
      <c r="F173" s="4" t="s">
        <v>406</v>
      </c>
      <c r="G173" s="4" t="s">
        <v>444</v>
      </c>
      <c r="H173" s="12" t="n">
        <v>1</v>
      </c>
      <c r="I173" s="4" t="s">
        <v>408</v>
      </c>
      <c r="J173" s="4" t="s">
        <v>409</v>
      </c>
      <c r="K173" s="13" t="n">
        <v>1200</v>
      </c>
      <c r="L173" s="6" t="n">
        <f aca="false">H173*K173</f>
        <v>1200</v>
      </c>
      <c r="M173" s="14" t="s">
        <v>410</v>
      </c>
    </row>
    <row r="174" customFormat="false" ht="15" hidden="false" customHeight="false" outlineLevel="0" collapsed="false">
      <c r="A174" s="4" t="s">
        <v>13</v>
      </c>
      <c r="B174" s="5" t="s">
        <v>32</v>
      </c>
      <c r="C174" s="5" t="s">
        <v>33</v>
      </c>
      <c r="D174" s="4" t="s">
        <v>22</v>
      </c>
      <c r="E174" s="4" t="s">
        <v>463</v>
      </c>
      <c r="F174" s="4" t="s">
        <v>406</v>
      </c>
      <c r="G174" s="4" t="s">
        <v>464</v>
      </c>
      <c r="H174" s="12" t="n">
        <v>1</v>
      </c>
      <c r="I174" s="4" t="s">
        <v>408</v>
      </c>
      <c r="J174" s="4" t="s">
        <v>409</v>
      </c>
      <c r="K174" s="13" t="n">
        <v>1800</v>
      </c>
      <c r="L174" s="6" t="n">
        <f aca="false">H174*K174</f>
        <v>1800</v>
      </c>
      <c r="M174" s="14" t="s">
        <v>410</v>
      </c>
    </row>
    <row r="175" customFormat="false" ht="15" hidden="false" customHeight="false" outlineLevel="0" collapsed="false">
      <c r="A175" s="4" t="s">
        <v>13</v>
      </c>
      <c r="B175" s="5" t="s">
        <v>32</v>
      </c>
      <c r="C175" s="5" t="s">
        <v>33</v>
      </c>
      <c r="D175" s="4" t="s">
        <v>22</v>
      </c>
      <c r="E175" s="4" t="s">
        <v>445</v>
      </c>
      <c r="F175" s="4" t="s">
        <v>406</v>
      </c>
      <c r="G175" s="4" t="s">
        <v>446</v>
      </c>
      <c r="H175" s="12" t="n">
        <v>1</v>
      </c>
      <c r="I175" s="4" t="s">
        <v>408</v>
      </c>
      <c r="J175" s="4" t="s">
        <v>409</v>
      </c>
      <c r="K175" s="13" t="n">
        <v>250</v>
      </c>
      <c r="L175" s="6" t="n">
        <f aca="false">H175*K175</f>
        <v>250</v>
      </c>
      <c r="M175" s="14" t="s">
        <v>410</v>
      </c>
    </row>
    <row r="176" customFormat="false" ht="15" hidden="false" customHeight="false" outlineLevel="0" collapsed="false">
      <c r="A176" s="4" t="s">
        <v>13</v>
      </c>
      <c r="B176" s="5" t="s">
        <v>32</v>
      </c>
      <c r="C176" s="5" t="s">
        <v>33</v>
      </c>
      <c r="D176" s="4" t="s">
        <v>22</v>
      </c>
      <c r="E176" s="4" t="s">
        <v>447</v>
      </c>
      <c r="F176" s="4" t="s">
        <v>406</v>
      </c>
      <c r="G176" s="4" t="s">
        <v>448</v>
      </c>
      <c r="H176" s="12" t="n">
        <v>1</v>
      </c>
      <c r="I176" s="4" t="s">
        <v>408</v>
      </c>
      <c r="J176" s="4" t="s">
        <v>409</v>
      </c>
      <c r="K176" s="13" t="n">
        <v>180</v>
      </c>
      <c r="L176" s="6" t="n">
        <f aca="false">H176*K176</f>
        <v>180</v>
      </c>
      <c r="M176" s="14" t="s">
        <v>410</v>
      </c>
    </row>
    <row r="177" customFormat="false" ht="15" hidden="false" customHeight="false" outlineLevel="0" collapsed="false">
      <c r="A177" s="4" t="s">
        <v>13</v>
      </c>
      <c r="B177" s="5" t="s">
        <v>32</v>
      </c>
      <c r="C177" s="5" t="s">
        <v>33</v>
      </c>
      <c r="D177" s="4" t="s">
        <v>22</v>
      </c>
      <c r="E177" s="4" t="s">
        <v>449</v>
      </c>
      <c r="F177" s="4" t="s">
        <v>406</v>
      </c>
      <c r="G177" s="4" t="s">
        <v>450</v>
      </c>
      <c r="H177" s="12" t="n">
        <v>1</v>
      </c>
      <c r="I177" s="4" t="s">
        <v>408</v>
      </c>
      <c r="J177" s="4" t="s">
        <v>416</v>
      </c>
      <c r="K177" s="13" t="n">
        <v>1800</v>
      </c>
      <c r="L177" s="6" t="n">
        <f aca="false">H177*K177</f>
        <v>1800</v>
      </c>
      <c r="M177" s="14" t="s">
        <v>410</v>
      </c>
    </row>
    <row r="178" customFormat="false" ht="15" hidden="false" customHeight="false" outlineLevel="0" collapsed="false">
      <c r="A178" s="4" t="s">
        <v>13</v>
      </c>
      <c r="B178" s="5" t="s">
        <v>32</v>
      </c>
      <c r="C178" s="5" t="s">
        <v>33</v>
      </c>
      <c r="D178" s="4" t="s">
        <v>22</v>
      </c>
      <c r="E178" s="4" t="s">
        <v>696</v>
      </c>
      <c r="F178" s="4" t="s">
        <v>406</v>
      </c>
      <c r="G178" s="4" t="s">
        <v>697</v>
      </c>
      <c r="H178" s="12" t="n">
        <v>1</v>
      </c>
      <c r="I178" s="4" t="s">
        <v>408</v>
      </c>
      <c r="J178" s="4" t="s">
        <v>409</v>
      </c>
      <c r="K178" s="13" t="n">
        <v>1200</v>
      </c>
      <c r="L178" s="6" t="n">
        <f aca="false">H178*K178</f>
        <v>1200</v>
      </c>
      <c r="M178" s="14" t="s">
        <v>410</v>
      </c>
    </row>
    <row r="179" customFormat="false" ht="15" hidden="false" customHeight="false" outlineLevel="0" collapsed="false">
      <c r="A179" s="4" t="s">
        <v>13</v>
      </c>
      <c r="B179" s="5" t="s">
        <v>32</v>
      </c>
      <c r="C179" s="5" t="s">
        <v>33</v>
      </c>
      <c r="D179" s="4" t="s">
        <v>22</v>
      </c>
      <c r="E179" s="4" t="s">
        <v>453</v>
      </c>
      <c r="F179" s="4" t="s">
        <v>406</v>
      </c>
      <c r="G179" s="4" t="s">
        <v>454</v>
      </c>
      <c r="H179" s="12" t="n">
        <v>1</v>
      </c>
      <c r="I179" s="4" t="s">
        <v>408</v>
      </c>
      <c r="J179" s="4" t="s">
        <v>409</v>
      </c>
      <c r="K179" s="13" t="n">
        <v>4500</v>
      </c>
      <c r="L179" s="6" t="n">
        <f aca="false">H179*K179</f>
        <v>4500</v>
      </c>
      <c r="M179" s="14" t="s">
        <v>410</v>
      </c>
    </row>
    <row r="180" customFormat="false" ht="15" hidden="false" customHeight="false" outlineLevel="0" collapsed="false">
      <c r="A180" s="4" t="s">
        <v>13</v>
      </c>
      <c r="B180" s="5" t="s">
        <v>32</v>
      </c>
      <c r="C180" s="5" t="s">
        <v>33</v>
      </c>
      <c r="D180" s="4" t="s">
        <v>22</v>
      </c>
      <c r="E180" s="4" t="s">
        <v>457</v>
      </c>
      <c r="F180" s="4" t="s">
        <v>406</v>
      </c>
      <c r="G180" s="4" t="s">
        <v>458</v>
      </c>
      <c r="H180" s="12" t="n">
        <v>1</v>
      </c>
      <c r="I180" s="4" t="s">
        <v>408</v>
      </c>
      <c r="J180" s="4" t="s">
        <v>409</v>
      </c>
      <c r="K180" s="13" t="n">
        <v>18000</v>
      </c>
      <c r="L180" s="6" t="n">
        <f aca="false">H180*K180</f>
        <v>18000</v>
      </c>
      <c r="M180" s="14" t="s">
        <v>410</v>
      </c>
    </row>
    <row r="181" customFormat="false" ht="15" hidden="false" customHeight="false" outlineLevel="0" collapsed="false">
      <c r="A181" s="4" t="s">
        <v>13</v>
      </c>
      <c r="B181" s="5" t="s">
        <v>32</v>
      </c>
      <c r="C181" s="5" t="s">
        <v>33</v>
      </c>
      <c r="D181" s="4" t="s">
        <v>22</v>
      </c>
      <c r="E181" s="4" t="s">
        <v>459</v>
      </c>
      <c r="F181" s="4" t="s">
        <v>406</v>
      </c>
      <c r="G181" s="4" t="s">
        <v>460</v>
      </c>
      <c r="H181" s="12" t="n">
        <v>1</v>
      </c>
      <c r="I181" s="4" t="s">
        <v>408</v>
      </c>
      <c r="J181" s="4" t="s">
        <v>409</v>
      </c>
      <c r="K181" s="13" t="n">
        <v>4500</v>
      </c>
      <c r="L181" s="6" t="n">
        <f aca="false">H181*K181</f>
        <v>4500</v>
      </c>
      <c r="M181" s="14" t="s">
        <v>410</v>
      </c>
    </row>
    <row r="182" customFormat="false" ht="15" hidden="false" customHeight="false" outlineLevel="0" collapsed="false">
      <c r="A182" s="4" t="s">
        <v>13</v>
      </c>
      <c r="B182" s="5" t="s">
        <v>32</v>
      </c>
      <c r="C182" s="5" t="s">
        <v>33</v>
      </c>
      <c r="D182" s="4" t="s">
        <v>22</v>
      </c>
      <c r="E182" s="4" t="s">
        <v>461</v>
      </c>
      <c r="F182" s="4" t="s">
        <v>406</v>
      </c>
      <c r="G182" s="4" t="s">
        <v>462</v>
      </c>
      <c r="H182" s="12" t="n">
        <v>1</v>
      </c>
      <c r="I182" s="4" t="s">
        <v>408</v>
      </c>
      <c r="J182" s="4" t="s">
        <v>416</v>
      </c>
      <c r="K182" s="13" t="n">
        <v>3500</v>
      </c>
      <c r="L182" s="6" t="n">
        <f aca="false">H182*K182</f>
        <v>3500</v>
      </c>
      <c r="M182" s="14" t="s">
        <v>410</v>
      </c>
    </row>
    <row r="183" customFormat="false" ht="15" hidden="false" customHeight="false" outlineLevel="0" collapsed="false">
      <c r="A183" s="4" t="s">
        <v>13</v>
      </c>
      <c r="B183" s="5" t="s">
        <v>32</v>
      </c>
      <c r="C183" s="5" t="s">
        <v>33</v>
      </c>
      <c r="D183" s="4" t="s">
        <v>22</v>
      </c>
      <c r="E183" s="4" t="s">
        <v>465</v>
      </c>
      <c r="F183" s="4" t="s">
        <v>406</v>
      </c>
      <c r="G183" s="4" t="s">
        <v>466</v>
      </c>
      <c r="H183" s="12" t="n">
        <v>1</v>
      </c>
      <c r="I183" s="4" t="s">
        <v>408</v>
      </c>
      <c r="J183" s="4" t="s">
        <v>409</v>
      </c>
      <c r="K183" s="13" t="n">
        <v>18000</v>
      </c>
      <c r="L183" s="6" t="n">
        <f aca="false">H183*K183</f>
        <v>18000</v>
      </c>
      <c r="M183" s="14" t="s">
        <v>410</v>
      </c>
    </row>
    <row r="184" customFormat="false" ht="15" hidden="false" customHeight="false" outlineLevel="0" collapsed="false">
      <c r="A184" s="4" t="s">
        <v>13</v>
      </c>
      <c r="B184" s="5" t="s">
        <v>32</v>
      </c>
      <c r="C184" s="5" t="s">
        <v>33</v>
      </c>
      <c r="D184" s="4" t="s">
        <v>22</v>
      </c>
      <c r="E184" s="4" t="s">
        <v>467</v>
      </c>
      <c r="F184" s="4" t="s">
        <v>406</v>
      </c>
      <c r="G184" s="4" t="s">
        <v>468</v>
      </c>
      <c r="H184" s="12" t="n">
        <v>1</v>
      </c>
      <c r="I184" s="4" t="s">
        <v>408</v>
      </c>
      <c r="J184" s="4" t="s">
        <v>409</v>
      </c>
      <c r="K184" s="13" t="n">
        <v>250</v>
      </c>
      <c r="L184" s="6" t="n">
        <f aca="false">H184*K184</f>
        <v>250</v>
      </c>
      <c r="M184" s="14" t="s">
        <v>410</v>
      </c>
    </row>
    <row r="185" customFormat="false" ht="15" hidden="false" customHeight="false" outlineLevel="0" collapsed="false">
      <c r="A185" s="4" t="s">
        <v>13</v>
      </c>
      <c r="B185" s="5" t="s">
        <v>32</v>
      </c>
      <c r="C185" s="5" t="s">
        <v>33</v>
      </c>
      <c r="D185" s="4" t="s">
        <v>22</v>
      </c>
      <c r="E185" s="4" t="s">
        <v>469</v>
      </c>
      <c r="F185" s="4" t="s">
        <v>470</v>
      </c>
      <c r="G185" s="4" t="s">
        <v>471</v>
      </c>
      <c r="H185" s="12" t="n">
        <v>1</v>
      </c>
      <c r="I185" s="4" t="s">
        <v>408</v>
      </c>
      <c r="J185" s="4" t="s">
        <v>409</v>
      </c>
      <c r="K185" s="13" t="n">
        <v>350</v>
      </c>
      <c r="L185" s="6" t="n">
        <f aca="false">H185*K185</f>
        <v>350</v>
      </c>
      <c r="M185" s="4" t="s">
        <v>371</v>
      </c>
    </row>
    <row r="186" customFormat="false" ht="15" hidden="false" customHeight="false" outlineLevel="0" collapsed="false">
      <c r="A186" s="4" t="s">
        <v>13</v>
      </c>
      <c r="B186" s="5" t="s">
        <v>32</v>
      </c>
      <c r="C186" s="5" t="s">
        <v>33</v>
      </c>
      <c r="D186" s="4" t="s">
        <v>22</v>
      </c>
      <c r="E186" s="4" t="s">
        <v>472</v>
      </c>
      <c r="F186" s="4" t="s">
        <v>470</v>
      </c>
      <c r="G186" s="4" t="s">
        <v>473</v>
      </c>
      <c r="H186" s="12" t="n">
        <v>25</v>
      </c>
      <c r="I186" s="4" t="s">
        <v>474</v>
      </c>
      <c r="J186" s="4" t="s">
        <v>475</v>
      </c>
      <c r="K186" s="13" t="n">
        <v>180</v>
      </c>
      <c r="L186" s="6" t="n">
        <f aca="false">H186*K186</f>
        <v>4500</v>
      </c>
      <c r="M186" s="4" t="s">
        <v>371</v>
      </c>
    </row>
    <row r="187" customFormat="false" ht="15" hidden="false" customHeight="false" outlineLevel="0" collapsed="false">
      <c r="A187" s="4" t="s">
        <v>13</v>
      </c>
      <c r="B187" s="5" t="s">
        <v>32</v>
      </c>
      <c r="C187" s="5" t="s">
        <v>33</v>
      </c>
      <c r="D187" s="4" t="s">
        <v>22</v>
      </c>
      <c r="E187" s="4" t="s">
        <v>476</v>
      </c>
      <c r="F187" s="4" t="s">
        <v>470</v>
      </c>
      <c r="G187" s="4" t="s">
        <v>477</v>
      </c>
      <c r="H187" s="12" t="n">
        <v>25</v>
      </c>
      <c r="I187" s="4" t="s">
        <v>474</v>
      </c>
      <c r="J187" s="4" t="s">
        <v>475</v>
      </c>
      <c r="K187" s="13" t="n">
        <v>850</v>
      </c>
      <c r="L187" s="6" t="n">
        <f aca="false">H187*K187</f>
        <v>21250</v>
      </c>
      <c r="M187" s="4" t="s">
        <v>371</v>
      </c>
    </row>
    <row r="188" customFormat="false" ht="15" hidden="false" customHeight="false" outlineLevel="0" collapsed="false">
      <c r="A188" s="4" t="s">
        <v>13</v>
      </c>
      <c r="B188" s="5" t="s">
        <v>32</v>
      </c>
      <c r="C188" s="5" t="s">
        <v>33</v>
      </c>
      <c r="D188" s="4" t="s">
        <v>22</v>
      </c>
      <c r="E188" s="4" t="s">
        <v>478</v>
      </c>
      <c r="F188" s="4" t="s">
        <v>470</v>
      </c>
      <c r="G188" s="4" t="s">
        <v>479</v>
      </c>
      <c r="H188" s="12" t="n">
        <v>100</v>
      </c>
      <c r="I188" s="4" t="s">
        <v>474</v>
      </c>
      <c r="J188" s="4" t="s">
        <v>480</v>
      </c>
      <c r="K188" s="13" t="n">
        <v>180</v>
      </c>
      <c r="L188" s="6" t="n">
        <f aca="false">H188*K188</f>
        <v>18000</v>
      </c>
      <c r="M188" s="4" t="s">
        <v>371</v>
      </c>
    </row>
    <row r="189" customFormat="false" ht="15" hidden="false" customHeight="false" outlineLevel="0" collapsed="false">
      <c r="A189" s="4" t="s">
        <v>13</v>
      </c>
      <c r="B189" s="5" t="s">
        <v>32</v>
      </c>
      <c r="C189" s="5" t="s">
        <v>33</v>
      </c>
      <c r="D189" s="4" t="s">
        <v>22</v>
      </c>
      <c r="E189" s="4" t="s">
        <v>698</v>
      </c>
      <c r="F189" s="4" t="s">
        <v>470</v>
      </c>
      <c r="G189" s="4" t="s">
        <v>699</v>
      </c>
      <c r="H189" s="12" t="n">
        <v>25</v>
      </c>
      <c r="I189" s="4" t="s">
        <v>474</v>
      </c>
      <c r="J189" s="4" t="s">
        <v>409</v>
      </c>
      <c r="K189" s="13" t="n">
        <v>1800</v>
      </c>
      <c r="L189" s="6" t="n">
        <f aca="false">H189*K189</f>
        <v>45000</v>
      </c>
      <c r="M189" s="4" t="s">
        <v>371</v>
      </c>
    </row>
    <row r="190" customFormat="false" ht="15" hidden="false" customHeight="false" outlineLevel="0" collapsed="false">
      <c r="A190" s="4" t="s">
        <v>13</v>
      </c>
      <c r="B190" s="5" t="s">
        <v>32</v>
      </c>
      <c r="C190" s="5" t="s">
        <v>33</v>
      </c>
      <c r="D190" s="4" t="s">
        <v>22</v>
      </c>
      <c r="E190" s="4" t="s">
        <v>483</v>
      </c>
      <c r="F190" s="4" t="s">
        <v>470</v>
      </c>
      <c r="G190" s="4" t="s">
        <v>484</v>
      </c>
      <c r="H190" s="12" t="n">
        <v>1</v>
      </c>
      <c r="I190" s="4" t="s">
        <v>408</v>
      </c>
      <c r="J190" s="4" t="s">
        <v>416</v>
      </c>
      <c r="K190" s="13" t="n">
        <v>4500</v>
      </c>
      <c r="L190" s="6" t="n">
        <f aca="false">H190*K190</f>
        <v>4500</v>
      </c>
      <c r="M190" s="4" t="s">
        <v>371</v>
      </c>
    </row>
    <row r="191" customFormat="false" ht="15" hidden="false" customHeight="false" outlineLevel="0" collapsed="false">
      <c r="A191" s="4" t="s">
        <v>13</v>
      </c>
      <c r="B191" s="5" t="s">
        <v>32</v>
      </c>
      <c r="C191" s="5" t="s">
        <v>33</v>
      </c>
      <c r="D191" s="4" t="s">
        <v>22</v>
      </c>
      <c r="E191" s="4" t="s">
        <v>485</v>
      </c>
      <c r="F191" s="4" t="s">
        <v>470</v>
      </c>
      <c r="G191" s="4" t="s">
        <v>486</v>
      </c>
      <c r="H191" s="12" t="n">
        <v>1</v>
      </c>
      <c r="I191" s="4" t="s">
        <v>408</v>
      </c>
      <c r="J191" s="4" t="s">
        <v>416</v>
      </c>
      <c r="K191" s="13" t="n">
        <v>8500</v>
      </c>
      <c r="L191" s="6" t="n">
        <f aca="false">H191*K191</f>
        <v>8500</v>
      </c>
      <c r="M191" s="4" t="s">
        <v>371</v>
      </c>
    </row>
    <row r="192" customFormat="false" ht="15" hidden="false" customHeight="false" outlineLevel="0" collapsed="false">
      <c r="A192" s="4" t="s">
        <v>13</v>
      </c>
      <c r="B192" s="5" t="s">
        <v>32</v>
      </c>
      <c r="C192" s="5" t="s">
        <v>33</v>
      </c>
      <c r="D192" s="4" t="s">
        <v>22</v>
      </c>
      <c r="E192" s="4" t="s">
        <v>427</v>
      </c>
      <c r="F192" s="4" t="s">
        <v>488</v>
      </c>
      <c r="G192" s="4" t="s">
        <v>428</v>
      </c>
      <c r="H192" s="12" t="n">
        <v>1</v>
      </c>
      <c r="I192" s="4" t="s">
        <v>408</v>
      </c>
      <c r="J192" s="4" t="s">
        <v>429</v>
      </c>
      <c r="K192" s="13" t="n">
        <v>120</v>
      </c>
      <c r="L192" s="6" t="n">
        <f aca="false">H192*K192</f>
        <v>120</v>
      </c>
      <c r="M192" s="14" t="s">
        <v>410</v>
      </c>
    </row>
    <row r="193" customFormat="false" ht="15" hidden="false" customHeight="false" outlineLevel="0" collapsed="false">
      <c r="A193" s="4" t="s">
        <v>13</v>
      </c>
      <c r="B193" s="5" t="s">
        <v>32</v>
      </c>
      <c r="C193" s="5" t="s">
        <v>33</v>
      </c>
      <c r="D193" s="4" t="s">
        <v>22</v>
      </c>
      <c r="E193" s="4" t="s">
        <v>700</v>
      </c>
      <c r="F193" s="4" t="s">
        <v>488</v>
      </c>
      <c r="G193" s="4" t="s">
        <v>701</v>
      </c>
      <c r="H193" s="12" t="n">
        <v>1</v>
      </c>
      <c r="I193" s="4" t="s">
        <v>408</v>
      </c>
      <c r="J193" s="4" t="s">
        <v>416</v>
      </c>
      <c r="K193" s="13" t="n">
        <v>1200</v>
      </c>
      <c r="L193" s="6" t="n">
        <f aca="false">H193*K193</f>
        <v>1200</v>
      </c>
      <c r="M193" s="4" t="s">
        <v>371</v>
      </c>
    </row>
    <row r="194" customFormat="false" ht="15" hidden="false" customHeight="false" outlineLevel="0" collapsed="false">
      <c r="A194" s="4" t="s">
        <v>13</v>
      </c>
      <c r="B194" s="5" t="s">
        <v>32</v>
      </c>
      <c r="C194" s="5" t="s">
        <v>33</v>
      </c>
      <c r="D194" s="4" t="s">
        <v>22</v>
      </c>
      <c r="E194" s="4" t="s">
        <v>493</v>
      </c>
      <c r="F194" s="4" t="s">
        <v>488</v>
      </c>
      <c r="G194" s="4" t="s">
        <v>494</v>
      </c>
      <c r="H194" s="12" t="n">
        <v>1</v>
      </c>
      <c r="I194" s="4" t="s">
        <v>408</v>
      </c>
      <c r="J194" s="4" t="s">
        <v>432</v>
      </c>
      <c r="K194" s="13" t="n">
        <v>60</v>
      </c>
      <c r="L194" s="6" t="n">
        <f aca="false">H194*K194</f>
        <v>60</v>
      </c>
      <c r="M194" s="4" t="s">
        <v>371</v>
      </c>
    </row>
    <row r="195" customFormat="false" ht="15" hidden="false" customHeight="false" outlineLevel="0" collapsed="false">
      <c r="A195" s="4" t="s">
        <v>13</v>
      </c>
      <c r="B195" s="5" t="s">
        <v>32</v>
      </c>
      <c r="C195" s="5" t="s">
        <v>33</v>
      </c>
      <c r="D195" s="4" t="s">
        <v>22</v>
      </c>
      <c r="E195" s="4" t="s">
        <v>495</v>
      </c>
      <c r="F195" s="4" t="s">
        <v>488</v>
      </c>
      <c r="G195" s="4" t="s">
        <v>496</v>
      </c>
      <c r="H195" s="12" t="n">
        <v>1</v>
      </c>
      <c r="I195" s="4" t="s">
        <v>408</v>
      </c>
      <c r="J195" s="4" t="s">
        <v>490</v>
      </c>
      <c r="K195" s="13" t="n">
        <v>250</v>
      </c>
      <c r="L195" s="6" t="n">
        <f aca="false">H195*K195</f>
        <v>250</v>
      </c>
      <c r="M195" s="4" t="s">
        <v>371</v>
      </c>
    </row>
    <row r="196" customFormat="false" ht="15" hidden="false" customHeight="false" outlineLevel="0" collapsed="false">
      <c r="A196" s="4" t="s">
        <v>13</v>
      </c>
      <c r="B196" s="5" t="s">
        <v>32</v>
      </c>
      <c r="C196" s="5" t="s">
        <v>33</v>
      </c>
      <c r="D196" s="4" t="s">
        <v>22</v>
      </c>
      <c r="E196" s="4" t="s">
        <v>497</v>
      </c>
      <c r="F196" s="4" t="s">
        <v>488</v>
      </c>
      <c r="G196" s="4" t="s">
        <v>498</v>
      </c>
      <c r="H196" s="12" t="n">
        <v>1</v>
      </c>
      <c r="I196" s="4" t="s">
        <v>408</v>
      </c>
      <c r="J196" s="4" t="s">
        <v>490</v>
      </c>
      <c r="K196" s="13" t="n">
        <v>150</v>
      </c>
      <c r="L196" s="6" t="n">
        <f aca="false">H196*K196</f>
        <v>150</v>
      </c>
      <c r="M196" s="4" t="s">
        <v>371</v>
      </c>
    </row>
    <row r="197" customFormat="false" ht="15" hidden="false" customHeight="false" outlineLevel="0" collapsed="false">
      <c r="A197" s="4" t="s">
        <v>13</v>
      </c>
      <c r="B197" s="5" t="s">
        <v>32</v>
      </c>
      <c r="C197" s="5" t="s">
        <v>33</v>
      </c>
      <c r="D197" s="4" t="s">
        <v>22</v>
      </c>
      <c r="E197" s="4" t="s">
        <v>499</v>
      </c>
      <c r="F197" s="4" t="s">
        <v>488</v>
      </c>
      <c r="G197" s="4" t="s">
        <v>500</v>
      </c>
      <c r="H197" s="12" t="n">
        <v>1</v>
      </c>
      <c r="I197" s="4" t="s">
        <v>408</v>
      </c>
      <c r="J197" s="4" t="s">
        <v>416</v>
      </c>
      <c r="K197" s="13" t="n">
        <v>500</v>
      </c>
      <c r="L197" s="6" t="n">
        <f aca="false">H197*K197</f>
        <v>500</v>
      </c>
      <c r="M197" s="4" t="s">
        <v>371</v>
      </c>
    </row>
    <row r="198" customFormat="false" ht="15" hidden="false" customHeight="false" outlineLevel="0" collapsed="false">
      <c r="A198" s="4" t="s">
        <v>13</v>
      </c>
      <c r="B198" s="5" t="s">
        <v>32</v>
      </c>
      <c r="C198" s="5" t="s">
        <v>33</v>
      </c>
      <c r="D198" s="4" t="s">
        <v>22</v>
      </c>
      <c r="E198" s="4" t="s">
        <v>702</v>
      </c>
      <c r="F198" s="4" t="s">
        <v>488</v>
      </c>
      <c r="G198" s="4" t="s">
        <v>703</v>
      </c>
      <c r="H198" s="12" t="n">
        <v>1</v>
      </c>
      <c r="I198" s="4" t="s">
        <v>408</v>
      </c>
      <c r="J198" s="4" t="s">
        <v>503</v>
      </c>
      <c r="K198" s="13" t="n">
        <v>350</v>
      </c>
      <c r="L198" s="6" t="n">
        <f aca="false">H198*K198</f>
        <v>350</v>
      </c>
      <c r="M198" s="4" t="s">
        <v>371</v>
      </c>
    </row>
    <row r="199" customFormat="false" ht="15" hidden="false" customHeight="false" outlineLevel="0" collapsed="false">
      <c r="A199" s="4" t="s">
        <v>13</v>
      </c>
      <c r="B199" s="5" t="s">
        <v>32</v>
      </c>
      <c r="C199" s="5" t="s">
        <v>33</v>
      </c>
      <c r="D199" s="4" t="s">
        <v>22</v>
      </c>
      <c r="E199" s="4" t="s">
        <v>504</v>
      </c>
      <c r="F199" s="4" t="s">
        <v>488</v>
      </c>
      <c r="G199" s="4" t="s">
        <v>505</v>
      </c>
      <c r="H199" s="12" t="n">
        <v>1</v>
      </c>
      <c r="I199" s="4" t="s">
        <v>408</v>
      </c>
      <c r="J199" s="4" t="s">
        <v>506</v>
      </c>
      <c r="K199" s="13" t="n">
        <v>180</v>
      </c>
      <c r="L199" s="6" t="n">
        <f aca="false">H199*K199</f>
        <v>180</v>
      </c>
      <c r="M199" s="4" t="s">
        <v>371</v>
      </c>
    </row>
    <row r="200" customFormat="false" ht="15" hidden="false" customHeight="false" outlineLevel="0" collapsed="false">
      <c r="A200" s="4" t="s">
        <v>13</v>
      </c>
      <c r="B200" s="5" t="s">
        <v>48</v>
      </c>
      <c r="C200" s="5" t="s">
        <v>49</v>
      </c>
      <c r="D200" s="4" t="s">
        <v>22</v>
      </c>
      <c r="E200" s="4" t="s">
        <v>550</v>
      </c>
      <c r="F200" s="4" t="s">
        <v>406</v>
      </c>
      <c r="G200" s="4" t="s">
        <v>551</v>
      </c>
      <c r="H200" s="12" t="n">
        <v>1</v>
      </c>
      <c r="I200" s="4" t="s">
        <v>408</v>
      </c>
      <c r="J200" s="4" t="s">
        <v>409</v>
      </c>
      <c r="K200" s="13" t="n">
        <v>850</v>
      </c>
      <c r="L200" s="6" t="n">
        <f aca="false">H200*K200</f>
        <v>850</v>
      </c>
      <c r="M200" s="14" t="s">
        <v>410</v>
      </c>
    </row>
    <row r="201" customFormat="false" ht="15" hidden="false" customHeight="false" outlineLevel="0" collapsed="false">
      <c r="A201" s="4" t="s">
        <v>13</v>
      </c>
      <c r="B201" s="5" t="s">
        <v>48</v>
      </c>
      <c r="C201" s="5" t="s">
        <v>49</v>
      </c>
      <c r="D201" s="4" t="s">
        <v>22</v>
      </c>
      <c r="E201" s="4" t="s">
        <v>552</v>
      </c>
      <c r="F201" s="4" t="s">
        <v>406</v>
      </c>
      <c r="G201" s="4" t="s">
        <v>553</v>
      </c>
      <c r="H201" s="12" t="n">
        <v>1</v>
      </c>
      <c r="I201" s="4" t="s">
        <v>408</v>
      </c>
      <c r="J201" s="4" t="s">
        <v>409</v>
      </c>
      <c r="K201" s="13" t="n">
        <v>850</v>
      </c>
      <c r="L201" s="6" t="n">
        <f aca="false">H201*K201</f>
        <v>850</v>
      </c>
      <c r="M201" s="14" t="s">
        <v>410</v>
      </c>
    </row>
    <row r="202" customFormat="false" ht="15" hidden="false" customHeight="false" outlineLevel="0" collapsed="false">
      <c r="A202" s="4" t="s">
        <v>13</v>
      </c>
      <c r="B202" s="5" t="s">
        <v>48</v>
      </c>
      <c r="C202" s="5" t="s">
        <v>49</v>
      </c>
      <c r="D202" s="4" t="s">
        <v>22</v>
      </c>
      <c r="E202" s="4" t="s">
        <v>554</v>
      </c>
      <c r="F202" s="4" t="s">
        <v>406</v>
      </c>
      <c r="G202" s="4" t="s">
        <v>555</v>
      </c>
      <c r="H202" s="12" t="n">
        <v>1</v>
      </c>
      <c r="I202" s="4" t="s">
        <v>408</v>
      </c>
      <c r="J202" s="4" t="s">
        <v>409</v>
      </c>
      <c r="K202" s="13" t="n">
        <v>450</v>
      </c>
      <c r="L202" s="6" t="n">
        <f aca="false">H202*K202</f>
        <v>450</v>
      </c>
      <c r="M202" s="14" t="s">
        <v>410</v>
      </c>
    </row>
    <row r="203" customFormat="false" ht="15" hidden="false" customHeight="false" outlineLevel="0" collapsed="false">
      <c r="A203" s="4" t="s">
        <v>13</v>
      </c>
      <c r="B203" s="5" t="s">
        <v>48</v>
      </c>
      <c r="C203" s="5" t="s">
        <v>49</v>
      </c>
      <c r="D203" s="4" t="s">
        <v>22</v>
      </c>
      <c r="E203" s="4" t="s">
        <v>686</v>
      </c>
      <c r="F203" s="4" t="s">
        <v>406</v>
      </c>
      <c r="G203" s="4" t="s">
        <v>687</v>
      </c>
      <c r="H203" s="12" t="n">
        <v>1</v>
      </c>
      <c r="I203" s="4" t="s">
        <v>408</v>
      </c>
      <c r="J203" s="4" t="s">
        <v>409</v>
      </c>
      <c r="K203" s="13" t="n">
        <v>850</v>
      </c>
      <c r="L203" s="6" t="n">
        <f aca="false">H203*K203</f>
        <v>850</v>
      </c>
      <c r="M203" s="14" t="s">
        <v>410</v>
      </c>
    </row>
    <row r="204" customFormat="false" ht="15" hidden="false" customHeight="false" outlineLevel="0" collapsed="false">
      <c r="A204" s="4" t="s">
        <v>13</v>
      </c>
      <c r="B204" s="5" t="s">
        <v>48</v>
      </c>
      <c r="C204" s="5" t="s">
        <v>49</v>
      </c>
      <c r="D204" s="4" t="s">
        <v>22</v>
      </c>
      <c r="E204" s="4" t="s">
        <v>560</v>
      </c>
      <c r="F204" s="4" t="s">
        <v>406</v>
      </c>
      <c r="G204" s="4" t="s">
        <v>561</v>
      </c>
      <c r="H204" s="12" t="n">
        <v>1</v>
      </c>
      <c r="I204" s="4" t="s">
        <v>408</v>
      </c>
      <c r="J204" s="4" t="s">
        <v>409</v>
      </c>
      <c r="K204" s="13" t="n">
        <v>250</v>
      </c>
      <c r="L204" s="6" t="n">
        <f aca="false">H204*K204</f>
        <v>250</v>
      </c>
      <c r="M204" s="14" t="s">
        <v>410</v>
      </c>
    </row>
    <row r="205" customFormat="false" ht="15" hidden="false" customHeight="false" outlineLevel="0" collapsed="false">
      <c r="A205" s="4" t="s">
        <v>13</v>
      </c>
      <c r="B205" s="5" t="s">
        <v>48</v>
      </c>
      <c r="C205" s="5" t="s">
        <v>49</v>
      </c>
      <c r="D205" s="4" t="s">
        <v>22</v>
      </c>
      <c r="E205" s="4" t="s">
        <v>600</v>
      </c>
      <c r="F205" s="4" t="s">
        <v>406</v>
      </c>
      <c r="G205" s="4" t="s">
        <v>601</v>
      </c>
      <c r="H205" s="12" t="n">
        <v>1</v>
      </c>
      <c r="I205" s="4" t="s">
        <v>408</v>
      </c>
      <c r="J205" s="4" t="s">
        <v>409</v>
      </c>
      <c r="K205" s="13" t="n">
        <v>450</v>
      </c>
      <c r="L205" s="6" t="n">
        <f aca="false">H205*K205</f>
        <v>450</v>
      </c>
      <c r="M205" s="14" t="s">
        <v>410</v>
      </c>
    </row>
    <row r="206" customFormat="false" ht="15" hidden="false" customHeight="false" outlineLevel="0" collapsed="false">
      <c r="A206" s="4" t="s">
        <v>13</v>
      </c>
      <c r="B206" s="5" t="s">
        <v>48</v>
      </c>
      <c r="C206" s="5" t="s">
        <v>49</v>
      </c>
      <c r="D206" s="4" t="s">
        <v>22</v>
      </c>
      <c r="E206" s="4" t="s">
        <v>602</v>
      </c>
      <c r="F206" s="4" t="s">
        <v>406</v>
      </c>
      <c r="G206" s="4" t="s">
        <v>603</v>
      </c>
      <c r="H206" s="12" t="n">
        <v>1</v>
      </c>
      <c r="I206" s="4" t="s">
        <v>408</v>
      </c>
      <c r="J206" s="4" t="s">
        <v>409</v>
      </c>
      <c r="K206" s="13" t="n">
        <v>650</v>
      </c>
      <c r="L206" s="6" t="n">
        <f aca="false">H206*K206</f>
        <v>650</v>
      </c>
      <c r="M206" s="14" t="s">
        <v>410</v>
      </c>
    </row>
    <row r="207" customFormat="false" ht="15" hidden="false" customHeight="false" outlineLevel="0" collapsed="false">
      <c r="A207" s="4" t="s">
        <v>13</v>
      </c>
      <c r="B207" s="5" t="s">
        <v>48</v>
      </c>
      <c r="C207" s="5" t="s">
        <v>49</v>
      </c>
      <c r="D207" s="4" t="s">
        <v>22</v>
      </c>
      <c r="E207" s="4" t="s">
        <v>604</v>
      </c>
      <c r="F207" s="4" t="s">
        <v>406</v>
      </c>
      <c r="G207" s="4" t="s">
        <v>605</v>
      </c>
      <c r="H207" s="12" t="n">
        <v>1</v>
      </c>
      <c r="I207" s="4" t="s">
        <v>408</v>
      </c>
      <c r="J207" s="4" t="s">
        <v>409</v>
      </c>
      <c r="K207" s="13" t="n">
        <v>650</v>
      </c>
      <c r="L207" s="6" t="n">
        <f aca="false">H207*K207</f>
        <v>650</v>
      </c>
      <c r="M207" s="14" t="s">
        <v>410</v>
      </c>
    </row>
    <row r="208" customFormat="false" ht="15" hidden="false" customHeight="false" outlineLevel="0" collapsed="false">
      <c r="A208" s="4" t="s">
        <v>13</v>
      </c>
      <c r="B208" s="5" t="s">
        <v>48</v>
      </c>
      <c r="C208" s="5" t="s">
        <v>49</v>
      </c>
      <c r="D208" s="4" t="s">
        <v>22</v>
      </c>
      <c r="E208" s="4" t="s">
        <v>606</v>
      </c>
      <c r="F208" s="4" t="s">
        <v>406</v>
      </c>
      <c r="G208" s="4" t="s">
        <v>607</v>
      </c>
      <c r="H208" s="12" t="n">
        <v>1</v>
      </c>
      <c r="I208" s="4" t="s">
        <v>408</v>
      </c>
      <c r="J208" s="4" t="s">
        <v>409</v>
      </c>
      <c r="K208" s="13" t="n">
        <v>450</v>
      </c>
      <c r="L208" s="6" t="n">
        <f aca="false">H208*K208</f>
        <v>450</v>
      </c>
      <c r="M208" s="14" t="s">
        <v>410</v>
      </c>
    </row>
    <row r="209" customFormat="false" ht="15" hidden="false" customHeight="false" outlineLevel="0" collapsed="false">
      <c r="A209" s="4" t="s">
        <v>13</v>
      </c>
      <c r="B209" s="5" t="s">
        <v>48</v>
      </c>
      <c r="C209" s="5" t="s">
        <v>49</v>
      </c>
      <c r="D209" s="4" t="s">
        <v>22</v>
      </c>
      <c r="E209" s="4" t="s">
        <v>608</v>
      </c>
      <c r="F209" s="4" t="s">
        <v>406</v>
      </c>
      <c r="G209" s="4" t="s">
        <v>609</v>
      </c>
      <c r="H209" s="12" t="n">
        <v>1</v>
      </c>
      <c r="I209" s="4" t="s">
        <v>408</v>
      </c>
      <c r="J209" s="4" t="s">
        <v>409</v>
      </c>
      <c r="K209" s="13" t="n">
        <v>650</v>
      </c>
      <c r="L209" s="6" t="n">
        <f aca="false">H209*K209</f>
        <v>650</v>
      </c>
      <c r="M209" s="14" t="s">
        <v>410</v>
      </c>
    </row>
    <row r="210" customFormat="false" ht="15" hidden="false" customHeight="false" outlineLevel="0" collapsed="false">
      <c r="A210" s="4" t="s">
        <v>13</v>
      </c>
      <c r="B210" s="5" t="s">
        <v>48</v>
      </c>
      <c r="C210" s="5" t="s">
        <v>49</v>
      </c>
      <c r="D210" s="4" t="s">
        <v>22</v>
      </c>
      <c r="E210" s="4" t="s">
        <v>610</v>
      </c>
      <c r="F210" s="4" t="s">
        <v>406</v>
      </c>
      <c r="G210" s="4" t="s">
        <v>611</v>
      </c>
      <c r="H210" s="12" t="n">
        <v>1</v>
      </c>
      <c r="I210" s="4" t="s">
        <v>408</v>
      </c>
      <c r="J210" s="4" t="s">
        <v>409</v>
      </c>
      <c r="K210" s="13" t="n">
        <v>650</v>
      </c>
      <c r="L210" s="6" t="n">
        <f aca="false">H210*K210</f>
        <v>650</v>
      </c>
      <c r="M210" s="14" t="s">
        <v>410</v>
      </c>
    </row>
    <row r="211" customFormat="false" ht="15" hidden="false" customHeight="false" outlineLevel="0" collapsed="false">
      <c r="A211" s="4" t="s">
        <v>13</v>
      </c>
      <c r="B211" s="5" t="s">
        <v>48</v>
      </c>
      <c r="C211" s="5" t="s">
        <v>49</v>
      </c>
      <c r="D211" s="4" t="s">
        <v>22</v>
      </c>
      <c r="E211" s="4" t="s">
        <v>612</v>
      </c>
      <c r="F211" s="4" t="s">
        <v>406</v>
      </c>
      <c r="G211" s="4" t="s">
        <v>613</v>
      </c>
      <c r="H211" s="12" t="n">
        <v>1</v>
      </c>
      <c r="I211" s="4" t="s">
        <v>408</v>
      </c>
      <c r="J211" s="4" t="s">
        <v>409</v>
      </c>
      <c r="K211" s="13" t="n">
        <v>450</v>
      </c>
      <c r="L211" s="6" t="n">
        <f aca="false">H211*K211</f>
        <v>450</v>
      </c>
      <c r="M211" s="14" t="s">
        <v>410</v>
      </c>
    </row>
    <row r="212" customFormat="false" ht="15" hidden="false" customHeight="false" outlineLevel="0" collapsed="false">
      <c r="A212" s="4" t="s">
        <v>13</v>
      </c>
      <c r="B212" s="5" t="s">
        <v>48</v>
      </c>
      <c r="C212" s="5" t="s">
        <v>49</v>
      </c>
      <c r="D212" s="4" t="s">
        <v>22</v>
      </c>
      <c r="E212" s="4" t="s">
        <v>614</v>
      </c>
      <c r="F212" s="4" t="s">
        <v>406</v>
      </c>
      <c r="G212" s="4" t="s">
        <v>615</v>
      </c>
      <c r="H212" s="12" t="n">
        <v>1</v>
      </c>
      <c r="I212" s="4" t="s">
        <v>408</v>
      </c>
      <c r="J212" s="4" t="s">
        <v>409</v>
      </c>
      <c r="K212" s="13" t="n">
        <v>450</v>
      </c>
      <c r="L212" s="6" t="n">
        <f aca="false">H212*K212</f>
        <v>450</v>
      </c>
      <c r="M212" s="14" t="s">
        <v>410</v>
      </c>
    </row>
    <row r="213" customFormat="false" ht="15" hidden="false" customHeight="false" outlineLevel="0" collapsed="false">
      <c r="A213" s="4" t="s">
        <v>13</v>
      </c>
      <c r="B213" s="5" t="s">
        <v>48</v>
      </c>
      <c r="C213" s="5" t="s">
        <v>49</v>
      </c>
      <c r="D213" s="4" t="s">
        <v>22</v>
      </c>
      <c r="E213" s="4" t="s">
        <v>704</v>
      </c>
      <c r="F213" s="4" t="s">
        <v>406</v>
      </c>
      <c r="G213" s="4" t="s">
        <v>617</v>
      </c>
      <c r="H213" s="12" t="n">
        <v>1</v>
      </c>
      <c r="I213" s="4" t="s">
        <v>408</v>
      </c>
      <c r="J213" s="4" t="s">
        <v>409</v>
      </c>
      <c r="K213" s="13" t="n">
        <v>850</v>
      </c>
      <c r="L213" s="6" t="n">
        <f aca="false">H213*K213</f>
        <v>850</v>
      </c>
      <c r="M213" s="14" t="s">
        <v>410</v>
      </c>
    </row>
    <row r="214" customFormat="false" ht="15" hidden="false" customHeight="false" outlineLevel="0" collapsed="false">
      <c r="A214" s="4" t="s">
        <v>13</v>
      </c>
      <c r="B214" s="5" t="s">
        <v>48</v>
      </c>
      <c r="C214" s="5" t="s">
        <v>49</v>
      </c>
      <c r="D214" s="4" t="s">
        <v>22</v>
      </c>
      <c r="E214" s="4" t="s">
        <v>618</v>
      </c>
      <c r="F214" s="4" t="s">
        <v>406</v>
      </c>
      <c r="G214" s="4" t="s">
        <v>619</v>
      </c>
      <c r="H214" s="12" t="n">
        <v>1</v>
      </c>
      <c r="I214" s="4" t="s">
        <v>408</v>
      </c>
      <c r="J214" s="4" t="s">
        <v>409</v>
      </c>
      <c r="K214" s="13" t="n">
        <v>850</v>
      </c>
      <c r="L214" s="6" t="n">
        <f aca="false">H214*K214</f>
        <v>850</v>
      </c>
      <c r="M214" s="14" t="s">
        <v>410</v>
      </c>
    </row>
    <row r="215" customFormat="false" ht="15" hidden="false" customHeight="false" outlineLevel="0" collapsed="false">
      <c r="A215" s="4" t="s">
        <v>13</v>
      </c>
      <c r="B215" s="5" t="s">
        <v>48</v>
      </c>
      <c r="C215" s="5" t="s">
        <v>49</v>
      </c>
      <c r="D215" s="4" t="s">
        <v>22</v>
      </c>
      <c r="E215" s="4" t="s">
        <v>620</v>
      </c>
      <c r="F215" s="4" t="s">
        <v>406</v>
      </c>
      <c r="G215" s="4" t="s">
        <v>621</v>
      </c>
      <c r="H215" s="12" t="n">
        <v>1</v>
      </c>
      <c r="I215" s="4" t="s">
        <v>408</v>
      </c>
      <c r="J215" s="4" t="s">
        <v>409</v>
      </c>
      <c r="K215" s="13" t="n">
        <v>650</v>
      </c>
      <c r="L215" s="6" t="n">
        <f aca="false">H215*K215</f>
        <v>650</v>
      </c>
      <c r="M215" s="14" t="s">
        <v>410</v>
      </c>
    </row>
    <row r="216" customFormat="false" ht="15" hidden="false" customHeight="false" outlineLevel="0" collapsed="false">
      <c r="A216" s="4" t="s">
        <v>13</v>
      </c>
      <c r="B216" s="5" t="s">
        <v>48</v>
      </c>
      <c r="C216" s="5" t="s">
        <v>49</v>
      </c>
      <c r="D216" s="4" t="s">
        <v>22</v>
      </c>
      <c r="E216" s="4" t="s">
        <v>622</v>
      </c>
      <c r="F216" s="4" t="s">
        <v>406</v>
      </c>
      <c r="G216" s="4" t="s">
        <v>623</v>
      </c>
      <c r="H216" s="12" t="n">
        <v>1</v>
      </c>
      <c r="I216" s="4" t="s">
        <v>408</v>
      </c>
      <c r="J216" s="4" t="s">
        <v>409</v>
      </c>
      <c r="K216" s="13" t="n">
        <v>450</v>
      </c>
      <c r="L216" s="6" t="n">
        <f aca="false">H216*K216</f>
        <v>450</v>
      </c>
      <c r="M216" s="14" t="s">
        <v>410</v>
      </c>
    </row>
    <row r="217" customFormat="false" ht="15" hidden="false" customHeight="false" outlineLevel="0" collapsed="false">
      <c r="A217" s="4" t="s">
        <v>13</v>
      </c>
      <c r="B217" s="5" t="s">
        <v>48</v>
      </c>
      <c r="C217" s="5" t="s">
        <v>49</v>
      </c>
      <c r="D217" s="4" t="s">
        <v>22</v>
      </c>
      <c r="E217" s="4" t="s">
        <v>624</v>
      </c>
      <c r="F217" s="4" t="s">
        <v>406</v>
      </c>
      <c r="G217" s="4" t="s">
        <v>625</v>
      </c>
      <c r="H217" s="12" t="n">
        <v>1</v>
      </c>
      <c r="I217" s="4" t="s">
        <v>408</v>
      </c>
      <c r="J217" s="4" t="s">
        <v>409</v>
      </c>
      <c r="K217" s="13" t="n">
        <v>850</v>
      </c>
      <c r="L217" s="6" t="n">
        <f aca="false">H217*K217</f>
        <v>850</v>
      </c>
      <c r="M217" s="14" t="s">
        <v>410</v>
      </c>
    </row>
    <row r="218" customFormat="false" ht="15" hidden="false" customHeight="false" outlineLevel="0" collapsed="false">
      <c r="A218" s="4" t="s">
        <v>13</v>
      </c>
      <c r="B218" s="5" t="s">
        <v>48</v>
      </c>
      <c r="C218" s="5" t="s">
        <v>49</v>
      </c>
      <c r="D218" s="4" t="s">
        <v>22</v>
      </c>
      <c r="E218" s="4" t="s">
        <v>626</v>
      </c>
      <c r="F218" s="4" t="s">
        <v>406</v>
      </c>
      <c r="G218" s="4" t="s">
        <v>627</v>
      </c>
      <c r="H218" s="12" t="n">
        <v>1</v>
      </c>
      <c r="I218" s="4" t="s">
        <v>408</v>
      </c>
      <c r="J218" s="4" t="s">
        <v>409</v>
      </c>
      <c r="K218" s="13" t="n">
        <v>250</v>
      </c>
      <c r="L218" s="6" t="n">
        <f aca="false">H218*K218</f>
        <v>250</v>
      </c>
      <c r="M218" s="14" t="s">
        <v>410</v>
      </c>
    </row>
    <row r="219" customFormat="false" ht="15" hidden="false" customHeight="false" outlineLevel="0" collapsed="false">
      <c r="A219" s="4" t="s">
        <v>13</v>
      </c>
      <c r="B219" s="5" t="s">
        <v>48</v>
      </c>
      <c r="C219" s="5" t="s">
        <v>49</v>
      </c>
      <c r="D219" s="4" t="s">
        <v>22</v>
      </c>
      <c r="E219" s="4" t="s">
        <v>628</v>
      </c>
      <c r="F219" s="4" t="s">
        <v>406</v>
      </c>
      <c r="G219" s="4" t="s">
        <v>629</v>
      </c>
      <c r="H219" s="12" t="n">
        <v>1</v>
      </c>
      <c r="I219" s="4" t="s">
        <v>408</v>
      </c>
      <c r="J219" s="4" t="s">
        <v>409</v>
      </c>
      <c r="K219" s="13" t="n">
        <v>350</v>
      </c>
      <c r="L219" s="6" t="n">
        <f aca="false">H219*K219</f>
        <v>350</v>
      </c>
      <c r="M219" s="14" t="s">
        <v>410</v>
      </c>
    </row>
    <row r="220" customFormat="false" ht="15" hidden="false" customHeight="false" outlineLevel="0" collapsed="false">
      <c r="A220" s="4" t="s">
        <v>13</v>
      </c>
      <c r="B220" s="5" t="s">
        <v>48</v>
      </c>
      <c r="C220" s="5" t="s">
        <v>49</v>
      </c>
      <c r="D220" s="4" t="s">
        <v>22</v>
      </c>
      <c r="E220" s="4" t="s">
        <v>630</v>
      </c>
      <c r="F220" s="4" t="s">
        <v>406</v>
      </c>
      <c r="G220" s="4" t="s">
        <v>631</v>
      </c>
      <c r="H220" s="12" t="n">
        <v>1</v>
      </c>
      <c r="I220" s="4" t="s">
        <v>408</v>
      </c>
      <c r="J220" s="4" t="s">
        <v>409</v>
      </c>
      <c r="K220" s="13" t="n">
        <v>650</v>
      </c>
      <c r="L220" s="6" t="n">
        <f aca="false">H220*K220</f>
        <v>650</v>
      </c>
      <c r="M220" s="14" t="s">
        <v>410</v>
      </c>
    </row>
    <row r="221" customFormat="false" ht="15" hidden="false" customHeight="false" outlineLevel="0" collapsed="false">
      <c r="A221" s="4" t="s">
        <v>13</v>
      </c>
      <c r="B221" s="5" t="s">
        <v>48</v>
      </c>
      <c r="C221" s="5" t="s">
        <v>49</v>
      </c>
      <c r="D221" s="4" t="s">
        <v>22</v>
      </c>
      <c r="E221" s="4" t="s">
        <v>632</v>
      </c>
      <c r="F221" s="4" t="s">
        <v>406</v>
      </c>
      <c r="G221" s="4" t="s">
        <v>633</v>
      </c>
      <c r="H221" s="12" t="n">
        <v>1</v>
      </c>
      <c r="I221" s="4" t="s">
        <v>408</v>
      </c>
      <c r="J221" s="4" t="s">
        <v>409</v>
      </c>
      <c r="K221" s="13" t="n">
        <v>850</v>
      </c>
      <c r="L221" s="6" t="n">
        <f aca="false">H221*K221</f>
        <v>850</v>
      </c>
      <c r="M221" s="14" t="s">
        <v>410</v>
      </c>
    </row>
    <row r="222" customFormat="false" ht="15" hidden="false" customHeight="false" outlineLevel="0" collapsed="false">
      <c r="A222" s="4" t="s">
        <v>13</v>
      </c>
      <c r="B222" s="5" t="s">
        <v>48</v>
      </c>
      <c r="C222" s="5" t="s">
        <v>49</v>
      </c>
      <c r="D222" s="4" t="s">
        <v>22</v>
      </c>
      <c r="E222" s="4" t="s">
        <v>634</v>
      </c>
      <c r="F222" s="4" t="s">
        <v>406</v>
      </c>
      <c r="G222" s="4" t="s">
        <v>635</v>
      </c>
      <c r="H222" s="12" t="n">
        <v>1</v>
      </c>
      <c r="I222" s="4" t="s">
        <v>408</v>
      </c>
      <c r="J222" s="4" t="s">
        <v>409</v>
      </c>
      <c r="K222" s="13" t="n">
        <v>850</v>
      </c>
      <c r="L222" s="6" t="n">
        <f aca="false">H222*K222</f>
        <v>850</v>
      </c>
      <c r="M222" s="14" t="s">
        <v>410</v>
      </c>
    </row>
    <row r="223" customFormat="false" ht="15" hidden="false" customHeight="false" outlineLevel="0" collapsed="false">
      <c r="A223" s="4" t="s">
        <v>13</v>
      </c>
      <c r="B223" s="5" t="s">
        <v>48</v>
      </c>
      <c r="C223" s="5" t="s">
        <v>49</v>
      </c>
      <c r="D223" s="4" t="s">
        <v>22</v>
      </c>
      <c r="E223" s="4" t="s">
        <v>636</v>
      </c>
      <c r="F223" s="4" t="s">
        <v>406</v>
      </c>
      <c r="G223" s="4" t="s">
        <v>637</v>
      </c>
      <c r="H223" s="12" t="n">
        <v>1</v>
      </c>
      <c r="I223" s="4" t="s">
        <v>408</v>
      </c>
      <c r="J223" s="4" t="s">
        <v>409</v>
      </c>
      <c r="K223" s="13" t="n">
        <v>850</v>
      </c>
      <c r="L223" s="6" t="n">
        <f aca="false">H223*K223</f>
        <v>850</v>
      </c>
      <c r="M223" s="14" t="s">
        <v>410</v>
      </c>
    </row>
    <row r="224" customFormat="false" ht="15" hidden="false" customHeight="false" outlineLevel="0" collapsed="false">
      <c r="A224" s="4" t="s">
        <v>13</v>
      </c>
      <c r="B224" s="5" t="s">
        <v>48</v>
      </c>
      <c r="C224" s="5" t="s">
        <v>49</v>
      </c>
      <c r="D224" s="4" t="s">
        <v>22</v>
      </c>
      <c r="E224" s="4" t="s">
        <v>638</v>
      </c>
      <c r="F224" s="4" t="s">
        <v>406</v>
      </c>
      <c r="G224" s="4" t="s">
        <v>639</v>
      </c>
      <c r="H224" s="12" t="n">
        <v>1</v>
      </c>
      <c r="I224" s="4" t="s">
        <v>408</v>
      </c>
      <c r="J224" s="4" t="s">
        <v>409</v>
      </c>
      <c r="K224" s="13" t="n">
        <v>850</v>
      </c>
      <c r="L224" s="6" t="n">
        <f aca="false">H224*K224</f>
        <v>850</v>
      </c>
      <c r="M224" s="14" t="s">
        <v>410</v>
      </c>
    </row>
    <row r="225" customFormat="false" ht="15" hidden="false" customHeight="false" outlineLevel="0" collapsed="false">
      <c r="A225" s="4" t="s">
        <v>13</v>
      </c>
      <c r="B225" s="5" t="s">
        <v>48</v>
      </c>
      <c r="C225" s="5" t="s">
        <v>49</v>
      </c>
      <c r="D225" s="4" t="s">
        <v>22</v>
      </c>
      <c r="E225" s="4" t="s">
        <v>640</v>
      </c>
      <c r="F225" s="4" t="s">
        <v>406</v>
      </c>
      <c r="G225" s="4" t="s">
        <v>641</v>
      </c>
      <c r="H225" s="12" t="n">
        <v>1</v>
      </c>
      <c r="I225" s="4" t="s">
        <v>408</v>
      </c>
      <c r="J225" s="4" t="s">
        <v>409</v>
      </c>
      <c r="K225" s="13" t="n">
        <v>180</v>
      </c>
      <c r="L225" s="6" t="n">
        <f aca="false">H225*K225</f>
        <v>180</v>
      </c>
      <c r="M225" s="14" t="s">
        <v>410</v>
      </c>
    </row>
    <row r="226" customFormat="false" ht="15" hidden="false" customHeight="false" outlineLevel="0" collapsed="false">
      <c r="A226" s="4" t="s">
        <v>13</v>
      </c>
      <c r="B226" s="5" t="s">
        <v>48</v>
      </c>
      <c r="C226" s="5" t="s">
        <v>49</v>
      </c>
      <c r="D226" s="4" t="s">
        <v>22</v>
      </c>
      <c r="E226" s="4" t="s">
        <v>642</v>
      </c>
      <c r="F226" s="4" t="s">
        <v>406</v>
      </c>
      <c r="G226" s="4" t="s">
        <v>643</v>
      </c>
      <c r="H226" s="12" t="n">
        <v>1</v>
      </c>
      <c r="I226" s="4" t="s">
        <v>408</v>
      </c>
      <c r="J226" s="4" t="s">
        <v>409</v>
      </c>
      <c r="K226" s="13" t="n">
        <v>150</v>
      </c>
      <c r="L226" s="6" t="n">
        <f aca="false">H226*K226</f>
        <v>150</v>
      </c>
      <c r="M226" s="14" t="s">
        <v>410</v>
      </c>
    </row>
    <row r="227" customFormat="false" ht="15" hidden="false" customHeight="false" outlineLevel="0" collapsed="false">
      <c r="A227" s="4" t="s">
        <v>13</v>
      </c>
      <c r="B227" s="5" t="s">
        <v>48</v>
      </c>
      <c r="C227" s="5" t="s">
        <v>49</v>
      </c>
      <c r="D227" s="4" t="s">
        <v>22</v>
      </c>
      <c r="E227" s="4" t="s">
        <v>644</v>
      </c>
      <c r="F227" s="4" t="s">
        <v>406</v>
      </c>
      <c r="G227" s="4" t="s">
        <v>645</v>
      </c>
      <c r="H227" s="12" t="n">
        <v>1</v>
      </c>
      <c r="I227" s="4" t="s">
        <v>408</v>
      </c>
      <c r="J227" s="4" t="s">
        <v>409</v>
      </c>
      <c r="K227" s="13" t="n">
        <v>350</v>
      </c>
      <c r="L227" s="6" t="n">
        <f aca="false">H227*K227</f>
        <v>350</v>
      </c>
      <c r="M227" s="14" t="s">
        <v>410</v>
      </c>
    </row>
    <row r="228" customFormat="false" ht="15" hidden="false" customHeight="false" outlineLevel="0" collapsed="false">
      <c r="A228" s="4" t="s">
        <v>13</v>
      </c>
      <c r="B228" s="5" t="s">
        <v>48</v>
      </c>
      <c r="C228" s="5" t="s">
        <v>49</v>
      </c>
      <c r="D228" s="4" t="s">
        <v>22</v>
      </c>
      <c r="E228" s="4" t="s">
        <v>646</v>
      </c>
      <c r="F228" s="4" t="s">
        <v>406</v>
      </c>
      <c r="G228" s="4" t="s">
        <v>647</v>
      </c>
      <c r="H228" s="12" t="n">
        <v>1</v>
      </c>
      <c r="I228" s="4" t="s">
        <v>408</v>
      </c>
      <c r="J228" s="4" t="s">
        <v>409</v>
      </c>
      <c r="K228" s="13" t="n">
        <v>450</v>
      </c>
      <c r="L228" s="6" t="n">
        <f aca="false">H228*K228</f>
        <v>450</v>
      </c>
      <c r="M228" s="14" t="s">
        <v>410</v>
      </c>
    </row>
    <row r="229" customFormat="false" ht="15" hidden="false" customHeight="false" outlineLevel="0" collapsed="false">
      <c r="A229" s="4" t="s">
        <v>13</v>
      </c>
      <c r="B229" s="5" t="s">
        <v>48</v>
      </c>
      <c r="C229" s="5" t="s">
        <v>49</v>
      </c>
      <c r="D229" s="4" t="s">
        <v>22</v>
      </c>
      <c r="E229" s="4" t="s">
        <v>648</v>
      </c>
      <c r="F229" s="4" t="s">
        <v>406</v>
      </c>
      <c r="G229" s="4" t="s">
        <v>649</v>
      </c>
      <c r="H229" s="12" t="n">
        <v>1</v>
      </c>
      <c r="I229" s="4" t="s">
        <v>408</v>
      </c>
      <c r="J229" s="4" t="s">
        <v>409</v>
      </c>
      <c r="K229" s="13" t="n">
        <v>180</v>
      </c>
      <c r="L229" s="6" t="n">
        <f aca="false">H229*K229</f>
        <v>180</v>
      </c>
      <c r="M229" s="14" t="s">
        <v>410</v>
      </c>
    </row>
    <row r="230" customFormat="false" ht="15" hidden="false" customHeight="false" outlineLevel="0" collapsed="false">
      <c r="A230" s="4" t="s">
        <v>13</v>
      </c>
      <c r="B230" s="5" t="s">
        <v>48</v>
      </c>
      <c r="C230" s="5" t="s">
        <v>49</v>
      </c>
      <c r="D230" s="4" t="s">
        <v>22</v>
      </c>
      <c r="E230" s="4" t="s">
        <v>652</v>
      </c>
      <c r="F230" s="4" t="s">
        <v>406</v>
      </c>
      <c r="G230" s="4" t="s">
        <v>653</v>
      </c>
      <c r="H230" s="12" t="n">
        <v>1</v>
      </c>
      <c r="I230" s="4" t="s">
        <v>408</v>
      </c>
      <c r="J230" s="4" t="s">
        <v>409</v>
      </c>
      <c r="K230" s="13" t="n">
        <v>350</v>
      </c>
      <c r="L230" s="6" t="n">
        <f aca="false">H230*K230</f>
        <v>350</v>
      </c>
      <c r="M230" s="14" t="s">
        <v>410</v>
      </c>
    </row>
    <row r="231" customFormat="false" ht="15" hidden="false" customHeight="false" outlineLevel="0" collapsed="false">
      <c r="A231" s="4" t="s">
        <v>13</v>
      </c>
      <c r="B231" s="5" t="s">
        <v>48</v>
      </c>
      <c r="C231" s="5" t="s">
        <v>49</v>
      </c>
      <c r="D231" s="4" t="s">
        <v>22</v>
      </c>
      <c r="E231" s="4" t="s">
        <v>654</v>
      </c>
      <c r="F231" s="4" t="s">
        <v>406</v>
      </c>
      <c r="G231" s="4" t="s">
        <v>655</v>
      </c>
      <c r="H231" s="12" t="n">
        <v>1</v>
      </c>
      <c r="I231" s="4" t="s">
        <v>408</v>
      </c>
      <c r="J231" s="4" t="s">
        <v>409</v>
      </c>
      <c r="K231" s="13" t="n">
        <v>250</v>
      </c>
      <c r="L231" s="6" t="n">
        <f aca="false">H231*K231</f>
        <v>250</v>
      </c>
      <c r="M231" s="14" t="s">
        <v>410</v>
      </c>
    </row>
    <row r="232" customFormat="false" ht="15" hidden="false" customHeight="false" outlineLevel="0" collapsed="false">
      <c r="A232" s="4" t="s">
        <v>13</v>
      </c>
      <c r="B232" s="5" t="s">
        <v>48</v>
      </c>
      <c r="C232" s="5" t="s">
        <v>49</v>
      </c>
      <c r="D232" s="4" t="s">
        <v>22</v>
      </c>
      <c r="E232" s="4" t="s">
        <v>656</v>
      </c>
      <c r="F232" s="4" t="s">
        <v>406</v>
      </c>
      <c r="G232" s="4" t="s">
        <v>657</v>
      </c>
      <c r="H232" s="12" t="n">
        <v>1</v>
      </c>
      <c r="I232" s="4" t="s">
        <v>408</v>
      </c>
      <c r="J232" s="4" t="s">
        <v>409</v>
      </c>
      <c r="K232" s="13" t="n">
        <v>350</v>
      </c>
      <c r="L232" s="6" t="n">
        <f aca="false">H232*K232</f>
        <v>350</v>
      </c>
      <c r="M232" s="14" t="s">
        <v>410</v>
      </c>
    </row>
    <row r="233" customFormat="false" ht="15" hidden="false" customHeight="false" outlineLevel="0" collapsed="false">
      <c r="A233" s="4" t="s">
        <v>13</v>
      </c>
      <c r="B233" s="5" t="s">
        <v>48</v>
      </c>
      <c r="C233" s="5" t="s">
        <v>49</v>
      </c>
      <c r="D233" s="4" t="s">
        <v>22</v>
      </c>
      <c r="E233" s="4" t="s">
        <v>658</v>
      </c>
      <c r="F233" s="4" t="s">
        <v>406</v>
      </c>
      <c r="G233" s="4" t="s">
        <v>659</v>
      </c>
      <c r="H233" s="12" t="n">
        <v>1</v>
      </c>
      <c r="I233" s="4" t="s">
        <v>408</v>
      </c>
      <c r="J233" s="4" t="s">
        <v>409</v>
      </c>
      <c r="K233" s="13" t="n">
        <v>180</v>
      </c>
      <c r="L233" s="6" t="n">
        <f aca="false">H233*K233</f>
        <v>180</v>
      </c>
      <c r="M233" s="14" t="s">
        <v>410</v>
      </c>
    </row>
    <row r="234" customFormat="false" ht="15" hidden="false" customHeight="false" outlineLevel="0" collapsed="false">
      <c r="A234" s="4" t="s">
        <v>13</v>
      </c>
      <c r="B234" s="5" t="s">
        <v>48</v>
      </c>
      <c r="C234" s="5" t="s">
        <v>49</v>
      </c>
      <c r="D234" s="4" t="s">
        <v>22</v>
      </c>
      <c r="E234" s="4" t="s">
        <v>660</v>
      </c>
      <c r="F234" s="4" t="s">
        <v>406</v>
      </c>
      <c r="G234" s="4" t="s">
        <v>661</v>
      </c>
      <c r="H234" s="12" t="n">
        <v>1</v>
      </c>
      <c r="I234" s="4" t="s">
        <v>408</v>
      </c>
      <c r="J234" s="4" t="s">
        <v>409</v>
      </c>
      <c r="K234" s="13" t="n">
        <v>1800</v>
      </c>
      <c r="L234" s="6" t="n">
        <f aca="false">H234*K234</f>
        <v>1800</v>
      </c>
      <c r="M234" s="14" t="s">
        <v>410</v>
      </c>
    </row>
    <row r="235" customFormat="false" ht="15" hidden="false" customHeight="false" outlineLevel="0" collapsed="false">
      <c r="A235" s="4" t="s">
        <v>13</v>
      </c>
      <c r="B235" s="5" t="s">
        <v>48</v>
      </c>
      <c r="C235" s="5" t="s">
        <v>49</v>
      </c>
      <c r="D235" s="4" t="s">
        <v>22</v>
      </c>
      <c r="E235" s="4" t="s">
        <v>705</v>
      </c>
      <c r="F235" s="4" t="s">
        <v>406</v>
      </c>
      <c r="G235" s="4" t="s">
        <v>663</v>
      </c>
      <c r="H235" s="12" t="n">
        <v>1</v>
      </c>
      <c r="I235" s="4" t="s">
        <v>408</v>
      </c>
      <c r="J235" s="4" t="s">
        <v>416</v>
      </c>
      <c r="K235" s="13" t="n">
        <v>2500</v>
      </c>
      <c r="L235" s="6" t="n">
        <f aca="false">H235*K235</f>
        <v>2500</v>
      </c>
      <c r="M235" s="14" t="s">
        <v>410</v>
      </c>
    </row>
    <row r="236" customFormat="false" ht="15" hidden="false" customHeight="false" outlineLevel="0" collapsed="false">
      <c r="A236" s="4" t="s">
        <v>13</v>
      </c>
      <c r="B236" s="5" t="s">
        <v>48</v>
      </c>
      <c r="C236" s="5" t="s">
        <v>49</v>
      </c>
      <c r="D236" s="4" t="s">
        <v>22</v>
      </c>
      <c r="E236" s="4" t="s">
        <v>562</v>
      </c>
      <c r="F236" s="4" t="s">
        <v>406</v>
      </c>
      <c r="G236" s="4" t="s">
        <v>563</v>
      </c>
      <c r="H236" s="12" t="n">
        <v>1</v>
      </c>
      <c r="I236" s="4" t="s">
        <v>408</v>
      </c>
      <c r="J236" s="4" t="s">
        <v>409</v>
      </c>
      <c r="K236" s="13" t="n">
        <v>3500</v>
      </c>
      <c r="L236" s="6" t="n">
        <f aca="false">H236*K236</f>
        <v>3500</v>
      </c>
      <c r="M236" s="14" t="s">
        <v>410</v>
      </c>
    </row>
    <row r="237" customFormat="false" ht="15" hidden="false" customHeight="false" outlineLevel="0" collapsed="false">
      <c r="A237" s="4" t="s">
        <v>13</v>
      </c>
      <c r="B237" s="5" t="s">
        <v>48</v>
      </c>
      <c r="C237" s="5" t="s">
        <v>49</v>
      </c>
      <c r="D237" s="4" t="s">
        <v>22</v>
      </c>
      <c r="E237" s="4" t="s">
        <v>664</v>
      </c>
      <c r="F237" s="4" t="s">
        <v>406</v>
      </c>
      <c r="G237" s="4" t="s">
        <v>665</v>
      </c>
      <c r="H237" s="12" t="n">
        <v>1</v>
      </c>
      <c r="I237" s="4" t="s">
        <v>408</v>
      </c>
      <c r="J237" s="4" t="s">
        <v>409</v>
      </c>
      <c r="K237" s="13" t="n">
        <v>3500</v>
      </c>
      <c r="L237" s="6" t="n">
        <f aca="false">H237*K237</f>
        <v>3500</v>
      </c>
      <c r="M237" s="14" t="s">
        <v>410</v>
      </c>
    </row>
    <row r="238" customFormat="false" ht="15" hidden="false" customHeight="false" outlineLevel="0" collapsed="false">
      <c r="A238" s="4" t="s">
        <v>13</v>
      </c>
      <c r="B238" s="5" t="s">
        <v>48</v>
      </c>
      <c r="C238" s="5" t="s">
        <v>49</v>
      </c>
      <c r="D238" s="4" t="s">
        <v>22</v>
      </c>
      <c r="E238" s="4" t="s">
        <v>666</v>
      </c>
      <c r="F238" s="4" t="s">
        <v>406</v>
      </c>
      <c r="G238" s="4" t="s">
        <v>667</v>
      </c>
      <c r="H238" s="12" t="n">
        <v>1</v>
      </c>
      <c r="I238" s="4" t="s">
        <v>408</v>
      </c>
      <c r="J238" s="4" t="s">
        <v>409</v>
      </c>
      <c r="K238" s="13" t="n">
        <v>1200</v>
      </c>
      <c r="L238" s="6" t="n">
        <f aca="false">H238*K238</f>
        <v>1200</v>
      </c>
      <c r="M238" s="14" t="s">
        <v>410</v>
      </c>
    </row>
    <row r="239" customFormat="false" ht="15" hidden="false" customHeight="false" outlineLevel="0" collapsed="false">
      <c r="A239" s="4" t="s">
        <v>13</v>
      </c>
      <c r="B239" s="5" t="s">
        <v>48</v>
      </c>
      <c r="C239" s="5" t="s">
        <v>49</v>
      </c>
      <c r="D239" s="4" t="s">
        <v>22</v>
      </c>
      <c r="E239" s="4" t="s">
        <v>668</v>
      </c>
      <c r="F239" s="4" t="s">
        <v>406</v>
      </c>
      <c r="G239" s="4" t="s">
        <v>669</v>
      </c>
      <c r="H239" s="12" t="n">
        <v>1</v>
      </c>
      <c r="I239" s="4" t="s">
        <v>408</v>
      </c>
      <c r="J239" s="4" t="s">
        <v>409</v>
      </c>
      <c r="K239" s="13" t="n">
        <v>450</v>
      </c>
      <c r="L239" s="6" t="n">
        <f aca="false">H239*K239</f>
        <v>450</v>
      </c>
      <c r="M239" s="14" t="s">
        <v>410</v>
      </c>
    </row>
    <row r="240" customFormat="false" ht="15" hidden="false" customHeight="false" outlineLevel="0" collapsed="false">
      <c r="A240" s="4" t="s">
        <v>13</v>
      </c>
      <c r="B240" s="5" t="s">
        <v>48</v>
      </c>
      <c r="C240" s="5" t="s">
        <v>49</v>
      </c>
      <c r="D240" s="4" t="s">
        <v>22</v>
      </c>
      <c r="E240" s="4" t="s">
        <v>670</v>
      </c>
      <c r="F240" s="4" t="s">
        <v>406</v>
      </c>
      <c r="G240" s="4" t="s">
        <v>671</v>
      </c>
      <c r="H240" s="12" t="n">
        <v>1</v>
      </c>
      <c r="I240" s="4" t="s">
        <v>408</v>
      </c>
      <c r="J240" s="4" t="s">
        <v>409</v>
      </c>
      <c r="K240" s="13" t="n">
        <v>2500</v>
      </c>
      <c r="L240" s="6" t="n">
        <f aca="false">H240*K240</f>
        <v>2500</v>
      </c>
      <c r="M240" s="14" t="s">
        <v>410</v>
      </c>
    </row>
    <row r="241" customFormat="false" ht="15" hidden="false" customHeight="false" outlineLevel="0" collapsed="false">
      <c r="A241" s="4" t="s">
        <v>13</v>
      </c>
      <c r="B241" s="5" t="s">
        <v>48</v>
      </c>
      <c r="C241" s="5" t="s">
        <v>49</v>
      </c>
      <c r="D241" s="4" t="s">
        <v>22</v>
      </c>
      <c r="E241" s="4" t="s">
        <v>650</v>
      </c>
      <c r="F241" s="4" t="s">
        <v>406</v>
      </c>
      <c r="G241" s="4" t="s">
        <v>651</v>
      </c>
      <c r="H241" s="12" t="n">
        <v>1</v>
      </c>
      <c r="I241" s="4" t="s">
        <v>408</v>
      </c>
      <c r="J241" s="4" t="s">
        <v>409</v>
      </c>
      <c r="K241" s="13" t="n">
        <v>2500</v>
      </c>
      <c r="L241" s="6" t="n">
        <f aca="false">H241*K241</f>
        <v>2500</v>
      </c>
      <c r="M241" s="14" t="s">
        <v>410</v>
      </c>
    </row>
    <row r="242" customFormat="false" ht="15" hidden="false" customHeight="false" outlineLevel="0" collapsed="false">
      <c r="A242" s="4" t="s">
        <v>13</v>
      </c>
      <c r="B242" s="5" t="s">
        <v>48</v>
      </c>
      <c r="C242" s="5" t="s">
        <v>49</v>
      </c>
      <c r="D242" s="4" t="s">
        <v>22</v>
      </c>
      <c r="E242" s="4" t="s">
        <v>672</v>
      </c>
      <c r="F242" s="4" t="s">
        <v>406</v>
      </c>
      <c r="G242" s="4" t="s">
        <v>673</v>
      </c>
      <c r="H242" s="12" t="n">
        <v>1</v>
      </c>
      <c r="I242" s="4" t="s">
        <v>408</v>
      </c>
      <c r="J242" s="4" t="s">
        <v>409</v>
      </c>
      <c r="K242" s="13" t="n">
        <v>450</v>
      </c>
      <c r="L242" s="6" t="n">
        <f aca="false">H242*K242</f>
        <v>450</v>
      </c>
      <c r="M242" s="14" t="s">
        <v>410</v>
      </c>
    </row>
    <row r="243" customFormat="false" ht="15" hidden="false" customHeight="false" outlineLevel="0" collapsed="false">
      <c r="A243" s="4" t="s">
        <v>13</v>
      </c>
      <c r="B243" s="5" t="s">
        <v>48</v>
      </c>
      <c r="C243" s="5" t="s">
        <v>49</v>
      </c>
      <c r="D243" s="4" t="s">
        <v>22</v>
      </c>
      <c r="E243" s="4" t="s">
        <v>674</v>
      </c>
      <c r="F243" s="4" t="s">
        <v>406</v>
      </c>
      <c r="G243" s="4" t="s">
        <v>675</v>
      </c>
      <c r="H243" s="12" t="n">
        <v>1</v>
      </c>
      <c r="I243" s="4" t="s">
        <v>408</v>
      </c>
      <c r="J243" s="4" t="s">
        <v>409</v>
      </c>
      <c r="K243" s="13" t="n">
        <v>18000</v>
      </c>
      <c r="L243" s="6" t="n">
        <f aca="false">H243*K243</f>
        <v>18000</v>
      </c>
      <c r="M243" s="14" t="s">
        <v>410</v>
      </c>
    </row>
    <row r="244" customFormat="false" ht="15" hidden="false" customHeight="false" outlineLevel="0" collapsed="false">
      <c r="A244" s="4" t="s">
        <v>13</v>
      </c>
      <c r="B244" s="5" t="s">
        <v>48</v>
      </c>
      <c r="C244" s="5" t="s">
        <v>49</v>
      </c>
      <c r="D244" s="4" t="s">
        <v>22</v>
      </c>
      <c r="E244" s="4" t="s">
        <v>676</v>
      </c>
      <c r="F244" s="4" t="s">
        <v>406</v>
      </c>
      <c r="G244" s="4" t="s">
        <v>677</v>
      </c>
      <c r="H244" s="12" t="n">
        <v>1</v>
      </c>
      <c r="I244" s="4" t="s">
        <v>408</v>
      </c>
      <c r="J244" s="4" t="s">
        <v>409</v>
      </c>
      <c r="K244" s="13" t="n">
        <v>18000</v>
      </c>
      <c r="L244" s="6" t="n">
        <f aca="false">H244*K244</f>
        <v>18000</v>
      </c>
      <c r="M244" s="14" t="s">
        <v>410</v>
      </c>
    </row>
    <row r="245" customFormat="false" ht="15" hidden="false" customHeight="false" outlineLevel="0" collapsed="false">
      <c r="A245" s="4" t="s">
        <v>13</v>
      </c>
      <c r="B245" s="5" t="s">
        <v>48</v>
      </c>
      <c r="C245" s="5" t="s">
        <v>49</v>
      </c>
      <c r="D245" s="4" t="s">
        <v>22</v>
      </c>
      <c r="E245" s="4" t="s">
        <v>678</v>
      </c>
      <c r="F245" s="4" t="s">
        <v>406</v>
      </c>
      <c r="G245" s="4" t="s">
        <v>679</v>
      </c>
      <c r="H245" s="12" t="n">
        <v>1</v>
      </c>
      <c r="I245" s="4" t="s">
        <v>408</v>
      </c>
      <c r="J245" s="4" t="s">
        <v>409</v>
      </c>
      <c r="K245" s="13" t="n">
        <v>18000</v>
      </c>
      <c r="L245" s="6" t="n">
        <f aca="false">H245*K245</f>
        <v>18000</v>
      </c>
      <c r="M245" s="14" t="s">
        <v>410</v>
      </c>
    </row>
    <row r="246" customFormat="false" ht="15" hidden="false" customHeight="false" outlineLevel="0" collapsed="false">
      <c r="A246" s="4" t="s">
        <v>13</v>
      </c>
      <c r="B246" s="5" t="s">
        <v>48</v>
      </c>
      <c r="C246" s="5" t="s">
        <v>49</v>
      </c>
      <c r="D246" s="4" t="s">
        <v>22</v>
      </c>
      <c r="E246" s="4" t="s">
        <v>680</v>
      </c>
      <c r="F246" s="4" t="s">
        <v>406</v>
      </c>
      <c r="G246" s="4" t="s">
        <v>681</v>
      </c>
      <c r="H246" s="12" t="n">
        <v>1</v>
      </c>
      <c r="I246" s="4" t="s">
        <v>408</v>
      </c>
      <c r="J246" s="4" t="s">
        <v>409</v>
      </c>
      <c r="K246" s="13" t="n">
        <v>18000</v>
      </c>
      <c r="L246" s="6" t="n">
        <f aca="false">H246*K246</f>
        <v>18000</v>
      </c>
      <c r="M246" s="14" t="s">
        <v>410</v>
      </c>
    </row>
    <row r="247" customFormat="false" ht="15" hidden="false" customHeight="false" outlineLevel="0" collapsed="false">
      <c r="A247" s="4" t="s">
        <v>13</v>
      </c>
      <c r="B247" s="5" t="s">
        <v>48</v>
      </c>
      <c r="C247" s="5" t="s">
        <v>49</v>
      </c>
      <c r="D247" s="4" t="s">
        <v>22</v>
      </c>
      <c r="E247" s="4" t="s">
        <v>682</v>
      </c>
      <c r="F247" s="4" t="s">
        <v>406</v>
      </c>
      <c r="G247" s="4" t="s">
        <v>683</v>
      </c>
      <c r="H247" s="12" t="n">
        <v>1</v>
      </c>
      <c r="I247" s="4" t="s">
        <v>408</v>
      </c>
      <c r="J247" s="4" t="s">
        <v>409</v>
      </c>
      <c r="K247" s="13" t="n">
        <v>1800</v>
      </c>
      <c r="L247" s="6" t="n">
        <f aca="false">H247*K247</f>
        <v>1800</v>
      </c>
      <c r="M247" s="14" t="s">
        <v>410</v>
      </c>
    </row>
    <row r="248" customFormat="false" ht="15" hidden="false" customHeight="false" outlineLevel="0" collapsed="false">
      <c r="A248" s="4" t="s">
        <v>13</v>
      </c>
      <c r="B248" s="5" t="s">
        <v>48</v>
      </c>
      <c r="C248" s="5" t="s">
        <v>49</v>
      </c>
      <c r="D248" s="4" t="s">
        <v>22</v>
      </c>
      <c r="E248" s="4" t="s">
        <v>684</v>
      </c>
      <c r="F248" s="4" t="s">
        <v>406</v>
      </c>
      <c r="G248" s="4" t="s">
        <v>685</v>
      </c>
      <c r="H248" s="12" t="n">
        <v>1</v>
      </c>
      <c r="I248" s="4" t="s">
        <v>408</v>
      </c>
      <c r="J248" s="4" t="s">
        <v>409</v>
      </c>
      <c r="K248" s="13" t="n">
        <v>6500</v>
      </c>
      <c r="L248" s="6" t="n">
        <f aca="false">H248*K248</f>
        <v>6500</v>
      </c>
      <c r="M248" s="14" t="s">
        <v>410</v>
      </c>
    </row>
    <row r="249" customFormat="false" ht="15" hidden="false" customHeight="false" outlineLevel="0" collapsed="false">
      <c r="A249" s="4" t="s">
        <v>13</v>
      </c>
      <c r="B249" s="5" t="s">
        <v>48</v>
      </c>
      <c r="C249" s="5" t="s">
        <v>49</v>
      </c>
      <c r="D249" s="4" t="s">
        <v>22</v>
      </c>
      <c r="E249" s="4" t="s">
        <v>566</v>
      </c>
      <c r="F249" s="4" t="s">
        <v>406</v>
      </c>
      <c r="G249" s="4" t="s">
        <v>567</v>
      </c>
      <c r="H249" s="12" t="n">
        <v>1</v>
      </c>
      <c r="I249" s="4" t="s">
        <v>408</v>
      </c>
      <c r="J249" s="4" t="s">
        <v>413</v>
      </c>
      <c r="K249" s="13" t="n">
        <v>4500</v>
      </c>
      <c r="L249" s="6" t="n">
        <f aca="false">H249*K249</f>
        <v>4500</v>
      </c>
      <c r="M249" s="14" t="s">
        <v>410</v>
      </c>
    </row>
    <row r="250" customFormat="false" ht="15" hidden="false" customHeight="false" outlineLevel="0" collapsed="false">
      <c r="A250" s="4" t="s">
        <v>13</v>
      </c>
      <c r="B250" s="5" t="s">
        <v>48</v>
      </c>
      <c r="C250" s="5" t="s">
        <v>49</v>
      </c>
      <c r="D250" s="4" t="s">
        <v>22</v>
      </c>
      <c r="E250" s="4" t="s">
        <v>568</v>
      </c>
      <c r="F250" s="4" t="s">
        <v>406</v>
      </c>
      <c r="G250" s="4" t="s">
        <v>569</v>
      </c>
      <c r="H250" s="12" t="n">
        <v>1</v>
      </c>
      <c r="I250" s="4" t="s">
        <v>408</v>
      </c>
      <c r="J250" s="4" t="s">
        <v>409</v>
      </c>
      <c r="K250" s="13" t="n">
        <v>350</v>
      </c>
      <c r="L250" s="6" t="n">
        <f aca="false">H250*K250</f>
        <v>350</v>
      </c>
      <c r="M250" s="14" t="s">
        <v>410</v>
      </c>
    </row>
    <row r="251" customFormat="false" ht="15" hidden="false" customHeight="false" outlineLevel="0" collapsed="false">
      <c r="A251" s="4" t="s">
        <v>13</v>
      </c>
      <c r="B251" s="5" t="s">
        <v>48</v>
      </c>
      <c r="C251" s="5" t="s">
        <v>49</v>
      </c>
      <c r="D251" s="4" t="s">
        <v>22</v>
      </c>
      <c r="E251" s="4" t="s">
        <v>572</v>
      </c>
      <c r="F251" s="4" t="s">
        <v>406</v>
      </c>
      <c r="G251" s="4" t="s">
        <v>573</v>
      </c>
      <c r="H251" s="12" t="n">
        <v>1</v>
      </c>
      <c r="I251" s="4" t="s">
        <v>408</v>
      </c>
      <c r="J251" s="4" t="s">
        <v>409</v>
      </c>
      <c r="K251" s="13" t="n">
        <v>2500</v>
      </c>
      <c r="L251" s="6" t="n">
        <f aca="false">H251*K251</f>
        <v>2500</v>
      </c>
      <c r="M251" s="14" t="s">
        <v>410</v>
      </c>
    </row>
    <row r="252" customFormat="false" ht="15" hidden="false" customHeight="false" outlineLevel="0" collapsed="false">
      <c r="A252" s="4" t="s">
        <v>13</v>
      </c>
      <c r="B252" s="5" t="s">
        <v>48</v>
      </c>
      <c r="C252" s="5" t="s">
        <v>49</v>
      </c>
      <c r="D252" s="4" t="s">
        <v>22</v>
      </c>
      <c r="E252" s="4" t="s">
        <v>576</v>
      </c>
      <c r="F252" s="4" t="s">
        <v>406</v>
      </c>
      <c r="G252" s="4" t="s">
        <v>577</v>
      </c>
      <c r="H252" s="12" t="n">
        <v>1</v>
      </c>
      <c r="I252" s="4" t="s">
        <v>408</v>
      </c>
      <c r="J252" s="4" t="s">
        <v>543</v>
      </c>
      <c r="K252" s="13" t="n">
        <v>8500</v>
      </c>
      <c r="L252" s="6" t="n">
        <f aca="false">H252*K252</f>
        <v>8500</v>
      </c>
      <c r="M252" s="14" t="s">
        <v>410</v>
      </c>
    </row>
    <row r="253" customFormat="false" ht="15" hidden="false" customHeight="false" outlineLevel="0" collapsed="false">
      <c r="A253" s="4" t="s">
        <v>13</v>
      </c>
      <c r="B253" s="5" t="s">
        <v>48</v>
      </c>
      <c r="C253" s="5" t="s">
        <v>49</v>
      </c>
      <c r="D253" s="4" t="s">
        <v>22</v>
      </c>
      <c r="E253" s="4" t="s">
        <v>578</v>
      </c>
      <c r="F253" s="4" t="s">
        <v>406</v>
      </c>
      <c r="G253" s="4" t="s">
        <v>579</v>
      </c>
      <c r="H253" s="12" t="n">
        <v>1</v>
      </c>
      <c r="I253" s="4" t="s">
        <v>408</v>
      </c>
      <c r="J253" s="4" t="s">
        <v>543</v>
      </c>
      <c r="K253" s="13" t="n">
        <v>4500</v>
      </c>
      <c r="L253" s="6" t="n">
        <f aca="false">H253*K253</f>
        <v>4500</v>
      </c>
      <c r="M253" s="14" t="s">
        <v>410</v>
      </c>
    </row>
    <row r="254" customFormat="false" ht="15" hidden="false" customHeight="false" outlineLevel="0" collapsed="false">
      <c r="A254" s="4" t="s">
        <v>13</v>
      </c>
      <c r="B254" s="5" t="s">
        <v>48</v>
      </c>
      <c r="C254" s="5" t="s">
        <v>49</v>
      </c>
      <c r="D254" s="4" t="s">
        <v>22</v>
      </c>
      <c r="E254" s="4" t="s">
        <v>580</v>
      </c>
      <c r="F254" s="4" t="s">
        <v>406</v>
      </c>
      <c r="G254" s="4" t="s">
        <v>581</v>
      </c>
      <c r="H254" s="12" t="n">
        <v>1</v>
      </c>
      <c r="I254" s="4" t="s">
        <v>408</v>
      </c>
      <c r="J254" s="4" t="s">
        <v>409</v>
      </c>
      <c r="K254" s="13" t="n">
        <v>18000</v>
      </c>
      <c r="L254" s="6" t="n">
        <f aca="false">H254*K254</f>
        <v>18000</v>
      </c>
      <c r="M254" s="14" t="s">
        <v>410</v>
      </c>
    </row>
    <row r="255" customFormat="false" ht="15" hidden="false" customHeight="false" outlineLevel="0" collapsed="false">
      <c r="A255" s="4" t="s">
        <v>13</v>
      </c>
      <c r="B255" s="5" t="s">
        <v>48</v>
      </c>
      <c r="C255" s="5" t="s">
        <v>49</v>
      </c>
      <c r="D255" s="4" t="s">
        <v>22</v>
      </c>
      <c r="E255" s="4" t="s">
        <v>582</v>
      </c>
      <c r="F255" s="4" t="s">
        <v>406</v>
      </c>
      <c r="G255" s="4" t="s">
        <v>583</v>
      </c>
      <c r="H255" s="12" t="n">
        <v>1</v>
      </c>
      <c r="I255" s="4" t="s">
        <v>408</v>
      </c>
      <c r="J255" s="4" t="s">
        <v>409</v>
      </c>
      <c r="K255" s="13" t="n">
        <v>18000</v>
      </c>
      <c r="L255" s="6" t="n">
        <f aca="false">H255*K255</f>
        <v>18000</v>
      </c>
      <c r="M255" s="14" t="s">
        <v>410</v>
      </c>
    </row>
    <row r="256" customFormat="false" ht="15" hidden="false" customHeight="false" outlineLevel="0" collapsed="false">
      <c r="A256" s="4" t="s">
        <v>13</v>
      </c>
      <c r="B256" s="5" t="s">
        <v>48</v>
      </c>
      <c r="C256" s="5" t="s">
        <v>49</v>
      </c>
      <c r="D256" s="4" t="s">
        <v>22</v>
      </c>
      <c r="E256" s="4" t="s">
        <v>688</v>
      </c>
      <c r="F256" s="4" t="s">
        <v>406</v>
      </c>
      <c r="G256" s="4" t="s">
        <v>689</v>
      </c>
      <c r="H256" s="12" t="n">
        <v>1</v>
      </c>
      <c r="I256" s="4" t="s">
        <v>408</v>
      </c>
      <c r="J256" s="4" t="s">
        <v>409</v>
      </c>
      <c r="K256" s="13" t="n">
        <v>18000</v>
      </c>
      <c r="L256" s="6" t="n">
        <f aca="false">H256*K256</f>
        <v>18000</v>
      </c>
      <c r="M256" s="14" t="s">
        <v>410</v>
      </c>
    </row>
    <row r="257" customFormat="false" ht="15" hidden="false" customHeight="false" outlineLevel="0" collapsed="false">
      <c r="A257" s="4" t="s">
        <v>13</v>
      </c>
      <c r="B257" s="5" t="s">
        <v>48</v>
      </c>
      <c r="C257" s="5" t="s">
        <v>49</v>
      </c>
      <c r="D257" s="4" t="s">
        <v>22</v>
      </c>
      <c r="E257" s="4" t="s">
        <v>690</v>
      </c>
      <c r="F257" s="4" t="s">
        <v>406</v>
      </c>
      <c r="G257" s="4" t="s">
        <v>691</v>
      </c>
      <c r="H257" s="12" t="n">
        <v>1</v>
      </c>
      <c r="I257" s="4" t="s">
        <v>408</v>
      </c>
      <c r="J257" s="4" t="s">
        <v>409</v>
      </c>
      <c r="K257" s="13" t="n">
        <v>8500</v>
      </c>
      <c r="L257" s="6" t="n">
        <f aca="false">H257*K257</f>
        <v>8500</v>
      </c>
      <c r="M257" s="14" t="s">
        <v>410</v>
      </c>
    </row>
    <row r="258" customFormat="false" ht="15" hidden="false" customHeight="false" outlineLevel="0" collapsed="false">
      <c r="A258" s="4" t="s">
        <v>13</v>
      </c>
      <c r="B258" s="5" t="s">
        <v>48</v>
      </c>
      <c r="C258" s="5" t="s">
        <v>49</v>
      </c>
      <c r="D258" s="4" t="s">
        <v>22</v>
      </c>
      <c r="E258" s="4" t="s">
        <v>590</v>
      </c>
      <c r="F258" s="4" t="s">
        <v>406</v>
      </c>
      <c r="G258" s="4" t="s">
        <v>591</v>
      </c>
      <c r="H258" s="12" t="n">
        <v>1</v>
      </c>
      <c r="I258" s="4" t="s">
        <v>408</v>
      </c>
      <c r="J258" s="4" t="s">
        <v>543</v>
      </c>
      <c r="K258" s="13" t="n">
        <v>4500</v>
      </c>
      <c r="L258" s="6" t="n">
        <f aca="false">H258*K258</f>
        <v>4500</v>
      </c>
      <c r="M258" s="14" t="s">
        <v>410</v>
      </c>
    </row>
    <row r="259" customFormat="false" ht="15" hidden="false" customHeight="false" outlineLevel="0" collapsed="false">
      <c r="A259" s="4" t="s">
        <v>13</v>
      </c>
      <c r="B259" s="5" t="s">
        <v>48</v>
      </c>
      <c r="C259" s="5" t="s">
        <v>49</v>
      </c>
      <c r="D259" s="4" t="s">
        <v>22</v>
      </c>
      <c r="E259" s="4" t="s">
        <v>692</v>
      </c>
      <c r="F259" s="4" t="s">
        <v>406</v>
      </c>
      <c r="G259" s="4" t="s">
        <v>693</v>
      </c>
      <c r="H259" s="12" t="n">
        <v>1</v>
      </c>
      <c r="I259" s="4" t="s">
        <v>408</v>
      </c>
      <c r="J259" s="4" t="s">
        <v>409</v>
      </c>
      <c r="K259" s="13" t="n">
        <v>180000</v>
      </c>
      <c r="L259" s="6" t="n">
        <f aca="false">H259*K259</f>
        <v>180000</v>
      </c>
      <c r="M259" s="14" t="s">
        <v>410</v>
      </c>
    </row>
    <row r="260" customFormat="false" ht="15" hidden="false" customHeight="false" outlineLevel="0" collapsed="false">
      <c r="A260" s="4" t="s">
        <v>13</v>
      </c>
      <c r="B260" s="5" t="s">
        <v>48</v>
      </c>
      <c r="C260" s="5" t="s">
        <v>49</v>
      </c>
      <c r="D260" s="4" t="s">
        <v>22</v>
      </c>
      <c r="E260" s="4" t="s">
        <v>694</v>
      </c>
      <c r="F260" s="4" t="s">
        <v>406</v>
      </c>
      <c r="G260" s="4" t="s">
        <v>695</v>
      </c>
      <c r="H260" s="12" t="n">
        <v>1</v>
      </c>
      <c r="I260" s="4" t="s">
        <v>408</v>
      </c>
      <c r="J260" s="4" t="s">
        <v>409</v>
      </c>
      <c r="K260" s="13" t="n">
        <v>180000</v>
      </c>
      <c r="L260" s="6" t="n">
        <f aca="false">H260*K260</f>
        <v>180000</v>
      </c>
      <c r="M260" s="14" t="s">
        <v>410</v>
      </c>
    </row>
    <row r="261" customFormat="false" ht="15" hidden="false" customHeight="false" outlineLevel="0" collapsed="false">
      <c r="A261" s="4" t="s">
        <v>13</v>
      </c>
      <c r="B261" s="5" t="s">
        <v>48</v>
      </c>
      <c r="C261" s="5" t="s">
        <v>49</v>
      </c>
      <c r="D261" s="4" t="s">
        <v>22</v>
      </c>
      <c r="E261" s="4" t="s">
        <v>570</v>
      </c>
      <c r="F261" s="4" t="s">
        <v>406</v>
      </c>
      <c r="G261" s="4" t="s">
        <v>571</v>
      </c>
      <c r="H261" s="12" t="n">
        <v>1</v>
      </c>
      <c r="I261" s="4" t="s">
        <v>408</v>
      </c>
      <c r="J261" s="4" t="s">
        <v>409</v>
      </c>
      <c r="K261" s="13" t="n">
        <v>6500</v>
      </c>
      <c r="L261" s="6" t="n">
        <f aca="false">H261*K261</f>
        <v>6500</v>
      </c>
      <c r="M261" s="14" t="s">
        <v>410</v>
      </c>
    </row>
    <row r="262" customFormat="false" ht="15" hidden="false" customHeight="false" outlineLevel="0" collapsed="false">
      <c r="A262" s="4" t="s">
        <v>13</v>
      </c>
      <c r="B262" s="5" t="s">
        <v>48</v>
      </c>
      <c r="C262" s="5" t="s">
        <v>49</v>
      </c>
      <c r="D262" s="4" t="s">
        <v>22</v>
      </c>
      <c r="E262" s="4" t="s">
        <v>592</v>
      </c>
      <c r="F262" s="4" t="s">
        <v>488</v>
      </c>
      <c r="G262" s="4" t="s">
        <v>593</v>
      </c>
      <c r="H262" s="12" t="n">
        <v>1</v>
      </c>
      <c r="I262" s="4" t="s">
        <v>408</v>
      </c>
      <c r="J262" s="4" t="s">
        <v>432</v>
      </c>
      <c r="K262" s="13" t="n">
        <v>8</v>
      </c>
      <c r="L262" s="6" t="n">
        <f aca="false">H262*K262</f>
        <v>8</v>
      </c>
      <c r="M262" s="4" t="s">
        <v>371</v>
      </c>
    </row>
    <row r="263" customFormat="false" ht="15" hidden="false" customHeight="false" outlineLevel="0" collapsed="false">
      <c r="A263" s="4" t="s">
        <v>13</v>
      </c>
      <c r="B263" s="5" t="s">
        <v>48</v>
      </c>
      <c r="C263" s="5" t="s">
        <v>49</v>
      </c>
      <c r="D263" s="4" t="s">
        <v>22</v>
      </c>
      <c r="E263" s="4" t="s">
        <v>594</v>
      </c>
      <c r="F263" s="4" t="s">
        <v>488</v>
      </c>
      <c r="G263" s="4" t="s">
        <v>595</v>
      </c>
      <c r="H263" s="12" t="n">
        <v>1</v>
      </c>
      <c r="I263" s="4" t="s">
        <v>408</v>
      </c>
      <c r="J263" s="4" t="s">
        <v>432</v>
      </c>
      <c r="K263" s="13" t="n">
        <v>65</v>
      </c>
      <c r="L263" s="6" t="n">
        <f aca="false">H263*K263</f>
        <v>65</v>
      </c>
      <c r="M263" s="4" t="s">
        <v>371</v>
      </c>
    </row>
    <row r="264" customFormat="false" ht="15" hidden="false" customHeight="false" outlineLevel="0" collapsed="false">
      <c r="A264" s="4" t="s">
        <v>13</v>
      </c>
      <c r="B264" s="5" t="s">
        <v>48</v>
      </c>
      <c r="C264" s="5" t="s">
        <v>49</v>
      </c>
      <c r="D264" s="4" t="s">
        <v>22</v>
      </c>
      <c r="E264" s="4" t="s">
        <v>596</v>
      </c>
      <c r="F264" s="4" t="s">
        <v>488</v>
      </c>
      <c r="G264" s="4" t="s">
        <v>597</v>
      </c>
      <c r="H264" s="12" t="n">
        <v>1</v>
      </c>
      <c r="I264" s="4" t="s">
        <v>408</v>
      </c>
      <c r="J264" s="4" t="s">
        <v>490</v>
      </c>
      <c r="K264" s="13" t="n">
        <v>450</v>
      </c>
      <c r="L264" s="6" t="n">
        <f aca="false">H264*K264</f>
        <v>450</v>
      </c>
      <c r="M264" s="4" t="s">
        <v>371</v>
      </c>
    </row>
    <row r="265" customFormat="false" ht="15" hidden="false" customHeight="false" outlineLevel="0" collapsed="false">
      <c r="A265" s="4" t="s">
        <v>13</v>
      </c>
      <c r="B265" s="5" t="s">
        <v>48</v>
      </c>
      <c r="C265" s="5" t="s">
        <v>49</v>
      </c>
      <c r="D265" s="4" t="s">
        <v>22</v>
      </c>
      <c r="E265" s="4" t="s">
        <v>598</v>
      </c>
      <c r="F265" s="4" t="s">
        <v>488</v>
      </c>
      <c r="G265" s="4" t="s">
        <v>599</v>
      </c>
      <c r="H265" s="12" t="n">
        <v>1</v>
      </c>
      <c r="I265" s="4" t="s">
        <v>408</v>
      </c>
      <c r="J265" s="4" t="s">
        <v>506</v>
      </c>
      <c r="K265" s="13" t="n">
        <v>350</v>
      </c>
      <c r="L265" s="6" t="n">
        <f aca="false">H265*K265</f>
        <v>350</v>
      </c>
      <c r="M265" s="4" t="s">
        <v>371</v>
      </c>
    </row>
    <row r="266" customFormat="false" ht="15" hidden="false" customHeight="false" outlineLevel="0" collapsed="false">
      <c r="A266" s="4" t="s">
        <v>13</v>
      </c>
      <c r="B266" s="5" t="s">
        <v>54</v>
      </c>
      <c r="C266" s="5" t="s">
        <v>55</v>
      </c>
      <c r="D266" s="4" t="s">
        <v>22</v>
      </c>
      <c r="E266" s="4" t="s">
        <v>550</v>
      </c>
      <c r="F266" s="4" t="s">
        <v>406</v>
      </c>
      <c r="G266" s="4" t="s">
        <v>551</v>
      </c>
      <c r="H266" s="12" t="n">
        <v>1</v>
      </c>
      <c r="I266" s="4" t="s">
        <v>408</v>
      </c>
      <c r="J266" s="4" t="s">
        <v>409</v>
      </c>
      <c r="K266" s="13" t="n">
        <v>850</v>
      </c>
      <c r="L266" s="6" t="n">
        <f aca="false">H266*K266</f>
        <v>850</v>
      </c>
      <c r="M266" s="14" t="s">
        <v>410</v>
      </c>
    </row>
    <row r="267" customFormat="false" ht="15" hidden="false" customHeight="false" outlineLevel="0" collapsed="false">
      <c r="A267" s="4" t="s">
        <v>13</v>
      </c>
      <c r="B267" s="5" t="s">
        <v>54</v>
      </c>
      <c r="C267" s="5" t="s">
        <v>55</v>
      </c>
      <c r="D267" s="4" t="s">
        <v>22</v>
      </c>
      <c r="E267" s="4" t="s">
        <v>552</v>
      </c>
      <c r="F267" s="4" t="s">
        <v>406</v>
      </c>
      <c r="G267" s="4" t="s">
        <v>553</v>
      </c>
      <c r="H267" s="12" t="n">
        <v>1</v>
      </c>
      <c r="I267" s="4" t="s">
        <v>408</v>
      </c>
      <c r="J267" s="4" t="s">
        <v>409</v>
      </c>
      <c r="K267" s="13" t="n">
        <v>850</v>
      </c>
      <c r="L267" s="6" t="n">
        <f aca="false">H267*K267</f>
        <v>850</v>
      </c>
      <c r="M267" s="14" t="s">
        <v>410</v>
      </c>
    </row>
    <row r="268" customFormat="false" ht="15" hidden="false" customHeight="false" outlineLevel="0" collapsed="false">
      <c r="A268" s="4" t="s">
        <v>13</v>
      </c>
      <c r="B268" s="5" t="s">
        <v>54</v>
      </c>
      <c r="C268" s="5" t="s">
        <v>55</v>
      </c>
      <c r="D268" s="4" t="s">
        <v>22</v>
      </c>
      <c r="E268" s="4" t="s">
        <v>554</v>
      </c>
      <c r="F268" s="4" t="s">
        <v>406</v>
      </c>
      <c r="G268" s="4" t="s">
        <v>555</v>
      </c>
      <c r="H268" s="12" t="n">
        <v>1</v>
      </c>
      <c r="I268" s="4" t="s">
        <v>408</v>
      </c>
      <c r="J268" s="4" t="s">
        <v>409</v>
      </c>
      <c r="K268" s="13" t="n">
        <v>450</v>
      </c>
      <c r="L268" s="6" t="n">
        <f aca="false">H268*K268</f>
        <v>450</v>
      </c>
      <c r="M268" s="14" t="s">
        <v>410</v>
      </c>
    </row>
    <row r="269" customFormat="false" ht="15" hidden="false" customHeight="false" outlineLevel="0" collapsed="false">
      <c r="A269" s="4" t="s">
        <v>13</v>
      </c>
      <c r="B269" s="5" t="s">
        <v>54</v>
      </c>
      <c r="C269" s="5" t="s">
        <v>55</v>
      </c>
      <c r="D269" s="4" t="s">
        <v>22</v>
      </c>
      <c r="E269" s="4" t="s">
        <v>558</v>
      </c>
      <c r="F269" s="4" t="s">
        <v>406</v>
      </c>
      <c r="G269" s="4" t="s">
        <v>559</v>
      </c>
      <c r="H269" s="12" t="n">
        <v>1</v>
      </c>
      <c r="I269" s="4" t="s">
        <v>408</v>
      </c>
      <c r="J269" s="4" t="s">
        <v>409</v>
      </c>
      <c r="K269" s="13" t="n">
        <v>650</v>
      </c>
      <c r="L269" s="6" t="n">
        <f aca="false">H269*K269</f>
        <v>650</v>
      </c>
      <c r="M269" s="14" t="s">
        <v>410</v>
      </c>
    </row>
    <row r="270" customFormat="false" ht="15" hidden="false" customHeight="false" outlineLevel="0" collapsed="false">
      <c r="A270" s="4" t="s">
        <v>13</v>
      </c>
      <c r="B270" s="5" t="s">
        <v>54</v>
      </c>
      <c r="C270" s="5" t="s">
        <v>55</v>
      </c>
      <c r="D270" s="4" t="s">
        <v>22</v>
      </c>
      <c r="E270" s="4" t="s">
        <v>560</v>
      </c>
      <c r="F270" s="4" t="s">
        <v>406</v>
      </c>
      <c r="G270" s="4" t="s">
        <v>561</v>
      </c>
      <c r="H270" s="12" t="n">
        <v>1</v>
      </c>
      <c r="I270" s="4" t="s">
        <v>408</v>
      </c>
      <c r="J270" s="4" t="s">
        <v>409</v>
      </c>
      <c r="K270" s="13" t="n">
        <v>250</v>
      </c>
      <c r="L270" s="6" t="n">
        <f aca="false">H270*K270</f>
        <v>250</v>
      </c>
      <c r="M270" s="14" t="s">
        <v>410</v>
      </c>
    </row>
    <row r="271" customFormat="false" ht="15" hidden="false" customHeight="false" outlineLevel="0" collapsed="false">
      <c r="A271" s="4" t="s">
        <v>13</v>
      </c>
      <c r="B271" s="5" t="s">
        <v>54</v>
      </c>
      <c r="C271" s="5" t="s">
        <v>55</v>
      </c>
      <c r="D271" s="4" t="s">
        <v>22</v>
      </c>
      <c r="E271" s="4" t="s">
        <v>539</v>
      </c>
      <c r="F271" s="4" t="s">
        <v>406</v>
      </c>
      <c r="G271" s="4" t="s">
        <v>540</v>
      </c>
      <c r="H271" s="12" t="n">
        <v>1</v>
      </c>
      <c r="I271" s="4" t="s">
        <v>408</v>
      </c>
      <c r="J271" s="4" t="s">
        <v>409</v>
      </c>
      <c r="K271" s="13" t="n">
        <v>250</v>
      </c>
      <c r="L271" s="6" t="n">
        <f aca="false">H271*K271</f>
        <v>250</v>
      </c>
      <c r="M271" s="14" t="s">
        <v>410</v>
      </c>
    </row>
    <row r="272" customFormat="false" ht="15" hidden="false" customHeight="false" outlineLevel="0" collapsed="false">
      <c r="A272" s="4" t="s">
        <v>13</v>
      </c>
      <c r="B272" s="5" t="s">
        <v>54</v>
      </c>
      <c r="C272" s="5" t="s">
        <v>55</v>
      </c>
      <c r="D272" s="4" t="s">
        <v>22</v>
      </c>
      <c r="E272" s="4" t="s">
        <v>706</v>
      </c>
      <c r="F272" s="4" t="s">
        <v>406</v>
      </c>
      <c r="G272" s="4" t="s">
        <v>707</v>
      </c>
      <c r="H272" s="12" t="n">
        <v>1</v>
      </c>
      <c r="I272" s="4" t="s">
        <v>408</v>
      </c>
      <c r="J272" s="4" t="s">
        <v>409</v>
      </c>
      <c r="K272" s="13" t="n">
        <v>8500</v>
      </c>
      <c r="L272" s="6" t="n">
        <f aca="false">H272*K272</f>
        <v>8500</v>
      </c>
      <c r="M272" s="14" t="s">
        <v>410</v>
      </c>
    </row>
    <row r="273" customFormat="false" ht="15" hidden="false" customHeight="false" outlineLevel="0" collapsed="false">
      <c r="A273" s="4" t="s">
        <v>13</v>
      </c>
      <c r="B273" s="5" t="s">
        <v>54</v>
      </c>
      <c r="C273" s="5" t="s">
        <v>55</v>
      </c>
      <c r="D273" s="4" t="s">
        <v>22</v>
      </c>
      <c r="E273" s="4" t="s">
        <v>562</v>
      </c>
      <c r="F273" s="4" t="s">
        <v>406</v>
      </c>
      <c r="G273" s="4" t="s">
        <v>563</v>
      </c>
      <c r="H273" s="12" t="n">
        <v>1</v>
      </c>
      <c r="I273" s="4" t="s">
        <v>408</v>
      </c>
      <c r="J273" s="4" t="s">
        <v>409</v>
      </c>
      <c r="K273" s="13" t="n">
        <v>3500</v>
      </c>
      <c r="L273" s="6" t="n">
        <f aca="false">H273*K273</f>
        <v>3500</v>
      </c>
      <c r="M273" s="14" t="s">
        <v>410</v>
      </c>
    </row>
    <row r="274" customFormat="false" ht="15" hidden="false" customHeight="false" outlineLevel="0" collapsed="false">
      <c r="A274" s="4" t="s">
        <v>13</v>
      </c>
      <c r="B274" s="5" t="s">
        <v>54</v>
      </c>
      <c r="C274" s="5" t="s">
        <v>55</v>
      </c>
      <c r="D274" s="4" t="s">
        <v>22</v>
      </c>
      <c r="E274" s="4" t="s">
        <v>564</v>
      </c>
      <c r="F274" s="4" t="s">
        <v>406</v>
      </c>
      <c r="G274" s="4" t="s">
        <v>565</v>
      </c>
      <c r="H274" s="12" t="n">
        <v>1</v>
      </c>
      <c r="I274" s="4" t="s">
        <v>408</v>
      </c>
      <c r="J274" s="4" t="s">
        <v>409</v>
      </c>
      <c r="K274" s="13" t="n">
        <v>18000</v>
      </c>
      <c r="L274" s="6" t="n">
        <f aca="false">H274*K274</f>
        <v>18000</v>
      </c>
      <c r="M274" s="14" t="s">
        <v>410</v>
      </c>
    </row>
    <row r="275" customFormat="false" ht="15" hidden="false" customHeight="false" outlineLevel="0" collapsed="false">
      <c r="A275" s="4" t="s">
        <v>13</v>
      </c>
      <c r="B275" s="5" t="s">
        <v>54</v>
      </c>
      <c r="C275" s="5" t="s">
        <v>55</v>
      </c>
      <c r="D275" s="4" t="s">
        <v>22</v>
      </c>
      <c r="E275" s="4" t="s">
        <v>566</v>
      </c>
      <c r="F275" s="4" t="s">
        <v>406</v>
      </c>
      <c r="G275" s="4" t="s">
        <v>567</v>
      </c>
      <c r="H275" s="12" t="n">
        <v>1</v>
      </c>
      <c r="I275" s="4" t="s">
        <v>408</v>
      </c>
      <c r="J275" s="4" t="s">
        <v>413</v>
      </c>
      <c r="K275" s="13" t="n">
        <v>4500</v>
      </c>
      <c r="L275" s="6" t="n">
        <f aca="false">H275*K275</f>
        <v>4500</v>
      </c>
      <c r="M275" s="14" t="s">
        <v>410</v>
      </c>
    </row>
    <row r="276" customFormat="false" ht="15" hidden="false" customHeight="false" outlineLevel="0" collapsed="false">
      <c r="A276" s="4" t="s">
        <v>13</v>
      </c>
      <c r="B276" s="5" t="s">
        <v>54</v>
      </c>
      <c r="C276" s="5" t="s">
        <v>55</v>
      </c>
      <c r="D276" s="4" t="s">
        <v>22</v>
      </c>
      <c r="E276" s="4" t="s">
        <v>568</v>
      </c>
      <c r="F276" s="4" t="s">
        <v>406</v>
      </c>
      <c r="G276" s="4" t="s">
        <v>569</v>
      </c>
      <c r="H276" s="12" t="n">
        <v>1</v>
      </c>
      <c r="I276" s="4" t="s">
        <v>408</v>
      </c>
      <c r="J276" s="4" t="s">
        <v>409</v>
      </c>
      <c r="K276" s="13" t="n">
        <v>350</v>
      </c>
      <c r="L276" s="6" t="n">
        <f aca="false">H276*K276</f>
        <v>350</v>
      </c>
      <c r="M276" s="14" t="s">
        <v>410</v>
      </c>
    </row>
    <row r="277" customFormat="false" ht="15" hidden="false" customHeight="false" outlineLevel="0" collapsed="false">
      <c r="A277" s="4" t="s">
        <v>13</v>
      </c>
      <c r="B277" s="5" t="s">
        <v>54</v>
      </c>
      <c r="C277" s="5" t="s">
        <v>55</v>
      </c>
      <c r="D277" s="4" t="s">
        <v>22</v>
      </c>
      <c r="E277" s="4" t="s">
        <v>570</v>
      </c>
      <c r="F277" s="4" t="s">
        <v>406</v>
      </c>
      <c r="G277" s="4" t="s">
        <v>571</v>
      </c>
      <c r="H277" s="12" t="n">
        <v>1</v>
      </c>
      <c r="I277" s="4" t="s">
        <v>408</v>
      </c>
      <c r="J277" s="4" t="s">
        <v>409</v>
      </c>
      <c r="K277" s="13" t="n">
        <v>6500</v>
      </c>
      <c r="L277" s="6" t="n">
        <f aca="false">H277*K277</f>
        <v>6500</v>
      </c>
      <c r="M277" s="14" t="s">
        <v>410</v>
      </c>
    </row>
    <row r="278" customFormat="false" ht="15" hidden="false" customHeight="false" outlineLevel="0" collapsed="false">
      <c r="A278" s="4" t="s">
        <v>13</v>
      </c>
      <c r="B278" s="5" t="s">
        <v>54</v>
      </c>
      <c r="C278" s="5" t="s">
        <v>55</v>
      </c>
      <c r="D278" s="4" t="s">
        <v>22</v>
      </c>
      <c r="E278" s="4" t="s">
        <v>572</v>
      </c>
      <c r="F278" s="4" t="s">
        <v>406</v>
      </c>
      <c r="G278" s="4" t="s">
        <v>573</v>
      </c>
      <c r="H278" s="12" t="n">
        <v>1</v>
      </c>
      <c r="I278" s="4" t="s">
        <v>408</v>
      </c>
      <c r="J278" s="4" t="s">
        <v>409</v>
      </c>
      <c r="K278" s="13" t="n">
        <v>2500</v>
      </c>
      <c r="L278" s="6" t="n">
        <f aca="false">H278*K278</f>
        <v>2500</v>
      </c>
      <c r="M278" s="14" t="s">
        <v>410</v>
      </c>
    </row>
    <row r="279" customFormat="false" ht="15" hidden="false" customHeight="false" outlineLevel="0" collapsed="false">
      <c r="A279" s="4" t="s">
        <v>13</v>
      </c>
      <c r="B279" s="5" t="s">
        <v>54</v>
      </c>
      <c r="C279" s="5" t="s">
        <v>55</v>
      </c>
      <c r="D279" s="4" t="s">
        <v>22</v>
      </c>
      <c r="E279" s="4" t="s">
        <v>574</v>
      </c>
      <c r="F279" s="4" t="s">
        <v>406</v>
      </c>
      <c r="G279" s="4" t="s">
        <v>575</v>
      </c>
      <c r="H279" s="12" t="n">
        <v>1</v>
      </c>
      <c r="I279" s="4" t="s">
        <v>408</v>
      </c>
      <c r="J279" s="4" t="s">
        <v>409</v>
      </c>
      <c r="K279" s="13" t="n">
        <v>3500</v>
      </c>
      <c r="L279" s="6" t="n">
        <f aca="false">H279*K279</f>
        <v>3500</v>
      </c>
      <c r="M279" s="14" t="s">
        <v>410</v>
      </c>
    </row>
    <row r="280" customFormat="false" ht="15" hidden="false" customHeight="false" outlineLevel="0" collapsed="false">
      <c r="A280" s="4" t="s">
        <v>13</v>
      </c>
      <c r="B280" s="5" t="s">
        <v>54</v>
      </c>
      <c r="C280" s="5" t="s">
        <v>55</v>
      </c>
      <c r="D280" s="4" t="s">
        <v>22</v>
      </c>
      <c r="E280" s="4" t="s">
        <v>576</v>
      </c>
      <c r="F280" s="4" t="s">
        <v>406</v>
      </c>
      <c r="G280" s="4" t="s">
        <v>577</v>
      </c>
      <c r="H280" s="12" t="n">
        <v>1</v>
      </c>
      <c r="I280" s="4" t="s">
        <v>408</v>
      </c>
      <c r="J280" s="4" t="s">
        <v>543</v>
      </c>
      <c r="K280" s="13" t="n">
        <v>8500</v>
      </c>
      <c r="L280" s="6" t="n">
        <f aca="false">H280*K280</f>
        <v>8500</v>
      </c>
      <c r="M280" s="14" t="s">
        <v>410</v>
      </c>
    </row>
    <row r="281" customFormat="false" ht="15" hidden="false" customHeight="false" outlineLevel="0" collapsed="false">
      <c r="A281" s="4" t="s">
        <v>13</v>
      </c>
      <c r="B281" s="5" t="s">
        <v>54</v>
      </c>
      <c r="C281" s="5" t="s">
        <v>55</v>
      </c>
      <c r="D281" s="4" t="s">
        <v>22</v>
      </c>
      <c r="E281" s="4" t="s">
        <v>686</v>
      </c>
      <c r="F281" s="4" t="s">
        <v>406</v>
      </c>
      <c r="G281" s="4" t="s">
        <v>687</v>
      </c>
      <c r="H281" s="12" t="n">
        <v>1</v>
      </c>
      <c r="I281" s="4" t="s">
        <v>408</v>
      </c>
      <c r="J281" s="4" t="s">
        <v>409</v>
      </c>
      <c r="K281" s="13" t="n">
        <v>850</v>
      </c>
      <c r="L281" s="6" t="n">
        <f aca="false">H281*K281</f>
        <v>850</v>
      </c>
      <c r="M281" s="14" t="s">
        <v>410</v>
      </c>
    </row>
    <row r="282" customFormat="false" ht="15" hidden="false" customHeight="false" outlineLevel="0" collapsed="false">
      <c r="A282" s="4" t="s">
        <v>13</v>
      </c>
      <c r="B282" s="5" t="s">
        <v>54</v>
      </c>
      <c r="C282" s="5" t="s">
        <v>55</v>
      </c>
      <c r="D282" s="4" t="s">
        <v>22</v>
      </c>
      <c r="E282" s="4" t="s">
        <v>708</v>
      </c>
      <c r="F282" s="4" t="s">
        <v>406</v>
      </c>
      <c r="G282" s="4" t="s">
        <v>709</v>
      </c>
      <c r="H282" s="12" t="n">
        <v>1</v>
      </c>
      <c r="I282" s="4" t="s">
        <v>408</v>
      </c>
      <c r="J282" s="4" t="s">
        <v>409</v>
      </c>
      <c r="K282" s="13" t="n">
        <v>45000</v>
      </c>
      <c r="L282" s="6" t="n">
        <f aca="false">H282*K282</f>
        <v>45000</v>
      </c>
      <c r="M282" s="14" t="s">
        <v>410</v>
      </c>
    </row>
    <row r="283" customFormat="false" ht="15" hidden="false" customHeight="false" outlineLevel="0" collapsed="false">
      <c r="A283" s="4" t="s">
        <v>13</v>
      </c>
      <c r="B283" s="5" t="s">
        <v>54</v>
      </c>
      <c r="C283" s="5" t="s">
        <v>55</v>
      </c>
      <c r="D283" s="4" t="s">
        <v>22</v>
      </c>
      <c r="E283" s="4" t="s">
        <v>578</v>
      </c>
      <c r="F283" s="4" t="s">
        <v>406</v>
      </c>
      <c r="G283" s="4" t="s">
        <v>579</v>
      </c>
      <c r="H283" s="12" t="n">
        <v>1</v>
      </c>
      <c r="I283" s="4" t="s">
        <v>408</v>
      </c>
      <c r="J283" s="4" t="s">
        <v>543</v>
      </c>
      <c r="K283" s="13" t="n">
        <v>4500</v>
      </c>
      <c r="L283" s="6" t="n">
        <f aca="false">H283*K283</f>
        <v>4500</v>
      </c>
      <c r="M283" s="14" t="s">
        <v>410</v>
      </c>
    </row>
    <row r="284" customFormat="false" ht="15" hidden="false" customHeight="false" outlineLevel="0" collapsed="false">
      <c r="A284" s="4" t="s">
        <v>13</v>
      </c>
      <c r="B284" s="5" t="s">
        <v>54</v>
      </c>
      <c r="C284" s="5" t="s">
        <v>55</v>
      </c>
      <c r="D284" s="4" t="s">
        <v>22</v>
      </c>
      <c r="E284" s="4" t="s">
        <v>580</v>
      </c>
      <c r="F284" s="4" t="s">
        <v>406</v>
      </c>
      <c r="G284" s="4" t="s">
        <v>581</v>
      </c>
      <c r="H284" s="12" t="n">
        <v>1</v>
      </c>
      <c r="I284" s="4" t="s">
        <v>408</v>
      </c>
      <c r="J284" s="4" t="s">
        <v>409</v>
      </c>
      <c r="K284" s="13" t="n">
        <v>18000</v>
      </c>
      <c r="L284" s="6" t="n">
        <f aca="false">H284*K284</f>
        <v>18000</v>
      </c>
      <c r="M284" s="14" t="s">
        <v>410</v>
      </c>
    </row>
    <row r="285" customFormat="false" ht="15" hidden="false" customHeight="false" outlineLevel="0" collapsed="false">
      <c r="A285" s="4" t="s">
        <v>13</v>
      </c>
      <c r="B285" s="5" t="s">
        <v>54</v>
      </c>
      <c r="C285" s="5" t="s">
        <v>55</v>
      </c>
      <c r="D285" s="4" t="s">
        <v>22</v>
      </c>
      <c r="E285" s="4" t="s">
        <v>582</v>
      </c>
      <c r="F285" s="4" t="s">
        <v>406</v>
      </c>
      <c r="G285" s="4" t="s">
        <v>583</v>
      </c>
      <c r="H285" s="12" t="n">
        <v>1</v>
      </c>
      <c r="I285" s="4" t="s">
        <v>408</v>
      </c>
      <c r="J285" s="4" t="s">
        <v>409</v>
      </c>
      <c r="K285" s="13" t="n">
        <v>18000</v>
      </c>
      <c r="L285" s="6" t="n">
        <f aca="false">H285*K285</f>
        <v>18000</v>
      </c>
      <c r="M285" s="14" t="s">
        <v>410</v>
      </c>
    </row>
    <row r="286" customFormat="false" ht="15" hidden="false" customHeight="false" outlineLevel="0" collapsed="false">
      <c r="A286" s="4" t="s">
        <v>13</v>
      </c>
      <c r="B286" s="5" t="s">
        <v>54</v>
      </c>
      <c r="C286" s="5" t="s">
        <v>55</v>
      </c>
      <c r="D286" s="4" t="s">
        <v>22</v>
      </c>
      <c r="E286" s="4" t="s">
        <v>584</v>
      </c>
      <c r="F286" s="4" t="s">
        <v>406</v>
      </c>
      <c r="G286" s="4" t="s">
        <v>585</v>
      </c>
      <c r="H286" s="12" t="n">
        <v>1</v>
      </c>
      <c r="I286" s="4" t="s">
        <v>408</v>
      </c>
      <c r="J286" s="4" t="s">
        <v>543</v>
      </c>
      <c r="K286" s="13" t="n">
        <v>4500</v>
      </c>
      <c r="L286" s="6" t="n">
        <f aca="false">H286*K286</f>
        <v>4500</v>
      </c>
      <c r="M286" s="14" t="s">
        <v>410</v>
      </c>
    </row>
    <row r="287" customFormat="false" ht="15" hidden="false" customHeight="false" outlineLevel="0" collapsed="false">
      <c r="A287" s="4" t="s">
        <v>13</v>
      </c>
      <c r="B287" s="5" t="s">
        <v>54</v>
      </c>
      <c r="C287" s="5" t="s">
        <v>55</v>
      </c>
      <c r="D287" s="4" t="s">
        <v>22</v>
      </c>
      <c r="E287" s="4" t="s">
        <v>586</v>
      </c>
      <c r="F287" s="4" t="s">
        <v>406</v>
      </c>
      <c r="G287" s="4" t="s">
        <v>587</v>
      </c>
      <c r="H287" s="12" t="n">
        <v>1</v>
      </c>
      <c r="I287" s="4" t="s">
        <v>408</v>
      </c>
      <c r="J287" s="4" t="s">
        <v>543</v>
      </c>
      <c r="K287" s="13" t="n">
        <v>4500</v>
      </c>
      <c r="L287" s="6" t="n">
        <f aca="false">H287*K287</f>
        <v>4500</v>
      </c>
      <c r="M287" s="14" t="s">
        <v>410</v>
      </c>
    </row>
    <row r="288" customFormat="false" ht="15" hidden="false" customHeight="false" outlineLevel="0" collapsed="false">
      <c r="A288" s="4" t="s">
        <v>13</v>
      </c>
      <c r="B288" s="5" t="s">
        <v>54</v>
      </c>
      <c r="C288" s="5" t="s">
        <v>55</v>
      </c>
      <c r="D288" s="4" t="s">
        <v>22</v>
      </c>
      <c r="E288" s="4" t="s">
        <v>588</v>
      </c>
      <c r="F288" s="4" t="s">
        <v>406</v>
      </c>
      <c r="G288" s="4" t="s">
        <v>589</v>
      </c>
      <c r="H288" s="12" t="n">
        <v>1</v>
      </c>
      <c r="I288" s="4" t="s">
        <v>408</v>
      </c>
      <c r="J288" s="4" t="s">
        <v>543</v>
      </c>
      <c r="K288" s="13" t="n">
        <v>4500</v>
      </c>
      <c r="L288" s="6" t="n">
        <f aca="false">H288*K288</f>
        <v>4500</v>
      </c>
      <c r="M288" s="14" t="s">
        <v>410</v>
      </c>
    </row>
    <row r="289" customFormat="false" ht="15" hidden="false" customHeight="false" outlineLevel="0" collapsed="false">
      <c r="A289" s="4" t="s">
        <v>13</v>
      </c>
      <c r="B289" s="5" t="s">
        <v>54</v>
      </c>
      <c r="C289" s="5" t="s">
        <v>55</v>
      </c>
      <c r="D289" s="4" t="s">
        <v>22</v>
      </c>
      <c r="E289" s="4" t="s">
        <v>590</v>
      </c>
      <c r="F289" s="4" t="s">
        <v>406</v>
      </c>
      <c r="G289" s="4" t="s">
        <v>591</v>
      </c>
      <c r="H289" s="12" t="n">
        <v>1</v>
      </c>
      <c r="I289" s="4" t="s">
        <v>408</v>
      </c>
      <c r="J289" s="4" t="s">
        <v>543</v>
      </c>
      <c r="K289" s="13" t="n">
        <v>4500</v>
      </c>
      <c r="L289" s="6" t="n">
        <f aca="false">H289*K289</f>
        <v>4500</v>
      </c>
      <c r="M289" s="14" t="s">
        <v>410</v>
      </c>
    </row>
    <row r="290" customFormat="false" ht="15" hidden="false" customHeight="false" outlineLevel="0" collapsed="false">
      <c r="A290" s="4" t="s">
        <v>13</v>
      </c>
      <c r="B290" s="5" t="s">
        <v>54</v>
      </c>
      <c r="C290" s="5" t="s">
        <v>55</v>
      </c>
      <c r="D290" s="4" t="s">
        <v>22</v>
      </c>
      <c r="E290" s="4" t="s">
        <v>710</v>
      </c>
      <c r="F290" s="4" t="s">
        <v>406</v>
      </c>
      <c r="G290" s="4" t="s">
        <v>711</v>
      </c>
      <c r="H290" s="12" t="n">
        <v>1</v>
      </c>
      <c r="I290" s="4" t="s">
        <v>408</v>
      </c>
      <c r="J290" s="4" t="s">
        <v>409</v>
      </c>
      <c r="K290" s="13" t="n">
        <v>125000</v>
      </c>
      <c r="L290" s="6" t="n">
        <f aca="false">H290*K290</f>
        <v>125000</v>
      </c>
      <c r="M290" s="14" t="s">
        <v>410</v>
      </c>
    </row>
    <row r="291" customFormat="false" ht="15" hidden="false" customHeight="false" outlineLevel="0" collapsed="false">
      <c r="A291" s="4" t="s">
        <v>13</v>
      </c>
      <c r="B291" s="5" t="s">
        <v>54</v>
      </c>
      <c r="C291" s="5" t="s">
        <v>55</v>
      </c>
      <c r="D291" s="4" t="s">
        <v>22</v>
      </c>
      <c r="E291" s="4" t="s">
        <v>712</v>
      </c>
      <c r="F291" s="4" t="s">
        <v>406</v>
      </c>
      <c r="G291" s="4" t="s">
        <v>713</v>
      </c>
      <c r="H291" s="12" t="n">
        <v>1</v>
      </c>
      <c r="I291" s="4" t="s">
        <v>408</v>
      </c>
      <c r="J291" s="4" t="s">
        <v>409</v>
      </c>
      <c r="K291" s="13" t="n">
        <v>18000</v>
      </c>
      <c r="L291" s="6" t="n">
        <f aca="false">H291*K291</f>
        <v>18000</v>
      </c>
      <c r="M291" s="14" t="s">
        <v>410</v>
      </c>
    </row>
    <row r="292" customFormat="false" ht="15" hidden="false" customHeight="false" outlineLevel="0" collapsed="false">
      <c r="A292" s="4" t="s">
        <v>13</v>
      </c>
      <c r="B292" s="5" t="s">
        <v>54</v>
      </c>
      <c r="C292" s="5" t="s">
        <v>55</v>
      </c>
      <c r="D292" s="4" t="s">
        <v>22</v>
      </c>
      <c r="E292" s="4" t="s">
        <v>714</v>
      </c>
      <c r="F292" s="4" t="s">
        <v>406</v>
      </c>
      <c r="G292" s="4" t="s">
        <v>715</v>
      </c>
      <c r="H292" s="12" t="n">
        <v>1</v>
      </c>
      <c r="I292" s="4" t="s">
        <v>408</v>
      </c>
      <c r="J292" s="4" t="s">
        <v>409</v>
      </c>
      <c r="K292" s="13" t="n">
        <v>350000</v>
      </c>
      <c r="L292" s="6" t="n">
        <f aca="false">H292*K292</f>
        <v>350000</v>
      </c>
      <c r="M292" s="14" t="s">
        <v>410</v>
      </c>
    </row>
    <row r="293" customFormat="false" ht="15" hidden="false" customHeight="false" outlineLevel="0" collapsed="false">
      <c r="A293" s="4" t="s">
        <v>13</v>
      </c>
      <c r="B293" s="5" t="s">
        <v>54</v>
      </c>
      <c r="C293" s="5" t="s">
        <v>55</v>
      </c>
      <c r="D293" s="4" t="s">
        <v>22</v>
      </c>
      <c r="E293" s="4" t="s">
        <v>694</v>
      </c>
      <c r="F293" s="4" t="s">
        <v>406</v>
      </c>
      <c r="G293" s="4" t="s">
        <v>695</v>
      </c>
      <c r="H293" s="12" t="n">
        <v>1</v>
      </c>
      <c r="I293" s="4" t="s">
        <v>408</v>
      </c>
      <c r="J293" s="4" t="s">
        <v>409</v>
      </c>
      <c r="K293" s="13" t="n">
        <v>180000</v>
      </c>
      <c r="L293" s="6" t="n">
        <f aca="false">H293*K293</f>
        <v>180000</v>
      </c>
      <c r="M293" s="14" t="s">
        <v>410</v>
      </c>
    </row>
    <row r="294" customFormat="false" ht="15" hidden="false" customHeight="false" outlineLevel="0" collapsed="false">
      <c r="A294" s="4" t="s">
        <v>13</v>
      </c>
      <c r="B294" s="5" t="s">
        <v>54</v>
      </c>
      <c r="C294" s="5" t="s">
        <v>55</v>
      </c>
      <c r="D294" s="4" t="s">
        <v>22</v>
      </c>
      <c r="E294" s="4" t="s">
        <v>716</v>
      </c>
      <c r="F294" s="4" t="s">
        <v>406</v>
      </c>
      <c r="G294" s="4" t="s">
        <v>717</v>
      </c>
      <c r="H294" s="12" t="n">
        <v>1</v>
      </c>
      <c r="I294" s="4" t="s">
        <v>408</v>
      </c>
      <c r="J294" s="4" t="s">
        <v>409</v>
      </c>
      <c r="K294" s="13" t="n">
        <v>18000</v>
      </c>
      <c r="L294" s="6" t="n">
        <f aca="false">H294*K294</f>
        <v>18000</v>
      </c>
      <c r="M294" s="14" t="s">
        <v>410</v>
      </c>
    </row>
    <row r="295" customFormat="false" ht="15" hidden="false" customHeight="false" outlineLevel="0" collapsed="false">
      <c r="A295" s="4" t="s">
        <v>13</v>
      </c>
      <c r="B295" s="5" t="s">
        <v>54</v>
      </c>
      <c r="C295" s="5" t="s">
        <v>55</v>
      </c>
      <c r="D295" s="4" t="s">
        <v>22</v>
      </c>
      <c r="E295" s="4" t="s">
        <v>718</v>
      </c>
      <c r="F295" s="4" t="s">
        <v>406</v>
      </c>
      <c r="G295" s="4" t="s">
        <v>719</v>
      </c>
      <c r="H295" s="12" t="n">
        <v>1</v>
      </c>
      <c r="I295" s="4" t="s">
        <v>408</v>
      </c>
      <c r="J295" s="4" t="s">
        <v>409</v>
      </c>
      <c r="K295" s="13" t="n">
        <v>65000</v>
      </c>
      <c r="L295" s="6" t="n">
        <f aca="false">H295*K295</f>
        <v>65000</v>
      </c>
      <c r="M295" s="14" t="s">
        <v>410</v>
      </c>
    </row>
    <row r="296" customFormat="false" ht="15" hidden="false" customHeight="false" outlineLevel="0" collapsed="false">
      <c r="A296" s="4" t="s">
        <v>13</v>
      </c>
      <c r="B296" s="5" t="s">
        <v>54</v>
      </c>
      <c r="C296" s="5" t="s">
        <v>55</v>
      </c>
      <c r="D296" s="4" t="s">
        <v>22</v>
      </c>
      <c r="E296" s="4" t="s">
        <v>720</v>
      </c>
      <c r="F296" s="4" t="s">
        <v>406</v>
      </c>
      <c r="G296" s="4" t="s">
        <v>721</v>
      </c>
      <c r="H296" s="12" t="n">
        <v>1</v>
      </c>
      <c r="I296" s="4" t="s">
        <v>408</v>
      </c>
      <c r="J296" s="4" t="s">
        <v>409</v>
      </c>
      <c r="K296" s="13" t="n">
        <v>85000</v>
      </c>
      <c r="L296" s="6" t="n">
        <f aca="false">H296*K296</f>
        <v>85000</v>
      </c>
      <c r="M296" s="14" t="s">
        <v>410</v>
      </c>
    </row>
    <row r="297" customFormat="false" ht="15" hidden="false" customHeight="false" outlineLevel="0" collapsed="false">
      <c r="A297" s="4" t="s">
        <v>13</v>
      </c>
      <c r="B297" s="5" t="s">
        <v>54</v>
      </c>
      <c r="C297" s="5" t="s">
        <v>55</v>
      </c>
      <c r="D297" s="4" t="s">
        <v>22</v>
      </c>
      <c r="E297" s="4" t="s">
        <v>722</v>
      </c>
      <c r="F297" s="4" t="s">
        <v>406</v>
      </c>
      <c r="G297" s="4" t="s">
        <v>723</v>
      </c>
      <c r="H297" s="12" t="n">
        <v>1</v>
      </c>
      <c r="I297" s="4" t="s">
        <v>408</v>
      </c>
      <c r="J297" s="4" t="s">
        <v>409</v>
      </c>
      <c r="K297" s="13" t="n">
        <v>85000</v>
      </c>
      <c r="L297" s="6" t="n">
        <f aca="false">H297*K297</f>
        <v>85000</v>
      </c>
      <c r="M297" s="14" t="s">
        <v>410</v>
      </c>
    </row>
    <row r="298" customFormat="false" ht="15" hidden="false" customHeight="false" outlineLevel="0" collapsed="false">
      <c r="A298" s="4" t="s">
        <v>13</v>
      </c>
      <c r="B298" s="5" t="s">
        <v>54</v>
      </c>
      <c r="C298" s="5" t="s">
        <v>55</v>
      </c>
      <c r="D298" s="4" t="s">
        <v>22</v>
      </c>
      <c r="E298" s="4" t="s">
        <v>724</v>
      </c>
      <c r="F298" s="4" t="s">
        <v>488</v>
      </c>
      <c r="G298" s="4" t="s">
        <v>725</v>
      </c>
      <c r="H298" s="12" t="n">
        <v>1</v>
      </c>
      <c r="I298" s="4" t="s">
        <v>408</v>
      </c>
      <c r="J298" s="4" t="s">
        <v>432</v>
      </c>
      <c r="K298" s="13" t="n">
        <v>180</v>
      </c>
      <c r="L298" s="6" t="n">
        <f aca="false">H298*K298</f>
        <v>180</v>
      </c>
      <c r="M298" s="4" t="s">
        <v>371</v>
      </c>
    </row>
    <row r="299" customFormat="false" ht="15" hidden="false" customHeight="false" outlineLevel="0" collapsed="false">
      <c r="A299" s="4" t="s">
        <v>13</v>
      </c>
      <c r="B299" s="5" t="s">
        <v>54</v>
      </c>
      <c r="C299" s="5" t="s">
        <v>55</v>
      </c>
      <c r="D299" s="4" t="s">
        <v>22</v>
      </c>
      <c r="E299" s="4" t="s">
        <v>592</v>
      </c>
      <c r="F299" s="4" t="s">
        <v>488</v>
      </c>
      <c r="G299" s="4" t="s">
        <v>593</v>
      </c>
      <c r="H299" s="12" t="n">
        <v>1</v>
      </c>
      <c r="I299" s="4" t="s">
        <v>408</v>
      </c>
      <c r="J299" s="4" t="s">
        <v>432</v>
      </c>
      <c r="K299" s="13" t="n">
        <v>8</v>
      </c>
      <c r="L299" s="6" t="n">
        <f aca="false">H299*K299</f>
        <v>8</v>
      </c>
      <c r="M299" s="4" t="s">
        <v>371</v>
      </c>
    </row>
    <row r="300" customFormat="false" ht="15" hidden="false" customHeight="false" outlineLevel="0" collapsed="false">
      <c r="A300" s="4" t="s">
        <v>13</v>
      </c>
      <c r="B300" s="5" t="s">
        <v>54</v>
      </c>
      <c r="C300" s="5" t="s">
        <v>55</v>
      </c>
      <c r="D300" s="4" t="s">
        <v>22</v>
      </c>
      <c r="E300" s="4" t="s">
        <v>726</v>
      </c>
      <c r="F300" s="4" t="s">
        <v>488</v>
      </c>
      <c r="G300" s="4" t="s">
        <v>727</v>
      </c>
      <c r="H300" s="12" t="n">
        <v>1</v>
      </c>
      <c r="I300" s="4" t="s">
        <v>408</v>
      </c>
      <c r="J300" s="4" t="s">
        <v>432</v>
      </c>
      <c r="K300" s="13" t="n">
        <v>65</v>
      </c>
      <c r="L300" s="6" t="n">
        <f aca="false">H300*K300</f>
        <v>65</v>
      </c>
      <c r="M300" s="4" t="s">
        <v>371</v>
      </c>
    </row>
    <row r="301" customFormat="false" ht="15" hidden="false" customHeight="false" outlineLevel="0" collapsed="false">
      <c r="A301" s="4" t="s">
        <v>13</v>
      </c>
      <c r="B301" s="5" t="s">
        <v>54</v>
      </c>
      <c r="C301" s="5" t="s">
        <v>55</v>
      </c>
      <c r="D301" s="4" t="s">
        <v>22</v>
      </c>
      <c r="E301" s="4" t="s">
        <v>596</v>
      </c>
      <c r="F301" s="4" t="s">
        <v>488</v>
      </c>
      <c r="G301" s="4" t="s">
        <v>597</v>
      </c>
      <c r="H301" s="12" t="n">
        <v>1</v>
      </c>
      <c r="I301" s="4" t="s">
        <v>408</v>
      </c>
      <c r="J301" s="4" t="s">
        <v>490</v>
      </c>
      <c r="K301" s="13" t="n">
        <v>450</v>
      </c>
      <c r="L301" s="6" t="n">
        <f aca="false">H301*K301</f>
        <v>450</v>
      </c>
      <c r="M301" s="4" t="s">
        <v>371</v>
      </c>
    </row>
    <row r="302" customFormat="false" ht="15" hidden="false" customHeight="false" outlineLevel="0" collapsed="false">
      <c r="A302" s="4" t="s">
        <v>13</v>
      </c>
      <c r="B302" s="5" t="s">
        <v>54</v>
      </c>
      <c r="C302" s="5" t="s">
        <v>55</v>
      </c>
      <c r="D302" s="4" t="s">
        <v>22</v>
      </c>
      <c r="E302" s="4" t="s">
        <v>598</v>
      </c>
      <c r="F302" s="4" t="s">
        <v>488</v>
      </c>
      <c r="G302" s="4" t="s">
        <v>599</v>
      </c>
      <c r="H302" s="12" t="n">
        <v>1</v>
      </c>
      <c r="I302" s="4" t="s">
        <v>408</v>
      </c>
      <c r="J302" s="4" t="s">
        <v>506</v>
      </c>
      <c r="K302" s="13" t="n">
        <v>350</v>
      </c>
      <c r="L302" s="6" t="n">
        <f aca="false">H302*K302</f>
        <v>350</v>
      </c>
      <c r="M302" s="4" t="s">
        <v>371</v>
      </c>
    </row>
    <row r="303" customFormat="false" ht="15" hidden="false" customHeight="false" outlineLevel="0" collapsed="false">
      <c r="A303" s="4" t="s">
        <v>13</v>
      </c>
      <c r="B303" s="5" t="s">
        <v>62</v>
      </c>
      <c r="C303" s="5" t="s">
        <v>63</v>
      </c>
      <c r="D303" s="4" t="s">
        <v>22</v>
      </c>
      <c r="E303" s="4" t="s">
        <v>507</v>
      </c>
      <c r="F303" s="4" t="s">
        <v>406</v>
      </c>
      <c r="G303" s="4" t="s">
        <v>508</v>
      </c>
      <c r="H303" s="12" t="n">
        <v>1</v>
      </c>
      <c r="I303" s="4" t="s">
        <v>408</v>
      </c>
      <c r="J303" s="4" t="s">
        <v>416</v>
      </c>
      <c r="K303" s="13" t="n">
        <v>1800</v>
      </c>
      <c r="L303" s="6" t="n">
        <f aca="false">H303*K303</f>
        <v>1800</v>
      </c>
      <c r="M303" s="14" t="s">
        <v>410</v>
      </c>
    </row>
    <row r="304" customFormat="false" ht="15" hidden="false" customHeight="false" outlineLevel="0" collapsed="false">
      <c r="A304" s="4" t="s">
        <v>13</v>
      </c>
      <c r="B304" s="5" t="s">
        <v>62</v>
      </c>
      <c r="C304" s="5" t="s">
        <v>63</v>
      </c>
      <c r="D304" s="4" t="s">
        <v>22</v>
      </c>
      <c r="E304" s="4" t="s">
        <v>728</v>
      </c>
      <c r="F304" s="4" t="s">
        <v>406</v>
      </c>
      <c r="G304" s="4" t="s">
        <v>729</v>
      </c>
      <c r="H304" s="12" t="n">
        <v>1</v>
      </c>
      <c r="I304" s="4" t="s">
        <v>408</v>
      </c>
      <c r="J304" s="4" t="s">
        <v>409</v>
      </c>
      <c r="K304" s="13" t="n">
        <v>450</v>
      </c>
      <c r="L304" s="6" t="n">
        <f aca="false">H304*K304</f>
        <v>450</v>
      </c>
      <c r="M304" s="14" t="s">
        <v>410</v>
      </c>
    </row>
    <row r="305" customFormat="false" ht="15" hidden="false" customHeight="false" outlineLevel="0" collapsed="false">
      <c r="A305" s="4" t="s">
        <v>13</v>
      </c>
      <c r="B305" s="5" t="s">
        <v>62</v>
      </c>
      <c r="C305" s="5" t="s">
        <v>63</v>
      </c>
      <c r="D305" s="4" t="s">
        <v>22</v>
      </c>
      <c r="E305" s="4" t="s">
        <v>730</v>
      </c>
      <c r="F305" s="4" t="s">
        <v>406</v>
      </c>
      <c r="G305" s="4" t="s">
        <v>731</v>
      </c>
      <c r="H305" s="12" t="n">
        <v>1</v>
      </c>
      <c r="I305" s="4" t="s">
        <v>408</v>
      </c>
      <c r="J305" s="4" t="s">
        <v>409</v>
      </c>
      <c r="K305" s="13" t="n">
        <v>350</v>
      </c>
      <c r="L305" s="6" t="n">
        <f aca="false">H305*K305</f>
        <v>350</v>
      </c>
      <c r="M305" s="14" t="s">
        <v>410</v>
      </c>
    </row>
    <row r="306" customFormat="false" ht="15" hidden="false" customHeight="false" outlineLevel="0" collapsed="false">
      <c r="A306" s="4" t="s">
        <v>13</v>
      </c>
      <c r="B306" s="5" t="s">
        <v>62</v>
      </c>
      <c r="C306" s="5" t="s">
        <v>63</v>
      </c>
      <c r="D306" s="4" t="s">
        <v>22</v>
      </c>
      <c r="E306" s="4" t="s">
        <v>612</v>
      </c>
      <c r="F306" s="4" t="s">
        <v>406</v>
      </c>
      <c r="G306" s="4" t="s">
        <v>613</v>
      </c>
      <c r="H306" s="12" t="n">
        <v>1</v>
      </c>
      <c r="I306" s="4" t="s">
        <v>408</v>
      </c>
      <c r="J306" s="4" t="s">
        <v>409</v>
      </c>
      <c r="K306" s="13" t="n">
        <v>450</v>
      </c>
      <c r="L306" s="6" t="n">
        <f aca="false">H306*K306</f>
        <v>450</v>
      </c>
      <c r="M306" s="14" t="s">
        <v>410</v>
      </c>
    </row>
    <row r="307" customFormat="false" ht="15" hidden="false" customHeight="false" outlineLevel="0" collapsed="false">
      <c r="A307" s="4" t="s">
        <v>13</v>
      </c>
      <c r="B307" s="5" t="s">
        <v>62</v>
      </c>
      <c r="C307" s="5" t="s">
        <v>63</v>
      </c>
      <c r="D307" s="4" t="s">
        <v>22</v>
      </c>
      <c r="E307" s="4" t="s">
        <v>521</v>
      </c>
      <c r="F307" s="4" t="s">
        <v>406</v>
      </c>
      <c r="G307" s="4" t="s">
        <v>522</v>
      </c>
      <c r="H307" s="12" t="n">
        <v>1</v>
      </c>
      <c r="I307" s="4" t="s">
        <v>408</v>
      </c>
      <c r="J307" s="4" t="s">
        <v>409</v>
      </c>
      <c r="K307" s="13" t="n">
        <v>850</v>
      </c>
      <c r="L307" s="6" t="n">
        <f aca="false">H307*K307</f>
        <v>850</v>
      </c>
      <c r="M307" s="14" t="s">
        <v>410</v>
      </c>
    </row>
    <row r="308" customFormat="false" ht="15" hidden="false" customHeight="false" outlineLevel="0" collapsed="false">
      <c r="A308" s="4" t="s">
        <v>13</v>
      </c>
      <c r="B308" s="5" t="s">
        <v>62</v>
      </c>
      <c r="C308" s="5" t="s">
        <v>63</v>
      </c>
      <c r="D308" s="4" t="s">
        <v>22</v>
      </c>
      <c r="E308" s="4" t="s">
        <v>732</v>
      </c>
      <c r="F308" s="4" t="s">
        <v>406</v>
      </c>
      <c r="G308" s="4" t="s">
        <v>733</v>
      </c>
      <c r="H308" s="12" t="n">
        <v>1</v>
      </c>
      <c r="I308" s="4" t="s">
        <v>408</v>
      </c>
      <c r="J308" s="4" t="s">
        <v>409</v>
      </c>
      <c r="K308" s="13" t="n">
        <v>850</v>
      </c>
      <c r="L308" s="6" t="n">
        <f aca="false">H308*K308</f>
        <v>850</v>
      </c>
      <c r="M308" s="14" t="s">
        <v>410</v>
      </c>
    </row>
    <row r="309" customFormat="false" ht="15" hidden="false" customHeight="false" outlineLevel="0" collapsed="false">
      <c r="A309" s="4" t="s">
        <v>13</v>
      </c>
      <c r="B309" s="5" t="s">
        <v>62</v>
      </c>
      <c r="C309" s="5" t="s">
        <v>63</v>
      </c>
      <c r="D309" s="4" t="s">
        <v>22</v>
      </c>
      <c r="E309" s="4" t="s">
        <v>734</v>
      </c>
      <c r="F309" s="4" t="s">
        <v>406</v>
      </c>
      <c r="G309" s="4" t="s">
        <v>735</v>
      </c>
      <c r="H309" s="12" t="n">
        <v>1</v>
      </c>
      <c r="I309" s="4" t="s">
        <v>408</v>
      </c>
      <c r="J309" s="4" t="s">
        <v>416</v>
      </c>
      <c r="K309" s="13" t="n">
        <v>850</v>
      </c>
      <c r="L309" s="6" t="n">
        <f aca="false">H309*K309</f>
        <v>850</v>
      </c>
      <c r="M309" s="14" t="s">
        <v>410</v>
      </c>
    </row>
    <row r="310" customFormat="false" ht="15" hidden="false" customHeight="false" outlineLevel="0" collapsed="false">
      <c r="A310" s="4" t="s">
        <v>13</v>
      </c>
      <c r="B310" s="5" t="s">
        <v>62</v>
      </c>
      <c r="C310" s="5" t="s">
        <v>63</v>
      </c>
      <c r="D310" s="4" t="s">
        <v>22</v>
      </c>
      <c r="E310" s="4" t="s">
        <v>554</v>
      </c>
      <c r="F310" s="4" t="s">
        <v>406</v>
      </c>
      <c r="G310" s="4" t="s">
        <v>555</v>
      </c>
      <c r="H310" s="12" t="n">
        <v>1</v>
      </c>
      <c r="I310" s="4" t="s">
        <v>408</v>
      </c>
      <c r="J310" s="4" t="s">
        <v>409</v>
      </c>
      <c r="K310" s="13" t="n">
        <v>450</v>
      </c>
      <c r="L310" s="6" t="n">
        <f aca="false">H310*K310</f>
        <v>450</v>
      </c>
      <c r="M310" s="14" t="s">
        <v>410</v>
      </c>
    </row>
    <row r="311" customFormat="false" ht="15" hidden="false" customHeight="false" outlineLevel="0" collapsed="false">
      <c r="A311" s="4" t="s">
        <v>13</v>
      </c>
      <c r="B311" s="5" t="s">
        <v>62</v>
      </c>
      <c r="C311" s="5" t="s">
        <v>63</v>
      </c>
      <c r="D311" s="4" t="s">
        <v>22</v>
      </c>
      <c r="E311" s="4" t="s">
        <v>736</v>
      </c>
      <c r="F311" s="4" t="s">
        <v>406</v>
      </c>
      <c r="G311" s="4" t="s">
        <v>737</v>
      </c>
      <c r="H311" s="12" t="n">
        <v>1</v>
      </c>
      <c r="I311" s="4" t="s">
        <v>408</v>
      </c>
      <c r="J311" s="4" t="s">
        <v>409</v>
      </c>
      <c r="K311" s="13" t="n">
        <v>850</v>
      </c>
      <c r="L311" s="6" t="n">
        <f aca="false">H311*K311</f>
        <v>850</v>
      </c>
      <c r="M311" s="14" t="s">
        <v>410</v>
      </c>
    </row>
    <row r="312" customFormat="false" ht="15" hidden="false" customHeight="false" outlineLevel="0" collapsed="false">
      <c r="A312" s="4" t="s">
        <v>13</v>
      </c>
      <c r="B312" s="5" t="s">
        <v>62</v>
      </c>
      <c r="C312" s="5" t="s">
        <v>63</v>
      </c>
      <c r="D312" s="4" t="s">
        <v>22</v>
      </c>
      <c r="E312" s="4" t="s">
        <v>738</v>
      </c>
      <c r="F312" s="4" t="s">
        <v>406</v>
      </c>
      <c r="G312" s="4" t="s">
        <v>739</v>
      </c>
      <c r="H312" s="12" t="n">
        <v>1</v>
      </c>
      <c r="I312" s="4" t="s">
        <v>408</v>
      </c>
      <c r="J312" s="4" t="s">
        <v>409</v>
      </c>
      <c r="K312" s="13" t="n">
        <v>450</v>
      </c>
      <c r="L312" s="6" t="n">
        <f aca="false">H312*K312</f>
        <v>450</v>
      </c>
      <c r="M312" s="14" t="s">
        <v>410</v>
      </c>
    </row>
    <row r="313" customFormat="false" ht="15" hidden="false" customHeight="false" outlineLevel="0" collapsed="false">
      <c r="A313" s="4" t="s">
        <v>13</v>
      </c>
      <c r="B313" s="5" t="s">
        <v>62</v>
      </c>
      <c r="C313" s="5" t="s">
        <v>63</v>
      </c>
      <c r="D313" s="4" t="s">
        <v>22</v>
      </c>
      <c r="E313" s="4" t="s">
        <v>558</v>
      </c>
      <c r="F313" s="4" t="s">
        <v>406</v>
      </c>
      <c r="G313" s="4" t="s">
        <v>559</v>
      </c>
      <c r="H313" s="12" t="n">
        <v>1</v>
      </c>
      <c r="I313" s="4" t="s">
        <v>408</v>
      </c>
      <c r="J313" s="4" t="s">
        <v>409</v>
      </c>
      <c r="K313" s="13" t="n">
        <v>650</v>
      </c>
      <c r="L313" s="6" t="n">
        <f aca="false">H313*K313</f>
        <v>650</v>
      </c>
      <c r="M313" s="14" t="s">
        <v>410</v>
      </c>
    </row>
    <row r="314" customFormat="false" ht="15" hidden="false" customHeight="false" outlineLevel="0" collapsed="false">
      <c r="A314" s="4" t="s">
        <v>13</v>
      </c>
      <c r="B314" s="5" t="s">
        <v>62</v>
      </c>
      <c r="C314" s="5" t="s">
        <v>63</v>
      </c>
      <c r="D314" s="4" t="s">
        <v>22</v>
      </c>
      <c r="E314" s="4" t="s">
        <v>740</v>
      </c>
      <c r="F314" s="4" t="s">
        <v>406</v>
      </c>
      <c r="G314" s="4" t="s">
        <v>741</v>
      </c>
      <c r="H314" s="12" t="n">
        <v>1</v>
      </c>
      <c r="I314" s="4" t="s">
        <v>408</v>
      </c>
      <c r="J314" s="4" t="s">
        <v>409</v>
      </c>
      <c r="K314" s="13" t="n">
        <v>1200</v>
      </c>
      <c r="L314" s="6" t="n">
        <f aca="false">H314*K314</f>
        <v>1200</v>
      </c>
      <c r="M314" s="14" t="s">
        <v>410</v>
      </c>
    </row>
    <row r="315" customFormat="false" ht="15" hidden="false" customHeight="false" outlineLevel="0" collapsed="false">
      <c r="A315" s="4" t="s">
        <v>13</v>
      </c>
      <c r="B315" s="5" t="s">
        <v>62</v>
      </c>
      <c r="C315" s="5" t="s">
        <v>63</v>
      </c>
      <c r="D315" s="4" t="s">
        <v>22</v>
      </c>
      <c r="E315" s="4" t="s">
        <v>560</v>
      </c>
      <c r="F315" s="4" t="s">
        <v>406</v>
      </c>
      <c r="G315" s="4" t="s">
        <v>561</v>
      </c>
      <c r="H315" s="12" t="n">
        <v>1</v>
      </c>
      <c r="I315" s="4" t="s">
        <v>408</v>
      </c>
      <c r="J315" s="4" t="s">
        <v>409</v>
      </c>
      <c r="K315" s="13" t="n">
        <v>250</v>
      </c>
      <c r="L315" s="6" t="n">
        <f aca="false">H315*K315</f>
        <v>250</v>
      </c>
      <c r="M315" s="14" t="s">
        <v>410</v>
      </c>
    </row>
    <row r="316" customFormat="false" ht="15" hidden="false" customHeight="false" outlineLevel="0" collapsed="false">
      <c r="A316" s="4" t="s">
        <v>13</v>
      </c>
      <c r="B316" s="5" t="s">
        <v>62</v>
      </c>
      <c r="C316" s="5" t="s">
        <v>63</v>
      </c>
      <c r="D316" s="4" t="s">
        <v>22</v>
      </c>
      <c r="E316" s="4" t="s">
        <v>529</v>
      </c>
      <c r="F316" s="4" t="s">
        <v>406</v>
      </c>
      <c r="G316" s="4" t="s">
        <v>530</v>
      </c>
      <c r="H316" s="12" t="n">
        <v>1</v>
      </c>
      <c r="I316" s="4" t="s">
        <v>408</v>
      </c>
      <c r="J316" s="4" t="s">
        <v>409</v>
      </c>
      <c r="K316" s="13" t="n">
        <v>350</v>
      </c>
      <c r="L316" s="6" t="n">
        <f aca="false">H316*K316</f>
        <v>350</v>
      </c>
      <c r="M316" s="14" t="s">
        <v>410</v>
      </c>
    </row>
    <row r="317" customFormat="false" ht="15" hidden="false" customHeight="false" outlineLevel="0" collapsed="false">
      <c r="A317" s="4" t="s">
        <v>13</v>
      </c>
      <c r="B317" s="5" t="s">
        <v>62</v>
      </c>
      <c r="C317" s="5" t="s">
        <v>63</v>
      </c>
      <c r="D317" s="4" t="s">
        <v>22</v>
      </c>
      <c r="E317" s="4" t="s">
        <v>531</v>
      </c>
      <c r="F317" s="4" t="s">
        <v>406</v>
      </c>
      <c r="G317" s="4" t="s">
        <v>532</v>
      </c>
      <c r="H317" s="12" t="n">
        <v>1</v>
      </c>
      <c r="I317" s="4" t="s">
        <v>408</v>
      </c>
      <c r="J317" s="4" t="s">
        <v>409</v>
      </c>
      <c r="K317" s="13" t="n">
        <v>650</v>
      </c>
      <c r="L317" s="6" t="n">
        <f aca="false">H317*K317</f>
        <v>650</v>
      </c>
      <c r="M317" s="14" t="s">
        <v>410</v>
      </c>
    </row>
    <row r="318" customFormat="false" ht="15" hidden="false" customHeight="false" outlineLevel="0" collapsed="false">
      <c r="A318" s="4" t="s">
        <v>13</v>
      </c>
      <c r="B318" s="5" t="s">
        <v>62</v>
      </c>
      <c r="C318" s="5" t="s">
        <v>63</v>
      </c>
      <c r="D318" s="4" t="s">
        <v>22</v>
      </c>
      <c r="E318" s="4" t="s">
        <v>533</v>
      </c>
      <c r="F318" s="4" t="s">
        <v>406</v>
      </c>
      <c r="G318" s="4" t="s">
        <v>534</v>
      </c>
      <c r="H318" s="12" t="n">
        <v>1</v>
      </c>
      <c r="I318" s="4" t="s">
        <v>408</v>
      </c>
      <c r="J318" s="4" t="s">
        <v>409</v>
      </c>
      <c r="K318" s="13" t="n">
        <v>350</v>
      </c>
      <c r="L318" s="6" t="n">
        <f aca="false">H318*K318</f>
        <v>350</v>
      </c>
      <c r="M318" s="4" t="s">
        <v>371</v>
      </c>
    </row>
    <row r="319" customFormat="false" ht="15" hidden="false" customHeight="false" outlineLevel="0" collapsed="false">
      <c r="A319" s="4" t="s">
        <v>13</v>
      </c>
      <c r="B319" s="5" t="s">
        <v>62</v>
      </c>
      <c r="C319" s="5" t="s">
        <v>63</v>
      </c>
      <c r="D319" s="4" t="s">
        <v>22</v>
      </c>
      <c r="E319" s="4" t="s">
        <v>535</v>
      </c>
      <c r="F319" s="4" t="s">
        <v>406</v>
      </c>
      <c r="G319" s="4" t="s">
        <v>536</v>
      </c>
      <c r="H319" s="12" t="n">
        <v>1</v>
      </c>
      <c r="I319" s="4" t="s">
        <v>408</v>
      </c>
      <c r="J319" s="4" t="s">
        <v>416</v>
      </c>
      <c r="K319" s="13" t="n">
        <v>1800</v>
      </c>
      <c r="L319" s="6" t="n">
        <f aca="false">H319*K319</f>
        <v>1800</v>
      </c>
      <c r="M319" s="14" t="s">
        <v>410</v>
      </c>
    </row>
    <row r="320" customFormat="false" ht="15" hidden="false" customHeight="false" outlineLevel="0" collapsed="false">
      <c r="A320" s="4" t="s">
        <v>13</v>
      </c>
      <c r="B320" s="5" t="s">
        <v>62</v>
      </c>
      <c r="C320" s="5" t="s">
        <v>63</v>
      </c>
      <c r="D320" s="4" t="s">
        <v>22</v>
      </c>
      <c r="E320" s="4" t="s">
        <v>742</v>
      </c>
      <c r="F320" s="4" t="s">
        <v>406</v>
      </c>
      <c r="G320" s="4" t="s">
        <v>743</v>
      </c>
      <c r="H320" s="12" t="n">
        <v>1</v>
      </c>
      <c r="I320" s="4" t="s">
        <v>408</v>
      </c>
      <c r="J320" s="4" t="s">
        <v>409</v>
      </c>
      <c r="K320" s="13" t="n">
        <v>350</v>
      </c>
      <c r="L320" s="6" t="n">
        <f aca="false">H320*K320</f>
        <v>350</v>
      </c>
      <c r="M320" s="14" t="s">
        <v>410</v>
      </c>
    </row>
    <row r="321" customFormat="false" ht="15" hidden="false" customHeight="false" outlineLevel="0" collapsed="false">
      <c r="A321" s="4" t="s">
        <v>13</v>
      </c>
      <c r="B321" s="5" t="s">
        <v>62</v>
      </c>
      <c r="C321" s="5" t="s">
        <v>63</v>
      </c>
      <c r="D321" s="4" t="s">
        <v>22</v>
      </c>
      <c r="E321" s="4" t="s">
        <v>537</v>
      </c>
      <c r="F321" s="4" t="s">
        <v>406</v>
      </c>
      <c r="G321" s="4" t="s">
        <v>538</v>
      </c>
      <c r="H321" s="12" t="n">
        <v>1</v>
      </c>
      <c r="I321" s="4" t="s">
        <v>408</v>
      </c>
      <c r="J321" s="4" t="s">
        <v>409</v>
      </c>
      <c r="K321" s="13" t="n">
        <v>450</v>
      </c>
      <c r="L321" s="6" t="n">
        <f aca="false">H321*K321</f>
        <v>450</v>
      </c>
      <c r="M321" s="14" t="s">
        <v>410</v>
      </c>
    </row>
    <row r="322" customFormat="false" ht="15" hidden="false" customHeight="false" outlineLevel="0" collapsed="false">
      <c r="A322" s="4" t="s">
        <v>13</v>
      </c>
      <c r="B322" s="5" t="s">
        <v>62</v>
      </c>
      <c r="C322" s="5" t="s">
        <v>63</v>
      </c>
      <c r="D322" s="4" t="s">
        <v>22</v>
      </c>
      <c r="E322" s="4" t="s">
        <v>539</v>
      </c>
      <c r="F322" s="4" t="s">
        <v>406</v>
      </c>
      <c r="G322" s="4" t="s">
        <v>540</v>
      </c>
      <c r="H322" s="12" t="n">
        <v>1</v>
      </c>
      <c r="I322" s="4" t="s">
        <v>408</v>
      </c>
      <c r="J322" s="4" t="s">
        <v>409</v>
      </c>
      <c r="K322" s="13" t="n">
        <v>250</v>
      </c>
      <c r="L322" s="6" t="n">
        <f aca="false">H322*K322</f>
        <v>250</v>
      </c>
      <c r="M322" s="14" t="s">
        <v>410</v>
      </c>
    </row>
    <row r="323" customFormat="false" ht="15" hidden="false" customHeight="false" outlineLevel="0" collapsed="false">
      <c r="A323" s="4" t="s">
        <v>13</v>
      </c>
      <c r="B323" s="5" t="s">
        <v>62</v>
      </c>
      <c r="C323" s="5" t="s">
        <v>63</v>
      </c>
      <c r="D323" s="4" t="s">
        <v>22</v>
      </c>
      <c r="E323" s="4" t="s">
        <v>744</v>
      </c>
      <c r="F323" s="4" t="s">
        <v>406</v>
      </c>
      <c r="G323" s="4" t="s">
        <v>745</v>
      </c>
      <c r="H323" s="12" t="n">
        <v>1</v>
      </c>
      <c r="I323" s="4" t="s">
        <v>408</v>
      </c>
      <c r="J323" s="4" t="s">
        <v>429</v>
      </c>
      <c r="K323" s="13" t="n">
        <v>120</v>
      </c>
      <c r="L323" s="6" t="n">
        <f aca="false">H323*K323</f>
        <v>120</v>
      </c>
      <c r="M323" s="14" t="s">
        <v>410</v>
      </c>
    </row>
    <row r="324" customFormat="false" ht="15" hidden="false" customHeight="false" outlineLevel="0" collapsed="false">
      <c r="A324" s="4" t="s">
        <v>13</v>
      </c>
      <c r="B324" s="5" t="s">
        <v>62</v>
      </c>
      <c r="C324" s="5" t="s">
        <v>63</v>
      </c>
      <c r="D324" s="4" t="s">
        <v>22</v>
      </c>
      <c r="E324" s="4" t="s">
        <v>746</v>
      </c>
      <c r="F324" s="4" t="s">
        <v>406</v>
      </c>
      <c r="G324" s="4" t="s">
        <v>747</v>
      </c>
      <c r="H324" s="12" t="n">
        <v>1</v>
      </c>
      <c r="I324" s="4" t="s">
        <v>408</v>
      </c>
      <c r="J324" s="4" t="s">
        <v>409</v>
      </c>
      <c r="K324" s="13" t="n">
        <v>350</v>
      </c>
      <c r="L324" s="6" t="n">
        <f aca="false">H324*K324</f>
        <v>350</v>
      </c>
      <c r="M324" s="14" t="s">
        <v>410</v>
      </c>
    </row>
    <row r="325" customFormat="false" ht="15" hidden="false" customHeight="false" outlineLevel="0" collapsed="false">
      <c r="A325" s="4" t="s">
        <v>13</v>
      </c>
      <c r="B325" s="5" t="s">
        <v>62</v>
      </c>
      <c r="C325" s="5" t="s">
        <v>63</v>
      </c>
      <c r="D325" s="4" t="s">
        <v>22</v>
      </c>
      <c r="E325" s="4" t="s">
        <v>748</v>
      </c>
      <c r="F325" s="4" t="s">
        <v>406</v>
      </c>
      <c r="G325" s="4" t="s">
        <v>749</v>
      </c>
      <c r="H325" s="12" t="n">
        <v>1</v>
      </c>
      <c r="I325" s="4" t="s">
        <v>408</v>
      </c>
      <c r="J325" s="4" t="s">
        <v>409</v>
      </c>
      <c r="K325" s="13" t="n">
        <v>6500</v>
      </c>
      <c r="L325" s="6" t="n">
        <f aca="false">H325*K325</f>
        <v>6500</v>
      </c>
      <c r="M325" s="14" t="s">
        <v>410</v>
      </c>
    </row>
    <row r="326" customFormat="false" ht="15" hidden="false" customHeight="false" outlineLevel="0" collapsed="false">
      <c r="A326" s="4" t="s">
        <v>13</v>
      </c>
      <c r="B326" s="5" t="s">
        <v>62</v>
      </c>
      <c r="C326" s="5" t="s">
        <v>63</v>
      </c>
      <c r="D326" s="4" t="s">
        <v>22</v>
      </c>
      <c r="E326" s="4" t="s">
        <v>562</v>
      </c>
      <c r="F326" s="4" t="s">
        <v>406</v>
      </c>
      <c r="G326" s="4" t="s">
        <v>563</v>
      </c>
      <c r="H326" s="12" t="n">
        <v>1</v>
      </c>
      <c r="I326" s="4" t="s">
        <v>408</v>
      </c>
      <c r="J326" s="4" t="s">
        <v>409</v>
      </c>
      <c r="K326" s="13" t="n">
        <v>3500</v>
      </c>
      <c r="L326" s="6" t="n">
        <f aca="false">H326*K326</f>
        <v>3500</v>
      </c>
      <c r="M326" s="14" t="s">
        <v>410</v>
      </c>
    </row>
    <row r="327" customFormat="false" ht="15" hidden="false" customHeight="false" outlineLevel="0" collapsed="false">
      <c r="A327" s="4" t="s">
        <v>13</v>
      </c>
      <c r="B327" s="5" t="s">
        <v>62</v>
      </c>
      <c r="C327" s="5" t="s">
        <v>63</v>
      </c>
      <c r="D327" s="4" t="s">
        <v>22</v>
      </c>
      <c r="E327" s="4" t="s">
        <v>750</v>
      </c>
      <c r="F327" s="4" t="s">
        <v>406</v>
      </c>
      <c r="G327" s="4" t="s">
        <v>751</v>
      </c>
      <c r="H327" s="12" t="n">
        <v>1</v>
      </c>
      <c r="I327" s="4" t="s">
        <v>408</v>
      </c>
      <c r="J327" s="4" t="s">
        <v>409</v>
      </c>
      <c r="K327" s="13" t="n">
        <v>85000</v>
      </c>
      <c r="L327" s="6" t="n">
        <f aca="false">H327*K327</f>
        <v>85000</v>
      </c>
      <c r="M327" s="14" t="s">
        <v>410</v>
      </c>
    </row>
    <row r="328" customFormat="false" ht="15" hidden="false" customHeight="false" outlineLevel="0" collapsed="false">
      <c r="A328" s="4" t="s">
        <v>13</v>
      </c>
      <c r="B328" s="5" t="s">
        <v>62</v>
      </c>
      <c r="C328" s="5" t="s">
        <v>63</v>
      </c>
      <c r="D328" s="4" t="s">
        <v>22</v>
      </c>
      <c r="E328" s="4" t="s">
        <v>564</v>
      </c>
      <c r="F328" s="4" t="s">
        <v>406</v>
      </c>
      <c r="G328" s="4" t="s">
        <v>565</v>
      </c>
      <c r="H328" s="12" t="n">
        <v>1</v>
      </c>
      <c r="I328" s="4" t="s">
        <v>408</v>
      </c>
      <c r="J328" s="4" t="s">
        <v>409</v>
      </c>
      <c r="K328" s="13" t="n">
        <v>18000</v>
      </c>
      <c r="L328" s="6" t="n">
        <f aca="false">H328*K328</f>
        <v>18000</v>
      </c>
      <c r="M328" s="14" t="s">
        <v>410</v>
      </c>
    </row>
    <row r="329" customFormat="false" ht="15" hidden="false" customHeight="false" outlineLevel="0" collapsed="false">
      <c r="A329" s="4" t="s">
        <v>13</v>
      </c>
      <c r="B329" s="5" t="s">
        <v>62</v>
      </c>
      <c r="C329" s="5" t="s">
        <v>63</v>
      </c>
      <c r="D329" s="4" t="s">
        <v>22</v>
      </c>
      <c r="E329" s="4" t="s">
        <v>541</v>
      </c>
      <c r="F329" s="4" t="s">
        <v>406</v>
      </c>
      <c r="G329" s="4" t="s">
        <v>542</v>
      </c>
      <c r="H329" s="12" t="n">
        <v>1</v>
      </c>
      <c r="I329" s="4" t="s">
        <v>408</v>
      </c>
      <c r="J329" s="4" t="s">
        <v>543</v>
      </c>
      <c r="K329" s="13" t="n">
        <v>18000</v>
      </c>
      <c r="L329" s="6" t="n">
        <f aca="false">H329*K329</f>
        <v>18000</v>
      </c>
      <c r="M329" s="14" t="s">
        <v>410</v>
      </c>
    </row>
    <row r="330" customFormat="false" ht="15" hidden="false" customHeight="false" outlineLevel="0" collapsed="false">
      <c r="A330" s="4" t="s">
        <v>13</v>
      </c>
      <c r="B330" s="5" t="s">
        <v>62</v>
      </c>
      <c r="C330" s="5" t="s">
        <v>63</v>
      </c>
      <c r="D330" s="4" t="s">
        <v>22</v>
      </c>
      <c r="E330" s="4" t="s">
        <v>544</v>
      </c>
      <c r="F330" s="4" t="s">
        <v>406</v>
      </c>
      <c r="G330" s="4" t="s">
        <v>545</v>
      </c>
      <c r="H330" s="12" t="n">
        <v>1</v>
      </c>
      <c r="I330" s="4" t="s">
        <v>408</v>
      </c>
      <c r="J330" s="4" t="s">
        <v>416</v>
      </c>
      <c r="K330" s="13" t="n">
        <v>12000</v>
      </c>
      <c r="L330" s="6" t="n">
        <f aca="false">H330*K330</f>
        <v>12000</v>
      </c>
      <c r="M330" s="14" t="s">
        <v>410</v>
      </c>
    </row>
    <row r="331" customFormat="false" ht="15" hidden="false" customHeight="false" outlineLevel="0" collapsed="false">
      <c r="A331" s="4" t="s">
        <v>13</v>
      </c>
      <c r="B331" s="5" t="s">
        <v>62</v>
      </c>
      <c r="C331" s="5" t="s">
        <v>63</v>
      </c>
      <c r="D331" s="4" t="s">
        <v>22</v>
      </c>
      <c r="E331" s="4" t="s">
        <v>592</v>
      </c>
      <c r="F331" s="4" t="s">
        <v>488</v>
      </c>
      <c r="G331" s="4" t="s">
        <v>593</v>
      </c>
      <c r="H331" s="12" t="n">
        <v>1</v>
      </c>
      <c r="I331" s="4" t="s">
        <v>408</v>
      </c>
      <c r="J331" s="4" t="s">
        <v>432</v>
      </c>
      <c r="K331" s="13" t="n">
        <v>8</v>
      </c>
      <c r="L331" s="6" t="n">
        <f aca="false">H331*K331</f>
        <v>8</v>
      </c>
      <c r="M331" s="4" t="s">
        <v>371</v>
      </c>
    </row>
    <row r="332" customFormat="false" ht="15" hidden="false" customHeight="false" outlineLevel="0" collapsed="false">
      <c r="A332" s="4" t="s">
        <v>13</v>
      </c>
      <c r="B332" s="5" t="s">
        <v>62</v>
      </c>
      <c r="C332" s="5" t="s">
        <v>63</v>
      </c>
      <c r="D332" s="4" t="s">
        <v>22</v>
      </c>
      <c r="E332" s="4" t="s">
        <v>726</v>
      </c>
      <c r="F332" s="4" t="s">
        <v>488</v>
      </c>
      <c r="G332" s="4" t="s">
        <v>727</v>
      </c>
      <c r="H332" s="12" t="n">
        <v>1</v>
      </c>
      <c r="I332" s="4" t="s">
        <v>408</v>
      </c>
      <c r="J332" s="4" t="s">
        <v>432</v>
      </c>
      <c r="K332" s="13" t="n">
        <v>65</v>
      </c>
      <c r="L332" s="6" t="n">
        <f aca="false">H332*K332</f>
        <v>65</v>
      </c>
      <c r="M332" s="4" t="s">
        <v>371</v>
      </c>
    </row>
    <row r="333" customFormat="false" ht="15" hidden="false" customHeight="false" outlineLevel="0" collapsed="false">
      <c r="A333" s="4" t="s">
        <v>13</v>
      </c>
      <c r="B333" s="5" t="s">
        <v>62</v>
      </c>
      <c r="C333" s="5" t="s">
        <v>63</v>
      </c>
      <c r="D333" s="4" t="s">
        <v>22</v>
      </c>
      <c r="E333" s="4" t="s">
        <v>752</v>
      </c>
      <c r="F333" s="4" t="s">
        <v>488</v>
      </c>
      <c r="G333" s="4" t="s">
        <v>753</v>
      </c>
      <c r="H333" s="12" t="n">
        <v>1</v>
      </c>
      <c r="I333" s="4" t="s">
        <v>408</v>
      </c>
      <c r="J333" s="4" t="s">
        <v>506</v>
      </c>
      <c r="K333" s="13" t="n">
        <v>120</v>
      </c>
      <c r="L333" s="6" t="n">
        <f aca="false">H333*K333</f>
        <v>120</v>
      </c>
      <c r="M333" s="4" t="s">
        <v>371</v>
      </c>
    </row>
    <row r="334" customFormat="false" ht="15" hidden="false" customHeight="false" outlineLevel="0" collapsed="false">
      <c r="A334" s="4" t="s">
        <v>13</v>
      </c>
      <c r="B334" s="5" t="s">
        <v>62</v>
      </c>
      <c r="C334" s="5" t="s">
        <v>63</v>
      </c>
      <c r="D334" s="4" t="s">
        <v>22</v>
      </c>
      <c r="E334" s="4" t="s">
        <v>548</v>
      </c>
      <c r="F334" s="4" t="s">
        <v>488</v>
      </c>
      <c r="G334" s="4" t="s">
        <v>549</v>
      </c>
      <c r="H334" s="12" t="n">
        <v>1</v>
      </c>
      <c r="I334" s="4" t="s">
        <v>408</v>
      </c>
      <c r="J334" s="4" t="s">
        <v>506</v>
      </c>
      <c r="K334" s="13" t="n">
        <v>250</v>
      </c>
      <c r="L334" s="6" t="n">
        <f aca="false">H334*K334</f>
        <v>250</v>
      </c>
      <c r="M334" s="4" t="s">
        <v>371</v>
      </c>
    </row>
    <row r="335" customFormat="false" ht="15" hidden="false" customHeight="false" outlineLevel="0" collapsed="false">
      <c r="A335" s="4" t="s">
        <v>13</v>
      </c>
      <c r="B335" s="5" t="s">
        <v>62</v>
      </c>
      <c r="C335" s="5" t="s">
        <v>63</v>
      </c>
      <c r="D335" s="4" t="s">
        <v>22</v>
      </c>
      <c r="E335" s="4" t="s">
        <v>754</v>
      </c>
      <c r="F335" s="4" t="s">
        <v>488</v>
      </c>
      <c r="G335" s="4" t="s">
        <v>755</v>
      </c>
      <c r="H335" s="12" t="n">
        <v>1</v>
      </c>
      <c r="I335" s="4" t="s">
        <v>408</v>
      </c>
      <c r="J335" s="4" t="s">
        <v>503</v>
      </c>
      <c r="K335" s="13" t="n">
        <v>150</v>
      </c>
      <c r="L335" s="6" t="n">
        <f aca="false">H335*K335</f>
        <v>150</v>
      </c>
      <c r="M335" s="4" t="s">
        <v>371</v>
      </c>
    </row>
    <row r="336" customFormat="false" ht="15" hidden="false" customHeight="false" outlineLevel="0" collapsed="false">
      <c r="A336" s="4" t="s">
        <v>13</v>
      </c>
      <c r="B336" s="5" t="s">
        <v>62</v>
      </c>
      <c r="C336" s="5" t="s">
        <v>63</v>
      </c>
      <c r="D336" s="4" t="s">
        <v>22</v>
      </c>
      <c r="E336" s="4" t="s">
        <v>756</v>
      </c>
      <c r="F336" s="4" t="s">
        <v>488</v>
      </c>
      <c r="G336" s="4" t="s">
        <v>757</v>
      </c>
      <c r="H336" s="12" t="n">
        <v>1</v>
      </c>
      <c r="I336" s="4" t="s">
        <v>408</v>
      </c>
      <c r="J336" s="4" t="s">
        <v>432</v>
      </c>
      <c r="K336" s="13" t="n">
        <v>15</v>
      </c>
      <c r="L336" s="6" t="n">
        <f aca="false">H336*K336</f>
        <v>15</v>
      </c>
      <c r="M336" s="4" t="s">
        <v>371</v>
      </c>
    </row>
    <row r="337" customFormat="false" ht="15" hidden="false" customHeight="false" outlineLevel="0" collapsed="false">
      <c r="A337" s="4" t="s">
        <v>69</v>
      </c>
      <c r="B337" s="5" t="s">
        <v>80</v>
      </c>
      <c r="C337" s="5" t="s">
        <v>81</v>
      </c>
      <c r="D337" s="4" t="s">
        <v>22</v>
      </c>
      <c r="E337" s="4" t="s">
        <v>758</v>
      </c>
      <c r="F337" s="4" t="s">
        <v>406</v>
      </c>
      <c r="G337" s="4" t="s">
        <v>759</v>
      </c>
      <c r="H337" s="12" t="n">
        <v>1</v>
      </c>
      <c r="I337" s="4" t="s">
        <v>408</v>
      </c>
      <c r="J337" s="4" t="s">
        <v>416</v>
      </c>
      <c r="K337" s="13" t="n">
        <v>450</v>
      </c>
      <c r="L337" s="6" t="n">
        <f aca="false">H337*K337</f>
        <v>450</v>
      </c>
      <c r="M337" s="4" t="s">
        <v>371</v>
      </c>
    </row>
    <row r="338" customFormat="false" ht="15" hidden="false" customHeight="false" outlineLevel="0" collapsed="false">
      <c r="A338" s="4" t="s">
        <v>69</v>
      </c>
      <c r="B338" s="5" t="s">
        <v>80</v>
      </c>
      <c r="C338" s="5" t="s">
        <v>81</v>
      </c>
      <c r="D338" s="4" t="s">
        <v>22</v>
      </c>
      <c r="E338" s="4" t="s">
        <v>760</v>
      </c>
      <c r="F338" s="4" t="s">
        <v>406</v>
      </c>
      <c r="G338" s="4" t="s">
        <v>761</v>
      </c>
      <c r="H338" s="12" t="n">
        <v>1</v>
      </c>
      <c r="I338" s="4" t="s">
        <v>408</v>
      </c>
      <c r="J338" s="4" t="s">
        <v>762</v>
      </c>
      <c r="K338" s="13" t="n">
        <v>120</v>
      </c>
      <c r="L338" s="6" t="n">
        <f aca="false">H338*K338</f>
        <v>120</v>
      </c>
      <c r="M338" s="4" t="s">
        <v>371</v>
      </c>
    </row>
    <row r="339" customFormat="false" ht="15" hidden="false" customHeight="false" outlineLevel="0" collapsed="false">
      <c r="A339" s="4" t="s">
        <v>69</v>
      </c>
      <c r="B339" s="5" t="s">
        <v>80</v>
      </c>
      <c r="C339" s="5" t="s">
        <v>81</v>
      </c>
      <c r="D339" s="4" t="s">
        <v>22</v>
      </c>
      <c r="E339" s="4" t="s">
        <v>763</v>
      </c>
      <c r="F339" s="4" t="s">
        <v>406</v>
      </c>
      <c r="G339" s="4" t="s">
        <v>764</v>
      </c>
      <c r="H339" s="12" t="n">
        <v>1</v>
      </c>
      <c r="I339" s="4" t="s">
        <v>408</v>
      </c>
      <c r="J339" s="4" t="s">
        <v>409</v>
      </c>
      <c r="K339" s="13" t="n">
        <v>50</v>
      </c>
      <c r="L339" s="6" t="n">
        <f aca="false">H339*K339</f>
        <v>50</v>
      </c>
      <c r="M339" s="14" t="s">
        <v>410</v>
      </c>
    </row>
    <row r="340" customFormat="false" ht="15" hidden="false" customHeight="false" outlineLevel="0" collapsed="false">
      <c r="A340" s="4" t="s">
        <v>69</v>
      </c>
      <c r="B340" s="5" t="s">
        <v>80</v>
      </c>
      <c r="C340" s="5" t="s">
        <v>81</v>
      </c>
      <c r="D340" s="4" t="s">
        <v>22</v>
      </c>
      <c r="E340" s="4" t="s">
        <v>765</v>
      </c>
      <c r="F340" s="4" t="s">
        <v>406</v>
      </c>
      <c r="G340" s="4" t="s">
        <v>766</v>
      </c>
      <c r="H340" s="12" t="n">
        <v>1</v>
      </c>
      <c r="I340" s="4" t="s">
        <v>408</v>
      </c>
      <c r="J340" s="4" t="s">
        <v>409</v>
      </c>
      <c r="K340" s="13" t="n">
        <v>80</v>
      </c>
      <c r="L340" s="6" t="n">
        <f aca="false">H340*K340</f>
        <v>80</v>
      </c>
      <c r="M340" s="14" t="s">
        <v>410</v>
      </c>
    </row>
    <row r="341" customFormat="false" ht="15" hidden="false" customHeight="false" outlineLevel="0" collapsed="false">
      <c r="A341" s="4" t="s">
        <v>69</v>
      </c>
      <c r="B341" s="5" t="s">
        <v>80</v>
      </c>
      <c r="C341" s="5" t="s">
        <v>81</v>
      </c>
      <c r="D341" s="4" t="s">
        <v>22</v>
      </c>
      <c r="E341" s="4" t="s">
        <v>767</v>
      </c>
      <c r="F341" s="4" t="s">
        <v>406</v>
      </c>
      <c r="G341" s="4" t="s">
        <v>768</v>
      </c>
      <c r="H341" s="12" t="n">
        <v>1</v>
      </c>
      <c r="I341" s="4" t="s">
        <v>408</v>
      </c>
      <c r="J341" s="4" t="s">
        <v>409</v>
      </c>
      <c r="K341" s="13" t="n">
        <v>100</v>
      </c>
      <c r="L341" s="6" t="n">
        <f aca="false">H341*K341</f>
        <v>100</v>
      </c>
      <c r="M341" s="4" t="s">
        <v>371</v>
      </c>
    </row>
    <row r="342" customFormat="false" ht="15" hidden="false" customHeight="false" outlineLevel="0" collapsed="false">
      <c r="A342" s="4" t="s">
        <v>69</v>
      </c>
      <c r="B342" s="5" t="s">
        <v>80</v>
      </c>
      <c r="C342" s="5" t="s">
        <v>81</v>
      </c>
      <c r="D342" s="4" t="s">
        <v>22</v>
      </c>
      <c r="E342" s="4" t="s">
        <v>769</v>
      </c>
      <c r="F342" s="4" t="s">
        <v>406</v>
      </c>
      <c r="G342" s="4" t="s">
        <v>770</v>
      </c>
      <c r="H342" s="12" t="n">
        <v>1</v>
      </c>
      <c r="I342" s="4" t="s">
        <v>408</v>
      </c>
      <c r="J342" s="4" t="s">
        <v>409</v>
      </c>
      <c r="K342" s="13" t="n">
        <v>80</v>
      </c>
      <c r="L342" s="6" t="n">
        <f aca="false">H342*K342</f>
        <v>80</v>
      </c>
      <c r="M342" s="14" t="s">
        <v>410</v>
      </c>
    </row>
    <row r="343" customFormat="false" ht="15" hidden="false" customHeight="false" outlineLevel="0" collapsed="false">
      <c r="A343" s="4" t="s">
        <v>69</v>
      </c>
      <c r="B343" s="5" t="s">
        <v>80</v>
      </c>
      <c r="C343" s="5" t="s">
        <v>81</v>
      </c>
      <c r="D343" s="4" t="s">
        <v>22</v>
      </c>
      <c r="E343" s="4" t="s">
        <v>771</v>
      </c>
      <c r="F343" s="4" t="s">
        <v>406</v>
      </c>
      <c r="G343" s="4" t="s">
        <v>772</v>
      </c>
      <c r="H343" s="12" t="n">
        <v>1</v>
      </c>
      <c r="I343" s="4" t="s">
        <v>408</v>
      </c>
      <c r="J343" s="4" t="s">
        <v>416</v>
      </c>
      <c r="K343" s="13" t="n">
        <v>850</v>
      </c>
      <c r="L343" s="6" t="n">
        <f aca="false">H343*K343</f>
        <v>850</v>
      </c>
      <c r="M343" s="14" t="s">
        <v>410</v>
      </c>
    </row>
    <row r="344" customFormat="false" ht="15" hidden="false" customHeight="false" outlineLevel="0" collapsed="false">
      <c r="A344" s="4" t="s">
        <v>69</v>
      </c>
      <c r="B344" s="5" t="s">
        <v>80</v>
      </c>
      <c r="C344" s="5" t="s">
        <v>81</v>
      </c>
      <c r="D344" s="4" t="s">
        <v>22</v>
      </c>
      <c r="E344" s="4" t="s">
        <v>773</v>
      </c>
      <c r="F344" s="4" t="s">
        <v>406</v>
      </c>
      <c r="G344" s="4" t="s">
        <v>774</v>
      </c>
      <c r="H344" s="12" t="n">
        <v>1</v>
      </c>
      <c r="I344" s="4" t="s">
        <v>408</v>
      </c>
      <c r="J344" s="4" t="s">
        <v>409</v>
      </c>
      <c r="K344" s="13" t="n">
        <v>120</v>
      </c>
      <c r="L344" s="6" t="n">
        <f aca="false">H344*K344</f>
        <v>120</v>
      </c>
      <c r="M344" s="4" t="s">
        <v>371</v>
      </c>
    </row>
    <row r="345" customFormat="false" ht="15" hidden="false" customHeight="false" outlineLevel="0" collapsed="false">
      <c r="A345" s="4" t="s">
        <v>69</v>
      </c>
      <c r="B345" s="5" t="s">
        <v>80</v>
      </c>
      <c r="C345" s="5" t="s">
        <v>81</v>
      </c>
      <c r="D345" s="4" t="s">
        <v>22</v>
      </c>
      <c r="E345" s="4" t="s">
        <v>775</v>
      </c>
      <c r="F345" s="4" t="s">
        <v>406</v>
      </c>
      <c r="G345" s="4" t="s">
        <v>776</v>
      </c>
      <c r="H345" s="12" t="n">
        <v>1</v>
      </c>
      <c r="I345" s="4" t="s">
        <v>408</v>
      </c>
      <c r="J345" s="4" t="s">
        <v>409</v>
      </c>
      <c r="K345" s="13" t="n">
        <v>30</v>
      </c>
      <c r="L345" s="6" t="n">
        <f aca="false">H345*K345</f>
        <v>30</v>
      </c>
      <c r="M345" s="14" t="s">
        <v>410</v>
      </c>
    </row>
    <row r="346" customFormat="false" ht="15" hidden="false" customHeight="false" outlineLevel="0" collapsed="false">
      <c r="A346" s="4" t="s">
        <v>69</v>
      </c>
      <c r="B346" s="5" t="s">
        <v>80</v>
      </c>
      <c r="C346" s="5" t="s">
        <v>81</v>
      </c>
      <c r="D346" s="4" t="s">
        <v>22</v>
      </c>
      <c r="E346" s="4" t="s">
        <v>777</v>
      </c>
      <c r="F346" s="4" t="s">
        <v>406</v>
      </c>
      <c r="G346" s="4" t="s">
        <v>778</v>
      </c>
      <c r="H346" s="12" t="n">
        <v>1</v>
      </c>
      <c r="I346" s="4" t="s">
        <v>408</v>
      </c>
      <c r="J346" s="4" t="s">
        <v>409</v>
      </c>
      <c r="K346" s="13" t="n">
        <v>120</v>
      </c>
      <c r="L346" s="6" t="n">
        <f aca="false">H346*K346</f>
        <v>120</v>
      </c>
      <c r="M346" s="14" t="s">
        <v>410</v>
      </c>
    </row>
    <row r="347" customFormat="false" ht="15" hidden="false" customHeight="false" outlineLevel="0" collapsed="false">
      <c r="A347" s="4" t="s">
        <v>69</v>
      </c>
      <c r="B347" s="5" t="s">
        <v>80</v>
      </c>
      <c r="C347" s="5" t="s">
        <v>81</v>
      </c>
      <c r="D347" s="4" t="s">
        <v>22</v>
      </c>
      <c r="E347" s="4" t="s">
        <v>779</v>
      </c>
      <c r="F347" s="4" t="s">
        <v>406</v>
      </c>
      <c r="G347" s="4" t="s">
        <v>780</v>
      </c>
      <c r="H347" s="12" t="n">
        <v>1</v>
      </c>
      <c r="I347" s="4" t="s">
        <v>408</v>
      </c>
      <c r="J347" s="4" t="s">
        <v>409</v>
      </c>
      <c r="K347" s="13" t="n">
        <v>1800</v>
      </c>
      <c r="L347" s="6" t="n">
        <f aca="false">H347*K347</f>
        <v>1800</v>
      </c>
      <c r="M347" s="14" t="s">
        <v>410</v>
      </c>
    </row>
    <row r="348" customFormat="false" ht="15" hidden="false" customHeight="false" outlineLevel="0" collapsed="false">
      <c r="A348" s="4" t="s">
        <v>69</v>
      </c>
      <c r="B348" s="5" t="s">
        <v>80</v>
      </c>
      <c r="C348" s="5" t="s">
        <v>81</v>
      </c>
      <c r="D348" s="4" t="s">
        <v>22</v>
      </c>
      <c r="E348" s="4" t="s">
        <v>781</v>
      </c>
      <c r="F348" s="4" t="s">
        <v>470</v>
      </c>
      <c r="G348" s="4" t="s">
        <v>782</v>
      </c>
      <c r="H348" s="12" t="n">
        <v>1</v>
      </c>
      <c r="I348" s="4" t="s">
        <v>408</v>
      </c>
      <c r="J348" s="4" t="s">
        <v>409</v>
      </c>
      <c r="K348" s="13" t="n">
        <v>6500</v>
      </c>
      <c r="L348" s="6" t="n">
        <f aca="false">H348*K348</f>
        <v>6500</v>
      </c>
      <c r="M348" s="4" t="s">
        <v>371</v>
      </c>
    </row>
    <row r="349" customFormat="false" ht="15" hidden="false" customHeight="false" outlineLevel="0" collapsed="false">
      <c r="A349" s="4" t="s">
        <v>69</v>
      </c>
      <c r="B349" s="5" t="s">
        <v>80</v>
      </c>
      <c r="C349" s="5" t="s">
        <v>81</v>
      </c>
      <c r="D349" s="4" t="s">
        <v>22</v>
      </c>
      <c r="E349" s="4" t="s">
        <v>783</v>
      </c>
      <c r="F349" s="4" t="s">
        <v>470</v>
      </c>
      <c r="G349" s="4" t="s">
        <v>784</v>
      </c>
      <c r="H349" s="12" t="n">
        <v>1</v>
      </c>
      <c r="I349" s="4" t="s">
        <v>408</v>
      </c>
      <c r="J349" s="4" t="s">
        <v>416</v>
      </c>
      <c r="K349" s="13" t="n">
        <v>1800</v>
      </c>
      <c r="L349" s="6" t="n">
        <f aca="false">H349*K349</f>
        <v>1800</v>
      </c>
      <c r="M349" s="4" t="s">
        <v>371</v>
      </c>
    </row>
    <row r="350" customFormat="false" ht="15" hidden="false" customHeight="false" outlineLevel="0" collapsed="false">
      <c r="A350" s="4" t="s">
        <v>69</v>
      </c>
      <c r="B350" s="5" t="s">
        <v>80</v>
      </c>
      <c r="C350" s="5" t="s">
        <v>81</v>
      </c>
      <c r="D350" s="4" t="s">
        <v>22</v>
      </c>
      <c r="E350" s="4" t="s">
        <v>785</v>
      </c>
      <c r="F350" s="4" t="s">
        <v>470</v>
      </c>
      <c r="G350" s="4" t="s">
        <v>786</v>
      </c>
      <c r="H350" s="12" t="n">
        <v>1</v>
      </c>
      <c r="I350" s="4" t="s">
        <v>408</v>
      </c>
      <c r="J350" s="4" t="s">
        <v>416</v>
      </c>
      <c r="K350" s="13" t="n">
        <v>2500</v>
      </c>
      <c r="L350" s="6" t="n">
        <f aca="false">H350*K350</f>
        <v>2500</v>
      </c>
      <c r="M350" s="4" t="s">
        <v>371</v>
      </c>
    </row>
    <row r="351" customFormat="false" ht="15" hidden="false" customHeight="false" outlineLevel="0" collapsed="false">
      <c r="A351" s="4" t="s">
        <v>69</v>
      </c>
      <c r="B351" s="5" t="s">
        <v>80</v>
      </c>
      <c r="C351" s="5" t="s">
        <v>81</v>
      </c>
      <c r="D351" s="4" t="s">
        <v>22</v>
      </c>
      <c r="E351" s="4" t="s">
        <v>787</v>
      </c>
      <c r="F351" s="4" t="s">
        <v>470</v>
      </c>
      <c r="G351" s="4" t="s">
        <v>788</v>
      </c>
      <c r="H351" s="12" t="n">
        <v>1</v>
      </c>
      <c r="I351" s="4" t="s">
        <v>408</v>
      </c>
      <c r="J351" s="4" t="s">
        <v>409</v>
      </c>
      <c r="K351" s="13" t="n">
        <v>650</v>
      </c>
      <c r="L351" s="6" t="n">
        <f aca="false">H351*K351</f>
        <v>650</v>
      </c>
      <c r="M351" s="4" t="s">
        <v>371</v>
      </c>
    </row>
    <row r="352" customFormat="false" ht="15" hidden="false" customHeight="false" outlineLevel="0" collapsed="false">
      <c r="A352" s="4" t="s">
        <v>69</v>
      </c>
      <c r="B352" s="5" t="s">
        <v>80</v>
      </c>
      <c r="C352" s="5" t="s">
        <v>81</v>
      </c>
      <c r="D352" s="4" t="s">
        <v>22</v>
      </c>
      <c r="E352" s="4" t="s">
        <v>789</v>
      </c>
      <c r="F352" s="4" t="s">
        <v>488</v>
      </c>
      <c r="G352" s="4" t="s">
        <v>790</v>
      </c>
      <c r="H352" s="12" t="n">
        <v>1</v>
      </c>
      <c r="I352" s="4" t="s">
        <v>408</v>
      </c>
      <c r="J352" s="4" t="s">
        <v>791</v>
      </c>
      <c r="K352" s="13" t="n">
        <v>45</v>
      </c>
      <c r="L352" s="6" t="n">
        <f aca="false">H352*K352</f>
        <v>45</v>
      </c>
      <c r="M352" s="4" t="s">
        <v>371</v>
      </c>
    </row>
    <row r="353" customFormat="false" ht="15" hidden="false" customHeight="false" outlineLevel="0" collapsed="false">
      <c r="A353" s="4" t="s">
        <v>69</v>
      </c>
      <c r="B353" s="5" t="s">
        <v>80</v>
      </c>
      <c r="C353" s="5" t="s">
        <v>81</v>
      </c>
      <c r="D353" s="4" t="s">
        <v>22</v>
      </c>
      <c r="E353" s="4" t="s">
        <v>792</v>
      </c>
      <c r="F353" s="4" t="s">
        <v>488</v>
      </c>
      <c r="G353" s="4" t="s">
        <v>793</v>
      </c>
      <c r="H353" s="12" t="n">
        <v>1</v>
      </c>
      <c r="I353" s="4" t="s">
        <v>408</v>
      </c>
      <c r="J353" s="4" t="s">
        <v>429</v>
      </c>
      <c r="K353" s="13" t="n">
        <v>150</v>
      </c>
      <c r="L353" s="6" t="n">
        <f aca="false">H353*K353</f>
        <v>150</v>
      </c>
      <c r="M353" s="4" t="s">
        <v>371</v>
      </c>
    </row>
    <row r="354" customFormat="false" ht="15" hidden="false" customHeight="false" outlineLevel="0" collapsed="false">
      <c r="A354" s="4" t="s">
        <v>69</v>
      </c>
      <c r="B354" s="5" t="s">
        <v>80</v>
      </c>
      <c r="C354" s="5" t="s">
        <v>81</v>
      </c>
      <c r="D354" s="4" t="s">
        <v>22</v>
      </c>
      <c r="E354" s="4" t="s">
        <v>794</v>
      </c>
      <c r="F354" s="4" t="s">
        <v>488</v>
      </c>
      <c r="G354" s="4" t="s">
        <v>795</v>
      </c>
      <c r="H354" s="12" t="n">
        <v>1</v>
      </c>
      <c r="I354" s="4" t="s">
        <v>408</v>
      </c>
      <c r="J354" s="4" t="s">
        <v>796</v>
      </c>
      <c r="K354" s="13" t="n">
        <v>15</v>
      </c>
      <c r="L354" s="6" t="n">
        <f aca="false">H354*K354</f>
        <v>15</v>
      </c>
      <c r="M354" s="4" t="s">
        <v>371</v>
      </c>
    </row>
    <row r="355" customFormat="false" ht="15" hidden="false" customHeight="false" outlineLevel="0" collapsed="false">
      <c r="A355" s="4" t="s">
        <v>69</v>
      </c>
      <c r="B355" s="5" t="s">
        <v>80</v>
      </c>
      <c r="C355" s="5" t="s">
        <v>81</v>
      </c>
      <c r="D355" s="4" t="s">
        <v>22</v>
      </c>
      <c r="E355" s="4" t="s">
        <v>797</v>
      </c>
      <c r="F355" s="4" t="s">
        <v>488</v>
      </c>
      <c r="G355" s="4" t="s">
        <v>798</v>
      </c>
      <c r="H355" s="12" t="n">
        <v>1</v>
      </c>
      <c r="I355" s="4" t="s">
        <v>408</v>
      </c>
      <c r="J355" s="4" t="s">
        <v>506</v>
      </c>
      <c r="K355" s="13" t="n">
        <v>120</v>
      </c>
      <c r="L355" s="6" t="n">
        <f aca="false">H355*K355</f>
        <v>120</v>
      </c>
      <c r="M355" s="4" t="s">
        <v>371</v>
      </c>
    </row>
    <row r="356" customFormat="false" ht="15" hidden="false" customHeight="false" outlineLevel="0" collapsed="false">
      <c r="A356" s="4" t="s">
        <v>69</v>
      </c>
      <c r="B356" s="5" t="s">
        <v>80</v>
      </c>
      <c r="C356" s="5" t="s">
        <v>81</v>
      </c>
      <c r="D356" s="4" t="s">
        <v>22</v>
      </c>
      <c r="E356" s="4" t="s">
        <v>799</v>
      </c>
      <c r="F356" s="4" t="s">
        <v>488</v>
      </c>
      <c r="G356" s="4" t="s">
        <v>800</v>
      </c>
      <c r="H356" s="12" t="n">
        <v>1</v>
      </c>
      <c r="I356" s="4" t="s">
        <v>408</v>
      </c>
      <c r="J356" s="4" t="s">
        <v>503</v>
      </c>
      <c r="K356" s="13" t="n">
        <v>120</v>
      </c>
      <c r="L356" s="6" t="n">
        <f aca="false">H356*K356</f>
        <v>120</v>
      </c>
      <c r="M356" s="4" t="s">
        <v>371</v>
      </c>
    </row>
    <row r="357" customFormat="false" ht="15" hidden="false" customHeight="false" outlineLevel="0" collapsed="false">
      <c r="A357" s="4" t="s">
        <v>69</v>
      </c>
      <c r="B357" s="5" t="s">
        <v>80</v>
      </c>
      <c r="C357" s="5" t="s">
        <v>81</v>
      </c>
      <c r="D357" s="4" t="s">
        <v>22</v>
      </c>
      <c r="E357" s="4" t="s">
        <v>801</v>
      </c>
      <c r="F357" s="4" t="s">
        <v>488</v>
      </c>
      <c r="G357" s="4" t="s">
        <v>802</v>
      </c>
      <c r="H357" s="12" t="n">
        <v>1</v>
      </c>
      <c r="I357" s="4" t="s">
        <v>408</v>
      </c>
      <c r="J357" s="4" t="s">
        <v>416</v>
      </c>
      <c r="K357" s="13" t="n">
        <v>120</v>
      </c>
      <c r="L357" s="6" t="n">
        <f aca="false">H357*K357</f>
        <v>120</v>
      </c>
      <c r="M357" s="4" t="s">
        <v>371</v>
      </c>
    </row>
    <row r="358" customFormat="false" ht="15" hidden="false" customHeight="false" outlineLevel="0" collapsed="false">
      <c r="A358" s="4" t="s">
        <v>69</v>
      </c>
      <c r="B358" s="5" t="s">
        <v>80</v>
      </c>
      <c r="C358" s="5" t="s">
        <v>81</v>
      </c>
      <c r="D358" s="4" t="s">
        <v>22</v>
      </c>
      <c r="E358" s="4" t="s">
        <v>803</v>
      </c>
      <c r="F358" s="4" t="s">
        <v>488</v>
      </c>
      <c r="G358" s="4" t="s">
        <v>804</v>
      </c>
      <c r="H358" s="12" t="n">
        <v>1</v>
      </c>
      <c r="I358" s="4" t="s">
        <v>408</v>
      </c>
      <c r="J358" s="4" t="s">
        <v>409</v>
      </c>
      <c r="K358" s="13" t="n">
        <v>15</v>
      </c>
      <c r="L358" s="6" t="n">
        <f aca="false">H358*K358</f>
        <v>15</v>
      </c>
      <c r="M358" s="4" t="s">
        <v>371</v>
      </c>
    </row>
    <row r="359" customFormat="false" ht="15" hidden="false" customHeight="false" outlineLevel="0" collapsed="false">
      <c r="A359" s="4" t="s">
        <v>69</v>
      </c>
      <c r="B359" s="5" t="s">
        <v>80</v>
      </c>
      <c r="C359" s="5" t="s">
        <v>81</v>
      </c>
      <c r="D359" s="4" t="s">
        <v>22</v>
      </c>
      <c r="E359" s="4" t="s">
        <v>805</v>
      </c>
      <c r="F359" s="4" t="s">
        <v>488</v>
      </c>
      <c r="G359" s="4" t="s">
        <v>806</v>
      </c>
      <c r="H359" s="12" t="n">
        <v>1</v>
      </c>
      <c r="I359" s="4" t="s">
        <v>408</v>
      </c>
      <c r="J359" s="4" t="s">
        <v>807</v>
      </c>
      <c r="K359" s="13" t="n">
        <v>180</v>
      </c>
      <c r="L359" s="6" t="n">
        <f aca="false">H359*K359</f>
        <v>180</v>
      </c>
      <c r="M359" s="4" t="s">
        <v>371</v>
      </c>
    </row>
    <row r="360" customFormat="false" ht="15" hidden="false" customHeight="false" outlineLevel="0" collapsed="false">
      <c r="A360" s="4" t="s">
        <v>69</v>
      </c>
      <c r="B360" s="5" t="s">
        <v>80</v>
      </c>
      <c r="C360" s="5" t="s">
        <v>81</v>
      </c>
      <c r="D360" s="4" t="s">
        <v>22</v>
      </c>
      <c r="E360" s="4" t="s">
        <v>808</v>
      </c>
      <c r="F360" s="4" t="s">
        <v>488</v>
      </c>
      <c r="G360" s="4" t="s">
        <v>809</v>
      </c>
      <c r="H360" s="12" t="n">
        <v>1</v>
      </c>
      <c r="I360" s="4" t="s">
        <v>408</v>
      </c>
      <c r="J360" s="4" t="s">
        <v>506</v>
      </c>
      <c r="K360" s="13" t="n">
        <v>100</v>
      </c>
      <c r="L360" s="6" t="n">
        <f aca="false">H360*K360</f>
        <v>100</v>
      </c>
      <c r="M360" s="4" t="s">
        <v>371</v>
      </c>
    </row>
    <row r="361" customFormat="false" ht="15" hidden="false" customHeight="false" outlineLevel="0" collapsed="false">
      <c r="A361" s="4" t="s">
        <v>69</v>
      </c>
      <c r="B361" s="5" t="s">
        <v>80</v>
      </c>
      <c r="C361" s="5" t="s">
        <v>81</v>
      </c>
      <c r="D361" s="4" t="s">
        <v>22</v>
      </c>
      <c r="E361" s="4" t="s">
        <v>810</v>
      </c>
      <c r="F361" s="4" t="s">
        <v>488</v>
      </c>
      <c r="G361" s="4" t="s">
        <v>811</v>
      </c>
      <c r="H361" s="12" t="n">
        <v>1</v>
      </c>
      <c r="I361" s="4" t="s">
        <v>408</v>
      </c>
      <c r="J361" s="4" t="s">
        <v>506</v>
      </c>
      <c r="K361" s="13" t="n">
        <v>80</v>
      </c>
      <c r="L361" s="6" t="n">
        <f aca="false">H361*K361</f>
        <v>80</v>
      </c>
      <c r="M361" s="4" t="s">
        <v>371</v>
      </c>
    </row>
    <row r="362" customFormat="false" ht="15" hidden="false" customHeight="false" outlineLevel="0" collapsed="false">
      <c r="A362" s="4" t="s">
        <v>69</v>
      </c>
      <c r="B362" s="5" t="s">
        <v>80</v>
      </c>
      <c r="C362" s="5" t="s">
        <v>81</v>
      </c>
      <c r="D362" s="4" t="s">
        <v>22</v>
      </c>
      <c r="E362" s="4" t="s">
        <v>812</v>
      </c>
      <c r="F362" s="4" t="s">
        <v>488</v>
      </c>
      <c r="G362" s="4" t="s">
        <v>813</v>
      </c>
      <c r="H362" s="12" t="n">
        <v>1</v>
      </c>
      <c r="I362" s="4" t="s">
        <v>408</v>
      </c>
      <c r="J362" s="4" t="s">
        <v>506</v>
      </c>
      <c r="K362" s="13" t="n">
        <v>180</v>
      </c>
      <c r="L362" s="6" t="n">
        <f aca="false">H362*K362</f>
        <v>180</v>
      </c>
      <c r="M362" s="4" t="s">
        <v>371</v>
      </c>
    </row>
    <row r="363" customFormat="false" ht="15" hidden="false" customHeight="false" outlineLevel="0" collapsed="false">
      <c r="A363" s="4" t="s">
        <v>69</v>
      </c>
      <c r="B363" s="5" t="s">
        <v>80</v>
      </c>
      <c r="C363" s="5" t="s">
        <v>81</v>
      </c>
      <c r="D363" s="4" t="s">
        <v>22</v>
      </c>
      <c r="E363" s="4" t="s">
        <v>814</v>
      </c>
      <c r="F363" s="4" t="s">
        <v>488</v>
      </c>
      <c r="G363" s="4" t="s">
        <v>815</v>
      </c>
      <c r="H363" s="12" t="n">
        <v>1</v>
      </c>
      <c r="I363" s="4" t="s">
        <v>408</v>
      </c>
      <c r="J363" s="4" t="s">
        <v>807</v>
      </c>
      <c r="K363" s="13" t="n">
        <v>120</v>
      </c>
      <c r="L363" s="6" t="n">
        <f aca="false">H363*K363</f>
        <v>120</v>
      </c>
      <c r="M363" s="4" t="s">
        <v>371</v>
      </c>
    </row>
    <row r="364" customFormat="false" ht="15" hidden="false" customHeight="false" outlineLevel="0" collapsed="false">
      <c r="A364" s="4" t="s">
        <v>69</v>
      </c>
      <c r="B364" s="5" t="s">
        <v>80</v>
      </c>
      <c r="C364" s="5" t="s">
        <v>81</v>
      </c>
      <c r="D364" s="4" t="s">
        <v>22</v>
      </c>
      <c r="E364" s="4" t="s">
        <v>816</v>
      </c>
      <c r="F364" s="4" t="s">
        <v>488</v>
      </c>
      <c r="G364" s="4" t="s">
        <v>817</v>
      </c>
      <c r="H364" s="12" t="n">
        <v>1</v>
      </c>
      <c r="I364" s="4" t="s">
        <v>408</v>
      </c>
      <c r="J364" s="4" t="s">
        <v>409</v>
      </c>
      <c r="K364" s="13" t="n">
        <v>180</v>
      </c>
      <c r="L364" s="6" t="n">
        <f aca="false">H364*K364</f>
        <v>180</v>
      </c>
      <c r="M364" s="4" t="s">
        <v>371</v>
      </c>
    </row>
    <row r="365" customFormat="false" ht="15" hidden="false" customHeight="false" outlineLevel="0" collapsed="false">
      <c r="A365" s="4" t="s">
        <v>69</v>
      </c>
      <c r="B365" s="5" t="s">
        <v>80</v>
      </c>
      <c r="C365" s="5" t="s">
        <v>81</v>
      </c>
      <c r="D365" s="4" t="s">
        <v>22</v>
      </c>
      <c r="E365" s="4" t="s">
        <v>818</v>
      </c>
      <c r="F365" s="4" t="s">
        <v>488</v>
      </c>
      <c r="G365" s="4" t="s">
        <v>819</v>
      </c>
      <c r="H365" s="12" t="n">
        <v>1</v>
      </c>
      <c r="I365" s="4" t="s">
        <v>408</v>
      </c>
      <c r="J365" s="4" t="s">
        <v>807</v>
      </c>
      <c r="K365" s="13" t="n">
        <v>80</v>
      </c>
      <c r="L365" s="6" t="n">
        <f aca="false">H365*K365</f>
        <v>80</v>
      </c>
      <c r="M365" s="4" t="s">
        <v>371</v>
      </c>
    </row>
    <row r="366" customFormat="false" ht="15" hidden="false" customHeight="false" outlineLevel="0" collapsed="false">
      <c r="A366" s="4" t="s">
        <v>69</v>
      </c>
      <c r="B366" s="5" t="s">
        <v>80</v>
      </c>
      <c r="C366" s="5" t="s">
        <v>81</v>
      </c>
      <c r="D366" s="4" t="s">
        <v>22</v>
      </c>
      <c r="E366" s="4" t="s">
        <v>820</v>
      </c>
      <c r="F366" s="4" t="s">
        <v>488</v>
      </c>
      <c r="G366" s="4" t="s">
        <v>821</v>
      </c>
      <c r="H366" s="12" t="n">
        <v>1</v>
      </c>
      <c r="I366" s="4" t="s">
        <v>408</v>
      </c>
      <c r="J366" s="4" t="s">
        <v>503</v>
      </c>
      <c r="K366" s="13" t="n">
        <v>120</v>
      </c>
      <c r="L366" s="6" t="n">
        <f aca="false">H366*K366</f>
        <v>120</v>
      </c>
      <c r="M366" s="4" t="s">
        <v>371</v>
      </c>
    </row>
    <row r="367" customFormat="false" ht="15" hidden="false" customHeight="false" outlineLevel="0" collapsed="false">
      <c r="A367" s="4" t="s">
        <v>69</v>
      </c>
      <c r="B367" s="5" t="s">
        <v>80</v>
      </c>
      <c r="C367" s="5" t="s">
        <v>81</v>
      </c>
      <c r="D367" s="4" t="s">
        <v>22</v>
      </c>
      <c r="E367" s="4" t="s">
        <v>822</v>
      </c>
      <c r="F367" s="4" t="s">
        <v>488</v>
      </c>
      <c r="G367" s="4" t="s">
        <v>823</v>
      </c>
      <c r="H367" s="12" t="n">
        <v>1</v>
      </c>
      <c r="I367" s="4" t="s">
        <v>408</v>
      </c>
      <c r="J367" s="4" t="s">
        <v>480</v>
      </c>
      <c r="K367" s="13" t="n">
        <v>80</v>
      </c>
      <c r="L367" s="6" t="n">
        <f aca="false">H367*K367</f>
        <v>80</v>
      </c>
      <c r="M367" s="4" t="s">
        <v>371</v>
      </c>
    </row>
    <row r="368" customFormat="false" ht="15" hidden="false" customHeight="false" outlineLevel="0" collapsed="false">
      <c r="A368" s="4" t="s">
        <v>69</v>
      </c>
      <c r="B368" s="5" t="s">
        <v>82</v>
      </c>
      <c r="C368" s="5" t="s">
        <v>83</v>
      </c>
      <c r="D368" s="4" t="s">
        <v>22</v>
      </c>
      <c r="E368" s="4" t="s">
        <v>771</v>
      </c>
      <c r="F368" s="4" t="s">
        <v>406</v>
      </c>
      <c r="G368" s="4" t="s">
        <v>772</v>
      </c>
      <c r="H368" s="12" t="n">
        <v>1</v>
      </c>
      <c r="I368" s="4" t="s">
        <v>408</v>
      </c>
      <c r="J368" s="4" t="s">
        <v>416</v>
      </c>
      <c r="K368" s="13" t="n">
        <v>850</v>
      </c>
      <c r="L368" s="6" t="n">
        <f aca="false">H368*K368</f>
        <v>850</v>
      </c>
      <c r="M368" s="14" t="s">
        <v>410</v>
      </c>
    </row>
    <row r="369" customFormat="false" ht="15" hidden="false" customHeight="false" outlineLevel="0" collapsed="false">
      <c r="A369" s="4" t="s">
        <v>69</v>
      </c>
      <c r="B369" s="5" t="s">
        <v>82</v>
      </c>
      <c r="C369" s="5" t="s">
        <v>83</v>
      </c>
      <c r="D369" s="4" t="s">
        <v>22</v>
      </c>
      <c r="E369" s="4" t="s">
        <v>773</v>
      </c>
      <c r="F369" s="4" t="s">
        <v>406</v>
      </c>
      <c r="G369" s="4" t="s">
        <v>774</v>
      </c>
      <c r="H369" s="12" t="n">
        <v>1</v>
      </c>
      <c r="I369" s="4" t="s">
        <v>408</v>
      </c>
      <c r="J369" s="4" t="s">
        <v>409</v>
      </c>
      <c r="K369" s="13" t="n">
        <v>120</v>
      </c>
      <c r="L369" s="6" t="n">
        <f aca="false">H369*K369</f>
        <v>120</v>
      </c>
      <c r="M369" s="4" t="s">
        <v>371</v>
      </c>
    </row>
    <row r="370" customFormat="false" ht="15" hidden="false" customHeight="false" outlineLevel="0" collapsed="false">
      <c r="A370" s="4" t="s">
        <v>69</v>
      </c>
      <c r="B370" s="5" t="s">
        <v>82</v>
      </c>
      <c r="C370" s="5" t="s">
        <v>83</v>
      </c>
      <c r="D370" s="4" t="s">
        <v>22</v>
      </c>
      <c r="E370" s="4" t="s">
        <v>763</v>
      </c>
      <c r="F370" s="4" t="s">
        <v>406</v>
      </c>
      <c r="G370" s="4" t="s">
        <v>764</v>
      </c>
      <c r="H370" s="12" t="n">
        <v>1</v>
      </c>
      <c r="I370" s="4" t="s">
        <v>408</v>
      </c>
      <c r="J370" s="4" t="s">
        <v>409</v>
      </c>
      <c r="K370" s="13" t="n">
        <v>50</v>
      </c>
      <c r="L370" s="6" t="n">
        <f aca="false">H370*K370</f>
        <v>50</v>
      </c>
      <c r="M370" s="14" t="s">
        <v>410</v>
      </c>
    </row>
    <row r="371" customFormat="false" ht="15" hidden="false" customHeight="false" outlineLevel="0" collapsed="false">
      <c r="A371" s="4" t="s">
        <v>69</v>
      </c>
      <c r="B371" s="5" t="s">
        <v>82</v>
      </c>
      <c r="C371" s="5" t="s">
        <v>83</v>
      </c>
      <c r="D371" s="4" t="s">
        <v>22</v>
      </c>
      <c r="E371" s="4" t="s">
        <v>824</v>
      </c>
      <c r="F371" s="4" t="s">
        <v>406</v>
      </c>
      <c r="G371" s="4" t="s">
        <v>825</v>
      </c>
      <c r="H371" s="12" t="n">
        <v>1</v>
      </c>
      <c r="I371" s="4" t="s">
        <v>408</v>
      </c>
      <c r="J371" s="4" t="s">
        <v>475</v>
      </c>
      <c r="K371" s="13" t="n">
        <v>650</v>
      </c>
      <c r="L371" s="6" t="n">
        <f aca="false">H371*K371</f>
        <v>650</v>
      </c>
      <c r="M371" s="4" t="s">
        <v>371</v>
      </c>
    </row>
    <row r="372" customFormat="false" ht="15" hidden="false" customHeight="false" outlineLevel="0" collapsed="false">
      <c r="A372" s="4" t="s">
        <v>69</v>
      </c>
      <c r="B372" s="5" t="s">
        <v>82</v>
      </c>
      <c r="C372" s="5" t="s">
        <v>83</v>
      </c>
      <c r="D372" s="4" t="s">
        <v>22</v>
      </c>
      <c r="E372" s="4" t="s">
        <v>826</v>
      </c>
      <c r="F372" s="4" t="s">
        <v>406</v>
      </c>
      <c r="G372" s="4" t="s">
        <v>827</v>
      </c>
      <c r="H372" s="12" t="n">
        <v>1</v>
      </c>
      <c r="I372" s="4" t="s">
        <v>408</v>
      </c>
      <c r="J372" s="4" t="s">
        <v>409</v>
      </c>
      <c r="K372" s="13" t="n">
        <v>80</v>
      </c>
      <c r="L372" s="6" t="n">
        <f aca="false">H372*K372</f>
        <v>80</v>
      </c>
      <c r="M372" s="14" t="s">
        <v>410</v>
      </c>
    </row>
    <row r="373" customFormat="false" ht="15" hidden="false" customHeight="false" outlineLevel="0" collapsed="false">
      <c r="A373" s="4" t="s">
        <v>69</v>
      </c>
      <c r="B373" s="5" t="s">
        <v>82</v>
      </c>
      <c r="C373" s="5" t="s">
        <v>83</v>
      </c>
      <c r="D373" s="4" t="s">
        <v>22</v>
      </c>
      <c r="E373" s="4" t="s">
        <v>828</v>
      </c>
      <c r="F373" s="4" t="s">
        <v>406</v>
      </c>
      <c r="G373" s="4" t="s">
        <v>829</v>
      </c>
      <c r="H373" s="12" t="n">
        <v>1</v>
      </c>
      <c r="I373" s="4" t="s">
        <v>408</v>
      </c>
      <c r="J373" s="4" t="s">
        <v>416</v>
      </c>
      <c r="K373" s="13" t="n">
        <v>450</v>
      </c>
      <c r="L373" s="6" t="n">
        <f aca="false">H373*K373</f>
        <v>450</v>
      </c>
      <c r="M373" s="14" t="s">
        <v>410</v>
      </c>
    </row>
    <row r="374" customFormat="false" ht="15" hidden="false" customHeight="false" outlineLevel="0" collapsed="false">
      <c r="A374" s="4" t="s">
        <v>69</v>
      </c>
      <c r="B374" s="5" t="s">
        <v>82</v>
      </c>
      <c r="C374" s="5" t="s">
        <v>83</v>
      </c>
      <c r="D374" s="4" t="s">
        <v>22</v>
      </c>
      <c r="E374" s="4" t="s">
        <v>765</v>
      </c>
      <c r="F374" s="4" t="s">
        <v>406</v>
      </c>
      <c r="G374" s="4" t="s">
        <v>766</v>
      </c>
      <c r="H374" s="12" t="n">
        <v>1</v>
      </c>
      <c r="I374" s="4" t="s">
        <v>408</v>
      </c>
      <c r="J374" s="4" t="s">
        <v>409</v>
      </c>
      <c r="K374" s="13" t="n">
        <v>80</v>
      </c>
      <c r="L374" s="6" t="n">
        <f aca="false">H374*K374</f>
        <v>80</v>
      </c>
      <c r="M374" s="14" t="s">
        <v>410</v>
      </c>
    </row>
    <row r="375" customFormat="false" ht="15" hidden="false" customHeight="false" outlineLevel="0" collapsed="false">
      <c r="A375" s="4" t="s">
        <v>69</v>
      </c>
      <c r="B375" s="5" t="s">
        <v>82</v>
      </c>
      <c r="C375" s="5" t="s">
        <v>83</v>
      </c>
      <c r="D375" s="4" t="s">
        <v>22</v>
      </c>
      <c r="E375" s="4" t="s">
        <v>830</v>
      </c>
      <c r="F375" s="4" t="s">
        <v>406</v>
      </c>
      <c r="G375" s="4" t="s">
        <v>831</v>
      </c>
      <c r="H375" s="12" t="n">
        <v>1</v>
      </c>
      <c r="I375" s="4" t="s">
        <v>408</v>
      </c>
      <c r="J375" s="4" t="s">
        <v>416</v>
      </c>
      <c r="K375" s="13" t="n">
        <v>180</v>
      </c>
      <c r="L375" s="6" t="n">
        <f aca="false">H375*K375</f>
        <v>180</v>
      </c>
      <c r="M375" s="14" t="s">
        <v>410</v>
      </c>
    </row>
    <row r="376" customFormat="false" ht="15" hidden="false" customHeight="false" outlineLevel="0" collapsed="false">
      <c r="A376" s="4" t="s">
        <v>69</v>
      </c>
      <c r="B376" s="5" t="s">
        <v>82</v>
      </c>
      <c r="C376" s="5" t="s">
        <v>83</v>
      </c>
      <c r="D376" s="4" t="s">
        <v>22</v>
      </c>
      <c r="E376" s="4" t="s">
        <v>775</v>
      </c>
      <c r="F376" s="4" t="s">
        <v>406</v>
      </c>
      <c r="G376" s="4" t="s">
        <v>776</v>
      </c>
      <c r="H376" s="12" t="n">
        <v>1</v>
      </c>
      <c r="I376" s="4" t="s">
        <v>408</v>
      </c>
      <c r="J376" s="4" t="s">
        <v>409</v>
      </c>
      <c r="K376" s="13" t="n">
        <v>30</v>
      </c>
      <c r="L376" s="6" t="n">
        <f aca="false">H376*K376</f>
        <v>30</v>
      </c>
      <c r="M376" s="14" t="s">
        <v>410</v>
      </c>
    </row>
    <row r="377" customFormat="false" ht="15" hidden="false" customHeight="false" outlineLevel="0" collapsed="false">
      <c r="A377" s="4" t="s">
        <v>69</v>
      </c>
      <c r="B377" s="5" t="s">
        <v>82</v>
      </c>
      <c r="C377" s="5" t="s">
        <v>83</v>
      </c>
      <c r="D377" s="4" t="s">
        <v>22</v>
      </c>
      <c r="E377" s="4" t="s">
        <v>832</v>
      </c>
      <c r="F377" s="4" t="s">
        <v>406</v>
      </c>
      <c r="G377" s="4" t="s">
        <v>833</v>
      </c>
      <c r="H377" s="12" t="n">
        <v>1</v>
      </c>
      <c r="I377" s="4" t="s">
        <v>408</v>
      </c>
      <c r="J377" s="4" t="s">
        <v>409</v>
      </c>
      <c r="K377" s="13" t="n">
        <v>1800</v>
      </c>
      <c r="L377" s="6" t="n">
        <f aca="false">H377*K377</f>
        <v>1800</v>
      </c>
      <c r="M377" s="14" t="s">
        <v>410</v>
      </c>
    </row>
    <row r="378" customFormat="false" ht="15" hidden="false" customHeight="false" outlineLevel="0" collapsed="false">
      <c r="A378" s="4" t="s">
        <v>69</v>
      </c>
      <c r="B378" s="5" t="s">
        <v>82</v>
      </c>
      <c r="C378" s="5" t="s">
        <v>83</v>
      </c>
      <c r="D378" s="4" t="s">
        <v>22</v>
      </c>
      <c r="E378" s="4" t="s">
        <v>779</v>
      </c>
      <c r="F378" s="4" t="s">
        <v>406</v>
      </c>
      <c r="G378" s="4" t="s">
        <v>780</v>
      </c>
      <c r="H378" s="12" t="n">
        <v>1</v>
      </c>
      <c r="I378" s="4" t="s">
        <v>408</v>
      </c>
      <c r="J378" s="4" t="s">
        <v>409</v>
      </c>
      <c r="K378" s="13" t="n">
        <v>1800</v>
      </c>
      <c r="L378" s="6" t="n">
        <f aca="false">H378*K378</f>
        <v>1800</v>
      </c>
      <c r="M378" s="14" t="s">
        <v>410</v>
      </c>
    </row>
    <row r="379" customFormat="false" ht="15" hidden="false" customHeight="false" outlineLevel="0" collapsed="false">
      <c r="A379" s="4" t="s">
        <v>69</v>
      </c>
      <c r="B379" s="5" t="s">
        <v>82</v>
      </c>
      <c r="C379" s="5" t="s">
        <v>83</v>
      </c>
      <c r="D379" s="4" t="s">
        <v>22</v>
      </c>
      <c r="E379" s="4" t="s">
        <v>781</v>
      </c>
      <c r="F379" s="4" t="s">
        <v>470</v>
      </c>
      <c r="G379" s="4" t="s">
        <v>782</v>
      </c>
      <c r="H379" s="12" t="n">
        <v>1</v>
      </c>
      <c r="I379" s="4" t="s">
        <v>408</v>
      </c>
      <c r="J379" s="4" t="s">
        <v>409</v>
      </c>
      <c r="K379" s="13" t="n">
        <v>6500</v>
      </c>
      <c r="L379" s="6" t="n">
        <f aca="false">H379*K379</f>
        <v>6500</v>
      </c>
      <c r="M379" s="4" t="s">
        <v>371</v>
      </c>
    </row>
    <row r="380" customFormat="false" ht="15" hidden="false" customHeight="false" outlineLevel="0" collapsed="false">
      <c r="A380" s="4" t="s">
        <v>69</v>
      </c>
      <c r="B380" s="5" t="s">
        <v>82</v>
      </c>
      <c r="C380" s="5" t="s">
        <v>83</v>
      </c>
      <c r="D380" s="4" t="s">
        <v>22</v>
      </c>
      <c r="E380" s="4" t="s">
        <v>789</v>
      </c>
      <c r="F380" s="4" t="s">
        <v>488</v>
      </c>
      <c r="G380" s="4" t="s">
        <v>790</v>
      </c>
      <c r="H380" s="12" t="n">
        <v>1</v>
      </c>
      <c r="I380" s="4" t="s">
        <v>408</v>
      </c>
      <c r="J380" s="4" t="s">
        <v>791</v>
      </c>
      <c r="K380" s="13" t="n">
        <v>45</v>
      </c>
      <c r="L380" s="6" t="n">
        <f aca="false">H380*K380</f>
        <v>45</v>
      </c>
      <c r="M380" s="4" t="s">
        <v>371</v>
      </c>
    </row>
    <row r="381" customFormat="false" ht="15" hidden="false" customHeight="false" outlineLevel="0" collapsed="false">
      <c r="A381" s="4" t="s">
        <v>69</v>
      </c>
      <c r="B381" s="5" t="s">
        <v>82</v>
      </c>
      <c r="C381" s="5" t="s">
        <v>83</v>
      </c>
      <c r="D381" s="4" t="s">
        <v>22</v>
      </c>
      <c r="E381" s="4" t="s">
        <v>792</v>
      </c>
      <c r="F381" s="4" t="s">
        <v>488</v>
      </c>
      <c r="G381" s="4" t="s">
        <v>793</v>
      </c>
      <c r="H381" s="12" t="n">
        <v>1</v>
      </c>
      <c r="I381" s="4" t="s">
        <v>408</v>
      </c>
      <c r="J381" s="4" t="s">
        <v>429</v>
      </c>
      <c r="K381" s="13" t="n">
        <v>150</v>
      </c>
      <c r="L381" s="6" t="n">
        <f aca="false">H381*K381</f>
        <v>150</v>
      </c>
      <c r="M381" s="4" t="s">
        <v>371</v>
      </c>
    </row>
    <row r="382" customFormat="false" ht="15" hidden="false" customHeight="false" outlineLevel="0" collapsed="false">
      <c r="A382" s="4" t="s">
        <v>69</v>
      </c>
      <c r="B382" s="5" t="s">
        <v>82</v>
      </c>
      <c r="C382" s="5" t="s">
        <v>83</v>
      </c>
      <c r="D382" s="4" t="s">
        <v>22</v>
      </c>
      <c r="E382" s="4" t="s">
        <v>760</v>
      </c>
      <c r="F382" s="4" t="s">
        <v>488</v>
      </c>
      <c r="G382" s="4" t="s">
        <v>761</v>
      </c>
      <c r="H382" s="12" t="n">
        <v>1</v>
      </c>
      <c r="I382" s="4" t="s">
        <v>408</v>
      </c>
      <c r="J382" s="4" t="s">
        <v>762</v>
      </c>
      <c r="K382" s="13" t="n">
        <v>120</v>
      </c>
      <c r="L382" s="6" t="n">
        <f aca="false">H382*K382</f>
        <v>120</v>
      </c>
      <c r="M382" s="4" t="s">
        <v>371</v>
      </c>
    </row>
    <row r="383" customFormat="false" ht="15" hidden="false" customHeight="false" outlineLevel="0" collapsed="false">
      <c r="A383" s="4" t="s">
        <v>69</v>
      </c>
      <c r="B383" s="5" t="s">
        <v>82</v>
      </c>
      <c r="C383" s="5" t="s">
        <v>83</v>
      </c>
      <c r="D383" s="4" t="s">
        <v>22</v>
      </c>
      <c r="E383" s="4" t="s">
        <v>834</v>
      </c>
      <c r="F383" s="4" t="s">
        <v>488</v>
      </c>
      <c r="G383" s="4" t="s">
        <v>835</v>
      </c>
      <c r="H383" s="12" t="n">
        <v>1</v>
      </c>
      <c r="I383" s="4" t="s">
        <v>408</v>
      </c>
      <c r="J383" s="4" t="s">
        <v>506</v>
      </c>
      <c r="K383" s="13" t="n">
        <v>80</v>
      </c>
      <c r="L383" s="6" t="n">
        <f aca="false">H383*K383</f>
        <v>80</v>
      </c>
      <c r="M383" s="4" t="s">
        <v>371</v>
      </c>
    </row>
    <row r="384" customFormat="false" ht="15" hidden="false" customHeight="false" outlineLevel="0" collapsed="false">
      <c r="A384" s="4" t="s">
        <v>69</v>
      </c>
      <c r="B384" s="5" t="s">
        <v>82</v>
      </c>
      <c r="C384" s="5" t="s">
        <v>83</v>
      </c>
      <c r="D384" s="4" t="s">
        <v>22</v>
      </c>
      <c r="E384" s="4" t="s">
        <v>836</v>
      </c>
      <c r="F384" s="4" t="s">
        <v>488</v>
      </c>
      <c r="G384" s="4" t="s">
        <v>837</v>
      </c>
      <c r="H384" s="12" t="n">
        <v>1</v>
      </c>
      <c r="I384" s="4" t="s">
        <v>408</v>
      </c>
      <c r="J384" s="4" t="s">
        <v>796</v>
      </c>
      <c r="K384" s="13" t="n">
        <v>15</v>
      </c>
      <c r="L384" s="6" t="n">
        <f aca="false">H384*K384</f>
        <v>15</v>
      </c>
      <c r="M384" s="4" t="s">
        <v>371</v>
      </c>
    </row>
    <row r="385" customFormat="false" ht="15" hidden="false" customHeight="false" outlineLevel="0" collapsed="false">
      <c r="A385" s="4" t="s">
        <v>69</v>
      </c>
      <c r="B385" s="5" t="s">
        <v>82</v>
      </c>
      <c r="C385" s="5" t="s">
        <v>83</v>
      </c>
      <c r="D385" s="4" t="s">
        <v>22</v>
      </c>
      <c r="E385" s="4" t="s">
        <v>838</v>
      </c>
      <c r="F385" s="4" t="s">
        <v>488</v>
      </c>
      <c r="G385" s="4" t="s">
        <v>839</v>
      </c>
      <c r="H385" s="12" t="n">
        <v>1</v>
      </c>
      <c r="I385" s="4" t="s">
        <v>408</v>
      </c>
      <c r="J385" s="4" t="s">
        <v>409</v>
      </c>
      <c r="K385" s="13" t="n">
        <v>10</v>
      </c>
      <c r="L385" s="6" t="n">
        <f aca="false">H385*K385</f>
        <v>10</v>
      </c>
      <c r="M385" s="4" t="s">
        <v>371</v>
      </c>
    </row>
    <row r="386" customFormat="false" ht="15" hidden="false" customHeight="false" outlineLevel="0" collapsed="false">
      <c r="A386" s="4" t="s">
        <v>69</v>
      </c>
      <c r="B386" s="5" t="s">
        <v>82</v>
      </c>
      <c r="C386" s="5" t="s">
        <v>83</v>
      </c>
      <c r="D386" s="4" t="s">
        <v>22</v>
      </c>
      <c r="E386" s="4" t="s">
        <v>840</v>
      </c>
      <c r="F386" s="4" t="s">
        <v>488</v>
      </c>
      <c r="G386" s="4" t="s">
        <v>841</v>
      </c>
      <c r="H386" s="12" t="n">
        <v>1</v>
      </c>
      <c r="I386" s="4" t="s">
        <v>408</v>
      </c>
      <c r="J386" s="4" t="s">
        <v>807</v>
      </c>
      <c r="K386" s="13" t="n">
        <v>180</v>
      </c>
      <c r="L386" s="6" t="n">
        <f aca="false">H386*K386</f>
        <v>180</v>
      </c>
      <c r="M386" s="4" t="s">
        <v>371</v>
      </c>
    </row>
    <row r="387" customFormat="false" ht="15" hidden="false" customHeight="false" outlineLevel="0" collapsed="false">
      <c r="A387" s="4" t="s">
        <v>69</v>
      </c>
      <c r="B387" s="5" t="s">
        <v>82</v>
      </c>
      <c r="C387" s="5" t="s">
        <v>83</v>
      </c>
      <c r="D387" s="4" t="s">
        <v>22</v>
      </c>
      <c r="E387" s="4" t="s">
        <v>842</v>
      </c>
      <c r="F387" s="4" t="s">
        <v>488</v>
      </c>
      <c r="G387" s="4" t="s">
        <v>843</v>
      </c>
      <c r="H387" s="12" t="n">
        <v>1</v>
      </c>
      <c r="I387" s="4" t="s">
        <v>408</v>
      </c>
      <c r="J387" s="4" t="s">
        <v>506</v>
      </c>
      <c r="K387" s="13" t="n">
        <v>180</v>
      </c>
      <c r="L387" s="6" t="n">
        <f aca="false">H387*K387</f>
        <v>180</v>
      </c>
      <c r="M387" s="4" t="s">
        <v>371</v>
      </c>
    </row>
    <row r="388" customFormat="false" ht="15" hidden="false" customHeight="false" outlineLevel="0" collapsed="false">
      <c r="A388" s="4" t="s">
        <v>69</v>
      </c>
      <c r="B388" s="5" t="s">
        <v>82</v>
      </c>
      <c r="C388" s="5" t="s">
        <v>83</v>
      </c>
      <c r="D388" s="4" t="s">
        <v>22</v>
      </c>
      <c r="E388" s="4" t="s">
        <v>844</v>
      </c>
      <c r="F388" s="4" t="s">
        <v>488</v>
      </c>
      <c r="G388" s="4" t="s">
        <v>845</v>
      </c>
      <c r="H388" s="12" t="n">
        <v>1</v>
      </c>
      <c r="I388" s="4" t="s">
        <v>408</v>
      </c>
      <c r="J388" s="4" t="s">
        <v>506</v>
      </c>
      <c r="K388" s="13" t="n">
        <v>150</v>
      </c>
      <c r="L388" s="6" t="n">
        <f aca="false">H388*K388</f>
        <v>150</v>
      </c>
      <c r="M388" s="4" t="s">
        <v>371</v>
      </c>
    </row>
    <row r="389" customFormat="false" ht="15" hidden="false" customHeight="false" outlineLevel="0" collapsed="false">
      <c r="A389" s="4" t="s">
        <v>69</v>
      </c>
      <c r="B389" s="5" t="s">
        <v>82</v>
      </c>
      <c r="C389" s="5" t="s">
        <v>83</v>
      </c>
      <c r="D389" s="4" t="s">
        <v>22</v>
      </c>
      <c r="E389" s="4" t="s">
        <v>846</v>
      </c>
      <c r="F389" s="4" t="s">
        <v>488</v>
      </c>
      <c r="G389" s="4" t="s">
        <v>847</v>
      </c>
      <c r="H389" s="12" t="n">
        <v>1</v>
      </c>
      <c r="I389" s="4" t="s">
        <v>408</v>
      </c>
      <c r="J389" s="4" t="s">
        <v>791</v>
      </c>
      <c r="K389" s="13" t="n">
        <v>120</v>
      </c>
      <c r="L389" s="6" t="n">
        <f aca="false">H389*K389</f>
        <v>120</v>
      </c>
      <c r="M389" s="4" t="s">
        <v>371</v>
      </c>
    </row>
    <row r="390" customFormat="false" ht="15" hidden="false" customHeight="false" outlineLevel="0" collapsed="false">
      <c r="A390" s="4" t="s">
        <v>69</v>
      </c>
      <c r="B390" s="5" t="s">
        <v>82</v>
      </c>
      <c r="C390" s="5" t="s">
        <v>83</v>
      </c>
      <c r="D390" s="4" t="s">
        <v>22</v>
      </c>
      <c r="E390" s="4" t="s">
        <v>848</v>
      </c>
      <c r="F390" s="4" t="s">
        <v>488</v>
      </c>
      <c r="G390" s="4" t="s">
        <v>849</v>
      </c>
      <c r="H390" s="12" t="n">
        <v>1</v>
      </c>
      <c r="I390" s="4" t="s">
        <v>408</v>
      </c>
      <c r="J390" s="4" t="s">
        <v>429</v>
      </c>
      <c r="K390" s="13" t="n">
        <v>100</v>
      </c>
      <c r="L390" s="6" t="n">
        <f aca="false">H390*K390</f>
        <v>100</v>
      </c>
      <c r="M390" s="4" t="s">
        <v>371</v>
      </c>
    </row>
    <row r="391" customFormat="false" ht="15" hidden="false" customHeight="false" outlineLevel="0" collapsed="false">
      <c r="A391" s="4" t="s">
        <v>69</v>
      </c>
      <c r="B391" s="5" t="s">
        <v>82</v>
      </c>
      <c r="C391" s="5" t="s">
        <v>83</v>
      </c>
      <c r="D391" s="4" t="s">
        <v>22</v>
      </c>
      <c r="E391" s="4" t="s">
        <v>808</v>
      </c>
      <c r="F391" s="4" t="s">
        <v>488</v>
      </c>
      <c r="G391" s="4" t="s">
        <v>809</v>
      </c>
      <c r="H391" s="12" t="n">
        <v>1</v>
      </c>
      <c r="I391" s="4" t="s">
        <v>408</v>
      </c>
      <c r="J391" s="4" t="s">
        <v>506</v>
      </c>
      <c r="K391" s="13" t="n">
        <v>100</v>
      </c>
      <c r="L391" s="6" t="n">
        <f aca="false">H391*K391</f>
        <v>100</v>
      </c>
      <c r="M391" s="4" t="s">
        <v>371</v>
      </c>
    </row>
    <row r="392" customFormat="false" ht="15" hidden="false" customHeight="false" outlineLevel="0" collapsed="false">
      <c r="A392" s="4" t="s">
        <v>69</v>
      </c>
      <c r="B392" s="5" t="s">
        <v>82</v>
      </c>
      <c r="C392" s="5" t="s">
        <v>83</v>
      </c>
      <c r="D392" s="4" t="s">
        <v>22</v>
      </c>
      <c r="E392" s="4" t="s">
        <v>810</v>
      </c>
      <c r="F392" s="4" t="s">
        <v>488</v>
      </c>
      <c r="G392" s="4" t="s">
        <v>811</v>
      </c>
      <c r="H392" s="12" t="n">
        <v>1</v>
      </c>
      <c r="I392" s="4" t="s">
        <v>408</v>
      </c>
      <c r="J392" s="4" t="s">
        <v>506</v>
      </c>
      <c r="K392" s="13" t="n">
        <v>80</v>
      </c>
      <c r="L392" s="6" t="n">
        <f aca="false">H392*K392</f>
        <v>80</v>
      </c>
      <c r="M392" s="4" t="s">
        <v>371</v>
      </c>
    </row>
    <row r="393" customFormat="false" ht="15" hidden="false" customHeight="false" outlineLevel="0" collapsed="false">
      <c r="A393" s="4" t="s">
        <v>69</v>
      </c>
      <c r="B393" s="5" t="s">
        <v>82</v>
      </c>
      <c r="C393" s="5" t="s">
        <v>83</v>
      </c>
      <c r="D393" s="4" t="s">
        <v>22</v>
      </c>
      <c r="E393" s="4" t="s">
        <v>812</v>
      </c>
      <c r="F393" s="4" t="s">
        <v>488</v>
      </c>
      <c r="G393" s="4" t="s">
        <v>813</v>
      </c>
      <c r="H393" s="12" t="n">
        <v>1</v>
      </c>
      <c r="I393" s="4" t="s">
        <v>408</v>
      </c>
      <c r="J393" s="4" t="s">
        <v>506</v>
      </c>
      <c r="K393" s="13" t="n">
        <v>180</v>
      </c>
      <c r="L393" s="6" t="n">
        <f aca="false">H393*K393</f>
        <v>180</v>
      </c>
      <c r="M393" s="4" t="s">
        <v>371</v>
      </c>
    </row>
    <row r="394" customFormat="false" ht="15" hidden="false" customHeight="false" outlineLevel="0" collapsed="false">
      <c r="A394" s="4" t="s">
        <v>69</v>
      </c>
      <c r="B394" s="5" t="s">
        <v>82</v>
      </c>
      <c r="C394" s="5" t="s">
        <v>83</v>
      </c>
      <c r="D394" s="4" t="s">
        <v>22</v>
      </c>
      <c r="E394" s="4" t="s">
        <v>850</v>
      </c>
      <c r="F394" s="4" t="s">
        <v>488</v>
      </c>
      <c r="G394" s="4" t="s">
        <v>851</v>
      </c>
      <c r="H394" s="12" t="n">
        <v>1</v>
      </c>
      <c r="I394" s="4" t="s">
        <v>408</v>
      </c>
      <c r="J394" s="4" t="s">
        <v>506</v>
      </c>
      <c r="K394" s="13" t="n">
        <v>450</v>
      </c>
      <c r="L394" s="6" t="n">
        <f aca="false">H394*K394</f>
        <v>450</v>
      </c>
      <c r="M394" s="4" t="s">
        <v>371</v>
      </c>
    </row>
    <row r="395" customFormat="false" ht="15" hidden="false" customHeight="false" outlineLevel="0" collapsed="false">
      <c r="A395" s="4" t="s">
        <v>69</v>
      </c>
      <c r="B395" s="5" t="s">
        <v>82</v>
      </c>
      <c r="C395" s="5" t="s">
        <v>83</v>
      </c>
      <c r="D395" s="4" t="s">
        <v>22</v>
      </c>
      <c r="E395" s="4" t="s">
        <v>814</v>
      </c>
      <c r="F395" s="4" t="s">
        <v>488</v>
      </c>
      <c r="G395" s="4" t="s">
        <v>815</v>
      </c>
      <c r="H395" s="12" t="n">
        <v>1</v>
      </c>
      <c r="I395" s="4" t="s">
        <v>408</v>
      </c>
      <c r="J395" s="4" t="s">
        <v>807</v>
      </c>
      <c r="K395" s="13" t="n">
        <v>120</v>
      </c>
      <c r="L395" s="6" t="n">
        <f aca="false">H395*K395</f>
        <v>120</v>
      </c>
      <c r="M395" s="4" t="s">
        <v>371</v>
      </c>
    </row>
    <row r="396" customFormat="false" ht="15" hidden="false" customHeight="false" outlineLevel="0" collapsed="false">
      <c r="A396" s="4" t="s">
        <v>69</v>
      </c>
      <c r="B396" s="5" t="s">
        <v>82</v>
      </c>
      <c r="C396" s="5" t="s">
        <v>83</v>
      </c>
      <c r="D396" s="4" t="s">
        <v>22</v>
      </c>
      <c r="E396" s="4" t="s">
        <v>852</v>
      </c>
      <c r="F396" s="4" t="s">
        <v>488</v>
      </c>
      <c r="G396" s="4" t="s">
        <v>853</v>
      </c>
      <c r="H396" s="12" t="n">
        <v>1</v>
      </c>
      <c r="I396" s="4" t="s">
        <v>408</v>
      </c>
      <c r="J396" s="4" t="s">
        <v>409</v>
      </c>
      <c r="K396" s="13" t="n">
        <v>180</v>
      </c>
      <c r="L396" s="6" t="n">
        <f aca="false">H396*K396</f>
        <v>180</v>
      </c>
      <c r="M396" s="4" t="s">
        <v>371</v>
      </c>
    </row>
    <row r="397" customFormat="false" ht="15" hidden="false" customHeight="false" outlineLevel="0" collapsed="false">
      <c r="A397" s="4" t="s">
        <v>69</v>
      </c>
      <c r="B397" s="5" t="s">
        <v>82</v>
      </c>
      <c r="C397" s="5" t="s">
        <v>83</v>
      </c>
      <c r="D397" s="4" t="s">
        <v>22</v>
      </c>
      <c r="E397" s="4" t="s">
        <v>818</v>
      </c>
      <c r="F397" s="4" t="s">
        <v>488</v>
      </c>
      <c r="G397" s="4" t="s">
        <v>819</v>
      </c>
      <c r="H397" s="12" t="n">
        <v>1</v>
      </c>
      <c r="I397" s="4" t="s">
        <v>408</v>
      </c>
      <c r="J397" s="4" t="s">
        <v>807</v>
      </c>
      <c r="K397" s="13" t="n">
        <v>80</v>
      </c>
      <c r="L397" s="6" t="n">
        <f aca="false">H397*K397</f>
        <v>80</v>
      </c>
      <c r="M397" s="4" t="s">
        <v>371</v>
      </c>
    </row>
    <row r="398" customFormat="false" ht="15" hidden="false" customHeight="false" outlineLevel="0" collapsed="false">
      <c r="A398" s="4" t="s">
        <v>69</v>
      </c>
      <c r="B398" s="5" t="s">
        <v>82</v>
      </c>
      <c r="C398" s="5" t="s">
        <v>83</v>
      </c>
      <c r="D398" s="4" t="s">
        <v>22</v>
      </c>
      <c r="E398" s="4" t="s">
        <v>854</v>
      </c>
      <c r="F398" s="4" t="s">
        <v>488</v>
      </c>
      <c r="G398" s="4" t="s">
        <v>855</v>
      </c>
      <c r="H398" s="12" t="n">
        <v>1</v>
      </c>
      <c r="I398" s="4" t="s">
        <v>408</v>
      </c>
      <c r="J398" s="4" t="s">
        <v>503</v>
      </c>
      <c r="K398" s="13" t="n">
        <v>120</v>
      </c>
      <c r="L398" s="6" t="n">
        <f aca="false">H398*K398</f>
        <v>120</v>
      </c>
      <c r="M398" s="4" t="s">
        <v>371</v>
      </c>
    </row>
    <row r="399" customFormat="false" ht="15" hidden="false" customHeight="false" outlineLevel="0" collapsed="false">
      <c r="A399" s="4" t="s">
        <v>69</v>
      </c>
      <c r="B399" s="5" t="s">
        <v>82</v>
      </c>
      <c r="C399" s="5" t="s">
        <v>83</v>
      </c>
      <c r="D399" s="4" t="s">
        <v>22</v>
      </c>
      <c r="E399" s="4" t="s">
        <v>856</v>
      </c>
      <c r="F399" s="4" t="s">
        <v>488</v>
      </c>
      <c r="G399" s="4" t="s">
        <v>857</v>
      </c>
      <c r="H399" s="12" t="n">
        <v>1</v>
      </c>
      <c r="I399" s="4" t="s">
        <v>408</v>
      </c>
      <c r="J399" s="4" t="s">
        <v>807</v>
      </c>
      <c r="K399" s="13" t="n">
        <v>250</v>
      </c>
      <c r="L399" s="6" t="n">
        <f aca="false">H399*K399</f>
        <v>250</v>
      </c>
      <c r="M399" s="4" t="s">
        <v>371</v>
      </c>
    </row>
    <row r="400" customFormat="false" ht="15" hidden="false" customHeight="false" outlineLevel="0" collapsed="false">
      <c r="A400" s="4" t="s">
        <v>69</v>
      </c>
      <c r="B400" s="5" t="s">
        <v>82</v>
      </c>
      <c r="C400" s="5" t="s">
        <v>83</v>
      </c>
      <c r="D400" s="4" t="s">
        <v>22</v>
      </c>
      <c r="E400" s="4" t="s">
        <v>858</v>
      </c>
      <c r="F400" s="4" t="s">
        <v>488</v>
      </c>
      <c r="G400" s="4" t="s">
        <v>859</v>
      </c>
      <c r="H400" s="12" t="n">
        <v>1</v>
      </c>
      <c r="I400" s="4" t="s">
        <v>408</v>
      </c>
      <c r="J400" s="4" t="s">
        <v>807</v>
      </c>
      <c r="K400" s="13" t="n">
        <v>250</v>
      </c>
      <c r="L400" s="6" t="n">
        <f aca="false">H400*K400</f>
        <v>250</v>
      </c>
      <c r="M400" s="4" t="s">
        <v>371</v>
      </c>
    </row>
    <row r="401" customFormat="false" ht="15" hidden="false" customHeight="false" outlineLevel="0" collapsed="false">
      <c r="A401" s="4" t="s">
        <v>69</v>
      </c>
      <c r="B401" s="5" t="s">
        <v>88</v>
      </c>
      <c r="C401" s="5" t="s">
        <v>89</v>
      </c>
      <c r="D401" s="4" t="s">
        <v>22</v>
      </c>
      <c r="E401" s="4" t="s">
        <v>860</v>
      </c>
      <c r="F401" s="4" t="s">
        <v>406</v>
      </c>
      <c r="G401" s="4" t="s">
        <v>861</v>
      </c>
      <c r="H401" s="12" t="n">
        <v>1</v>
      </c>
      <c r="I401" s="4" t="s">
        <v>408</v>
      </c>
      <c r="J401" s="4" t="s">
        <v>409</v>
      </c>
      <c r="K401" s="13" t="n">
        <v>250</v>
      </c>
      <c r="L401" s="6" t="n">
        <f aca="false">H401*K401</f>
        <v>250</v>
      </c>
      <c r="M401" s="4" t="s">
        <v>371</v>
      </c>
    </row>
    <row r="402" customFormat="false" ht="15" hidden="false" customHeight="false" outlineLevel="0" collapsed="false">
      <c r="A402" s="4" t="s">
        <v>69</v>
      </c>
      <c r="B402" s="5" t="s">
        <v>88</v>
      </c>
      <c r="C402" s="5" t="s">
        <v>89</v>
      </c>
      <c r="D402" s="4" t="s">
        <v>22</v>
      </c>
      <c r="E402" s="4" t="s">
        <v>862</v>
      </c>
      <c r="F402" s="4" t="s">
        <v>406</v>
      </c>
      <c r="G402" s="4" t="s">
        <v>863</v>
      </c>
      <c r="H402" s="12" t="n">
        <v>1</v>
      </c>
      <c r="I402" s="4" t="s">
        <v>408</v>
      </c>
      <c r="J402" s="4" t="s">
        <v>409</v>
      </c>
      <c r="K402" s="13" t="n">
        <v>120</v>
      </c>
      <c r="L402" s="6" t="n">
        <f aca="false">H402*K402</f>
        <v>120</v>
      </c>
      <c r="M402" s="14" t="s">
        <v>410</v>
      </c>
    </row>
    <row r="403" customFormat="false" ht="15" hidden="false" customHeight="false" outlineLevel="0" collapsed="false">
      <c r="A403" s="4" t="s">
        <v>69</v>
      </c>
      <c r="B403" s="5" t="s">
        <v>88</v>
      </c>
      <c r="C403" s="5" t="s">
        <v>89</v>
      </c>
      <c r="D403" s="4" t="s">
        <v>22</v>
      </c>
      <c r="E403" s="4" t="s">
        <v>864</v>
      </c>
      <c r="F403" s="4" t="s">
        <v>406</v>
      </c>
      <c r="G403" s="4" t="s">
        <v>865</v>
      </c>
      <c r="H403" s="12" t="n">
        <v>1</v>
      </c>
      <c r="I403" s="4" t="s">
        <v>408</v>
      </c>
      <c r="J403" s="4" t="s">
        <v>409</v>
      </c>
      <c r="K403" s="13" t="n">
        <v>80</v>
      </c>
      <c r="L403" s="6" t="n">
        <f aca="false">H403*K403</f>
        <v>80</v>
      </c>
      <c r="M403" s="14" t="s">
        <v>410</v>
      </c>
    </row>
    <row r="404" customFormat="false" ht="15" hidden="false" customHeight="false" outlineLevel="0" collapsed="false">
      <c r="A404" s="4" t="s">
        <v>69</v>
      </c>
      <c r="B404" s="5" t="s">
        <v>88</v>
      </c>
      <c r="C404" s="5" t="s">
        <v>89</v>
      </c>
      <c r="D404" s="4" t="s">
        <v>22</v>
      </c>
      <c r="E404" s="4" t="s">
        <v>866</v>
      </c>
      <c r="F404" s="4" t="s">
        <v>406</v>
      </c>
      <c r="G404" s="4" t="s">
        <v>867</v>
      </c>
      <c r="H404" s="12" t="n">
        <v>1</v>
      </c>
      <c r="I404" s="4" t="s">
        <v>408</v>
      </c>
      <c r="J404" s="4" t="s">
        <v>409</v>
      </c>
      <c r="K404" s="13" t="n">
        <v>350</v>
      </c>
      <c r="L404" s="6" t="n">
        <f aca="false">H404*K404</f>
        <v>350</v>
      </c>
      <c r="M404" s="14" t="s">
        <v>410</v>
      </c>
    </row>
    <row r="405" customFormat="false" ht="15" hidden="false" customHeight="false" outlineLevel="0" collapsed="false">
      <c r="A405" s="4" t="s">
        <v>69</v>
      </c>
      <c r="B405" s="5" t="s">
        <v>88</v>
      </c>
      <c r="C405" s="5" t="s">
        <v>89</v>
      </c>
      <c r="D405" s="4" t="s">
        <v>22</v>
      </c>
      <c r="E405" s="4" t="s">
        <v>868</v>
      </c>
      <c r="F405" s="4" t="s">
        <v>406</v>
      </c>
      <c r="G405" s="4" t="s">
        <v>869</v>
      </c>
      <c r="H405" s="12" t="n">
        <v>1</v>
      </c>
      <c r="I405" s="4" t="s">
        <v>408</v>
      </c>
      <c r="J405" s="4" t="s">
        <v>409</v>
      </c>
      <c r="K405" s="13" t="n">
        <v>250</v>
      </c>
      <c r="L405" s="6" t="n">
        <f aca="false">H405*K405</f>
        <v>250</v>
      </c>
      <c r="M405" s="14" t="s">
        <v>410</v>
      </c>
    </row>
    <row r="406" customFormat="false" ht="15" hidden="false" customHeight="false" outlineLevel="0" collapsed="false">
      <c r="A406" s="4" t="s">
        <v>69</v>
      </c>
      <c r="B406" s="5" t="s">
        <v>88</v>
      </c>
      <c r="C406" s="5" t="s">
        <v>89</v>
      </c>
      <c r="D406" s="4" t="s">
        <v>22</v>
      </c>
      <c r="E406" s="4" t="s">
        <v>870</v>
      </c>
      <c r="F406" s="4" t="s">
        <v>406</v>
      </c>
      <c r="G406" s="4" t="s">
        <v>871</v>
      </c>
      <c r="H406" s="12" t="n">
        <v>1</v>
      </c>
      <c r="I406" s="4" t="s">
        <v>408</v>
      </c>
      <c r="J406" s="4" t="s">
        <v>409</v>
      </c>
      <c r="K406" s="13" t="n">
        <v>120</v>
      </c>
      <c r="L406" s="6" t="n">
        <f aca="false">H406*K406</f>
        <v>120</v>
      </c>
      <c r="M406" s="14" t="s">
        <v>410</v>
      </c>
    </row>
    <row r="407" customFormat="false" ht="15" hidden="false" customHeight="false" outlineLevel="0" collapsed="false">
      <c r="A407" s="4" t="s">
        <v>69</v>
      </c>
      <c r="B407" s="5" t="s">
        <v>88</v>
      </c>
      <c r="C407" s="5" t="s">
        <v>89</v>
      </c>
      <c r="D407" s="4" t="s">
        <v>22</v>
      </c>
      <c r="E407" s="4" t="s">
        <v>872</v>
      </c>
      <c r="F407" s="4" t="s">
        <v>406</v>
      </c>
      <c r="G407" s="4" t="s">
        <v>873</v>
      </c>
      <c r="H407" s="12" t="n">
        <v>1</v>
      </c>
      <c r="I407" s="4" t="s">
        <v>408</v>
      </c>
      <c r="J407" s="4" t="s">
        <v>409</v>
      </c>
      <c r="K407" s="13" t="n">
        <v>250</v>
      </c>
      <c r="L407" s="6" t="n">
        <f aca="false">H407*K407</f>
        <v>250</v>
      </c>
      <c r="M407" s="14" t="s">
        <v>410</v>
      </c>
    </row>
    <row r="408" customFormat="false" ht="15" hidden="false" customHeight="false" outlineLevel="0" collapsed="false">
      <c r="A408" s="4" t="s">
        <v>69</v>
      </c>
      <c r="B408" s="5" t="s">
        <v>88</v>
      </c>
      <c r="C408" s="5" t="s">
        <v>89</v>
      </c>
      <c r="D408" s="4" t="s">
        <v>22</v>
      </c>
      <c r="E408" s="4" t="s">
        <v>874</v>
      </c>
      <c r="F408" s="4" t="s">
        <v>406</v>
      </c>
      <c r="G408" s="4" t="s">
        <v>875</v>
      </c>
      <c r="H408" s="12" t="n">
        <v>1</v>
      </c>
      <c r="I408" s="4" t="s">
        <v>408</v>
      </c>
      <c r="J408" s="4" t="s">
        <v>409</v>
      </c>
      <c r="K408" s="13" t="n">
        <v>80</v>
      </c>
      <c r="L408" s="6" t="n">
        <f aca="false">H408*K408</f>
        <v>80</v>
      </c>
      <c r="M408" s="14" t="s">
        <v>410</v>
      </c>
    </row>
    <row r="409" customFormat="false" ht="15" hidden="false" customHeight="false" outlineLevel="0" collapsed="false">
      <c r="A409" s="4" t="s">
        <v>69</v>
      </c>
      <c r="B409" s="5" t="s">
        <v>88</v>
      </c>
      <c r="C409" s="5" t="s">
        <v>89</v>
      </c>
      <c r="D409" s="4" t="s">
        <v>22</v>
      </c>
      <c r="E409" s="4" t="s">
        <v>876</v>
      </c>
      <c r="F409" s="4" t="s">
        <v>406</v>
      </c>
      <c r="G409" s="4" t="s">
        <v>877</v>
      </c>
      <c r="H409" s="12" t="n">
        <v>1</v>
      </c>
      <c r="I409" s="4" t="s">
        <v>408</v>
      </c>
      <c r="J409" s="4" t="s">
        <v>409</v>
      </c>
      <c r="K409" s="13" t="n">
        <v>180</v>
      </c>
      <c r="L409" s="6" t="n">
        <f aca="false">H409*K409</f>
        <v>180</v>
      </c>
      <c r="M409" s="14" t="s">
        <v>410</v>
      </c>
    </row>
    <row r="410" customFormat="false" ht="15" hidden="false" customHeight="false" outlineLevel="0" collapsed="false">
      <c r="A410" s="4" t="s">
        <v>69</v>
      </c>
      <c r="B410" s="5" t="s">
        <v>88</v>
      </c>
      <c r="C410" s="5" t="s">
        <v>89</v>
      </c>
      <c r="D410" s="4" t="s">
        <v>22</v>
      </c>
      <c r="E410" s="4" t="s">
        <v>771</v>
      </c>
      <c r="F410" s="4" t="s">
        <v>406</v>
      </c>
      <c r="G410" s="4" t="s">
        <v>772</v>
      </c>
      <c r="H410" s="12" t="n">
        <v>1</v>
      </c>
      <c r="I410" s="4" t="s">
        <v>408</v>
      </c>
      <c r="J410" s="4" t="s">
        <v>416</v>
      </c>
      <c r="K410" s="13" t="n">
        <v>850</v>
      </c>
      <c r="L410" s="6" t="n">
        <f aca="false">H410*K410</f>
        <v>850</v>
      </c>
      <c r="M410" s="14" t="s">
        <v>410</v>
      </c>
    </row>
    <row r="411" customFormat="false" ht="15" hidden="false" customHeight="false" outlineLevel="0" collapsed="false">
      <c r="A411" s="4" t="s">
        <v>69</v>
      </c>
      <c r="B411" s="5" t="s">
        <v>88</v>
      </c>
      <c r="C411" s="5" t="s">
        <v>89</v>
      </c>
      <c r="D411" s="4" t="s">
        <v>22</v>
      </c>
      <c r="E411" s="4" t="s">
        <v>878</v>
      </c>
      <c r="F411" s="4" t="s">
        <v>406</v>
      </c>
      <c r="G411" s="4" t="s">
        <v>879</v>
      </c>
      <c r="H411" s="12" t="n">
        <v>1</v>
      </c>
      <c r="I411" s="4" t="s">
        <v>408</v>
      </c>
      <c r="J411" s="4" t="s">
        <v>475</v>
      </c>
      <c r="K411" s="13" t="n">
        <v>650</v>
      </c>
      <c r="L411" s="6" t="n">
        <f aca="false">H411*K411</f>
        <v>650</v>
      </c>
      <c r="M411" s="14" t="s">
        <v>410</v>
      </c>
    </row>
    <row r="412" customFormat="false" ht="15" hidden="false" customHeight="false" outlineLevel="0" collapsed="false">
      <c r="A412" s="4" t="s">
        <v>69</v>
      </c>
      <c r="B412" s="5" t="s">
        <v>88</v>
      </c>
      <c r="C412" s="5" t="s">
        <v>89</v>
      </c>
      <c r="D412" s="4" t="s">
        <v>22</v>
      </c>
      <c r="E412" s="4" t="s">
        <v>880</v>
      </c>
      <c r="F412" s="4" t="s">
        <v>406</v>
      </c>
      <c r="G412" s="4" t="s">
        <v>881</v>
      </c>
      <c r="H412" s="12" t="n">
        <v>1</v>
      </c>
      <c r="I412" s="4" t="s">
        <v>408</v>
      </c>
      <c r="J412" s="4" t="s">
        <v>409</v>
      </c>
      <c r="K412" s="13" t="n">
        <v>650</v>
      </c>
      <c r="L412" s="6" t="n">
        <f aca="false">H412*K412</f>
        <v>650</v>
      </c>
      <c r="M412" s="14" t="s">
        <v>410</v>
      </c>
    </row>
    <row r="413" customFormat="false" ht="15" hidden="false" customHeight="false" outlineLevel="0" collapsed="false">
      <c r="A413" s="4" t="s">
        <v>69</v>
      </c>
      <c r="B413" s="5" t="s">
        <v>88</v>
      </c>
      <c r="C413" s="5" t="s">
        <v>89</v>
      </c>
      <c r="D413" s="4" t="s">
        <v>22</v>
      </c>
      <c r="E413" s="4" t="s">
        <v>882</v>
      </c>
      <c r="F413" s="4" t="s">
        <v>406</v>
      </c>
      <c r="G413" s="4" t="s">
        <v>766</v>
      </c>
      <c r="H413" s="12" t="n">
        <v>1</v>
      </c>
      <c r="I413" s="4" t="s">
        <v>408</v>
      </c>
      <c r="J413" s="4" t="s">
        <v>409</v>
      </c>
      <c r="K413" s="13" t="n">
        <v>80</v>
      </c>
      <c r="L413" s="6" t="n">
        <f aca="false">H413*K413</f>
        <v>80</v>
      </c>
      <c r="M413" s="14" t="s">
        <v>410</v>
      </c>
    </row>
    <row r="414" customFormat="false" ht="15" hidden="false" customHeight="false" outlineLevel="0" collapsed="false">
      <c r="A414" s="4" t="s">
        <v>69</v>
      </c>
      <c r="B414" s="5" t="s">
        <v>88</v>
      </c>
      <c r="C414" s="5" t="s">
        <v>89</v>
      </c>
      <c r="D414" s="4" t="s">
        <v>22</v>
      </c>
      <c r="E414" s="4" t="s">
        <v>883</v>
      </c>
      <c r="F414" s="4" t="s">
        <v>406</v>
      </c>
      <c r="G414" s="4" t="s">
        <v>884</v>
      </c>
      <c r="H414" s="12" t="n">
        <v>1</v>
      </c>
      <c r="I414" s="4" t="s">
        <v>408</v>
      </c>
      <c r="J414" s="4" t="s">
        <v>409</v>
      </c>
      <c r="K414" s="13" t="n">
        <v>80</v>
      </c>
      <c r="L414" s="6" t="n">
        <f aca="false">H414*K414</f>
        <v>80</v>
      </c>
      <c r="M414" s="14" t="s">
        <v>410</v>
      </c>
    </row>
    <row r="415" customFormat="false" ht="15" hidden="false" customHeight="false" outlineLevel="0" collapsed="false">
      <c r="A415" s="4" t="s">
        <v>69</v>
      </c>
      <c r="B415" s="5" t="s">
        <v>88</v>
      </c>
      <c r="C415" s="5" t="s">
        <v>89</v>
      </c>
      <c r="D415" s="4" t="s">
        <v>22</v>
      </c>
      <c r="E415" s="4" t="s">
        <v>775</v>
      </c>
      <c r="F415" s="4" t="s">
        <v>406</v>
      </c>
      <c r="G415" s="4" t="s">
        <v>776</v>
      </c>
      <c r="H415" s="12" t="n">
        <v>1</v>
      </c>
      <c r="I415" s="4" t="s">
        <v>408</v>
      </c>
      <c r="J415" s="4" t="s">
        <v>409</v>
      </c>
      <c r="K415" s="13" t="n">
        <v>30</v>
      </c>
      <c r="L415" s="6" t="n">
        <f aca="false">H415*K415</f>
        <v>30</v>
      </c>
      <c r="M415" s="14" t="s">
        <v>410</v>
      </c>
    </row>
    <row r="416" customFormat="false" ht="15" hidden="false" customHeight="false" outlineLevel="0" collapsed="false">
      <c r="A416" s="4" t="s">
        <v>69</v>
      </c>
      <c r="B416" s="5" t="s">
        <v>88</v>
      </c>
      <c r="C416" s="5" t="s">
        <v>89</v>
      </c>
      <c r="D416" s="4" t="s">
        <v>22</v>
      </c>
      <c r="E416" s="4" t="s">
        <v>885</v>
      </c>
      <c r="F416" s="4" t="s">
        <v>406</v>
      </c>
      <c r="G416" s="4" t="s">
        <v>764</v>
      </c>
      <c r="H416" s="12" t="n">
        <v>1</v>
      </c>
      <c r="I416" s="4" t="s">
        <v>408</v>
      </c>
      <c r="J416" s="4" t="s">
        <v>409</v>
      </c>
      <c r="K416" s="13" t="n">
        <v>50</v>
      </c>
      <c r="L416" s="6" t="n">
        <f aca="false">H416*K416</f>
        <v>50</v>
      </c>
      <c r="M416" s="14" t="s">
        <v>410</v>
      </c>
    </row>
    <row r="417" customFormat="false" ht="15" hidden="false" customHeight="false" outlineLevel="0" collapsed="false">
      <c r="A417" s="4" t="s">
        <v>69</v>
      </c>
      <c r="B417" s="5" t="s">
        <v>88</v>
      </c>
      <c r="C417" s="5" t="s">
        <v>89</v>
      </c>
      <c r="D417" s="4" t="s">
        <v>22</v>
      </c>
      <c r="E417" s="4" t="s">
        <v>886</v>
      </c>
      <c r="F417" s="4" t="s">
        <v>406</v>
      </c>
      <c r="G417" s="4" t="s">
        <v>887</v>
      </c>
      <c r="H417" s="12" t="n">
        <v>1</v>
      </c>
      <c r="I417" s="4" t="s">
        <v>408</v>
      </c>
      <c r="J417" s="4" t="s">
        <v>409</v>
      </c>
      <c r="K417" s="13" t="n">
        <v>80</v>
      </c>
      <c r="L417" s="6" t="n">
        <f aca="false">H417*K417</f>
        <v>80</v>
      </c>
      <c r="M417" s="14" t="s">
        <v>410</v>
      </c>
    </row>
    <row r="418" customFormat="false" ht="15" hidden="false" customHeight="false" outlineLevel="0" collapsed="false">
      <c r="A418" s="4" t="s">
        <v>69</v>
      </c>
      <c r="B418" s="5" t="s">
        <v>88</v>
      </c>
      <c r="C418" s="5" t="s">
        <v>89</v>
      </c>
      <c r="D418" s="4" t="s">
        <v>22</v>
      </c>
      <c r="E418" s="4" t="s">
        <v>888</v>
      </c>
      <c r="F418" s="4" t="s">
        <v>406</v>
      </c>
      <c r="G418" s="4" t="s">
        <v>889</v>
      </c>
      <c r="H418" s="12" t="n">
        <v>1</v>
      </c>
      <c r="I418" s="4" t="s">
        <v>408</v>
      </c>
      <c r="J418" s="4" t="s">
        <v>409</v>
      </c>
      <c r="K418" s="13" t="n">
        <v>180</v>
      </c>
      <c r="L418" s="6" t="n">
        <f aca="false">H418*K418</f>
        <v>180</v>
      </c>
      <c r="M418" s="14" t="s">
        <v>410</v>
      </c>
    </row>
    <row r="419" customFormat="false" ht="15" hidden="false" customHeight="false" outlineLevel="0" collapsed="false">
      <c r="A419" s="4" t="s">
        <v>69</v>
      </c>
      <c r="B419" s="5" t="s">
        <v>88</v>
      </c>
      <c r="C419" s="5" t="s">
        <v>89</v>
      </c>
      <c r="D419" s="4" t="s">
        <v>22</v>
      </c>
      <c r="E419" s="4" t="s">
        <v>890</v>
      </c>
      <c r="F419" s="4" t="s">
        <v>406</v>
      </c>
      <c r="G419" s="4" t="s">
        <v>891</v>
      </c>
      <c r="H419" s="12" t="n">
        <v>1</v>
      </c>
      <c r="I419" s="4" t="s">
        <v>408</v>
      </c>
      <c r="J419" s="4" t="s">
        <v>409</v>
      </c>
      <c r="K419" s="13" t="n">
        <v>450</v>
      </c>
      <c r="L419" s="6" t="n">
        <f aca="false">H419*K419</f>
        <v>450</v>
      </c>
      <c r="M419" s="14" t="s">
        <v>410</v>
      </c>
    </row>
    <row r="420" customFormat="false" ht="15" hidden="false" customHeight="false" outlineLevel="0" collapsed="false">
      <c r="A420" s="4" t="s">
        <v>69</v>
      </c>
      <c r="B420" s="5" t="s">
        <v>88</v>
      </c>
      <c r="C420" s="5" t="s">
        <v>89</v>
      </c>
      <c r="D420" s="4" t="s">
        <v>22</v>
      </c>
      <c r="E420" s="4" t="s">
        <v>892</v>
      </c>
      <c r="F420" s="4" t="s">
        <v>406</v>
      </c>
      <c r="G420" s="4" t="s">
        <v>893</v>
      </c>
      <c r="H420" s="12" t="n">
        <v>1</v>
      </c>
      <c r="I420" s="4" t="s">
        <v>408</v>
      </c>
      <c r="J420" s="4" t="s">
        <v>409</v>
      </c>
      <c r="K420" s="13" t="n">
        <v>250</v>
      </c>
      <c r="L420" s="6" t="n">
        <f aca="false">H420*K420</f>
        <v>250</v>
      </c>
      <c r="M420" s="14" t="s">
        <v>410</v>
      </c>
    </row>
    <row r="421" customFormat="false" ht="15" hidden="false" customHeight="false" outlineLevel="0" collapsed="false">
      <c r="A421" s="4" t="s">
        <v>69</v>
      </c>
      <c r="B421" s="5" t="s">
        <v>88</v>
      </c>
      <c r="C421" s="5" t="s">
        <v>89</v>
      </c>
      <c r="D421" s="4" t="s">
        <v>22</v>
      </c>
      <c r="E421" s="4" t="s">
        <v>894</v>
      </c>
      <c r="F421" s="4" t="s">
        <v>406</v>
      </c>
      <c r="G421" s="4" t="s">
        <v>895</v>
      </c>
      <c r="H421" s="12" t="n">
        <v>1</v>
      </c>
      <c r="I421" s="4" t="s">
        <v>408</v>
      </c>
      <c r="J421" s="4" t="s">
        <v>409</v>
      </c>
      <c r="K421" s="13" t="n">
        <v>250</v>
      </c>
      <c r="L421" s="6" t="n">
        <f aca="false">H421*K421</f>
        <v>250</v>
      </c>
      <c r="M421" s="14" t="s">
        <v>410</v>
      </c>
    </row>
    <row r="422" customFormat="false" ht="15" hidden="false" customHeight="false" outlineLevel="0" collapsed="false">
      <c r="A422" s="4" t="s">
        <v>69</v>
      </c>
      <c r="B422" s="5" t="s">
        <v>88</v>
      </c>
      <c r="C422" s="5" t="s">
        <v>89</v>
      </c>
      <c r="D422" s="4" t="s">
        <v>22</v>
      </c>
      <c r="E422" s="4" t="s">
        <v>896</v>
      </c>
      <c r="F422" s="4" t="s">
        <v>406</v>
      </c>
      <c r="G422" s="4" t="s">
        <v>897</v>
      </c>
      <c r="H422" s="12" t="n">
        <v>1</v>
      </c>
      <c r="I422" s="4" t="s">
        <v>408</v>
      </c>
      <c r="J422" s="4" t="s">
        <v>409</v>
      </c>
      <c r="K422" s="13" t="n">
        <v>250</v>
      </c>
      <c r="L422" s="6" t="n">
        <f aca="false">H422*K422</f>
        <v>250</v>
      </c>
      <c r="M422" s="14" t="s">
        <v>410</v>
      </c>
    </row>
    <row r="423" customFormat="false" ht="15" hidden="false" customHeight="false" outlineLevel="0" collapsed="false">
      <c r="A423" s="4" t="s">
        <v>69</v>
      </c>
      <c r="B423" s="5" t="s">
        <v>88</v>
      </c>
      <c r="C423" s="5" t="s">
        <v>89</v>
      </c>
      <c r="D423" s="4" t="s">
        <v>22</v>
      </c>
      <c r="E423" s="4" t="s">
        <v>898</v>
      </c>
      <c r="F423" s="4" t="s">
        <v>406</v>
      </c>
      <c r="G423" s="4" t="s">
        <v>899</v>
      </c>
      <c r="H423" s="12" t="n">
        <v>1</v>
      </c>
      <c r="I423" s="4" t="s">
        <v>408</v>
      </c>
      <c r="J423" s="4" t="s">
        <v>409</v>
      </c>
      <c r="K423" s="13" t="n">
        <v>850</v>
      </c>
      <c r="L423" s="6" t="n">
        <f aca="false">H423*K423</f>
        <v>850</v>
      </c>
      <c r="M423" s="14" t="s">
        <v>410</v>
      </c>
    </row>
    <row r="424" customFormat="false" ht="15" hidden="false" customHeight="false" outlineLevel="0" collapsed="false">
      <c r="A424" s="4" t="s">
        <v>69</v>
      </c>
      <c r="B424" s="5" t="s">
        <v>88</v>
      </c>
      <c r="C424" s="5" t="s">
        <v>89</v>
      </c>
      <c r="D424" s="4" t="s">
        <v>22</v>
      </c>
      <c r="E424" s="4" t="s">
        <v>900</v>
      </c>
      <c r="F424" s="4" t="s">
        <v>406</v>
      </c>
      <c r="G424" s="4" t="s">
        <v>901</v>
      </c>
      <c r="H424" s="12" t="n">
        <v>1</v>
      </c>
      <c r="I424" s="4" t="s">
        <v>408</v>
      </c>
      <c r="J424" s="4" t="s">
        <v>409</v>
      </c>
      <c r="K424" s="13" t="n">
        <v>350</v>
      </c>
      <c r="L424" s="6" t="n">
        <f aca="false">H424*K424</f>
        <v>350</v>
      </c>
      <c r="M424" s="14" t="s">
        <v>410</v>
      </c>
    </row>
    <row r="425" customFormat="false" ht="15" hidden="false" customHeight="false" outlineLevel="0" collapsed="false">
      <c r="A425" s="4" t="s">
        <v>69</v>
      </c>
      <c r="B425" s="5" t="s">
        <v>88</v>
      </c>
      <c r="C425" s="5" t="s">
        <v>89</v>
      </c>
      <c r="D425" s="4" t="s">
        <v>22</v>
      </c>
      <c r="E425" s="4" t="s">
        <v>902</v>
      </c>
      <c r="F425" s="4" t="s">
        <v>406</v>
      </c>
      <c r="G425" s="4" t="s">
        <v>903</v>
      </c>
      <c r="H425" s="12" t="n">
        <v>1</v>
      </c>
      <c r="I425" s="4" t="s">
        <v>408</v>
      </c>
      <c r="J425" s="4" t="s">
        <v>409</v>
      </c>
      <c r="K425" s="13" t="n">
        <v>8500</v>
      </c>
      <c r="L425" s="6" t="n">
        <f aca="false">H425*K425</f>
        <v>8500</v>
      </c>
      <c r="M425" s="4" t="s">
        <v>371</v>
      </c>
    </row>
    <row r="426" customFormat="false" ht="15" hidden="false" customHeight="false" outlineLevel="0" collapsed="false">
      <c r="A426" s="4" t="s">
        <v>69</v>
      </c>
      <c r="B426" s="5" t="s">
        <v>88</v>
      </c>
      <c r="C426" s="5" t="s">
        <v>89</v>
      </c>
      <c r="D426" s="4" t="s">
        <v>22</v>
      </c>
      <c r="E426" s="4" t="s">
        <v>904</v>
      </c>
      <c r="F426" s="4" t="s">
        <v>406</v>
      </c>
      <c r="G426" s="4" t="s">
        <v>905</v>
      </c>
      <c r="H426" s="12" t="n">
        <v>1</v>
      </c>
      <c r="I426" s="4" t="s">
        <v>408</v>
      </c>
      <c r="J426" s="4" t="s">
        <v>409</v>
      </c>
      <c r="K426" s="13" t="n">
        <v>8500</v>
      </c>
      <c r="L426" s="6" t="n">
        <f aca="false">H426*K426</f>
        <v>8500</v>
      </c>
      <c r="M426" s="14" t="s">
        <v>410</v>
      </c>
    </row>
    <row r="427" customFormat="false" ht="15" hidden="false" customHeight="false" outlineLevel="0" collapsed="false">
      <c r="A427" s="4" t="s">
        <v>69</v>
      </c>
      <c r="B427" s="5" t="s">
        <v>88</v>
      </c>
      <c r="C427" s="5" t="s">
        <v>89</v>
      </c>
      <c r="D427" s="4" t="s">
        <v>22</v>
      </c>
      <c r="E427" s="4" t="s">
        <v>906</v>
      </c>
      <c r="F427" s="4" t="s">
        <v>406</v>
      </c>
      <c r="G427" s="4" t="s">
        <v>907</v>
      </c>
      <c r="H427" s="12" t="n">
        <v>1</v>
      </c>
      <c r="I427" s="4" t="s">
        <v>408</v>
      </c>
      <c r="J427" s="4" t="s">
        <v>409</v>
      </c>
      <c r="K427" s="13" t="n">
        <v>1200</v>
      </c>
      <c r="L427" s="6" t="n">
        <f aca="false">H427*K427</f>
        <v>1200</v>
      </c>
      <c r="M427" s="14" t="s">
        <v>410</v>
      </c>
    </row>
    <row r="428" customFormat="false" ht="15" hidden="false" customHeight="false" outlineLevel="0" collapsed="false">
      <c r="A428" s="4" t="s">
        <v>69</v>
      </c>
      <c r="B428" s="5" t="s">
        <v>88</v>
      </c>
      <c r="C428" s="5" t="s">
        <v>89</v>
      </c>
      <c r="D428" s="4" t="s">
        <v>22</v>
      </c>
      <c r="E428" s="4" t="s">
        <v>908</v>
      </c>
      <c r="F428" s="4" t="s">
        <v>406</v>
      </c>
      <c r="G428" s="4" t="s">
        <v>909</v>
      </c>
      <c r="H428" s="12" t="n">
        <v>1</v>
      </c>
      <c r="I428" s="4" t="s">
        <v>408</v>
      </c>
      <c r="J428" s="4" t="s">
        <v>409</v>
      </c>
      <c r="K428" s="13" t="n">
        <v>1800</v>
      </c>
      <c r="L428" s="6" t="n">
        <f aca="false">H428*K428</f>
        <v>1800</v>
      </c>
      <c r="M428" s="14" t="s">
        <v>410</v>
      </c>
    </row>
    <row r="429" customFormat="false" ht="15" hidden="false" customHeight="false" outlineLevel="0" collapsed="false">
      <c r="A429" s="4" t="s">
        <v>69</v>
      </c>
      <c r="B429" s="5" t="s">
        <v>88</v>
      </c>
      <c r="C429" s="5" t="s">
        <v>89</v>
      </c>
      <c r="D429" s="4" t="s">
        <v>22</v>
      </c>
      <c r="E429" s="4" t="s">
        <v>910</v>
      </c>
      <c r="F429" s="4" t="s">
        <v>470</v>
      </c>
      <c r="G429" s="4" t="s">
        <v>911</v>
      </c>
      <c r="H429" s="12" t="n">
        <v>1</v>
      </c>
      <c r="I429" s="4" t="s">
        <v>408</v>
      </c>
      <c r="J429" s="4" t="s">
        <v>409</v>
      </c>
      <c r="K429" s="13" t="n">
        <v>6500</v>
      </c>
      <c r="L429" s="6" t="n">
        <f aca="false">H429*K429</f>
        <v>6500</v>
      </c>
      <c r="M429" s="4" t="s">
        <v>371</v>
      </c>
    </row>
    <row r="430" customFormat="false" ht="15" hidden="false" customHeight="false" outlineLevel="0" collapsed="false">
      <c r="A430" s="4" t="s">
        <v>69</v>
      </c>
      <c r="B430" s="5" t="s">
        <v>88</v>
      </c>
      <c r="C430" s="5" t="s">
        <v>89</v>
      </c>
      <c r="D430" s="4" t="s">
        <v>22</v>
      </c>
      <c r="E430" s="4" t="s">
        <v>912</v>
      </c>
      <c r="F430" s="4" t="s">
        <v>488</v>
      </c>
      <c r="G430" s="4" t="s">
        <v>913</v>
      </c>
      <c r="H430" s="12" t="n">
        <v>1</v>
      </c>
      <c r="I430" s="4" t="s">
        <v>408</v>
      </c>
      <c r="J430" s="4" t="s">
        <v>796</v>
      </c>
      <c r="K430" s="13" t="n">
        <v>25</v>
      </c>
      <c r="L430" s="6" t="n">
        <f aca="false">H430*K430</f>
        <v>25</v>
      </c>
      <c r="M430" s="4" t="s">
        <v>371</v>
      </c>
    </row>
    <row r="431" customFormat="false" ht="15" hidden="false" customHeight="false" outlineLevel="0" collapsed="false">
      <c r="A431" s="4" t="s">
        <v>69</v>
      </c>
      <c r="B431" s="5" t="s">
        <v>88</v>
      </c>
      <c r="C431" s="5" t="s">
        <v>89</v>
      </c>
      <c r="D431" s="4" t="s">
        <v>22</v>
      </c>
      <c r="E431" s="4" t="s">
        <v>914</v>
      </c>
      <c r="F431" s="4" t="s">
        <v>488</v>
      </c>
      <c r="G431" s="4" t="s">
        <v>915</v>
      </c>
      <c r="H431" s="12" t="n">
        <v>1</v>
      </c>
      <c r="I431" s="4" t="s">
        <v>408</v>
      </c>
      <c r="J431" s="4" t="s">
        <v>506</v>
      </c>
      <c r="K431" s="13" t="n">
        <v>350</v>
      </c>
      <c r="L431" s="6" t="n">
        <f aca="false">H431*K431</f>
        <v>350</v>
      </c>
      <c r="M431" s="4" t="s">
        <v>371</v>
      </c>
    </row>
    <row r="432" customFormat="false" ht="15" hidden="false" customHeight="false" outlineLevel="0" collapsed="false">
      <c r="A432" s="4" t="s">
        <v>69</v>
      </c>
      <c r="B432" s="5" t="s">
        <v>88</v>
      </c>
      <c r="C432" s="5" t="s">
        <v>89</v>
      </c>
      <c r="D432" s="4" t="s">
        <v>22</v>
      </c>
      <c r="E432" s="4" t="s">
        <v>916</v>
      </c>
      <c r="F432" s="4" t="s">
        <v>488</v>
      </c>
      <c r="G432" s="4" t="s">
        <v>917</v>
      </c>
      <c r="H432" s="12" t="n">
        <v>1</v>
      </c>
      <c r="I432" s="4" t="s">
        <v>408</v>
      </c>
      <c r="J432" s="4" t="s">
        <v>506</v>
      </c>
      <c r="K432" s="13" t="n">
        <v>35</v>
      </c>
      <c r="L432" s="6" t="n">
        <f aca="false">H432*K432</f>
        <v>35</v>
      </c>
      <c r="M432" s="4" t="s">
        <v>371</v>
      </c>
    </row>
    <row r="433" customFormat="false" ht="15" hidden="false" customHeight="false" outlineLevel="0" collapsed="false">
      <c r="A433" s="4" t="s">
        <v>69</v>
      </c>
      <c r="B433" s="5" t="s">
        <v>88</v>
      </c>
      <c r="C433" s="5" t="s">
        <v>89</v>
      </c>
      <c r="D433" s="4" t="s">
        <v>22</v>
      </c>
      <c r="E433" s="4" t="s">
        <v>918</v>
      </c>
      <c r="F433" s="4" t="s">
        <v>488</v>
      </c>
      <c r="G433" s="4" t="s">
        <v>919</v>
      </c>
      <c r="H433" s="12" t="n">
        <v>1</v>
      </c>
      <c r="I433" s="4" t="s">
        <v>408</v>
      </c>
      <c r="J433" s="4" t="s">
        <v>409</v>
      </c>
      <c r="K433" s="13" t="n">
        <v>15</v>
      </c>
      <c r="L433" s="6" t="n">
        <f aca="false">H433*K433</f>
        <v>15</v>
      </c>
      <c r="M433" s="4" t="s">
        <v>371</v>
      </c>
    </row>
    <row r="434" customFormat="false" ht="15" hidden="false" customHeight="false" outlineLevel="0" collapsed="false">
      <c r="A434" s="4" t="s">
        <v>69</v>
      </c>
      <c r="B434" s="5" t="s">
        <v>88</v>
      </c>
      <c r="C434" s="5" t="s">
        <v>89</v>
      </c>
      <c r="D434" s="4" t="s">
        <v>22</v>
      </c>
      <c r="E434" s="4" t="s">
        <v>792</v>
      </c>
      <c r="F434" s="4" t="s">
        <v>488</v>
      </c>
      <c r="G434" s="4" t="s">
        <v>793</v>
      </c>
      <c r="H434" s="12" t="n">
        <v>1</v>
      </c>
      <c r="I434" s="4" t="s">
        <v>408</v>
      </c>
      <c r="J434" s="4" t="s">
        <v>429</v>
      </c>
      <c r="K434" s="13" t="n">
        <v>150</v>
      </c>
      <c r="L434" s="6" t="n">
        <f aca="false">H434*K434</f>
        <v>150</v>
      </c>
      <c r="M434" s="4" t="s">
        <v>371</v>
      </c>
    </row>
    <row r="435" customFormat="false" ht="15" hidden="false" customHeight="false" outlineLevel="0" collapsed="false">
      <c r="A435" s="4" t="s">
        <v>69</v>
      </c>
      <c r="B435" s="5" t="s">
        <v>88</v>
      </c>
      <c r="C435" s="5" t="s">
        <v>89</v>
      </c>
      <c r="D435" s="4" t="s">
        <v>22</v>
      </c>
      <c r="E435" s="4" t="s">
        <v>920</v>
      </c>
      <c r="F435" s="4" t="s">
        <v>488</v>
      </c>
      <c r="G435" s="4" t="s">
        <v>921</v>
      </c>
      <c r="H435" s="12" t="n">
        <v>1</v>
      </c>
      <c r="I435" s="4" t="s">
        <v>408</v>
      </c>
      <c r="J435" s="4" t="s">
        <v>506</v>
      </c>
      <c r="K435" s="13" t="n">
        <v>60</v>
      </c>
      <c r="L435" s="6" t="n">
        <f aca="false">H435*K435</f>
        <v>60</v>
      </c>
      <c r="M435" s="14" t="s">
        <v>410</v>
      </c>
    </row>
    <row r="436" customFormat="false" ht="15" hidden="false" customHeight="false" outlineLevel="0" collapsed="false">
      <c r="A436" s="4" t="s">
        <v>69</v>
      </c>
      <c r="B436" s="5" t="s">
        <v>88</v>
      </c>
      <c r="C436" s="5" t="s">
        <v>89</v>
      </c>
      <c r="D436" s="4" t="s">
        <v>22</v>
      </c>
      <c r="E436" s="4" t="s">
        <v>922</v>
      </c>
      <c r="F436" s="4" t="s">
        <v>488</v>
      </c>
      <c r="G436" s="4" t="s">
        <v>923</v>
      </c>
      <c r="H436" s="12" t="n">
        <v>1</v>
      </c>
      <c r="I436" s="4" t="s">
        <v>408</v>
      </c>
      <c r="J436" s="4" t="s">
        <v>791</v>
      </c>
      <c r="K436" s="13" t="n">
        <v>45</v>
      </c>
      <c r="L436" s="6" t="n">
        <f aca="false">H436*K436</f>
        <v>45</v>
      </c>
      <c r="M436" s="4" t="s">
        <v>371</v>
      </c>
    </row>
    <row r="437" customFormat="false" ht="15" hidden="false" customHeight="false" outlineLevel="0" collapsed="false">
      <c r="A437" s="4" t="s">
        <v>69</v>
      </c>
      <c r="B437" s="5" t="s">
        <v>88</v>
      </c>
      <c r="C437" s="5" t="s">
        <v>89</v>
      </c>
      <c r="D437" s="4" t="s">
        <v>22</v>
      </c>
      <c r="E437" s="4" t="s">
        <v>803</v>
      </c>
      <c r="F437" s="4" t="s">
        <v>488</v>
      </c>
      <c r="G437" s="4" t="s">
        <v>804</v>
      </c>
      <c r="H437" s="12" t="n">
        <v>1</v>
      </c>
      <c r="I437" s="4" t="s">
        <v>408</v>
      </c>
      <c r="J437" s="4" t="s">
        <v>409</v>
      </c>
      <c r="K437" s="13" t="n">
        <v>15</v>
      </c>
      <c r="L437" s="6" t="n">
        <f aca="false">H437*K437</f>
        <v>15</v>
      </c>
      <c r="M437" s="4" t="s">
        <v>371</v>
      </c>
    </row>
    <row r="438" customFormat="false" ht="15" hidden="false" customHeight="false" outlineLevel="0" collapsed="false">
      <c r="A438" s="4" t="s">
        <v>94</v>
      </c>
      <c r="B438" s="5" t="s">
        <v>101</v>
      </c>
      <c r="C438" s="5" t="s">
        <v>102</v>
      </c>
      <c r="D438" s="4" t="s">
        <v>22</v>
      </c>
      <c r="E438" s="4" t="s">
        <v>924</v>
      </c>
      <c r="F438" s="4" t="s">
        <v>406</v>
      </c>
      <c r="G438" s="4" t="s">
        <v>925</v>
      </c>
      <c r="H438" s="12" t="n">
        <v>3</v>
      </c>
      <c r="I438" s="4" t="s">
        <v>474</v>
      </c>
      <c r="J438" s="4" t="s">
        <v>416</v>
      </c>
      <c r="K438" s="13" t="n">
        <v>2500</v>
      </c>
      <c r="L438" s="6" t="n">
        <f aca="false">H438*K438</f>
        <v>7500</v>
      </c>
      <c r="M438" s="14" t="s">
        <v>410</v>
      </c>
    </row>
    <row r="439" customFormat="false" ht="15" hidden="false" customHeight="false" outlineLevel="0" collapsed="false">
      <c r="A439" s="4" t="s">
        <v>94</v>
      </c>
      <c r="B439" s="5" t="s">
        <v>101</v>
      </c>
      <c r="C439" s="5" t="s">
        <v>102</v>
      </c>
      <c r="D439" s="4" t="s">
        <v>22</v>
      </c>
      <c r="E439" s="4" t="s">
        <v>926</v>
      </c>
      <c r="F439" s="4" t="s">
        <v>406</v>
      </c>
      <c r="G439" s="4" t="s">
        <v>927</v>
      </c>
      <c r="H439" s="12" t="n">
        <v>3</v>
      </c>
      <c r="I439" s="4" t="s">
        <v>474</v>
      </c>
      <c r="J439" s="4" t="s">
        <v>416</v>
      </c>
      <c r="K439" s="13" t="n">
        <v>1800</v>
      </c>
      <c r="L439" s="6" t="n">
        <f aca="false">H439*K439</f>
        <v>5400</v>
      </c>
      <c r="M439" s="14" t="s">
        <v>410</v>
      </c>
    </row>
    <row r="440" customFormat="false" ht="15" hidden="false" customHeight="false" outlineLevel="0" collapsed="false">
      <c r="A440" s="4" t="s">
        <v>94</v>
      </c>
      <c r="B440" s="5" t="s">
        <v>101</v>
      </c>
      <c r="C440" s="5" t="s">
        <v>102</v>
      </c>
      <c r="D440" s="4" t="s">
        <v>22</v>
      </c>
      <c r="E440" s="4" t="s">
        <v>928</v>
      </c>
      <c r="F440" s="4" t="s">
        <v>406</v>
      </c>
      <c r="G440" s="4" t="s">
        <v>929</v>
      </c>
      <c r="H440" s="12" t="n">
        <v>1</v>
      </c>
      <c r="I440" s="4" t="s">
        <v>474</v>
      </c>
      <c r="J440" s="4" t="s">
        <v>416</v>
      </c>
      <c r="K440" s="13" t="n">
        <v>6500</v>
      </c>
      <c r="L440" s="6" t="n">
        <f aca="false">H440*K440</f>
        <v>6500</v>
      </c>
      <c r="M440" s="14" t="s">
        <v>410</v>
      </c>
    </row>
    <row r="441" customFormat="false" ht="15" hidden="false" customHeight="false" outlineLevel="0" collapsed="false">
      <c r="A441" s="4" t="s">
        <v>94</v>
      </c>
      <c r="B441" s="5" t="s">
        <v>101</v>
      </c>
      <c r="C441" s="5" t="s">
        <v>102</v>
      </c>
      <c r="D441" s="4" t="s">
        <v>22</v>
      </c>
      <c r="E441" s="4" t="s">
        <v>930</v>
      </c>
      <c r="F441" s="4" t="s">
        <v>406</v>
      </c>
      <c r="G441" s="4" t="s">
        <v>931</v>
      </c>
      <c r="H441" s="12" t="n">
        <v>1</v>
      </c>
      <c r="I441" s="4" t="s">
        <v>474</v>
      </c>
      <c r="J441" s="4" t="s">
        <v>416</v>
      </c>
      <c r="K441" s="13" t="n">
        <v>1800</v>
      </c>
      <c r="L441" s="6" t="n">
        <f aca="false">H441*K441</f>
        <v>1800</v>
      </c>
      <c r="M441" s="14" t="s">
        <v>410</v>
      </c>
    </row>
    <row r="442" customFormat="false" ht="15" hidden="false" customHeight="false" outlineLevel="0" collapsed="false">
      <c r="A442" s="4" t="s">
        <v>94</v>
      </c>
      <c r="B442" s="5" t="s">
        <v>101</v>
      </c>
      <c r="C442" s="5" t="s">
        <v>102</v>
      </c>
      <c r="D442" s="4" t="s">
        <v>22</v>
      </c>
      <c r="E442" s="4" t="s">
        <v>932</v>
      </c>
      <c r="F442" s="4" t="s">
        <v>406</v>
      </c>
      <c r="G442" s="4" t="s">
        <v>933</v>
      </c>
      <c r="H442" s="12" t="n">
        <v>1</v>
      </c>
      <c r="I442" s="4" t="s">
        <v>474</v>
      </c>
      <c r="J442" s="4" t="s">
        <v>416</v>
      </c>
      <c r="K442" s="13" t="n">
        <v>1800</v>
      </c>
      <c r="L442" s="6" t="n">
        <f aca="false">H442*K442</f>
        <v>1800</v>
      </c>
      <c r="M442" s="14" t="s">
        <v>410</v>
      </c>
    </row>
    <row r="443" customFormat="false" ht="15" hidden="false" customHeight="false" outlineLevel="0" collapsed="false">
      <c r="A443" s="4" t="s">
        <v>94</v>
      </c>
      <c r="B443" s="5" t="s">
        <v>101</v>
      </c>
      <c r="C443" s="5" t="s">
        <v>102</v>
      </c>
      <c r="D443" s="4" t="s">
        <v>22</v>
      </c>
      <c r="E443" s="4" t="s">
        <v>934</v>
      </c>
      <c r="F443" s="4" t="s">
        <v>406</v>
      </c>
      <c r="G443" s="4" t="s">
        <v>935</v>
      </c>
      <c r="H443" s="12" t="n">
        <v>1</v>
      </c>
      <c r="I443" s="4" t="s">
        <v>474</v>
      </c>
      <c r="J443" s="4" t="s">
        <v>416</v>
      </c>
      <c r="K443" s="13" t="n">
        <v>1800</v>
      </c>
      <c r="L443" s="6" t="n">
        <f aca="false">H443*K443</f>
        <v>1800</v>
      </c>
      <c r="M443" s="14" t="s">
        <v>410</v>
      </c>
    </row>
    <row r="444" customFormat="false" ht="15" hidden="false" customHeight="false" outlineLevel="0" collapsed="false">
      <c r="A444" s="4" t="s">
        <v>94</v>
      </c>
      <c r="B444" s="5" t="s">
        <v>101</v>
      </c>
      <c r="C444" s="5" t="s">
        <v>102</v>
      </c>
      <c r="D444" s="4" t="s">
        <v>22</v>
      </c>
      <c r="E444" s="4" t="s">
        <v>936</v>
      </c>
      <c r="F444" s="4" t="s">
        <v>406</v>
      </c>
      <c r="G444" s="4" t="s">
        <v>937</v>
      </c>
      <c r="H444" s="12" t="n">
        <v>1</v>
      </c>
      <c r="I444" s="4" t="s">
        <v>474</v>
      </c>
      <c r="J444" s="4" t="s">
        <v>416</v>
      </c>
      <c r="K444" s="13" t="n">
        <v>3500</v>
      </c>
      <c r="L444" s="6" t="n">
        <f aca="false">H444*K444</f>
        <v>3500</v>
      </c>
      <c r="M444" s="14" t="s">
        <v>410</v>
      </c>
    </row>
    <row r="445" customFormat="false" ht="15" hidden="false" customHeight="false" outlineLevel="0" collapsed="false">
      <c r="A445" s="4" t="s">
        <v>94</v>
      </c>
      <c r="B445" s="5" t="s">
        <v>101</v>
      </c>
      <c r="C445" s="5" t="s">
        <v>102</v>
      </c>
      <c r="D445" s="4" t="s">
        <v>22</v>
      </c>
      <c r="E445" s="4" t="s">
        <v>938</v>
      </c>
      <c r="F445" s="4" t="s">
        <v>406</v>
      </c>
      <c r="G445" s="4" t="s">
        <v>939</v>
      </c>
      <c r="H445" s="12" t="n">
        <v>1</v>
      </c>
      <c r="I445" s="4" t="s">
        <v>474</v>
      </c>
      <c r="J445" s="4" t="s">
        <v>416</v>
      </c>
      <c r="K445" s="13" t="n">
        <v>1800</v>
      </c>
      <c r="L445" s="6" t="n">
        <f aca="false">H445*K445</f>
        <v>1800</v>
      </c>
      <c r="M445" s="14" t="s">
        <v>410</v>
      </c>
    </row>
    <row r="446" customFormat="false" ht="15" hidden="false" customHeight="false" outlineLevel="0" collapsed="false">
      <c r="A446" s="4" t="s">
        <v>94</v>
      </c>
      <c r="B446" s="5" t="s">
        <v>101</v>
      </c>
      <c r="C446" s="5" t="s">
        <v>102</v>
      </c>
      <c r="D446" s="4" t="s">
        <v>22</v>
      </c>
      <c r="E446" s="4" t="s">
        <v>940</v>
      </c>
      <c r="F446" s="4" t="s">
        <v>406</v>
      </c>
      <c r="G446" s="4" t="s">
        <v>941</v>
      </c>
      <c r="H446" s="12" t="n">
        <v>3</v>
      </c>
      <c r="I446" s="4" t="s">
        <v>474</v>
      </c>
      <c r="J446" s="4" t="s">
        <v>416</v>
      </c>
      <c r="K446" s="13" t="n">
        <v>2500</v>
      </c>
      <c r="L446" s="6" t="n">
        <f aca="false">H446*K446</f>
        <v>7500</v>
      </c>
      <c r="M446" s="14" t="s">
        <v>410</v>
      </c>
    </row>
    <row r="447" customFormat="false" ht="15" hidden="false" customHeight="false" outlineLevel="0" collapsed="false">
      <c r="A447" s="4" t="s">
        <v>94</v>
      </c>
      <c r="B447" s="5" t="s">
        <v>101</v>
      </c>
      <c r="C447" s="5" t="s">
        <v>102</v>
      </c>
      <c r="D447" s="4" t="s">
        <v>22</v>
      </c>
      <c r="E447" s="4" t="s">
        <v>942</v>
      </c>
      <c r="F447" s="4" t="s">
        <v>406</v>
      </c>
      <c r="G447" s="4" t="s">
        <v>943</v>
      </c>
      <c r="H447" s="12" t="n">
        <v>1</v>
      </c>
      <c r="I447" s="4" t="s">
        <v>474</v>
      </c>
      <c r="J447" s="4" t="s">
        <v>409</v>
      </c>
      <c r="K447" s="13" t="n">
        <v>180</v>
      </c>
      <c r="L447" s="6" t="n">
        <f aca="false">H447*K447</f>
        <v>180</v>
      </c>
      <c r="M447" s="14" t="s">
        <v>410</v>
      </c>
    </row>
    <row r="448" customFormat="false" ht="15" hidden="false" customHeight="false" outlineLevel="0" collapsed="false">
      <c r="A448" s="4" t="s">
        <v>94</v>
      </c>
      <c r="B448" s="5" t="s">
        <v>101</v>
      </c>
      <c r="C448" s="5" t="s">
        <v>102</v>
      </c>
      <c r="D448" s="4" t="s">
        <v>22</v>
      </c>
      <c r="E448" s="4" t="s">
        <v>944</v>
      </c>
      <c r="F448" s="4" t="s">
        <v>406</v>
      </c>
      <c r="G448" s="4" t="s">
        <v>945</v>
      </c>
      <c r="H448" s="12" t="n">
        <v>1</v>
      </c>
      <c r="I448" s="4" t="s">
        <v>474</v>
      </c>
      <c r="J448" s="4" t="s">
        <v>409</v>
      </c>
      <c r="K448" s="13" t="n">
        <v>8500</v>
      </c>
      <c r="L448" s="6" t="n">
        <f aca="false">H448*K448</f>
        <v>8500</v>
      </c>
      <c r="M448" s="14" t="s">
        <v>410</v>
      </c>
    </row>
    <row r="449" customFormat="false" ht="15" hidden="false" customHeight="false" outlineLevel="0" collapsed="false">
      <c r="A449" s="4" t="s">
        <v>94</v>
      </c>
      <c r="B449" s="5" t="s">
        <v>101</v>
      </c>
      <c r="C449" s="5" t="s">
        <v>102</v>
      </c>
      <c r="D449" s="4" t="s">
        <v>22</v>
      </c>
      <c r="E449" s="4" t="s">
        <v>946</v>
      </c>
      <c r="F449" s="4" t="s">
        <v>406</v>
      </c>
      <c r="G449" s="4" t="s">
        <v>947</v>
      </c>
      <c r="H449" s="12" t="n">
        <v>1</v>
      </c>
      <c r="I449" s="4" t="s">
        <v>474</v>
      </c>
      <c r="J449" s="4" t="s">
        <v>416</v>
      </c>
      <c r="K449" s="13" t="n">
        <v>8500</v>
      </c>
      <c r="L449" s="6" t="n">
        <f aca="false">H449*K449</f>
        <v>8500</v>
      </c>
      <c r="M449" s="4" t="s">
        <v>371</v>
      </c>
    </row>
    <row r="450" customFormat="false" ht="15" hidden="false" customHeight="false" outlineLevel="0" collapsed="false">
      <c r="A450" s="4" t="s">
        <v>94</v>
      </c>
      <c r="B450" s="5" t="s">
        <v>101</v>
      </c>
      <c r="C450" s="5" t="s">
        <v>102</v>
      </c>
      <c r="D450" s="4" t="s">
        <v>22</v>
      </c>
      <c r="E450" s="4" t="s">
        <v>948</v>
      </c>
      <c r="F450" s="4" t="s">
        <v>406</v>
      </c>
      <c r="G450" s="4" t="s">
        <v>949</v>
      </c>
      <c r="H450" s="12" t="n">
        <v>1</v>
      </c>
      <c r="I450" s="4" t="s">
        <v>474</v>
      </c>
      <c r="J450" s="4" t="s">
        <v>409</v>
      </c>
      <c r="K450" s="13" t="n">
        <v>4500</v>
      </c>
      <c r="L450" s="6" t="n">
        <f aca="false">H450*K450</f>
        <v>4500</v>
      </c>
      <c r="M450" s="14" t="s">
        <v>410</v>
      </c>
    </row>
    <row r="451" customFormat="false" ht="15" hidden="false" customHeight="false" outlineLevel="0" collapsed="false">
      <c r="A451" s="4" t="s">
        <v>94</v>
      </c>
      <c r="B451" s="5" t="s">
        <v>101</v>
      </c>
      <c r="C451" s="5" t="s">
        <v>102</v>
      </c>
      <c r="D451" s="4" t="s">
        <v>22</v>
      </c>
      <c r="E451" s="4" t="s">
        <v>950</v>
      </c>
      <c r="F451" s="4" t="s">
        <v>406</v>
      </c>
      <c r="G451" s="4" t="s">
        <v>951</v>
      </c>
      <c r="H451" s="12" t="n">
        <v>1</v>
      </c>
      <c r="I451" s="4" t="s">
        <v>474</v>
      </c>
      <c r="J451" s="4" t="s">
        <v>416</v>
      </c>
      <c r="K451" s="13" t="n">
        <v>3500</v>
      </c>
      <c r="L451" s="6" t="n">
        <f aca="false">H451*K451</f>
        <v>3500</v>
      </c>
      <c r="M451" s="14" t="s">
        <v>410</v>
      </c>
    </row>
    <row r="452" customFormat="false" ht="15" hidden="false" customHeight="false" outlineLevel="0" collapsed="false">
      <c r="A452" s="4" t="s">
        <v>94</v>
      </c>
      <c r="B452" s="5" t="s">
        <v>101</v>
      </c>
      <c r="C452" s="5" t="s">
        <v>102</v>
      </c>
      <c r="D452" s="4" t="s">
        <v>22</v>
      </c>
      <c r="E452" s="4" t="s">
        <v>952</v>
      </c>
      <c r="F452" s="4" t="s">
        <v>406</v>
      </c>
      <c r="G452" s="4" t="s">
        <v>953</v>
      </c>
      <c r="H452" s="12" t="n">
        <v>1</v>
      </c>
      <c r="I452" s="4" t="s">
        <v>474</v>
      </c>
      <c r="J452" s="4" t="s">
        <v>416</v>
      </c>
      <c r="K452" s="13" t="n">
        <v>3500</v>
      </c>
      <c r="L452" s="6" t="n">
        <f aca="false">H452*K452</f>
        <v>3500</v>
      </c>
      <c r="M452" s="14" t="s">
        <v>410</v>
      </c>
    </row>
    <row r="453" customFormat="false" ht="15" hidden="false" customHeight="false" outlineLevel="0" collapsed="false">
      <c r="A453" s="4" t="s">
        <v>94</v>
      </c>
      <c r="B453" s="5" t="s">
        <v>101</v>
      </c>
      <c r="C453" s="5" t="s">
        <v>102</v>
      </c>
      <c r="D453" s="4" t="s">
        <v>22</v>
      </c>
      <c r="E453" s="4" t="s">
        <v>954</v>
      </c>
      <c r="F453" s="4" t="s">
        <v>406</v>
      </c>
      <c r="G453" s="4" t="s">
        <v>955</v>
      </c>
      <c r="H453" s="12" t="n">
        <v>1</v>
      </c>
      <c r="I453" s="4" t="s">
        <v>474</v>
      </c>
      <c r="J453" s="4" t="s">
        <v>416</v>
      </c>
      <c r="K453" s="13" t="n">
        <v>1800</v>
      </c>
      <c r="L453" s="6" t="n">
        <f aca="false">H453*K453</f>
        <v>1800</v>
      </c>
      <c r="M453" s="4" t="s">
        <v>371</v>
      </c>
    </row>
    <row r="454" customFormat="false" ht="15" hidden="false" customHeight="false" outlineLevel="0" collapsed="false">
      <c r="A454" s="4" t="s">
        <v>94</v>
      </c>
      <c r="B454" s="5" t="s">
        <v>101</v>
      </c>
      <c r="C454" s="5" t="s">
        <v>102</v>
      </c>
      <c r="D454" s="4" t="s">
        <v>22</v>
      </c>
      <c r="E454" s="4" t="s">
        <v>956</v>
      </c>
      <c r="F454" s="4" t="s">
        <v>406</v>
      </c>
      <c r="G454" s="4" t="s">
        <v>957</v>
      </c>
      <c r="H454" s="12" t="n">
        <v>1</v>
      </c>
      <c r="I454" s="4" t="s">
        <v>474</v>
      </c>
      <c r="J454" s="4" t="s">
        <v>409</v>
      </c>
      <c r="K454" s="13" t="n">
        <v>1500</v>
      </c>
      <c r="L454" s="6" t="n">
        <f aca="false">H454*K454</f>
        <v>1500</v>
      </c>
      <c r="M454" s="4" t="s">
        <v>371</v>
      </c>
    </row>
    <row r="455" customFormat="false" ht="15" hidden="false" customHeight="false" outlineLevel="0" collapsed="false">
      <c r="A455" s="4" t="s">
        <v>94</v>
      </c>
      <c r="B455" s="5" t="s">
        <v>101</v>
      </c>
      <c r="C455" s="5" t="s">
        <v>102</v>
      </c>
      <c r="D455" s="4" t="s">
        <v>22</v>
      </c>
      <c r="E455" s="4" t="s">
        <v>958</v>
      </c>
      <c r="F455" s="4" t="s">
        <v>406</v>
      </c>
      <c r="G455" s="4" t="s">
        <v>959</v>
      </c>
      <c r="H455" s="12" t="n">
        <v>1</v>
      </c>
      <c r="I455" s="4" t="s">
        <v>474</v>
      </c>
      <c r="J455" s="4" t="s">
        <v>416</v>
      </c>
      <c r="K455" s="13" t="n">
        <v>4500</v>
      </c>
      <c r="L455" s="6" t="n">
        <f aca="false">H455*K455</f>
        <v>4500</v>
      </c>
      <c r="M455" s="14" t="s">
        <v>410</v>
      </c>
    </row>
    <row r="456" customFormat="false" ht="15" hidden="false" customHeight="false" outlineLevel="0" collapsed="false">
      <c r="A456" s="4" t="s">
        <v>94</v>
      </c>
      <c r="B456" s="5" t="s">
        <v>101</v>
      </c>
      <c r="C456" s="5" t="s">
        <v>102</v>
      </c>
      <c r="D456" s="4" t="s">
        <v>22</v>
      </c>
      <c r="E456" s="4" t="s">
        <v>960</v>
      </c>
      <c r="F456" s="4" t="s">
        <v>406</v>
      </c>
      <c r="G456" s="4" t="s">
        <v>961</v>
      </c>
      <c r="H456" s="12" t="n">
        <v>1</v>
      </c>
      <c r="I456" s="4" t="s">
        <v>474</v>
      </c>
      <c r="J456" s="4" t="s">
        <v>409</v>
      </c>
      <c r="K456" s="13" t="n">
        <v>3500</v>
      </c>
      <c r="L456" s="6" t="n">
        <f aca="false">H456*K456</f>
        <v>3500</v>
      </c>
      <c r="M456" s="14" t="s">
        <v>410</v>
      </c>
    </row>
    <row r="457" customFormat="false" ht="15" hidden="false" customHeight="false" outlineLevel="0" collapsed="false">
      <c r="A457" s="4" t="s">
        <v>94</v>
      </c>
      <c r="B457" s="5" t="s">
        <v>101</v>
      </c>
      <c r="C457" s="5" t="s">
        <v>102</v>
      </c>
      <c r="D457" s="4" t="s">
        <v>22</v>
      </c>
      <c r="E457" s="4" t="s">
        <v>962</v>
      </c>
      <c r="F457" s="4" t="s">
        <v>406</v>
      </c>
      <c r="G457" s="4" t="s">
        <v>963</v>
      </c>
      <c r="H457" s="12" t="n">
        <v>1</v>
      </c>
      <c r="I457" s="4" t="s">
        <v>474</v>
      </c>
      <c r="J457" s="4" t="s">
        <v>413</v>
      </c>
      <c r="K457" s="13" t="n">
        <v>650</v>
      </c>
      <c r="L457" s="6" t="n">
        <f aca="false">H457*K457</f>
        <v>650</v>
      </c>
      <c r="M457" s="14" t="s">
        <v>410</v>
      </c>
    </row>
    <row r="458" customFormat="false" ht="15" hidden="false" customHeight="false" outlineLevel="0" collapsed="false">
      <c r="A458" s="4" t="s">
        <v>94</v>
      </c>
      <c r="B458" s="5" t="s">
        <v>101</v>
      </c>
      <c r="C458" s="5" t="s">
        <v>102</v>
      </c>
      <c r="D458" s="4" t="s">
        <v>22</v>
      </c>
      <c r="E458" s="4" t="s">
        <v>964</v>
      </c>
      <c r="F458" s="4" t="s">
        <v>406</v>
      </c>
      <c r="G458" s="4" t="s">
        <v>965</v>
      </c>
      <c r="H458" s="12" t="n">
        <v>1</v>
      </c>
      <c r="I458" s="4" t="s">
        <v>474</v>
      </c>
      <c r="J458" s="4" t="s">
        <v>409</v>
      </c>
      <c r="K458" s="13" t="n">
        <v>1200</v>
      </c>
      <c r="L458" s="6" t="n">
        <f aca="false">H458*K458</f>
        <v>1200</v>
      </c>
      <c r="M458" s="14" t="s">
        <v>410</v>
      </c>
    </row>
    <row r="459" customFormat="false" ht="15" hidden="false" customHeight="false" outlineLevel="0" collapsed="false">
      <c r="A459" s="4" t="s">
        <v>94</v>
      </c>
      <c r="B459" s="5" t="s">
        <v>101</v>
      </c>
      <c r="C459" s="5" t="s">
        <v>102</v>
      </c>
      <c r="D459" s="4" t="s">
        <v>22</v>
      </c>
      <c r="E459" s="4" t="s">
        <v>966</v>
      </c>
      <c r="F459" s="4" t="s">
        <v>406</v>
      </c>
      <c r="G459" s="4" t="s">
        <v>967</v>
      </c>
      <c r="H459" s="12" t="n">
        <v>1</v>
      </c>
      <c r="I459" s="4" t="s">
        <v>474</v>
      </c>
      <c r="J459" s="4" t="s">
        <v>409</v>
      </c>
      <c r="K459" s="13" t="n">
        <v>8500</v>
      </c>
      <c r="L459" s="6" t="n">
        <f aca="false">H459*K459</f>
        <v>8500</v>
      </c>
      <c r="M459" s="14" t="s">
        <v>410</v>
      </c>
    </row>
    <row r="460" customFormat="false" ht="15" hidden="false" customHeight="false" outlineLevel="0" collapsed="false">
      <c r="A460" s="4" t="s">
        <v>94</v>
      </c>
      <c r="B460" s="5" t="s">
        <v>101</v>
      </c>
      <c r="C460" s="5" t="s">
        <v>102</v>
      </c>
      <c r="D460" s="4" t="s">
        <v>22</v>
      </c>
      <c r="E460" s="4" t="s">
        <v>968</v>
      </c>
      <c r="F460" s="4" t="s">
        <v>406</v>
      </c>
      <c r="G460" s="4" t="s">
        <v>969</v>
      </c>
      <c r="H460" s="12" t="n">
        <v>1</v>
      </c>
      <c r="I460" s="4" t="s">
        <v>474</v>
      </c>
      <c r="J460" s="4" t="s">
        <v>409</v>
      </c>
      <c r="K460" s="13" t="n">
        <v>1800</v>
      </c>
      <c r="L460" s="6" t="n">
        <f aca="false">H460*K460</f>
        <v>1800</v>
      </c>
      <c r="M460" s="14" t="s">
        <v>410</v>
      </c>
    </row>
    <row r="461" customFormat="false" ht="15" hidden="false" customHeight="false" outlineLevel="0" collapsed="false">
      <c r="A461" s="4" t="s">
        <v>94</v>
      </c>
      <c r="B461" s="5" t="s">
        <v>101</v>
      </c>
      <c r="C461" s="5" t="s">
        <v>102</v>
      </c>
      <c r="D461" s="4" t="s">
        <v>22</v>
      </c>
      <c r="E461" s="4" t="s">
        <v>970</v>
      </c>
      <c r="F461" s="4" t="s">
        <v>406</v>
      </c>
      <c r="G461" s="4" t="s">
        <v>971</v>
      </c>
      <c r="H461" s="12" t="n">
        <v>1</v>
      </c>
      <c r="I461" s="4" t="s">
        <v>474</v>
      </c>
      <c r="J461" s="4" t="s">
        <v>409</v>
      </c>
      <c r="K461" s="13" t="n">
        <v>1200</v>
      </c>
      <c r="L461" s="6" t="n">
        <f aca="false">H461*K461</f>
        <v>1200</v>
      </c>
      <c r="M461" s="14" t="s">
        <v>410</v>
      </c>
    </row>
    <row r="462" customFormat="false" ht="15" hidden="false" customHeight="false" outlineLevel="0" collapsed="false">
      <c r="A462" s="4" t="s">
        <v>94</v>
      </c>
      <c r="B462" s="5" t="s">
        <v>101</v>
      </c>
      <c r="C462" s="5" t="s">
        <v>102</v>
      </c>
      <c r="D462" s="4" t="s">
        <v>22</v>
      </c>
      <c r="E462" s="4" t="s">
        <v>972</v>
      </c>
      <c r="F462" s="4" t="s">
        <v>406</v>
      </c>
      <c r="G462" s="4" t="s">
        <v>973</v>
      </c>
      <c r="H462" s="12" t="n">
        <v>1</v>
      </c>
      <c r="I462" s="4" t="s">
        <v>474</v>
      </c>
      <c r="J462" s="4" t="s">
        <v>409</v>
      </c>
      <c r="K462" s="13" t="n">
        <v>850</v>
      </c>
      <c r="L462" s="6" t="n">
        <f aca="false">H462*K462</f>
        <v>850</v>
      </c>
      <c r="M462" s="14" t="s">
        <v>410</v>
      </c>
    </row>
    <row r="463" customFormat="false" ht="15" hidden="false" customHeight="false" outlineLevel="0" collapsed="false">
      <c r="A463" s="4" t="s">
        <v>94</v>
      </c>
      <c r="B463" s="5" t="s">
        <v>101</v>
      </c>
      <c r="C463" s="5" t="s">
        <v>102</v>
      </c>
      <c r="D463" s="4" t="s">
        <v>22</v>
      </c>
      <c r="E463" s="4" t="s">
        <v>974</v>
      </c>
      <c r="F463" s="4" t="s">
        <v>406</v>
      </c>
      <c r="G463" s="4" t="s">
        <v>975</v>
      </c>
      <c r="H463" s="12" t="n">
        <v>1</v>
      </c>
      <c r="I463" s="4" t="s">
        <v>408</v>
      </c>
      <c r="J463" s="4" t="s">
        <v>409</v>
      </c>
      <c r="K463" s="13" t="n">
        <v>850</v>
      </c>
      <c r="L463" s="6" t="n">
        <f aca="false">H463*K463</f>
        <v>850</v>
      </c>
      <c r="M463" s="14" t="s">
        <v>410</v>
      </c>
    </row>
    <row r="464" customFormat="false" ht="15" hidden="false" customHeight="false" outlineLevel="0" collapsed="false">
      <c r="A464" s="4" t="s">
        <v>94</v>
      </c>
      <c r="B464" s="5" t="s">
        <v>101</v>
      </c>
      <c r="C464" s="5" t="s">
        <v>102</v>
      </c>
      <c r="D464" s="4" t="s">
        <v>22</v>
      </c>
      <c r="E464" s="4" t="s">
        <v>942</v>
      </c>
      <c r="F464" s="4" t="s">
        <v>406</v>
      </c>
      <c r="G464" s="4" t="s">
        <v>943</v>
      </c>
      <c r="H464" s="12" t="n">
        <v>1</v>
      </c>
      <c r="I464" s="4" t="s">
        <v>408</v>
      </c>
      <c r="J464" s="4" t="s">
        <v>409</v>
      </c>
      <c r="K464" s="13" t="n">
        <v>180</v>
      </c>
      <c r="L464" s="6" t="n">
        <f aca="false">H464*K464</f>
        <v>180</v>
      </c>
      <c r="M464" s="14" t="s">
        <v>410</v>
      </c>
    </row>
    <row r="465" customFormat="false" ht="15" hidden="false" customHeight="false" outlineLevel="0" collapsed="false">
      <c r="A465" s="4" t="s">
        <v>94</v>
      </c>
      <c r="B465" s="5" t="s">
        <v>101</v>
      </c>
      <c r="C465" s="5" t="s">
        <v>102</v>
      </c>
      <c r="D465" s="4" t="s">
        <v>22</v>
      </c>
      <c r="E465" s="4" t="s">
        <v>944</v>
      </c>
      <c r="F465" s="4" t="s">
        <v>406</v>
      </c>
      <c r="G465" s="4" t="s">
        <v>945</v>
      </c>
      <c r="H465" s="12" t="n">
        <v>1</v>
      </c>
      <c r="I465" s="4" t="s">
        <v>408</v>
      </c>
      <c r="J465" s="4" t="s">
        <v>409</v>
      </c>
      <c r="K465" s="13" t="n">
        <v>8500</v>
      </c>
      <c r="L465" s="6" t="n">
        <f aca="false">H465*K465</f>
        <v>8500</v>
      </c>
      <c r="M465" s="14" t="s">
        <v>410</v>
      </c>
    </row>
    <row r="466" customFormat="false" ht="15" hidden="false" customHeight="false" outlineLevel="0" collapsed="false">
      <c r="A466" s="4" t="s">
        <v>94</v>
      </c>
      <c r="B466" s="5" t="s">
        <v>101</v>
      </c>
      <c r="C466" s="5" t="s">
        <v>102</v>
      </c>
      <c r="D466" s="4" t="s">
        <v>22</v>
      </c>
      <c r="E466" s="4" t="s">
        <v>976</v>
      </c>
      <c r="F466" s="4" t="s">
        <v>406</v>
      </c>
      <c r="G466" s="4" t="s">
        <v>977</v>
      </c>
      <c r="H466" s="12" t="n">
        <v>1</v>
      </c>
      <c r="I466" s="4" t="s">
        <v>408</v>
      </c>
      <c r="J466" s="4" t="s">
        <v>409</v>
      </c>
      <c r="K466" s="13" t="n">
        <v>4500</v>
      </c>
      <c r="L466" s="6" t="n">
        <f aca="false">H466*K466</f>
        <v>4500</v>
      </c>
      <c r="M466" s="14" t="s">
        <v>410</v>
      </c>
    </row>
    <row r="467" customFormat="false" ht="15" hidden="false" customHeight="false" outlineLevel="0" collapsed="false">
      <c r="A467" s="4" t="s">
        <v>94</v>
      </c>
      <c r="B467" s="5" t="s">
        <v>101</v>
      </c>
      <c r="C467" s="5" t="s">
        <v>102</v>
      </c>
      <c r="D467" s="4" t="s">
        <v>22</v>
      </c>
      <c r="E467" s="4" t="s">
        <v>978</v>
      </c>
      <c r="F467" s="4" t="s">
        <v>406</v>
      </c>
      <c r="G467" s="4" t="s">
        <v>979</v>
      </c>
      <c r="H467" s="12" t="n">
        <v>1</v>
      </c>
      <c r="I467" s="4" t="s">
        <v>408</v>
      </c>
      <c r="J467" s="4" t="s">
        <v>416</v>
      </c>
      <c r="K467" s="13" t="n">
        <v>4500</v>
      </c>
      <c r="L467" s="6" t="n">
        <f aca="false">H467*K467</f>
        <v>4500</v>
      </c>
      <c r="M467" s="14" t="s">
        <v>410</v>
      </c>
    </row>
    <row r="468" customFormat="false" ht="15" hidden="false" customHeight="false" outlineLevel="0" collapsed="false">
      <c r="A468" s="4" t="s">
        <v>94</v>
      </c>
      <c r="B468" s="5" t="s">
        <v>101</v>
      </c>
      <c r="C468" s="5" t="s">
        <v>102</v>
      </c>
      <c r="D468" s="4" t="s">
        <v>22</v>
      </c>
      <c r="E468" s="4" t="s">
        <v>980</v>
      </c>
      <c r="F468" s="4" t="s">
        <v>406</v>
      </c>
      <c r="G468" s="4" t="s">
        <v>981</v>
      </c>
      <c r="H468" s="12" t="n">
        <v>1</v>
      </c>
      <c r="I468" s="4" t="s">
        <v>408</v>
      </c>
      <c r="J468" s="4" t="s">
        <v>416</v>
      </c>
      <c r="K468" s="13" t="n">
        <v>1800</v>
      </c>
      <c r="L468" s="6" t="n">
        <f aca="false">H468*K468</f>
        <v>1800</v>
      </c>
      <c r="M468" s="14" t="s">
        <v>410</v>
      </c>
    </row>
    <row r="469" customFormat="false" ht="15" hidden="false" customHeight="false" outlineLevel="0" collapsed="false">
      <c r="A469" s="4" t="s">
        <v>94</v>
      </c>
      <c r="B469" s="5" t="s">
        <v>101</v>
      </c>
      <c r="C469" s="5" t="s">
        <v>102</v>
      </c>
      <c r="D469" s="4" t="s">
        <v>22</v>
      </c>
      <c r="E469" s="4" t="s">
        <v>982</v>
      </c>
      <c r="F469" s="4" t="s">
        <v>406</v>
      </c>
      <c r="G469" s="4" t="s">
        <v>983</v>
      </c>
      <c r="H469" s="12" t="n">
        <v>1</v>
      </c>
      <c r="I469" s="4" t="s">
        <v>408</v>
      </c>
      <c r="J469" s="4" t="s">
        <v>416</v>
      </c>
      <c r="K469" s="13" t="n">
        <v>1800</v>
      </c>
      <c r="L469" s="6" t="n">
        <f aca="false">H469*K469</f>
        <v>1800</v>
      </c>
      <c r="M469" s="14" t="s">
        <v>410</v>
      </c>
    </row>
    <row r="470" customFormat="false" ht="15" hidden="false" customHeight="false" outlineLevel="0" collapsed="false">
      <c r="A470" s="4" t="s">
        <v>94</v>
      </c>
      <c r="B470" s="5" t="s">
        <v>101</v>
      </c>
      <c r="C470" s="5" t="s">
        <v>102</v>
      </c>
      <c r="D470" s="4" t="s">
        <v>22</v>
      </c>
      <c r="E470" s="4" t="s">
        <v>984</v>
      </c>
      <c r="F470" s="4" t="s">
        <v>406</v>
      </c>
      <c r="G470" s="4" t="s">
        <v>985</v>
      </c>
      <c r="H470" s="12" t="n">
        <v>1</v>
      </c>
      <c r="I470" s="4" t="s">
        <v>408</v>
      </c>
      <c r="J470" s="4" t="s">
        <v>416</v>
      </c>
      <c r="K470" s="13" t="n">
        <v>1800</v>
      </c>
      <c r="L470" s="6" t="n">
        <f aca="false">H470*K470</f>
        <v>1800</v>
      </c>
      <c r="M470" s="14" t="s">
        <v>410</v>
      </c>
    </row>
    <row r="471" customFormat="false" ht="15" hidden="false" customHeight="false" outlineLevel="0" collapsed="false">
      <c r="A471" s="4" t="s">
        <v>94</v>
      </c>
      <c r="B471" s="5" t="s">
        <v>101</v>
      </c>
      <c r="C471" s="5" t="s">
        <v>102</v>
      </c>
      <c r="D471" s="4" t="s">
        <v>22</v>
      </c>
      <c r="E471" s="4" t="s">
        <v>986</v>
      </c>
      <c r="F471" s="4" t="s">
        <v>406</v>
      </c>
      <c r="G471" s="4" t="s">
        <v>987</v>
      </c>
      <c r="H471" s="12" t="n">
        <v>1</v>
      </c>
      <c r="I471" s="4" t="s">
        <v>408</v>
      </c>
      <c r="J471" s="4" t="s">
        <v>416</v>
      </c>
      <c r="K471" s="13" t="n">
        <v>1800</v>
      </c>
      <c r="L471" s="6" t="n">
        <f aca="false">H471*K471</f>
        <v>1800</v>
      </c>
      <c r="M471" s="14" t="s">
        <v>410</v>
      </c>
    </row>
    <row r="472" customFormat="false" ht="15" hidden="false" customHeight="false" outlineLevel="0" collapsed="false">
      <c r="A472" s="4" t="s">
        <v>94</v>
      </c>
      <c r="B472" s="5" t="s">
        <v>101</v>
      </c>
      <c r="C472" s="5" t="s">
        <v>102</v>
      </c>
      <c r="D472" s="4" t="s">
        <v>22</v>
      </c>
      <c r="E472" s="4" t="s">
        <v>988</v>
      </c>
      <c r="F472" s="4" t="s">
        <v>406</v>
      </c>
      <c r="G472" s="4" t="s">
        <v>989</v>
      </c>
      <c r="H472" s="12" t="n">
        <v>1</v>
      </c>
      <c r="I472" s="4" t="s">
        <v>408</v>
      </c>
      <c r="J472" s="4" t="s">
        <v>416</v>
      </c>
      <c r="K472" s="13" t="n">
        <v>1200</v>
      </c>
      <c r="L472" s="6" t="n">
        <f aca="false">H472*K472</f>
        <v>1200</v>
      </c>
      <c r="M472" s="14" t="s">
        <v>410</v>
      </c>
    </row>
    <row r="473" customFormat="false" ht="15" hidden="false" customHeight="false" outlineLevel="0" collapsed="false">
      <c r="A473" s="4" t="s">
        <v>94</v>
      </c>
      <c r="B473" s="5" t="s">
        <v>101</v>
      </c>
      <c r="C473" s="5" t="s">
        <v>102</v>
      </c>
      <c r="D473" s="4" t="s">
        <v>22</v>
      </c>
      <c r="E473" s="4" t="s">
        <v>990</v>
      </c>
      <c r="F473" s="4" t="s">
        <v>406</v>
      </c>
      <c r="G473" s="4" t="s">
        <v>991</v>
      </c>
      <c r="H473" s="12" t="n">
        <v>1</v>
      </c>
      <c r="I473" s="4" t="s">
        <v>408</v>
      </c>
      <c r="J473" s="4" t="s">
        <v>416</v>
      </c>
      <c r="K473" s="13" t="n">
        <v>1800</v>
      </c>
      <c r="L473" s="6" t="n">
        <f aca="false">H473*K473</f>
        <v>1800</v>
      </c>
      <c r="M473" s="14" t="s">
        <v>410</v>
      </c>
    </row>
    <row r="474" customFormat="false" ht="15" hidden="false" customHeight="false" outlineLevel="0" collapsed="false">
      <c r="A474" s="4" t="s">
        <v>94</v>
      </c>
      <c r="B474" s="5" t="s">
        <v>101</v>
      </c>
      <c r="C474" s="5" t="s">
        <v>102</v>
      </c>
      <c r="D474" s="4" t="s">
        <v>22</v>
      </c>
      <c r="E474" s="4" t="s">
        <v>992</v>
      </c>
      <c r="F474" s="4" t="s">
        <v>406</v>
      </c>
      <c r="G474" s="4" t="s">
        <v>993</v>
      </c>
      <c r="H474" s="12" t="n">
        <v>1</v>
      </c>
      <c r="I474" s="4" t="s">
        <v>408</v>
      </c>
      <c r="J474" s="4" t="s">
        <v>416</v>
      </c>
      <c r="K474" s="13" t="n">
        <v>250</v>
      </c>
      <c r="L474" s="6" t="n">
        <f aca="false">H474*K474</f>
        <v>250</v>
      </c>
      <c r="M474" s="14" t="s">
        <v>410</v>
      </c>
    </row>
    <row r="475" customFormat="false" ht="15" hidden="false" customHeight="false" outlineLevel="0" collapsed="false">
      <c r="A475" s="4" t="s">
        <v>94</v>
      </c>
      <c r="B475" s="5" t="s">
        <v>101</v>
      </c>
      <c r="C475" s="5" t="s">
        <v>102</v>
      </c>
      <c r="D475" s="4" t="s">
        <v>22</v>
      </c>
      <c r="E475" s="4" t="s">
        <v>994</v>
      </c>
      <c r="F475" s="4" t="s">
        <v>406</v>
      </c>
      <c r="G475" s="4" t="s">
        <v>995</v>
      </c>
      <c r="H475" s="12" t="n">
        <v>1</v>
      </c>
      <c r="I475" s="4" t="s">
        <v>408</v>
      </c>
      <c r="J475" s="4" t="s">
        <v>416</v>
      </c>
      <c r="K475" s="13" t="n">
        <v>4500</v>
      </c>
      <c r="L475" s="6" t="n">
        <f aca="false">H475*K475</f>
        <v>4500</v>
      </c>
      <c r="M475" s="4" t="s">
        <v>371</v>
      </c>
    </row>
    <row r="476" customFormat="false" ht="15" hidden="false" customHeight="false" outlineLevel="0" collapsed="false">
      <c r="A476" s="4" t="s">
        <v>94</v>
      </c>
      <c r="B476" s="5" t="s">
        <v>101</v>
      </c>
      <c r="C476" s="5" t="s">
        <v>102</v>
      </c>
      <c r="D476" s="4" t="s">
        <v>22</v>
      </c>
      <c r="E476" s="4" t="s">
        <v>996</v>
      </c>
      <c r="F476" s="4" t="s">
        <v>406</v>
      </c>
      <c r="G476" s="4" t="s">
        <v>997</v>
      </c>
      <c r="H476" s="12" t="n">
        <v>1</v>
      </c>
      <c r="I476" s="4" t="s">
        <v>408</v>
      </c>
      <c r="J476" s="4" t="s">
        <v>416</v>
      </c>
      <c r="K476" s="13" t="n">
        <v>18000</v>
      </c>
      <c r="L476" s="6" t="n">
        <f aca="false">H476*K476</f>
        <v>18000</v>
      </c>
      <c r="M476" s="4" t="s">
        <v>371</v>
      </c>
    </row>
    <row r="477" customFormat="false" ht="15" hidden="false" customHeight="false" outlineLevel="0" collapsed="false">
      <c r="A477" s="4" t="s">
        <v>94</v>
      </c>
      <c r="B477" s="5" t="s">
        <v>101</v>
      </c>
      <c r="C477" s="5" t="s">
        <v>102</v>
      </c>
      <c r="D477" s="4" t="s">
        <v>22</v>
      </c>
      <c r="E477" s="4" t="s">
        <v>998</v>
      </c>
      <c r="F477" s="4" t="s">
        <v>406</v>
      </c>
      <c r="G477" s="4" t="s">
        <v>999</v>
      </c>
      <c r="H477" s="12" t="n">
        <v>1</v>
      </c>
      <c r="I477" s="4" t="s">
        <v>408</v>
      </c>
      <c r="J477" s="4" t="s">
        <v>416</v>
      </c>
      <c r="K477" s="13" t="n">
        <v>8500</v>
      </c>
      <c r="L477" s="6" t="n">
        <f aca="false">H477*K477</f>
        <v>8500</v>
      </c>
      <c r="M477" s="4" t="s">
        <v>371</v>
      </c>
    </row>
    <row r="478" customFormat="false" ht="15" hidden="false" customHeight="false" outlineLevel="0" collapsed="false">
      <c r="A478" s="4" t="s">
        <v>94</v>
      </c>
      <c r="B478" s="5" t="s">
        <v>101</v>
      </c>
      <c r="C478" s="5" t="s">
        <v>102</v>
      </c>
      <c r="D478" s="4" t="s">
        <v>22</v>
      </c>
      <c r="E478" s="4" t="s">
        <v>1000</v>
      </c>
      <c r="F478" s="4" t="s">
        <v>406</v>
      </c>
      <c r="G478" s="4" t="s">
        <v>1001</v>
      </c>
      <c r="H478" s="12" t="n">
        <v>2</v>
      </c>
      <c r="I478" s="4" t="s">
        <v>474</v>
      </c>
      <c r="J478" s="4" t="s">
        <v>416</v>
      </c>
      <c r="K478" s="13" t="n">
        <v>85000</v>
      </c>
      <c r="L478" s="6" t="n">
        <f aca="false">H478*K478</f>
        <v>170000</v>
      </c>
      <c r="M478" s="14" t="s">
        <v>410</v>
      </c>
    </row>
    <row r="479" customFormat="false" ht="15" hidden="false" customHeight="false" outlineLevel="0" collapsed="false">
      <c r="A479" s="4" t="s">
        <v>94</v>
      </c>
      <c r="B479" s="5" t="s">
        <v>101</v>
      </c>
      <c r="C479" s="5" t="s">
        <v>102</v>
      </c>
      <c r="D479" s="4" t="s">
        <v>22</v>
      </c>
      <c r="E479" s="4" t="s">
        <v>1002</v>
      </c>
      <c r="F479" s="4" t="s">
        <v>406</v>
      </c>
      <c r="G479" s="4" t="s">
        <v>1003</v>
      </c>
      <c r="H479" s="12" t="n">
        <v>1</v>
      </c>
      <c r="I479" s="4" t="s">
        <v>474</v>
      </c>
      <c r="J479" s="4" t="s">
        <v>409</v>
      </c>
      <c r="K479" s="13" t="n">
        <v>450000</v>
      </c>
      <c r="L479" s="6" t="n">
        <f aca="false">H479*K479</f>
        <v>450000</v>
      </c>
      <c r="M479" s="14" t="s">
        <v>410</v>
      </c>
    </row>
    <row r="480" customFormat="false" ht="15" hidden="false" customHeight="false" outlineLevel="0" collapsed="false">
      <c r="A480" s="4" t="s">
        <v>94</v>
      </c>
      <c r="B480" s="5" t="s">
        <v>101</v>
      </c>
      <c r="C480" s="5" t="s">
        <v>102</v>
      </c>
      <c r="D480" s="4" t="s">
        <v>22</v>
      </c>
      <c r="E480" s="4" t="s">
        <v>1004</v>
      </c>
      <c r="F480" s="4" t="s">
        <v>406</v>
      </c>
      <c r="G480" s="4" t="s">
        <v>1005</v>
      </c>
      <c r="H480" s="12" t="n">
        <v>1</v>
      </c>
      <c r="I480" s="4" t="s">
        <v>474</v>
      </c>
      <c r="J480" s="4" t="s">
        <v>409</v>
      </c>
      <c r="K480" s="13" t="n">
        <v>850</v>
      </c>
      <c r="L480" s="6" t="n">
        <f aca="false">H480*K480</f>
        <v>850</v>
      </c>
      <c r="M480" s="4" t="s">
        <v>371</v>
      </c>
    </row>
    <row r="481" customFormat="false" ht="15" hidden="false" customHeight="false" outlineLevel="0" collapsed="false">
      <c r="A481" s="4" t="s">
        <v>94</v>
      </c>
      <c r="B481" s="5" t="s">
        <v>101</v>
      </c>
      <c r="C481" s="5" t="s">
        <v>102</v>
      </c>
      <c r="D481" s="4" t="s">
        <v>22</v>
      </c>
      <c r="E481" s="4" t="s">
        <v>1006</v>
      </c>
      <c r="F481" s="4" t="s">
        <v>406</v>
      </c>
      <c r="G481" s="4" t="s">
        <v>1007</v>
      </c>
      <c r="H481" s="12" t="n">
        <v>1</v>
      </c>
      <c r="I481" s="4" t="s">
        <v>474</v>
      </c>
      <c r="J481" s="4" t="s">
        <v>409</v>
      </c>
      <c r="K481" s="13" t="n">
        <v>450</v>
      </c>
      <c r="L481" s="6" t="n">
        <f aca="false">H481*K481</f>
        <v>450</v>
      </c>
      <c r="M481" s="14" t="s">
        <v>410</v>
      </c>
    </row>
    <row r="482" customFormat="false" ht="15" hidden="false" customHeight="false" outlineLevel="0" collapsed="false">
      <c r="A482" s="4" t="s">
        <v>94</v>
      </c>
      <c r="B482" s="5" t="s">
        <v>101</v>
      </c>
      <c r="C482" s="5" t="s">
        <v>102</v>
      </c>
      <c r="D482" s="4" t="s">
        <v>22</v>
      </c>
      <c r="E482" s="4" t="s">
        <v>1008</v>
      </c>
      <c r="F482" s="4" t="s">
        <v>406</v>
      </c>
      <c r="G482" s="4" t="s">
        <v>1009</v>
      </c>
      <c r="H482" s="12" t="n">
        <v>1</v>
      </c>
      <c r="I482" s="4" t="s">
        <v>474</v>
      </c>
      <c r="J482" s="4" t="s">
        <v>409</v>
      </c>
      <c r="K482" s="13" t="n">
        <v>1800</v>
      </c>
      <c r="L482" s="6" t="n">
        <f aca="false">H482*K482</f>
        <v>1800</v>
      </c>
      <c r="M482" s="14" t="s">
        <v>410</v>
      </c>
    </row>
    <row r="483" customFormat="false" ht="15" hidden="false" customHeight="false" outlineLevel="0" collapsed="false">
      <c r="A483" s="4" t="s">
        <v>94</v>
      </c>
      <c r="B483" s="5" t="s">
        <v>101</v>
      </c>
      <c r="C483" s="5" t="s">
        <v>102</v>
      </c>
      <c r="D483" s="4" t="s">
        <v>22</v>
      </c>
      <c r="E483" s="4" t="s">
        <v>1010</v>
      </c>
      <c r="F483" s="4" t="s">
        <v>406</v>
      </c>
      <c r="G483" s="4" t="s">
        <v>1011</v>
      </c>
      <c r="H483" s="12" t="n">
        <v>1</v>
      </c>
      <c r="I483" s="4" t="s">
        <v>474</v>
      </c>
      <c r="J483" s="4" t="s">
        <v>409</v>
      </c>
      <c r="K483" s="13" t="n">
        <v>1800</v>
      </c>
      <c r="L483" s="6" t="n">
        <f aca="false">H483*K483</f>
        <v>1800</v>
      </c>
      <c r="M483" s="14" t="s">
        <v>410</v>
      </c>
    </row>
    <row r="484" customFormat="false" ht="15" hidden="false" customHeight="false" outlineLevel="0" collapsed="false">
      <c r="A484" s="4" t="s">
        <v>94</v>
      </c>
      <c r="B484" s="5" t="s">
        <v>101</v>
      </c>
      <c r="C484" s="5" t="s">
        <v>102</v>
      </c>
      <c r="D484" s="4" t="s">
        <v>22</v>
      </c>
      <c r="E484" s="4" t="s">
        <v>1012</v>
      </c>
      <c r="F484" s="4" t="s">
        <v>406</v>
      </c>
      <c r="G484" s="4" t="s">
        <v>1013</v>
      </c>
      <c r="H484" s="12" t="n">
        <v>1</v>
      </c>
      <c r="I484" s="4" t="s">
        <v>474</v>
      </c>
      <c r="J484" s="4" t="s">
        <v>409</v>
      </c>
      <c r="K484" s="13" t="n">
        <v>850</v>
      </c>
      <c r="L484" s="6" t="n">
        <f aca="false">H484*K484</f>
        <v>850</v>
      </c>
      <c r="M484" s="14" t="s">
        <v>410</v>
      </c>
    </row>
    <row r="485" customFormat="false" ht="15" hidden="false" customHeight="false" outlineLevel="0" collapsed="false">
      <c r="A485" s="4" t="s">
        <v>94</v>
      </c>
      <c r="B485" s="5" t="s">
        <v>101</v>
      </c>
      <c r="C485" s="5" t="s">
        <v>102</v>
      </c>
      <c r="D485" s="4" t="s">
        <v>22</v>
      </c>
      <c r="E485" s="4" t="s">
        <v>1014</v>
      </c>
      <c r="F485" s="4" t="s">
        <v>406</v>
      </c>
      <c r="G485" s="4" t="s">
        <v>1015</v>
      </c>
      <c r="H485" s="12" t="n">
        <v>1</v>
      </c>
      <c r="I485" s="4" t="s">
        <v>474</v>
      </c>
      <c r="J485" s="4" t="s">
        <v>409</v>
      </c>
      <c r="K485" s="13" t="n">
        <v>450</v>
      </c>
      <c r="L485" s="6" t="n">
        <f aca="false">H485*K485</f>
        <v>450</v>
      </c>
      <c r="M485" s="4" t="s">
        <v>371</v>
      </c>
    </row>
    <row r="486" customFormat="false" ht="15" hidden="false" customHeight="false" outlineLevel="0" collapsed="false">
      <c r="A486" s="4" t="s">
        <v>94</v>
      </c>
      <c r="B486" s="5" t="s">
        <v>101</v>
      </c>
      <c r="C486" s="5" t="s">
        <v>102</v>
      </c>
      <c r="D486" s="4" t="s">
        <v>22</v>
      </c>
      <c r="E486" s="4" t="s">
        <v>1016</v>
      </c>
      <c r="F486" s="4" t="s">
        <v>406</v>
      </c>
      <c r="G486" s="4" t="s">
        <v>1017</v>
      </c>
      <c r="H486" s="12" t="n">
        <v>1</v>
      </c>
      <c r="I486" s="4" t="s">
        <v>474</v>
      </c>
      <c r="J486" s="4" t="s">
        <v>409</v>
      </c>
      <c r="K486" s="13" t="n">
        <v>550</v>
      </c>
      <c r="L486" s="6" t="n">
        <f aca="false">H486*K486</f>
        <v>550</v>
      </c>
      <c r="M486" s="4" t="s">
        <v>371</v>
      </c>
    </row>
    <row r="487" customFormat="false" ht="15" hidden="false" customHeight="false" outlineLevel="0" collapsed="false">
      <c r="A487" s="4" t="s">
        <v>94</v>
      </c>
      <c r="B487" s="5" t="s">
        <v>101</v>
      </c>
      <c r="C487" s="5" t="s">
        <v>102</v>
      </c>
      <c r="D487" s="4" t="s">
        <v>22</v>
      </c>
      <c r="E487" s="4" t="s">
        <v>1018</v>
      </c>
      <c r="F487" s="4" t="s">
        <v>406</v>
      </c>
      <c r="G487" s="4" t="s">
        <v>1019</v>
      </c>
      <c r="H487" s="12" t="n">
        <v>1</v>
      </c>
      <c r="I487" s="4" t="s">
        <v>474</v>
      </c>
      <c r="J487" s="4" t="s">
        <v>409</v>
      </c>
      <c r="K487" s="13" t="n">
        <v>85000</v>
      </c>
      <c r="L487" s="6" t="n">
        <f aca="false">H487*K487</f>
        <v>85000</v>
      </c>
      <c r="M487" s="14" t="s">
        <v>410</v>
      </c>
    </row>
    <row r="488" customFormat="false" ht="15" hidden="false" customHeight="false" outlineLevel="0" collapsed="false">
      <c r="A488" s="4" t="s">
        <v>94</v>
      </c>
      <c r="B488" s="5" t="s">
        <v>101</v>
      </c>
      <c r="C488" s="5" t="s">
        <v>102</v>
      </c>
      <c r="D488" s="4" t="s">
        <v>22</v>
      </c>
      <c r="E488" s="4" t="s">
        <v>1020</v>
      </c>
      <c r="F488" s="4" t="s">
        <v>406</v>
      </c>
      <c r="G488" s="4" t="s">
        <v>1021</v>
      </c>
      <c r="H488" s="12" t="n">
        <v>1</v>
      </c>
      <c r="I488" s="4" t="s">
        <v>408</v>
      </c>
      <c r="J488" s="4" t="s">
        <v>409</v>
      </c>
      <c r="K488" s="13" t="n">
        <v>2500</v>
      </c>
      <c r="L488" s="6" t="n">
        <f aca="false">H488*K488</f>
        <v>2500</v>
      </c>
      <c r="M488" s="14" t="s">
        <v>410</v>
      </c>
    </row>
    <row r="489" customFormat="false" ht="15" hidden="false" customHeight="false" outlineLevel="0" collapsed="false">
      <c r="A489" s="4" t="s">
        <v>94</v>
      </c>
      <c r="B489" s="5" t="s">
        <v>101</v>
      </c>
      <c r="C489" s="5" t="s">
        <v>102</v>
      </c>
      <c r="D489" s="4" t="s">
        <v>22</v>
      </c>
      <c r="E489" s="4" t="s">
        <v>1022</v>
      </c>
      <c r="F489" s="4" t="s">
        <v>406</v>
      </c>
      <c r="G489" s="4" t="s">
        <v>1023</v>
      </c>
      <c r="H489" s="12" t="n">
        <v>1</v>
      </c>
      <c r="I489" s="4" t="s">
        <v>408</v>
      </c>
      <c r="J489" s="4" t="s">
        <v>409</v>
      </c>
      <c r="K489" s="13" t="n">
        <v>85000</v>
      </c>
      <c r="L489" s="6" t="n">
        <f aca="false">H489*K489</f>
        <v>85000</v>
      </c>
      <c r="M489" s="14" t="s">
        <v>410</v>
      </c>
    </row>
    <row r="490" customFormat="false" ht="15" hidden="false" customHeight="false" outlineLevel="0" collapsed="false">
      <c r="A490" s="4" t="s">
        <v>94</v>
      </c>
      <c r="B490" s="5" t="s">
        <v>101</v>
      </c>
      <c r="C490" s="5" t="s">
        <v>102</v>
      </c>
      <c r="D490" s="4" t="s">
        <v>22</v>
      </c>
      <c r="E490" s="4" t="s">
        <v>1024</v>
      </c>
      <c r="F490" s="4" t="s">
        <v>406</v>
      </c>
      <c r="G490" s="4" t="s">
        <v>1025</v>
      </c>
      <c r="H490" s="12" t="n">
        <v>1</v>
      </c>
      <c r="I490" s="4" t="s">
        <v>408</v>
      </c>
      <c r="J490" s="4" t="s">
        <v>409</v>
      </c>
      <c r="K490" s="13" t="n">
        <v>4500</v>
      </c>
      <c r="L490" s="6" t="n">
        <f aca="false">H490*K490</f>
        <v>4500</v>
      </c>
      <c r="M490" s="14" t="s">
        <v>410</v>
      </c>
    </row>
    <row r="491" customFormat="false" ht="15" hidden="false" customHeight="false" outlineLevel="0" collapsed="false">
      <c r="A491" s="4" t="s">
        <v>94</v>
      </c>
      <c r="B491" s="5" t="s">
        <v>101</v>
      </c>
      <c r="C491" s="5" t="s">
        <v>102</v>
      </c>
      <c r="D491" s="4" t="s">
        <v>22</v>
      </c>
      <c r="E491" s="4" t="s">
        <v>1026</v>
      </c>
      <c r="F491" s="4" t="s">
        <v>406</v>
      </c>
      <c r="G491" s="4" t="s">
        <v>1027</v>
      </c>
      <c r="H491" s="12" t="n">
        <v>1</v>
      </c>
      <c r="I491" s="4" t="s">
        <v>408</v>
      </c>
      <c r="J491" s="4" t="s">
        <v>409</v>
      </c>
      <c r="K491" s="13" t="n">
        <v>1800</v>
      </c>
      <c r="L491" s="6" t="n">
        <f aca="false">H491*K491</f>
        <v>1800</v>
      </c>
      <c r="M491" s="14" t="s">
        <v>410</v>
      </c>
    </row>
    <row r="492" customFormat="false" ht="15" hidden="false" customHeight="false" outlineLevel="0" collapsed="false">
      <c r="A492" s="4" t="s">
        <v>94</v>
      </c>
      <c r="B492" s="5" t="s">
        <v>101</v>
      </c>
      <c r="C492" s="5" t="s">
        <v>102</v>
      </c>
      <c r="D492" s="4" t="s">
        <v>22</v>
      </c>
      <c r="E492" s="4" t="s">
        <v>1028</v>
      </c>
      <c r="F492" s="4" t="s">
        <v>406</v>
      </c>
      <c r="G492" s="4" t="s">
        <v>1029</v>
      </c>
      <c r="H492" s="12" t="n">
        <v>1</v>
      </c>
      <c r="I492" s="4" t="s">
        <v>408</v>
      </c>
      <c r="J492" s="4" t="s">
        <v>409</v>
      </c>
      <c r="K492" s="13" t="n">
        <v>650</v>
      </c>
      <c r="L492" s="6" t="n">
        <f aca="false">H492*K492</f>
        <v>650</v>
      </c>
      <c r="M492" s="4" t="s">
        <v>371</v>
      </c>
    </row>
    <row r="493" customFormat="false" ht="15" hidden="false" customHeight="false" outlineLevel="0" collapsed="false">
      <c r="A493" s="4" t="s">
        <v>94</v>
      </c>
      <c r="B493" s="5" t="s">
        <v>101</v>
      </c>
      <c r="C493" s="5" t="s">
        <v>102</v>
      </c>
      <c r="D493" s="4" t="s">
        <v>22</v>
      </c>
      <c r="E493" s="4" t="s">
        <v>1030</v>
      </c>
      <c r="F493" s="4" t="s">
        <v>406</v>
      </c>
      <c r="G493" s="4" t="s">
        <v>1031</v>
      </c>
      <c r="H493" s="12" t="n">
        <v>1</v>
      </c>
      <c r="I493" s="4" t="s">
        <v>408</v>
      </c>
      <c r="J493" s="4" t="s">
        <v>409</v>
      </c>
      <c r="K493" s="13" t="n">
        <v>850</v>
      </c>
      <c r="L493" s="6" t="n">
        <f aca="false">H493*K493</f>
        <v>850</v>
      </c>
      <c r="M493" s="14" t="s">
        <v>410</v>
      </c>
    </row>
    <row r="494" customFormat="false" ht="15" hidden="false" customHeight="false" outlineLevel="0" collapsed="false">
      <c r="A494" s="4" t="s">
        <v>94</v>
      </c>
      <c r="B494" s="5" t="s">
        <v>101</v>
      </c>
      <c r="C494" s="5" t="s">
        <v>102</v>
      </c>
      <c r="D494" s="4" t="s">
        <v>22</v>
      </c>
      <c r="E494" s="4" t="s">
        <v>1032</v>
      </c>
      <c r="F494" s="4" t="s">
        <v>406</v>
      </c>
      <c r="G494" s="4" t="s">
        <v>1033</v>
      </c>
      <c r="H494" s="12" t="n">
        <v>1</v>
      </c>
      <c r="I494" s="4" t="s">
        <v>408</v>
      </c>
      <c r="J494" s="4" t="s">
        <v>416</v>
      </c>
      <c r="K494" s="13" t="n">
        <v>1800</v>
      </c>
      <c r="L494" s="6" t="n">
        <f aca="false">H494*K494</f>
        <v>1800</v>
      </c>
      <c r="M494" s="4" t="s">
        <v>371</v>
      </c>
    </row>
    <row r="495" customFormat="false" ht="15" hidden="false" customHeight="false" outlineLevel="0" collapsed="false">
      <c r="A495" s="4" t="s">
        <v>94</v>
      </c>
      <c r="B495" s="5" t="s">
        <v>101</v>
      </c>
      <c r="C495" s="5" t="s">
        <v>102</v>
      </c>
      <c r="D495" s="4" t="s">
        <v>22</v>
      </c>
      <c r="E495" s="4" t="s">
        <v>1010</v>
      </c>
      <c r="F495" s="4" t="s">
        <v>406</v>
      </c>
      <c r="G495" s="4" t="s">
        <v>1011</v>
      </c>
      <c r="H495" s="12" t="n">
        <v>1</v>
      </c>
      <c r="I495" s="4" t="s">
        <v>408</v>
      </c>
      <c r="J495" s="4" t="s">
        <v>409</v>
      </c>
      <c r="K495" s="13" t="n">
        <v>1800</v>
      </c>
      <c r="L495" s="6" t="n">
        <f aca="false">H495*K495</f>
        <v>1800</v>
      </c>
      <c r="M495" s="14" t="s">
        <v>410</v>
      </c>
    </row>
    <row r="496" customFormat="false" ht="15" hidden="false" customHeight="false" outlineLevel="0" collapsed="false">
      <c r="A496" s="4" t="s">
        <v>94</v>
      </c>
      <c r="B496" s="5" t="s">
        <v>101</v>
      </c>
      <c r="C496" s="5" t="s">
        <v>102</v>
      </c>
      <c r="D496" s="4" t="s">
        <v>22</v>
      </c>
      <c r="E496" s="4" t="s">
        <v>1034</v>
      </c>
      <c r="F496" s="4" t="s">
        <v>406</v>
      </c>
      <c r="G496" s="4" t="s">
        <v>1035</v>
      </c>
      <c r="H496" s="12" t="n">
        <v>1</v>
      </c>
      <c r="I496" s="4" t="s">
        <v>408</v>
      </c>
      <c r="J496" s="4" t="s">
        <v>416</v>
      </c>
      <c r="K496" s="13" t="n">
        <v>850</v>
      </c>
      <c r="L496" s="6" t="n">
        <f aca="false">H496*K496</f>
        <v>850</v>
      </c>
      <c r="M496" s="14" t="s">
        <v>410</v>
      </c>
    </row>
    <row r="497" customFormat="false" ht="15" hidden="false" customHeight="false" outlineLevel="0" collapsed="false">
      <c r="A497" s="4" t="s">
        <v>94</v>
      </c>
      <c r="B497" s="5" t="s">
        <v>101</v>
      </c>
      <c r="C497" s="5" t="s">
        <v>102</v>
      </c>
      <c r="D497" s="4" t="s">
        <v>22</v>
      </c>
      <c r="E497" s="4" t="s">
        <v>1036</v>
      </c>
      <c r="F497" s="4" t="s">
        <v>406</v>
      </c>
      <c r="G497" s="4" t="s">
        <v>1037</v>
      </c>
      <c r="H497" s="12" t="n">
        <v>1</v>
      </c>
      <c r="I497" s="4" t="s">
        <v>408</v>
      </c>
      <c r="J497" s="4" t="s">
        <v>409</v>
      </c>
      <c r="K497" s="13" t="n">
        <v>1800</v>
      </c>
      <c r="L497" s="6" t="n">
        <f aca="false">H497*K497</f>
        <v>1800</v>
      </c>
      <c r="M497" s="4" t="s">
        <v>371</v>
      </c>
    </row>
    <row r="498" customFormat="false" ht="15" hidden="false" customHeight="false" outlineLevel="0" collapsed="false">
      <c r="A498" s="4" t="s">
        <v>94</v>
      </c>
      <c r="B498" s="5" t="s">
        <v>101</v>
      </c>
      <c r="C498" s="5" t="s">
        <v>102</v>
      </c>
      <c r="D498" s="4" t="s">
        <v>22</v>
      </c>
      <c r="E498" s="4" t="s">
        <v>1038</v>
      </c>
      <c r="F498" s="4" t="s">
        <v>406</v>
      </c>
      <c r="G498" s="4" t="s">
        <v>1039</v>
      </c>
      <c r="H498" s="12" t="n">
        <v>1</v>
      </c>
      <c r="I498" s="4" t="s">
        <v>408</v>
      </c>
      <c r="J498" s="4" t="s">
        <v>409</v>
      </c>
      <c r="K498" s="13" t="n">
        <v>4500</v>
      </c>
      <c r="L498" s="6" t="n">
        <f aca="false">H498*K498</f>
        <v>4500</v>
      </c>
      <c r="M498" s="14" t="s">
        <v>410</v>
      </c>
    </row>
    <row r="499" customFormat="false" ht="15" hidden="false" customHeight="false" outlineLevel="0" collapsed="false">
      <c r="A499" s="4" t="s">
        <v>94</v>
      </c>
      <c r="B499" s="5" t="s">
        <v>101</v>
      </c>
      <c r="C499" s="5" t="s">
        <v>102</v>
      </c>
      <c r="D499" s="4" t="s">
        <v>22</v>
      </c>
      <c r="E499" s="4" t="s">
        <v>1040</v>
      </c>
      <c r="F499" s="4" t="s">
        <v>406</v>
      </c>
      <c r="G499" s="4" t="s">
        <v>1041</v>
      </c>
      <c r="H499" s="12" t="n">
        <v>1</v>
      </c>
      <c r="I499" s="4" t="s">
        <v>408</v>
      </c>
      <c r="J499" s="4" t="s">
        <v>409</v>
      </c>
      <c r="K499" s="13" t="n">
        <v>850</v>
      </c>
      <c r="L499" s="6" t="n">
        <f aca="false">H499*K499</f>
        <v>850</v>
      </c>
      <c r="M499" s="4" t="s">
        <v>371</v>
      </c>
    </row>
    <row r="500" customFormat="false" ht="15" hidden="false" customHeight="false" outlineLevel="0" collapsed="false">
      <c r="A500" s="4" t="s">
        <v>94</v>
      </c>
      <c r="B500" s="5" t="s">
        <v>101</v>
      </c>
      <c r="C500" s="5" t="s">
        <v>102</v>
      </c>
      <c r="D500" s="4" t="s">
        <v>22</v>
      </c>
      <c r="E500" s="4" t="s">
        <v>1042</v>
      </c>
      <c r="F500" s="4" t="s">
        <v>406</v>
      </c>
      <c r="G500" s="4" t="s">
        <v>1043</v>
      </c>
      <c r="H500" s="12" t="n">
        <v>1</v>
      </c>
      <c r="I500" s="4" t="s">
        <v>408</v>
      </c>
      <c r="J500" s="4" t="s">
        <v>409</v>
      </c>
      <c r="K500" s="13" t="n">
        <v>4500</v>
      </c>
      <c r="L500" s="6" t="n">
        <f aca="false">H500*K500</f>
        <v>4500</v>
      </c>
      <c r="M500" s="14" t="s">
        <v>410</v>
      </c>
    </row>
    <row r="501" customFormat="false" ht="15" hidden="false" customHeight="false" outlineLevel="0" collapsed="false">
      <c r="A501" s="4" t="s">
        <v>94</v>
      </c>
      <c r="B501" s="5" t="s">
        <v>101</v>
      </c>
      <c r="C501" s="5" t="s">
        <v>102</v>
      </c>
      <c r="D501" s="4" t="s">
        <v>22</v>
      </c>
      <c r="E501" s="4" t="s">
        <v>1044</v>
      </c>
      <c r="F501" s="4" t="s">
        <v>406</v>
      </c>
      <c r="G501" s="4" t="s">
        <v>1045</v>
      </c>
      <c r="H501" s="12" t="n">
        <v>1</v>
      </c>
      <c r="I501" s="4" t="s">
        <v>408</v>
      </c>
      <c r="J501" s="4" t="s">
        <v>416</v>
      </c>
      <c r="K501" s="13" t="n">
        <v>18000</v>
      </c>
      <c r="L501" s="6" t="n">
        <f aca="false">H501*K501</f>
        <v>18000</v>
      </c>
      <c r="M501" s="4" t="s">
        <v>371</v>
      </c>
    </row>
    <row r="502" customFormat="false" ht="15" hidden="false" customHeight="false" outlineLevel="0" collapsed="false">
      <c r="A502" s="4" t="s">
        <v>94</v>
      </c>
      <c r="B502" s="5" t="s">
        <v>101</v>
      </c>
      <c r="C502" s="5" t="s">
        <v>102</v>
      </c>
      <c r="D502" s="4" t="s">
        <v>22</v>
      </c>
      <c r="E502" s="4" t="s">
        <v>1046</v>
      </c>
      <c r="F502" s="4" t="s">
        <v>406</v>
      </c>
      <c r="G502" s="4" t="s">
        <v>1047</v>
      </c>
      <c r="H502" s="12" t="n">
        <v>1</v>
      </c>
      <c r="I502" s="4" t="s">
        <v>408</v>
      </c>
      <c r="J502" s="4" t="s">
        <v>416</v>
      </c>
      <c r="K502" s="13" t="n">
        <v>18000</v>
      </c>
      <c r="L502" s="6" t="n">
        <f aca="false">H502*K502</f>
        <v>18000</v>
      </c>
      <c r="M502" s="14" t="s">
        <v>410</v>
      </c>
    </row>
    <row r="503" customFormat="false" ht="15" hidden="false" customHeight="false" outlineLevel="0" collapsed="false">
      <c r="A503" s="4" t="s">
        <v>94</v>
      </c>
      <c r="B503" s="5" t="s">
        <v>101</v>
      </c>
      <c r="C503" s="5" t="s">
        <v>102</v>
      </c>
      <c r="D503" s="4" t="s">
        <v>22</v>
      </c>
      <c r="E503" s="4" t="s">
        <v>1048</v>
      </c>
      <c r="F503" s="4" t="s">
        <v>406</v>
      </c>
      <c r="G503" s="4" t="s">
        <v>1049</v>
      </c>
      <c r="H503" s="12" t="n">
        <v>1</v>
      </c>
      <c r="I503" s="4" t="s">
        <v>408</v>
      </c>
      <c r="J503" s="4" t="s">
        <v>416</v>
      </c>
      <c r="K503" s="13" t="n">
        <v>18000</v>
      </c>
      <c r="L503" s="6" t="n">
        <f aca="false">H503*K503</f>
        <v>18000</v>
      </c>
      <c r="M503" s="14" t="s">
        <v>410</v>
      </c>
    </row>
    <row r="504" customFormat="false" ht="15" hidden="false" customHeight="false" outlineLevel="0" collapsed="false">
      <c r="A504" s="4" t="s">
        <v>94</v>
      </c>
      <c r="B504" s="5" t="s">
        <v>101</v>
      </c>
      <c r="C504" s="5" t="s">
        <v>102</v>
      </c>
      <c r="D504" s="4" t="s">
        <v>22</v>
      </c>
      <c r="E504" s="4" t="s">
        <v>1050</v>
      </c>
      <c r="F504" s="4" t="s">
        <v>406</v>
      </c>
      <c r="G504" s="4" t="s">
        <v>1051</v>
      </c>
      <c r="H504" s="12" t="n">
        <v>1</v>
      </c>
      <c r="I504" s="4" t="s">
        <v>408</v>
      </c>
      <c r="J504" s="4" t="s">
        <v>409</v>
      </c>
      <c r="K504" s="13" t="n">
        <v>8500</v>
      </c>
      <c r="L504" s="6" t="n">
        <f aca="false">H504*K504</f>
        <v>8500</v>
      </c>
      <c r="M504" s="14" t="s">
        <v>410</v>
      </c>
    </row>
    <row r="505" customFormat="false" ht="15" hidden="false" customHeight="false" outlineLevel="0" collapsed="false">
      <c r="A505" s="4" t="s">
        <v>94</v>
      </c>
      <c r="B505" s="5" t="s">
        <v>101</v>
      </c>
      <c r="C505" s="5" t="s">
        <v>102</v>
      </c>
      <c r="D505" s="4" t="s">
        <v>22</v>
      </c>
      <c r="E505" s="4" t="s">
        <v>1052</v>
      </c>
      <c r="F505" s="4" t="s">
        <v>406</v>
      </c>
      <c r="G505" s="4" t="s">
        <v>1053</v>
      </c>
      <c r="H505" s="12" t="n">
        <v>1</v>
      </c>
      <c r="I505" s="4" t="s">
        <v>474</v>
      </c>
      <c r="J505" s="4" t="s">
        <v>409</v>
      </c>
      <c r="K505" s="13" t="n">
        <v>25000</v>
      </c>
      <c r="L505" s="6" t="n">
        <f aca="false">H505*K505</f>
        <v>25000</v>
      </c>
      <c r="M505" s="14" t="s">
        <v>410</v>
      </c>
    </row>
    <row r="506" customFormat="false" ht="15" hidden="false" customHeight="false" outlineLevel="0" collapsed="false">
      <c r="A506" s="4" t="s">
        <v>94</v>
      </c>
      <c r="B506" s="5" t="s">
        <v>101</v>
      </c>
      <c r="C506" s="5" t="s">
        <v>102</v>
      </c>
      <c r="D506" s="4" t="s">
        <v>22</v>
      </c>
      <c r="E506" s="4" t="s">
        <v>1054</v>
      </c>
      <c r="F506" s="4" t="s">
        <v>406</v>
      </c>
      <c r="G506" s="4" t="s">
        <v>1055</v>
      </c>
      <c r="H506" s="12" t="n">
        <v>1</v>
      </c>
      <c r="I506" s="4" t="s">
        <v>408</v>
      </c>
      <c r="J506" s="4" t="s">
        <v>409</v>
      </c>
      <c r="K506" s="13" t="n">
        <v>350000</v>
      </c>
      <c r="L506" s="6" t="n">
        <f aca="false">H506*K506</f>
        <v>350000</v>
      </c>
      <c r="M506" s="14" t="s">
        <v>410</v>
      </c>
    </row>
    <row r="507" customFormat="false" ht="15" hidden="false" customHeight="false" outlineLevel="0" collapsed="false">
      <c r="A507" s="4" t="s">
        <v>94</v>
      </c>
      <c r="B507" s="5" t="s">
        <v>101</v>
      </c>
      <c r="C507" s="5" t="s">
        <v>102</v>
      </c>
      <c r="D507" s="4" t="s">
        <v>22</v>
      </c>
      <c r="E507" s="4" t="s">
        <v>1056</v>
      </c>
      <c r="F507" s="4" t="s">
        <v>406</v>
      </c>
      <c r="G507" s="4" t="s">
        <v>1057</v>
      </c>
      <c r="H507" s="12" t="n">
        <v>1</v>
      </c>
      <c r="I507" s="4" t="s">
        <v>408</v>
      </c>
      <c r="J507" s="4" t="s">
        <v>409</v>
      </c>
      <c r="K507" s="13" t="n">
        <v>850000</v>
      </c>
      <c r="L507" s="6" t="n">
        <f aca="false">H507*K507</f>
        <v>850000</v>
      </c>
      <c r="M507" s="14" t="s">
        <v>410</v>
      </c>
    </row>
    <row r="508" customFormat="false" ht="15" hidden="false" customHeight="false" outlineLevel="0" collapsed="false">
      <c r="A508" s="4" t="s">
        <v>94</v>
      </c>
      <c r="B508" s="5" t="s">
        <v>101</v>
      </c>
      <c r="C508" s="5" t="s">
        <v>102</v>
      </c>
      <c r="D508" s="4" t="s">
        <v>22</v>
      </c>
      <c r="E508" s="4" t="s">
        <v>1058</v>
      </c>
      <c r="F508" s="4" t="s">
        <v>470</v>
      </c>
      <c r="G508" s="4" t="s">
        <v>1059</v>
      </c>
      <c r="H508" s="12" t="n">
        <v>1</v>
      </c>
      <c r="I508" s="4" t="s">
        <v>408</v>
      </c>
      <c r="J508" s="4" t="s">
        <v>409</v>
      </c>
      <c r="K508" s="13" t="n">
        <v>45000</v>
      </c>
      <c r="L508" s="6" t="n">
        <f aca="false">H508*K508</f>
        <v>45000</v>
      </c>
      <c r="M508" s="14" t="s">
        <v>410</v>
      </c>
    </row>
    <row r="509" customFormat="false" ht="15" hidden="false" customHeight="false" outlineLevel="0" collapsed="false">
      <c r="A509" s="4" t="s">
        <v>94</v>
      </c>
      <c r="B509" s="5" t="s">
        <v>101</v>
      </c>
      <c r="C509" s="5" t="s">
        <v>102</v>
      </c>
      <c r="D509" s="4" t="s">
        <v>22</v>
      </c>
      <c r="E509" s="4" t="s">
        <v>1060</v>
      </c>
      <c r="F509" s="4" t="s">
        <v>470</v>
      </c>
      <c r="G509" s="4" t="s">
        <v>1061</v>
      </c>
      <c r="H509" s="12" t="n">
        <v>1</v>
      </c>
      <c r="I509" s="4" t="s">
        <v>408</v>
      </c>
      <c r="J509" s="4" t="s">
        <v>409</v>
      </c>
      <c r="K509" s="13" t="n">
        <v>45000</v>
      </c>
      <c r="L509" s="6" t="n">
        <f aca="false">H509*K509</f>
        <v>45000</v>
      </c>
      <c r="M509" s="14" t="s">
        <v>410</v>
      </c>
    </row>
    <row r="510" customFormat="false" ht="15" hidden="false" customHeight="false" outlineLevel="0" collapsed="false">
      <c r="A510" s="4" t="s">
        <v>94</v>
      </c>
      <c r="B510" s="5" t="s">
        <v>101</v>
      </c>
      <c r="C510" s="5" t="s">
        <v>102</v>
      </c>
      <c r="D510" s="4" t="s">
        <v>22</v>
      </c>
      <c r="E510" s="4" t="s">
        <v>1062</v>
      </c>
      <c r="F510" s="4" t="s">
        <v>470</v>
      </c>
      <c r="G510" s="4" t="s">
        <v>1063</v>
      </c>
      <c r="H510" s="12" t="n">
        <v>1</v>
      </c>
      <c r="I510" s="4" t="s">
        <v>408</v>
      </c>
      <c r="J510" s="4" t="s">
        <v>409</v>
      </c>
      <c r="K510" s="13" t="n">
        <v>6500</v>
      </c>
      <c r="L510" s="6" t="n">
        <f aca="false">H510*K510</f>
        <v>6500</v>
      </c>
      <c r="M510" s="14" t="s">
        <v>410</v>
      </c>
    </row>
    <row r="511" customFormat="false" ht="15" hidden="false" customHeight="false" outlineLevel="0" collapsed="false">
      <c r="A511" s="4" t="s">
        <v>94</v>
      </c>
      <c r="B511" s="5" t="s">
        <v>101</v>
      </c>
      <c r="C511" s="5" t="s">
        <v>102</v>
      </c>
      <c r="D511" s="4" t="s">
        <v>22</v>
      </c>
      <c r="E511" s="4" t="s">
        <v>1064</v>
      </c>
      <c r="F511" s="4" t="s">
        <v>470</v>
      </c>
      <c r="G511" s="4" t="s">
        <v>1065</v>
      </c>
      <c r="H511" s="12" t="n">
        <v>1</v>
      </c>
      <c r="I511" s="4" t="s">
        <v>408</v>
      </c>
      <c r="J511" s="4" t="s">
        <v>543</v>
      </c>
      <c r="K511" s="13" t="n">
        <v>25000</v>
      </c>
      <c r="L511" s="6" t="n">
        <f aca="false">H511*K511</f>
        <v>25000</v>
      </c>
      <c r="M511" s="4" t="s">
        <v>371</v>
      </c>
    </row>
    <row r="512" customFormat="false" ht="15" hidden="false" customHeight="false" outlineLevel="0" collapsed="false">
      <c r="A512" s="4" t="s">
        <v>94</v>
      </c>
      <c r="B512" s="5" t="s">
        <v>101</v>
      </c>
      <c r="C512" s="5" t="s">
        <v>102</v>
      </c>
      <c r="D512" s="4" t="s">
        <v>22</v>
      </c>
      <c r="E512" s="4" t="s">
        <v>1066</v>
      </c>
      <c r="F512" s="4" t="s">
        <v>470</v>
      </c>
      <c r="G512" s="4" t="s">
        <v>1067</v>
      </c>
      <c r="H512" s="12" t="n">
        <v>1</v>
      </c>
      <c r="I512" s="4" t="s">
        <v>408</v>
      </c>
      <c r="J512" s="4" t="s">
        <v>543</v>
      </c>
      <c r="K512" s="13" t="n">
        <v>25000</v>
      </c>
      <c r="L512" s="6" t="n">
        <f aca="false">H512*K512</f>
        <v>25000</v>
      </c>
      <c r="M512" s="4" t="s">
        <v>371</v>
      </c>
    </row>
    <row r="513" customFormat="false" ht="15" hidden="false" customHeight="false" outlineLevel="0" collapsed="false">
      <c r="A513" s="4" t="s">
        <v>94</v>
      </c>
      <c r="B513" s="5" t="s">
        <v>101</v>
      </c>
      <c r="C513" s="5" t="s">
        <v>102</v>
      </c>
      <c r="D513" s="4" t="s">
        <v>22</v>
      </c>
      <c r="E513" s="4" t="s">
        <v>1068</v>
      </c>
      <c r="F513" s="4" t="s">
        <v>470</v>
      </c>
      <c r="G513" s="4" t="s">
        <v>1069</v>
      </c>
      <c r="H513" s="12" t="n">
        <v>1</v>
      </c>
      <c r="I513" s="4" t="s">
        <v>474</v>
      </c>
      <c r="J513" s="4" t="s">
        <v>409</v>
      </c>
      <c r="K513" s="13" t="n">
        <v>18000</v>
      </c>
      <c r="L513" s="6" t="n">
        <f aca="false">H513*K513</f>
        <v>18000</v>
      </c>
      <c r="M513" s="4" t="s">
        <v>371</v>
      </c>
    </row>
    <row r="514" customFormat="false" ht="15" hidden="false" customHeight="false" outlineLevel="0" collapsed="false">
      <c r="A514" s="4" t="s">
        <v>94</v>
      </c>
      <c r="B514" s="5" t="s">
        <v>101</v>
      </c>
      <c r="C514" s="5" t="s">
        <v>102</v>
      </c>
      <c r="D514" s="4" t="s">
        <v>22</v>
      </c>
      <c r="E514" s="4" t="s">
        <v>1070</v>
      </c>
      <c r="F514" s="4" t="s">
        <v>470</v>
      </c>
      <c r="G514" s="4" t="s">
        <v>1071</v>
      </c>
      <c r="H514" s="12" t="n">
        <v>1</v>
      </c>
      <c r="I514" s="4" t="s">
        <v>474</v>
      </c>
      <c r="J514" s="4" t="s">
        <v>409</v>
      </c>
      <c r="K514" s="13" t="n">
        <v>18000</v>
      </c>
      <c r="L514" s="6" t="n">
        <f aca="false">H514*K514</f>
        <v>18000</v>
      </c>
      <c r="M514" s="4" t="s">
        <v>371</v>
      </c>
    </row>
    <row r="515" customFormat="false" ht="15" hidden="false" customHeight="false" outlineLevel="0" collapsed="false">
      <c r="A515" s="4" t="s">
        <v>94</v>
      </c>
      <c r="B515" s="5" t="s">
        <v>101</v>
      </c>
      <c r="C515" s="5" t="s">
        <v>102</v>
      </c>
      <c r="D515" s="4" t="s">
        <v>22</v>
      </c>
      <c r="E515" s="4" t="s">
        <v>1072</v>
      </c>
      <c r="F515" s="4" t="s">
        <v>470</v>
      </c>
      <c r="G515" s="4" t="s">
        <v>1073</v>
      </c>
      <c r="H515" s="12" t="n">
        <v>8</v>
      </c>
      <c r="I515" s="4" t="s">
        <v>474</v>
      </c>
      <c r="J515" s="4" t="s">
        <v>475</v>
      </c>
      <c r="K515" s="13" t="n">
        <v>450</v>
      </c>
      <c r="L515" s="6" t="n">
        <f aca="false">H515*K515</f>
        <v>3600</v>
      </c>
      <c r="M515" s="4" t="s">
        <v>371</v>
      </c>
    </row>
    <row r="516" customFormat="false" ht="15" hidden="false" customHeight="false" outlineLevel="0" collapsed="false">
      <c r="A516" s="4" t="s">
        <v>94</v>
      </c>
      <c r="B516" s="5" t="s">
        <v>101</v>
      </c>
      <c r="C516" s="5" t="s">
        <v>102</v>
      </c>
      <c r="D516" s="4" t="s">
        <v>22</v>
      </c>
      <c r="E516" s="4" t="s">
        <v>1074</v>
      </c>
      <c r="F516" s="4" t="s">
        <v>470</v>
      </c>
      <c r="G516" s="4" t="s">
        <v>1075</v>
      </c>
      <c r="H516" s="12" t="n">
        <v>8</v>
      </c>
      <c r="I516" s="4" t="s">
        <v>474</v>
      </c>
      <c r="J516" s="4" t="s">
        <v>409</v>
      </c>
      <c r="K516" s="13" t="n">
        <v>850</v>
      </c>
      <c r="L516" s="6" t="n">
        <f aca="false">H516*K516</f>
        <v>6800</v>
      </c>
      <c r="M516" s="4" t="s">
        <v>371</v>
      </c>
    </row>
    <row r="517" customFormat="false" ht="15" hidden="false" customHeight="false" outlineLevel="0" collapsed="false">
      <c r="A517" s="4" t="s">
        <v>94</v>
      </c>
      <c r="B517" s="5" t="s">
        <v>101</v>
      </c>
      <c r="C517" s="5" t="s">
        <v>102</v>
      </c>
      <c r="D517" s="4" t="s">
        <v>22</v>
      </c>
      <c r="E517" s="4" t="s">
        <v>1076</v>
      </c>
      <c r="F517" s="4" t="s">
        <v>470</v>
      </c>
      <c r="G517" s="4" t="s">
        <v>1077</v>
      </c>
      <c r="H517" s="12" t="n">
        <v>4</v>
      </c>
      <c r="I517" s="4" t="s">
        <v>474</v>
      </c>
      <c r="J517" s="4" t="s">
        <v>409</v>
      </c>
      <c r="K517" s="13" t="n">
        <v>8500</v>
      </c>
      <c r="L517" s="6" t="n">
        <f aca="false">H517*K517</f>
        <v>34000</v>
      </c>
      <c r="M517" s="4" t="s">
        <v>371</v>
      </c>
    </row>
    <row r="518" customFormat="false" ht="15" hidden="false" customHeight="false" outlineLevel="0" collapsed="false">
      <c r="A518" s="4" t="s">
        <v>94</v>
      </c>
      <c r="B518" s="5" t="s">
        <v>101</v>
      </c>
      <c r="C518" s="5" t="s">
        <v>102</v>
      </c>
      <c r="D518" s="4" t="s">
        <v>22</v>
      </c>
      <c r="E518" s="4" t="s">
        <v>1078</v>
      </c>
      <c r="F518" s="4" t="s">
        <v>470</v>
      </c>
      <c r="G518" s="4" t="s">
        <v>1079</v>
      </c>
      <c r="H518" s="12" t="n">
        <v>5</v>
      </c>
      <c r="I518" s="4" t="s">
        <v>474</v>
      </c>
      <c r="J518" s="4" t="s">
        <v>1080</v>
      </c>
      <c r="K518" s="13" t="n">
        <v>4500</v>
      </c>
      <c r="L518" s="6" t="n">
        <f aca="false">H518*K518</f>
        <v>22500</v>
      </c>
      <c r="M518" s="4" t="s">
        <v>371</v>
      </c>
    </row>
    <row r="519" customFormat="false" ht="15" hidden="false" customHeight="false" outlineLevel="0" collapsed="false">
      <c r="A519" s="4" t="s">
        <v>94</v>
      </c>
      <c r="B519" s="5" t="s">
        <v>101</v>
      </c>
      <c r="C519" s="5" t="s">
        <v>102</v>
      </c>
      <c r="D519" s="4" t="s">
        <v>22</v>
      </c>
      <c r="E519" s="4" t="s">
        <v>1081</v>
      </c>
      <c r="F519" s="4" t="s">
        <v>470</v>
      </c>
      <c r="G519" s="4" t="s">
        <v>1082</v>
      </c>
      <c r="H519" s="12" t="n">
        <v>10</v>
      </c>
      <c r="I519" s="4" t="s">
        <v>474</v>
      </c>
      <c r="J519" s="4" t="s">
        <v>409</v>
      </c>
      <c r="K519" s="13" t="n">
        <v>120</v>
      </c>
      <c r="L519" s="6" t="n">
        <f aca="false">H519*K519</f>
        <v>1200</v>
      </c>
      <c r="M519" s="4" t="s">
        <v>371</v>
      </c>
    </row>
    <row r="520" customFormat="false" ht="15" hidden="false" customHeight="false" outlineLevel="0" collapsed="false">
      <c r="A520" s="4" t="s">
        <v>94</v>
      </c>
      <c r="B520" s="5" t="s">
        <v>101</v>
      </c>
      <c r="C520" s="5" t="s">
        <v>102</v>
      </c>
      <c r="D520" s="4" t="s">
        <v>22</v>
      </c>
      <c r="E520" s="4" t="s">
        <v>1083</v>
      </c>
      <c r="F520" s="4" t="s">
        <v>470</v>
      </c>
      <c r="G520" s="4" t="s">
        <v>1084</v>
      </c>
      <c r="H520" s="12" t="n">
        <v>6</v>
      </c>
      <c r="I520" s="4" t="s">
        <v>474</v>
      </c>
      <c r="J520" s="4" t="s">
        <v>416</v>
      </c>
      <c r="K520" s="13" t="n">
        <v>1800</v>
      </c>
      <c r="L520" s="6" t="n">
        <f aca="false">H520*K520</f>
        <v>10800</v>
      </c>
      <c r="M520" s="4" t="s">
        <v>371</v>
      </c>
    </row>
    <row r="521" customFormat="false" ht="15" hidden="false" customHeight="false" outlineLevel="0" collapsed="false">
      <c r="A521" s="4" t="s">
        <v>94</v>
      </c>
      <c r="B521" s="5" t="s">
        <v>101</v>
      </c>
      <c r="C521" s="5" t="s">
        <v>102</v>
      </c>
      <c r="D521" s="4" t="s">
        <v>22</v>
      </c>
      <c r="E521" s="4" t="s">
        <v>1085</v>
      </c>
      <c r="F521" s="4" t="s">
        <v>470</v>
      </c>
      <c r="G521" s="4" t="s">
        <v>1086</v>
      </c>
      <c r="H521" s="12" t="n">
        <v>20</v>
      </c>
      <c r="I521" s="4" t="s">
        <v>474</v>
      </c>
      <c r="J521" s="4" t="s">
        <v>409</v>
      </c>
      <c r="K521" s="13" t="n">
        <v>25</v>
      </c>
      <c r="L521" s="6" t="n">
        <f aca="false">H521*K521</f>
        <v>500</v>
      </c>
      <c r="M521" s="4" t="s">
        <v>371</v>
      </c>
    </row>
    <row r="522" customFormat="false" ht="15" hidden="false" customHeight="false" outlineLevel="0" collapsed="false">
      <c r="A522" s="4" t="s">
        <v>94</v>
      </c>
      <c r="B522" s="5" t="s">
        <v>101</v>
      </c>
      <c r="C522" s="5" t="s">
        <v>102</v>
      </c>
      <c r="D522" s="4" t="s">
        <v>22</v>
      </c>
      <c r="E522" s="4" t="s">
        <v>1087</v>
      </c>
      <c r="F522" s="4" t="s">
        <v>470</v>
      </c>
      <c r="G522" s="4" t="s">
        <v>1088</v>
      </c>
      <c r="H522" s="12" t="n">
        <v>6</v>
      </c>
      <c r="I522" s="4" t="s">
        <v>474</v>
      </c>
      <c r="J522" s="4" t="s">
        <v>475</v>
      </c>
      <c r="K522" s="13" t="n">
        <v>4500</v>
      </c>
      <c r="L522" s="6" t="n">
        <f aca="false">H522*K522</f>
        <v>27000</v>
      </c>
      <c r="M522" s="4" t="s">
        <v>371</v>
      </c>
    </row>
    <row r="523" customFormat="false" ht="15" hidden="false" customHeight="false" outlineLevel="0" collapsed="false">
      <c r="A523" s="4" t="s">
        <v>94</v>
      </c>
      <c r="B523" s="5" t="s">
        <v>101</v>
      </c>
      <c r="C523" s="5" t="s">
        <v>102</v>
      </c>
      <c r="D523" s="4" t="s">
        <v>22</v>
      </c>
      <c r="E523" s="4" t="s">
        <v>1089</v>
      </c>
      <c r="F523" s="4" t="s">
        <v>470</v>
      </c>
      <c r="G523" s="4" t="s">
        <v>1090</v>
      </c>
      <c r="H523" s="12" t="n">
        <v>1</v>
      </c>
      <c r="I523" s="4" t="s">
        <v>474</v>
      </c>
      <c r="J523" s="4" t="s">
        <v>409</v>
      </c>
      <c r="K523" s="13" t="n">
        <v>3500</v>
      </c>
      <c r="L523" s="6" t="n">
        <f aca="false">H523*K523</f>
        <v>3500</v>
      </c>
      <c r="M523" s="4" t="s">
        <v>371</v>
      </c>
    </row>
    <row r="524" customFormat="false" ht="15" hidden="false" customHeight="false" outlineLevel="0" collapsed="false">
      <c r="A524" s="4" t="s">
        <v>94</v>
      </c>
      <c r="B524" s="5" t="s">
        <v>101</v>
      </c>
      <c r="C524" s="5" t="s">
        <v>102</v>
      </c>
      <c r="D524" s="4" t="s">
        <v>22</v>
      </c>
      <c r="E524" s="4" t="s">
        <v>472</v>
      </c>
      <c r="F524" s="4" t="s">
        <v>470</v>
      </c>
      <c r="G524" s="4" t="s">
        <v>473</v>
      </c>
      <c r="H524" s="12" t="n">
        <v>1</v>
      </c>
      <c r="I524" s="4" t="s">
        <v>408</v>
      </c>
      <c r="J524" s="4" t="s">
        <v>475</v>
      </c>
      <c r="K524" s="13" t="n">
        <v>180</v>
      </c>
      <c r="L524" s="6" t="n">
        <f aca="false">H524*K524</f>
        <v>180</v>
      </c>
      <c r="M524" s="4" t="s">
        <v>371</v>
      </c>
    </row>
    <row r="525" customFormat="false" ht="15" hidden="false" customHeight="false" outlineLevel="0" collapsed="false">
      <c r="A525" s="4" t="s">
        <v>94</v>
      </c>
      <c r="B525" s="5" t="s">
        <v>101</v>
      </c>
      <c r="C525" s="5" t="s">
        <v>102</v>
      </c>
      <c r="D525" s="4" t="s">
        <v>22</v>
      </c>
      <c r="E525" s="4" t="s">
        <v>1091</v>
      </c>
      <c r="F525" s="4" t="s">
        <v>470</v>
      </c>
      <c r="G525" s="4" t="s">
        <v>1092</v>
      </c>
      <c r="H525" s="12" t="n">
        <v>1</v>
      </c>
      <c r="I525" s="4" t="s">
        <v>408</v>
      </c>
      <c r="J525" s="4" t="s">
        <v>475</v>
      </c>
      <c r="K525" s="13" t="n">
        <v>3500</v>
      </c>
      <c r="L525" s="6" t="n">
        <f aca="false">H525*K525</f>
        <v>3500</v>
      </c>
      <c r="M525" s="4" t="s">
        <v>371</v>
      </c>
    </row>
    <row r="526" customFormat="false" ht="15" hidden="false" customHeight="false" outlineLevel="0" collapsed="false">
      <c r="A526" s="4" t="s">
        <v>94</v>
      </c>
      <c r="B526" s="5" t="s">
        <v>101</v>
      </c>
      <c r="C526" s="5" t="s">
        <v>102</v>
      </c>
      <c r="D526" s="4" t="s">
        <v>22</v>
      </c>
      <c r="E526" s="4" t="s">
        <v>1093</v>
      </c>
      <c r="F526" s="4" t="s">
        <v>470</v>
      </c>
      <c r="G526" s="4" t="s">
        <v>1094</v>
      </c>
      <c r="H526" s="12" t="n">
        <v>1</v>
      </c>
      <c r="I526" s="4" t="s">
        <v>408</v>
      </c>
      <c r="J526" s="4" t="s">
        <v>475</v>
      </c>
      <c r="K526" s="13" t="n">
        <v>850</v>
      </c>
      <c r="L526" s="6" t="n">
        <f aca="false">H526*K526</f>
        <v>850</v>
      </c>
      <c r="M526" s="4" t="s">
        <v>371</v>
      </c>
    </row>
    <row r="527" customFormat="false" ht="15" hidden="false" customHeight="false" outlineLevel="0" collapsed="false">
      <c r="A527" s="4" t="s">
        <v>94</v>
      </c>
      <c r="B527" s="5" t="s">
        <v>101</v>
      </c>
      <c r="C527" s="5" t="s">
        <v>102</v>
      </c>
      <c r="D527" s="4" t="s">
        <v>22</v>
      </c>
      <c r="E527" s="4" t="s">
        <v>1095</v>
      </c>
      <c r="F527" s="4" t="s">
        <v>470</v>
      </c>
      <c r="G527" s="4" t="s">
        <v>1088</v>
      </c>
      <c r="H527" s="12" t="n">
        <v>1</v>
      </c>
      <c r="I527" s="4" t="s">
        <v>408</v>
      </c>
      <c r="J527" s="4" t="s">
        <v>475</v>
      </c>
      <c r="K527" s="13" t="n">
        <v>4500</v>
      </c>
      <c r="L527" s="6" t="n">
        <f aca="false">H527*K527</f>
        <v>4500</v>
      </c>
      <c r="M527" s="4" t="s">
        <v>371</v>
      </c>
    </row>
    <row r="528" customFormat="false" ht="15" hidden="false" customHeight="false" outlineLevel="0" collapsed="false">
      <c r="A528" s="4" t="s">
        <v>94</v>
      </c>
      <c r="B528" s="5" t="s">
        <v>101</v>
      </c>
      <c r="C528" s="5" t="s">
        <v>102</v>
      </c>
      <c r="D528" s="4" t="s">
        <v>22</v>
      </c>
      <c r="E528" s="4" t="s">
        <v>1096</v>
      </c>
      <c r="F528" s="4" t="s">
        <v>470</v>
      </c>
      <c r="G528" s="4" t="s">
        <v>1097</v>
      </c>
      <c r="H528" s="12" t="n">
        <v>1</v>
      </c>
      <c r="I528" s="4" t="s">
        <v>408</v>
      </c>
      <c r="J528" s="4" t="s">
        <v>475</v>
      </c>
      <c r="K528" s="13" t="n">
        <v>350</v>
      </c>
      <c r="L528" s="6" t="n">
        <f aca="false">H528*K528</f>
        <v>350</v>
      </c>
      <c r="M528" s="4" t="s">
        <v>371</v>
      </c>
    </row>
    <row r="529" customFormat="false" ht="15" hidden="false" customHeight="false" outlineLevel="0" collapsed="false">
      <c r="A529" s="4" t="s">
        <v>94</v>
      </c>
      <c r="B529" s="5" t="s">
        <v>101</v>
      </c>
      <c r="C529" s="5" t="s">
        <v>102</v>
      </c>
      <c r="D529" s="4" t="s">
        <v>22</v>
      </c>
      <c r="E529" s="4" t="s">
        <v>1098</v>
      </c>
      <c r="F529" s="4" t="s">
        <v>470</v>
      </c>
      <c r="G529" s="4" t="s">
        <v>1099</v>
      </c>
      <c r="H529" s="12" t="n">
        <v>1</v>
      </c>
      <c r="I529" s="4" t="s">
        <v>408</v>
      </c>
      <c r="J529" s="4" t="s">
        <v>475</v>
      </c>
      <c r="K529" s="13" t="n">
        <v>120</v>
      </c>
      <c r="L529" s="6" t="n">
        <f aca="false">H529*K529</f>
        <v>120</v>
      </c>
      <c r="M529" s="4" t="s">
        <v>371</v>
      </c>
    </row>
    <row r="530" customFormat="false" ht="15" hidden="false" customHeight="false" outlineLevel="0" collapsed="false">
      <c r="A530" s="4" t="s">
        <v>94</v>
      </c>
      <c r="B530" s="5" t="s">
        <v>101</v>
      </c>
      <c r="C530" s="5" t="s">
        <v>102</v>
      </c>
      <c r="D530" s="4" t="s">
        <v>22</v>
      </c>
      <c r="E530" s="4" t="s">
        <v>1100</v>
      </c>
      <c r="F530" s="4" t="s">
        <v>470</v>
      </c>
      <c r="G530" s="4" t="s">
        <v>1101</v>
      </c>
      <c r="H530" s="12" t="n">
        <v>1</v>
      </c>
      <c r="I530" s="4" t="s">
        <v>408</v>
      </c>
      <c r="J530" s="4" t="s">
        <v>409</v>
      </c>
      <c r="K530" s="13" t="n">
        <v>1800</v>
      </c>
      <c r="L530" s="6" t="n">
        <f aca="false">H530*K530</f>
        <v>1800</v>
      </c>
      <c r="M530" s="4" t="s">
        <v>371</v>
      </c>
    </row>
    <row r="531" customFormat="false" ht="15" hidden="false" customHeight="false" outlineLevel="0" collapsed="false">
      <c r="A531" s="4" t="s">
        <v>94</v>
      </c>
      <c r="B531" s="5" t="s">
        <v>101</v>
      </c>
      <c r="C531" s="5" t="s">
        <v>102</v>
      </c>
      <c r="D531" s="4" t="s">
        <v>22</v>
      </c>
      <c r="E531" s="4" t="s">
        <v>1102</v>
      </c>
      <c r="F531" s="4" t="s">
        <v>470</v>
      </c>
      <c r="G531" s="4" t="s">
        <v>1103</v>
      </c>
      <c r="H531" s="12" t="n">
        <v>1</v>
      </c>
      <c r="I531" s="4" t="s">
        <v>408</v>
      </c>
      <c r="J531" s="4" t="s">
        <v>409</v>
      </c>
      <c r="K531" s="13" t="n">
        <v>8500</v>
      </c>
      <c r="L531" s="6" t="n">
        <f aca="false">H531*K531</f>
        <v>8500</v>
      </c>
      <c r="M531" s="4" t="s">
        <v>371</v>
      </c>
    </row>
    <row r="532" customFormat="false" ht="15" hidden="false" customHeight="false" outlineLevel="0" collapsed="false">
      <c r="A532" s="4" t="s">
        <v>94</v>
      </c>
      <c r="B532" s="5" t="s">
        <v>101</v>
      </c>
      <c r="C532" s="5" t="s">
        <v>102</v>
      </c>
      <c r="D532" s="4" t="s">
        <v>22</v>
      </c>
      <c r="E532" s="4" t="s">
        <v>1104</v>
      </c>
      <c r="F532" s="4" t="s">
        <v>470</v>
      </c>
      <c r="G532" s="4" t="s">
        <v>1105</v>
      </c>
      <c r="H532" s="12" t="n">
        <v>1</v>
      </c>
      <c r="I532" s="4" t="s">
        <v>408</v>
      </c>
      <c r="J532" s="4" t="s">
        <v>409</v>
      </c>
      <c r="K532" s="13" t="n">
        <v>3500</v>
      </c>
      <c r="L532" s="6" t="n">
        <f aca="false">H532*K532</f>
        <v>3500</v>
      </c>
      <c r="M532" s="4" t="s">
        <v>371</v>
      </c>
    </row>
    <row r="533" customFormat="false" ht="15" hidden="false" customHeight="false" outlineLevel="0" collapsed="false">
      <c r="A533" s="4" t="s">
        <v>94</v>
      </c>
      <c r="B533" s="5" t="s">
        <v>101</v>
      </c>
      <c r="C533" s="5" t="s">
        <v>102</v>
      </c>
      <c r="D533" s="4" t="s">
        <v>22</v>
      </c>
      <c r="E533" s="4" t="s">
        <v>1106</v>
      </c>
      <c r="F533" s="4" t="s">
        <v>470</v>
      </c>
      <c r="G533" s="4" t="s">
        <v>1107</v>
      </c>
      <c r="H533" s="12" t="n">
        <v>1</v>
      </c>
      <c r="I533" s="4" t="s">
        <v>408</v>
      </c>
      <c r="J533" s="4" t="s">
        <v>413</v>
      </c>
      <c r="K533" s="13" t="n">
        <v>450</v>
      </c>
      <c r="L533" s="6" t="n">
        <f aca="false">H533*K533</f>
        <v>450</v>
      </c>
      <c r="M533" s="4" t="s">
        <v>371</v>
      </c>
    </row>
    <row r="534" customFormat="false" ht="15" hidden="false" customHeight="false" outlineLevel="0" collapsed="false">
      <c r="A534" s="4" t="s">
        <v>94</v>
      </c>
      <c r="B534" s="5" t="s">
        <v>101</v>
      </c>
      <c r="C534" s="5" t="s">
        <v>102</v>
      </c>
      <c r="D534" s="4" t="s">
        <v>22</v>
      </c>
      <c r="E534" s="4" t="s">
        <v>1108</v>
      </c>
      <c r="F534" s="4" t="s">
        <v>470</v>
      </c>
      <c r="G534" s="4" t="s">
        <v>1109</v>
      </c>
      <c r="H534" s="12" t="n">
        <v>1</v>
      </c>
      <c r="I534" s="4" t="s">
        <v>474</v>
      </c>
      <c r="J534" s="4" t="s">
        <v>409</v>
      </c>
      <c r="K534" s="13" t="n">
        <v>350000</v>
      </c>
      <c r="L534" s="6" t="n">
        <f aca="false">H534*K534</f>
        <v>350000</v>
      </c>
      <c r="M534" s="4" t="s">
        <v>371</v>
      </c>
    </row>
    <row r="535" customFormat="false" ht="15" hidden="false" customHeight="false" outlineLevel="0" collapsed="false">
      <c r="A535" s="4" t="s">
        <v>94</v>
      </c>
      <c r="B535" s="5" t="s">
        <v>101</v>
      </c>
      <c r="C535" s="5" t="s">
        <v>102</v>
      </c>
      <c r="D535" s="4" t="s">
        <v>22</v>
      </c>
      <c r="E535" s="4" t="s">
        <v>1110</v>
      </c>
      <c r="F535" s="4" t="s">
        <v>470</v>
      </c>
      <c r="G535" s="4" t="s">
        <v>1111</v>
      </c>
      <c r="H535" s="12" t="n">
        <v>1</v>
      </c>
      <c r="I535" s="4" t="s">
        <v>474</v>
      </c>
      <c r="J535" s="4" t="s">
        <v>409</v>
      </c>
      <c r="K535" s="13" t="n">
        <v>2500</v>
      </c>
      <c r="L535" s="6" t="n">
        <f aca="false">H535*K535</f>
        <v>2500</v>
      </c>
      <c r="M535" s="4" t="s">
        <v>371</v>
      </c>
    </row>
    <row r="536" customFormat="false" ht="15" hidden="false" customHeight="false" outlineLevel="0" collapsed="false">
      <c r="A536" s="4" t="s">
        <v>94</v>
      </c>
      <c r="B536" s="5" t="s">
        <v>101</v>
      </c>
      <c r="C536" s="5" t="s">
        <v>102</v>
      </c>
      <c r="D536" s="4" t="s">
        <v>22</v>
      </c>
      <c r="E536" s="4" t="s">
        <v>1112</v>
      </c>
      <c r="F536" s="4" t="s">
        <v>470</v>
      </c>
      <c r="G536" s="4" t="s">
        <v>1113</v>
      </c>
      <c r="H536" s="12" t="n">
        <v>1</v>
      </c>
      <c r="I536" s="4" t="s">
        <v>474</v>
      </c>
      <c r="J536" s="4" t="s">
        <v>409</v>
      </c>
      <c r="K536" s="13" t="n">
        <v>450</v>
      </c>
      <c r="L536" s="6" t="n">
        <f aca="false">H536*K536</f>
        <v>450</v>
      </c>
      <c r="M536" s="4" t="s">
        <v>371</v>
      </c>
    </row>
    <row r="537" customFormat="false" ht="15" hidden="false" customHeight="false" outlineLevel="0" collapsed="false">
      <c r="A537" s="4" t="s">
        <v>94</v>
      </c>
      <c r="B537" s="5" t="s">
        <v>101</v>
      </c>
      <c r="C537" s="5" t="s">
        <v>102</v>
      </c>
      <c r="D537" s="4" t="s">
        <v>22</v>
      </c>
      <c r="E537" s="4" t="s">
        <v>1114</v>
      </c>
      <c r="F537" s="4" t="s">
        <v>470</v>
      </c>
      <c r="G537" s="4" t="s">
        <v>1115</v>
      </c>
      <c r="H537" s="12" t="n">
        <v>1</v>
      </c>
      <c r="I537" s="4" t="s">
        <v>474</v>
      </c>
      <c r="J537" s="4" t="s">
        <v>409</v>
      </c>
      <c r="K537" s="13" t="n">
        <v>450</v>
      </c>
      <c r="L537" s="6" t="n">
        <f aca="false">H537*K537</f>
        <v>450</v>
      </c>
      <c r="M537" s="4" t="s">
        <v>371</v>
      </c>
    </row>
    <row r="538" customFormat="false" ht="15" hidden="false" customHeight="false" outlineLevel="0" collapsed="false">
      <c r="A538" s="4" t="s">
        <v>94</v>
      </c>
      <c r="B538" s="5" t="s">
        <v>101</v>
      </c>
      <c r="C538" s="5" t="s">
        <v>102</v>
      </c>
      <c r="D538" s="4" t="s">
        <v>22</v>
      </c>
      <c r="E538" s="4" t="s">
        <v>1116</v>
      </c>
      <c r="F538" s="4" t="s">
        <v>470</v>
      </c>
      <c r="G538" s="4" t="s">
        <v>1117</v>
      </c>
      <c r="H538" s="12" t="n">
        <v>1</v>
      </c>
      <c r="I538" s="4" t="s">
        <v>474</v>
      </c>
      <c r="J538" s="4" t="s">
        <v>409</v>
      </c>
      <c r="K538" s="13" t="n">
        <v>3500</v>
      </c>
      <c r="L538" s="6" t="n">
        <f aca="false">H538*K538</f>
        <v>3500</v>
      </c>
      <c r="M538" s="4" t="s">
        <v>371</v>
      </c>
    </row>
    <row r="539" customFormat="false" ht="15" hidden="false" customHeight="false" outlineLevel="0" collapsed="false">
      <c r="A539" s="4" t="s">
        <v>94</v>
      </c>
      <c r="B539" s="5" t="s">
        <v>101</v>
      </c>
      <c r="C539" s="5" t="s">
        <v>102</v>
      </c>
      <c r="D539" s="4" t="s">
        <v>22</v>
      </c>
      <c r="E539" s="4" t="s">
        <v>1118</v>
      </c>
      <c r="F539" s="4" t="s">
        <v>470</v>
      </c>
      <c r="G539" s="4" t="s">
        <v>1119</v>
      </c>
      <c r="H539" s="12" t="n">
        <v>1</v>
      </c>
      <c r="I539" s="4" t="s">
        <v>474</v>
      </c>
      <c r="J539" s="4" t="s">
        <v>409</v>
      </c>
      <c r="K539" s="13" t="n">
        <v>250000</v>
      </c>
      <c r="L539" s="6" t="n">
        <f aca="false">H539*K539</f>
        <v>250000</v>
      </c>
      <c r="M539" s="4" t="s">
        <v>371</v>
      </c>
    </row>
    <row r="540" customFormat="false" ht="15" hidden="false" customHeight="false" outlineLevel="0" collapsed="false">
      <c r="A540" s="4" t="s">
        <v>94</v>
      </c>
      <c r="B540" s="5" t="s">
        <v>101</v>
      </c>
      <c r="C540" s="5" t="s">
        <v>102</v>
      </c>
      <c r="D540" s="4" t="s">
        <v>22</v>
      </c>
      <c r="E540" s="4" t="s">
        <v>1120</v>
      </c>
      <c r="F540" s="4" t="s">
        <v>470</v>
      </c>
      <c r="G540" s="4" t="s">
        <v>1121</v>
      </c>
      <c r="H540" s="12" t="n">
        <v>1</v>
      </c>
      <c r="I540" s="4" t="s">
        <v>474</v>
      </c>
      <c r="J540" s="4" t="s">
        <v>543</v>
      </c>
      <c r="K540" s="13" t="n">
        <v>450000</v>
      </c>
      <c r="L540" s="6" t="n">
        <f aca="false">H540*K540</f>
        <v>450000</v>
      </c>
      <c r="M540" s="4" t="s">
        <v>371</v>
      </c>
    </row>
    <row r="541" customFormat="false" ht="15" hidden="false" customHeight="false" outlineLevel="0" collapsed="false">
      <c r="A541" s="4" t="s">
        <v>94</v>
      </c>
      <c r="B541" s="5" t="s">
        <v>101</v>
      </c>
      <c r="C541" s="5" t="s">
        <v>102</v>
      </c>
      <c r="D541" s="4" t="s">
        <v>22</v>
      </c>
      <c r="E541" s="4" t="s">
        <v>1122</v>
      </c>
      <c r="F541" s="4" t="s">
        <v>470</v>
      </c>
      <c r="G541" s="4" t="s">
        <v>1123</v>
      </c>
      <c r="H541" s="12" t="n">
        <v>1</v>
      </c>
      <c r="I541" s="4" t="s">
        <v>408</v>
      </c>
      <c r="J541" s="4" t="s">
        <v>409</v>
      </c>
      <c r="K541" s="13" t="n">
        <v>450</v>
      </c>
      <c r="L541" s="6" t="n">
        <f aca="false">H541*K541</f>
        <v>450</v>
      </c>
      <c r="M541" s="4" t="s">
        <v>371</v>
      </c>
    </row>
    <row r="542" customFormat="false" ht="15" hidden="false" customHeight="false" outlineLevel="0" collapsed="false">
      <c r="A542" s="4" t="s">
        <v>94</v>
      </c>
      <c r="B542" s="5" t="s">
        <v>101</v>
      </c>
      <c r="C542" s="5" t="s">
        <v>102</v>
      </c>
      <c r="D542" s="4" t="s">
        <v>22</v>
      </c>
      <c r="E542" s="4" t="s">
        <v>1124</v>
      </c>
      <c r="F542" s="4" t="s">
        <v>470</v>
      </c>
      <c r="G542" s="4" t="s">
        <v>1125</v>
      </c>
      <c r="H542" s="12" t="n">
        <v>1</v>
      </c>
      <c r="I542" s="4" t="s">
        <v>408</v>
      </c>
      <c r="J542" s="4" t="s">
        <v>416</v>
      </c>
      <c r="K542" s="13" t="n">
        <v>450</v>
      </c>
      <c r="L542" s="6" t="n">
        <f aca="false">H542*K542</f>
        <v>450</v>
      </c>
      <c r="M542" s="4" t="s">
        <v>371</v>
      </c>
    </row>
    <row r="543" customFormat="false" ht="15" hidden="false" customHeight="false" outlineLevel="0" collapsed="false">
      <c r="A543" s="4" t="s">
        <v>94</v>
      </c>
      <c r="B543" s="5" t="s">
        <v>101</v>
      </c>
      <c r="C543" s="5" t="s">
        <v>102</v>
      </c>
      <c r="D543" s="4" t="s">
        <v>22</v>
      </c>
      <c r="E543" s="4" t="s">
        <v>1126</v>
      </c>
      <c r="F543" s="4" t="s">
        <v>470</v>
      </c>
      <c r="G543" s="4" t="s">
        <v>1127</v>
      </c>
      <c r="H543" s="12" t="n">
        <v>1</v>
      </c>
      <c r="I543" s="4" t="s">
        <v>408</v>
      </c>
      <c r="J543" s="4" t="s">
        <v>409</v>
      </c>
      <c r="K543" s="13" t="n">
        <v>3500</v>
      </c>
      <c r="L543" s="6" t="n">
        <f aca="false">H543*K543</f>
        <v>3500</v>
      </c>
      <c r="M543" s="4" t="s">
        <v>371</v>
      </c>
    </row>
    <row r="544" customFormat="false" ht="15" hidden="false" customHeight="false" outlineLevel="0" collapsed="false">
      <c r="A544" s="4" t="s">
        <v>94</v>
      </c>
      <c r="B544" s="5" t="s">
        <v>101</v>
      </c>
      <c r="C544" s="5" t="s">
        <v>102</v>
      </c>
      <c r="D544" s="4" t="s">
        <v>22</v>
      </c>
      <c r="E544" s="4" t="s">
        <v>1128</v>
      </c>
      <c r="F544" s="4" t="s">
        <v>470</v>
      </c>
      <c r="G544" s="4" t="s">
        <v>1129</v>
      </c>
      <c r="H544" s="12" t="n">
        <v>1</v>
      </c>
      <c r="I544" s="4" t="s">
        <v>408</v>
      </c>
      <c r="J544" s="4" t="s">
        <v>475</v>
      </c>
      <c r="K544" s="13" t="n">
        <v>1200</v>
      </c>
      <c r="L544" s="6" t="n">
        <f aca="false">H544*K544</f>
        <v>1200</v>
      </c>
      <c r="M544" s="4" t="s">
        <v>371</v>
      </c>
    </row>
    <row r="545" customFormat="false" ht="15" hidden="false" customHeight="false" outlineLevel="0" collapsed="false">
      <c r="A545" s="4" t="s">
        <v>94</v>
      </c>
      <c r="B545" s="5" t="s">
        <v>101</v>
      </c>
      <c r="C545" s="5" t="s">
        <v>102</v>
      </c>
      <c r="D545" s="4" t="s">
        <v>22</v>
      </c>
      <c r="E545" s="4" t="s">
        <v>1130</v>
      </c>
      <c r="F545" s="4" t="s">
        <v>470</v>
      </c>
      <c r="G545" s="4" t="s">
        <v>1131</v>
      </c>
      <c r="H545" s="12" t="n">
        <v>1</v>
      </c>
      <c r="I545" s="4" t="s">
        <v>408</v>
      </c>
      <c r="J545" s="4" t="s">
        <v>475</v>
      </c>
      <c r="K545" s="13" t="n">
        <v>1800</v>
      </c>
      <c r="L545" s="6" t="n">
        <f aca="false">H545*K545</f>
        <v>1800</v>
      </c>
      <c r="M545" s="4" t="s">
        <v>371</v>
      </c>
    </row>
    <row r="546" customFormat="false" ht="15" hidden="false" customHeight="false" outlineLevel="0" collapsed="false">
      <c r="A546" s="4" t="s">
        <v>94</v>
      </c>
      <c r="B546" s="5" t="s">
        <v>101</v>
      </c>
      <c r="C546" s="5" t="s">
        <v>102</v>
      </c>
      <c r="D546" s="4" t="s">
        <v>22</v>
      </c>
      <c r="E546" s="4" t="s">
        <v>1132</v>
      </c>
      <c r="F546" s="4" t="s">
        <v>470</v>
      </c>
      <c r="G546" s="4" t="s">
        <v>1133</v>
      </c>
      <c r="H546" s="12" t="n">
        <v>1</v>
      </c>
      <c r="I546" s="4" t="s">
        <v>408</v>
      </c>
      <c r="J546" s="4" t="s">
        <v>409</v>
      </c>
      <c r="K546" s="13" t="n">
        <v>450</v>
      </c>
      <c r="L546" s="6" t="n">
        <f aca="false">H546*K546</f>
        <v>450</v>
      </c>
      <c r="M546" s="4" t="s">
        <v>371</v>
      </c>
    </row>
    <row r="547" customFormat="false" ht="15" hidden="false" customHeight="false" outlineLevel="0" collapsed="false">
      <c r="A547" s="4" t="s">
        <v>94</v>
      </c>
      <c r="B547" s="5" t="s">
        <v>101</v>
      </c>
      <c r="C547" s="5" t="s">
        <v>102</v>
      </c>
      <c r="D547" s="4" t="s">
        <v>22</v>
      </c>
      <c r="E547" s="4" t="s">
        <v>1134</v>
      </c>
      <c r="F547" s="4" t="s">
        <v>470</v>
      </c>
      <c r="G547" s="4" t="s">
        <v>1135</v>
      </c>
      <c r="H547" s="12" t="n">
        <v>1</v>
      </c>
      <c r="I547" s="4" t="s">
        <v>408</v>
      </c>
      <c r="J547" s="4" t="s">
        <v>409</v>
      </c>
      <c r="K547" s="13" t="n">
        <v>4500</v>
      </c>
      <c r="L547" s="6" t="n">
        <f aca="false">H547*K547</f>
        <v>4500</v>
      </c>
      <c r="M547" s="4" t="s">
        <v>371</v>
      </c>
    </row>
    <row r="548" customFormat="false" ht="15" hidden="false" customHeight="false" outlineLevel="0" collapsed="false">
      <c r="A548" s="4" t="s">
        <v>94</v>
      </c>
      <c r="B548" s="5" t="s">
        <v>101</v>
      </c>
      <c r="C548" s="5" t="s">
        <v>102</v>
      </c>
      <c r="D548" s="4" t="s">
        <v>22</v>
      </c>
      <c r="E548" s="4" t="s">
        <v>1136</v>
      </c>
      <c r="F548" s="4" t="s">
        <v>470</v>
      </c>
      <c r="G548" s="4" t="s">
        <v>1137</v>
      </c>
      <c r="H548" s="12" t="n">
        <v>1</v>
      </c>
      <c r="I548" s="4" t="s">
        <v>408</v>
      </c>
      <c r="J548" s="4" t="s">
        <v>416</v>
      </c>
      <c r="K548" s="13" t="n">
        <v>850</v>
      </c>
      <c r="L548" s="6" t="n">
        <f aca="false">H548*K548</f>
        <v>850</v>
      </c>
      <c r="M548" s="4" t="s">
        <v>371</v>
      </c>
    </row>
    <row r="549" customFormat="false" ht="15" hidden="false" customHeight="false" outlineLevel="0" collapsed="false">
      <c r="A549" s="4" t="s">
        <v>94</v>
      </c>
      <c r="B549" s="5" t="s">
        <v>101</v>
      </c>
      <c r="C549" s="5" t="s">
        <v>102</v>
      </c>
      <c r="D549" s="4" t="s">
        <v>22</v>
      </c>
      <c r="E549" s="4" t="s">
        <v>1138</v>
      </c>
      <c r="F549" s="4" t="s">
        <v>470</v>
      </c>
      <c r="G549" s="4" t="s">
        <v>1139</v>
      </c>
      <c r="H549" s="12" t="n">
        <v>1</v>
      </c>
      <c r="I549" s="4" t="s">
        <v>408</v>
      </c>
      <c r="J549" s="4" t="s">
        <v>416</v>
      </c>
      <c r="K549" s="13" t="n">
        <v>2500</v>
      </c>
      <c r="L549" s="6" t="n">
        <f aca="false">H549*K549</f>
        <v>2500</v>
      </c>
      <c r="M549" s="4" t="s">
        <v>371</v>
      </c>
    </row>
    <row r="550" customFormat="false" ht="15" hidden="false" customHeight="false" outlineLevel="0" collapsed="false">
      <c r="A550" s="4" t="s">
        <v>94</v>
      </c>
      <c r="B550" s="5" t="s">
        <v>101</v>
      </c>
      <c r="C550" s="5" t="s">
        <v>102</v>
      </c>
      <c r="D550" s="4" t="s">
        <v>22</v>
      </c>
      <c r="E550" s="4" t="s">
        <v>1140</v>
      </c>
      <c r="F550" s="4" t="s">
        <v>470</v>
      </c>
      <c r="G550" s="4" t="s">
        <v>1141</v>
      </c>
      <c r="H550" s="12" t="n">
        <v>1</v>
      </c>
      <c r="I550" s="4" t="s">
        <v>408</v>
      </c>
      <c r="J550" s="4" t="s">
        <v>409</v>
      </c>
      <c r="K550" s="13" t="n">
        <v>350</v>
      </c>
      <c r="L550" s="6" t="n">
        <f aca="false">H550*K550</f>
        <v>350</v>
      </c>
      <c r="M550" s="4" t="s">
        <v>371</v>
      </c>
    </row>
    <row r="551" customFormat="false" ht="15" hidden="false" customHeight="false" outlineLevel="0" collapsed="false">
      <c r="A551" s="4" t="s">
        <v>94</v>
      </c>
      <c r="B551" s="5" t="s">
        <v>101</v>
      </c>
      <c r="C551" s="5" t="s">
        <v>102</v>
      </c>
      <c r="D551" s="4" t="s">
        <v>22</v>
      </c>
      <c r="E551" s="4" t="s">
        <v>1142</v>
      </c>
      <c r="F551" s="4" t="s">
        <v>470</v>
      </c>
      <c r="G551" s="4" t="s">
        <v>1143</v>
      </c>
      <c r="H551" s="12" t="n">
        <v>1</v>
      </c>
      <c r="I551" s="4" t="s">
        <v>408</v>
      </c>
      <c r="J551" s="4" t="s">
        <v>416</v>
      </c>
      <c r="K551" s="13" t="n">
        <v>850</v>
      </c>
      <c r="L551" s="6" t="n">
        <f aca="false">H551*K551</f>
        <v>850</v>
      </c>
      <c r="M551" s="4" t="s">
        <v>371</v>
      </c>
    </row>
    <row r="552" customFormat="false" ht="15" hidden="false" customHeight="false" outlineLevel="0" collapsed="false">
      <c r="A552" s="4" t="s">
        <v>94</v>
      </c>
      <c r="B552" s="5" t="s">
        <v>101</v>
      </c>
      <c r="C552" s="5" t="s">
        <v>102</v>
      </c>
      <c r="D552" s="4" t="s">
        <v>22</v>
      </c>
      <c r="E552" s="4" t="s">
        <v>1144</v>
      </c>
      <c r="F552" s="4" t="s">
        <v>470</v>
      </c>
      <c r="G552" s="4" t="s">
        <v>1145</v>
      </c>
      <c r="H552" s="12" t="n">
        <v>1</v>
      </c>
      <c r="I552" s="4" t="s">
        <v>408</v>
      </c>
      <c r="J552" s="4" t="s">
        <v>416</v>
      </c>
      <c r="K552" s="13" t="n">
        <v>3500</v>
      </c>
      <c r="L552" s="6" t="n">
        <f aca="false">H552*K552</f>
        <v>3500</v>
      </c>
      <c r="M552" s="4" t="s">
        <v>371</v>
      </c>
    </row>
    <row r="553" customFormat="false" ht="15" hidden="false" customHeight="false" outlineLevel="0" collapsed="false">
      <c r="A553" s="4" t="s">
        <v>94</v>
      </c>
      <c r="B553" s="5" t="s">
        <v>101</v>
      </c>
      <c r="C553" s="5" t="s">
        <v>102</v>
      </c>
      <c r="D553" s="4" t="s">
        <v>22</v>
      </c>
      <c r="E553" s="4" t="s">
        <v>1146</v>
      </c>
      <c r="F553" s="4" t="s">
        <v>470</v>
      </c>
      <c r="G553" s="4" t="s">
        <v>1147</v>
      </c>
      <c r="H553" s="12" t="n">
        <v>1</v>
      </c>
      <c r="I553" s="4" t="s">
        <v>408</v>
      </c>
      <c r="J553" s="4" t="s">
        <v>416</v>
      </c>
      <c r="K553" s="13" t="n">
        <v>2500</v>
      </c>
      <c r="L553" s="6" t="n">
        <f aca="false">H553*K553</f>
        <v>2500</v>
      </c>
      <c r="M553" s="4" t="s">
        <v>371</v>
      </c>
    </row>
    <row r="554" customFormat="false" ht="15" hidden="false" customHeight="false" outlineLevel="0" collapsed="false">
      <c r="A554" s="4" t="s">
        <v>94</v>
      </c>
      <c r="B554" s="5" t="s">
        <v>101</v>
      </c>
      <c r="C554" s="5" t="s">
        <v>102</v>
      </c>
      <c r="D554" s="4" t="s">
        <v>22</v>
      </c>
      <c r="E554" s="4" t="s">
        <v>1148</v>
      </c>
      <c r="F554" s="4" t="s">
        <v>470</v>
      </c>
      <c r="G554" s="4" t="s">
        <v>1149</v>
      </c>
      <c r="H554" s="12" t="n">
        <v>1</v>
      </c>
      <c r="I554" s="4" t="s">
        <v>408</v>
      </c>
      <c r="J554" s="4" t="s">
        <v>409</v>
      </c>
      <c r="K554" s="13" t="n">
        <v>450</v>
      </c>
      <c r="L554" s="6" t="n">
        <f aca="false">H554*K554</f>
        <v>450</v>
      </c>
      <c r="M554" s="4" t="s">
        <v>371</v>
      </c>
    </row>
    <row r="555" customFormat="false" ht="15" hidden="false" customHeight="false" outlineLevel="0" collapsed="false">
      <c r="A555" s="4" t="s">
        <v>94</v>
      </c>
      <c r="B555" s="5" t="s">
        <v>101</v>
      </c>
      <c r="C555" s="5" t="s">
        <v>102</v>
      </c>
      <c r="D555" s="4" t="s">
        <v>22</v>
      </c>
      <c r="E555" s="4" t="s">
        <v>1150</v>
      </c>
      <c r="F555" s="4" t="s">
        <v>470</v>
      </c>
      <c r="G555" s="4" t="s">
        <v>1151</v>
      </c>
      <c r="H555" s="12" t="n">
        <v>1</v>
      </c>
      <c r="I555" s="4" t="s">
        <v>408</v>
      </c>
      <c r="J555" s="4" t="s">
        <v>416</v>
      </c>
      <c r="K555" s="13" t="n">
        <v>1200</v>
      </c>
      <c r="L555" s="6" t="n">
        <f aca="false">H555*K555</f>
        <v>1200</v>
      </c>
      <c r="M555" s="4" t="s">
        <v>371</v>
      </c>
    </row>
    <row r="556" customFormat="false" ht="15" hidden="false" customHeight="false" outlineLevel="0" collapsed="false">
      <c r="A556" s="4" t="s">
        <v>94</v>
      </c>
      <c r="B556" s="5" t="s">
        <v>101</v>
      </c>
      <c r="C556" s="5" t="s">
        <v>102</v>
      </c>
      <c r="D556" s="4" t="s">
        <v>22</v>
      </c>
      <c r="E556" s="4" t="s">
        <v>1152</v>
      </c>
      <c r="F556" s="4" t="s">
        <v>470</v>
      </c>
      <c r="G556" s="4" t="s">
        <v>1153</v>
      </c>
      <c r="H556" s="12" t="n">
        <v>1</v>
      </c>
      <c r="I556" s="4" t="s">
        <v>408</v>
      </c>
      <c r="J556" s="4" t="s">
        <v>416</v>
      </c>
      <c r="K556" s="13" t="n">
        <v>2500</v>
      </c>
      <c r="L556" s="6" t="n">
        <f aca="false">H556*K556</f>
        <v>2500</v>
      </c>
      <c r="M556" s="4" t="s">
        <v>371</v>
      </c>
    </row>
    <row r="557" customFormat="false" ht="15" hidden="false" customHeight="false" outlineLevel="0" collapsed="false">
      <c r="A557" s="4" t="s">
        <v>94</v>
      </c>
      <c r="B557" s="5" t="s">
        <v>101</v>
      </c>
      <c r="C557" s="5" t="s">
        <v>102</v>
      </c>
      <c r="D557" s="4" t="s">
        <v>22</v>
      </c>
      <c r="E557" s="4" t="s">
        <v>1154</v>
      </c>
      <c r="F557" s="4" t="s">
        <v>488</v>
      </c>
      <c r="G557" s="4" t="s">
        <v>1155</v>
      </c>
      <c r="H557" s="12" t="n">
        <v>1</v>
      </c>
      <c r="I557" s="4" t="s">
        <v>408</v>
      </c>
      <c r="J557" s="4" t="s">
        <v>432</v>
      </c>
      <c r="K557" s="13" t="n">
        <v>60</v>
      </c>
      <c r="L557" s="6" t="n">
        <f aca="false">H557*K557</f>
        <v>60</v>
      </c>
      <c r="M557" s="4" t="s">
        <v>371</v>
      </c>
    </row>
    <row r="558" customFormat="false" ht="15" hidden="false" customHeight="false" outlineLevel="0" collapsed="false">
      <c r="A558" s="4" t="s">
        <v>94</v>
      </c>
      <c r="B558" s="5" t="s">
        <v>101</v>
      </c>
      <c r="C558" s="5" t="s">
        <v>102</v>
      </c>
      <c r="D558" s="4" t="s">
        <v>22</v>
      </c>
      <c r="E558" s="4" t="s">
        <v>1156</v>
      </c>
      <c r="F558" s="4" t="s">
        <v>488</v>
      </c>
      <c r="G558" s="4" t="s">
        <v>1157</v>
      </c>
      <c r="H558" s="12" t="n">
        <v>1</v>
      </c>
      <c r="I558" s="4" t="s">
        <v>408</v>
      </c>
      <c r="J558" s="4" t="s">
        <v>490</v>
      </c>
      <c r="K558" s="13" t="n">
        <v>105</v>
      </c>
      <c r="L558" s="6" t="n">
        <f aca="false">H558*K558</f>
        <v>105</v>
      </c>
      <c r="M558" s="4" t="s">
        <v>371</v>
      </c>
    </row>
    <row r="559" customFormat="false" ht="15" hidden="false" customHeight="false" outlineLevel="0" collapsed="false">
      <c r="A559" s="4" t="s">
        <v>94</v>
      </c>
      <c r="B559" s="5" t="s">
        <v>101</v>
      </c>
      <c r="C559" s="5" t="s">
        <v>102</v>
      </c>
      <c r="D559" s="4" t="s">
        <v>22</v>
      </c>
      <c r="E559" s="4" t="s">
        <v>1158</v>
      </c>
      <c r="F559" s="4" t="s">
        <v>488</v>
      </c>
      <c r="G559" s="4" t="s">
        <v>1159</v>
      </c>
      <c r="H559" s="12" t="n">
        <v>1</v>
      </c>
      <c r="I559" s="4" t="s">
        <v>408</v>
      </c>
      <c r="J559" s="4" t="s">
        <v>490</v>
      </c>
      <c r="K559" s="13" t="n">
        <v>350</v>
      </c>
      <c r="L559" s="6" t="n">
        <f aca="false">H559*K559</f>
        <v>350</v>
      </c>
      <c r="M559" s="4" t="s">
        <v>371</v>
      </c>
    </row>
    <row r="560" customFormat="false" ht="15" hidden="false" customHeight="false" outlineLevel="0" collapsed="false">
      <c r="A560" s="4" t="s">
        <v>94</v>
      </c>
      <c r="B560" s="5" t="s">
        <v>101</v>
      </c>
      <c r="C560" s="5" t="s">
        <v>102</v>
      </c>
      <c r="D560" s="4" t="s">
        <v>22</v>
      </c>
      <c r="E560" s="4" t="s">
        <v>1160</v>
      </c>
      <c r="F560" s="4" t="s">
        <v>488</v>
      </c>
      <c r="G560" s="4" t="s">
        <v>1161</v>
      </c>
      <c r="H560" s="12" t="n">
        <v>1</v>
      </c>
      <c r="I560" s="4" t="s">
        <v>408</v>
      </c>
      <c r="J560" s="4" t="s">
        <v>432</v>
      </c>
      <c r="K560" s="13" t="n">
        <v>350</v>
      </c>
      <c r="L560" s="6" t="n">
        <f aca="false">H560*K560</f>
        <v>350</v>
      </c>
      <c r="M560" s="4" t="s">
        <v>371</v>
      </c>
    </row>
    <row r="561" customFormat="false" ht="15" hidden="false" customHeight="false" outlineLevel="0" collapsed="false">
      <c r="A561" s="4" t="s">
        <v>94</v>
      </c>
      <c r="B561" s="5" t="s">
        <v>101</v>
      </c>
      <c r="C561" s="5" t="s">
        <v>102</v>
      </c>
      <c r="D561" s="4" t="s">
        <v>22</v>
      </c>
      <c r="E561" s="4" t="s">
        <v>1162</v>
      </c>
      <c r="F561" s="4" t="s">
        <v>488</v>
      </c>
      <c r="G561" s="4" t="s">
        <v>1163</v>
      </c>
      <c r="H561" s="12" t="n">
        <v>1</v>
      </c>
      <c r="I561" s="4" t="s">
        <v>408</v>
      </c>
      <c r="J561" s="4" t="s">
        <v>409</v>
      </c>
      <c r="K561" s="13" t="n">
        <v>250</v>
      </c>
      <c r="L561" s="6" t="n">
        <f aca="false">H561*K561</f>
        <v>250</v>
      </c>
      <c r="M561" s="14" t="s">
        <v>410</v>
      </c>
    </row>
    <row r="562" customFormat="false" ht="15" hidden="false" customHeight="false" outlineLevel="0" collapsed="false">
      <c r="A562" s="4" t="s">
        <v>94</v>
      </c>
      <c r="B562" s="5" t="s">
        <v>101</v>
      </c>
      <c r="C562" s="5" t="s">
        <v>102</v>
      </c>
      <c r="D562" s="4" t="s">
        <v>22</v>
      </c>
      <c r="E562" s="4" t="s">
        <v>1164</v>
      </c>
      <c r="F562" s="4" t="s">
        <v>488</v>
      </c>
      <c r="G562" s="4" t="s">
        <v>1165</v>
      </c>
      <c r="H562" s="12" t="n">
        <v>1</v>
      </c>
      <c r="I562" s="4" t="s">
        <v>408</v>
      </c>
      <c r="J562" s="4" t="s">
        <v>409</v>
      </c>
      <c r="K562" s="13" t="n">
        <v>450</v>
      </c>
      <c r="L562" s="6" t="n">
        <f aca="false">H562*K562</f>
        <v>450</v>
      </c>
      <c r="M562" s="4" t="s">
        <v>371</v>
      </c>
    </row>
    <row r="563" customFormat="false" ht="15" hidden="false" customHeight="false" outlineLevel="0" collapsed="false">
      <c r="A563" s="4" t="s">
        <v>94</v>
      </c>
      <c r="B563" s="5" t="s">
        <v>101</v>
      </c>
      <c r="C563" s="5" t="s">
        <v>102</v>
      </c>
      <c r="D563" s="4" t="s">
        <v>22</v>
      </c>
      <c r="E563" s="4" t="s">
        <v>1166</v>
      </c>
      <c r="F563" s="4" t="s">
        <v>488</v>
      </c>
      <c r="G563" s="4" t="s">
        <v>1167</v>
      </c>
      <c r="H563" s="12" t="n">
        <v>1</v>
      </c>
      <c r="I563" s="4" t="s">
        <v>408</v>
      </c>
      <c r="J563" s="4" t="s">
        <v>409</v>
      </c>
      <c r="K563" s="13" t="n">
        <v>450</v>
      </c>
      <c r="L563" s="6" t="n">
        <f aca="false">H563*K563</f>
        <v>450</v>
      </c>
      <c r="M563" s="4" t="s">
        <v>371</v>
      </c>
    </row>
    <row r="564" customFormat="false" ht="15" hidden="false" customHeight="false" outlineLevel="0" collapsed="false">
      <c r="A564" s="4" t="s">
        <v>94</v>
      </c>
      <c r="B564" s="5" t="s">
        <v>101</v>
      </c>
      <c r="C564" s="5" t="s">
        <v>102</v>
      </c>
      <c r="D564" s="4" t="s">
        <v>22</v>
      </c>
      <c r="E564" s="4" t="s">
        <v>1168</v>
      </c>
      <c r="F564" s="4" t="s">
        <v>488</v>
      </c>
      <c r="G564" s="4" t="s">
        <v>1169</v>
      </c>
      <c r="H564" s="12" t="n">
        <v>1</v>
      </c>
      <c r="I564" s="4" t="s">
        <v>408</v>
      </c>
      <c r="J564" s="4" t="s">
        <v>409</v>
      </c>
      <c r="K564" s="13" t="n">
        <v>450</v>
      </c>
      <c r="L564" s="6" t="n">
        <f aca="false">H564*K564</f>
        <v>450</v>
      </c>
      <c r="M564" s="4" t="s">
        <v>371</v>
      </c>
    </row>
    <row r="565" customFormat="false" ht="15" hidden="false" customHeight="false" outlineLevel="0" collapsed="false">
      <c r="A565" s="4" t="s">
        <v>94</v>
      </c>
      <c r="B565" s="5" t="s">
        <v>101</v>
      </c>
      <c r="C565" s="5" t="s">
        <v>102</v>
      </c>
      <c r="D565" s="4" t="s">
        <v>22</v>
      </c>
      <c r="E565" s="4" t="s">
        <v>1170</v>
      </c>
      <c r="F565" s="4" t="s">
        <v>488</v>
      </c>
      <c r="G565" s="4" t="s">
        <v>1171</v>
      </c>
      <c r="H565" s="12" t="n">
        <v>1</v>
      </c>
      <c r="I565" s="4" t="s">
        <v>408</v>
      </c>
      <c r="J565" s="4" t="s">
        <v>409</v>
      </c>
      <c r="K565" s="13" t="n">
        <v>450</v>
      </c>
      <c r="L565" s="6" t="n">
        <f aca="false">H565*K565</f>
        <v>450</v>
      </c>
      <c r="M565" s="4" t="s">
        <v>371</v>
      </c>
    </row>
    <row r="566" customFormat="false" ht="15" hidden="false" customHeight="false" outlineLevel="0" collapsed="false">
      <c r="A566" s="4" t="s">
        <v>94</v>
      </c>
      <c r="B566" s="5" t="s">
        <v>101</v>
      </c>
      <c r="C566" s="5" t="s">
        <v>102</v>
      </c>
      <c r="D566" s="4" t="s">
        <v>22</v>
      </c>
      <c r="E566" s="4" t="s">
        <v>1172</v>
      </c>
      <c r="F566" s="4" t="s">
        <v>488</v>
      </c>
      <c r="G566" s="4" t="s">
        <v>1173</v>
      </c>
      <c r="H566" s="12" t="n">
        <v>1</v>
      </c>
      <c r="I566" s="4" t="s">
        <v>408</v>
      </c>
      <c r="J566" s="4" t="s">
        <v>416</v>
      </c>
      <c r="K566" s="13" t="n">
        <v>1200</v>
      </c>
      <c r="L566" s="6" t="n">
        <f aca="false">H566*K566</f>
        <v>1200</v>
      </c>
      <c r="M566" s="4" t="s">
        <v>371</v>
      </c>
    </row>
    <row r="567" customFormat="false" ht="23.85" hidden="false" customHeight="false" outlineLevel="0" collapsed="false">
      <c r="A567" s="4" t="s">
        <v>94</v>
      </c>
      <c r="B567" s="5" t="s">
        <v>103</v>
      </c>
      <c r="C567" s="5" t="s">
        <v>104</v>
      </c>
      <c r="D567" s="4" t="s">
        <v>22</v>
      </c>
      <c r="E567" s="4" t="s">
        <v>1174</v>
      </c>
      <c r="F567" s="4" t="s">
        <v>406</v>
      </c>
      <c r="G567" s="4" t="s">
        <v>1175</v>
      </c>
      <c r="H567" s="12" t="n">
        <v>1</v>
      </c>
      <c r="I567" s="4" t="s">
        <v>408</v>
      </c>
      <c r="J567" s="4" t="s">
        <v>416</v>
      </c>
      <c r="K567" s="13" t="n">
        <v>350</v>
      </c>
      <c r="L567" s="6" t="n">
        <f aca="false">H567*K567</f>
        <v>350</v>
      </c>
      <c r="M567" s="14" t="s">
        <v>410</v>
      </c>
    </row>
    <row r="568" customFormat="false" ht="23.85" hidden="false" customHeight="false" outlineLevel="0" collapsed="false">
      <c r="A568" s="4" t="s">
        <v>94</v>
      </c>
      <c r="B568" s="5" t="s">
        <v>103</v>
      </c>
      <c r="C568" s="5" t="s">
        <v>104</v>
      </c>
      <c r="D568" s="4" t="s">
        <v>22</v>
      </c>
      <c r="E568" s="4" t="s">
        <v>1176</v>
      </c>
      <c r="F568" s="4" t="s">
        <v>406</v>
      </c>
      <c r="G568" s="4" t="s">
        <v>1177</v>
      </c>
      <c r="H568" s="12" t="n">
        <v>1</v>
      </c>
      <c r="I568" s="4" t="s">
        <v>408</v>
      </c>
      <c r="J568" s="4" t="s">
        <v>416</v>
      </c>
      <c r="K568" s="13" t="n">
        <v>1200</v>
      </c>
      <c r="L568" s="6" t="n">
        <f aca="false">H568*K568</f>
        <v>1200</v>
      </c>
      <c r="M568" s="14" t="s">
        <v>410</v>
      </c>
    </row>
    <row r="569" customFormat="false" ht="23.85" hidden="false" customHeight="false" outlineLevel="0" collapsed="false">
      <c r="A569" s="4" t="s">
        <v>94</v>
      </c>
      <c r="B569" s="5" t="s">
        <v>103</v>
      </c>
      <c r="C569" s="5" t="s">
        <v>104</v>
      </c>
      <c r="D569" s="4" t="s">
        <v>22</v>
      </c>
      <c r="E569" s="4" t="s">
        <v>1178</v>
      </c>
      <c r="F569" s="4" t="s">
        <v>406</v>
      </c>
      <c r="G569" s="4" t="s">
        <v>1179</v>
      </c>
      <c r="H569" s="12" t="n">
        <v>1</v>
      </c>
      <c r="I569" s="4" t="s">
        <v>408</v>
      </c>
      <c r="J569" s="4" t="s">
        <v>409</v>
      </c>
      <c r="K569" s="13" t="n">
        <v>250</v>
      </c>
      <c r="L569" s="6" t="n">
        <f aca="false">H569*K569</f>
        <v>250</v>
      </c>
      <c r="M569" s="14" t="s">
        <v>410</v>
      </c>
    </row>
    <row r="570" customFormat="false" ht="23.85" hidden="false" customHeight="false" outlineLevel="0" collapsed="false">
      <c r="A570" s="4" t="s">
        <v>94</v>
      </c>
      <c r="B570" s="5" t="s">
        <v>103</v>
      </c>
      <c r="C570" s="5" t="s">
        <v>104</v>
      </c>
      <c r="D570" s="4" t="s">
        <v>22</v>
      </c>
      <c r="E570" s="4" t="s">
        <v>1180</v>
      </c>
      <c r="F570" s="4" t="s">
        <v>406</v>
      </c>
      <c r="G570" s="4" t="s">
        <v>1181</v>
      </c>
      <c r="H570" s="12" t="n">
        <v>1</v>
      </c>
      <c r="I570" s="4" t="s">
        <v>408</v>
      </c>
      <c r="J570" s="4" t="s">
        <v>409</v>
      </c>
      <c r="K570" s="13" t="n">
        <v>850</v>
      </c>
      <c r="L570" s="6" t="n">
        <f aca="false">H570*K570</f>
        <v>850</v>
      </c>
      <c r="M570" s="14" t="s">
        <v>410</v>
      </c>
    </row>
    <row r="571" customFormat="false" ht="23.85" hidden="false" customHeight="false" outlineLevel="0" collapsed="false">
      <c r="A571" s="4" t="s">
        <v>94</v>
      </c>
      <c r="B571" s="5" t="s">
        <v>103</v>
      </c>
      <c r="C571" s="5" t="s">
        <v>104</v>
      </c>
      <c r="D571" s="4" t="s">
        <v>22</v>
      </c>
      <c r="E571" s="4" t="s">
        <v>1182</v>
      </c>
      <c r="F571" s="4" t="s">
        <v>406</v>
      </c>
      <c r="G571" s="4" t="s">
        <v>1183</v>
      </c>
      <c r="H571" s="12" t="n">
        <v>1</v>
      </c>
      <c r="I571" s="4" t="s">
        <v>408</v>
      </c>
      <c r="J571" s="4" t="s">
        <v>409</v>
      </c>
      <c r="K571" s="13" t="n">
        <v>350</v>
      </c>
      <c r="L571" s="6" t="n">
        <f aca="false">H571*K571</f>
        <v>350</v>
      </c>
      <c r="M571" s="14" t="s">
        <v>410</v>
      </c>
    </row>
    <row r="572" customFormat="false" ht="23.85" hidden="false" customHeight="false" outlineLevel="0" collapsed="false">
      <c r="A572" s="4" t="s">
        <v>94</v>
      </c>
      <c r="B572" s="5" t="s">
        <v>103</v>
      </c>
      <c r="C572" s="5" t="s">
        <v>104</v>
      </c>
      <c r="D572" s="4" t="s">
        <v>22</v>
      </c>
      <c r="E572" s="4" t="s">
        <v>1184</v>
      </c>
      <c r="F572" s="4" t="s">
        <v>406</v>
      </c>
      <c r="G572" s="4" t="s">
        <v>1185</v>
      </c>
      <c r="H572" s="12" t="n">
        <v>1</v>
      </c>
      <c r="I572" s="4" t="s">
        <v>408</v>
      </c>
      <c r="J572" s="4" t="s">
        <v>409</v>
      </c>
      <c r="K572" s="13" t="n">
        <v>350</v>
      </c>
      <c r="L572" s="6" t="n">
        <f aca="false">H572*K572</f>
        <v>350</v>
      </c>
      <c r="M572" s="14" t="s">
        <v>410</v>
      </c>
    </row>
    <row r="573" customFormat="false" ht="23.85" hidden="false" customHeight="false" outlineLevel="0" collapsed="false">
      <c r="A573" s="4" t="s">
        <v>94</v>
      </c>
      <c r="B573" s="5" t="s">
        <v>103</v>
      </c>
      <c r="C573" s="5" t="s">
        <v>104</v>
      </c>
      <c r="D573" s="4" t="s">
        <v>22</v>
      </c>
      <c r="E573" s="4" t="s">
        <v>1186</v>
      </c>
      <c r="F573" s="4" t="s">
        <v>406</v>
      </c>
      <c r="G573" s="4" t="s">
        <v>1187</v>
      </c>
      <c r="H573" s="12" t="n">
        <v>1</v>
      </c>
      <c r="I573" s="4" t="s">
        <v>408</v>
      </c>
      <c r="J573" s="4" t="s">
        <v>416</v>
      </c>
      <c r="K573" s="13" t="n">
        <v>850</v>
      </c>
      <c r="L573" s="6" t="n">
        <f aca="false">H573*K573</f>
        <v>850</v>
      </c>
      <c r="M573" s="14" t="s">
        <v>410</v>
      </c>
    </row>
    <row r="574" customFormat="false" ht="23.85" hidden="false" customHeight="false" outlineLevel="0" collapsed="false">
      <c r="A574" s="4" t="s">
        <v>94</v>
      </c>
      <c r="B574" s="5" t="s">
        <v>103</v>
      </c>
      <c r="C574" s="5" t="s">
        <v>104</v>
      </c>
      <c r="D574" s="4" t="s">
        <v>22</v>
      </c>
      <c r="E574" s="4" t="s">
        <v>1188</v>
      </c>
      <c r="F574" s="4" t="s">
        <v>406</v>
      </c>
      <c r="G574" s="4" t="s">
        <v>1189</v>
      </c>
      <c r="H574" s="12" t="n">
        <v>1</v>
      </c>
      <c r="I574" s="4" t="s">
        <v>408</v>
      </c>
      <c r="J574" s="4" t="s">
        <v>416</v>
      </c>
      <c r="K574" s="13" t="n">
        <v>1800</v>
      </c>
      <c r="L574" s="6" t="n">
        <f aca="false">H574*K574</f>
        <v>1800</v>
      </c>
      <c r="M574" s="14" t="s">
        <v>410</v>
      </c>
    </row>
    <row r="575" customFormat="false" ht="23.85" hidden="false" customHeight="false" outlineLevel="0" collapsed="false">
      <c r="A575" s="4" t="s">
        <v>94</v>
      </c>
      <c r="B575" s="5" t="s">
        <v>103</v>
      </c>
      <c r="C575" s="5" t="s">
        <v>104</v>
      </c>
      <c r="D575" s="4" t="s">
        <v>22</v>
      </c>
      <c r="E575" s="4" t="s">
        <v>1190</v>
      </c>
      <c r="F575" s="4" t="s">
        <v>406</v>
      </c>
      <c r="G575" s="4" t="s">
        <v>1191</v>
      </c>
      <c r="H575" s="12" t="n">
        <v>1</v>
      </c>
      <c r="I575" s="4" t="s">
        <v>408</v>
      </c>
      <c r="J575" s="4" t="s">
        <v>416</v>
      </c>
      <c r="K575" s="13" t="n">
        <v>1200</v>
      </c>
      <c r="L575" s="6" t="n">
        <f aca="false">H575*K575</f>
        <v>1200</v>
      </c>
      <c r="M575" s="14" t="s">
        <v>410</v>
      </c>
    </row>
    <row r="576" customFormat="false" ht="23.85" hidden="false" customHeight="false" outlineLevel="0" collapsed="false">
      <c r="A576" s="4" t="s">
        <v>94</v>
      </c>
      <c r="B576" s="5" t="s">
        <v>103</v>
      </c>
      <c r="C576" s="5" t="s">
        <v>104</v>
      </c>
      <c r="D576" s="4" t="s">
        <v>22</v>
      </c>
      <c r="E576" s="4" t="s">
        <v>1192</v>
      </c>
      <c r="F576" s="4" t="s">
        <v>406</v>
      </c>
      <c r="G576" s="4" t="s">
        <v>1193</v>
      </c>
      <c r="H576" s="12" t="n">
        <v>1</v>
      </c>
      <c r="I576" s="4" t="s">
        <v>408</v>
      </c>
      <c r="J576" s="4" t="s">
        <v>416</v>
      </c>
      <c r="K576" s="13" t="n">
        <v>450</v>
      </c>
      <c r="L576" s="6" t="n">
        <f aca="false">H576*K576</f>
        <v>450</v>
      </c>
      <c r="M576" s="14" t="s">
        <v>410</v>
      </c>
    </row>
    <row r="577" customFormat="false" ht="23.85" hidden="false" customHeight="false" outlineLevel="0" collapsed="false">
      <c r="A577" s="4" t="s">
        <v>94</v>
      </c>
      <c r="B577" s="5" t="s">
        <v>103</v>
      </c>
      <c r="C577" s="5" t="s">
        <v>104</v>
      </c>
      <c r="D577" s="4" t="s">
        <v>22</v>
      </c>
      <c r="E577" s="4" t="s">
        <v>970</v>
      </c>
      <c r="F577" s="4" t="s">
        <v>406</v>
      </c>
      <c r="G577" s="4" t="s">
        <v>971</v>
      </c>
      <c r="H577" s="12" t="n">
        <v>1</v>
      </c>
      <c r="I577" s="4" t="s">
        <v>408</v>
      </c>
      <c r="J577" s="4" t="s">
        <v>409</v>
      </c>
      <c r="K577" s="13" t="n">
        <v>1200</v>
      </c>
      <c r="L577" s="6" t="n">
        <f aca="false">H577*K577</f>
        <v>1200</v>
      </c>
      <c r="M577" s="14" t="s">
        <v>410</v>
      </c>
    </row>
    <row r="578" customFormat="false" ht="23.85" hidden="false" customHeight="false" outlineLevel="0" collapsed="false">
      <c r="A578" s="4" t="s">
        <v>94</v>
      </c>
      <c r="B578" s="5" t="s">
        <v>103</v>
      </c>
      <c r="C578" s="5" t="s">
        <v>104</v>
      </c>
      <c r="D578" s="4" t="s">
        <v>22</v>
      </c>
      <c r="E578" s="4" t="s">
        <v>972</v>
      </c>
      <c r="F578" s="4" t="s">
        <v>406</v>
      </c>
      <c r="G578" s="4" t="s">
        <v>973</v>
      </c>
      <c r="H578" s="12" t="n">
        <v>1</v>
      </c>
      <c r="I578" s="4" t="s">
        <v>408</v>
      </c>
      <c r="J578" s="4" t="s">
        <v>409</v>
      </c>
      <c r="K578" s="13" t="n">
        <v>850</v>
      </c>
      <c r="L578" s="6" t="n">
        <f aca="false">H578*K578</f>
        <v>850</v>
      </c>
      <c r="M578" s="14" t="s">
        <v>410</v>
      </c>
    </row>
    <row r="579" customFormat="false" ht="23.85" hidden="false" customHeight="false" outlineLevel="0" collapsed="false">
      <c r="A579" s="4" t="s">
        <v>94</v>
      </c>
      <c r="B579" s="5" t="s">
        <v>103</v>
      </c>
      <c r="C579" s="5" t="s">
        <v>104</v>
      </c>
      <c r="D579" s="4" t="s">
        <v>22</v>
      </c>
      <c r="E579" s="4" t="s">
        <v>1194</v>
      </c>
      <c r="F579" s="4" t="s">
        <v>406</v>
      </c>
      <c r="G579" s="4" t="s">
        <v>1195</v>
      </c>
      <c r="H579" s="12" t="n">
        <v>1</v>
      </c>
      <c r="I579" s="4" t="s">
        <v>408</v>
      </c>
      <c r="J579" s="4" t="s">
        <v>409</v>
      </c>
      <c r="K579" s="13" t="n">
        <v>450</v>
      </c>
      <c r="L579" s="6" t="n">
        <f aca="false">H579*K579</f>
        <v>450</v>
      </c>
      <c r="M579" s="14" t="s">
        <v>410</v>
      </c>
    </row>
    <row r="580" customFormat="false" ht="23.85" hidden="false" customHeight="false" outlineLevel="0" collapsed="false">
      <c r="A580" s="4" t="s">
        <v>94</v>
      </c>
      <c r="B580" s="5" t="s">
        <v>103</v>
      </c>
      <c r="C580" s="5" t="s">
        <v>104</v>
      </c>
      <c r="D580" s="4" t="s">
        <v>22</v>
      </c>
      <c r="E580" s="4" t="s">
        <v>1196</v>
      </c>
      <c r="F580" s="4" t="s">
        <v>406</v>
      </c>
      <c r="G580" s="4" t="s">
        <v>1197</v>
      </c>
      <c r="H580" s="12" t="n">
        <v>1</v>
      </c>
      <c r="I580" s="4" t="s">
        <v>408</v>
      </c>
      <c r="J580" s="4" t="s">
        <v>416</v>
      </c>
      <c r="K580" s="13" t="n">
        <v>350</v>
      </c>
      <c r="L580" s="6" t="n">
        <f aca="false">H580*K580</f>
        <v>350</v>
      </c>
      <c r="M580" s="4" t="s">
        <v>371</v>
      </c>
    </row>
    <row r="581" customFormat="false" ht="23.85" hidden="false" customHeight="false" outlineLevel="0" collapsed="false">
      <c r="A581" s="4" t="s">
        <v>94</v>
      </c>
      <c r="B581" s="5" t="s">
        <v>103</v>
      </c>
      <c r="C581" s="5" t="s">
        <v>104</v>
      </c>
      <c r="D581" s="4" t="s">
        <v>22</v>
      </c>
      <c r="E581" s="4" t="s">
        <v>942</v>
      </c>
      <c r="F581" s="4" t="s">
        <v>406</v>
      </c>
      <c r="G581" s="4" t="s">
        <v>943</v>
      </c>
      <c r="H581" s="12" t="n">
        <v>1</v>
      </c>
      <c r="I581" s="4" t="s">
        <v>408</v>
      </c>
      <c r="J581" s="4" t="s">
        <v>409</v>
      </c>
      <c r="K581" s="13" t="n">
        <v>180</v>
      </c>
      <c r="L581" s="6" t="n">
        <f aca="false">H581*K581</f>
        <v>180</v>
      </c>
      <c r="M581" s="14" t="s">
        <v>410</v>
      </c>
    </row>
    <row r="582" customFormat="false" ht="23.85" hidden="false" customHeight="false" outlineLevel="0" collapsed="false">
      <c r="A582" s="4" t="s">
        <v>94</v>
      </c>
      <c r="B582" s="5" t="s">
        <v>103</v>
      </c>
      <c r="C582" s="5" t="s">
        <v>104</v>
      </c>
      <c r="D582" s="4" t="s">
        <v>22</v>
      </c>
      <c r="E582" s="4" t="s">
        <v>1198</v>
      </c>
      <c r="F582" s="4" t="s">
        <v>406</v>
      </c>
      <c r="G582" s="4" t="s">
        <v>1199</v>
      </c>
      <c r="H582" s="12" t="n">
        <v>1</v>
      </c>
      <c r="I582" s="4" t="s">
        <v>408</v>
      </c>
      <c r="J582" s="4" t="s">
        <v>409</v>
      </c>
      <c r="K582" s="13" t="n">
        <v>450</v>
      </c>
      <c r="L582" s="6" t="n">
        <f aca="false">H582*K582</f>
        <v>450</v>
      </c>
      <c r="M582" s="14" t="s">
        <v>410</v>
      </c>
    </row>
    <row r="583" customFormat="false" ht="23.85" hidden="false" customHeight="false" outlineLevel="0" collapsed="false">
      <c r="A583" s="4" t="s">
        <v>94</v>
      </c>
      <c r="B583" s="5" t="s">
        <v>103</v>
      </c>
      <c r="C583" s="5" t="s">
        <v>104</v>
      </c>
      <c r="D583" s="4" t="s">
        <v>22</v>
      </c>
      <c r="E583" s="4" t="s">
        <v>1200</v>
      </c>
      <c r="F583" s="4" t="s">
        <v>406</v>
      </c>
      <c r="G583" s="4" t="s">
        <v>1201</v>
      </c>
      <c r="H583" s="12" t="n">
        <v>1</v>
      </c>
      <c r="I583" s="4" t="s">
        <v>408</v>
      </c>
      <c r="J583" s="4" t="s">
        <v>416</v>
      </c>
      <c r="K583" s="13" t="n">
        <v>4500</v>
      </c>
      <c r="L583" s="6" t="n">
        <f aca="false">H583*K583</f>
        <v>4500</v>
      </c>
      <c r="M583" s="4" t="s">
        <v>371</v>
      </c>
    </row>
    <row r="584" customFormat="false" ht="23.85" hidden="false" customHeight="false" outlineLevel="0" collapsed="false">
      <c r="A584" s="4" t="s">
        <v>94</v>
      </c>
      <c r="B584" s="5" t="s">
        <v>103</v>
      </c>
      <c r="C584" s="5" t="s">
        <v>104</v>
      </c>
      <c r="D584" s="4" t="s">
        <v>22</v>
      </c>
      <c r="E584" s="4" t="s">
        <v>1202</v>
      </c>
      <c r="F584" s="4" t="s">
        <v>406</v>
      </c>
      <c r="G584" s="4" t="s">
        <v>1203</v>
      </c>
      <c r="H584" s="12" t="n">
        <v>1</v>
      </c>
      <c r="I584" s="4" t="s">
        <v>408</v>
      </c>
      <c r="J584" s="4" t="s">
        <v>416</v>
      </c>
      <c r="K584" s="13" t="n">
        <v>4500</v>
      </c>
      <c r="L584" s="6" t="n">
        <f aca="false">H584*K584</f>
        <v>4500</v>
      </c>
      <c r="M584" s="4" t="s">
        <v>371</v>
      </c>
    </row>
    <row r="585" customFormat="false" ht="23.85" hidden="false" customHeight="false" outlineLevel="0" collapsed="false">
      <c r="A585" s="4" t="s">
        <v>94</v>
      </c>
      <c r="B585" s="5" t="s">
        <v>103</v>
      </c>
      <c r="C585" s="5" t="s">
        <v>104</v>
      </c>
      <c r="D585" s="4" t="s">
        <v>22</v>
      </c>
      <c r="E585" s="4" t="s">
        <v>1204</v>
      </c>
      <c r="F585" s="4" t="s">
        <v>406</v>
      </c>
      <c r="G585" s="4" t="s">
        <v>1205</v>
      </c>
      <c r="H585" s="12" t="n">
        <v>1</v>
      </c>
      <c r="I585" s="4" t="s">
        <v>408</v>
      </c>
      <c r="J585" s="4" t="s">
        <v>416</v>
      </c>
      <c r="K585" s="13" t="n">
        <v>85000</v>
      </c>
      <c r="L585" s="6" t="n">
        <f aca="false">H585*K585</f>
        <v>85000</v>
      </c>
      <c r="M585" s="4" t="s">
        <v>371</v>
      </c>
    </row>
    <row r="586" customFormat="false" ht="23.85" hidden="false" customHeight="false" outlineLevel="0" collapsed="false">
      <c r="A586" s="4" t="s">
        <v>94</v>
      </c>
      <c r="B586" s="5" t="s">
        <v>103</v>
      </c>
      <c r="C586" s="5" t="s">
        <v>104</v>
      </c>
      <c r="D586" s="4" t="s">
        <v>22</v>
      </c>
      <c r="E586" s="4" t="s">
        <v>998</v>
      </c>
      <c r="F586" s="4" t="s">
        <v>406</v>
      </c>
      <c r="G586" s="4" t="s">
        <v>999</v>
      </c>
      <c r="H586" s="12" t="n">
        <v>1</v>
      </c>
      <c r="I586" s="4" t="s">
        <v>408</v>
      </c>
      <c r="J586" s="4" t="s">
        <v>416</v>
      </c>
      <c r="K586" s="13" t="n">
        <v>8500</v>
      </c>
      <c r="L586" s="6" t="n">
        <f aca="false">H586*K586</f>
        <v>8500</v>
      </c>
      <c r="M586" s="4" t="s">
        <v>371</v>
      </c>
    </row>
    <row r="587" customFormat="false" ht="23.85" hidden="false" customHeight="false" outlineLevel="0" collapsed="false">
      <c r="A587" s="4" t="s">
        <v>94</v>
      </c>
      <c r="B587" s="5" t="s">
        <v>103</v>
      </c>
      <c r="C587" s="5" t="s">
        <v>104</v>
      </c>
      <c r="D587" s="4" t="s">
        <v>22</v>
      </c>
      <c r="E587" s="4" t="s">
        <v>1206</v>
      </c>
      <c r="F587" s="4" t="s">
        <v>406</v>
      </c>
      <c r="G587" s="4" t="s">
        <v>1207</v>
      </c>
      <c r="H587" s="12" t="n">
        <v>1</v>
      </c>
      <c r="I587" s="4" t="s">
        <v>408</v>
      </c>
      <c r="J587" s="4" t="s">
        <v>409</v>
      </c>
      <c r="K587" s="13" t="n">
        <v>18000</v>
      </c>
      <c r="L587" s="6" t="n">
        <f aca="false">H587*K587</f>
        <v>18000</v>
      </c>
      <c r="M587" s="14" t="s">
        <v>410</v>
      </c>
    </row>
    <row r="588" customFormat="false" ht="23.85" hidden="false" customHeight="false" outlineLevel="0" collapsed="false">
      <c r="A588" s="4" t="s">
        <v>94</v>
      </c>
      <c r="B588" s="5" t="s">
        <v>103</v>
      </c>
      <c r="C588" s="5" t="s">
        <v>104</v>
      </c>
      <c r="D588" s="4" t="s">
        <v>22</v>
      </c>
      <c r="E588" s="4" t="s">
        <v>1208</v>
      </c>
      <c r="F588" s="4" t="s">
        <v>406</v>
      </c>
      <c r="G588" s="4" t="s">
        <v>1209</v>
      </c>
      <c r="H588" s="12" t="n">
        <v>1</v>
      </c>
      <c r="I588" s="4" t="s">
        <v>408</v>
      </c>
      <c r="J588" s="4" t="s">
        <v>409</v>
      </c>
      <c r="K588" s="13" t="n">
        <v>850</v>
      </c>
      <c r="L588" s="6" t="n">
        <f aca="false">H588*K588</f>
        <v>850</v>
      </c>
      <c r="M588" s="14" t="s">
        <v>410</v>
      </c>
    </row>
    <row r="589" customFormat="false" ht="23.85" hidden="false" customHeight="false" outlineLevel="0" collapsed="false">
      <c r="A589" s="4" t="s">
        <v>94</v>
      </c>
      <c r="B589" s="5" t="s">
        <v>103</v>
      </c>
      <c r="C589" s="5" t="s">
        <v>104</v>
      </c>
      <c r="D589" s="4" t="s">
        <v>22</v>
      </c>
      <c r="E589" s="4" t="s">
        <v>1210</v>
      </c>
      <c r="F589" s="4" t="s">
        <v>406</v>
      </c>
      <c r="G589" s="4" t="s">
        <v>1211</v>
      </c>
      <c r="H589" s="12" t="n">
        <v>1</v>
      </c>
      <c r="I589" s="4" t="s">
        <v>408</v>
      </c>
      <c r="J589" s="4" t="s">
        <v>409</v>
      </c>
      <c r="K589" s="13" t="n">
        <v>3500</v>
      </c>
      <c r="L589" s="6" t="n">
        <f aca="false">H589*K589</f>
        <v>3500</v>
      </c>
      <c r="M589" s="14" t="s">
        <v>410</v>
      </c>
    </row>
    <row r="590" customFormat="false" ht="23.85" hidden="false" customHeight="false" outlineLevel="0" collapsed="false">
      <c r="A590" s="4" t="s">
        <v>94</v>
      </c>
      <c r="B590" s="5" t="s">
        <v>103</v>
      </c>
      <c r="C590" s="5" t="s">
        <v>104</v>
      </c>
      <c r="D590" s="4" t="s">
        <v>22</v>
      </c>
      <c r="E590" s="4" t="s">
        <v>1212</v>
      </c>
      <c r="F590" s="4" t="s">
        <v>406</v>
      </c>
      <c r="G590" s="4" t="s">
        <v>1213</v>
      </c>
      <c r="H590" s="12" t="n">
        <v>1</v>
      </c>
      <c r="I590" s="4" t="s">
        <v>408</v>
      </c>
      <c r="J590" s="4" t="s">
        <v>409</v>
      </c>
      <c r="K590" s="13" t="n">
        <v>1200</v>
      </c>
      <c r="L590" s="6" t="n">
        <f aca="false">H590*K590</f>
        <v>1200</v>
      </c>
      <c r="M590" s="14" t="s">
        <v>410</v>
      </c>
    </row>
    <row r="591" customFormat="false" ht="23.85" hidden="false" customHeight="false" outlineLevel="0" collapsed="false">
      <c r="A591" s="4" t="s">
        <v>94</v>
      </c>
      <c r="B591" s="5" t="s">
        <v>103</v>
      </c>
      <c r="C591" s="5" t="s">
        <v>104</v>
      </c>
      <c r="D591" s="4" t="s">
        <v>22</v>
      </c>
      <c r="E591" s="4" t="s">
        <v>1214</v>
      </c>
      <c r="F591" s="4" t="s">
        <v>406</v>
      </c>
      <c r="G591" s="4" t="s">
        <v>1215</v>
      </c>
      <c r="H591" s="12" t="n">
        <v>1</v>
      </c>
      <c r="I591" s="4" t="s">
        <v>408</v>
      </c>
      <c r="J591" s="4" t="s">
        <v>416</v>
      </c>
      <c r="K591" s="13" t="n">
        <v>85000</v>
      </c>
      <c r="L591" s="6" t="n">
        <f aca="false">H591*K591</f>
        <v>85000</v>
      </c>
      <c r="M591" s="4" t="s">
        <v>371</v>
      </c>
    </row>
    <row r="592" customFormat="false" ht="23.85" hidden="false" customHeight="false" outlineLevel="0" collapsed="false">
      <c r="A592" s="4" t="s">
        <v>94</v>
      </c>
      <c r="B592" s="5" t="s">
        <v>103</v>
      </c>
      <c r="C592" s="5" t="s">
        <v>104</v>
      </c>
      <c r="D592" s="4" t="s">
        <v>22</v>
      </c>
      <c r="E592" s="4" t="s">
        <v>1216</v>
      </c>
      <c r="F592" s="4" t="s">
        <v>406</v>
      </c>
      <c r="G592" s="4" t="s">
        <v>1217</v>
      </c>
      <c r="H592" s="12" t="n">
        <v>1</v>
      </c>
      <c r="I592" s="4" t="s">
        <v>408</v>
      </c>
      <c r="J592" s="4" t="s">
        <v>416</v>
      </c>
      <c r="K592" s="13" t="n">
        <v>3500</v>
      </c>
      <c r="L592" s="6" t="n">
        <f aca="false">H592*K592</f>
        <v>3500</v>
      </c>
      <c r="M592" s="4" t="s">
        <v>371</v>
      </c>
    </row>
    <row r="593" customFormat="false" ht="23.85" hidden="false" customHeight="false" outlineLevel="0" collapsed="false">
      <c r="A593" s="4" t="s">
        <v>94</v>
      </c>
      <c r="B593" s="5" t="s">
        <v>103</v>
      </c>
      <c r="C593" s="5" t="s">
        <v>104</v>
      </c>
      <c r="D593" s="4" t="s">
        <v>22</v>
      </c>
      <c r="E593" s="4" t="s">
        <v>1218</v>
      </c>
      <c r="F593" s="4" t="s">
        <v>406</v>
      </c>
      <c r="G593" s="4" t="s">
        <v>1219</v>
      </c>
      <c r="H593" s="12" t="n">
        <v>1</v>
      </c>
      <c r="I593" s="4" t="s">
        <v>408</v>
      </c>
      <c r="J593" s="4" t="s">
        <v>416</v>
      </c>
      <c r="K593" s="13" t="n">
        <v>18000</v>
      </c>
      <c r="L593" s="6" t="n">
        <f aca="false">H593*K593</f>
        <v>18000</v>
      </c>
      <c r="M593" s="4" t="s">
        <v>371</v>
      </c>
    </row>
    <row r="594" customFormat="false" ht="23.85" hidden="false" customHeight="false" outlineLevel="0" collapsed="false">
      <c r="A594" s="4" t="s">
        <v>94</v>
      </c>
      <c r="B594" s="5" t="s">
        <v>103</v>
      </c>
      <c r="C594" s="5" t="s">
        <v>104</v>
      </c>
      <c r="D594" s="4" t="s">
        <v>22</v>
      </c>
      <c r="E594" s="4" t="s">
        <v>1220</v>
      </c>
      <c r="F594" s="4" t="s">
        <v>406</v>
      </c>
      <c r="G594" s="4" t="s">
        <v>1221</v>
      </c>
      <c r="H594" s="12" t="n">
        <v>1</v>
      </c>
      <c r="I594" s="4" t="s">
        <v>408</v>
      </c>
      <c r="J594" s="4" t="s">
        <v>416</v>
      </c>
      <c r="K594" s="13" t="n">
        <v>2500</v>
      </c>
      <c r="L594" s="6" t="n">
        <f aca="false">H594*K594</f>
        <v>2500</v>
      </c>
      <c r="M594" s="14" t="s">
        <v>410</v>
      </c>
    </row>
    <row r="595" customFormat="false" ht="23.85" hidden="false" customHeight="false" outlineLevel="0" collapsed="false">
      <c r="A595" s="4" t="s">
        <v>94</v>
      </c>
      <c r="B595" s="5" t="s">
        <v>103</v>
      </c>
      <c r="C595" s="5" t="s">
        <v>104</v>
      </c>
      <c r="D595" s="4" t="s">
        <v>22</v>
      </c>
      <c r="E595" s="4" t="s">
        <v>1052</v>
      </c>
      <c r="F595" s="4" t="s">
        <v>406</v>
      </c>
      <c r="G595" s="4" t="s">
        <v>1053</v>
      </c>
      <c r="H595" s="12" t="n">
        <v>1</v>
      </c>
      <c r="I595" s="4" t="s">
        <v>408</v>
      </c>
      <c r="J595" s="4" t="s">
        <v>409</v>
      </c>
      <c r="K595" s="13" t="n">
        <v>25000</v>
      </c>
      <c r="L595" s="6" t="n">
        <f aca="false">H595*K595</f>
        <v>25000</v>
      </c>
      <c r="M595" s="14" t="s">
        <v>410</v>
      </c>
    </row>
    <row r="596" customFormat="false" ht="23.85" hidden="false" customHeight="false" outlineLevel="0" collapsed="false">
      <c r="A596" s="4" t="s">
        <v>94</v>
      </c>
      <c r="B596" s="5" t="s">
        <v>103</v>
      </c>
      <c r="C596" s="5" t="s">
        <v>104</v>
      </c>
      <c r="D596" s="4" t="s">
        <v>22</v>
      </c>
      <c r="E596" s="4" t="s">
        <v>1058</v>
      </c>
      <c r="F596" s="4" t="s">
        <v>470</v>
      </c>
      <c r="G596" s="4" t="s">
        <v>1059</v>
      </c>
      <c r="H596" s="12" t="n">
        <v>1</v>
      </c>
      <c r="I596" s="4" t="s">
        <v>408</v>
      </c>
      <c r="J596" s="4" t="s">
        <v>409</v>
      </c>
      <c r="K596" s="13" t="n">
        <v>45000</v>
      </c>
      <c r="L596" s="6" t="n">
        <f aca="false">H596*K596</f>
        <v>45000</v>
      </c>
      <c r="M596" s="14" t="s">
        <v>410</v>
      </c>
    </row>
    <row r="597" customFormat="false" ht="23.85" hidden="false" customHeight="false" outlineLevel="0" collapsed="false">
      <c r="A597" s="4" t="s">
        <v>94</v>
      </c>
      <c r="B597" s="5" t="s">
        <v>103</v>
      </c>
      <c r="C597" s="5" t="s">
        <v>104</v>
      </c>
      <c r="D597" s="4" t="s">
        <v>22</v>
      </c>
      <c r="E597" s="4" t="s">
        <v>1060</v>
      </c>
      <c r="F597" s="4" t="s">
        <v>470</v>
      </c>
      <c r="G597" s="4" t="s">
        <v>1061</v>
      </c>
      <c r="H597" s="12" t="n">
        <v>1</v>
      </c>
      <c r="I597" s="4" t="s">
        <v>408</v>
      </c>
      <c r="J597" s="4" t="s">
        <v>409</v>
      </c>
      <c r="K597" s="13" t="n">
        <v>45000</v>
      </c>
      <c r="L597" s="6" t="n">
        <f aca="false">H597*K597</f>
        <v>45000</v>
      </c>
      <c r="M597" s="14" t="s">
        <v>410</v>
      </c>
    </row>
    <row r="598" customFormat="false" ht="23.85" hidden="false" customHeight="false" outlineLevel="0" collapsed="false">
      <c r="A598" s="4" t="s">
        <v>94</v>
      </c>
      <c r="B598" s="5" t="s">
        <v>103</v>
      </c>
      <c r="C598" s="5" t="s">
        <v>104</v>
      </c>
      <c r="D598" s="4" t="s">
        <v>22</v>
      </c>
      <c r="E598" s="4" t="s">
        <v>1062</v>
      </c>
      <c r="F598" s="4" t="s">
        <v>470</v>
      </c>
      <c r="G598" s="4" t="s">
        <v>1063</v>
      </c>
      <c r="H598" s="12" t="n">
        <v>1</v>
      </c>
      <c r="I598" s="4" t="s">
        <v>408</v>
      </c>
      <c r="J598" s="4" t="s">
        <v>409</v>
      </c>
      <c r="K598" s="13" t="n">
        <v>6500</v>
      </c>
      <c r="L598" s="6" t="n">
        <f aca="false">H598*K598</f>
        <v>6500</v>
      </c>
      <c r="M598" s="14" t="s">
        <v>410</v>
      </c>
    </row>
    <row r="599" customFormat="false" ht="23.85" hidden="false" customHeight="false" outlineLevel="0" collapsed="false">
      <c r="A599" s="4" t="s">
        <v>94</v>
      </c>
      <c r="B599" s="5" t="s">
        <v>103</v>
      </c>
      <c r="C599" s="5" t="s">
        <v>104</v>
      </c>
      <c r="D599" s="4" t="s">
        <v>22</v>
      </c>
      <c r="E599" s="4" t="s">
        <v>1064</v>
      </c>
      <c r="F599" s="4" t="s">
        <v>470</v>
      </c>
      <c r="G599" s="4" t="s">
        <v>1065</v>
      </c>
      <c r="H599" s="12" t="n">
        <v>1</v>
      </c>
      <c r="I599" s="4" t="s">
        <v>408</v>
      </c>
      <c r="J599" s="4" t="s">
        <v>543</v>
      </c>
      <c r="K599" s="13" t="n">
        <v>25000</v>
      </c>
      <c r="L599" s="6" t="n">
        <f aca="false">H599*K599</f>
        <v>25000</v>
      </c>
      <c r="M599" s="4" t="s">
        <v>371</v>
      </c>
    </row>
    <row r="600" customFormat="false" ht="23.85" hidden="false" customHeight="false" outlineLevel="0" collapsed="false">
      <c r="A600" s="4" t="s">
        <v>94</v>
      </c>
      <c r="B600" s="5" t="s">
        <v>103</v>
      </c>
      <c r="C600" s="5" t="s">
        <v>104</v>
      </c>
      <c r="D600" s="4" t="s">
        <v>22</v>
      </c>
      <c r="E600" s="4" t="s">
        <v>1066</v>
      </c>
      <c r="F600" s="4" t="s">
        <v>470</v>
      </c>
      <c r="G600" s="4" t="s">
        <v>1067</v>
      </c>
      <c r="H600" s="12" t="n">
        <v>1</v>
      </c>
      <c r="I600" s="4" t="s">
        <v>408</v>
      </c>
      <c r="J600" s="4" t="s">
        <v>543</v>
      </c>
      <c r="K600" s="13" t="n">
        <v>25000</v>
      </c>
      <c r="L600" s="6" t="n">
        <f aca="false">H600*K600</f>
        <v>25000</v>
      </c>
      <c r="M600" s="4" t="s">
        <v>371</v>
      </c>
    </row>
    <row r="601" customFormat="false" ht="23.85" hidden="false" customHeight="false" outlineLevel="0" collapsed="false">
      <c r="A601" s="4" t="s">
        <v>94</v>
      </c>
      <c r="B601" s="5" t="s">
        <v>103</v>
      </c>
      <c r="C601" s="5" t="s">
        <v>104</v>
      </c>
      <c r="D601" s="4" t="s">
        <v>22</v>
      </c>
      <c r="E601" s="4" t="s">
        <v>1222</v>
      </c>
      <c r="F601" s="4" t="s">
        <v>470</v>
      </c>
      <c r="G601" s="4" t="s">
        <v>1223</v>
      </c>
      <c r="H601" s="12" t="n">
        <v>1</v>
      </c>
      <c r="I601" s="4" t="s">
        <v>408</v>
      </c>
      <c r="J601" s="4" t="s">
        <v>409</v>
      </c>
      <c r="K601" s="13" t="n">
        <v>8500</v>
      </c>
      <c r="L601" s="6" t="n">
        <f aca="false">H601*K601</f>
        <v>8500</v>
      </c>
      <c r="M601" s="4" t="s">
        <v>371</v>
      </c>
    </row>
    <row r="602" customFormat="false" ht="23.85" hidden="false" customHeight="false" outlineLevel="0" collapsed="false">
      <c r="A602" s="4" t="s">
        <v>94</v>
      </c>
      <c r="B602" s="5" t="s">
        <v>103</v>
      </c>
      <c r="C602" s="5" t="s">
        <v>104</v>
      </c>
      <c r="D602" s="4" t="s">
        <v>22</v>
      </c>
      <c r="E602" s="4" t="s">
        <v>1224</v>
      </c>
      <c r="F602" s="4" t="s">
        <v>470</v>
      </c>
      <c r="G602" s="4" t="s">
        <v>1225</v>
      </c>
      <c r="H602" s="12" t="n">
        <v>1</v>
      </c>
      <c r="I602" s="4" t="s">
        <v>408</v>
      </c>
      <c r="J602" s="4" t="s">
        <v>416</v>
      </c>
      <c r="K602" s="13" t="n">
        <v>4500</v>
      </c>
      <c r="L602" s="6" t="n">
        <f aca="false">H602*K602</f>
        <v>4500</v>
      </c>
      <c r="M602" s="4" t="s">
        <v>371</v>
      </c>
    </row>
    <row r="603" customFormat="false" ht="23.85" hidden="false" customHeight="false" outlineLevel="0" collapsed="false">
      <c r="A603" s="4" t="s">
        <v>94</v>
      </c>
      <c r="B603" s="5" t="s">
        <v>103</v>
      </c>
      <c r="C603" s="5" t="s">
        <v>104</v>
      </c>
      <c r="D603" s="4" t="s">
        <v>22</v>
      </c>
      <c r="E603" s="4" t="s">
        <v>1226</v>
      </c>
      <c r="F603" s="4" t="s">
        <v>470</v>
      </c>
      <c r="G603" s="4" t="s">
        <v>1227</v>
      </c>
      <c r="H603" s="12" t="n">
        <v>1</v>
      </c>
      <c r="I603" s="4" t="s">
        <v>408</v>
      </c>
      <c r="J603" s="4" t="s">
        <v>409</v>
      </c>
      <c r="K603" s="13" t="n">
        <v>2500</v>
      </c>
      <c r="L603" s="6" t="n">
        <f aca="false">H603*K603</f>
        <v>2500</v>
      </c>
      <c r="M603" s="4" t="s">
        <v>371</v>
      </c>
    </row>
    <row r="604" customFormat="false" ht="23.85" hidden="false" customHeight="false" outlineLevel="0" collapsed="false">
      <c r="A604" s="4" t="s">
        <v>94</v>
      </c>
      <c r="B604" s="5" t="s">
        <v>103</v>
      </c>
      <c r="C604" s="5" t="s">
        <v>104</v>
      </c>
      <c r="D604" s="4" t="s">
        <v>22</v>
      </c>
      <c r="E604" s="4" t="s">
        <v>1106</v>
      </c>
      <c r="F604" s="4" t="s">
        <v>470</v>
      </c>
      <c r="G604" s="4" t="s">
        <v>1107</v>
      </c>
      <c r="H604" s="12" t="n">
        <v>1</v>
      </c>
      <c r="I604" s="4" t="s">
        <v>408</v>
      </c>
      <c r="J604" s="4" t="s">
        <v>413</v>
      </c>
      <c r="K604" s="13" t="n">
        <v>450</v>
      </c>
      <c r="L604" s="6" t="n">
        <f aca="false">H604*K604</f>
        <v>450</v>
      </c>
      <c r="M604" s="4" t="s">
        <v>371</v>
      </c>
    </row>
    <row r="605" customFormat="false" ht="23.85" hidden="false" customHeight="false" outlineLevel="0" collapsed="false">
      <c r="A605" s="4" t="s">
        <v>94</v>
      </c>
      <c r="B605" s="5" t="s">
        <v>103</v>
      </c>
      <c r="C605" s="5" t="s">
        <v>104</v>
      </c>
      <c r="D605" s="4" t="s">
        <v>22</v>
      </c>
      <c r="E605" s="4" t="s">
        <v>1228</v>
      </c>
      <c r="F605" s="4" t="s">
        <v>470</v>
      </c>
      <c r="G605" s="4" t="s">
        <v>1229</v>
      </c>
      <c r="H605" s="12" t="n">
        <v>1</v>
      </c>
      <c r="I605" s="4" t="s">
        <v>408</v>
      </c>
      <c r="J605" s="4" t="s">
        <v>416</v>
      </c>
      <c r="K605" s="13" t="n">
        <v>4500</v>
      </c>
      <c r="L605" s="6" t="n">
        <f aca="false">H605*K605</f>
        <v>4500</v>
      </c>
      <c r="M605" s="4" t="s">
        <v>371</v>
      </c>
    </row>
    <row r="606" customFormat="false" ht="23.85" hidden="false" customHeight="false" outlineLevel="0" collapsed="false">
      <c r="A606" s="4" t="s">
        <v>94</v>
      </c>
      <c r="B606" s="5" t="s">
        <v>103</v>
      </c>
      <c r="C606" s="5" t="s">
        <v>104</v>
      </c>
      <c r="D606" s="4" t="s">
        <v>22</v>
      </c>
      <c r="E606" s="4" t="s">
        <v>1136</v>
      </c>
      <c r="F606" s="4" t="s">
        <v>470</v>
      </c>
      <c r="G606" s="4" t="s">
        <v>1137</v>
      </c>
      <c r="H606" s="12" t="n">
        <v>1</v>
      </c>
      <c r="I606" s="4" t="s">
        <v>408</v>
      </c>
      <c r="J606" s="4" t="s">
        <v>416</v>
      </c>
      <c r="K606" s="13" t="n">
        <v>850</v>
      </c>
      <c r="L606" s="6" t="n">
        <f aca="false">H606*K606</f>
        <v>850</v>
      </c>
      <c r="M606" s="4" t="s">
        <v>371</v>
      </c>
    </row>
    <row r="607" customFormat="false" ht="23.85" hidden="false" customHeight="false" outlineLevel="0" collapsed="false">
      <c r="A607" s="4" t="s">
        <v>94</v>
      </c>
      <c r="B607" s="5" t="s">
        <v>103</v>
      </c>
      <c r="C607" s="5" t="s">
        <v>104</v>
      </c>
      <c r="D607" s="4" t="s">
        <v>22</v>
      </c>
      <c r="E607" s="4" t="s">
        <v>1138</v>
      </c>
      <c r="F607" s="4" t="s">
        <v>470</v>
      </c>
      <c r="G607" s="4" t="s">
        <v>1139</v>
      </c>
      <c r="H607" s="12" t="n">
        <v>1</v>
      </c>
      <c r="I607" s="4" t="s">
        <v>408</v>
      </c>
      <c r="J607" s="4" t="s">
        <v>416</v>
      </c>
      <c r="K607" s="13" t="n">
        <v>2500</v>
      </c>
      <c r="L607" s="6" t="n">
        <f aca="false">H607*K607</f>
        <v>2500</v>
      </c>
      <c r="M607" s="4" t="s">
        <v>371</v>
      </c>
    </row>
    <row r="608" customFormat="false" ht="23.85" hidden="false" customHeight="false" outlineLevel="0" collapsed="false">
      <c r="A608" s="4" t="s">
        <v>94</v>
      </c>
      <c r="B608" s="5" t="s">
        <v>103</v>
      </c>
      <c r="C608" s="5" t="s">
        <v>104</v>
      </c>
      <c r="D608" s="4" t="s">
        <v>22</v>
      </c>
      <c r="E608" s="4" t="s">
        <v>1140</v>
      </c>
      <c r="F608" s="4" t="s">
        <v>470</v>
      </c>
      <c r="G608" s="4" t="s">
        <v>1141</v>
      </c>
      <c r="H608" s="12" t="n">
        <v>1</v>
      </c>
      <c r="I608" s="4" t="s">
        <v>408</v>
      </c>
      <c r="J608" s="4" t="s">
        <v>409</v>
      </c>
      <c r="K608" s="13" t="n">
        <v>350</v>
      </c>
      <c r="L608" s="6" t="n">
        <f aca="false">H608*K608</f>
        <v>350</v>
      </c>
      <c r="M608" s="4" t="s">
        <v>371</v>
      </c>
    </row>
    <row r="609" customFormat="false" ht="23.85" hidden="false" customHeight="false" outlineLevel="0" collapsed="false">
      <c r="A609" s="4" t="s">
        <v>94</v>
      </c>
      <c r="B609" s="5" t="s">
        <v>103</v>
      </c>
      <c r="C609" s="5" t="s">
        <v>104</v>
      </c>
      <c r="D609" s="4" t="s">
        <v>22</v>
      </c>
      <c r="E609" s="4" t="s">
        <v>1230</v>
      </c>
      <c r="F609" s="4" t="s">
        <v>470</v>
      </c>
      <c r="G609" s="4" t="s">
        <v>1143</v>
      </c>
      <c r="H609" s="12" t="n">
        <v>1</v>
      </c>
      <c r="I609" s="4" t="s">
        <v>408</v>
      </c>
      <c r="J609" s="4" t="s">
        <v>416</v>
      </c>
      <c r="K609" s="13" t="n">
        <v>850</v>
      </c>
      <c r="L609" s="6" t="n">
        <f aca="false">H609*K609</f>
        <v>850</v>
      </c>
      <c r="M609" s="4" t="s">
        <v>371</v>
      </c>
    </row>
    <row r="610" customFormat="false" ht="23.85" hidden="false" customHeight="false" outlineLevel="0" collapsed="false">
      <c r="A610" s="4" t="s">
        <v>94</v>
      </c>
      <c r="B610" s="5" t="s">
        <v>103</v>
      </c>
      <c r="C610" s="5" t="s">
        <v>104</v>
      </c>
      <c r="D610" s="4" t="s">
        <v>22</v>
      </c>
      <c r="E610" s="4" t="s">
        <v>1144</v>
      </c>
      <c r="F610" s="4" t="s">
        <v>470</v>
      </c>
      <c r="G610" s="4" t="s">
        <v>1145</v>
      </c>
      <c r="H610" s="12" t="n">
        <v>1</v>
      </c>
      <c r="I610" s="4" t="s">
        <v>408</v>
      </c>
      <c r="J610" s="4" t="s">
        <v>416</v>
      </c>
      <c r="K610" s="13" t="n">
        <v>3500</v>
      </c>
      <c r="L610" s="6" t="n">
        <f aca="false">H610*K610</f>
        <v>3500</v>
      </c>
      <c r="M610" s="4" t="s">
        <v>371</v>
      </c>
    </row>
    <row r="611" customFormat="false" ht="23.85" hidden="false" customHeight="false" outlineLevel="0" collapsed="false">
      <c r="A611" s="4" t="s">
        <v>94</v>
      </c>
      <c r="B611" s="5" t="s">
        <v>103</v>
      </c>
      <c r="C611" s="5" t="s">
        <v>104</v>
      </c>
      <c r="D611" s="4" t="s">
        <v>22</v>
      </c>
      <c r="E611" s="4" t="s">
        <v>1146</v>
      </c>
      <c r="F611" s="4" t="s">
        <v>470</v>
      </c>
      <c r="G611" s="4" t="s">
        <v>1147</v>
      </c>
      <c r="H611" s="12" t="n">
        <v>1</v>
      </c>
      <c r="I611" s="4" t="s">
        <v>408</v>
      </c>
      <c r="J611" s="4" t="s">
        <v>416</v>
      </c>
      <c r="K611" s="13" t="n">
        <v>2500</v>
      </c>
      <c r="L611" s="6" t="n">
        <f aca="false">H611*K611</f>
        <v>2500</v>
      </c>
      <c r="M611" s="4" t="s">
        <v>371</v>
      </c>
    </row>
    <row r="612" customFormat="false" ht="23.85" hidden="false" customHeight="false" outlineLevel="0" collapsed="false">
      <c r="A612" s="4" t="s">
        <v>94</v>
      </c>
      <c r="B612" s="5" t="s">
        <v>103</v>
      </c>
      <c r="C612" s="5" t="s">
        <v>104</v>
      </c>
      <c r="D612" s="4" t="s">
        <v>22</v>
      </c>
      <c r="E612" s="4" t="s">
        <v>1148</v>
      </c>
      <c r="F612" s="4" t="s">
        <v>470</v>
      </c>
      <c r="G612" s="4" t="s">
        <v>1149</v>
      </c>
      <c r="H612" s="12" t="n">
        <v>1</v>
      </c>
      <c r="I612" s="4" t="s">
        <v>408</v>
      </c>
      <c r="J612" s="4" t="s">
        <v>409</v>
      </c>
      <c r="K612" s="13" t="n">
        <v>450</v>
      </c>
      <c r="L612" s="6" t="n">
        <f aca="false">H612*K612</f>
        <v>450</v>
      </c>
      <c r="M612" s="4" t="s">
        <v>371</v>
      </c>
    </row>
    <row r="613" customFormat="false" ht="23.85" hidden="false" customHeight="false" outlineLevel="0" collapsed="false">
      <c r="A613" s="4" t="s">
        <v>94</v>
      </c>
      <c r="B613" s="5" t="s">
        <v>103</v>
      </c>
      <c r="C613" s="5" t="s">
        <v>104</v>
      </c>
      <c r="D613" s="4" t="s">
        <v>22</v>
      </c>
      <c r="E613" s="4" t="s">
        <v>1150</v>
      </c>
      <c r="F613" s="4" t="s">
        <v>470</v>
      </c>
      <c r="G613" s="4" t="s">
        <v>1151</v>
      </c>
      <c r="H613" s="12" t="n">
        <v>1</v>
      </c>
      <c r="I613" s="4" t="s">
        <v>408</v>
      </c>
      <c r="J613" s="4" t="s">
        <v>416</v>
      </c>
      <c r="K613" s="13" t="n">
        <v>1200</v>
      </c>
      <c r="L613" s="6" t="n">
        <f aca="false">H613*K613</f>
        <v>1200</v>
      </c>
      <c r="M613" s="4" t="s">
        <v>371</v>
      </c>
    </row>
    <row r="614" customFormat="false" ht="23.85" hidden="false" customHeight="false" outlineLevel="0" collapsed="false">
      <c r="A614" s="4" t="s">
        <v>94</v>
      </c>
      <c r="B614" s="5" t="s">
        <v>103</v>
      </c>
      <c r="C614" s="5" t="s">
        <v>104</v>
      </c>
      <c r="D614" s="4" t="s">
        <v>22</v>
      </c>
      <c r="E614" s="4" t="s">
        <v>1152</v>
      </c>
      <c r="F614" s="4" t="s">
        <v>470</v>
      </c>
      <c r="G614" s="4" t="s">
        <v>1153</v>
      </c>
      <c r="H614" s="12" t="n">
        <v>1</v>
      </c>
      <c r="I614" s="4" t="s">
        <v>408</v>
      </c>
      <c r="J614" s="4" t="s">
        <v>416</v>
      </c>
      <c r="K614" s="13" t="n">
        <v>2500</v>
      </c>
      <c r="L614" s="6" t="n">
        <f aca="false">H614*K614</f>
        <v>2500</v>
      </c>
      <c r="M614" s="4" t="s">
        <v>371</v>
      </c>
    </row>
    <row r="615" customFormat="false" ht="23.85" hidden="false" customHeight="false" outlineLevel="0" collapsed="false">
      <c r="A615" s="4" t="s">
        <v>94</v>
      </c>
      <c r="B615" s="5" t="s">
        <v>103</v>
      </c>
      <c r="C615" s="5" t="s">
        <v>104</v>
      </c>
      <c r="D615" s="4" t="s">
        <v>22</v>
      </c>
      <c r="E615" s="4" t="s">
        <v>1231</v>
      </c>
      <c r="F615" s="4" t="s">
        <v>470</v>
      </c>
      <c r="G615" s="4" t="s">
        <v>1232</v>
      </c>
      <c r="H615" s="12" t="n">
        <v>1</v>
      </c>
      <c r="I615" s="4" t="s">
        <v>474</v>
      </c>
      <c r="J615" s="4" t="s">
        <v>409</v>
      </c>
      <c r="K615" s="13" t="n">
        <v>85000</v>
      </c>
      <c r="L615" s="6" t="n">
        <f aca="false">H615*K615</f>
        <v>85000</v>
      </c>
      <c r="M615" s="4" t="s">
        <v>371</v>
      </c>
    </row>
    <row r="616" customFormat="false" ht="23.85" hidden="false" customHeight="false" outlineLevel="0" collapsed="false">
      <c r="A616" s="4" t="s">
        <v>94</v>
      </c>
      <c r="B616" s="5" t="s">
        <v>103</v>
      </c>
      <c r="C616" s="5" t="s">
        <v>104</v>
      </c>
      <c r="D616" s="4" t="s">
        <v>22</v>
      </c>
      <c r="E616" s="4" t="s">
        <v>1233</v>
      </c>
      <c r="F616" s="4" t="s">
        <v>470</v>
      </c>
      <c r="G616" s="4" t="s">
        <v>1234</v>
      </c>
      <c r="H616" s="12" t="n">
        <v>1</v>
      </c>
      <c r="I616" s="4" t="s">
        <v>474</v>
      </c>
      <c r="J616" s="4" t="s">
        <v>409</v>
      </c>
      <c r="K616" s="13" t="n">
        <v>3500</v>
      </c>
      <c r="L616" s="6" t="n">
        <f aca="false">H616*K616</f>
        <v>3500</v>
      </c>
      <c r="M616" s="4" t="s">
        <v>371</v>
      </c>
    </row>
    <row r="617" customFormat="false" ht="23.85" hidden="false" customHeight="false" outlineLevel="0" collapsed="false">
      <c r="A617" s="4" t="s">
        <v>94</v>
      </c>
      <c r="B617" s="5" t="s">
        <v>103</v>
      </c>
      <c r="C617" s="5" t="s">
        <v>104</v>
      </c>
      <c r="D617" s="4" t="s">
        <v>22</v>
      </c>
      <c r="E617" s="4" t="s">
        <v>1112</v>
      </c>
      <c r="F617" s="4" t="s">
        <v>470</v>
      </c>
      <c r="G617" s="4" t="s">
        <v>1113</v>
      </c>
      <c r="H617" s="12" t="n">
        <v>1</v>
      </c>
      <c r="I617" s="4" t="s">
        <v>474</v>
      </c>
      <c r="J617" s="4" t="s">
        <v>409</v>
      </c>
      <c r="K617" s="13" t="n">
        <v>450</v>
      </c>
      <c r="L617" s="6" t="n">
        <f aca="false">H617*K617</f>
        <v>450</v>
      </c>
      <c r="M617" s="4" t="s">
        <v>371</v>
      </c>
    </row>
    <row r="618" customFormat="false" ht="23.85" hidden="false" customHeight="false" outlineLevel="0" collapsed="false">
      <c r="A618" s="4" t="s">
        <v>94</v>
      </c>
      <c r="B618" s="5" t="s">
        <v>103</v>
      </c>
      <c r="C618" s="5" t="s">
        <v>104</v>
      </c>
      <c r="D618" s="4" t="s">
        <v>22</v>
      </c>
      <c r="E618" s="4" t="s">
        <v>1114</v>
      </c>
      <c r="F618" s="4" t="s">
        <v>470</v>
      </c>
      <c r="G618" s="4" t="s">
        <v>1115</v>
      </c>
      <c r="H618" s="12" t="n">
        <v>1</v>
      </c>
      <c r="I618" s="4" t="s">
        <v>474</v>
      </c>
      <c r="J618" s="4" t="s">
        <v>409</v>
      </c>
      <c r="K618" s="13" t="n">
        <v>450</v>
      </c>
      <c r="L618" s="6" t="n">
        <f aca="false">H618*K618</f>
        <v>450</v>
      </c>
      <c r="M618" s="4" t="s">
        <v>371</v>
      </c>
    </row>
    <row r="619" customFormat="false" ht="23.85" hidden="false" customHeight="false" outlineLevel="0" collapsed="false">
      <c r="A619" s="4" t="s">
        <v>94</v>
      </c>
      <c r="B619" s="5" t="s">
        <v>103</v>
      </c>
      <c r="C619" s="5" t="s">
        <v>104</v>
      </c>
      <c r="D619" s="4" t="s">
        <v>22</v>
      </c>
      <c r="E619" s="4" t="s">
        <v>1116</v>
      </c>
      <c r="F619" s="4" t="s">
        <v>470</v>
      </c>
      <c r="G619" s="4" t="s">
        <v>1117</v>
      </c>
      <c r="H619" s="12" t="n">
        <v>1</v>
      </c>
      <c r="I619" s="4" t="s">
        <v>474</v>
      </c>
      <c r="J619" s="4" t="s">
        <v>409</v>
      </c>
      <c r="K619" s="13" t="n">
        <v>3500</v>
      </c>
      <c r="L619" s="6" t="n">
        <f aca="false">H619*K619</f>
        <v>3500</v>
      </c>
      <c r="M619" s="4" t="s">
        <v>371</v>
      </c>
    </row>
    <row r="620" customFormat="false" ht="23.85" hidden="false" customHeight="false" outlineLevel="0" collapsed="false">
      <c r="A620" s="4" t="s">
        <v>94</v>
      </c>
      <c r="B620" s="5" t="s">
        <v>103</v>
      </c>
      <c r="C620" s="5" t="s">
        <v>104</v>
      </c>
      <c r="D620" s="4" t="s">
        <v>22</v>
      </c>
      <c r="E620" s="4" t="s">
        <v>1235</v>
      </c>
      <c r="F620" s="4" t="s">
        <v>470</v>
      </c>
      <c r="G620" s="4" t="s">
        <v>1236</v>
      </c>
      <c r="H620" s="12" t="n">
        <v>1</v>
      </c>
      <c r="I620" s="4" t="s">
        <v>474</v>
      </c>
      <c r="J620" s="4" t="s">
        <v>409</v>
      </c>
      <c r="K620" s="13" t="n">
        <v>180000</v>
      </c>
      <c r="L620" s="6" t="n">
        <f aca="false">H620*K620</f>
        <v>180000</v>
      </c>
      <c r="M620" s="4" t="s">
        <v>371</v>
      </c>
    </row>
    <row r="621" customFormat="false" ht="23.85" hidden="false" customHeight="false" outlineLevel="0" collapsed="false">
      <c r="A621" s="4" t="s">
        <v>94</v>
      </c>
      <c r="B621" s="5" t="s">
        <v>103</v>
      </c>
      <c r="C621" s="5" t="s">
        <v>104</v>
      </c>
      <c r="D621" s="4" t="s">
        <v>22</v>
      </c>
      <c r="E621" s="4" t="s">
        <v>1237</v>
      </c>
      <c r="F621" s="4" t="s">
        <v>470</v>
      </c>
      <c r="G621" s="4" t="s">
        <v>1238</v>
      </c>
      <c r="H621" s="12" t="n">
        <v>1</v>
      </c>
      <c r="I621" s="4" t="s">
        <v>474</v>
      </c>
      <c r="J621" s="4" t="s">
        <v>409</v>
      </c>
      <c r="K621" s="13" t="n">
        <v>120000</v>
      </c>
      <c r="L621" s="6" t="n">
        <f aca="false">H621*K621</f>
        <v>120000</v>
      </c>
      <c r="M621" s="4" t="s">
        <v>371</v>
      </c>
    </row>
    <row r="622" customFormat="false" ht="23.85" hidden="false" customHeight="false" outlineLevel="0" collapsed="false">
      <c r="A622" s="4" t="s">
        <v>94</v>
      </c>
      <c r="B622" s="5" t="s">
        <v>103</v>
      </c>
      <c r="C622" s="5" t="s">
        <v>104</v>
      </c>
      <c r="D622" s="4" t="s">
        <v>22</v>
      </c>
      <c r="E622" s="4" t="s">
        <v>1239</v>
      </c>
      <c r="F622" s="4" t="s">
        <v>470</v>
      </c>
      <c r="G622" s="4" t="s">
        <v>1240</v>
      </c>
      <c r="H622" s="12" t="n">
        <v>1</v>
      </c>
      <c r="I622" s="4" t="s">
        <v>474</v>
      </c>
      <c r="J622" s="4" t="s">
        <v>409</v>
      </c>
      <c r="K622" s="13" t="n">
        <v>25000</v>
      </c>
      <c r="L622" s="6" t="n">
        <f aca="false">H622*K622</f>
        <v>25000</v>
      </c>
      <c r="M622" s="4" t="s">
        <v>371</v>
      </c>
    </row>
    <row r="623" customFormat="false" ht="23.85" hidden="false" customHeight="false" outlineLevel="0" collapsed="false">
      <c r="A623" s="4" t="s">
        <v>94</v>
      </c>
      <c r="B623" s="5" t="s">
        <v>103</v>
      </c>
      <c r="C623" s="5" t="s">
        <v>104</v>
      </c>
      <c r="D623" s="4" t="s">
        <v>22</v>
      </c>
      <c r="E623" s="4" t="s">
        <v>1241</v>
      </c>
      <c r="F623" s="4" t="s">
        <v>488</v>
      </c>
      <c r="G623" s="4" t="s">
        <v>1242</v>
      </c>
      <c r="H623" s="12" t="n">
        <v>1</v>
      </c>
      <c r="I623" s="4" t="s">
        <v>408</v>
      </c>
      <c r="J623" s="4" t="s">
        <v>416</v>
      </c>
      <c r="K623" s="13" t="n">
        <v>2500</v>
      </c>
      <c r="L623" s="6" t="n">
        <f aca="false">H623*K623</f>
        <v>2500</v>
      </c>
      <c r="M623" s="4" t="s">
        <v>371</v>
      </c>
    </row>
    <row r="624" customFormat="false" ht="23.85" hidden="false" customHeight="false" outlineLevel="0" collapsed="false">
      <c r="A624" s="4" t="s">
        <v>94</v>
      </c>
      <c r="B624" s="5" t="s">
        <v>103</v>
      </c>
      <c r="C624" s="5" t="s">
        <v>104</v>
      </c>
      <c r="D624" s="4" t="s">
        <v>22</v>
      </c>
      <c r="E624" s="4" t="s">
        <v>1243</v>
      </c>
      <c r="F624" s="4" t="s">
        <v>488</v>
      </c>
      <c r="G624" s="4" t="s">
        <v>1244</v>
      </c>
      <c r="H624" s="12" t="n">
        <v>1</v>
      </c>
      <c r="I624" s="4" t="s">
        <v>408</v>
      </c>
      <c r="J624" s="4" t="s">
        <v>503</v>
      </c>
      <c r="K624" s="13" t="n">
        <v>180</v>
      </c>
      <c r="L624" s="6" t="n">
        <f aca="false">H624*K624</f>
        <v>180</v>
      </c>
      <c r="M624" s="4" t="s">
        <v>371</v>
      </c>
    </row>
    <row r="625" customFormat="false" ht="15" hidden="false" customHeight="false" outlineLevel="0" collapsed="false">
      <c r="A625" s="4" t="s">
        <v>107</v>
      </c>
      <c r="B625" s="5" t="s">
        <v>118</v>
      </c>
      <c r="C625" s="5" t="s">
        <v>119</v>
      </c>
      <c r="D625" s="4" t="s">
        <v>22</v>
      </c>
      <c r="E625" s="4" t="s">
        <v>1245</v>
      </c>
      <c r="F625" s="4" t="s">
        <v>406</v>
      </c>
      <c r="G625" s="4" t="s">
        <v>1246</v>
      </c>
      <c r="H625" s="12" t="n">
        <v>1</v>
      </c>
      <c r="I625" s="4" t="s">
        <v>408</v>
      </c>
      <c r="J625" s="4" t="s">
        <v>409</v>
      </c>
      <c r="K625" s="13" t="n">
        <v>6500</v>
      </c>
      <c r="L625" s="6" t="n">
        <f aca="false">H625*K625</f>
        <v>6500</v>
      </c>
      <c r="M625" s="4" t="s">
        <v>371</v>
      </c>
    </row>
    <row r="626" customFormat="false" ht="15" hidden="false" customHeight="false" outlineLevel="0" collapsed="false">
      <c r="A626" s="4" t="s">
        <v>107</v>
      </c>
      <c r="B626" s="5" t="s">
        <v>118</v>
      </c>
      <c r="C626" s="5" t="s">
        <v>119</v>
      </c>
      <c r="D626" s="4" t="s">
        <v>22</v>
      </c>
      <c r="E626" s="4" t="s">
        <v>1247</v>
      </c>
      <c r="F626" s="4" t="s">
        <v>470</v>
      </c>
      <c r="G626" s="4" t="s">
        <v>1248</v>
      </c>
      <c r="H626" s="12" t="n">
        <v>1</v>
      </c>
      <c r="I626" s="4" t="s">
        <v>408</v>
      </c>
      <c r="J626" s="4" t="s">
        <v>409</v>
      </c>
      <c r="K626" s="13" t="n">
        <v>35000</v>
      </c>
      <c r="L626" s="6" t="n">
        <f aca="false">H626*K626</f>
        <v>35000</v>
      </c>
      <c r="M626" s="14" t="s">
        <v>410</v>
      </c>
    </row>
    <row r="627" customFormat="false" ht="15" hidden="false" customHeight="false" outlineLevel="0" collapsed="false">
      <c r="A627" s="4" t="s">
        <v>107</v>
      </c>
      <c r="B627" s="5" t="s">
        <v>118</v>
      </c>
      <c r="C627" s="5" t="s">
        <v>119</v>
      </c>
      <c r="D627" s="4" t="s">
        <v>22</v>
      </c>
      <c r="E627" s="4" t="s">
        <v>1249</v>
      </c>
      <c r="F627" s="4" t="s">
        <v>470</v>
      </c>
      <c r="G627" s="4" t="s">
        <v>1250</v>
      </c>
      <c r="H627" s="12" t="n">
        <v>1</v>
      </c>
      <c r="I627" s="4" t="s">
        <v>408</v>
      </c>
      <c r="J627" s="4" t="s">
        <v>409</v>
      </c>
      <c r="K627" s="13" t="n">
        <v>55000</v>
      </c>
      <c r="L627" s="6" t="n">
        <f aca="false">H627*K627</f>
        <v>55000</v>
      </c>
      <c r="M627" s="4" t="s">
        <v>371</v>
      </c>
    </row>
    <row r="628" customFormat="false" ht="15" hidden="false" customHeight="false" outlineLevel="0" collapsed="false">
      <c r="A628" s="4" t="s">
        <v>107</v>
      </c>
      <c r="B628" s="5" t="s">
        <v>118</v>
      </c>
      <c r="C628" s="5" t="s">
        <v>119</v>
      </c>
      <c r="D628" s="4" t="s">
        <v>22</v>
      </c>
      <c r="E628" s="4" t="s">
        <v>1251</v>
      </c>
      <c r="F628" s="4" t="s">
        <v>470</v>
      </c>
      <c r="G628" s="4" t="s">
        <v>1252</v>
      </c>
      <c r="H628" s="12" t="n">
        <v>1</v>
      </c>
      <c r="I628" s="4" t="s">
        <v>408</v>
      </c>
      <c r="J628" s="4" t="s">
        <v>543</v>
      </c>
      <c r="K628" s="13" t="n">
        <v>12000</v>
      </c>
      <c r="L628" s="6" t="n">
        <f aca="false">H628*K628</f>
        <v>12000</v>
      </c>
      <c r="M628" s="4" t="s">
        <v>371</v>
      </c>
    </row>
    <row r="629" customFormat="false" ht="15" hidden="false" customHeight="false" outlineLevel="0" collapsed="false">
      <c r="A629" s="4" t="s">
        <v>107</v>
      </c>
      <c r="B629" s="5" t="s">
        <v>118</v>
      </c>
      <c r="C629" s="5" t="s">
        <v>119</v>
      </c>
      <c r="D629" s="4" t="s">
        <v>22</v>
      </c>
      <c r="E629" s="4" t="s">
        <v>1253</v>
      </c>
      <c r="F629" s="4" t="s">
        <v>470</v>
      </c>
      <c r="G629" s="4" t="s">
        <v>1254</v>
      </c>
      <c r="H629" s="12" t="n">
        <v>1</v>
      </c>
      <c r="I629" s="4" t="s">
        <v>408</v>
      </c>
      <c r="J629" s="4" t="s">
        <v>409</v>
      </c>
      <c r="K629" s="13" t="n">
        <v>8500</v>
      </c>
      <c r="L629" s="6" t="n">
        <f aca="false">H629*K629</f>
        <v>8500</v>
      </c>
      <c r="M629" s="14" t="s">
        <v>410</v>
      </c>
    </row>
    <row r="630" customFormat="false" ht="15" hidden="false" customHeight="false" outlineLevel="0" collapsed="false">
      <c r="A630" s="4" t="s">
        <v>107</v>
      </c>
      <c r="B630" s="5" t="s">
        <v>118</v>
      </c>
      <c r="C630" s="5" t="s">
        <v>119</v>
      </c>
      <c r="D630" s="4" t="s">
        <v>22</v>
      </c>
      <c r="E630" s="4" t="s">
        <v>1255</v>
      </c>
      <c r="F630" s="4" t="s">
        <v>470</v>
      </c>
      <c r="G630" s="4" t="s">
        <v>1256</v>
      </c>
      <c r="H630" s="12" t="n">
        <v>1</v>
      </c>
      <c r="I630" s="4" t="s">
        <v>408</v>
      </c>
      <c r="J630" s="4" t="s">
        <v>409</v>
      </c>
      <c r="K630" s="13" t="n">
        <v>65000</v>
      </c>
      <c r="L630" s="6" t="n">
        <f aca="false">H630*K630</f>
        <v>65000</v>
      </c>
      <c r="M630" s="14" t="s">
        <v>410</v>
      </c>
    </row>
    <row r="631" customFormat="false" ht="15" hidden="false" customHeight="false" outlineLevel="0" collapsed="false">
      <c r="A631" s="4" t="s">
        <v>107</v>
      </c>
      <c r="B631" s="5" t="s">
        <v>118</v>
      </c>
      <c r="C631" s="5" t="s">
        <v>119</v>
      </c>
      <c r="D631" s="4" t="s">
        <v>22</v>
      </c>
      <c r="E631" s="4" t="s">
        <v>1257</v>
      </c>
      <c r="F631" s="4" t="s">
        <v>470</v>
      </c>
      <c r="G631" s="4" t="s">
        <v>1258</v>
      </c>
      <c r="H631" s="12" t="n">
        <v>1</v>
      </c>
      <c r="I631" s="4" t="s">
        <v>408</v>
      </c>
      <c r="J631" s="4" t="s">
        <v>409</v>
      </c>
      <c r="K631" s="13" t="n">
        <v>8500</v>
      </c>
      <c r="L631" s="6" t="n">
        <f aca="false">H631*K631</f>
        <v>8500</v>
      </c>
      <c r="M631" s="4" t="s">
        <v>371</v>
      </c>
    </row>
    <row r="632" customFormat="false" ht="15" hidden="false" customHeight="false" outlineLevel="0" collapsed="false">
      <c r="A632" s="4" t="s">
        <v>107</v>
      </c>
      <c r="B632" s="5" t="s">
        <v>118</v>
      </c>
      <c r="C632" s="5" t="s">
        <v>119</v>
      </c>
      <c r="D632" s="4" t="s">
        <v>22</v>
      </c>
      <c r="E632" s="4" t="s">
        <v>1259</v>
      </c>
      <c r="F632" s="4" t="s">
        <v>488</v>
      </c>
      <c r="G632" s="4" t="s">
        <v>1260</v>
      </c>
      <c r="H632" s="12" t="n">
        <v>1</v>
      </c>
      <c r="I632" s="4" t="s">
        <v>408</v>
      </c>
      <c r="J632" s="4" t="s">
        <v>409</v>
      </c>
      <c r="K632" s="13" t="n">
        <v>25</v>
      </c>
      <c r="L632" s="6" t="n">
        <f aca="false">H632*K632</f>
        <v>25</v>
      </c>
      <c r="M632" s="4" t="s">
        <v>371</v>
      </c>
    </row>
    <row r="633" customFormat="false" ht="15" hidden="false" customHeight="false" outlineLevel="0" collapsed="false">
      <c r="A633" s="4" t="s">
        <v>120</v>
      </c>
      <c r="B633" s="5" t="s">
        <v>121</v>
      </c>
      <c r="C633" s="5" t="s">
        <v>122</v>
      </c>
      <c r="D633" s="4" t="s">
        <v>22</v>
      </c>
      <c r="E633" s="4" t="s">
        <v>1261</v>
      </c>
      <c r="F633" s="4" t="s">
        <v>406</v>
      </c>
      <c r="G633" s="4" t="s">
        <v>1262</v>
      </c>
      <c r="H633" s="12" t="n">
        <v>1</v>
      </c>
      <c r="I633" s="4" t="s">
        <v>408</v>
      </c>
      <c r="J633" s="4" t="s">
        <v>409</v>
      </c>
      <c r="K633" s="13" t="n">
        <v>80</v>
      </c>
      <c r="L633" s="6" t="n">
        <f aca="false">H633*K633</f>
        <v>80</v>
      </c>
      <c r="M633" s="14" t="s">
        <v>410</v>
      </c>
    </row>
    <row r="634" customFormat="false" ht="15" hidden="false" customHeight="false" outlineLevel="0" collapsed="false">
      <c r="A634" s="4" t="s">
        <v>120</v>
      </c>
      <c r="B634" s="5" t="s">
        <v>121</v>
      </c>
      <c r="C634" s="5" t="s">
        <v>122</v>
      </c>
      <c r="D634" s="4" t="s">
        <v>22</v>
      </c>
      <c r="E634" s="4" t="s">
        <v>1263</v>
      </c>
      <c r="F634" s="4" t="s">
        <v>406</v>
      </c>
      <c r="G634" s="4" t="s">
        <v>1264</v>
      </c>
      <c r="H634" s="12" t="n">
        <v>1</v>
      </c>
      <c r="I634" s="4" t="s">
        <v>408</v>
      </c>
      <c r="J634" s="4" t="s">
        <v>409</v>
      </c>
      <c r="K634" s="13" t="n">
        <v>80</v>
      </c>
      <c r="L634" s="6" t="n">
        <f aca="false">H634*K634</f>
        <v>80</v>
      </c>
      <c r="M634" s="14" t="s">
        <v>410</v>
      </c>
    </row>
    <row r="635" customFormat="false" ht="15" hidden="false" customHeight="false" outlineLevel="0" collapsed="false">
      <c r="A635" s="4" t="s">
        <v>120</v>
      </c>
      <c r="B635" s="5" t="s">
        <v>121</v>
      </c>
      <c r="C635" s="5" t="s">
        <v>122</v>
      </c>
      <c r="D635" s="4" t="s">
        <v>22</v>
      </c>
      <c r="E635" s="4" t="s">
        <v>1265</v>
      </c>
      <c r="F635" s="4" t="s">
        <v>406</v>
      </c>
      <c r="G635" s="4" t="s">
        <v>1266</v>
      </c>
      <c r="H635" s="12" t="n">
        <v>1</v>
      </c>
      <c r="I635" s="4" t="s">
        <v>408</v>
      </c>
      <c r="J635" s="4" t="s">
        <v>409</v>
      </c>
      <c r="K635" s="13" t="n">
        <v>120</v>
      </c>
      <c r="L635" s="6" t="n">
        <f aca="false">H635*K635</f>
        <v>120</v>
      </c>
      <c r="M635" s="14" t="s">
        <v>410</v>
      </c>
    </row>
    <row r="636" customFormat="false" ht="15" hidden="false" customHeight="false" outlineLevel="0" collapsed="false">
      <c r="A636" s="4" t="s">
        <v>120</v>
      </c>
      <c r="B636" s="5" t="s">
        <v>121</v>
      </c>
      <c r="C636" s="5" t="s">
        <v>122</v>
      </c>
      <c r="D636" s="4" t="s">
        <v>22</v>
      </c>
      <c r="E636" s="4" t="s">
        <v>1267</v>
      </c>
      <c r="F636" s="4" t="s">
        <v>406</v>
      </c>
      <c r="G636" s="4" t="s">
        <v>1268</v>
      </c>
      <c r="H636" s="12" t="n">
        <v>1</v>
      </c>
      <c r="I636" s="4" t="s">
        <v>408</v>
      </c>
      <c r="J636" s="4" t="s">
        <v>409</v>
      </c>
      <c r="K636" s="13" t="n">
        <v>180</v>
      </c>
      <c r="L636" s="6" t="n">
        <f aca="false">H636*K636</f>
        <v>180</v>
      </c>
      <c r="M636" s="14" t="s">
        <v>410</v>
      </c>
    </row>
    <row r="637" customFormat="false" ht="15" hidden="false" customHeight="false" outlineLevel="0" collapsed="false">
      <c r="A637" s="4" t="s">
        <v>120</v>
      </c>
      <c r="B637" s="5" t="s">
        <v>121</v>
      </c>
      <c r="C637" s="5" t="s">
        <v>122</v>
      </c>
      <c r="D637" s="4" t="s">
        <v>22</v>
      </c>
      <c r="E637" s="4" t="s">
        <v>1269</v>
      </c>
      <c r="F637" s="4" t="s">
        <v>406</v>
      </c>
      <c r="G637" s="4" t="s">
        <v>1270</v>
      </c>
      <c r="H637" s="12" t="n">
        <v>1</v>
      </c>
      <c r="I637" s="4" t="s">
        <v>408</v>
      </c>
      <c r="J637" s="4" t="s">
        <v>409</v>
      </c>
      <c r="K637" s="13" t="n">
        <v>80</v>
      </c>
      <c r="L637" s="6" t="n">
        <f aca="false">H637*K637</f>
        <v>80</v>
      </c>
      <c r="M637" s="14" t="s">
        <v>410</v>
      </c>
    </row>
    <row r="638" customFormat="false" ht="15" hidden="false" customHeight="false" outlineLevel="0" collapsed="false">
      <c r="A638" s="4" t="s">
        <v>120</v>
      </c>
      <c r="B638" s="5" t="s">
        <v>121</v>
      </c>
      <c r="C638" s="5" t="s">
        <v>122</v>
      </c>
      <c r="D638" s="4" t="s">
        <v>22</v>
      </c>
      <c r="E638" s="4" t="s">
        <v>1271</v>
      </c>
      <c r="F638" s="4" t="s">
        <v>406</v>
      </c>
      <c r="G638" s="4" t="s">
        <v>1272</v>
      </c>
      <c r="H638" s="12" t="n">
        <v>1</v>
      </c>
      <c r="I638" s="4" t="s">
        <v>408</v>
      </c>
      <c r="J638" s="4" t="s">
        <v>409</v>
      </c>
      <c r="K638" s="13" t="n">
        <v>450</v>
      </c>
      <c r="L638" s="6" t="n">
        <f aca="false">H638*K638</f>
        <v>450</v>
      </c>
      <c r="M638" s="14" t="s">
        <v>410</v>
      </c>
    </row>
    <row r="639" customFormat="false" ht="15" hidden="false" customHeight="false" outlineLevel="0" collapsed="false">
      <c r="A639" s="4" t="s">
        <v>120</v>
      </c>
      <c r="B639" s="5" t="s">
        <v>121</v>
      </c>
      <c r="C639" s="5" t="s">
        <v>122</v>
      </c>
      <c r="D639" s="4" t="s">
        <v>22</v>
      </c>
      <c r="E639" s="4" t="s">
        <v>1273</v>
      </c>
      <c r="F639" s="4" t="s">
        <v>406</v>
      </c>
      <c r="G639" s="4" t="s">
        <v>1274</v>
      </c>
      <c r="H639" s="12" t="n">
        <v>1</v>
      </c>
      <c r="I639" s="4" t="s">
        <v>408</v>
      </c>
      <c r="J639" s="4" t="s">
        <v>409</v>
      </c>
      <c r="K639" s="13" t="n">
        <v>120</v>
      </c>
      <c r="L639" s="6" t="n">
        <f aca="false">H639*K639</f>
        <v>120</v>
      </c>
      <c r="M639" s="14" t="s">
        <v>410</v>
      </c>
    </row>
    <row r="640" customFormat="false" ht="15" hidden="false" customHeight="false" outlineLevel="0" collapsed="false">
      <c r="A640" s="4" t="s">
        <v>120</v>
      </c>
      <c r="B640" s="5" t="s">
        <v>121</v>
      </c>
      <c r="C640" s="5" t="s">
        <v>122</v>
      </c>
      <c r="D640" s="4" t="s">
        <v>22</v>
      </c>
      <c r="E640" s="4" t="s">
        <v>1275</v>
      </c>
      <c r="F640" s="4" t="s">
        <v>406</v>
      </c>
      <c r="G640" s="4" t="s">
        <v>1276</v>
      </c>
      <c r="H640" s="12" t="n">
        <v>1</v>
      </c>
      <c r="I640" s="4" t="s">
        <v>408</v>
      </c>
      <c r="J640" s="4" t="s">
        <v>416</v>
      </c>
      <c r="K640" s="13" t="n">
        <v>450</v>
      </c>
      <c r="L640" s="6" t="n">
        <f aca="false">H640*K640</f>
        <v>450</v>
      </c>
      <c r="M640" s="4" t="s">
        <v>371</v>
      </c>
    </row>
    <row r="641" customFormat="false" ht="15" hidden="false" customHeight="false" outlineLevel="0" collapsed="false">
      <c r="A641" s="4" t="s">
        <v>120</v>
      </c>
      <c r="B641" s="5" t="s">
        <v>121</v>
      </c>
      <c r="C641" s="5" t="s">
        <v>122</v>
      </c>
      <c r="D641" s="4" t="s">
        <v>22</v>
      </c>
      <c r="E641" s="4" t="s">
        <v>1277</v>
      </c>
      <c r="F641" s="4" t="s">
        <v>406</v>
      </c>
      <c r="G641" s="4" t="s">
        <v>1278</v>
      </c>
      <c r="H641" s="12" t="n">
        <v>1</v>
      </c>
      <c r="I641" s="4" t="s">
        <v>408</v>
      </c>
      <c r="J641" s="4" t="s">
        <v>416</v>
      </c>
      <c r="K641" s="13" t="n">
        <v>1800</v>
      </c>
      <c r="L641" s="6" t="n">
        <f aca="false">H641*K641</f>
        <v>1800</v>
      </c>
      <c r="M641" s="14" t="s">
        <v>410</v>
      </c>
    </row>
    <row r="642" customFormat="false" ht="15" hidden="false" customHeight="false" outlineLevel="0" collapsed="false">
      <c r="A642" s="4" t="s">
        <v>120</v>
      </c>
      <c r="B642" s="5" t="s">
        <v>121</v>
      </c>
      <c r="C642" s="5" t="s">
        <v>122</v>
      </c>
      <c r="D642" s="4" t="s">
        <v>22</v>
      </c>
      <c r="E642" s="4" t="s">
        <v>1279</v>
      </c>
      <c r="F642" s="4" t="s">
        <v>406</v>
      </c>
      <c r="G642" s="4" t="s">
        <v>1280</v>
      </c>
      <c r="H642" s="12" t="n">
        <v>1</v>
      </c>
      <c r="I642" s="4" t="s">
        <v>408</v>
      </c>
      <c r="J642" s="4" t="s">
        <v>416</v>
      </c>
      <c r="K642" s="13" t="n">
        <v>450</v>
      </c>
      <c r="L642" s="6" t="n">
        <f aca="false">H642*K642</f>
        <v>450</v>
      </c>
      <c r="M642" s="14" t="s">
        <v>410</v>
      </c>
    </row>
    <row r="643" customFormat="false" ht="15" hidden="false" customHeight="false" outlineLevel="0" collapsed="false">
      <c r="A643" s="4" t="s">
        <v>120</v>
      </c>
      <c r="B643" s="5" t="s">
        <v>121</v>
      </c>
      <c r="C643" s="5" t="s">
        <v>122</v>
      </c>
      <c r="D643" s="4" t="s">
        <v>22</v>
      </c>
      <c r="E643" s="4" t="s">
        <v>1281</v>
      </c>
      <c r="F643" s="4" t="s">
        <v>406</v>
      </c>
      <c r="G643" s="4" t="s">
        <v>1282</v>
      </c>
      <c r="H643" s="12" t="n">
        <v>1</v>
      </c>
      <c r="I643" s="4" t="s">
        <v>408</v>
      </c>
      <c r="J643" s="4" t="s">
        <v>416</v>
      </c>
      <c r="K643" s="13" t="n">
        <v>1800</v>
      </c>
      <c r="L643" s="6" t="n">
        <f aca="false">H643*K643</f>
        <v>1800</v>
      </c>
      <c r="M643" s="4" t="s">
        <v>371</v>
      </c>
    </row>
    <row r="644" customFormat="false" ht="15" hidden="false" customHeight="false" outlineLevel="0" collapsed="false">
      <c r="A644" s="4" t="s">
        <v>120</v>
      </c>
      <c r="B644" s="5" t="s">
        <v>121</v>
      </c>
      <c r="C644" s="5" t="s">
        <v>122</v>
      </c>
      <c r="D644" s="4" t="s">
        <v>22</v>
      </c>
      <c r="E644" s="4" t="s">
        <v>1283</v>
      </c>
      <c r="F644" s="4" t="s">
        <v>406</v>
      </c>
      <c r="G644" s="4" t="s">
        <v>1284</v>
      </c>
      <c r="H644" s="12" t="n">
        <v>1</v>
      </c>
      <c r="I644" s="4" t="s">
        <v>408</v>
      </c>
      <c r="J644" s="4" t="s">
        <v>409</v>
      </c>
      <c r="K644" s="13" t="n">
        <v>350</v>
      </c>
      <c r="L644" s="6" t="n">
        <f aca="false">H644*K644</f>
        <v>350</v>
      </c>
      <c r="M644" s="14" t="s">
        <v>410</v>
      </c>
    </row>
    <row r="645" customFormat="false" ht="15" hidden="false" customHeight="false" outlineLevel="0" collapsed="false">
      <c r="A645" s="4" t="s">
        <v>120</v>
      </c>
      <c r="B645" s="5" t="s">
        <v>121</v>
      </c>
      <c r="C645" s="5" t="s">
        <v>122</v>
      </c>
      <c r="D645" s="4" t="s">
        <v>22</v>
      </c>
      <c r="E645" s="4" t="s">
        <v>1285</v>
      </c>
      <c r="F645" s="4" t="s">
        <v>406</v>
      </c>
      <c r="G645" s="4" t="s">
        <v>1286</v>
      </c>
      <c r="H645" s="12" t="n">
        <v>1</v>
      </c>
      <c r="I645" s="4" t="s">
        <v>408</v>
      </c>
      <c r="J645" s="4" t="s">
        <v>409</v>
      </c>
      <c r="K645" s="13" t="n">
        <v>120</v>
      </c>
      <c r="L645" s="6" t="n">
        <f aca="false">H645*K645</f>
        <v>120</v>
      </c>
      <c r="M645" s="14" t="s">
        <v>410</v>
      </c>
    </row>
    <row r="646" customFormat="false" ht="15" hidden="false" customHeight="false" outlineLevel="0" collapsed="false">
      <c r="A646" s="4" t="s">
        <v>120</v>
      </c>
      <c r="B646" s="5" t="s">
        <v>121</v>
      </c>
      <c r="C646" s="5" t="s">
        <v>122</v>
      </c>
      <c r="D646" s="4" t="s">
        <v>22</v>
      </c>
      <c r="E646" s="4" t="s">
        <v>1287</v>
      </c>
      <c r="F646" s="4" t="s">
        <v>406</v>
      </c>
      <c r="G646" s="4" t="s">
        <v>1288</v>
      </c>
      <c r="H646" s="12" t="n">
        <v>1</v>
      </c>
      <c r="I646" s="4" t="s">
        <v>408</v>
      </c>
      <c r="J646" s="4" t="s">
        <v>409</v>
      </c>
      <c r="K646" s="13" t="n">
        <v>250</v>
      </c>
      <c r="L646" s="6" t="n">
        <f aca="false">H646*K646</f>
        <v>250</v>
      </c>
      <c r="M646" s="14" t="s">
        <v>410</v>
      </c>
    </row>
    <row r="647" customFormat="false" ht="15" hidden="false" customHeight="false" outlineLevel="0" collapsed="false">
      <c r="A647" s="4" t="s">
        <v>120</v>
      </c>
      <c r="B647" s="5" t="s">
        <v>121</v>
      </c>
      <c r="C647" s="5" t="s">
        <v>122</v>
      </c>
      <c r="D647" s="4" t="s">
        <v>22</v>
      </c>
      <c r="E647" s="4" t="s">
        <v>1289</v>
      </c>
      <c r="F647" s="4" t="s">
        <v>406</v>
      </c>
      <c r="G647" s="4" t="s">
        <v>1290</v>
      </c>
      <c r="H647" s="12" t="n">
        <v>1</v>
      </c>
      <c r="I647" s="4" t="s">
        <v>408</v>
      </c>
      <c r="J647" s="4" t="s">
        <v>409</v>
      </c>
      <c r="K647" s="13" t="n">
        <v>180</v>
      </c>
      <c r="L647" s="6" t="n">
        <f aca="false">H647*K647</f>
        <v>180</v>
      </c>
      <c r="M647" s="14" t="s">
        <v>410</v>
      </c>
    </row>
    <row r="648" customFormat="false" ht="15" hidden="false" customHeight="false" outlineLevel="0" collapsed="false">
      <c r="A648" s="4" t="s">
        <v>120</v>
      </c>
      <c r="B648" s="5" t="s">
        <v>121</v>
      </c>
      <c r="C648" s="5" t="s">
        <v>122</v>
      </c>
      <c r="D648" s="4" t="s">
        <v>22</v>
      </c>
      <c r="E648" s="4" t="s">
        <v>1291</v>
      </c>
      <c r="F648" s="4" t="s">
        <v>406</v>
      </c>
      <c r="G648" s="4" t="s">
        <v>1292</v>
      </c>
      <c r="H648" s="12" t="n">
        <v>1</v>
      </c>
      <c r="I648" s="4" t="s">
        <v>408</v>
      </c>
      <c r="J648" s="4" t="s">
        <v>409</v>
      </c>
      <c r="K648" s="13" t="n">
        <v>250</v>
      </c>
      <c r="L648" s="6" t="n">
        <f aca="false">H648*K648</f>
        <v>250</v>
      </c>
      <c r="M648" s="14" t="s">
        <v>410</v>
      </c>
    </row>
    <row r="649" customFormat="false" ht="15" hidden="false" customHeight="false" outlineLevel="0" collapsed="false">
      <c r="A649" s="4" t="s">
        <v>120</v>
      </c>
      <c r="B649" s="5" t="s">
        <v>121</v>
      </c>
      <c r="C649" s="5" t="s">
        <v>122</v>
      </c>
      <c r="D649" s="4" t="s">
        <v>22</v>
      </c>
      <c r="E649" s="4" t="s">
        <v>1293</v>
      </c>
      <c r="F649" s="4" t="s">
        <v>406</v>
      </c>
      <c r="G649" s="4" t="s">
        <v>1294</v>
      </c>
      <c r="H649" s="12" t="n">
        <v>1</v>
      </c>
      <c r="I649" s="4" t="s">
        <v>408</v>
      </c>
      <c r="J649" s="4" t="s">
        <v>416</v>
      </c>
      <c r="K649" s="13" t="n">
        <v>180</v>
      </c>
      <c r="L649" s="6" t="n">
        <f aca="false">H649*K649</f>
        <v>180</v>
      </c>
      <c r="M649" s="14" t="s">
        <v>410</v>
      </c>
    </row>
    <row r="650" customFormat="false" ht="15" hidden="false" customHeight="false" outlineLevel="0" collapsed="false">
      <c r="A650" s="4" t="s">
        <v>120</v>
      </c>
      <c r="B650" s="5" t="s">
        <v>121</v>
      </c>
      <c r="C650" s="5" t="s">
        <v>122</v>
      </c>
      <c r="D650" s="4" t="s">
        <v>22</v>
      </c>
      <c r="E650" s="4" t="s">
        <v>1295</v>
      </c>
      <c r="F650" s="4" t="s">
        <v>406</v>
      </c>
      <c r="G650" s="4" t="s">
        <v>1296</v>
      </c>
      <c r="H650" s="12" t="n">
        <v>1</v>
      </c>
      <c r="I650" s="4" t="s">
        <v>408</v>
      </c>
      <c r="J650" s="4" t="s">
        <v>409</v>
      </c>
      <c r="K650" s="13" t="n">
        <v>250</v>
      </c>
      <c r="L650" s="6" t="n">
        <f aca="false">H650*K650</f>
        <v>250</v>
      </c>
      <c r="M650" s="14" t="s">
        <v>410</v>
      </c>
    </row>
    <row r="651" customFormat="false" ht="15" hidden="false" customHeight="false" outlineLevel="0" collapsed="false">
      <c r="A651" s="4" t="s">
        <v>120</v>
      </c>
      <c r="B651" s="5" t="s">
        <v>121</v>
      </c>
      <c r="C651" s="5" t="s">
        <v>122</v>
      </c>
      <c r="D651" s="4" t="s">
        <v>22</v>
      </c>
      <c r="E651" s="4" t="s">
        <v>1297</v>
      </c>
      <c r="F651" s="4" t="s">
        <v>406</v>
      </c>
      <c r="G651" s="4" t="s">
        <v>1298</v>
      </c>
      <c r="H651" s="12" t="n">
        <v>1</v>
      </c>
      <c r="I651" s="4" t="s">
        <v>408</v>
      </c>
      <c r="J651" s="4" t="s">
        <v>409</v>
      </c>
      <c r="K651" s="13" t="n">
        <v>120</v>
      </c>
      <c r="L651" s="6" t="n">
        <f aca="false">H651*K651</f>
        <v>120</v>
      </c>
      <c r="M651" s="14" t="s">
        <v>410</v>
      </c>
    </row>
    <row r="652" customFormat="false" ht="15" hidden="false" customHeight="false" outlineLevel="0" collapsed="false">
      <c r="A652" s="4" t="s">
        <v>120</v>
      </c>
      <c r="B652" s="5" t="s">
        <v>121</v>
      </c>
      <c r="C652" s="5" t="s">
        <v>122</v>
      </c>
      <c r="D652" s="4" t="s">
        <v>22</v>
      </c>
      <c r="E652" s="4" t="s">
        <v>1299</v>
      </c>
      <c r="F652" s="4" t="s">
        <v>406</v>
      </c>
      <c r="G652" s="4" t="s">
        <v>1300</v>
      </c>
      <c r="H652" s="12" t="n">
        <v>1</v>
      </c>
      <c r="I652" s="4" t="s">
        <v>408</v>
      </c>
      <c r="J652" s="4" t="s">
        <v>409</v>
      </c>
      <c r="K652" s="13" t="n">
        <v>350</v>
      </c>
      <c r="L652" s="6" t="n">
        <f aca="false">H652*K652</f>
        <v>350</v>
      </c>
      <c r="M652" s="14" t="s">
        <v>410</v>
      </c>
    </row>
    <row r="653" customFormat="false" ht="15" hidden="false" customHeight="false" outlineLevel="0" collapsed="false">
      <c r="A653" s="4" t="s">
        <v>120</v>
      </c>
      <c r="B653" s="5" t="s">
        <v>121</v>
      </c>
      <c r="C653" s="5" t="s">
        <v>122</v>
      </c>
      <c r="D653" s="4" t="s">
        <v>22</v>
      </c>
      <c r="E653" s="4" t="s">
        <v>1301</v>
      </c>
      <c r="F653" s="4" t="s">
        <v>406</v>
      </c>
      <c r="G653" s="4" t="s">
        <v>1302</v>
      </c>
      <c r="H653" s="12" t="n">
        <v>1</v>
      </c>
      <c r="I653" s="4" t="s">
        <v>408</v>
      </c>
      <c r="J653" s="4" t="s">
        <v>416</v>
      </c>
      <c r="K653" s="13" t="n">
        <v>850</v>
      </c>
      <c r="L653" s="6" t="n">
        <f aca="false">H653*K653</f>
        <v>850</v>
      </c>
      <c r="M653" s="4" t="s">
        <v>371</v>
      </c>
    </row>
    <row r="654" customFormat="false" ht="15" hidden="false" customHeight="false" outlineLevel="0" collapsed="false">
      <c r="A654" s="4" t="s">
        <v>120</v>
      </c>
      <c r="B654" s="5" t="s">
        <v>121</v>
      </c>
      <c r="C654" s="5" t="s">
        <v>122</v>
      </c>
      <c r="D654" s="4" t="s">
        <v>22</v>
      </c>
      <c r="E654" s="4" t="s">
        <v>1303</v>
      </c>
      <c r="F654" s="4" t="s">
        <v>406</v>
      </c>
      <c r="G654" s="4" t="s">
        <v>1304</v>
      </c>
      <c r="H654" s="12" t="n">
        <v>1</v>
      </c>
      <c r="I654" s="4" t="s">
        <v>408</v>
      </c>
      <c r="J654" s="4" t="s">
        <v>416</v>
      </c>
      <c r="K654" s="13" t="n">
        <v>850</v>
      </c>
      <c r="L654" s="6" t="n">
        <f aca="false">H654*K654</f>
        <v>850</v>
      </c>
      <c r="M654" s="4" t="s">
        <v>371</v>
      </c>
    </row>
    <row r="655" customFormat="false" ht="15" hidden="false" customHeight="false" outlineLevel="0" collapsed="false">
      <c r="A655" s="4" t="s">
        <v>120</v>
      </c>
      <c r="B655" s="5" t="s">
        <v>121</v>
      </c>
      <c r="C655" s="5" t="s">
        <v>122</v>
      </c>
      <c r="D655" s="4" t="s">
        <v>22</v>
      </c>
      <c r="E655" s="4" t="s">
        <v>1305</v>
      </c>
      <c r="F655" s="4" t="s">
        <v>406</v>
      </c>
      <c r="G655" s="4" t="s">
        <v>1306</v>
      </c>
      <c r="H655" s="12" t="n">
        <v>1</v>
      </c>
      <c r="I655" s="4" t="s">
        <v>408</v>
      </c>
      <c r="J655" s="4" t="s">
        <v>409</v>
      </c>
      <c r="K655" s="13" t="n">
        <v>120</v>
      </c>
      <c r="L655" s="6" t="n">
        <f aca="false">H655*K655</f>
        <v>120</v>
      </c>
      <c r="M655" s="14" t="s">
        <v>410</v>
      </c>
    </row>
    <row r="656" customFormat="false" ht="15" hidden="false" customHeight="false" outlineLevel="0" collapsed="false">
      <c r="A656" s="4" t="s">
        <v>120</v>
      </c>
      <c r="B656" s="5" t="s">
        <v>121</v>
      </c>
      <c r="C656" s="5" t="s">
        <v>122</v>
      </c>
      <c r="D656" s="4" t="s">
        <v>22</v>
      </c>
      <c r="E656" s="4" t="s">
        <v>1307</v>
      </c>
      <c r="F656" s="4" t="s">
        <v>406</v>
      </c>
      <c r="G656" s="4" t="s">
        <v>1308</v>
      </c>
      <c r="H656" s="12" t="n">
        <v>1</v>
      </c>
      <c r="I656" s="4" t="s">
        <v>408</v>
      </c>
      <c r="J656" s="4" t="s">
        <v>409</v>
      </c>
      <c r="K656" s="13" t="n">
        <v>350</v>
      </c>
      <c r="L656" s="6" t="n">
        <f aca="false">H656*K656</f>
        <v>350</v>
      </c>
      <c r="M656" s="14" t="s">
        <v>410</v>
      </c>
    </row>
    <row r="657" customFormat="false" ht="15" hidden="false" customHeight="false" outlineLevel="0" collapsed="false">
      <c r="A657" s="4" t="s">
        <v>120</v>
      </c>
      <c r="B657" s="5" t="s">
        <v>121</v>
      </c>
      <c r="C657" s="5" t="s">
        <v>122</v>
      </c>
      <c r="D657" s="4" t="s">
        <v>22</v>
      </c>
      <c r="E657" s="4" t="s">
        <v>1309</v>
      </c>
      <c r="F657" s="4" t="s">
        <v>406</v>
      </c>
      <c r="G657" s="4" t="s">
        <v>1310</v>
      </c>
      <c r="H657" s="12" t="n">
        <v>1</v>
      </c>
      <c r="I657" s="4" t="s">
        <v>408</v>
      </c>
      <c r="J657" s="4" t="s">
        <v>409</v>
      </c>
      <c r="K657" s="13" t="n">
        <v>850</v>
      </c>
      <c r="L657" s="6" t="n">
        <f aca="false">H657*K657</f>
        <v>850</v>
      </c>
      <c r="M657" s="14" t="s">
        <v>410</v>
      </c>
    </row>
    <row r="658" customFormat="false" ht="15" hidden="false" customHeight="false" outlineLevel="0" collapsed="false">
      <c r="A658" s="4" t="s">
        <v>120</v>
      </c>
      <c r="B658" s="5" t="s">
        <v>121</v>
      </c>
      <c r="C658" s="5" t="s">
        <v>122</v>
      </c>
      <c r="D658" s="4" t="s">
        <v>22</v>
      </c>
      <c r="E658" s="4" t="s">
        <v>1311</v>
      </c>
      <c r="F658" s="4" t="s">
        <v>406</v>
      </c>
      <c r="G658" s="4" t="s">
        <v>1312</v>
      </c>
      <c r="H658" s="12" t="n">
        <v>1</v>
      </c>
      <c r="I658" s="4" t="s">
        <v>408</v>
      </c>
      <c r="J658" s="4" t="s">
        <v>416</v>
      </c>
      <c r="K658" s="13" t="n">
        <v>850</v>
      </c>
      <c r="L658" s="6" t="n">
        <f aca="false">H658*K658</f>
        <v>850</v>
      </c>
      <c r="M658" s="14" t="s">
        <v>410</v>
      </c>
    </row>
    <row r="659" customFormat="false" ht="15" hidden="false" customHeight="false" outlineLevel="0" collapsed="false">
      <c r="A659" s="4" t="s">
        <v>120</v>
      </c>
      <c r="B659" s="5" t="s">
        <v>121</v>
      </c>
      <c r="C659" s="5" t="s">
        <v>122</v>
      </c>
      <c r="D659" s="4" t="s">
        <v>22</v>
      </c>
      <c r="E659" s="4" t="s">
        <v>1313</v>
      </c>
      <c r="F659" s="4" t="s">
        <v>406</v>
      </c>
      <c r="G659" s="4" t="s">
        <v>1314</v>
      </c>
      <c r="H659" s="12" t="n">
        <v>1</v>
      </c>
      <c r="I659" s="4" t="s">
        <v>408</v>
      </c>
      <c r="J659" s="4" t="s">
        <v>416</v>
      </c>
      <c r="K659" s="13" t="n">
        <v>350</v>
      </c>
      <c r="L659" s="6" t="n">
        <f aca="false">H659*K659</f>
        <v>350</v>
      </c>
      <c r="M659" s="4" t="s">
        <v>371</v>
      </c>
    </row>
    <row r="660" customFormat="false" ht="15" hidden="false" customHeight="false" outlineLevel="0" collapsed="false">
      <c r="A660" s="4" t="s">
        <v>120</v>
      </c>
      <c r="B660" s="5" t="s">
        <v>121</v>
      </c>
      <c r="C660" s="5" t="s">
        <v>122</v>
      </c>
      <c r="D660" s="4" t="s">
        <v>22</v>
      </c>
      <c r="E660" s="4" t="s">
        <v>1315</v>
      </c>
      <c r="F660" s="4" t="s">
        <v>406</v>
      </c>
      <c r="G660" s="4" t="s">
        <v>1316</v>
      </c>
      <c r="H660" s="12" t="n">
        <v>1</v>
      </c>
      <c r="I660" s="4" t="s">
        <v>408</v>
      </c>
      <c r="J660" s="4" t="s">
        <v>416</v>
      </c>
      <c r="K660" s="13" t="n">
        <v>350</v>
      </c>
      <c r="L660" s="6" t="n">
        <f aca="false">H660*K660</f>
        <v>350</v>
      </c>
      <c r="M660" s="4" t="s">
        <v>371</v>
      </c>
    </row>
    <row r="661" customFormat="false" ht="15" hidden="false" customHeight="false" outlineLevel="0" collapsed="false">
      <c r="A661" s="4" t="s">
        <v>120</v>
      </c>
      <c r="B661" s="5" t="s">
        <v>121</v>
      </c>
      <c r="C661" s="5" t="s">
        <v>122</v>
      </c>
      <c r="D661" s="4" t="s">
        <v>22</v>
      </c>
      <c r="E661" s="4" t="s">
        <v>1317</v>
      </c>
      <c r="F661" s="4" t="s">
        <v>406</v>
      </c>
      <c r="G661" s="4" t="s">
        <v>1318</v>
      </c>
      <c r="H661" s="12" t="n">
        <v>1</v>
      </c>
      <c r="I661" s="4" t="s">
        <v>408</v>
      </c>
      <c r="J661" s="4" t="s">
        <v>416</v>
      </c>
      <c r="K661" s="13" t="n">
        <v>250</v>
      </c>
      <c r="L661" s="6" t="n">
        <f aca="false">H661*K661</f>
        <v>250</v>
      </c>
      <c r="M661" s="14" t="s">
        <v>410</v>
      </c>
    </row>
    <row r="662" customFormat="false" ht="15" hidden="false" customHeight="false" outlineLevel="0" collapsed="false">
      <c r="A662" s="4" t="s">
        <v>120</v>
      </c>
      <c r="B662" s="5" t="s">
        <v>121</v>
      </c>
      <c r="C662" s="5" t="s">
        <v>122</v>
      </c>
      <c r="D662" s="4" t="s">
        <v>22</v>
      </c>
      <c r="E662" s="4" t="s">
        <v>1319</v>
      </c>
      <c r="F662" s="4" t="s">
        <v>406</v>
      </c>
      <c r="G662" s="4" t="s">
        <v>1320</v>
      </c>
      <c r="H662" s="12" t="n">
        <v>1</v>
      </c>
      <c r="I662" s="4" t="s">
        <v>408</v>
      </c>
      <c r="J662" s="4" t="s">
        <v>409</v>
      </c>
      <c r="K662" s="13" t="n">
        <v>250</v>
      </c>
      <c r="L662" s="6" t="n">
        <f aca="false">H662*K662</f>
        <v>250</v>
      </c>
      <c r="M662" s="4" t="s">
        <v>371</v>
      </c>
    </row>
    <row r="663" customFormat="false" ht="15" hidden="false" customHeight="false" outlineLevel="0" collapsed="false">
      <c r="A663" s="4" t="s">
        <v>120</v>
      </c>
      <c r="B663" s="5" t="s">
        <v>121</v>
      </c>
      <c r="C663" s="5" t="s">
        <v>122</v>
      </c>
      <c r="D663" s="4" t="s">
        <v>22</v>
      </c>
      <c r="E663" s="4" t="s">
        <v>1321</v>
      </c>
      <c r="F663" s="4" t="s">
        <v>406</v>
      </c>
      <c r="G663" s="4" t="s">
        <v>1322</v>
      </c>
      <c r="H663" s="12" t="n">
        <v>1</v>
      </c>
      <c r="I663" s="4" t="s">
        <v>408</v>
      </c>
      <c r="J663" s="4" t="s">
        <v>416</v>
      </c>
      <c r="K663" s="13" t="n">
        <v>850</v>
      </c>
      <c r="L663" s="6" t="n">
        <f aca="false">H663*K663</f>
        <v>850</v>
      </c>
      <c r="M663" s="14" t="s">
        <v>410</v>
      </c>
    </row>
    <row r="664" customFormat="false" ht="15" hidden="false" customHeight="false" outlineLevel="0" collapsed="false">
      <c r="A664" s="4" t="s">
        <v>120</v>
      </c>
      <c r="B664" s="5" t="s">
        <v>121</v>
      </c>
      <c r="C664" s="5" t="s">
        <v>122</v>
      </c>
      <c r="D664" s="4" t="s">
        <v>22</v>
      </c>
      <c r="E664" s="4" t="s">
        <v>1323</v>
      </c>
      <c r="F664" s="4" t="s">
        <v>406</v>
      </c>
      <c r="G664" s="4" t="s">
        <v>1324</v>
      </c>
      <c r="H664" s="12" t="n">
        <v>1</v>
      </c>
      <c r="I664" s="4" t="s">
        <v>408</v>
      </c>
      <c r="J664" s="4" t="s">
        <v>409</v>
      </c>
      <c r="K664" s="13" t="n">
        <v>250</v>
      </c>
      <c r="L664" s="6" t="n">
        <f aca="false">H664*K664</f>
        <v>250</v>
      </c>
      <c r="M664" s="14" t="s">
        <v>410</v>
      </c>
    </row>
    <row r="665" customFormat="false" ht="15" hidden="false" customHeight="false" outlineLevel="0" collapsed="false">
      <c r="A665" s="4" t="s">
        <v>120</v>
      </c>
      <c r="B665" s="5" t="s">
        <v>121</v>
      </c>
      <c r="C665" s="5" t="s">
        <v>122</v>
      </c>
      <c r="D665" s="4" t="s">
        <v>22</v>
      </c>
      <c r="E665" s="4" t="s">
        <v>1325</v>
      </c>
      <c r="F665" s="4" t="s">
        <v>406</v>
      </c>
      <c r="G665" s="4" t="s">
        <v>1326</v>
      </c>
      <c r="H665" s="12" t="n">
        <v>1</v>
      </c>
      <c r="I665" s="4" t="s">
        <v>408</v>
      </c>
      <c r="J665" s="4" t="s">
        <v>409</v>
      </c>
      <c r="K665" s="13" t="n">
        <v>150</v>
      </c>
      <c r="L665" s="6" t="n">
        <f aca="false">H665*K665</f>
        <v>150</v>
      </c>
      <c r="M665" s="14" t="s">
        <v>410</v>
      </c>
    </row>
    <row r="666" customFormat="false" ht="15" hidden="false" customHeight="false" outlineLevel="0" collapsed="false">
      <c r="A666" s="4" t="s">
        <v>120</v>
      </c>
      <c r="B666" s="5" t="s">
        <v>121</v>
      </c>
      <c r="C666" s="5" t="s">
        <v>122</v>
      </c>
      <c r="D666" s="4" t="s">
        <v>22</v>
      </c>
      <c r="E666" s="4" t="s">
        <v>1327</v>
      </c>
      <c r="F666" s="4" t="s">
        <v>406</v>
      </c>
      <c r="G666" s="4" t="s">
        <v>1328</v>
      </c>
      <c r="H666" s="12" t="n">
        <v>1</v>
      </c>
      <c r="I666" s="4" t="s">
        <v>408</v>
      </c>
      <c r="J666" s="4" t="s">
        <v>416</v>
      </c>
      <c r="K666" s="13" t="n">
        <v>850</v>
      </c>
      <c r="L666" s="6" t="n">
        <f aca="false">H666*K666</f>
        <v>850</v>
      </c>
      <c r="M666" s="14" t="s">
        <v>410</v>
      </c>
    </row>
    <row r="667" customFormat="false" ht="15" hidden="false" customHeight="false" outlineLevel="0" collapsed="false">
      <c r="A667" s="4" t="s">
        <v>120</v>
      </c>
      <c r="B667" s="5" t="s">
        <v>121</v>
      </c>
      <c r="C667" s="5" t="s">
        <v>122</v>
      </c>
      <c r="D667" s="4" t="s">
        <v>22</v>
      </c>
      <c r="E667" s="4" t="s">
        <v>1329</v>
      </c>
      <c r="F667" s="4" t="s">
        <v>406</v>
      </c>
      <c r="G667" s="4" t="s">
        <v>1330</v>
      </c>
      <c r="H667" s="12" t="n">
        <v>1</v>
      </c>
      <c r="I667" s="4" t="s">
        <v>408</v>
      </c>
      <c r="J667" s="4" t="s">
        <v>409</v>
      </c>
      <c r="K667" s="13" t="n">
        <v>150</v>
      </c>
      <c r="L667" s="6" t="n">
        <f aca="false">H667*K667</f>
        <v>150</v>
      </c>
      <c r="M667" s="14" t="s">
        <v>410</v>
      </c>
    </row>
    <row r="668" customFormat="false" ht="15" hidden="false" customHeight="false" outlineLevel="0" collapsed="false">
      <c r="A668" s="4" t="s">
        <v>120</v>
      </c>
      <c r="B668" s="5" t="s">
        <v>121</v>
      </c>
      <c r="C668" s="5" t="s">
        <v>122</v>
      </c>
      <c r="D668" s="4" t="s">
        <v>22</v>
      </c>
      <c r="E668" s="4" t="s">
        <v>1331</v>
      </c>
      <c r="F668" s="4" t="s">
        <v>406</v>
      </c>
      <c r="G668" s="4" t="s">
        <v>1332</v>
      </c>
      <c r="H668" s="12" t="n">
        <v>1</v>
      </c>
      <c r="I668" s="4" t="s">
        <v>408</v>
      </c>
      <c r="J668" s="4" t="s">
        <v>416</v>
      </c>
      <c r="K668" s="13" t="n">
        <v>120</v>
      </c>
      <c r="L668" s="6" t="n">
        <f aca="false">H668*K668</f>
        <v>120</v>
      </c>
      <c r="M668" s="14" t="s">
        <v>410</v>
      </c>
    </row>
    <row r="669" customFormat="false" ht="15" hidden="false" customHeight="false" outlineLevel="0" collapsed="false">
      <c r="A669" s="4" t="s">
        <v>120</v>
      </c>
      <c r="B669" s="5" t="s">
        <v>121</v>
      </c>
      <c r="C669" s="5" t="s">
        <v>122</v>
      </c>
      <c r="D669" s="4" t="s">
        <v>22</v>
      </c>
      <c r="E669" s="4" t="s">
        <v>1333</v>
      </c>
      <c r="F669" s="4" t="s">
        <v>406</v>
      </c>
      <c r="G669" s="4" t="s">
        <v>1334</v>
      </c>
      <c r="H669" s="12" t="n">
        <v>1</v>
      </c>
      <c r="I669" s="4" t="s">
        <v>408</v>
      </c>
      <c r="J669" s="4" t="s">
        <v>416</v>
      </c>
      <c r="K669" s="13" t="n">
        <v>650</v>
      </c>
      <c r="L669" s="6" t="n">
        <f aca="false">H669*K669</f>
        <v>650</v>
      </c>
      <c r="M669" s="14" t="s">
        <v>410</v>
      </c>
    </row>
    <row r="670" customFormat="false" ht="15" hidden="false" customHeight="false" outlineLevel="0" collapsed="false">
      <c r="A670" s="4" t="s">
        <v>120</v>
      </c>
      <c r="B670" s="5" t="s">
        <v>121</v>
      </c>
      <c r="C670" s="5" t="s">
        <v>122</v>
      </c>
      <c r="D670" s="4" t="s">
        <v>22</v>
      </c>
      <c r="E670" s="4" t="s">
        <v>1335</v>
      </c>
      <c r="F670" s="4" t="s">
        <v>406</v>
      </c>
      <c r="G670" s="4" t="s">
        <v>1336</v>
      </c>
      <c r="H670" s="12" t="n">
        <v>1</v>
      </c>
      <c r="I670" s="4" t="s">
        <v>408</v>
      </c>
      <c r="J670" s="4" t="s">
        <v>475</v>
      </c>
      <c r="K670" s="13" t="n">
        <v>180</v>
      </c>
      <c r="L670" s="6" t="n">
        <f aca="false">H670*K670</f>
        <v>180</v>
      </c>
      <c r="M670" s="14" t="s">
        <v>410</v>
      </c>
    </row>
    <row r="671" customFormat="false" ht="15" hidden="false" customHeight="false" outlineLevel="0" collapsed="false">
      <c r="A671" s="4" t="s">
        <v>120</v>
      </c>
      <c r="B671" s="5" t="s">
        <v>121</v>
      </c>
      <c r="C671" s="5" t="s">
        <v>122</v>
      </c>
      <c r="D671" s="4" t="s">
        <v>22</v>
      </c>
      <c r="E671" s="4" t="s">
        <v>1337</v>
      </c>
      <c r="F671" s="4" t="s">
        <v>406</v>
      </c>
      <c r="G671" s="4" t="s">
        <v>1338</v>
      </c>
      <c r="H671" s="12" t="n">
        <v>1</v>
      </c>
      <c r="I671" s="4" t="s">
        <v>408</v>
      </c>
      <c r="J671" s="4" t="s">
        <v>416</v>
      </c>
      <c r="K671" s="13" t="n">
        <v>250</v>
      </c>
      <c r="L671" s="6" t="n">
        <f aca="false">H671*K671</f>
        <v>250</v>
      </c>
      <c r="M671" s="4" t="s">
        <v>371</v>
      </c>
    </row>
    <row r="672" customFormat="false" ht="15" hidden="false" customHeight="false" outlineLevel="0" collapsed="false">
      <c r="A672" s="4" t="s">
        <v>120</v>
      </c>
      <c r="B672" s="5" t="s">
        <v>121</v>
      </c>
      <c r="C672" s="5" t="s">
        <v>122</v>
      </c>
      <c r="D672" s="4" t="s">
        <v>22</v>
      </c>
      <c r="E672" s="4" t="s">
        <v>1339</v>
      </c>
      <c r="F672" s="4" t="s">
        <v>406</v>
      </c>
      <c r="G672" s="4" t="s">
        <v>1340</v>
      </c>
      <c r="H672" s="12" t="n">
        <v>1</v>
      </c>
      <c r="I672" s="4" t="s">
        <v>408</v>
      </c>
      <c r="J672" s="4" t="s">
        <v>409</v>
      </c>
      <c r="K672" s="13" t="n">
        <v>150</v>
      </c>
      <c r="L672" s="6" t="n">
        <f aca="false">H672*K672</f>
        <v>150</v>
      </c>
      <c r="M672" s="14" t="s">
        <v>410</v>
      </c>
    </row>
    <row r="673" customFormat="false" ht="15" hidden="false" customHeight="false" outlineLevel="0" collapsed="false">
      <c r="A673" s="4" t="s">
        <v>120</v>
      </c>
      <c r="B673" s="5" t="s">
        <v>121</v>
      </c>
      <c r="C673" s="5" t="s">
        <v>122</v>
      </c>
      <c r="D673" s="4" t="s">
        <v>22</v>
      </c>
      <c r="E673" s="4" t="s">
        <v>1341</v>
      </c>
      <c r="F673" s="4" t="s">
        <v>406</v>
      </c>
      <c r="G673" s="4" t="s">
        <v>1342</v>
      </c>
      <c r="H673" s="12" t="n">
        <v>1</v>
      </c>
      <c r="I673" s="4" t="s">
        <v>408</v>
      </c>
      <c r="J673" s="4" t="s">
        <v>409</v>
      </c>
      <c r="K673" s="13" t="n">
        <v>150</v>
      </c>
      <c r="L673" s="6" t="n">
        <f aca="false">H673*K673</f>
        <v>150</v>
      </c>
      <c r="M673" s="14" t="s">
        <v>410</v>
      </c>
    </row>
    <row r="674" customFormat="false" ht="15" hidden="false" customHeight="false" outlineLevel="0" collapsed="false">
      <c r="A674" s="4" t="s">
        <v>120</v>
      </c>
      <c r="B674" s="5" t="s">
        <v>121</v>
      </c>
      <c r="C674" s="5" t="s">
        <v>122</v>
      </c>
      <c r="D674" s="4" t="s">
        <v>22</v>
      </c>
      <c r="E674" s="4" t="s">
        <v>1343</v>
      </c>
      <c r="F674" s="4" t="s">
        <v>406</v>
      </c>
      <c r="G674" s="4" t="s">
        <v>1344</v>
      </c>
      <c r="H674" s="12" t="n">
        <v>1</v>
      </c>
      <c r="I674" s="4" t="s">
        <v>408</v>
      </c>
      <c r="J674" s="4" t="s">
        <v>416</v>
      </c>
      <c r="K674" s="13" t="n">
        <v>4500</v>
      </c>
      <c r="L674" s="6" t="n">
        <f aca="false">H674*K674</f>
        <v>4500</v>
      </c>
      <c r="M674" s="14" t="s">
        <v>410</v>
      </c>
    </row>
    <row r="675" customFormat="false" ht="15" hidden="false" customHeight="false" outlineLevel="0" collapsed="false">
      <c r="A675" s="4" t="s">
        <v>120</v>
      </c>
      <c r="B675" s="5" t="s">
        <v>121</v>
      </c>
      <c r="C675" s="5" t="s">
        <v>122</v>
      </c>
      <c r="D675" s="4" t="s">
        <v>22</v>
      </c>
      <c r="E675" s="4" t="s">
        <v>1345</v>
      </c>
      <c r="F675" s="4" t="s">
        <v>406</v>
      </c>
      <c r="G675" s="4" t="s">
        <v>1346</v>
      </c>
      <c r="H675" s="12" t="n">
        <v>1</v>
      </c>
      <c r="I675" s="4" t="s">
        <v>408</v>
      </c>
      <c r="J675" s="4" t="s">
        <v>409</v>
      </c>
      <c r="K675" s="13" t="n">
        <v>80</v>
      </c>
      <c r="L675" s="6" t="n">
        <f aca="false">H675*K675</f>
        <v>80</v>
      </c>
      <c r="M675" s="14" t="s">
        <v>410</v>
      </c>
    </row>
    <row r="676" customFormat="false" ht="15" hidden="false" customHeight="false" outlineLevel="0" collapsed="false">
      <c r="A676" s="4" t="s">
        <v>120</v>
      </c>
      <c r="B676" s="5" t="s">
        <v>121</v>
      </c>
      <c r="C676" s="5" t="s">
        <v>122</v>
      </c>
      <c r="D676" s="4" t="s">
        <v>22</v>
      </c>
      <c r="E676" s="4" t="s">
        <v>1347</v>
      </c>
      <c r="F676" s="4" t="s">
        <v>406</v>
      </c>
      <c r="G676" s="4" t="s">
        <v>1348</v>
      </c>
      <c r="H676" s="12" t="n">
        <v>1</v>
      </c>
      <c r="I676" s="4" t="s">
        <v>408</v>
      </c>
      <c r="J676" s="4" t="s">
        <v>409</v>
      </c>
      <c r="K676" s="13" t="n">
        <v>650</v>
      </c>
      <c r="L676" s="6" t="n">
        <f aca="false">H676*K676</f>
        <v>650</v>
      </c>
      <c r="M676" s="14" t="s">
        <v>410</v>
      </c>
    </row>
    <row r="677" customFormat="false" ht="15" hidden="false" customHeight="false" outlineLevel="0" collapsed="false">
      <c r="A677" s="4" t="s">
        <v>120</v>
      </c>
      <c r="B677" s="5" t="s">
        <v>121</v>
      </c>
      <c r="C677" s="5" t="s">
        <v>122</v>
      </c>
      <c r="D677" s="4" t="s">
        <v>22</v>
      </c>
      <c r="E677" s="4" t="s">
        <v>1349</v>
      </c>
      <c r="F677" s="4" t="s">
        <v>406</v>
      </c>
      <c r="G677" s="4" t="s">
        <v>1350</v>
      </c>
      <c r="H677" s="12" t="n">
        <v>1</v>
      </c>
      <c r="I677" s="4" t="s">
        <v>408</v>
      </c>
      <c r="J677" s="4" t="s">
        <v>409</v>
      </c>
      <c r="K677" s="13" t="n">
        <v>180</v>
      </c>
      <c r="L677" s="6" t="n">
        <f aca="false">H677*K677</f>
        <v>180</v>
      </c>
      <c r="M677" s="14" t="s">
        <v>410</v>
      </c>
    </row>
    <row r="678" customFormat="false" ht="15" hidden="false" customHeight="false" outlineLevel="0" collapsed="false">
      <c r="A678" s="4" t="s">
        <v>120</v>
      </c>
      <c r="B678" s="5" t="s">
        <v>121</v>
      </c>
      <c r="C678" s="5" t="s">
        <v>122</v>
      </c>
      <c r="D678" s="4" t="s">
        <v>22</v>
      </c>
      <c r="E678" s="4" t="s">
        <v>1351</v>
      </c>
      <c r="F678" s="4" t="s">
        <v>406</v>
      </c>
      <c r="G678" s="4" t="s">
        <v>1352</v>
      </c>
      <c r="H678" s="12" t="n">
        <v>1</v>
      </c>
      <c r="I678" s="4" t="s">
        <v>408</v>
      </c>
      <c r="J678" s="4" t="s">
        <v>409</v>
      </c>
      <c r="K678" s="13" t="n">
        <v>150</v>
      </c>
      <c r="L678" s="6" t="n">
        <f aca="false">H678*K678</f>
        <v>150</v>
      </c>
      <c r="M678" s="14" t="s">
        <v>410</v>
      </c>
    </row>
    <row r="679" customFormat="false" ht="15" hidden="false" customHeight="false" outlineLevel="0" collapsed="false">
      <c r="A679" s="4" t="s">
        <v>120</v>
      </c>
      <c r="B679" s="5" t="s">
        <v>121</v>
      </c>
      <c r="C679" s="5" t="s">
        <v>122</v>
      </c>
      <c r="D679" s="4" t="s">
        <v>22</v>
      </c>
      <c r="E679" s="4" t="s">
        <v>1353</v>
      </c>
      <c r="F679" s="4" t="s">
        <v>406</v>
      </c>
      <c r="G679" s="4" t="s">
        <v>1354</v>
      </c>
      <c r="H679" s="12" t="n">
        <v>1</v>
      </c>
      <c r="I679" s="4" t="s">
        <v>408</v>
      </c>
      <c r="J679" s="4" t="s">
        <v>409</v>
      </c>
      <c r="K679" s="13" t="n">
        <v>120</v>
      </c>
      <c r="L679" s="6" t="n">
        <f aca="false">H679*K679</f>
        <v>120</v>
      </c>
      <c r="M679" s="14" t="s">
        <v>410</v>
      </c>
    </row>
    <row r="680" customFormat="false" ht="15" hidden="false" customHeight="false" outlineLevel="0" collapsed="false">
      <c r="A680" s="4" t="s">
        <v>120</v>
      </c>
      <c r="B680" s="5" t="s">
        <v>121</v>
      </c>
      <c r="C680" s="5" t="s">
        <v>122</v>
      </c>
      <c r="D680" s="4" t="s">
        <v>22</v>
      </c>
      <c r="E680" s="4" t="s">
        <v>1355</v>
      </c>
      <c r="F680" s="4" t="s">
        <v>406</v>
      </c>
      <c r="G680" s="4" t="s">
        <v>1356</v>
      </c>
      <c r="H680" s="12" t="n">
        <v>1</v>
      </c>
      <c r="I680" s="4" t="s">
        <v>408</v>
      </c>
      <c r="J680" s="4" t="s">
        <v>409</v>
      </c>
      <c r="K680" s="13" t="n">
        <v>45000</v>
      </c>
      <c r="L680" s="6" t="n">
        <f aca="false">H680*K680</f>
        <v>45000</v>
      </c>
      <c r="M680" s="4" t="s">
        <v>371</v>
      </c>
    </row>
    <row r="681" customFormat="false" ht="15" hidden="false" customHeight="false" outlineLevel="0" collapsed="false">
      <c r="A681" s="4" t="s">
        <v>120</v>
      </c>
      <c r="B681" s="5" t="s">
        <v>121</v>
      </c>
      <c r="C681" s="5" t="s">
        <v>122</v>
      </c>
      <c r="D681" s="4" t="s">
        <v>22</v>
      </c>
      <c r="E681" s="4" t="s">
        <v>1357</v>
      </c>
      <c r="F681" s="4" t="s">
        <v>406</v>
      </c>
      <c r="G681" s="4" t="s">
        <v>1358</v>
      </c>
      <c r="H681" s="12" t="n">
        <v>1</v>
      </c>
      <c r="I681" s="4" t="s">
        <v>408</v>
      </c>
      <c r="J681" s="4" t="s">
        <v>409</v>
      </c>
      <c r="K681" s="13" t="n">
        <v>850</v>
      </c>
      <c r="L681" s="6" t="n">
        <f aca="false">H681*K681</f>
        <v>850</v>
      </c>
      <c r="M681" s="14" t="s">
        <v>410</v>
      </c>
    </row>
    <row r="682" customFormat="false" ht="15" hidden="false" customHeight="false" outlineLevel="0" collapsed="false">
      <c r="A682" s="4" t="s">
        <v>120</v>
      </c>
      <c r="B682" s="5" t="s">
        <v>121</v>
      </c>
      <c r="C682" s="5" t="s">
        <v>122</v>
      </c>
      <c r="D682" s="4" t="s">
        <v>22</v>
      </c>
      <c r="E682" s="4" t="s">
        <v>1359</v>
      </c>
      <c r="F682" s="4" t="s">
        <v>406</v>
      </c>
      <c r="G682" s="4" t="s">
        <v>1360</v>
      </c>
      <c r="H682" s="12" t="n">
        <v>1</v>
      </c>
      <c r="I682" s="4" t="s">
        <v>408</v>
      </c>
      <c r="J682" s="4" t="s">
        <v>409</v>
      </c>
      <c r="K682" s="13" t="n">
        <v>1200</v>
      </c>
      <c r="L682" s="6" t="n">
        <f aca="false">H682*K682</f>
        <v>1200</v>
      </c>
      <c r="M682" s="14" t="s">
        <v>410</v>
      </c>
    </row>
    <row r="683" customFormat="false" ht="15" hidden="false" customHeight="false" outlineLevel="0" collapsed="false">
      <c r="A683" s="4" t="s">
        <v>120</v>
      </c>
      <c r="B683" s="5" t="s">
        <v>121</v>
      </c>
      <c r="C683" s="5" t="s">
        <v>122</v>
      </c>
      <c r="D683" s="4" t="s">
        <v>22</v>
      </c>
      <c r="E683" s="4" t="s">
        <v>1361</v>
      </c>
      <c r="F683" s="4" t="s">
        <v>406</v>
      </c>
      <c r="G683" s="4" t="s">
        <v>1362</v>
      </c>
      <c r="H683" s="12" t="n">
        <v>1</v>
      </c>
      <c r="I683" s="4" t="s">
        <v>408</v>
      </c>
      <c r="J683" s="4" t="s">
        <v>409</v>
      </c>
      <c r="K683" s="13" t="n">
        <v>4500</v>
      </c>
      <c r="L683" s="6" t="n">
        <f aca="false">H683*K683</f>
        <v>4500</v>
      </c>
      <c r="M683" s="14" t="s">
        <v>410</v>
      </c>
    </row>
    <row r="684" customFormat="false" ht="15" hidden="false" customHeight="false" outlineLevel="0" collapsed="false">
      <c r="A684" s="4" t="s">
        <v>120</v>
      </c>
      <c r="B684" s="5" t="s">
        <v>121</v>
      </c>
      <c r="C684" s="5" t="s">
        <v>122</v>
      </c>
      <c r="D684" s="4" t="s">
        <v>22</v>
      </c>
      <c r="E684" s="4" t="s">
        <v>1363</v>
      </c>
      <c r="F684" s="4" t="s">
        <v>406</v>
      </c>
      <c r="G684" s="4" t="s">
        <v>1364</v>
      </c>
      <c r="H684" s="12" t="n">
        <v>1</v>
      </c>
      <c r="I684" s="4" t="s">
        <v>408</v>
      </c>
      <c r="J684" s="4" t="s">
        <v>409</v>
      </c>
      <c r="K684" s="13" t="n">
        <v>1200</v>
      </c>
      <c r="L684" s="6" t="n">
        <f aca="false">H684*K684</f>
        <v>1200</v>
      </c>
      <c r="M684" s="14" t="s">
        <v>410</v>
      </c>
    </row>
    <row r="685" customFormat="false" ht="15" hidden="false" customHeight="false" outlineLevel="0" collapsed="false">
      <c r="A685" s="4" t="s">
        <v>120</v>
      </c>
      <c r="B685" s="5" t="s">
        <v>121</v>
      </c>
      <c r="C685" s="5" t="s">
        <v>122</v>
      </c>
      <c r="D685" s="4" t="s">
        <v>22</v>
      </c>
      <c r="E685" s="4" t="s">
        <v>1365</v>
      </c>
      <c r="F685" s="4" t="s">
        <v>406</v>
      </c>
      <c r="G685" s="4" t="s">
        <v>1366</v>
      </c>
      <c r="H685" s="12" t="n">
        <v>1</v>
      </c>
      <c r="I685" s="4" t="s">
        <v>408</v>
      </c>
      <c r="J685" s="4" t="s">
        <v>409</v>
      </c>
      <c r="K685" s="13" t="n">
        <v>18000</v>
      </c>
      <c r="L685" s="6" t="n">
        <f aca="false">H685*K685</f>
        <v>18000</v>
      </c>
      <c r="M685" s="14" t="s">
        <v>410</v>
      </c>
    </row>
    <row r="686" customFormat="false" ht="15" hidden="false" customHeight="false" outlineLevel="0" collapsed="false">
      <c r="A686" s="4" t="s">
        <v>120</v>
      </c>
      <c r="B686" s="5" t="s">
        <v>121</v>
      </c>
      <c r="C686" s="5" t="s">
        <v>122</v>
      </c>
      <c r="D686" s="4" t="s">
        <v>22</v>
      </c>
      <c r="E686" s="4" t="s">
        <v>1367</v>
      </c>
      <c r="F686" s="4" t="s">
        <v>406</v>
      </c>
      <c r="G686" s="4" t="s">
        <v>1368</v>
      </c>
      <c r="H686" s="12" t="n">
        <v>1</v>
      </c>
      <c r="I686" s="4" t="s">
        <v>408</v>
      </c>
      <c r="J686" s="4" t="s">
        <v>409</v>
      </c>
      <c r="K686" s="13" t="n">
        <v>1800</v>
      </c>
      <c r="L686" s="6" t="n">
        <f aca="false">H686*K686</f>
        <v>1800</v>
      </c>
      <c r="M686" s="14" t="s">
        <v>410</v>
      </c>
    </row>
    <row r="687" customFormat="false" ht="15" hidden="false" customHeight="false" outlineLevel="0" collapsed="false">
      <c r="A687" s="4" t="s">
        <v>120</v>
      </c>
      <c r="B687" s="5" t="s">
        <v>121</v>
      </c>
      <c r="C687" s="5" t="s">
        <v>122</v>
      </c>
      <c r="D687" s="4" t="s">
        <v>22</v>
      </c>
      <c r="E687" s="4" t="s">
        <v>1369</v>
      </c>
      <c r="F687" s="4" t="s">
        <v>406</v>
      </c>
      <c r="G687" s="4" t="s">
        <v>1370</v>
      </c>
      <c r="H687" s="12" t="n">
        <v>1</v>
      </c>
      <c r="I687" s="4" t="s">
        <v>408</v>
      </c>
      <c r="J687" s="4" t="s">
        <v>409</v>
      </c>
      <c r="K687" s="13" t="n">
        <v>4500</v>
      </c>
      <c r="L687" s="6" t="n">
        <f aca="false">H687*K687</f>
        <v>4500</v>
      </c>
      <c r="M687" s="14" t="s">
        <v>410</v>
      </c>
    </row>
    <row r="688" customFormat="false" ht="15" hidden="false" customHeight="false" outlineLevel="0" collapsed="false">
      <c r="A688" s="4" t="s">
        <v>120</v>
      </c>
      <c r="B688" s="5" t="s">
        <v>121</v>
      </c>
      <c r="C688" s="5" t="s">
        <v>122</v>
      </c>
      <c r="D688" s="4" t="s">
        <v>22</v>
      </c>
      <c r="E688" s="4" t="s">
        <v>1371</v>
      </c>
      <c r="F688" s="4" t="s">
        <v>406</v>
      </c>
      <c r="G688" s="4" t="s">
        <v>1372</v>
      </c>
      <c r="H688" s="12" t="n">
        <v>1</v>
      </c>
      <c r="I688" s="4" t="s">
        <v>408</v>
      </c>
      <c r="J688" s="4" t="s">
        <v>409</v>
      </c>
      <c r="K688" s="13" t="n">
        <v>18000</v>
      </c>
      <c r="L688" s="6" t="n">
        <f aca="false">H688*K688</f>
        <v>18000</v>
      </c>
      <c r="M688" s="14" t="s">
        <v>410</v>
      </c>
    </row>
    <row r="689" customFormat="false" ht="15" hidden="false" customHeight="false" outlineLevel="0" collapsed="false">
      <c r="A689" s="4" t="s">
        <v>120</v>
      </c>
      <c r="B689" s="5" t="s">
        <v>121</v>
      </c>
      <c r="C689" s="5" t="s">
        <v>122</v>
      </c>
      <c r="D689" s="4" t="s">
        <v>22</v>
      </c>
      <c r="E689" s="4" t="s">
        <v>1373</v>
      </c>
      <c r="F689" s="4" t="s">
        <v>406</v>
      </c>
      <c r="G689" s="4" t="s">
        <v>1374</v>
      </c>
      <c r="H689" s="12" t="n">
        <v>1</v>
      </c>
      <c r="I689" s="4" t="s">
        <v>408</v>
      </c>
      <c r="J689" s="4" t="s">
        <v>409</v>
      </c>
      <c r="K689" s="13" t="n">
        <v>1800</v>
      </c>
      <c r="L689" s="6" t="n">
        <f aca="false">H689*K689</f>
        <v>1800</v>
      </c>
      <c r="M689" s="14" t="s">
        <v>410</v>
      </c>
    </row>
    <row r="690" customFormat="false" ht="15" hidden="false" customHeight="false" outlineLevel="0" collapsed="false">
      <c r="A690" s="4" t="s">
        <v>120</v>
      </c>
      <c r="B690" s="5" t="s">
        <v>121</v>
      </c>
      <c r="C690" s="5" t="s">
        <v>122</v>
      </c>
      <c r="D690" s="4" t="s">
        <v>22</v>
      </c>
      <c r="E690" s="4" t="s">
        <v>1375</v>
      </c>
      <c r="F690" s="4" t="s">
        <v>406</v>
      </c>
      <c r="G690" s="4" t="s">
        <v>1376</v>
      </c>
      <c r="H690" s="12" t="n">
        <v>1</v>
      </c>
      <c r="I690" s="4" t="s">
        <v>408</v>
      </c>
      <c r="J690" s="4" t="s">
        <v>409</v>
      </c>
      <c r="K690" s="13" t="n">
        <v>4500</v>
      </c>
      <c r="L690" s="6" t="n">
        <f aca="false">H690*K690</f>
        <v>4500</v>
      </c>
      <c r="M690" s="14" t="s">
        <v>410</v>
      </c>
    </row>
    <row r="691" customFormat="false" ht="15" hidden="false" customHeight="false" outlineLevel="0" collapsed="false">
      <c r="A691" s="4" t="s">
        <v>120</v>
      </c>
      <c r="B691" s="5" t="s">
        <v>121</v>
      </c>
      <c r="C691" s="5" t="s">
        <v>122</v>
      </c>
      <c r="D691" s="4" t="s">
        <v>22</v>
      </c>
      <c r="E691" s="4" t="s">
        <v>1377</v>
      </c>
      <c r="F691" s="4" t="s">
        <v>406</v>
      </c>
      <c r="G691" s="4" t="s">
        <v>1378</v>
      </c>
      <c r="H691" s="12" t="n">
        <v>1</v>
      </c>
      <c r="I691" s="4" t="s">
        <v>408</v>
      </c>
      <c r="J691" s="4" t="s">
        <v>409</v>
      </c>
      <c r="K691" s="13" t="n">
        <v>1800</v>
      </c>
      <c r="L691" s="6" t="n">
        <f aca="false">H691*K691</f>
        <v>1800</v>
      </c>
      <c r="M691" s="14" t="s">
        <v>410</v>
      </c>
    </row>
    <row r="692" customFormat="false" ht="15" hidden="false" customHeight="false" outlineLevel="0" collapsed="false">
      <c r="A692" s="4" t="s">
        <v>120</v>
      </c>
      <c r="B692" s="5" t="s">
        <v>121</v>
      </c>
      <c r="C692" s="5" t="s">
        <v>122</v>
      </c>
      <c r="D692" s="4" t="s">
        <v>22</v>
      </c>
      <c r="E692" s="4" t="s">
        <v>1379</v>
      </c>
      <c r="F692" s="4" t="s">
        <v>406</v>
      </c>
      <c r="G692" s="4" t="s">
        <v>1380</v>
      </c>
      <c r="H692" s="12" t="n">
        <v>1</v>
      </c>
      <c r="I692" s="4" t="s">
        <v>408</v>
      </c>
      <c r="J692" s="4" t="s">
        <v>409</v>
      </c>
      <c r="K692" s="13" t="n">
        <v>2500</v>
      </c>
      <c r="L692" s="6" t="n">
        <f aca="false">H692*K692</f>
        <v>2500</v>
      </c>
      <c r="M692" s="14" t="s">
        <v>410</v>
      </c>
    </row>
    <row r="693" customFormat="false" ht="15" hidden="false" customHeight="false" outlineLevel="0" collapsed="false">
      <c r="A693" s="4" t="s">
        <v>120</v>
      </c>
      <c r="B693" s="5" t="s">
        <v>121</v>
      </c>
      <c r="C693" s="5" t="s">
        <v>122</v>
      </c>
      <c r="D693" s="4" t="s">
        <v>22</v>
      </c>
      <c r="E693" s="4" t="s">
        <v>1381</v>
      </c>
      <c r="F693" s="4" t="s">
        <v>406</v>
      </c>
      <c r="G693" s="4" t="s">
        <v>1382</v>
      </c>
      <c r="H693" s="12" t="n">
        <v>1</v>
      </c>
      <c r="I693" s="4" t="s">
        <v>408</v>
      </c>
      <c r="J693" s="4" t="s">
        <v>409</v>
      </c>
      <c r="K693" s="13" t="n">
        <v>18000</v>
      </c>
      <c r="L693" s="6" t="n">
        <f aca="false">H693*K693</f>
        <v>18000</v>
      </c>
      <c r="M693" s="14" t="s">
        <v>410</v>
      </c>
    </row>
    <row r="694" customFormat="false" ht="15" hidden="false" customHeight="false" outlineLevel="0" collapsed="false">
      <c r="A694" s="4" t="s">
        <v>120</v>
      </c>
      <c r="B694" s="5" t="s">
        <v>121</v>
      </c>
      <c r="C694" s="5" t="s">
        <v>122</v>
      </c>
      <c r="D694" s="4" t="s">
        <v>22</v>
      </c>
      <c r="E694" s="4" t="s">
        <v>1383</v>
      </c>
      <c r="F694" s="4" t="s">
        <v>406</v>
      </c>
      <c r="G694" s="4" t="s">
        <v>1384</v>
      </c>
      <c r="H694" s="12" t="n">
        <v>1</v>
      </c>
      <c r="I694" s="4" t="s">
        <v>408</v>
      </c>
      <c r="J694" s="4" t="s">
        <v>409</v>
      </c>
      <c r="K694" s="13" t="n">
        <v>25000</v>
      </c>
      <c r="L694" s="6" t="n">
        <f aca="false">H694*K694</f>
        <v>25000</v>
      </c>
      <c r="M694" s="14" t="s">
        <v>410</v>
      </c>
    </row>
    <row r="695" customFormat="false" ht="15" hidden="false" customHeight="false" outlineLevel="0" collapsed="false">
      <c r="A695" s="4" t="s">
        <v>120</v>
      </c>
      <c r="B695" s="5" t="s">
        <v>121</v>
      </c>
      <c r="C695" s="5" t="s">
        <v>122</v>
      </c>
      <c r="D695" s="4" t="s">
        <v>22</v>
      </c>
      <c r="E695" s="4" t="s">
        <v>1385</v>
      </c>
      <c r="F695" s="4" t="s">
        <v>406</v>
      </c>
      <c r="G695" s="4" t="s">
        <v>1386</v>
      </c>
      <c r="H695" s="12" t="n">
        <v>1</v>
      </c>
      <c r="I695" s="4" t="s">
        <v>408</v>
      </c>
      <c r="J695" s="4" t="s">
        <v>409</v>
      </c>
      <c r="K695" s="13" t="n">
        <v>8500</v>
      </c>
      <c r="L695" s="6" t="n">
        <f aca="false">H695*K695</f>
        <v>8500</v>
      </c>
      <c r="M695" s="14" t="s">
        <v>410</v>
      </c>
    </row>
    <row r="696" customFormat="false" ht="15" hidden="false" customHeight="false" outlineLevel="0" collapsed="false">
      <c r="A696" s="4" t="s">
        <v>120</v>
      </c>
      <c r="B696" s="5" t="s">
        <v>121</v>
      </c>
      <c r="C696" s="5" t="s">
        <v>122</v>
      </c>
      <c r="D696" s="4" t="s">
        <v>22</v>
      </c>
      <c r="E696" s="4" t="s">
        <v>1387</v>
      </c>
      <c r="F696" s="4" t="s">
        <v>406</v>
      </c>
      <c r="G696" s="4" t="s">
        <v>1388</v>
      </c>
      <c r="H696" s="12" t="n">
        <v>1</v>
      </c>
      <c r="I696" s="4" t="s">
        <v>408</v>
      </c>
      <c r="J696" s="4" t="s">
        <v>409</v>
      </c>
      <c r="K696" s="13" t="n">
        <v>1800</v>
      </c>
      <c r="L696" s="6" t="n">
        <f aca="false">H696*K696</f>
        <v>1800</v>
      </c>
      <c r="M696" s="14" t="s">
        <v>410</v>
      </c>
    </row>
    <row r="697" customFormat="false" ht="15" hidden="false" customHeight="false" outlineLevel="0" collapsed="false">
      <c r="A697" s="4" t="s">
        <v>120</v>
      </c>
      <c r="B697" s="5" t="s">
        <v>121</v>
      </c>
      <c r="C697" s="5" t="s">
        <v>122</v>
      </c>
      <c r="D697" s="4" t="s">
        <v>22</v>
      </c>
      <c r="E697" s="4" t="s">
        <v>1389</v>
      </c>
      <c r="F697" s="4" t="s">
        <v>406</v>
      </c>
      <c r="G697" s="4" t="s">
        <v>1390</v>
      </c>
      <c r="H697" s="12" t="n">
        <v>1</v>
      </c>
      <c r="I697" s="4" t="s">
        <v>408</v>
      </c>
      <c r="J697" s="4" t="s">
        <v>409</v>
      </c>
      <c r="K697" s="13" t="n">
        <v>350</v>
      </c>
      <c r="L697" s="6" t="n">
        <f aca="false">H697*K697</f>
        <v>350</v>
      </c>
      <c r="M697" s="14" t="s">
        <v>410</v>
      </c>
    </row>
    <row r="698" customFormat="false" ht="15" hidden="false" customHeight="false" outlineLevel="0" collapsed="false">
      <c r="A698" s="4" t="s">
        <v>120</v>
      </c>
      <c r="B698" s="5" t="s">
        <v>121</v>
      </c>
      <c r="C698" s="5" t="s">
        <v>122</v>
      </c>
      <c r="D698" s="4" t="s">
        <v>22</v>
      </c>
      <c r="E698" s="4" t="s">
        <v>1391</v>
      </c>
      <c r="F698" s="4" t="s">
        <v>470</v>
      </c>
      <c r="G698" s="4" t="s">
        <v>1392</v>
      </c>
      <c r="H698" s="12" t="n">
        <v>1</v>
      </c>
      <c r="I698" s="4" t="s">
        <v>408</v>
      </c>
      <c r="J698" s="4" t="s">
        <v>409</v>
      </c>
      <c r="K698" s="13" t="n">
        <v>45000</v>
      </c>
      <c r="L698" s="6" t="n">
        <f aca="false">H698*K698</f>
        <v>45000</v>
      </c>
      <c r="M698" s="14" t="s">
        <v>410</v>
      </c>
    </row>
    <row r="699" customFormat="false" ht="15" hidden="false" customHeight="false" outlineLevel="0" collapsed="false">
      <c r="A699" s="4" t="s">
        <v>120</v>
      </c>
      <c r="B699" s="5" t="s">
        <v>121</v>
      </c>
      <c r="C699" s="5" t="s">
        <v>122</v>
      </c>
      <c r="D699" s="4" t="s">
        <v>22</v>
      </c>
      <c r="E699" s="4" t="s">
        <v>1393</v>
      </c>
      <c r="F699" s="4" t="s">
        <v>470</v>
      </c>
      <c r="G699" s="4" t="s">
        <v>1394</v>
      </c>
      <c r="H699" s="12" t="n">
        <v>1</v>
      </c>
      <c r="I699" s="4" t="s">
        <v>408</v>
      </c>
      <c r="J699" s="4" t="s">
        <v>409</v>
      </c>
      <c r="K699" s="13" t="n">
        <v>6500</v>
      </c>
      <c r="L699" s="6" t="n">
        <f aca="false">H699*K699</f>
        <v>6500</v>
      </c>
      <c r="M699" s="4" t="s">
        <v>371</v>
      </c>
    </row>
    <row r="700" customFormat="false" ht="15" hidden="false" customHeight="false" outlineLevel="0" collapsed="false">
      <c r="A700" s="4" t="s">
        <v>120</v>
      </c>
      <c r="B700" s="5" t="s">
        <v>121</v>
      </c>
      <c r="C700" s="5" t="s">
        <v>122</v>
      </c>
      <c r="D700" s="4" t="s">
        <v>22</v>
      </c>
      <c r="E700" s="4" t="s">
        <v>1395</v>
      </c>
      <c r="F700" s="4" t="s">
        <v>470</v>
      </c>
      <c r="G700" s="4" t="s">
        <v>1396</v>
      </c>
      <c r="H700" s="12" t="n">
        <v>1</v>
      </c>
      <c r="I700" s="4" t="s">
        <v>408</v>
      </c>
      <c r="J700" s="4" t="s">
        <v>409</v>
      </c>
      <c r="K700" s="13" t="n">
        <v>18000</v>
      </c>
      <c r="L700" s="6" t="n">
        <f aca="false">H700*K700</f>
        <v>18000</v>
      </c>
      <c r="M700" s="4" t="s">
        <v>371</v>
      </c>
    </row>
    <row r="701" customFormat="false" ht="15" hidden="false" customHeight="false" outlineLevel="0" collapsed="false">
      <c r="A701" s="4" t="s">
        <v>120</v>
      </c>
      <c r="B701" s="5" t="s">
        <v>121</v>
      </c>
      <c r="C701" s="5" t="s">
        <v>122</v>
      </c>
      <c r="D701" s="4" t="s">
        <v>22</v>
      </c>
      <c r="E701" s="4" t="s">
        <v>1397</v>
      </c>
      <c r="F701" s="4" t="s">
        <v>470</v>
      </c>
      <c r="G701" s="4" t="s">
        <v>1398</v>
      </c>
      <c r="H701" s="12" t="n">
        <v>1</v>
      </c>
      <c r="I701" s="4" t="s">
        <v>408</v>
      </c>
      <c r="J701" s="4" t="s">
        <v>409</v>
      </c>
      <c r="K701" s="13" t="n">
        <v>18000</v>
      </c>
      <c r="L701" s="6" t="n">
        <f aca="false">H701*K701</f>
        <v>18000</v>
      </c>
      <c r="M701" s="4" t="s">
        <v>371</v>
      </c>
    </row>
    <row r="702" customFormat="false" ht="15" hidden="false" customHeight="false" outlineLevel="0" collapsed="false">
      <c r="A702" s="4" t="s">
        <v>120</v>
      </c>
      <c r="B702" s="5" t="s">
        <v>121</v>
      </c>
      <c r="C702" s="5" t="s">
        <v>122</v>
      </c>
      <c r="D702" s="4" t="s">
        <v>22</v>
      </c>
      <c r="E702" s="4" t="s">
        <v>1399</v>
      </c>
      <c r="F702" s="4" t="s">
        <v>470</v>
      </c>
      <c r="G702" s="4" t="s">
        <v>1400</v>
      </c>
      <c r="H702" s="12" t="n">
        <v>1</v>
      </c>
      <c r="I702" s="4" t="s">
        <v>408</v>
      </c>
      <c r="J702" s="4" t="s">
        <v>409</v>
      </c>
      <c r="K702" s="13" t="n">
        <v>8500</v>
      </c>
      <c r="L702" s="6" t="n">
        <f aca="false">H702*K702</f>
        <v>8500</v>
      </c>
      <c r="M702" s="4" t="s">
        <v>371</v>
      </c>
    </row>
    <row r="703" customFormat="false" ht="15" hidden="false" customHeight="false" outlineLevel="0" collapsed="false">
      <c r="A703" s="4" t="s">
        <v>120</v>
      </c>
      <c r="B703" s="5" t="s">
        <v>121</v>
      </c>
      <c r="C703" s="5" t="s">
        <v>122</v>
      </c>
      <c r="D703" s="4" t="s">
        <v>22</v>
      </c>
      <c r="E703" s="4" t="s">
        <v>1401</v>
      </c>
      <c r="F703" s="4" t="s">
        <v>470</v>
      </c>
      <c r="G703" s="4" t="s">
        <v>1402</v>
      </c>
      <c r="H703" s="12" t="n">
        <v>1</v>
      </c>
      <c r="I703" s="4" t="s">
        <v>408</v>
      </c>
      <c r="J703" s="4" t="s">
        <v>409</v>
      </c>
      <c r="K703" s="13" t="n">
        <v>8500</v>
      </c>
      <c r="L703" s="6" t="n">
        <f aca="false">H703*K703</f>
        <v>8500</v>
      </c>
      <c r="M703" s="4" t="s">
        <v>371</v>
      </c>
    </row>
    <row r="704" customFormat="false" ht="15" hidden="false" customHeight="false" outlineLevel="0" collapsed="false">
      <c r="A704" s="4" t="s">
        <v>120</v>
      </c>
      <c r="B704" s="5" t="s">
        <v>121</v>
      </c>
      <c r="C704" s="5" t="s">
        <v>122</v>
      </c>
      <c r="D704" s="4" t="s">
        <v>22</v>
      </c>
      <c r="E704" s="4" t="s">
        <v>1403</v>
      </c>
      <c r="F704" s="4" t="s">
        <v>470</v>
      </c>
      <c r="G704" s="4" t="s">
        <v>1404</v>
      </c>
      <c r="H704" s="12" t="n">
        <v>5</v>
      </c>
      <c r="I704" s="4" t="s">
        <v>474</v>
      </c>
      <c r="J704" s="4" t="s">
        <v>409</v>
      </c>
      <c r="K704" s="13" t="n">
        <v>8500</v>
      </c>
      <c r="L704" s="6" t="n">
        <f aca="false">H704*K704</f>
        <v>42500</v>
      </c>
      <c r="M704" s="4" t="s">
        <v>371</v>
      </c>
    </row>
    <row r="705" customFormat="false" ht="15" hidden="false" customHeight="false" outlineLevel="0" collapsed="false">
      <c r="A705" s="4" t="s">
        <v>120</v>
      </c>
      <c r="B705" s="5" t="s">
        <v>121</v>
      </c>
      <c r="C705" s="5" t="s">
        <v>122</v>
      </c>
      <c r="D705" s="4" t="s">
        <v>22</v>
      </c>
      <c r="E705" s="4" t="s">
        <v>1405</v>
      </c>
      <c r="F705" s="4" t="s">
        <v>470</v>
      </c>
      <c r="G705" s="4" t="s">
        <v>1406</v>
      </c>
      <c r="H705" s="12" t="n">
        <v>1</v>
      </c>
      <c r="I705" s="4" t="s">
        <v>408</v>
      </c>
      <c r="J705" s="4" t="s">
        <v>409</v>
      </c>
      <c r="K705" s="13" t="n">
        <v>1800</v>
      </c>
      <c r="L705" s="6" t="n">
        <f aca="false">H705*K705</f>
        <v>1800</v>
      </c>
      <c r="M705" s="4" t="s">
        <v>371</v>
      </c>
    </row>
    <row r="706" customFormat="false" ht="15" hidden="false" customHeight="false" outlineLevel="0" collapsed="false">
      <c r="A706" s="4" t="s">
        <v>120</v>
      </c>
      <c r="B706" s="5" t="s">
        <v>121</v>
      </c>
      <c r="C706" s="5" t="s">
        <v>122</v>
      </c>
      <c r="D706" s="4" t="s">
        <v>22</v>
      </c>
      <c r="E706" s="4" t="s">
        <v>1407</v>
      </c>
      <c r="F706" s="4" t="s">
        <v>470</v>
      </c>
      <c r="G706" s="4" t="s">
        <v>1408</v>
      </c>
      <c r="H706" s="12" t="n">
        <v>1</v>
      </c>
      <c r="I706" s="4" t="s">
        <v>408</v>
      </c>
      <c r="J706" s="4" t="s">
        <v>409</v>
      </c>
      <c r="K706" s="13" t="n">
        <v>8500</v>
      </c>
      <c r="L706" s="6" t="n">
        <f aca="false">H706*K706</f>
        <v>8500</v>
      </c>
      <c r="M706" s="4" t="s">
        <v>371</v>
      </c>
    </row>
    <row r="707" customFormat="false" ht="15" hidden="false" customHeight="false" outlineLevel="0" collapsed="false">
      <c r="A707" s="4" t="s">
        <v>120</v>
      </c>
      <c r="B707" s="5" t="s">
        <v>121</v>
      </c>
      <c r="C707" s="5" t="s">
        <v>122</v>
      </c>
      <c r="D707" s="4" t="s">
        <v>22</v>
      </c>
      <c r="E707" s="4" t="s">
        <v>1409</v>
      </c>
      <c r="F707" s="4" t="s">
        <v>470</v>
      </c>
      <c r="G707" s="4" t="s">
        <v>1410</v>
      </c>
      <c r="H707" s="12" t="n">
        <v>1</v>
      </c>
      <c r="I707" s="4" t="s">
        <v>408</v>
      </c>
      <c r="J707" s="4" t="s">
        <v>409</v>
      </c>
      <c r="K707" s="13" t="n">
        <v>8500</v>
      </c>
      <c r="L707" s="6" t="n">
        <f aca="false">H707*K707</f>
        <v>8500</v>
      </c>
      <c r="M707" s="4" t="s">
        <v>371</v>
      </c>
    </row>
    <row r="708" customFormat="false" ht="15" hidden="false" customHeight="false" outlineLevel="0" collapsed="false">
      <c r="A708" s="4" t="s">
        <v>120</v>
      </c>
      <c r="B708" s="5" t="s">
        <v>121</v>
      </c>
      <c r="C708" s="5" t="s">
        <v>122</v>
      </c>
      <c r="D708" s="4" t="s">
        <v>22</v>
      </c>
      <c r="E708" s="4" t="s">
        <v>1411</v>
      </c>
      <c r="F708" s="4" t="s">
        <v>470</v>
      </c>
      <c r="G708" s="4" t="s">
        <v>1412</v>
      </c>
      <c r="H708" s="12" t="n">
        <v>1</v>
      </c>
      <c r="I708" s="4" t="s">
        <v>408</v>
      </c>
      <c r="J708" s="4" t="s">
        <v>416</v>
      </c>
      <c r="K708" s="13" t="n">
        <v>8500</v>
      </c>
      <c r="L708" s="6" t="n">
        <f aca="false">H708*K708</f>
        <v>8500</v>
      </c>
      <c r="M708" s="4" t="s">
        <v>371</v>
      </c>
    </row>
    <row r="709" customFormat="false" ht="15" hidden="false" customHeight="false" outlineLevel="0" collapsed="false">
      <c r="A709" s="4" t="s">
        <v>120</v>
      </c>
      <c r="B709" s="5" t="s">
        <v>121</v>
      </c>
      <c r="C709" s="5" t="s">
        <v>122</v>
      </c>
      <c r="D709" s="4" t="s">
        <v>22</v>
      </c>
      <c r="E709" s="4" t="s">
        <v>1413</v>
      </c>
      <c r="F709" s="4" t="s">
        <v>470</v>
      </c>
      <c r="G709" s="4" t="s">
        <v>1414</v>
      </c>
      <c r="H709" s="12" t="n">
        <v>1</v>
      </c>
      <c r="I709" s="4" t="s">
        <v>408</v>
      </c>
      <c r="J709" s="4" t="s">
        <v>409</v>
      </c>
      <c r="K709" s="13" t="n">
        <v>1200</v>
      </c>
      <c r="L709" s="6" t="n">
        <f aca="false">H709*K709</f>
        <v>1200</v>
      </c>
      <c r="M709" s="4" t="s">
        <v>371</v>
      </c>
    </row>
    <row r="710" customFormat="false" ht="15" hidden="false" customHeight="false" outlineLevel="0" collapsed="false">
      <c r="A710" s="4" t="s">
        <v>120</v>
      </c>
      <c r="B710" s="5" t="s">
        <v>121</v>
      </c>
      <c r="C710" s="5" t="s">
        <v>122</v>
      </c>
      <c r="D710" s="4" t="s">
        <v>22</v>
      </c>
      <c r="E710" s="4" t="s">
        <v>1415</v>
      </c>
      <c r="F710" s="4" t="s">
        <v>470</v>
      </c>
      <c r="G710" s="4" t="s">
        <v>1416</v>
      </c>
      <c r="H710" s="12" t="n">
        <v>1</v>
      </c>
      <c r="I710" s="4" t="s">
        <v>408</v>
      </c>
      <c r="J710" s="4" t="s">
        <v>416</v>
      </c>
      <c r="K710" s="13" t="n">
        <v>4500</v>
      </c>
      <c r="L710" s="6" t="n">
        <f aca="false">H710*K710</f>
        <v>4500</v>
      </c>
      <c r="M710" s="4" t="s">
        <v>371</v>
      </c>
    </row>
    <row r="711" customFormat="false" ht="15" hidden="false" customHeight="false" outlineLevel="0" collapsed="false">
      <c r="A711" s="4" t="s">
        <v>120</v>
      </c>
      <c r="B711" s="5" t="s">
        <v>121</v>
      </c>
      <c r="C711" s="5" t="s">
        <v>122</v>
      </c>
      <c r="D711" s="4" t="s">
        <v>22</v>
      </c>
      <c r="E711" s="4" t="s">
        <v>1417</v>
      </c>
      <c r="F711" s="4" t="s">
        <v>470</v>
      </c>
      <c r="G711" s="4" t="s">
        <v>1418</v>
      </c>
      <c r="H711" s="12" t="n">
        <v>1</v>
      </c>
      <c r="I711" s="4" t="s">
        <v>408</v>
      </c>
      <c r="J711" s="4" t="s">
        <v>416</v>
      </c>
      <c r="K711" s="13" t="n">
        <v>2500</v>
      </c>
      <c r="L711" s="6" t="n">
        <f aca="false">H711*K711</f>
        <v>2500</v>
      </c>
      <c r="M711" s="4" t="s">
        <v>371</v>
      </c>
    </row>
    <row r="712" customFormat="false" ht="15" hidden="false" customHeight="false" outlineLevel="0" collapsed="false">
      <c r="A712" s="4" t="s">
        <v>120</v>
      </c>
      <c r="B712" s="5" t="s">
        <v>121</v>
      </c>
      <c r="C712" s="5" t="s">
        <v>122</v>
      </c>
      <c r="D712" s="4" t="s">
        <v>22</v>
      </c>
      <c r="E712" s="4" t="s">
        <v>1419</v>
      </c>
      <c r="F712" s="4" t="s">
        <v>470</v>
      </c>
      <c r="G712" s="4" t="s">
        <v>1420</v>
      </c>
      <c r="H712" s="12" t="n">
        <v>1</v>
      </c>
      <c r="I712" s="4" t="s">
        <v>408</v>
      </c>
      <c r="J712" s="4" t="s">
        <v>416</v>
      </c>
      <c r="K712" s="13" t="n">
        <v>2500</v>
      </c>
      <c r="L712" s="6" t="n">
        <f aca="false">H712*K712</f>
        <v>2500</v>
      </c>
      <c r="M712" s="4" t="s">
        <v>371</v>
      </c>
    </row>
    <row r="713" customFormat="false" ht="15" hidden="false" customHeight="false" outlineLevel="0" collapsed="false">
      <c r="A713" s="4" t="s">
        <v>120</v>
      </c>
      <c r="B713" s="5" t="s">
        <v>121</v>
      </c>
      <c r="C713" s="5" t="s">
        <v>122</v>
      </c>
      <c r="D713" s="4" t="s">
        <v>22</v>
      </c>
      <c r="E713" s="4" t="s">
        <v>1421</v>
      </c>
      <c r="F713" s="4" t="s">
        <v>470</v>
      </c>
      <c r="G713" s="4" t="s">
        <v>1422</v>
      </c>
      <c r="H713" s="12" t="n">
        <v>1</v>
      </c>
      <c r="I713" s="4" t="s">
        <v>408</v>
      </c>
      <c r="J713" s="4" t="s">
        <v>416</v>
      </c>
      <c r="K713" s="13" t="n">
        <v>2500</v>
      </c>
      <c r="L713" s="6" t="n">
        <f aca="false">H713*K713</f>
        <v>2500</v>
      </c>
      <c r="M713" s="4" t="s">
        <v>371</v>
      </c>
    </row>
    <row r="714" customFormat="false" ht="15" hidden="false" customHeight="false" outlineLevel="0" collapsed="false">
      <c r="A714" s="4" t="s">
        <v>120</v>
      </c>
      <c r="B714" s="5" t="s">
        <v>121</v>
      </c>
      <c r="C714" s="5" t="s">
        <v>122</v>
      </c>
      <c r="D714" s="4" t="s">
        <v>22</v>
      </c>
      <c r="E714" s="4" t="s">
        <v>1423</v>
      </c>
      <c r="F714" s="4" t="s">
        <v>470</v>
      </c>
      <c r="G714" s="4" t="s">
        <v>1424</v>
      </c>
      <c r="H714" s="12" t="n">
        <v>1</v>
      </c>
      <c r="I714" s="4" t="s">
        <v>408</v>
      </c>
      <c r="J714" s="4" t="s">
        <v>409</v>
      </c>
      <c r="K714" s="13" t="n">
        <v>3500</v>
      </c>
      <c r="L714" s="6" t="n">
        <f aca="false">H714*K714</f>
        <v>3500</v>
      </c>
      <c r="M714" s="4" t="s">
        <v>371</v>
      </c>
    </row>
    <row r="715" customFormat="false" ht="15" hidden="false" customHeight="false" outlineLevel="0" collapsed="false">
      <c r="A715" s="4" t="s">
        <v>120</v>
      </c>
      <c r="B715" s="5" t="s">
        <v>121</v>
      </c>
      <c r="C715" s="5" t="s">
        <v>122</v>
      </c>
      <c r="D715" s="4" t="s">
        <v>22</v>
      </c>
      <c r="E715" s="4" t="s">
        <v>1425</v>
      </c>
      <c r="F715" s="4" t="s">
        <v>488</v>
      </c>
      <c r="G715" s="4" t="s">
        <v>1426</v>
      </c>
      <c r="H715" s="12" t="n">
        <v>1</v>
      </c>
      <c r="I715" s="4" t="s">
        <v>408</v>
      </c>
      <c r="J715" s="4" t="s">
        <v>506</v>
      </c>
      <c r="K715" s="13" t="n">
        <v>100</v>
      </c>
      <c r="L715" s="6" t="n">
        <f aca="false">H715*K715</f>
        <v>100</v>
      </c>
      <c r="M715" s="4" t="s">
        <v>371</v>
      </c>
    </row>
    <row r="716" customFormat="false" ht="15" hidden="false" customHeight="false" outlineLevel="0" collapsed="false">
      <c r="A716" s="4" t="s">
        <v>120</v>
      </c>
      <c r="B716" s="5" t="s">
        <v>121</v>
      </c>
      <c r="C716" s="5" t="s">
        <v>122</v>
      </c>
      <c r="D716" s="4" t="s">
        <v>22</v>
      </c>
      <c r="E716" s="4" t="s">
        <v>1427</v>
      </c>
      <c r="F716" s="4" t="s">
        <v>488</v>
      </c>
      <c r="G716" s="4" t="s">
        <v>1428</v>
      </c>
      <c r="H716" s="12" t="n">
        <v>1</v>
      </c>
      <c r="I716" s="4" t="s">
        <v>408</v>
      </c>
      <c r="J716" s="4" t="s">
        <v>480</v>
      </c>
      <c r="K716" s="13" t="n">
        <v>100</v>
      </c>
      <c r="L716" s="6" t="n">
        <f aca="false">H716*K716</f>
        <v>100</v>
      </c>
      <c r="M716" s="4" t="s">
        <v>371</v>
      </c>
    </row>
    <row r="717" customFormat="false" ht="15" hidden="false" customHeight="false" outlineLevel="0" collapsed="false">
      <c r="A717" s="4" t="s">
        <v>120</v>
      </c>
      <c r="B717" s="5" t="s">
        <v>121</v>
      </c>
      <c r="C717" s="5" t="s">
        <v>122</v>
      </c>
      <c r="D717" s="4" t="s">
        <v>22</v>
      </c>
      <c r="E717" s="4" t="s">
        <v>1429</v>
      </c>
      <c r="F717" s="4" t="s">
        <v>488</v>
      </c>
      <c r="G717" s="4" t="s">
        <v>1430</v>
      </c>
      <c r="H717" s="12" t="n">
        <v>1</v>
      </c>
      <c r="I717" s="4" t="s">
        <v>408</v>
      </c>
      <c r="J717" s="4" t="s">
        <v>506</v>
      </c>
      <c r="K717" s="13" t="n">
        <v>120</v>
      </c>
      <c r="L717" s="6" t="n">
        <f aca="false">H717*K717</f>
        <v>120</v>
      </c>
      <c r="M717" s="4" t="s">
        <v>371</v>
      </c>
    </row>
    <row r="718" customFormat="false" ht="15" hidden="false" customHeight="false" outlineLevel="0" collapsed="false">
      <c r="A718" s="4" t="s">
        <v>120</v>
      </c>
      <c r="B718" s="5" t="s">
        <v>121</v>
      </c>
      <c r="C718" s="5" t="s">
        <v>122</v>
      </c>
      <c r="D718" s="4" t="s">
        <v>22</v>
      </c>
      <c r="E718" s="4" t="s">
        <v>1431</v>
      </c>
      <c r="F718" s="4" t="s">
        <v>488</v>
      </c>
      <c r="G718" s="4" t="s">
        <v>1432</v>
      </c>
      <c r="H718" s="12" t="n">
        <v>1</v>
      </c>
      <c r="I718" s="4" t="s">
        <v>408</v>
      </c>
      <c r="J718" s="4" t="s">
        <v>480</v>
      </c>
      <c r="K718" s="13" t="n">
        <v>80</v>
      </c>
      <c r="L718" s="6" t="n">
        <f aca="false">H718*K718</f>
        <v>80</v>
      </c>
      <c r="M718" s="4" t="s">
        <v>371</v>
      </c>
    </row>
    <row r="719" customFormat="false" ht="15" hidden="false" customHeight="false" outlineLevel="0" collapsed="false">
      <c r="A719" s="4" t="s">
        <v>120</v>
      </c>
      <c r="B719" s="5" t="s">
        <v>121</v>
      </c>
      <c r="C719" s="5" t="s">
        <v>122</v>
      </c>
      <c r="D719" s="4" t="s">
        <v>22</v>
      </c>
      <c r="E719" s="4" t="s">
        <v>1433</v>
      </c>
      <c r="F719" s="4" t="s">
        <v>488</v>
      </c>
      <c r="G719" s="4" t="s">
        <v>1434</v>
      </c>
      <c r="H719" s="12" t="n">
        <v>1</v>
      </c>
      <c r="I719" s="4" t="s">
        <v>408</v>
      </c>
      <c r="J719" s="4" t="s">
        <v>480</v>
      </c>
      <c r="K719" s="13" t="n">
        <v>80</v>
      </c>
      <c r="L719" s="6" t="n">
        <f aca="false">H719*K719</f>
        <v>80</v>
      </c>
      <c r="M719" s="4" t="s">
        <v>371</v>
      </c>
    </row>
    <row r="720" customFormat="false" ht="15" hidden="false" customHeight="false" outlineLevel="0" collapsed="false">
      <c r="A720" s="4" t="s">
        <v>120</v>
      </c>
      <c r="B720" s="5" t="s">
        <v>121</v>
      </c>
      <c r="C720" s="5" t="s">
        <v>122</v>
      </c>
      <c r="D720" s="4" t="s">
        <v>22</v>
      </c>
      <c r="E720" s="4" t="s">
        <v>1435</v>
      </c>
      <c r="F720" s="4" t="s">
        <v>488</v>
      </c>
      <c r="G720" s="4" t="s">
        <v>1436</v>
      </c>
      <c r="H720" s="12" t="n">
        <v>1</v>
      </c>
      <c r="I720" s="4" t="s">
        <v>408</v>
      </c>
      <c r="J720" s="4" t="s">
        <v>416</v>
      </c>
      <c r="K720" s="13" t="n">
        <v>180</v>
      </c>
      <c r="L720" s="6" t="n">
        <f aca="false">H720*K720</f>
        <v>180</v>
      </c>
      <c r="M720" s="4" t="s">
        <v>371</v>
      </c>
    </row>
    <row r="721" customFormat="false" ht="15" hidden="false" customHeight="false" outlineLevel="0" collapsed="false">
      <c r="A721" s="4" t="s">
        <v>120</v>
      </c>
      <c r="B721" s="5" t="s">
        <v>121</v>
      </c>
      <c r="C721" s="5" t="s">
        <v>122</v>
      </c>
      <c r="D721" s="4" t="s">
        <v>22</v>
      </c>
      <c r="E721" s="4" t="s">
        <v>1437</v>
      </c>
      <c r="F721" s="4" t="s">
        <v>488</v>
      </c>
      <c r="G721" s="4" t="s">
        <v>1438</v>
      </c>
      <c r="H721" s="12" t="n">
        <v>1</v>
      </c>
      <c r="I721" s="4" t="s">
        <v>408</v>
      </c>
      <c r="J721" s="4" t="s">
        <v>480</v>
      </c>
      <c r="K721" s="13" t="n">
        <v>120</v>
      </c>
      <c r="L721" s="6" t="n">
        <f aca="false">H721*K721</f>
        <v>120</v>
      </c>
      <c r="M721" s="4" t="s">
        <v>371</v>
      </c>
    </row>
    <row r="722" customFormat="false" ht="15" hidden="false" customHeight="false" outlineLevel="0" collapsed="false">
      <c r="A722" s="4" t="s">
        <v>120</v>
      </c>
      <c r="B722" s="5" t="s">
        <v>121</v>
      </c>
      <c r="C722" s="5" t="s">
        <v>122</v>
      </c>
      <c r="D722" s="4" t="s">
        <v>22</v>
      </c>
      <c r="E722" s="4" t="s">
        <v>1439</v>
      </c>
      <c r="F722" s="4" t="s">
        <v>488</v>
      </c>
      <c r="G722" s="4" t="s">
        <v>1440</v>
      </c>
      <c r="H722" s="12" t="n">
        <v>1</v>
      </c>
      <c r="I722" s="4" t="s">
        <v>408</v>
      </c>
      <c r="J722" s="4" t="s">
        <v>409</v>
      </c>
      <c r="K722" s="13" t="n">
        <v>120</v>
      </c>
      <c r="L722" s="6" t="n">
        <f aca="false">H722*K722</f>
        <v>120</v>
      </c>
      <c r="M722" s="14" t="s">
        <v>410</v>
      </c>
    </row>
    <row r="723" customFormat="false" ht="15" hidden="false" customHeight="false" outlineLevel="0" collapsed="false">
      <c r="A723" s="4" t="s">
        <v>120</v>
      </c>
      <c r="B723" s="5" t="s">
        <v>121</v>
      </c>
      <c r="C723" s="5" t="s">
        <v>122</v>
      </c>
      <c r="D723" s="4" t="s">
        <v>22</v>
      </c>
      <c r="E723" s="4" t="s">
        <v>1441</v>
      </c>
      <c r="F723" s="4" t="s">
        <v>488</v>
      </c>
      <c r="G723" s="4" t="s">
        <v>1442</v>
      </c>
      <c r="H723" s="12" t="n">
        <v>1</v>
      </c>
      <c r="I723" s="4" t="s">
        <v>408</v>
      </c>
      <c r="J723" s="4" t="s">
        <v>409</v>
      </c>
      <c r="K723" s="13" t="n">
        <v>15</v>
      </c>
      <c r="L723" s="6" t="n">
        <f aca="false">H723*K723</f>
        <v>15</v>
      </c>
      <c r="M723" s="4" t="s">
        <v>371</v>
      </c>
    </row>
    <row r="724" customFormat="false" ht="15" hidden="false" customHeight="false" outlineLevel="0" collapsed="false">
      <c r="A724" s="4" t="s">
        <v>120</v>
      </c>
      <c r="B724" s="5" t="s">
        <v>121</v>
      </c>
      <c r="C724" s="5" t="s">
        <v>122</v>
      </c>
      <c r="D724" s="4" t="s">
        <v>22</v>
      </c>
      <c r="E724" s="4" t="s">
        <v>1443</v>
      </c>
      <c r="F724" s="4" t="s">
        <v>470</v>
      </c>
      <c r="G724" s="4" t="s">
        <v>1444</v>
      </c>
      <c r="H724" s="12" t="n">
        <v>1</v>
      </c>
      <c r="I724" s="4" t="s">
        <v>408</v>
      </c>
      <c r="J724" s="4" t="s">
        <v>409</v>
      </c>
      <c r="K724" s="13" t="n">
        <v>450</v>
      </c>
      <c r="L724" s="6" t="n">
        <f aca="false">H724*K724</f>
        <v>450</v>
      </c>
      <c r="M724" s="4" t="s">
        <v>371</v>
      </c>
    </row>
    <row r="725" customFormat="false" ht="15" hidden="false" customHeight="false" outlineLevel="0" collapsed="false">
      <c r="A725" s="4" t="s">
        <v>120</v>
      </c>
      <c r="B725" s="5" t="s">
        <v>121</v>
      </c>
      <c r="C725" s="5" t="s">
        <v>122</v>
      </c>
      <c r="D725" s="4" t="s">
        <v>22</v>
      </c>
      <c r="E725" s="4" t="s">
        <v>1445</v>
      </c>
      <c r="F725" s="4" t="s">
        <v>470</v>
      </c>
      <c r="G725" s="4" t="s">
        <v>1446</v>
      </c>
      <c r="H725" s="12" t="n">
        <v>1</v>
      </c>
      <c r="I725" s="4" t="s">
        <v>408</v>
      </c>
      <c r="J725" s="4" t="s">
        <v>409</v>
      </c>
      <c r="K725" s="13" t="n">
        <v>450</v>
      </c>
      <c r="L725" s="6" t="n">
        <f aca="false">H725*K725</f>
        <v>450</v>
      </c>
      <c r="M725" s="4" t="s">
        <v>371</v>
      </c>
    </row>
    <row r="726" customFormat="false" ht="23.85" hidden="false" customHeight="false" outlineLevel="0" collapsed="false">
      <c r="A726" s="4" t="s">
        <v>120</v>
      </c>
      <c r="B726" s="5" t="s">
        <v>123</v>
      </c>
      <c r="C726" s="5" t="s">
        <v>124</v>
      </c>
      <c r="D726" s="4" t="s">
        <v>22</v>
      </c>
      <c r="E726" s="4" t="s">
        <v>1261</v>
      </c>
      <c r="F726" s="4" t="s">
        <v>406</v>
      </c>
      <c r="G726" s="4" t="s">
        <v>1262</v>
      </c>
      <c r="H726" s="12" t="n">
        <v>1</v>
      </c>
      <c r="I726" s="4" t="s">
        <v>408</v>
      </c>
      <c r="J726" s="4" t="s">
        <v>409</v>
      </c>
      <c r="K726" s="13" t="n">
        <v>80</v>
      </c>
      <c r="L726" s="6" t="n">
        <f aca="false">H726*K726</f>
        <v>80</v>
      </c>
      <c r="M726" s="14" t="s">
        <v>410</v>
      </c>
    </row>
    <row r="727" customFormat="false" ht="23.85" hidden="false" customHeight="false" outlineLevel="0" collapsed="false">
      <c r="A727" s="4" t="s">
        <v>120</v>
      </c>
      <c r="B727" s="5" t="s">
        <v>123</v>
      </c>
      <c r="C727" s="5" t="s">
        <v>124</v>
      </c>
      <c r="D727" s="4" t="s">
        <v>22</v>
      </c>
      <c r="E727" s="4" t="s">
        <v>1263</v>
      </c>
      <c r="F727" s="4" t="s">
        <v>406</v>
      </c>
      <c r="G727" s="4" t="s">
        <v>1264</v>
      </c>
      <c r="H727" s="12" t="n">
        <v>1</v>
      </c>
      <c r="I727" s="4" t="s">
        <v>408</v>
      </c>
      <c r="J727" s="4" t="s">
        <v>409</v>
      </c>
      <c r="K727" s="13" t="n">
        <v>80</v>
      </c>
      <c r="L727" s="6" t="n">
        <f aca="false">H727*K727</f>
        <v>80</v>
      </c>
      <c r="M727" s="14" t="s">
        <v>410</v>
      </c>
    </row>
    <row r="728" customFormat="false" ht="23.85" hidden="false" customHeight="false" outlineLevel="0" collapsed="false">
      <c r="A728" s="4" t="s">
        <v>120</v>
      </c>
      <c r="B728" s="5" t="s">
        <v>123</v>
      </c>
      <c r="C728" s="5" t="s">
        <v>124</v>
      </c>
      <c r="D728" s="4" t="s">
        <v>22</v>
      </c>
      <c r="E728" s="4" t="s">
        <v>1265</v>
      </c>
      <c r="F728" s="4" t="s">
        <v>406</v>
      </c>
      <c r="G728" s="4" t="s">
        <v>1266</v>
      </c>
      <c r="H728" s="12" t="n">
        <v>1</v>
      </c>
      <c r="I728" s="4" t="s">
        <v>408</v>
      </c>
      <c r="J728" s="4" t="s">
        <v>409</v>
      </c>
      <c r="K728" s="13" t="n">
        <v>120</v>
      </c>
      <c r="L728" s="6" t="n">
        <f aca="false">H728*K728</f>
        <v>120</v>
      </c>
      <c r="M728" s="14" t="s">
        <v>410</v>
      </c>
    </row>
    <row r="729" customFormat="false" ht="23.85" hidden="false" customHeight="false" outlineLevel="0" collapsed="false">
      <c r="A729" s="4" t="s">
        <v>120</v>
      </c>
      <c r="B729" s="5" t="s">
        <v>123</v>
      </c>
      <c r="C729" s="5" t="s">
        <v>124</v>
      </c>
      <c r="D729" s="4" t="s">
        <v>22</v>
      </c>
      <c r="E729" s="4" t="s">
        <v>1269</v>
      </c>
      <c r="F729" s="4" t="s">
        <v>406</v>
      </c>
      <c r="G729" s="4" t="s">
        <v>1270</v>
      </c>
      <c r="H729" s="12" t="n">
        <v>1</v>
      </c>
      <c r="I729" s="4" t="s">
        <v>408</v>
      </c>
      <c r="J729" s="4" t="s">
        <v>409</v>
      </c>
      <c r="K729" s="13" t="n">
        <v>80</v>
      </c>
      <c r="L729" s="6" t="n">
        <f aca="false">H729*K729</f>
        <v>80</v>
      </c>
      <c r="M729" s="14" t="s">
        <v>410</v>
      </c>
    </row>
    <row r="730" customFormat="false" ht="23.85" hidden="false" customHeight="false" outlineLevel="0" collapsed="false">
      <c r="A730" s="4" t="s">
        <v>120</v>
      </c>
      <c r="B730" s="5" t="s">
        <v>123</v>
      </c>
      <c r="C730" s="5" t="s">
        <v>124</v>
      </c>
      <c r="D730" s="4" t="s">
        <v>22</v>
      </c>
      <c r="E730" s="4" t="s">
        <v>1273</v>
      </c>
      <c r="F730" s="4" t="s">
        <v>406</v>
      </c>
      <c r="G730" s="4" t="s">
        <v>1274</v>
      </c>
      <c r="H730" s="12" t="n">
        <v>1</v>
      </c>
      <c r="I730" s="4" t="s">
        <v>408</v>
      </c>
      <c r="J730" s="4" t="s">
        <v>409</v>
      </c>
      <c r="K730" s="13" t="n">
        <v>120</v>
      </c>
      <c r="L730" s="6" t="n">
        <f aca="false">H730*K730</f>
        <v>120</v>
      </c>
      <c r="M730" s="14" t="s">
        <v>410</v>
      </c>
    </row>
    <row r="731" customFormat="false" ht="23.85" hidden="false" customHeight="false" outlineLevel="0" collapsed="false">
      <c r="A731" s="4" t="s">
        <v>120</v>
      </c>
      <c r="B731" s="5" t="s">
        <v>123</v>
      </c>
      <c r="C731" s="5" t="s">
        <v>124</v>
      </c>
      <c r="D731" s="4" t="s">
        <v>22</v>
      </c>
      <c r="E731" s="4" t="s">
        <v>1275</v>
      </c>
      <c r="F731" s="4" t="s">
        <v>406</v>
      </c>
      <c r="G731" s="4" t="s">
        <v>1276</v>
      </c>
      <c r="H731" s="12" t="n">
        <v>1</v>
      </c>
      <c r="I731" s="4" t="s">
        <v>408</v>
      </c>
      <c r="J731" s="4" t="s">
        <v>416</v>
      </c>
      <c r="K731" s="13" t="n">
        <v>450</v>
      </c>
      <c r="L731" s="6" t="n">
        <f aca="false">H731*K731</f>
        <v>450</v>
      </c>
      <c r="M731" s="4" t="s">
        <v>371</v>
      </c>
    </row>
    <row r="732" customFormat="false" ht="23.85" hidden="false" customHeight="false" outlineLevel="0" collapsed="false">
      <c r="A732" s="4" t="s">
        <v>120</v>
      </c>
      <c r="B732" s="5" t="s">
        <v>123</v>
      </c>
      <c r="C732" s="5" t="s">
        <v>124</v>
      </c>
      <c r="D732" s="4" t="s">
        <v>22</v>
      </c>
      <c r="E732" s="4" t="s">
        <v>1277</v>
      </c>
      <c r="F732" s="4" t="s">
        <v>406</v>
      </c>
      <c r="G732" s="4" t="s">
        <v>1278</v>
      </c>
      <c r="H732" s="12" t="n">
        <v>1</v>
      </c>
      <c r="I732" s="4" t="s">
        <v>408</v>
      </c>
      <c r="J732" s="4" t="s">
        <v>416</v>
      </c>
      <c r="K732" s="13" t="n">
        <v>1800</v>
      </c>
      <c r="L732" s="6" t="n">
        <f aca="false">H732*K732</f>
        <v>1800</v>
      </c>
      <c r="M732" s="14" t="s">
        <v>410</v>
      </c>
    </row>
    <row r="733" customFormat="false" ht="23.85" hidden="false" customHeight="false" outlineLevel="0" collapsed="false">
      <c r="A733" s="4" t="s">
        <v>120</v>
      </c>
      <c r="B733" s="5" t="s">
        <v>123</v>
      </c>
      <c r="C733" s="5" t="s">
        <v>124</v>
      </c>
      <c r="D733" s="4" t="s">
        <v>22</v>
      </c>
      <c r="E733" s="4" t="s">
        <v>1285</v>
      </c>
      <c r="F733" s="4" t="s">
        <v>406</v>
      </c>
      <c r="G733" s="4" t="s">
        <v>1286</v>
      </c>
      <c r="H733" s="12" t="n">
        <v>1</v>
      </c>
      <c r="I733" s="4" t="s">
        <v>408</v>
      </c>
      <c r="J733" s="4" t="s">
        <v>409</v>
      </c>
      <c r="K733" s="13" t="n">
        <v>120</v>
      </c>
      <c r="L733" s="6" t="n">
        <f aca="false">H733*K733</f>
        <v>120</v>
      </c>
      <c r="M733" s="14" t="s">
        <v>410</v>
      </c>
    </row>
    <row r="734" customFormat="false" ht="23.85" hidden="false" customHeight="false" outlineLevel="0" collapsed="false">
      <c r="A734" s="4" t="s">
        <v>120</v>
      </c>
      <c r="B734" s="5" t="s">
        <v>123</v>
      </c>
      <c r="C734" s="5" t="s">
        <v>124</v>
      </c>
      <c r="D734" s="4" t="s">
        <v>22</v>
      </c>
      <c r="E734" s="4" t="s">
        <v>1291</v>
      </c>
      <c r="F734" s="4" t="s">
        <v>406</v>
      </c>
      <c r="G734" s="4" t="s">
        <v>1292</v>
      </c>
      <c r="H734" s="12" t="n">
        <v>1</v>
      </c>
      <c r="I734" s="4" t="s">
        <v>408</v>
      </c>
      <c r="J734" s="4" t="s">
        <v>409</v>
      </c>
      <c r="K734" s="13" t="n">
        <v>250</v>
      </c>
      <c r="L734" s="6" t="n">
        <f aca="false">H734*K734</f>
        <v>250</v>
      </c>
      <c r="M734" s="14" t="s">
        <v>410</v>
      </c>
    </row>
    <row r="735" customFormat="false" ht="23.85" hidden="false" customHeight="false" outlineLevel="0" collapsed="false">
      <c r="A735" s="4" t="s">
        <v>120</v>
      </c>
      <c r="B735" s="5" t="s">
        <v>123</v>
      </c>
      <c r="C735" s="5" t="s">
        <v>124</v>
      </c>
      <c r="D735" s="4" t="s">
        <v>22</v>
      </c>
      <c r="E735" s="4" t="s">
        <v>1293</v>
      </c>
      <c r="F735" s="4" t="s">
        <v>406</v>
      </c>
      <c r="G735" s="4" t="s">
        <v>1294</v>
      </c>
      <c r="H735" s="12" t="n">
        <v>1</v>
      </c>
      <c r="I735" s="4" t="s">
        <v>408</v>
      </c>
      <c r="J735" s="4" t="s">
        <v>416</v>
      </c>
      <c r="K735" s="13" t="n">
        <v>180</v>
      </c>
      <c r="L735" s="6" t="n">
        <f aca="false">H735*K735</f>
        <v>180</v>
      </c>
      <c r="M735" s="14" t="s">
        <v>410</v>
      </c>
    </row>
    <row r="736" customFormat="false" ht="23.85" hidden="false" customHeight="false" outlineLevel="0" collapsed="false">
      <c r="A736" s="4" t="s">
        <v>120</v>
      </c>
      <c r="B736" s="5" t="s">
        <v>123</v>
      </c>
      <c r="C736" s="5" t="s">
        <v>124</v>
      </c>
      <c r="D736" s="4" t="s">
        <v>22</v>
      </c>
      <c r="E736" s="4" t="s">
        <v>1299</v>
      </c>
      <c r="F736" s="4" t="s">
        <v>406</v>
      </c>
      <c r="G736" s="4" t="s">
        <v>1300</v>
      </c>
      <c r="H736" s="12" t="n">
        <v>1</v>
      </c>
      <c r="I736" s="4" t="s">
        <v>408</v>
      </c>
      <c r="J736" s="4" t="s">
        <v>409</v>
      </c>
      <c r="K736" s="13" t="n">
        <v>350</v>
      </c>
      <c r="L736" s="6" t="n">
        <f aca="false">H736*K736</f>
        <v>350</v>
      </c>
      <c r="M736" s="14" t="s">
        <v>410</v>
      </c>
    </row>
    <row r="737" customFormat="false" ht="23.85" hidden="false" customHeight="false" outlineLevel="0" collapsed="false">
      <c r="A737" s="4" t="s">
        <v>120</v>
      </c>
      <c r="B737" s="5" t="s">
        <v>123</v>
      </c>
      <c r="C737" s="5" t="s">
        <v>124</v>
      </c>
      <c r="D737" s="4" t="s">
        <v>22</v>
      </c>
      <c r="E737" s="4" t="s">
        <v>1305</v>
      </c>
      <c r="F737" s="4" t="s">
        <v>406</v>
      </c>
      <c r="G737" s="4" t="s">
        <v>1306</v>
      </c>
      <c r="H737" s="12" t="n">
        <v>1</v>
      </c>
      <c r="I737" s="4" t="s">
        <v>408</v>
      </c>
      <c r="J737" s="4" t="s">
        <v>409</v>
      </c>
      <c r="K737" s="13" t="n">
        <v>120</v>
      </c>
      <c r="L737" s="6" t="n">
        <f aca="false">H737*K737</f>
        <v>120</v>
      </c>
      <c r="M737" s="14" t="s">
        <v>410</v>
      </c>
    </row>
    <row r="738" customFormat="false" ht="23.85" hidden="false" customHeight="false" outlineLevel="0" collapsed="false">
      <c r="A738" s="4" t="s">
        <v>120</v>
      </c>
      <c r="B738" s="5" t="s">
        <v>123</v>
      </c>
      <c r="C738" s="5" t="s">
        <v>124</v>
      </c>
      <c r="D738" s="4" t="s">
        <v>22</v>
      </c>
      <c r="E738" s="4" t="s">
        <v>1307</v>
      </c>
      <c r="F738" s="4" t="s">
        <v>406</v>
      </c>
      <c r="G738" s="4" t="s">
        <v>1308</v>
      </c>
      <c r="H738" s="12" t="n">
        <v>1</v>
      </c>
      <c r="I738" s="4" t="s">
        <v>408</v>
      </c>
      <c r="J738" s="4" t="s">
        <v>409</v>
      </c>
      <c r="K738" s="13" t="n">
        <v>350</v>
      </c>
      <c r="L738" s="6" t="n">
        <f aca="false">H738*K738</f>
        <v>350</v>
      </c>
      <c r="M738" s="14" t="s">
        <v>410</v>
      </c>
    </row>
    <row r="739" customFormat="false" ht="23.85" hidden="false" customHeight="false" outlineLevel="0" collapsed="false">
      <c r="A739" s="4" t="s">
        <v>120</v>
      </c>
      <c r="B739" s="5" t="s">
        <v>123</v>
      </c>
      <c r="C739" s="5" t="s">
        <v>124</v>
      </c>
      <c r="D739" s="4" t="s">
        <v>22</v>
      </c>
      <c r="E739" s="4" t="s">
        <v>1309</v>
      </c>
      <c r="F739" s="4" t="s">
        <v>406</v>
      </c>
      <c r="G739" s="4" t="s">
        <v>1310</v>
      </c>
      <c r="H739" s="12" t="n">
        <v>1</v>
      </c>
      <c r="I739" s="4" t="s">
        <v>408</v>
      </c>
      <c r="J739" s="4" t="s">
        <v>409</v>
      </c>
      <c r="K739" s="13" t="n">
        <v>850</v>
      </c>
      <c r="L739" s="6" t="n">
        <f aca="false">H739*K739</f>
        <v>850</v>
      </c>
      <c r="M739" s="14" t="s">
        <v>410</v>
      </c>
    </row>
    <row r="740" customFormat="false" ht="23.85" hidden="false" customHeight="false" outlineLevel="0" collapsed="false">
      <c r="A740" s="4" t="s">
        <v>120</v>
      </c>
      <c r="B740" s="5" t="s">
        <v>123</v>
      </c>
      <c r="C740" s="5" t="s">
        <v>124</v>
      </c>
      <c r="D740" s="4" t="s">
        <v>22</v>
      </c>
      <c r="E740" s="4" t="s">
        <v>1323</v>
      </c>
      <c r="F740" s="4" t="s">
        <v>406</v>
      </c>
      <c r="G740" s="4" t="s">
        <v>1324</v>
      </c>
      <c r="H740" s="12" t="n">
        <v>1</v>
      </c>
      <c r="I740" s="4" t="s">
        <v>408</v>
      </c>
      <c r="J740" s="4" t="s">
        <v>409</v>
      </c>
      <c r="K740" s="13" t="n">
        <v>250</v>
      </c>
      <c r="L740" s="6" t="n">
        <f aca="false">H740*K740</f>
        <v>250</v>
      </c>
      <c r="M740" s="14" t="s">
        <v>410</v>
      </c>
    </row>
    <row r="741" customFormat="false" ht="23.85" hidden="false" customHeight="false" outlineLevel="0" collapsed="false">
      <c r="A741" s="4" t="s">
        <v>120</v>
      </c>
      <c r="B741" s="5" t="s">
        <v>123</v>
      </c>
      <c r="C741" s="5" t="s">
        <v>124</v>
      </c>
      <c r="D741" s="4" t="s">
        <v>22</v>
      </c>
      <c r="E741" s="4" t="s">
        <v>1335</v>
      </c>
      <c r="F741" s="4" t="s">
        <v>406</v>
      </c>
      <c r="G741" s="4" t="s">
        <v>1336</v>
      </c>
      <c r="H741" s="12" t="n">
        <v>1</v>
      </c>
      <c r="I741" s="4" t="s">
        <v>408</v>
      </c>
      <c r="J741" s="4" t="s">
        <v>475</v>
      </c>
      <c r="K741" s="13" t="n">
        <v>180</v>
      </c>
      <c r="L741" s="6" t="n">
        <f aca="false">H741*K741</f>
        <v>180</v>
      </c>
      <c r="M741" s="14" t="s">
        <v>410</v>
      </c>
    </row>
    <row r="742" customFormat="false" ht="23.85" hidden="false" customHeight="false" outlineLevel="0" collapsed="false">
      <c r="A742" s="4" t="s">
        <v>120</v>
      </c>
      <c r="B742" s="5" t="s">
        <v>123</v>
      </c>
      <c r="C742" s="5" t="s">
        <v>124</v>
      </c>
      <c r="D742" s="4" t="s">
        <v>22</v>
      </c>
      <c r="E742" s="4" t="s">
        <v>1339</v>
      </c>
      <c r="F742" s="4" t="s">
        <v>406</v>
      </c>
      <c r="G742" s="4" t="s">
        <v>1340</v>
      </c>
      <c r="H742" s="12" t="n">
        <v>1</v>
      </c>
      <c r="I742" s="4" t="s">
        <v>408</v>
      </c>
      <c r="J742" s="4" t="s">
        <v>409</v>
      </c>
      <c r="K742" s="13" t="n">
        <v>150</v>
      </c>
      <c r="L742" s="6" t="n">
        <f aca="false">H742*K742</f>
        <v>150</v>
      </c>
      <c r="M742" s="14" t="s">
        <v>410</v>
      </c>
    </row>
    <row r="743" customFormat="false" ht="23.85" hidden="false" customHeight="false" outlineLevel="0" collapsed="false">
      <c r="A743" s="4" t="s">
        <v>120</v>
      </c>
      <c r="B743" s="5" t="s">
        <v>123</v>
      </c>
      <c r="C743" s="5" t="s">
        <v>124</v>
      </c>
      <c r="D743" s="4" t="s">
        <v>22</v>
      </c>
      <c r="E743" s="4" t="s">
        <v>1341</v>
      </c>
      <c r="F743" s="4" t="s">
        <v>406</v>
      </c>
      <c r="G743" s="4" t="s">
        <v>1342</v>
      </c>
      <c r="H743" s="12" t="n">
        <v>1</v>
      </c>
      <c r="I743" s="4" t="s">
        <v>408</v>
      </c>
      <c r="J743" s="4" t="s">
        <v>409</v>
      </c>
      <c r="K743" s="13" t="n">
        <v>150</v>
      </c>
      <c r="L743" s="6" t="n">
        <f aca="false">H743*K743</f>
        <v>150</v>
      </c>
      <c r="M743" s="14" t="s">
        <v>410</v>
      </c>
    </row>
    <row r="744" customFormat="false" ht="23.85" hidden="false" customHeight="false" outlineLevel="0" collapsed="false">
      <c r="A744" s="4" t="s">
        <v>120</v>
      </c>
      <c r="B744" s="5" t="s">
        <v>123</v>
      </c>
      <c r="C744" s="5" t="s">
        <v>124</v>
      </c>
      <c r="D744" s="4" t="s">
        <v>22</v>
      </c>
      <c r="E744" s="4" t="s">
        <v>1447</v>
      </c>
      <c r="F744" s="4" t="s">
        <v>406</v>
      </c>
      <c r="G744" s="4" t="s">
        <v>1448</v>
      </c>
      <c r="H744" s="12" t="n">
        <v>1</v>
      </c>
      <c r="I744" s="4" t="s">
        <v>408</v>
      </c>
      <c r="J744" s="4" t="s">
        <v>409</v>
      </c>
      <c r="K744" s="13" t="n">
        <v>45000</v>
      </c>
      <c r="L744" s="6" t="n">
        <f aca="false">H744*K744</f>
        <v>45000</v>
      </c>
      <c r="M744" s="4" t="s">
        <v>371</v>
      </c>
    </row>
    <row r="745" customFormat="false" ht="23.85" hidden="false" customHeight="false" outlineLevel="0" collapsed="false">
      <c r="A745" s="4" t="s">
        <v>120</v>
      </c>
      <c r="B745" s="5" t="s">
        <v>123</v>
      </c>
      <c r="C745" s="5" t="s">
        <v>124</v>
      </c>
      <c r="D745" s="4" t="s">
        <v>22</v>
      </c>
      <c r="E745" s="4" t="s">
        <v>1449</v>
      </c>
      <c r="F745" s="4" t="s">
        <v>406</v>
      </c>
      <c r="G745" s="4" t="s">
        <v>1450</v>
      </c>
      <c r="H745" s="12" t="n">
        <v>1</v>
      </c>
      <c r="I745" s="4" t="s">
        <v>408</v>
      </c>
      <c r="J745" s="4" t="s">
        <v>409</v>
      </c>
      <c r="K745" s="13" t="n">
        <v>12000</v>
      </c>
      <c r="L745" s="6" t="n">
        <f aca="false">H745*K745</f>
        <v>12000</v>
      </c>
      <c r="M745" s="4" t="s">
        <v>371</v>
      </c>
    </row>
    <row r="746" customFormat="false" ht="23.85" hidden="false" customHeight="false" outlineLevel="0" collapsed="false">
      <c r="A746" s="4" t="s">
        <v>120</v>
      </c>
      <c r="B746" s="5" t="s">
        <v>123</v>
      </c>
      <c r="C746" s="5" t="s">
        <v>124</v>
      </c>
      <c r="D746" s="4" t="s">
        <v>22</v>
      </c>
      <c r="E746" s="4" t="s">
        <v>1385</v>
      </c>
      <c r="F746" s="4" t="s">
        <v>406</v>
      </c>
      <c r="G746" s="4" t="s">
        <v>1386</v>
      </c>
      <c r="H746" s="12" t="n">
        <v>1</v>
      </c>
      <c r="I746" s="4" t="s">
        <v>408</v>
      </c>
      <c r="J746" s="4" t="s">
        <v>409</v>
      </c>
      <c r="K746" s="13" t="n">
        <v>8500</v>
      </c>
      <c r="L746" s="6" t="n">
        <f aca="false">H746*K746</f>
        <v>8500</v>
      </c>
      <c r="M746" s="14" t="s">
        <v>410</v>
      </c>
    </row>
    <row r="747" customFormat="false" ht="23.85" hidden="false" customHeight="false" outlineLevel="0" collapsed="false">
      <c r="A747" s="4" t="s">
        <v>120</v>
      </c>
      <c r="B747" s="5" t="s">
        <v>123</v>
      </c>
      <c r="C747" s="5" t="s">
        <v>124</v>
      </c>
      <c r="D747" s="4" t="s">
        <v>22</v>
      </c>
      <c r="E747" s="4" t="s">
        <v>1391</v>
      </c>
      <c r="F747" s="4" t="s">
        <v>470</v>
      </c>
      <c r="G747" s="4" t="s">
        <v>1392</v>
      </c>
      <c r="H747" s="12" t="n">
        <v>1</v>
      </c>
      <c r="I747" s="4" t="s">
        <v>408</v>
      </c>
      <c r="J747" s="4" t="s">
        <v>409</v>
      </c>
      <c r="K747" s="13" t="n">
        <v>45000</v>
      </c>
      <c r="L747" s="6" t="n">
        <f aca="false">H747*K747</f>
        <v>45000</v>
      </c>
      <c r="M747" s="14" t="s">
        <v>410</v>
      </c>
    </row>
    <row r="748" customFormat="false" ht="23.85" hidden="false" customHeight="false" outlineLevel="0" collapsed="false">
      <c r="A748" s="4" t="s">
        <v>120</v>
      </c>
      <c r="B748" s="5" t="s">
        <v>123</v>
      </c>
      <c r="C748" s="5" t="s">
        <v>124</v>
      </c>
      <c r="D748" s="4" t="s">
        <v>22</v>
      </c>
      <c r="E748" s="4" t="s">
        <v>1393</v>
      </c>
      <c r="F748" s="4" t="s">
        <v>470</v>
      </c>
      <c r="G748" s="4" t="s">
        <v>1394</v>
      </c>
      <c r="H748" s="12" t="n">
        <v>1</v>
      </c>
      <c r="I748" s="4" t="s">
        <v>408</v>
      </c>
      <c r="J748" s="4" t="s">
        <v>409</v>
      </c>
      <c r="K748" s="13" t="n">
        <v>6500</v>
      </c>
      <c r="L748" s="6" t="n">
        <f aca="false">H748*K748</f>
        <v>6500</v>
      </c>
      <c r="M748" s="4" t="s">
        <v>371</v>
      </c>
    </row>
    <row r="749" customFormat="false" ht="23.85" hidden="false" customHeight="false" outlineLevel="0" collapsed="false">
      <c r="A749" s="4" t="s">
        <v>120</v>
      </c>
      <c r="B749" s="5" t="s">
        <v>123</v>
      </c>
      <c r="C749" s="5" t="s">
        <v>124</v>
      </c>
      <c r="D749" s="4" t="s">
        <v>22</v>
      </c>
      <c r="E749" s="4" t="s">
        <v>1395</v>
      </c>
      <c r="F749" s="4" t="s">
        <v>470</v>
      </c>
      <c r="G749" s="4" t="s">
        <v>1396</v>
      </c>
      <c r="H749" s="12" t="n">
        <v>1</v>
      </c>
      <c r="I749" s="4" t="s">
        <v>408</v>
      </c>
      <c r="J749" s="4" t="s">
        <v>409</v>
      </c>
      <c r="K749" s="13" t="n">
        <v>18000</v>
      </c>
      <c r="L749" s="6" t="n">
        <f aca="false">H749*K749</f>
        <v>18000</v>
      </c>
      <c r="M749" s="4" t="s">
        <v>371</v>
      </c>
    </row>
    <row r="750" customFormat="false" ht="23.85" hidden="false" customHeight="false" outlineLevel="0" collapsed="false">
      <c r="A750" s="4" t="s">
        <v>120</v>
      </c>
      <c r="B750" s="5" t="s">
        <v>123</v>
      </c>
      <c r="C750" s="5" t="s">
        <v>124</v>
      </c>
      <c r="D750" s="4" t="s">
        <v>22</v>
      </c>
      <c r="E750" s="4" t="s">
        <v>1401</v>
      </c>
      <c r="F750" s="4" t="s">
        <v>470</v>
      </c>
      <c r="G750" s="4" t="s">
        <v>1402</v>
      </c>
      <c r="H750" s="12" t="n">
        <v>1</v>
      </c>
      <c r="I750" s="4" t="s">
        <v>408</v>
      </c>
      <c r="J750" s="4" t="s">
        <v>409</v>
      </c>
      <c r="K750" s="13" t="n">
        <v>8500</v>
      </c>
      <c r="L750" s="6" t="n">
        <f aca="false">H750*K750</f>
        <v>8500</v>
      </c>
      <c r="M750" s="4" t="s">
        <v>371</v>
      </c>
    </row>
    <row r="751" customFormat="false" ht="23.85" hidden="false" customHeight="false" outlineLevel="0" collapsed="false">
      <c r="A751" s="4" t="s">
        <v>120</v>
      </c>
      <c r="B751" s="5" t="s">
        <v>123</v>
      </c>
      <c r="C751" s="5" t="s">
        <v>124</v>
      </c>
      <c r="D751" s="4" t="s">
        <v>22</v>
      </c>
      <c r="E751" s="4" t="s">
        <v>1405</v>
      </c>
      <c r="F751" s="4" t="s">
        <v>470</v>
      </c>
      <c r="G751" s="4" t="s">
        <v>1406</v>
      </c>
      <c r="H751" s="12" t="n">
        <v>1</v>
      </c>
      <c r="I751" s="4" t="s">
        <v>408</v>
      </c>
      <c r="J751" s="4" t="s">
        <v>409</v>
      </c>
      <c r="K751" s="13" t="n">
        <v>1800</v>
      </c>
      <c r="L751" s="6" t="n">
        <f aca="false">H751*K751</f>
        <v>1800</v>
      </c>
      <c r="M751" s="4" t="s">
        <v>371</v>
      </c>
    </row>
    <row r="752" customFormat="false" ht="23.85" hidden="false" customHeight="false" outlineLevel="0" collapsed="false">
      <c r="A752" s="4" t="s">
        <v>120</v>
      </c>
      <c r="B752" s="5" t="s">
        <v>123</v>
      </c>
      <c r="C752" s="5" t="s">
        <v>124</v>
      </c>
      <c r="D752" s="4" t="s">
        <v>22</v>
      </c>
      <c r="E752" s="4" t="s">
        <v>1411</v>
      </c>
      <c r="F752" s="4" t="s">
        <v>470</v>
      </c>
      <c r="G752" s="4" t="s">
        <v>1412</v>
      </c>
      <c r="H752" s="12" t="n">
        <v>1</v>
      </c>
      <c r="I752" s="4" t="s">
        <v>408</v>
      </c>
      <c r="J752" s="4" t="s">
        <v>416</v>
      </c>
      <c r="K752" s="13" t="n">
        <v>8500</v>
      </c>
      <c r="L752" s="6" t="n">
        <f aca="false">H752*K752</f>
        <v>8500</v>
      </c>
      <c r="M752" s="4" t="s">
        <v>371</v>
      </c>
    </row>
    <row r="753" customFormat="false" ht="23.85" hidden="false" customHeight="false" outlineLevel="0" collapsed="false">
      <c r="A753" s="4" t="s">
        <v>120</v>
      </c>
      <c r="B753" s="5" t="s">
        <v>123</v>
      </c>
      <c r="C753" s="5" t="s">
        <v>124</v>
      </c>
      <c r="D753" s="4" t="s">
        <v>22</v>
      </c>
      <c r="E753" s="4" t="s">
        <v>1413</v>
      </c>
      <c r="F753" s="4" t="s">
        <v>470</v>
      </c>
      <c r="G753" s="4" t="s">
        <v>1414</v>
      </c>
      <c r="H753" s="12" t="n">
        <v>1</v>
      </c>
      <c r="I753" s="4" t="s">
        <v>408</v>
      </c>
      <c r="J753" s="4" t="s">
        <v>409</v>
      </c>
      <c r="K753" s="13" t="n">
        <v>1200</v>
      </c>
      <c r="L753" s="6" t="n">
        <f aca="false">H753*K753</f>
        <v>1200</v>
      </c>
      <c r="M753" s="4" t="s">
        <v>371</v>
      </c>
    </row>
    <row r="754" customFormat="false" ht="23.85" hidden="false" customHeight="false" outlineLevel="0" collapsed="false">
      <c r="A754" s="4" t="s">
        <v>120</v>
      </c>
      <c r="B754" s="5" t="s">
        <v>123</v>
      </c>
      <c r="C754" s="5" t="s">
        <v>124</v>
      </c>
      <c r="D754" s="4" t="s">
        <v>22</v>
      </c>
      <c r="E754" s="4" t="s">
        <v>1451</v>
      </c>
      <c r="F754" s="4" t="s">
        <v>470</v>
      </c>
      <c r="G754" s="4" t="s">
        <v>1452</v>
      </c>
      <c r="H754" s="12" t="n">
        <v>1</v>
      </c>
      <c r="I754" s="4" t="s">
        <v>408</v>
      </c>
      <c r="J754" s="4" t="s">
        <v>413</v>
      </c>
      <c r="K754" s="13" t="n">
        <v>450</v>
      </c>
      <c r="L754" s="6" t="n">
        <f aca="false">H754*K754</f>
        <v>450</v>
      </c>
      <c r="M754" s="4" t="s">
        <v>371</v>
      </c>
    </row>
    <row r="755" customFormat="false" ht="23.85" hidden="false" customHeight="false" outlineLevel="0" collapsed="false">
      <c r="A755" s="4" t="s">
        <v>120</v>
      </c>
      <c r="B755" s="5" t="s">
        <v>123</v>
      </c>
      <c r="C755" s="5" t="s">
        <v>124</v>
      </c>
      <c r="D755" s="4" t="s">
        <v>22</v>
      </c>
      <c r="E755" s="4" t="s">
        <v>1453</v>
      </c>
      <c r="F755" s="4" t="s">
        <v>470</v>
      </c>
      <c r="G755" s="4" t="s">
        <v>1090</v>
      </c>
      <c r="H755" s="12" t="n">
        <v>1</v>
      </c>
      <c r="I755" s="4" t="s">
        <v>408</v>
      </c>
      <c r="J755" s="4" t="s">
        <v>409</v>
      </c>
      <c r="K755" s="13" t="n">
        <v>3500</v>
      </c>
      <c r="L755" s="6" t="n">
        <f aca="false">H755*K755</f>
        <v>3500</v>
      </c>
      <c r="M755" s="4" t="s">
        <v>371</v>
      </c>
    </row>
    <row r="756" customFormat="false" ht="23.85" hidden="false" customHeight="false" outlineLevel="0" collapsed="false">
      <c r="A756" s="4" t="s">
        <v>120</v>
      </c>
      <c r="B756" s="5" t="s">
        <v>123</v>
      </c>
      <c r="C756" s="5" t="s">
        <v>124</v>
      </c>
      <c r="D756" s="4" t="s">
        <v>22</v>
      </c>
      <c r="E756" s="4" t="s">
        <v>1454</v>
      </c>
      <c r="F756" s="4" t="s">
        <v>470</v>
      </c>
      <c r="G756" s="4" t="s">
        <v>1455</v>
      </c>
      <c r="H756" s="12" t="n">
        <v>1</v>
      </c>
      <c r="I756" s="4" t="s">
        <v>408</v>
      </c>
      <c r="J756" s="4" t="s">
        <v>416</v>
      </c>
      <c r="K756" s="13" t="n">
        <v>850</v>
      </c>
      <c r="L756" s="6" t="n">
        <f aca="false">H756*K756</f>
        <v>850</v>
      </c>
      <c r="M756" s="4" t="s">
        <v>371</v>
      </c>
    </row>
    <row r="757" customFormat="false" ht="23.85" hidden="false" customHeight="false" outlineLevel="0" collapsed="false">
      <c r="A757" s="4" t="s">
        <v>120</v>
      </c>
      <c r="B757" s="5" t="s">
        <v>123</v>
      </c>
      <c r="C757" s="5" t="s">
        <v>124</v>
      </c>
      <c r="D757" s="4" t="s">
        <v>22</v>
      </c>
      <c r="E757" s="4" t="s">
        <v>1456</v>
      </c>
      <c r="F757" s="4" t="s">
        <v>470</v>
      </c>
      <c r="G757" s="4" t="s">
        <v>1457</v>
      </c>
      <c r="H757" s="12" t="n">
        <v>1</v>
      </c>
      <c r="I757" s="4" t="s">
        <v>408</v>
      </c>
      <c r="J757" s="4" t="s">
        <v>416</v>
      </c>
      <c r="K757" s="13" t="n">
        <v>1800</v>
      </c>
      <c r="L757" s="6" t="n">
        <f aca="false">H757*K757</f>
        <v>1800</v>
      </c>
      <c r="M757" s="4" t="s">
        <v>371</v>
      </c>
    </row>
    <row r="758" customFormat="false" ht="23.85" hidden="false" customHeight="false" outlineLevel="0" collapsed="false">
      <c r="A758" s="4" t="s">
        <v>120</v>
      </c>
      <c r="B758" s="5" t="s">
        <v>123</v>
      </c>
      <c r="C758" s="5" t="s">
        <v>124</v>
      </c>
      <c r="D758" s="4" t="s">
        <v>22</v>
      </c>
      <c r="E758" s="4" t="s">
        <v>1417</v>
      </c>
      <c r="F758" s="4" t="s">
        <v>470</v>
      </c>
      <c r="G758" s="4" t="s">
        <v>1418</v>
      </c>
      <c r="H758" s="12" t="n">
        <v>1</v>
      </c>
      <c r="I758" s="4" t="s">
        <v>408</v>
      </c>
      <c r="J758" s="4" t="s">
        <v>416</v>
      </c>
      <c r="K758" s="13" t="n">
        <v>2500</v>
      </c>
      <c r="L758" s="6" t="n">
        <f aca="false">H758*K758</f>
        <v>2500</v>
      </c>
      <c r="M758" s="4" t="s">
        <v>371</v>
      </c>
    </row>
    <row r="759" customFormat="false" ht="23.85" hidden="false" customHeight="false" outlineLevel="0" collapsed="false">
      <c r="A759" s="4" t="s">
        <v>120</v>
      </c>
      <c r="B759" s="5" t="s">
        <v>123</v>
      </c>
      <c r="C759" s="5" t="s">
        <v>124</v>
      </c>
      <c r="D759" s="4" t="s">
        <v>22</v>
      </c>
      <c r="E759" s="4" t="s">
        <v>1458</v>
      </c>
      <c r="F759" s="4" t="s">
        <v>470</v>
      </c>
      <c r="G759" s="4" t="s">
        <v>1459</v>
      </c>
      <c r="H759" s="12" t="n">
        <v>1</v>
      </c>
      <c r="I759" s="4" t="s">
        <v>408</v>
      </c>
      <c r="J759" s="4" t="s">
        <v>416</v>
      </c>
      <c r="K759" s="13" t="n">
        <v>8500</v>
      </c>
      <c r="L759" s="6" t="n">
        <f aca="false">H759*K759</f>
        <v>8500</v>
      </c>
      <c r="M759" s="4" t="s">
        <v>371</v>
      </c>
    </row>
    <row r="760" customFormat="false" ht="23.85" hidden="false" customHeight="false" outlineLevel="0" collapsed="false">
      <c r="A760" s="4" t="s">
        <v>120</v>
      </c>
      <c r="B760" s="5" t="s">
        <v>123</v>
      </c>
      <c r="C760" s="5" t="s">
        <v>124</v>
      </c>
      <c r="D760" s="4" t="s">
        <v>22</v>
      </c>
      <c r="E760" s="4" t="s">
        <v>1421</v>
      </c>
      <c r="F760" s="4" t="s">
        <v>470</v>
      </c>
      <c r="G760" s="4" t="s">
        <v>1422</v>
      </c>
      <c r="H760" s="12" t="n">
        <v>1</v>
      </c>
      <c r="I760" s="4" t="s">
        <v>408</v>
      </c>
      <c r="J760" s="4" t="s">
        <v>416</v>
      </c>
      <c r="K760" s="13" t="n">
        <v>2500</v>
      </c>
      <c r="L760" s="6" t="n">
        <f aca="false">H760*K760</f>
        <v>2500</v>
      </c>
      <c r="M760" s="4" t="s">
        <v>371</v>
      </c>
    </row>
    <row r="761" customFormat="false" ht="23.85" hidden="false" customHeight="false" outlineLevel="0" collapsed="false">
      <c r="A761" s="4" t="s">
        <v>120</v>
      </c>
      <c r="B761" s="5" t="s">
        <v>123</v>
      </c>
      <c r="C761" s="5" t="s">
        <v>124</v>
      </c>
      <c r="D761" s="4" t="s">
        <v>22</v>
      </c>
      <c r="E761" s="4" t="s">
        <v>1460</v>
      </c>
      <c r="F761" s="4" t="s">
        <v>488</v>
      </c>
      <c r="G761" s="4" t="s">
        <v>1461</v>
      </c>
      <c r="H761" s="12" t="n">
        <v>1</v>
      </c>
      <c r="I761" s="4" t="s">
        <v>408</v>
      </c>
      <c r="J761" s="4" t="s">
        <v>416</v>
      </c>
      <c r="K761" s="13" t="n">
        <v>450</v>
      </c>
      <c r="L761" s="6" t="n">
        <f aca="false">H761*K761</f>
        <v>450</v>
      </c>
      <c r="M761" s="4" t="s">
        <v>371</v>
      </c>
    </row>
    <row r="762" customFormat="false" ht="23.85" hidden="false" customHeight="false" outlineLevel="0" collapsed="false">
      <c r="A762" s="4" t="s">
        <v>120</v>
      </c>
      <c r="B762" s="5" t="s">
        <v>123</v>
      </c>
      <c r="C762" s="5" t="s">
        <v>124</v>
      </c>
      <c r="D762" s="4" t="s">
        <v>22</v>
      </c>
      <c r="E762" s="4" t="s">
        <v>1462</v>
      </c>
      <c r="F762" s="4" t="s">
        <v>488</v>
      </c>
      <c r="G762" s="4" t="s">
        <v>1463</v>
      </c>
      <c r="H762" s="12" t="n">
        <v>1</v>
      </c>
      <c r="I762" s="4" t="s">
        <v>408</v>
      </c>
      <c r="J762" s="4" t="s">
        <v>506</v>
      </c>
      <c r="K762" s="13" t="n">
        <v>150</v>
      </c>
      <c r="L762" s="6" t="n">
        <f aca="false">H762*K762</f>
        <v>150</v>
      </c>
      <c r="M762" s="4" t="s">
        <v>371</v>
      </c>
    </row>
    <row r="763" customFormat="false" ht="23.85" hidden="false" customHeight="false" outlineLevel="0" collapsed="false">
      <c r="A763" s="4" t="s">
        <v>120</v>
      </c>
      <c r="B763" s="5" t="s">
        <v>123</v>
      </c>
      <c r="C763" s="5" t="s">
        <v>124</v>
      </c>
      <c r="D763" s="4" t="s">
        <v>22</v>
      </c>
      <c r="E763" s="4" t="s">
        <v>1464</v>
      </c>
      <c r="F763" s="4" t="s">
        <v>488</v>
      </c>
      <c r="G763" s="4" t="s">
        <v>1465</v>
      </c>
      <c r="H763" s="12" t="n">
        <v>1</v>
      </c>
      <c r="I763" s="4" t="s">
        <v>408</v>
      </c>
      <c r="J763" s="4" t="s">
        <v>409</v>
      </c>
      <c r="K763" s="13" t="n">
        <v>120</v>
      </c>
      <c r="L763" s="6" t="n">
        <f aca="false">H763*K763</f>
        <v>120</v>
      </c>
      <c r="M763" s="4" t="s">
        <v>371</v>
      </c>
    </row>
    <row r="764" customFormat="false" ht="23.85" hidden="false" customHeight="false" outlineLevel="0" collapsed="false">
      <c r="A764" s="4" t="s">
        <v>120</v>
      </c>
      <c r="B764" s="5" t="s">
        <v>123</v>
      </c>
      <c r="C764" s="5" t="s">
        <v>124</v>
      </c>
      <c r="D764" s="4" t="s">
        <v>22</v>
      </c>
      <c r="E764" s="4" t="s">
        <v>1466</v>
      </c>
      <c r="F764" s="4" t="s">
        <v>488</v>
      </c>
      <c r="G764" s="4" t="s">
        <v>1467</v>
      </c>
      <c r="H764" s="12" t="n">
        <v>1</v>
      </c>
      <c r="I764" s="4" t="s">
        <v>408</v>
      </c>
      <c r="J764" s="4" t="s">
        <v>409</v>
      </c>
      <c r="K764" s="13" t="n">
        <v>180</v>
      </c>
      <c r="L764" s="6" t="n">
        <f aca="false">H764*K764</f>
        <v>180</v>
      </c>
      <c r="M764" s="4" t="s">
        <v>371</v>
      </c>
    </row>
    <row r="765" customFormat="false" ht="23.85" hidden="false" customHeight="false" outlineLevel="0" collapsed="false">
      <c r="A765" s="4" t="s">
        <v>120</v>
      </c>
      <c r="B765" s="5" t="s">
        <v>123</v>
      </c>
      <c r="C765" s="5" t="s">
        <v>124</v>
      </c>
      <c r="D765" s="4" t="s">
        <v>22</v>
      </c>
      <c r="E765" s="4" t="s">
        <v>1468</v>
      </c>
      <c r="F765" s="4" t="s">
        <v>488</v>
      </c>
      <c r="G765" s="4" t="s">
        <v>1469</v>
      </c>
      <c r="H765" s="12" t="n">
        <v>1</v>
      </c>
      <c r="I765" s="4" t="s">
        <v>408</v>
      </c>
      <c r="J765" s="4" t="s">
        <v>409</v>
      </c>
      <c r="K765" s="13" t="n">
        <v>120</v>
      </c>
      <c r="L765" s="6" t="n">
        <f aca="false">H765*K765</f>
        <v>120</v>
      </c>
      <c r="M765" s="4" t="s">
        <v>371</v>
      </c>
    </row>
    <row r="766" customFormat="false" ht="23.85" hidden="false" customHeight="false" outlineLevel="0" collapsed="false">
      <c r="A766" s="4" t="s">
        <v>120</v>
      </c>
      <c r="B766" s="5" t="s">
        <v>123</v>
      </c>
      <c r="C766" s="5" t="s">
        <v>124</v>
      </c>
      <c r="D766" s="4" t="s">
        <v>22</v>
      </c>
      <c r="E766" s="4" t="s">
        <v>1470</v>
      </c>
      <c r="F766" s="4" t="s">
        <v>488</v>
      </c>
      <c r="G766" s="4" t="s">
        <v>1471</v>
      </c>
      <c r="H766" s="12" t="n">
        <v>1</v>
      </c>
      <c r="I766" s="4" t="s">
        <v>408</v>
      </c>
      <c r="J766" s="4" t="s">
        <v>506</v>
      </c>
      <c r="K766" s="13" t="n">
        <v>120</v>
      </c>
      <c r="L766" s="6" t="n">
        <f aca="false">H766*K766</f>
        <v>120</v>
      </c>
      <c r="M766" s="4" t="s">
        <v>371</v>
      </c>
    </row>
    <row r="767" customFormat="false" ht="23.85" hidden="false" customHeight="false" outlineLevel="0" collapsed="false">
      <c r="A767" s="4" t="s">
        <v>120</v>
      </c>
      <c r="B767" s="5" t="s">
        <v>123</v>
      </c>
      <c r="C767" s="5" t="s">
        <v>124</v>
      </c>
      <c r="D767" s="4" t="s">
        <v>22</v>
      </c>
      <c r="E767" s="4" t="s">
        <v>1472</v>
      </c>
      <c r="F767" s="4" t="s">
        <v>488</v>
      </c>
      <c r="G767" s="4" t="s">
        <v>1473</v>
      </c>
      <c r="H767" s="12" t="n">
        <v>1</v>
      </c>
      <c r="I767" s="4" t="s">
        <v>408</v>
      </c>
      <c r="J767" s="4" t="s">
        <v>416</v>
      </c>
      <c r="K767" s="13" t="n">
        <v>350</v>
      </c>
      <c r="L767" s="6" t="n">
        <f aca="false">H767*K767</f>
        <v>350</v>
      </c>
      <c r="M767" s="4" t="s">
        <v>371</v>
      </c>
    </row>
    <row r="768" customFormat="false" ht="23.85" hidden="false" customHeight="false" outlineLevel="0" collapsed="false">
      <c r="A768" s="4" t="s">
        <v>120</v>
      </c>
      <c r="B768" s="5" t="s">
        <v>123</v>
      </c>
      <c r="C768" s="5" t="s">
        <v>124</v>
      </c>
      <c r="D768" s="4" t="s">
        <v>22</v>
      </c>
      <c r="E768" s="4" t="s">
        <v>1474</v>
      </c>
      <c r="F768" s="4" t="s">
        <v>470</v>
      </c>
      <c r="G768" s="4" t="s">
        <v>1475</v>
      </c>
      <c r="H768" s="12" t="n">
        <v>1</v>
      </c>
      <c r="I768" s="4" t="s">
        <v>408</v>
      </c>
      <c r="J768" s="4" t="s">
        <v>409</v>
      </c>
      <c r="K768" s="13" t="n">
        <v>850</v>
      </c>
      <c r="L768" s="6" t="n">
        <f aca="false">H768*K768</f>
        <v>850</v>
      </c>
      <c r="M768" s="4" t="s">
        <v>371</v>
      </c>
    </row>
    <row r="769" customFormat="false" ht="15" hidden="false" customHeight="false" outlineLevel="0" collapsed="false">
      <c r="A769" s="4" t="s">
        <v>120</v>
      </c>
      <c r="B769" s="5" t="s">
        <v>125</v>
      </c>
      <c r="C769" s="5" t="s">
        <v>126</v>
      </c>
      <c r="D769" s="4" t="s">
        <v>22</v>
      </c>
      <c r="E769" s="4" t="s">
        <v>1476</v>
      </c>
      <c r="F769" s="4" t="s">
        <v>406</v>
      </c>
      <c r="G769" s="4" t="s">
        <v>1477</v>
      </c>
      <c r="H769" s="12" t="n">
        <v>1</v>
      </c>
      <c r="I769" s="4" t="s">
        <v>408</v>
      </c>
      <c r="J769" s="4" t="s">
        <v>409</v>
      </c>
      <c r="K769" s="13" t="n">
        <v>80</v>
      </c>
      <c r="L769" s="6" t="n">
        <f aca="false">H769*K769</f>
        <v>80</v>
      </c>
      <c r="M769" s="4" t="s">
        <v>371</v>
      </c>
    </row>
    <row r="770" customFormat="false" ht="15" hidden="false" customHeight="false" outlineLevel="0" collapsed="false">
      <c r="A770" s="4" t="s">
        <v>120</v>
      </c>
      <c r="B770" s="5" t="s">
        <v>125</v>
      </c>
      <c r="C770" s="5" t="s">
        <v>126</v>
      </c>
      <c r="D770" s="4" t="s">
        <v>22</v>
      </c>
      <c r="E770" s="4" t="s">
        <v>1267</v>
      </c>
      <c r="F770" s="4" t="s">
        <v>406</v>
      </c>
      <c r="G770" s="4" t="s">
        <v>1268</v>
      </c>
      <c r="H770" s="12" t="n">
        <v>1</v>
      </c>
      <c r="I770" s="4" t="s">
        <v>408</v>
      </c>
      <c r="J770" s="4" t="s">
        <v>409</v>
      </c>
      <c r="K770" s="13" t="n">
        <v>180</v>
      </c>
      <c r="L770" s="6" t="n">
        <f aca="false">H770*K770</f>
        <v>180</v>
      </c>
      <c r="M770" s="14" t="s">
        <v>410</v>
      </c>
    </row>
    <row r="771" customFormat="false" ht="15" hidden="false" customHeight="false" outlineLevel="0" collapsed="false">
      <c r="A771" s="4" t="s">
        <v>120</v>
      </c>
      <c r="B771" s="5" t="s">
        <v>125</v>
      </c>
      <c r="C771" s="5" t="s">
        <v>126</v>
      </c>
      <c r="D771" s="4" t="s">
        <v>22</v>
      </c>
      <c r="E771" s="4" t="s">
        <v>1269</v>
      </c>
      <c r="F771" s="4" t="s">
        <v>406</v>
      </c>
      <c r="G771" s="4" t="s">
        <v>1270</v>
      </c>
      <c r="H771" s="12" t="n">
        <v>1</v>
      </c>
      <c r="I771" s="4" t="s">
        <v>408</v>
      </c>
      <c r="J771" s="4" t="s">
        <v>409</v>
      </c>
      <c r="K771" s="13" t="n">
        <v>80</v>
      </c>
      <c r="L771" s="6" t="n">
        <f aca="false">H771*K771</f>
        <v>80</v>
      </c>
      <c r="M771" s="14" t="s">
        <v>410</v>
      </c>
    </row>
    <row r="772" customFormat="false" ht="15" hidden="false" customHeight="false" outlineLevel="0" collapsed="false">
      <c r="A772" s="4" t="s">
        <v>120</v>
      </c>
      <c r="B772" s="5" t="s">
        <v>125</v>
      </c>
      <c r="C772" s="5" t="s">
        <v>126</v>
      </c>
      <c r="D772" s="4" t="s">
        <v>22</v>
      </c>
      <c r="E772" s="4" t="s">
        <v>1478</v>
      </c>
      <c r="F772" s="4" t="s">
        <v>406</v>
      </c>
      <c r="G772" s="4" t="s">
        <v>1479</v>
      </c>
      <c r="H772" s="12" t="n">
        <v>1</v>
      </c>
      <c r="I772" s="4" t="s">
        <v>408</v>
      </c>
      <c r="J772" s="4" t="s">
        <v>416</v>
      </c>
      <c r="K772" s="13" t="n">
        <v>650</v>
      </c>
      <c r="L772" s="6" t="n">
        <f aca="false">H772*K772</f>
        <v>650</v>
      </c>
      <c r="M772" s="14" t="s">
        <v>410</v>
      </c>
    </row>
    <row r="773" customFormat="false" ht="15" hidden="false" customHeight="false" outlineLevel="0" collapsed="false">
      <c r="A773" s="4" t="s">
        <v>120</v>
      </c>
      <c r="B773" s="5" t="s">
        <v>125</v>
      </c>
      <c r="C773" s="5" t="s">
        <v>126</v>
      </c>
      <c r="D773" s="4" t="s">
        <v>22</v>
      </c>
      <c r="E773" s="4" t="s">
        <v>1480</v>
      </c>
      <c r="F773" s="4" t="s">
        <v>406</v>
      </c>
      <c r="G773" s="4" t="s">
        <v>1481</v>
      </c>
      <c r="H773" s="12" t="n">
        <v>1</v>
      </c>
      <c r="I773" s="4" t="s">
        <v>408</v>
      </c>
      <c r="J773" s="4" t="s">
        <v>416</v>
      </c>
      <c r="K773" s="13" t="n">
        <v>350</v>
      </c>
      <c r="L773" s="6" t="n">
        <f aca="false">H773*K773</f>
        <v>350</v>
      </c>
      <c r="M773" s="14" t="s">
        <v>410</v>
      </c>
    </row>
    <row r="774" customFormat="false" ht="15" hidden="false" customHeight="false" outlineLevel="0" collapsed="false">
      <c r="A774" s="4" t="s">
        <v>120</v>
      </c>
      <c r="B774" s="5" t="s">
        <v>125</v>
      </c>
      <c r="C774" s="5" t="s">
        <v>126</v>
      </c>
      <c r="D774" s="4" t="s">
        <v>22</v>
      </c>
      <c r="E774" s="4" t="s">
        <v>1482</v>
      </c>
      <c r="F774" s="4" t="s">
        <v>406</v>
      </c>
      <c r="G774" s="4" t="s">
        <v>1483</v>
      </c>
      <c r="H774" s="12" t="n">
        <v>1</v>
      </c>
      <c r="I774" s="4" t="s">
        <v>408</v>
      </c>
      <c r="J774" s="4" t="s">
        <v>409</v>
      </c>
      <c r="K774" s="13" t="n">
        <v>350</v>
      </c>
      <c r="L774" s="6" t="n">
        <f aca="false">H774*K774</f>
        <v>350</v>
      </c>
      <c r="M774" s="14" t="s">
        <v>410</v>
      </c>
    </row>
    <row r="775" customFormat="false" ht="15" hidden="false" customHeight="false" outlineLevel="0" collapsed="false">
      <c r="A775" s="4" t="s">
        <v>120</v>
      </c>
      <c r="B775" s="5" t="s">
        <v>125</v>
      </c>
      <c r="C775" s="5" t="s">
        <v>126</v>
      </c>
      <c r="D775" s="4" t="s">
        <v>22</v>
      </c>
      <c r="E775" s="4" t="s">
        <v>1484</v>
      </c>
      <c r="F775" s="4" t="s">
        <v>406</v>
      </c>
      <c r="G775" s="4" t="s">
        <v>1485</v>
      </c>
      <c r="H775" s="12" t="n">
        <v>1</v>
      </c>
      <c r="I775" s="4" t="s">
        <v>408</v>
      </c>
      <c r="J775" s="4" t="s">
        <v>409</v>
      </c>
      <c r="K775" s="13" t="n">
        <v>180</v>
      </c>
      <c r="L775" s="6" t="n">
        <f aca="false">H775*K775</f>
        <v>180</v>
      </c>
      <c r="M775" s="14" t="s">
        <v>410</v>
      </c>
    </row>
    <row r="776" customFormat="false" ht="15" hidden="false" customHeight="false" outlineLevel="0" collapsed="false">
      <c r="A776" s="4" t="s">
        <v>120</v>
      </c>
      <c r="B776" s="5" t="s">
        <v>125</v>
      </c>
      <c r="C776" s="5" t="s">
        <v>126</v>
      </c>
      <c r="D776" s="4" t="s">
        <v>22</v>
      </c>
      <c r="E776" s="4" t="s">
        <v>1486</v>
      </c>
      <c r="F776" s="4" t="s">
        <v>406</v>
      </c>
      <c r="G776" s="4" t="s">
        <v>1487</v>
      </c>
      <c r="H776" s="12" t="n">
        <v>1</v>
      </c>
      <c r="I776" s="4" t="s">
        <v>408</v>
      </c>
      <c r="J776" s="4" t="s">
        <v>409</v>
      </c>
      <c r="K776" s="13" t="n">
        <v>80</v>
      </c>
      <c r="L776" s="6" t="n">
        <f aca="false">H776*K776</f>
        <v>80</v>
      </c>
      <c r="M776" s="14" t="s">
        <v>410</v>
      </c>
    </row>
    <row r="777" customFormat="false" ht="15" hidden="false" customHeight="false" outlineLevel="0" collapsed="false">
      <c r="A777" s="4" t="s">
        <v>120</v>
      </c>
      <c r="B777" s="5" t="s">
        <v>125</v>
      </c>
      <c r="C777" s="5" t="s">
        <v>126</v>
      </c>
      <c r="D777" s="4" t="s">
        <v>22</v>
      </c>
      <c r="E777" s="4" t="s">
        <v>1488</v>
      </c>
      <c r="F777" s="4" t="s">
        <v>406</v>
      </c>
      <c r="G777" s="4" t="s">
        <v>1489</v>
      </c>
      <c r="H777" s="12" t="n">
        <v>1</v>
      </c>
      <c r="I777" s="4" t="s">
        <v>408</v>
      </c>
      <c r="J777" s="4" t="s">
        <v>416</v>
      </c>
      <c r="K777" s="13" t="n">
        <v>450</v>
      </c>
      <c r="L777" s="6" t="n">
        <f aca="false">H777*K777</f>
        <v>450</v>
      </c>
      <c r="M777" s="14" t="s">
        <v>410</v>
      </c>
    </row>
    <row r="778" customFormat="false" ht="15" hidden="false" customHeight="false" outlineLevel="0" collapsed="false">
      <c r="A778" s="4" t="s">
        <v>120</v>
      </c>
      <c r="B778" s="5" t="s">
        <v>125</v>
      </c>
      <c r="C778" s="5" t="s">
        <v>126</v>
      </c>
      <c r="D778" s="4" t="s">
        <v>22</v>
      </c>
      <c r="E778" s="4" t="s">
        <v>1490</v>
      </c>
      <c r="F778" s="4" t="s">
        <v>406</v>
      </c>
      <c r="G778" s="4" t="s">
        <v>1491</v>
      </c>
      <c r="H778" s="12" t="n">
        <v>1</v>
      </c>
      <c r="I778" s="4" t="s">
        <v>408</v>
      </c>
      <c r="J778" s="4" t="s">
        <v>416</v>
      </c>
      <c r="K778" s="13" t="n">
        <v>250</v>
      </c>
      <c r="L778" s="6" t="n">
        <f aca="false">H778*K778</f>
        <v>250</v>
      </c>
      <c r="M778" s="14" t="s">
        <v>410</v>
      </c>
    </row>
    <row r="779" customFormat="false" ht="15" hidden="false" customHeight="false" outlineLevel="0" collapsed="false">
      <c r="A779" s="4" t="s">
        <v>120</v>
      </c>
      <c r="B779" s="5" t="s">
        <v>125</v>
      </c>
      <c r="C779" s="5" t="s">
        <v>126</v>
      </c>
      <c r="D779" s="4" t="s">
        <v>22</v>
      </c>
      <c r="E779" s="4" t="s">
        <v>1492</v>
      </c>
      <c r="F779" s="4" t="s">
        <v>406</v>
      </c>
      <c r="G779" s="4" t="s">
        <v>1493</v>
      </c>
      <c r="H779" s="12" t="n">
        <v>1</v>
      </c>
      <c r="I779" s="4" t="s">
        <v>408</v>
      </c>
      <c r="J779" s="4" t="s">
        <v>506</v>
      </c>
      <c r="K779" s="13" t="n">
        <v>120</v>
      </c>
      <c r="L779" s="6" t="n">
        <f aca="false">H779*K779</f>
        <v>120</v>
      </c>
      <c r="M779" s="14" t="s">
        <v>410</v>
      </c>
    </row>
    <row r="780" customFormat="false" ht="15" hidden="false" customHeight="false" outlineLevel="0" collapsed="false">
      <c r="A780" s="4" t="s">
        <v>120</v>
      </c>
      <c r="B780" s="5" t="s">
        <v>125</v>
      </c>
      <c r="C780" s="5" t="s">
        <v>126</v>
      </c>
      <c r="D780" s="4" t="s">
        <v>22</v>
      </c>
      <c r="E780" s="4" t="s">
        <v>1494</v>
      </c>
      <c r="F780" s="4" t="s">
        <v>406</v>
      </c>
      <c r="G780" s="4" t="s">
        <v>1495</v>
      </c>
      <c r="H780" s="12" t="n">
        <v>1</v>
      </c>
      <c r="I780" s="4" t="s">
        <v>408</v>
      </c>
      <c r="J780" s="4" t="s">
        <v>416</v>
      </c>
      <c r="K780" s="13" t="n">
        <v>250</v>
      </c>
      <c r="L780" s="6" t="n">
        <f aca="false">H780*K780</f>
        <v>250</v>
      </c>
      <c r="M780" s="14" t="s">
        <v>410</v>
      </c>
    </row>
    <row r="781" customFormat="false" ht="15" hidden="false" customHeight="false" outlineLevel="0" collapsed="false">
      <c r="A781" s="4" t="s">
        <v>120</v>
      </c>
      <c r="B781" s="5" t="s">
        <v>125</v>
      </c>
      <c r="C781" s="5" t="s">
        <v>126</v>
      </c>
      <c r="D781" s="4" t="s">
        <v>22</v>
      </c>
      <c r="E781" s="4" t="s">
        <v>1496</v>
      </c>
      <c r="F781" s="4" t="s">
        <v>406</v>
      </c>
      <c r="G781" s="4" t="s">
        <v>1497</v>
      </c>
      <c r="H781" s="12" t="n">
        <v>1</v>
      </c>
      <c r="I781" s="4" t="s">
        <v>408</v>
      </c>
      <c r="J781" s="4" t="s">
        <v>416</v>
      </c>
      <c r="K781" s="13" t="n">
        <v>250</v>
      </c>
      <c r="L781" s="6" t="n">
        <f aca="false">H781*K781</f>
        <v>250</v>
      </c>
      <c r="M781" s="4" t="s">
        <v>371</v>
      </c>
    </row>
    <row r="782" customFormat="false" ht="15" hidden="false" customHeight="false" outlineLevel="0" collapsed="false">
      <c r="A782" s="4" t="s">
        <v>120</v>
      </c>
      <c r="B782" s="5" t="s">
        <v>125</v>
      </c>
      <c r="C782" s="5" t="s">
        <v>126</v>
      </c>
      <c r="D782" s="4" t="s">
        <v>22</v>
      </c>
      <c r="E782" s="4" t="s">
        <v>1498</v>
      </c>
      <c r="F782" s="4" t="s">
        <v>406</v>
      </c>
      <c r="G782" s="4" t="s">
        <v>1499</v>
      </c>
      <c r="H782" s="12" t="n">
        <v>1</v>
      </c>
      <c r="I782" s="4" t="s">
        <v>408</v>
      </c>
      <c r="J782" s="4" t="s">
        <v>416</v>
      </c>
      <c r="K782" s="13" t="n">
        <v>450</v>
      </c>
      <c r="L782" s="6" t="n">
        <f aca="false">H782*K782</f>
        <v>450</v>
      </c>
      <c r="M782" s="14" t="s">
        <v>410</v>
      </c>
    </row>
    <row r="783" customFormat="false" ht="15" hidden="false" customHeight="false" outlineLevel="0" collapsed="false">
      <c r="A783" s="4" t="s">
        <v>120</v>
      </c>
      <c r="B783" s="5" t="s">
        <v>125</v>
      </c>
      <c r="C783" s="5" t="s">
        <v>126</v>
      </c>
      <c r="D783" s="4" t="s">
        <v>22</v>
      </c>
      <c r="E783" s="4" t="s">
        <v>1500</v>
      </c>
      <c r="F783" s="4" t="s">
        <v>406</v>
      </c>
      <c r="G783" s="4" t="s">
        <v>1501</v>
      </c>
      <c r="H783" s="12" t="n">
        <v>1</v>
      </c>
      <c r="I783" s="4" t="s">
        <v>408</v>
      </c>
      <c r="J783" s="4" t="s">
        <v>416</v>
      </c>
      <c r="K783" s="13" t="n">
        <v>450</v>
      </c>
      <c r="L783" s="6" t="n">
        <f aca="false">H783*K783</f>
        <v>450</v>
      </c>
      <c r="M783" s="4" t="s">
        <v>371</v>
      </c>
    </row>
    <row r="784" customFormat="false" ht="15" hidden="false" customHeight="false" outlineLevel="0" collapsed="false">
      <c r="A784" s="4" t="s">
        <v>120</v>
      </c>
      <c r="B784" s="5" t="s">
        <v>125</v>
      </c>
      <c r="C784" s="5" t="s">
        <v>126</v>
      </c>
      <c r="D784" s="4" t="s">
        <v>22</v>
      </c>
      <c r="E784" s="4" t="s">
        <v>1283</v>
      </c>
      <c r="F784" s="4" t="s">
        <v>406</v>
      </c>
      <c r="G784" s="4" t="s">
        <v>1284</v>
      </c>
      <c r="H784" s="12" t="n">
        <v>1</v>
      </c>
      <c r="I784" s="4" t="s">
        <v>408</v>
      </c>
      <c r="J784" s="4" t="s">
        <v>409</v>
      </c>
      <c r="K784" s="13" t="n">
        <v>350</v>
      </c>
      <c r="L784" s="6" t="n">
        <f aca="false">H784*K784</f>
        <v>350</v>
      </c>
      <c r="M784" s="14" t="s">
        <v>410</v>
      </c>
    </row>
    <row r="785" customFormat="false" ht="15" hidden="false" customHeight="false" outlineLevel="0" collapsed="false">
      <c r="A785" s="4" t="s">
        <v>120</v>
      </c>
      <c r="B785" s="5" t="s">
        <v>125</v>
      </c>
      <c r="C785" s="5" t="s">
        <v>126</v>
      </c>
      <c r="D785" s="4" t="s">
        <v>22</v>
      </c>
      <c r="E785" s="4" t="s">
        <v>1293</v>
      </c>
      <c r="F785" s="4" t="s">
        <v>406</v>
      </c>
      <c r="G785" s="4" t="s">
        <v>1294</v>
      </c>
      <c r="H785" s="12" t="n">
        <v>1</v>
      </c>
      <c r="I785" s="4" t="s">
        <v>408</v>
      </c>
      <c r="J785" s="4" t="s">
        <v>416</v>
      </c>
      <c r="K785" s="13" t="n">
        <v>180</v>
      </c>
      <c r="L785" s="6" t="n">
        <f aca="false">H785*K785</f>
        <v>180</v>
      </c>
      <c r="M785" s="14" t="s">
        <v>410</v>
      </c>
    </row>
    <row r="786" customFormat="false" ht="15" hidden="false" customHeight="false" outlineLevel="0" collapsed="false">
      <c r="A786" s="4" t="s">
        <v>120</v>
      </c>
      <c r="B786" s="5" t="s">
        <v>125</v>
      </c>
      <c r="C786" s="5" t="s">
        <v>126</v>
      </c>
      <c r="D786" s="4" t="s">
        <v>22</v>
      </c>
      <c r="E786" s="4" t="s">
        <v>1295</v>
      </c>
      <c r="F786" s="4" t="s">
        <v>406</v>
      </c>
      <c r="G786" s="4" t="s">
        <v>1296</v>
      </c>
      <c r="H786" s="12" t="n">
        <v>1</v>
      </c>
      <c r="I786" s="4" t="s">
        <v>408</v>
      </c>
      <c r="J786" s="4" t="s">
        <v>409</v>
      </c>
      <c r="K786" s="13" t="n">
        <v>250</v>
      </c>
      <c r="L786" s="6" t="n">
        <f aca="false">H786*K786</f>
        <v>250</v>
      </c>
      <c r="M786" s="14" t="s">
        <v>410</v>
      </c>
    </row>
    <row r="787" customFormat="false" ht="15" hidden="false" customHeight="false" outlineLevel="0" collapsed="false">
      <c r="A787" s="4" t="s">
        <v>120</v>
      </c>
      <c r="B787" s="5" t="s">
        <v>125</v>
      </c>
      <c r="C787" s="5" t="s">
        <v>126</v>
      </c>
      <c r="D787" s="4" t="s">
        <v>22</v>
      </c>
      <c r="E787" s="4" t="s">
        <v>1297</v>
      </c>
      <c r="F787" s="4" t="s">
        <v>406</v>
      </c>
      <c r="G787" s="4" t="s">
        <v>1298</v>
      </c>
      <c r="H787" s="12" t="n">
        <v>1</v>
      </c>
      <c r="I787" s="4" t="s">
        <v>408</v>
      </c>
      <c r="J787" s="4" t="s">
        <v>409</v>
      </c>
      <c r="K787" s="13" t="n">
        <v>120</v>
      </c>
      <c r="L787" s="6" t="n">
        <f aca="false">H787*K787</f>
        <v>120</v>
      </c>
      <c r="M787" s="14" t="s">
        <v>410</v>
      </c>
    </row>
    <row r="788" customFormat="false" ht="15" hidden="false" customHeight="false" outlineLevel="0" collapsed="false">
      <c r="A788" s="4" t="s">
        <v>120</v>
      </c>
      <c r="B788" s="5" t="s">
        <v>125</v>
      </c>
      <c r="C788" s="5" t="s">
        <v>126</v>
      </c>
      <c r="D788" s="4" t="s">
        <v>22</v>
      </c>
      <c r="E788" s="4" t="s">
        <v>1299</v>
      </c>
      <c r="F788" s="4" t="s">
        <v>406</v>
      </c>
      <c r="G788" s="4" t="s">
        <v>1300</v>
      </c>
      <c r="H788" s="12" t="n">
        <v>1</v>
      </c>
      <c r="I788" s="4" t="s">
        <v>408</v>
      </c>
      <c r="J788" s="4" t="s">
        <v>409</v>
      </c>
      <c r="K788" s="13" t="n">
        <v>350</v>
      </c>
      <c r="L788" s="6" t="n">
        <f aca="false">H788*K788</f>
        <v>350</v>
      </c>
      <c r="M788" s="14" t="s">
        <v>410</v>
      </c>
    </row>
    <row r="789" customFormat="false" ht="15" hidden="false" customHeight="false" outlineLevel="0" collapsed="false">
      <c r="A789" s="4" t="s">
        <v>120</v>
      </c>
      <c r="B789" s="5" t="s">
        <v>125</v>
      </c>
      <c r="C789" s="5" t="s">
        <v>126</v>
      </c>
      <c r="D789" s="4" t="s">
        <v>22</v>
      </c>
      <c r="E789" s="4" t="s">
        <v>1301</v>
      </c>
      <c r="F789" s="4" t="s">
        <v>406</v>
      </c>
      <c r="G789" s="4" t="s">
        <v>1302</v>
      </c>
      <c r="H789" s="12" t="n">
        <v>1</v>
      </c>
      <c r="I789" s="4" t="s">
        <v>408</v>
      </c>
      <c r="J789" s="4" t="s">
        <v>416</v>
      </c>
      <c r="K789" s="13" t="n">
        <v>850</v>
      </c>
      <c r="L789" s="6" t="n">
        <f aca="false">H789*K789</f>
        <v>850</v>
      </c>
      <c r="M789" s="4" t="s">
        <v>371</v>
      </c>
    </row>
    <row r="790" customFormat="false" ht="15" hidden="false" customHeight="false" outlineLevel="0" collapsed="false">
      <c r="A790" s="4" t="s">
        <v>120</v>
      </c>
      <c r="B790" s="5" t="s">
        <v>125</v>
      </c>
      <c r="C790" s="5" t="s">
        <v>126</v>
      </c>
      <c r="D790" s="4" t="s">
        <v>22</v>
      </c>
      <c r="E790" s="4" t="s">
        <v>1303</v>
      </c>
      <c r="F790" s="4" t="s">
        <v>406</v>
      </c>
      <c r="G790" s="4" t="s">
        <v>1304</v>
      </c>
      <c r="H790" s="12" t="n">
        <v>1</v>
      </c>
      <c r="I790" s="4" t="s">
        <v>408</v>
      </c>
      <c r="J790" s="4" t="s">
        <v>416</v>
      </c>
      <c r="K790" s="13" t="n">
        <v>850</v>
      </c>
      <c r="L790" s="6" t="n">
        <f aca="false">H790*K790</f>
        <v>850</v>
      </c>
      <c r="M790" s="4" t="s">
        <v>371</v>
      </c>
    </row>
    <row r="791" customFormat="false" ht="15" hidden="false" customHeight="false" outlineLevel="0" collapsed="false">
      <c r="A791" s="4" t="s">
        <v>120</v>
      </c>
      <c r="B791" s="5" t="s">
        <v>125</v>
      </c>
      <c r="C791" s="5" t="s">
        <v>126</v>
      </c>
      <c r="D791" s="4" t="s">
        <v>22</v>
      </c>
      <c r="E791" s="4" t="s">
        <v>1305</v>
      </c>
      <c r="F791" s="4" t="s">
        <v>406</v>
      </c>
      <c r="G791" s="4" t="s">
        <v>1306</v>
      </c>
      <c r="H791" s="12" t="n">
        <v>1</v>
      </c>
      <c r="I791" s="4" t="s">
        <v>408</v>
      </c>
      <c r="J791" s="4" t="s">
        <v>409</v>
      </c>
      <c r="K791" s="13" t="n">
        <v>120</v>
      </c>
      <c r="L791" s="6" t="n">
        <f aca="false">H791*K791</f>
        <v>120</v>
      </c>
      <c r="M791" s="14" t="s">
        <v>410</v>
      </c>
    </row>
    <row r="792" customFormat="false" ht="15" hidden="false" customHeight="false" outlineLevel="0" collapsed="false">
      <c r="A792" s="4" t="s">
        <v>120</v>
      </c>
      <c r="B792" s="5" t="s">
        <v>125</v>
      </c>
      <c r="C792" s="5" t="s">
        <v>126</v>
      </c>
      <c r="D792" s="4" t="s">
        <v>22</v>
      </c>
      <c r="E792" s="4" t="s">
        <v>1313</v>
      </c>
      <c r="F792" s="4" t="s">
        <v>406</v>
      </c>
      <c r="G792" s="4" t="s">
        <v>1314</v>
      </c>
      <c r="H792" s="12" t="n">
        <v>1</v>
      </c>
      <c r="I792" s="4" t="s">
        <v>408</v>
      </c>
      <c r="J792" s="4" t="s">
        <v>416</v>
      </c>
      <c r="K792" s="13" t="n">
        <v>350</v>
      </c>
      <c r="L792" s="6" t="n">
        <f aca="false">H792*K792</f>
        <v>350</v>
      </c>
      <c r="M792" s="4" t="s">
        <v>371</v>
      </c>
    </row>
    <row r="793" customFormat="false" ht="15" hidden="false" customHeight="false" outlineLevel="0" collapsed="false">
      <c r="A793" s="4" t="s">
        <v>120</v>
      </c>
      <c r="B793" s="5" t="s">
        <v>125</v>
      </c>
      <c r="C793" s="5" t="s">
        <v>126</v>
      </c>
      <c r="D793" s="4" t="s">
        <v>22</v>
      </c>
      <c r="E793" s="4" t="s">
        <v>1315</v>
      </c>
      <c r="F793" s="4" t="s">
        <v>406</v>
      </c>
      <c r="G793" s="4" t="s">
        <v>1316</v>
      </c>
      <c r="H793" s="12" t="n">
        <v>1</v>
      </c>
      <c r="I793" s="4" t="s">
        <v>408</v>
      </c>
      <c r="J793" s="4" t="s">
        <v>416</v>
      </c>
      <c r="K793" s="13" t="n">
        <v>350</v>
      </c>
      <c r="L793" s="6" t="n">
        <f aca="false">H793*K793</f>
        <v>350</v>
      </c>
      <c r="M793" s="4" t="s">
        <v>371</v>
      </c>
    </row>
    <row r="794" customFormat="false" ht="15" hidden="false" customHeight="false" outlineLevel="0" collapsed="false">
      <c r="A794" s="4" t="s">
        <v>120</v>
      </c>
      <c r="B794" s="5" t="s">
        <v>125</v>
      </c>
      <c r="C794" s="5" t="s">
        <v>126</v>
      </c>
      <c r="D794" s="4" t="s">
        <v>22</v>
      </c>
      <c r="E794" s="4" t="s">
        <v>1317</v>
      </c>
      <c r="F794" s="4" t="s">
        <v>406</v>
      </c>
      <c r="G794" s="4" t="s">
        <v>1318</v>
      </c>
      <c r="H794" s="12" t="n">
        <v>1</v>
      </c>
      <c r="I794" s="4" t="s">
        <v>408</v>
      </c>
      <c r="J794" s="4" t="s">
        <v>416</v>
      </c>
      <c r="K794" s="13" t="n">
        <v>250</v>
      </c>
      <c r="L794" s="6" t="n">
        <f aca="false">H794*K794</f>
        <v>250</v>
      </c>
      <c r="M794" s="14" t="s">
        <v>410</v>
      </c>
    </row>
    <row r="795" customFormat="false" ht="15" hidden="false" customHeight="false" outlineLevel="0" collapsed="false">
      <c r="A795" s="4" t="s">
        <v>120</v>
      </c>
      <c r="B795" s="5" t="s">
        <v>125</v>
      </c>
      <c r="C795" s="5" t="s">
        <v>126</v>
      </c>
      <c r="D795" s="4" t="s">
        <v>22</v>
      </c>
      <c r="E795" s="4" t="s">
        <v>1319</v>
      </c>
      <c r="F795" s="4" t="s">
        <v>406</v>
      </c>
      <c r="G795" s="4" t="s">
        <v>1320</v>
      </c>
      <c r="H795" s="12" t="n">
        <v>1</v>
      </c>
      <c r="I795" s="4" t="s">
        <v>408</v>
      </c>
      <c r="J795" s="4" t="s">
        <v>409</v>
      </c>
      <c r="K795" s="13" t="n">
        <v>250</v>
      </c>
      <c r="L795" s="6" t="n">
        <f aca="false">H795*K795</f>
        <v>250</v>
      </c>
      <c r="M795" s="4" t="s">
        <v>371</v>
      </c>
    </row>
    <row r="796" customFormat="false" ht="15" hidden="false" customHeight="false" outlineLevel="0" collapsed="false">
      <c r="A796" s="4" t="s">
        <v>120</v>
      </c>
      <c r="B796" s="5" t="s">
        <v>125</v>
      </c>
      <c r="C796" s="5" t="s">
        <v>126</v>
      </c>
      <c r="D796" s="4" t="s">
        <v>22</v>
      </c>
      <c r="E796" s="4" t="s">
        <v>1502</v>
      </c>
      <c r="F796" s="4" t="s">
        <v>406</v>
      </c>
      <c r="G796" s="4" t="s">
        <v>1503</v>
      </c>
      <c r="H796" s="12" t="n">
        <v>1</v>
      </c>
      <c r="I796" s="4" t="s">
        <v>408</v>
      </c>
      <c r="J796" s="4" t="s">
        <v>416</v>
      </c>
      <c r="K796" s="13" t="n">
        <v>850</v>
      </c>
      <c r="L796" s="6" t="n">
        <f aca="false">H796*K796</f>
        <v>850</v>
      </c>
      <c r="M796" s="4" t="s">
        <v>371</v>
      </c>
    </row>
    <row r="797" customFormat="false" ht="15" hidden="false" customHeight="false" outlineLevel="0" collapsed="false">
      <c r="A797" s="4" t="s">
        <v>120</v>
      </c>
      <c r="B797" s="5" t="s">
        <v>125</v>
      </c>
      <c r="C797" s="5" t="s">
        <v>126</v>
      </c>
      <c r="D797" s="4" t="s">
        <v>22</v>
      </c>
      <c r="E797" s="4" t="s">
        <v>1323</v>
      </c>
      <c r="F797" s="4" t="s">
        <v>406</v>
      </c>
      <c r="G797" s="4" t="s">
        <v>1324</v>
      </c>
      <c r="H797" s="12" t="n">
        <v>1</v>
      </c>
      <c r="I797" s="4" t="s">
        <v>408</v>
      </c>
      <c r="J797" s="4" t="s">
        <v>409</v>
      </c>
      <c r="K797" s="13" t="n">
        <v>250</v>
      </c>
      <c r="L797" s="6" t="n">
        <f aca="false">H797*K797</f>
        <v>250</v>
      </c>
      <c r="M797" s="14" t="s">
        <v>410</v>
      </c>
    </row>
    <row r="798" customFormat="false" ht="15" hidden="false" customHeight="false" outlineLevel="0" collapsed="false">
      <c r="A798" s="4" t="s">
        <v>120</v>
      </c>
      <c r="B798" s="5" t="s">
        <v>125</v>
      </c>
      <c r="C798" s="5" t="s">
        <v>126</v>
      </c>
      <c r="D798" s="4" t="s">
        <v>22</v>
      </c>
      <c r="E798" s="4" t="s">
        <v>1325</v>
      </c>
      <c r="F798" s="4" t="s">
        <v>406</v>
      </c>
      <c r="G798" s="4" t="s">
        <v>1326</v>
      </c>
      <c r="H798" s="12" t="n">
        <v>1</v>
      </c>
      <c r="I798" s="4" t="s">
        <v>408</v>
      </c>
      <c r="J798" s="4" t="s">
        <v>409</v>
      </c>
      <c r="K798" s="13" t="n">
        <v>150</v>
      </c>
      <c r="L798" s="6" t="n">
        <f aca="false">H798*K798</f>
        <v>150</v>
      </c>
      <c r="M798" s="14" t="s">
        <v>410</v>
      </c>
    </row>
    <row r="799" customFormat="false" ht="15" hidden="false" customHeight="false" outlineLevel="0" collapsed="false">
      <c r="A799" s="4" t="s">
        <v>120</v>
      </c>
      <c r="B799" s="5" t="s">
        <v>125</v>
      </c>
      <c r="C799" s="5" t="s">
        <v>126</v>
      </c>
      <c r="D799" s="4" t="s">
        <v>22</v>
      </c>
      <c r="E799" s="4" t="s">
        <v>1331</v>
      </c>
      <c r="F799" s="4" t="s">
        <v>406</v>
      </c>
      <c r="G799" s="4" t="s">
        <v>1332</v>
      </c>
      <c r="H799" s="12" t="n">
        <v>1</v>
      </c>
      <c r="I799" s="4" t="s">
        <v>408</v>
      </c>
      <c r="J799" s="4" t="s">
        <v>416</v>
      </c>
      <c r="K799" s="13" t="n">
        <v>120</v>
      </c>
      <c r="L799" s="6" t="n">
        <f aca="false">H799*K799</f>
        <v>120</v>
      </c>
      <c r="M799" s="14" t="s">
        <v>410</v>
      </c>
    </row>
    <row r="800" customFormat="false" ht="15" hidden="false" customHeight="false" outlineLevel="0" collapsed="false">
      <c r="A800" s="4" t="s">
        <v>120</v>
      </c>
      <c r="B800" s="5" t="s">
        <v>125</v>
      </c>
      <c r="C800" s="5" t="s">
        <v>126</v>
      </c>
      <c r="D800" s="4" t="s">
        <v>22</v>
      </c>
      <c r="E800" s="4" t="s">
        <v>1333</v>
      </c>
      <c r="F800" s="4" t="s">
        <v>406</v>
      </c>
      <c r="G800" s="4" t="s">
        <v>1334</v>
      </c>
      <c r="H800" s="12" t="n">
        <v>1</v>
      </c>
      <c r="I800" s="4" t="s">
        <v>408</v>
      </c>
      <c r="J800" s="4" t="s">
        <v>416</v>
      </c>
      <c r="K800" s="13" t="n">
        <v>650</v>
      </c>
      <c r="L800" s="6" t="n">
        <f aca="false">H800*K800</f>
        <v>650</v>
      </c>
      <c r="M800" s="14" t="s">
        <v>410</v>
      </c>
    </row>
    <row r="801" customFormat="false" ht="15" hidden="false" customHeight="false" outlineLevel="0" collapsed="false">
      <c r="A801" s="4" t="s">
        <v>120</v>
      </c>
      <c r="B801" s="5" t="s">
        <v>125</v>
      </c>
      <c r="C801" s="5" t="s">
        <v>126</v>
      </c>
      <c r="D801" s="4" t="s">
        <v>22</v>
      </c>
      <c r="E801" s="4" t="s">
        <v>1335</v>
      </c>
      <c r="F801" s="4" t="s">
        <v>406</v>
      </c>
      <c r="G801" s="4" t="s">
        <v>1336</v>
      </c>
      <c r="H801" s="12" t="n">
        <v>1</v>
      </c>
      <c r="I801" s="4" t="s">
        <v>408</v>
      </c>
      <c r="J801" s="4" t="s">
        <v>475</v>
      </c>
      <c r="K801" s="13" t="n">
        <v>180</v>
      </c>
      <c r="L801" s="6" t="n">
        <f aca="false">H801*K801</f>
        <v>180</v>
      </c>
      <c r="M801" s="14" t="s">
        <v>410</v>
      </c>
    </row>
    <row r="802" customFormat="false" ht="15" hidden="false" customHeight="false" outlineLevel="0" collapsed="false">
      <c r="A802" s="4" t="s">
        <v>120</v>
      </c>
      <c r="B802" s="5" t="s">
        <v>125</v>
      </c>
      <c r="C802" s="5" t="s">
        <v>126</v>
      </c>
      <c r="D802" s="4" t="s">
        <v>22</v>
      </c>
      <c r="E802" s="4" t="s">
        <v>1337</v>
      </c>
      <c r="F802" s="4" t="s">
        <v>406</v>
      </c>
      <c r="G802" s="4" t="s">
        <v>1338</v>
      </c>
      <c r="H802" s="12" t="n">
        <v>1</v>
      </c>
      <c r="I802" s="4" t="s">
        <v>408</v>
      </c>
      <c r="J802" s="4" t="s">
        <v>416</v>
      </c>
      <c r="K802" s="13" t="n">
        <v>250</v>
      </c>
      <c r="L802" s="6" t="n">
        <f aca="false">H802*K802</f>
        <v>250</v>
      </c>
      <c r="M802" s="4" t="s">
        <v>371</v>
      </c>
    </row>
    <row r="803" customFormat="false" ht="15" hidden="false" customHeight="false" outlineLevel="0" collapsed="false">
      <c r="A803" s="4" t="s">
        <v>120</v>
      </c>
      <c r="B803" s="5" t="s">
        <v>125</v>
      </c>
      <c r="C803" s="5" t="s">
        <v>126</v>
      </c>
      <c r="D803" s="4" t="s">
        <v>22</v>
      </c>
      <c r="E803" s="4" t="s">
        <v>1339</v>
      </c>
      <c r="F803" s="4" t="s">
        <v>406</v>
      </c>
      <c r="G803" s="4" t="s">
        <v>1340</v>
      </c>
      <c r="H803" s="12" t="n">
        <v>1</v>
      </c>
      <c r="I803" s="4" t="s">
        <v>408</v>
      </c>
      <c r="J803" s="4" t="s">
        <v>409</v>
      </c>
      <c r="K803" s="13" t="n">
        <v>150</v>
      </c>
      <c r="L803" s="6" t="n">
        <f aca="false">H803*K803</f>
        <v>150</v>
      </c>
      <c r="M803" s="14" t="s">
        <v>410</v>
      </c>
    </row>
    <row r="804" customFormat="false" ht="15" hidden="false" customHeight="false" outlineLevel="0" collapsed="false">
      <c r="A804" s="4" t="s">
        <v>120</v>
      </c>
      <c r="B804" s="5" t="s">
        <v>125</v>
      </c>
      <c r="C804" s="5" t="s">
        <v>126</v>
      </c>
      <c r="D804" s="4" t="s">
        <v>22</v>
      </c>
      <c r="E804" s="4" t="s">
        <v>1341</v>
      </c>
      <c r="F804" s="4" t="s">
        <v>406</v>
      </c>
      <c r="G804" s="4" t="s">
        <v>1342</v>
      </c>
      <c r="H804" s="12" t="n">
        <v>1</v>
      </c>
      <c r="I804" s="4" t="s">
        <v>408</v>
      </c>
      <c r="J804" s="4" t="s">
        <v>409</v>
      </c>
      <c r="K804" s="13" t="n">
        <v>150</v>
      </c>
      <c r="L804" s="6" t="n">
        <f aca="false">H804*K804</f>
        <v>150</v>
      </c>
      <c r="M804" s="14" t="s">
        <v>410</v>
      </c>
    </row>
    <row r="805" customFormat="false" ht="15" hidden="false" customHeight="false" outlineLevel="0" collapsed="false">
      <c r="A805" s="4" t="s">
        <v>120</v>
      </c>
      <c r="B805" s="5" t="s">
        <v>125</v>
      </c>
      <c r="C805" s="5" t="s">
        <v>126</v>
      </c>
      <c r="D805" s="4" t="s">
        <v>22</v>
      </c>
      <c r="E805" s="4" t="s">
        <v>1345</v>
      </c>
      <c r="F805" s="4" t="s">
        <v>406</v>
      </c>
      <c r="G805" s="4" t="s">
        <v>1346</v>
      </c>
      <c r="H805" s="12" t="n">
        <v>1</v>
      </c>
      <c r="I805" s="4" t="s">
        <v>408</v>
      </c>
      <c r="J805" s="4" t="s">
        <v>409</v>
      </c>
      <c r="K805" s="13" t="n">
        <v>80</v>
      </c>
      <c r="L805" s="6" t="n">
        <f aca="false">H805*K805</f>
        <v>80</v>
      </c>
      <c r="M805" s="14" t="s">
        <v>410</v>
      </c>
    </row>
    <row r="806" customFormat="false" ht="15" hidden="false" customHeight="false" outlineLevel="0" collapsed="false">
      <c r="A806" s="4" t="s">
        <v>120</v>
      </c>
      <c r="B806" s="5" t="s">
        <v>125</v>
      </c>
      <c r="C806" s="5" t="s">
        <v>126</v>
      </c>
      <c r="D806" s="4" t="s">
        <v>22</v>
      </c>
      <c r="E806" s="4" t="s">
        <v>1347</v>
      </c>
      <c r="F806" s="4" t="s">
        <v>406</v>
      </c>
      <c r="G806" s="4" t="s">
        <v>1348</v>
      </c>
      <c r="H806" s="12" t="n">
        <v>1</v>
      </c>
      <c r="I806" s="4" t="s">
        <v>408</v>
      </c>
      <c r="J806" s="4" t="s">
        <v>409</v>
      </c>
      <c r="K806" s="13" t="n">
        <v>650</v>
      </c>
      <c r="L806" s="6" t="n">
        <f aca="false">H806*K806</f>
        <v>650</v>
      </c>
      <c r="M806" s="14" t="s">
        <v>410</v>
      </c>
    </row>
    <row r="807" customFormat="false" ht="15" hidden="false" customHeight="false" outlineLevel="0" collapsed="false">
      <c r="A807" s="4" t="s">
        <v>120</v>
      </c>
      <c r="B807" s="5" t="s">
        <v>125</v>
      </c>
      <c r="C807" s="5" t="s">
        <v>126</v>
      </c>
      <c r="D807" s="4" t="s">
        <v>22</v>
      </c>
      <c r="E807" s="4" t="s">
        <v>1349</v>
      </c>
      <c r="F807" s="4" t="s">
        <v>406</v>
      </c>
      <c r="G807" s="4" t="s">
        <v>1350</v>
      </c>
      <c r="H807" s="12" t="n">
        <v>1</v>
      </c>
      <c r="I807" s="4" t="s">
        <v>408</v>
      </c>
      <c r="J807" s="4" t="s">
        <v>409</v>
      </c>
      <c r="K807" s="13" t="n">
        <v>180</v>
      </c>
      <c r="L807" s="6" t="n">
        <f aca="false">H807*K807</f>
        <v>180</v>
      </c>
      <c r="M807" s="14" t="s">
        <v>410</v>
      </c>
    </row>
    <row r="808" customFormat="false" ht="15" hidden="false" customHeight="false" outlineLevel="0" collapsed="false">
      <c r="A808" s="4" t="s">
        <v>120</v>
      </c>
      <c r="B808" s="5" t="s">
        <v>125</v>
      </c>
      <c r="C808" s="5" t="s">
        <v>126</v>
      </c>
      <c r="D808" s="4" t="s">
        <v>22</v>
      </c>
      <c r="E808" s="4" t="s">
        <v>1353</v>
      </c>
      <c r="F808" s="4" t="s">
        <v>406</v>
      </c>
      <c r="G808" s="4" t="s">
        <v>1354</v>
      </c>
      <c r="H808" s="12" t="n">
        <v>1</v>
      </c>
      <c r="I808" s="4" t="s">
        <v>408</v>
      </c>
      <c r="J808" s="4" t="s">
        <v>409</v>
      </c>
      <c r="K808" s="13" t="n">
        <v>120</v>
      </c>
      <c r="L808" s="6" t="n">
        <f aca="false">H808*K808</f>
        <v>120</v>
      </c>
      <c r="M808" s="14" t="s">
        <v>410</v>
      </c>
    </row>
    <row r="809" customFormat="false" ht="15" hidden="false" customHeight="false" outlineLevel="0" collapsed="false">
      <c r="A809" s="4" t="s">
        <v>120</v>
      </c>
      <c r="B809" s="5" t="s">
        <v>125</v>
      </c>
      <c r="C809" s="5" t="s">
        <v>126</v>
      </c>
      <c r="D809" s="4" t="s">
        <v>22</v>
      </c>
      <c r="E809" s="4" t="s">
        <v>1504</v>
      </c>
      <c r="F809" s="4" t="s">
        <v>406</v>
      </c>
      <c r="G809" s="4" t="s">
        <v>1505</v>
      </c>
      <c r="H809" s="12" t="n">
        <v>1</v>
      </c>
      <c r="I809" s="4" t="s">
        <v>408</v>
      </c>
      <c r="J809" s="4" t="s">
        <v>409</v>
      </c>
      <c r="K809" s="13" t="n">
        <v>1800</v>
      </c>
      <c r="L809" s="6" t="n">
        <f aca="false">H809*K809</f>
        <v>1800</v>
      </c>
      <c r="M809" s="4" t="s">
        <v>371</v>
      </c>
    </row>
    <row r="810" customFormat="false" ht="15" hidden="false" customHeight="false" outlineLevel="0" collapsed="false">
      <c r="A810" s="4" t="s">
        <v>120</v>
      </c>
      <c r="B810" s="5" t="s">
        <v>125</v>
      </c>
      <c r="C810" s="5" t="s">
        <v>126</v>
      </c>
      <c r="D810" s="4" t="s">
        <v>22</v>
      </c>
      <c r="E810" s="4" t="s">
        <v>1506</v>
      </c>
      <c r="F810" s="4" t="s">
        <v>406</v>
      </c>
      <c r="G810" s="4" t="s">
        <v>1507</v>
      </c>
      <c r="H810" s="12" t="n">
        <v>1</v>
      </c>
      <c r="I810" s="4" t="s">
        <v>408</v>
      </c>
      <c r="J810" s="4" t="s">
        <v>409</v>
      </c>
      <c r="K810" s="13" t="n">
        <v>8500</v>
      </c>
      <c r="L810" s="6" t="n">
        <f aca="false">H810*K810</f>
        <v>8500</v>
      </c>
      <c r="M810" s="4" t="s">
        <v>371</v>
      </c>
    </row>
    <row r="811" customFormat="false" ht="15" hidden="false" customHeight="false" outlineLevel="0" collapsed="false">
      <c r="A811" s="4" t="s">
        <v>120</v>
      </c>
      <c r="B811" s="5" t="s">
        <v>125</v>
      </c>
      <c r="C811" s="5" t="s">
        <v>126</v>
      </c>
      <c r="D811" s="4" t="s">
        <v>22</v>
      </c>
      <c r="E811" s="4" t="s">
        <v>1508</v>
      </c>
      <c r="F811" s="4" t="s">
        <v>406</v>
      </c>
      <c r="G811" s="4" t="s">
        <v>1509</v>
      </c>
      <c r="H811" s="12" t="n">
        <v>1</v>
      </c>
      <c r="I811" s="4" t="s">
        <v>408</v>
      </c>
      <c r="J811" s="4" t="s">
        <v>409</v>
      </c>
      <c r="K811" s="13" t="n">
        <v>35000</v>
      </c>
      <c r="L811" s="6" t="n">
        <f aca="false">H811*K811</f>
        <v>35000</v>
      </c>
      <c r="M811" s="14" t="s">
        <v>410</v>
      </c>
    </row>
    <row r="812" customFormat="false" ht="15" hidden="false" customHeight="false" outlineLevel="0" collapsed="false">
      <c r="A812" s="4" t="s">
        <v>120</v>
      </c>
      <c r="B812" s="5" t="s">
        <v>125</v>
      </c>
      <c r="C812" s="5" t="s">
        <v>126</v>
      </c>
      <c r="D812" s="4" t="s">
        <v>22</v>
      </c>
      <c r="E812" s="4" t="s">
        <v>1510</v>
      </c>
      <c r="F812" s="4" t="s">
        <v>406</v>
      </c>
      <c r="G812" s="4" t="s">
        <v>1511</v>
      </c>
      <c r="H812" s="12" t="n">
        <v>1</v>
      </c>
      <c r="I812" s="4" t="s">
        <v>408</v>
      </c>
      <c r="J812" s="4" t="s">
        <v>416</v>
      </c>
      <c r="K812" s="13" t="n">
        <v>850</v>
      </c>
      <c r="L812" s="6" t="n">
        <f aca="false">H812*K812</f>
        <v>850</v>
      </c>
      <c r="M812" s="14" t="s">
        <v>410</v>
      </c>
    </row>
    <row r="813" customFormat="false" ht="15" hidden="false" customHeight="false" outlineLevel="0" collapsed="false">
      <c r="A813" s="4" t="s">
        <v>120</v>
      </c>
      <c r="B813" s="5" t="s">
        <v>125</v>
      </c>
      <c r="C813" s="5" t="s">
        <v>126</v>
      </c>
      <c r="D813" s="4" t="s">
        <v>22</v>
      </c>
      <c r="E813" s="4" t="s">
        <v>1512</v>
      </c>
      <c r="F813" s="4" t="s">
        <v>406</v>
      </c>
      <c r="G813" s="4" t="s">
        <v>1513</v>
      </c>
      <c r="H813" s="12" t="n">
        <v>1</v>
      </c>
      <c r="I813" s="4" t="s">
        <v>408</v>
      </c>
      <c r="J813" s="4" t="s">
        <v>409</v>
      </c>
      <c r="K813" s="13" t="n">
        <v>4500</v>
      </c>
      <c r="L813" s="6" t="n">
        <f aca="false">H813*K813</f>
        <v>4500</v>
      </c>
      <c r="M813" s="14" t="s">
        <v>410</v>
      </c>
    </row>
    <row r="814" customFormat="false" ht="15" hidden="false" customHeight="false" outlineLevel="0" collapsed="false">
      <c r="A814" s="4" t="s">
        <v>120</v>
      </c>
      <c r="B814" s="5" t="s">
        <v>125</v>
      </c>
      <c r="C814" s="5" t="s">
        <v>126</v>
      </c>
      <c r="D814" s="4" t="s">
        <v>22</v>
      </c>
      <c r="E814" s="4" t="s">
        <v>1514</v>
      </c>
      <c r="F814" s="4" t="s">
        <v>406</v>
      </c>
      <c r="G814" s="4" t="s">
        <v>1515</v>
      </c>
      <c r="H814" s="12" t="n">
        <v>1</v>
      </c>
      <c r="I814" s="4" t="s">
        <v>408</v>
      </c>
      <c r="J814" s="4" t="s">
        <v>409</v>
      </c>
      <c r="K814" s="13" t="n">
        <v>4500</v>
      </c>
      <c r="L814" s="6" t="n">
        <f aca="false">H814*K814</f>
        <v>4500</v>
      </c>
      <c r="M814" s="4" t="s">
        <v>371</v>
      </c>
    </row>
    <row r="815" customFormat="false" ht="15" hidden="false" customHeight="false" outlineLevel="0" collapsed="false">
      <c r="A815" s="4" t="s">
        <v>120</v>
      </c>
      <c r="B815" s="5" t="s">
        <v>125</v>
      </c>
      <c r="C815" s="5" t="s">
        <v>126</v>
      </c>
      <c r="D815" s="4" t="s">
        <v>22</v>
      </c>
      <c r="E815" s="4" t="s">
        <v>1357</v>
      </c>
      <c r="F815" s="4" t="s">
        <v>406</v>
      </c>
      <c r="G815" s="4" t="s">
        <v>1358</v>
      </c>
      <c r="H815" s="12" t="n">
        <v>1</v>
      </c>
      <c r="I815" s="4" t="s">
        <v>408</v>
      </c>
      <c r="J815" s="4" t="s">
        <v>409</v>
      </c>
      <c r="K815" s="13" t="n">
        <v>850</v>
      </c>
      <c r="L815" s="6" t="n">
        <f aca="false">H815*K815</f>
        <v>850</v>
      </c>
      <c r="M815" s="14" t="s">
        <v>410</v>
      </c>
    </row>
    <row r="816" customFormat="false" ht="15" hidden="false" customHeight="false" outlineLevel="0" collapsed="false">
      <c r="A816" s="4" t="s">
        <v>120</v>
      </c>
      <c r="B816" s="5" t="s">
        <v>125</v>
      </c>
      <c r="C816" s="5" t="s">
        <v>126</v>
      </c>
      <c r="D816" s="4" t="s">
        <v>22</v>
      </c>
      <c r="E816" s="4" t="s">
        <v>1359</v>
      </c>
      <c r="F816" s="4" t="s">
        <v>406</v>
      </c>
      <c r="G816" s="4" t="s">
        <v>1360</v>
      </c>
      <c r="H816" s="12" t="n">
        <v>1</v>
      </c>
      <c r="I816" s="4" t="s">
        <v>408</v>
      </c>
      <c r="J816" s="4" t="s">
        <v>409</v>
      </c>
      <c r="K816" s="13" t="n">
        <v>1200</v>
      </c>
      <c r="L816" s="6" t="n">
        <f aca="false">H816*K816</f>
        <v>1200</v>
      </c>
      <c r="M816" s="14" t="s">
        <v>410</v>
      </c>
    </row>
    <row r="817" customFormat="false" ht="15" hidden="false" customHeight="false" outlineLevel="0" collapsed="false">
      <c r="A817" s="4" t="s">
        <v>120</v>
      </c>
      <c r="B817" s="5" t="s">
        <v>125</v>
      </c>
      <c r="C817" s="5" t="s">
        <v>126</v>
      </c>
      <c r="D817" s="4" t="s">
        <v>22</v>
      </c>
      <c r="E817" s="4" t="s">
        <v>1516</v>
      </c>
      <c r="F817" s="4" t="s">
        <v>406</v>
      </c>
      <c r="G817" s="4" t="s">
        <v>1517</v>
      </c>
      <c r="H817" s="12" t="n">
        <v>1</v>
      </c>
      <c r="I817" s="4" t="s">
        <v>408</v>
      </c>
      <c r="J817" s="4" t="s">
        <v>409</v>
      </c>
      <c r="K817" s="13" t="n">
        <v>850</v>
      </c>
      <c r="L817" s="6" t="n">
        <f aca="false">H817*K817</f>
        <v>850</v>
      </c>
      <c r="M817" s="14" t="s">
        <v>410</v>
      </c>
    </row>
    <row r="818" customFormat="false" ht="15" hidden="false" customHeight="false" outlineLevel="0" collapsed="false">
      <c r="A818" s="4" t="s">
        <v>120</v>
      </c>
      <c r="B818" s="5" t="s">
        <v>125</v>
      </c>
      <c r="C818" s="5" t="s">
        <v>126</v>
      </c>
      <c r="D818" s="4" t="s">
        <v>22</v>
      </c>
      <c r="E818" s="4" t="s">
        <v>1363</v>
      </c>
      <c r="F818" s="4" t="s">
        <v>406</v>
      </c>
      <c r="G818" s="4" t="s">
        <v>1364</v>
      </c>
      <c r="H818" s="12" t="n">
        <v>1</v>
      </c>
      <c r="I818" s="4" t="s">
        <v>408</v>
      </c>
      <c r="J818" s="4" t="s">
        <v>409</v>
      </c>
      <c r="K818" s="13" t="n">
        <v>1200</v>
      </c>
      <c r="L818" s="6" t="n">
        <f aca="false">H818*K818</f>
        <v>1200</v>
      </c>
      <c r="M818" s="14" t="s">
        <v>410</v>
      </c>
    </row>
    <row r="819" customFormat="false" ht="15" hidden="false" customHeight="false" outlineLevel="0" collapsed="false">
      <c r="A819" s="4" t="s">
        <v>120</v>
      </c>
      <c r="B819" s="5" t="s">
        <v>125</v>
      </c>
      <c r="C819" s="5" t="s">
        <v>126</v>
      </c>
      <c r="D819" s="4" t="s">
        <v>22</v>
      </c>
      <c r="E819" s="4" t="s">
        <v>1365</v>
      </c>
      <c r="F819" s="4" t="s">
        <v>406</v>
      </c>
      <c r="G819" s="4" t="s">
        <v>1366</v>
      </c>
      <c r="H819" s="12" t="n">
        <v>1</v>
      </c>
      <c r="I819" s="4" t="s">
        <v>408</v>
      </c>
      <c r="J819" s="4" t="s">
        <v>409</v>
      </c>
      <c r="K819" s="13" t="n">
        <v>18000</v>
      </c>
      <c r="L819" s="6" t="n">
        <f aca="false">H819*K819</f>
        <v>18000</v>
      </c>
      <c r="M819" s="14" t="s">
        <v>410</v>
      </c>
    </row>
    <row r="820" customFormat="false" ht="15" hidden="false" customHeight="false" outlineLevel="0" collapsed="false">
      <c r="A820" s="4" t="s">
        <v>120</v>
      </c>
      <c r="B820" s="5" t="s">
        <v>125</v>
      </c>
      <c r="C820" s="5" t="s">
        <v>126</v>
      </c>
      <c r="D820" s="4" t="s">
        <v>22</v>
      </c>
      <c r="E820" s="4" t="s">
        <v>1518</v>
      </c>
      <c r="F820" s="4" t="s">
        <v>406</v>
      </c>
      <c r="G820" s="4" t="s">
        <v>1519</v>
      </c>
      <c r="H820" s="12" t="n">
        <v>1</v>
      </c>
      <c r="I820" s="4" t="s">
        <v>408</v>
      </c>
      <c r="J820" s="4" t="s">
        <v>409</v>
      </c>
      <c r="K820" s="13" t="n">
        <v>4500</v>
      </c>
      <c r="L820" s="6" t="n">
        <f aca="false">H820*K820</f>
        <v>4500</v>
      </c>
      <c r="M820" s="14" t="s">
        <v>410</v>
      </c>
    </row>
    <row r="821" customFormat="false" ht="15" hidden="false" customHeight="false" outlineLevel="0" collapsed="false">
      <c r="A821" s="4" t="s">
        <v>120</v>
      </c>
      <c r="B821" s="5" t="s">
        <v>125</v>
      </c>
      <c r="C821" s="5" t="s">
        <v>126</v>
      </c>
      <c r="D821" s="4" t="s">
        <v>22</v>
      </c>
      <c r="E821" s="4" t="s">
        <v>1373</v>
      </c>
      <c r="F821" s="4" t="s">
        <v>406</v>
      </c>
      <c r="G821" s="4" t="s">
        <v>1374</v>
      </c>
      <c r="H821" s="12" t="n">
        <v>1</v>
      </c>
      <c r="I821" s="4" t="s">
        <v>408</v>
      </c>
      <c r="J821" s="4" t="s">
        <v>409</v>
      </c>
      <c r="K821" s="13" t="n">
        <v>1800</v>
      </c>
      <c r="L821" s="6" t="n">
        <f aca="false">H821*K821</f>
        <v>1800</v>
      </c>
      <c r="M821" s="14" t="s">
        <v>410</v>
      </c>
    </row>
    <row r="822" customFormat="false" ht="15" hidden="false" customHeight="false" outlineLevel="0" collapsed="false">
      <c r="A822" s="4" t="s">
        <v>120</v>
      </c>
      <c r="B822" s="5" t="s">
        <v>125</v>
      </c>
      <c r="C822" s="5" t="s">
        <v>126</v>
      </c>
      <c r="D822" s="4" t="s">
        <v>22</v>
      </c>
      <c r="E822" s="4" t="s">
        <v>1375</v>
      </c>
      <c r="F822" s="4" t="s">
        <v>406</v>
      </c>
      <c r="G822" s="4" t="s">
        <v>1376</v>
      </c>
      <c r="H822" s="12" t="n">
        <v>1</v>
      </c>
      <c r="I822" s="4" t="s">
        <v>408</v>
      </c>
      <c r="J822" s="4" t="s">
        <v>409</v>
      </c>
      <c r="K822" s="13" t="n">
        <v>4500</v>
      </c>
      <c r="L822" s="6" t="n">
        <f aca="false">H822*K822</f>
        <v>4500</v>
      </c>
      <c r="M822" s="14" t="s">
        <v>410</v>
      </c>
    </row>
    <row r="823" customFormat="false" ht="15" hidden="false" customHeight="false" outlineLevel="0" collapsed="false">
      <c r="A823" s="4" t="s">
        <v>120</v>
      </c>
      <c r="B823" s="5" t="s">
        <v>125</v>
      </c>
      <c r="C823" s="5" t="s">
        <v>126</v>
      </c>
      <c r="D823" s="4" t="s">
        <v>22</v>
      </c>
      <c r="E823" s="4" t="s">
        <v>1385</v>
      </c>
      <c r="F823" s="4" t="s">
        <v>406</v>
      </c>
      <c r="G823" s="4" t="s">
        <v>1386</v>
      </c>
      <c r="H823" s="12" t="n">
        <v>1</v>
      </c>
      <c r="I823" s="4" t="s">
        <v>408</v>
      </c>
      <c r="J823" s="4" t="s">
        <v>409</v>
      </c>
      <c r="K823" s="13" t="n">
        <v>8500</v>
      </c>
      <c r="L823" s="6" t="n">
        <f aca="false">H823*K823</f>
        <v>8500</v>
      </c>
      <c r="M823" s="14" t="s">
        <v>410</v>
      </c>
    </row>
    <row r="824" customFormat="false" ht="15" hidden="false" customHeight="false" outlineLevel="0" collapsed="false">
      <c r="A824" s="4" t="s">
        <v>120</v>
      </c>
      <c r="B824" s="5" t="s">
        <v>125</v>
      </c>
      <c r="C824" s="5" t="s">
        <v>126</v>
      </c>
      <c r="D824" s="4" t="s">
        <v>22</v>
      </c>
      <c r="E824" s="4" t="s">
        <v>1387</v>
      </c>
      <c r="F824" s="4" t="s">
        <v>406</v>
      </c>
      <c r="G824" s="4" t="s">
        <v>1388</v>
      </c>
      <c r="H824" s="12" t="n">
        <v>1</v>
      </c>
      <c r="I824" s="4" t="s">
        <v>408</v>
      </c>
      <c r="J824" s="4" t="s">
        <v>409</v>
      </c>
      <c r="K824" s="13" t="n">
        <v>1800</v>
      </c>
      <c r="L824" s="6" t="n">
        <f aca="false">H824*K824</f>
        <v>1800</v>
      </c>
      <c r="M824" s="14" t="s">
        <v>410</v>
      </c>
    </row>
    <row r="825" customFormat="false" ht="15" hidden="false" customHeight="false" outlineLevel="0" collapsed="false">
      <c r="A825" s="4" t="s">
        <v>120</v>
      </c>
      <c r="B825" s="5" t="s">
        <v>125</v>
      </c>
      <c r="C825" s="5" t="s">
        <v>126</v>
      </c>
      <c r="D825" s="4" t="s">
        <v>22</v>
      </c>
      <c r="E825" s="4" t="s">
        <v>1389</v>
      </c>
      <c r="F825" s="4" t="s">
        <v>406</v>
      </c>
      <c r="G825" s="4" t="s">
        <v>1390</v>
      </c>
      <c r="H825" s="12" t="n">
        <v>1</v>
      </c>
      <c r="I825" s="4" t="s">
        <v>408</v>
      </c>
      <c r="J825" s="4" t="s">
        <v>409</v>
      </c>
      <c r="K825" s="13" t="n">
        <v>350</v>
      </c>
      <c r="L825" s="6" t="n">
        <f aca="false">H825*K825</f>
        <v>350</v>
      </c>
      <c r="M825" s="14" t="s">
        <v>410</v>
      </c>
    </row>
    <row r="826" customFormat="false" ht="15" hidden="false" customHeight="false" outlineLevel="0" collapsed="false">
      <c r="A826" s="4" t="s">
        <v>120</v>
      </c>
      <c r="B826" s="5" t="s">
        <v>125</v>
      </c>
      <c r="C826" s="5" t="s">
        <v>126</v>
      </c>
      <c r="D826" s="4" t="s">
        <v>22</v>
      </c>
      <c r="E826" s="4" t="s">
        <v>1391</v>
      </c>
      <c r="F826" s="4" t="s">
        <v>470</v>
      </c>
      <c r="G826" s="4" t="s">
        <v>1392</v>
      </c>
      <c r="H826" s="12" t="n">
        <v>1</v>
      </c>
      <c r="I826" s="4" t="s">
        <v>408</v>
      </c>
      <c r="J826" s="4" t="s">
        <v>409</v>
      </c>
      <c r="K826" s="13" t="n">
        <v>45000</v>
      </c>
      <c r="L826" s="6" t="n">
        <f aca="false">H826*K826</f>
        <v>45000</v>
      </c>
      <c r="M826" s="14" t="s">
        <v>410</v>
      </c>
    </row>
    <row r="827" customFormat="false" ht="15" hidden="false" customHeight="false" outlineLevel="0" collapsed="false">
      <c r="A827" s="4" t="s">
        <v>120</v>
      </c>
      <c r="B827" s="5" t="s">
        <v>125</v>
      </c>
      <c r="C827" s="5" t="s">
        <v>126</v>
      </c>
      <c r="D827" s="4" t="s">
        <v>22</v>
      </c>
      <c r="E827" s="4" t="s">
        <v>1520</v>
      </c>
      <c r="F827" s="4" t="s">
        <v>470</v>
      </c>
      <c r="G827" s="4" t="s">
        <v>1521</v>
      </c>
      <c r="H827" s="12" t="n">
        <v>1</v>
      </c>
      <c r="I827" s="4" t="s">
        <v>408</v>
      </c>
      <c r="J827" s="4" t="s">
        <v>409</v>
      </c>
      <c r="K827" s="13" t="n">
        <v>4500</v>
      </c>
      <c r="L827" s="6" t="n">
        <f aca="false">H827*K827</f>
        <v>4500</v>
      </c>
      <c r="M827" s="4" t="s">
        <v>371</v>
      </c>
    </row>
    <row r="828" customFormat="false" ht="15" hidden="false" customHeight="false" outlineLevel="0" collapsed="false">
      <c r="A828" s="4" t="s">
        <v>120</v>
      </c>
      <c r="B828" s="5" t="s">
        <v>125</v>
      </c>
      <c r="C828" s="5" t="s">
        <v>126</v>
      </c>
      <c r="D828" s="4" t="s">
        <v>22</v>
      </c>
      <c r="E828" s="4" t="s">
        <v>1522</v>
      </c>
      <c r="F828" s="4" t="s">
        <v>470</v>
      </c>
      <c r="G828" s="4" t="s">
        <v>1523</v>
      </c>
      <c r="H828" s="12" t="n">
        <v>1</v>
      </c>
      <c r="I828" s="4" t="s">
        <v>408</v>
      </c>
      <c r="J828" s="4" t="s">
        <v>409</v>
      </c>
      <c r="K828" s="13" t="n">
        <v>8500</v>
      </c>
      <c r="L828" s="6" t="n">
        <f aca="false">H828*K828</f>
        <v>8500</v>
      </c>
      <c r="M828" s="4" t="s">
        <v>371</v>
      </c>
    </row>
    <row r="829" customFormat="false" ht="15" hidden="false" customHeight="false" outlineLevel="0" collapsed="false">
      <c r="A829" s="4" t="s">
        <v>120</v>
      </c>
      <c r="B829" s="5" t="s">
        <v>125</v>
      </c>
      <c r="C829" s="5" t="s">
        <v>126</v>
      </c>
      <c r="D829" s="4" t="s">
        <v>22</v>
      </c>
      <c r="E829" s="4" t="s">
        <v>1401</v>
      </c>
      <c r="F829" s="4" t="s">
        <v>470</v>
      </c>
      <c r="G829" s="4" t="s">
        <v>1402</v>
      </c>
      <c r="H829" s="12" t="n">
        <v>1</v>
      </c>
      <c r="I829" s="4" t="s">
        <v>408</v>
      </c>
      <c r="J829" s="4" t="s">
        <v>409</v>
      </c>
      <c r="K829" s="13" t="n">
        <v>8500</v>
      </c>
      <c r="L829" s="6" t="n">
        <f aca="false">H829*K829</f>
        <v>8500</v>
      </c>
      <c r="M829" s="4" t="s">
        <v>371</v>
      </c>
    </row>
    <row r="830" customFormat="false" ht="15" hidden="false" customHeight="false" outlineLevel="0" collapsed="false">
      <c r="A830" s="4" t="s">
        <v>120</v>
      </c>
      <c r="B830" s="5" t="s">
        <v>125</v>
      </c>
      <c r="C830" s="5" t="s">
        <v>126</v>
      </c>
      <c r="D830" s="4" t="s">
        <v>22</v>
      </c>
      <c r="E830" s="4" t="s">
        <v>1403</v>
      </c>
      <c r="F830" s="4" t="s">
        <v>470</v>
      </c>
      <c r="G830" s="4" t="s">
        <v>1404</v>
      </c>
      <c r="H830" s="12" t="n">
        <v>5</v>
      </c>
      <c r="I830" s="4" t="s">
        <v>474</v>
      </c>
      <c r="J830" s="4" t="s">
        <v>409</v>
      </c>
      <c r="K830" s="13" t="n">
        <v>8500</v>
      </c>
      <c r="L830" s="6" t="n">
        <f aca="false">H830*K830</f>
        <v>42500</v>
      </c>
      <c r="M830" s="4" t="s">
        <v>371</v>
      </c>
    </row>
    <row r="831" customFormat="false" ht="15" hidden="false" customHeight="false" outlineLevel="0" collapsed="false">
      <c r="A831" s="4" t="s">
        <v>120</v>
      </c>
      <c r="B831" s="5" t="s">
        <v>125</v>
      </c>
      <c r="C831" s="5" t="s">
        <v>126</v>
      </c>
      <c r="D831" s="4" t="s">
        <v>22</v>
      </c>
      <c r="E831" s="4" t="s">
        <v>1405</v>
      </c>
      <c r="F831" s="4" t="s">
        <v>470</v>
      </c>
      <c r="G831" s="4" t="s">
        <v>1406</v>
      </c>
      <c r="H831" s="12" t="n">
        <v>1</v>
      </c>
      <c r="I831" s="4" t="s">
        <v>408</v>
      </c>
      <c r="J831" s="4" t="s">
        <v>409</v>
      </c>
      <c r="K831" s="13" t="n">
        <v>1800</v>
      </c>
      <c r="L831" s="6" t="n">
        <f aca="false">H831*K831</f>
        <v>1800</v>
      </c>
      <c r="M831" s="4" t="s">
        <v>371</v>
      </c>
    </row>
    <row r="832" customFormat="false" ht="15" hidden="false" customHeight="false" outlineLevel="0" collapsed="false">
      <c r="A832" s="4" t="s">
        <v>120</v>
      </c>
      <c r="B832" s="5" t="s">
        <v>125</v>
      </c>
      <c r="C832" s="5" t="s">
        <v>126</v>
      </c>
      <c r="D832" s="4" t="s">
        <v>22</v>
      </c>
      <c r="E832" s="4" t="s">
        <v>1381</v>
      </c>
      <c r="F832" s="4" t="s">
        <v>470</v>
      </c>
      <c r="G832" s="4" t="s">
        <v>1382</v>
      </c>
      <c r="H832" s="12" t="n">
        <v>1</v>
      </c>
      <c r="I832" s="4" t="s">
        <v>408</v>
      </c>
      <c r="J832" s="4" t="s">
        <v>409</v>
      </c>
      <c r="K832" s="13" t="n">
        <v>18000</v>
      </c>
      <c r="L832" s="6" t="n">
        <f aca="false">H832*K832</f>
        <v>18000</v>
      </c>
      <c r="M832" s="14" t="s">
        <v>410</v>
      </c>
    </row>
    <row r="833" customFormat="false" ht="15" hidden="false" customHeight="false" outlineLevel="0" collapsed="false">
      <c r="A833" s="4" t="s">
        <v>120</v>
      </c>
      <c r="B833" s="5" t="s">
        <v>125</v>
      </c>
      <c r="C833" s="5" t="s">
        <v>126</v>
      </c>
      <c r="D833" s="4" t="s">
        <v>22</v>
      </c>
      <c r="E833" s="4" t="s">
        <v>1383</v>
      </c>
      <c r="F833" s="4" t="s">
        <v>470</v>
      </c>
      <c r="G833" s="4" t="s">
        <v>1384</v>
      </c>
      <c r="H833" s="12" t="n">
        <v>1</v>
      </c>
      <c r="I833" s="4" t="s">
        <v>408</v>
      </c>
      <c r="J833" s="4" t="s">
        <v>409</v>
      </c>
      <c r="K833" s="13" t="n">
        <v>25000</v>
      </c>
      <c r="L833" s="6" t="n">
        <f aca="false">H833*K833</f>
        <v>25000</v>
      </c>
      <c r="M833" s="14" t="s">
        <v>410</v>
      </c>
    </row>
    <row r="834" customFormat="false" ht="15" hidden="false" customHeight="false" outlineLevel="0" collapsed="false">
      <c r="A834" s="4" t="s">
        <v>120</v>
      </c>
      <c r="B834" s="5" t="s">
        <v>125</v>
      </c>
      <c r="C834" s="5" t="s">
        <v>126</v>
      </c>
      <c r="D834" s="4" t="s">
        <v>22</v>
      </c>
      <c r="E834" s="4" t="s">
        <v>1413</v>
      </c>
      <c r="F834" s="4" t="s">
        <v>470</v>
      </c>
      <c r="G834" s="4" t="s">
        <v>1414</v>
      </c>
      <c r="H834" s="12" t="n">
        <v>1</v>
      </c>
      <c r="I834" s="4" t="s">
        <v>408</v>
      </c>
      <c r="J834" s="4" t="s">
        <v>409</v>
      </c>
      <c r="K834" s="13" t="n">
        <v>1200</v>
      </c>
      <c r="L834" s="6" t="n">
        <f aca="false">H834*K834</f>
        <v>1200</v>
      </c>
      <c r="M834" s="4" t="s">
        <v>371</v>
      </c>
    </row>
    <row r="835" customFormat="false" ht="15" hidden="false" customHeight="false" outlineLevel="0" collapsed="false">
      <c r="A835" s="4" t="s">
        <v>120</v>
      </c>
      <c r="B835" s="5" t="s">
        <v>125</v>
      </c>
      <c r="C835" s="5" t="s">
        <v>126</v>
      </c>
      <c r="D835" s="4" t="s">
        <v>22</v>
      </c>
      <c r="E835" s="4" t="s">
        <v>1524</v>
      </c>
      <c r="F835" s="4" t="s">
        <v>470</v>
      </c>
      <c r="G835" s="4" t="s">
        <v>1525</v>
      </c>
      <c r="H835" s="12" t="n">
        <v>1</v>
      </c>
      <c r="I835" s="4" t="s">
        <v>408</v>
      </c>
      <c r="J835" s="4" t="s">
        <v>416</v>
      </c>
      <c r="K835" s="13" t="n">
        <v>850</v>
      </c>
      <c r="L835" s="6" t="n">
        <f aca="false">H835*K835</f>
        <v>850</v>
      </c>
      <c r="M835" s="4" t="s">
        <v>371</v>
      </c>
    </row>
    <row r="836" customFormat="false" ht="15" hidden="false" customHeight="false" outlineLevel="0" collapsed="false">
      <c r="A836" s="4" t="s">
        <v>120</v>
      </c>
      <c r="B836" s="5" t="s">
        <v>125</v>
      </c>
      <c r="C836" s="5" t="s">
        <v>126</v>
      </c>
      <c r="D836" s="4" t="s">
        <v>22</v>
      </c>
      <c r="E836" s="4" t="s">
        <v>1454</v>
      </c>
      <c r="F836" s="4" t="s">
        <v>470</v>
      </c>
      <c r="G836" s="4" t="s">
        <v>1455</v>
      </c>
      <c r="H836" s="12" t="n">
        <v>1</v>
      </c>
      <c r="I836" s="4" t="s">
        <v>408</v>
      </c>
      <c r="J836" s="4" t="s">
        <v>416</v>
      </c>
      <c r="K836" s="13" t="n">
        <v>850</v>
      </c>
      <c r="L836" s="6" t="n">
        <f aca="false">H836*K836</f>
        <v>850</v>
      </c>
      <c r="M836" s="4" t="s">
        <v>371</v>
      </c>
    </row>
    <row r="837" customFormat="false" ht="15" hidden="false" customHeight="false" outlineLevel="0" collapsed="false">
      <c r="A837" s="4" t="s">
        <v>120</v>
      </c>
      <c r="B837" s="5" t="s">
        <v>125</v>
      </c>
      <c r="C837" s="5" t="s">
        <v>126</v>
      </c>
      <c r="D837" s="4" t="s">
        <v>22</v>
      </c>
      <c r="E837" s="4" t="s">
        <v>1417</v>
      </c>
      <c r="F837" s="4" t="s">
        <v>470</v>
      </c>
      <c r="G837" s="4" t="s">
        <v>1418</v>
      </c>
      <c r="H837" s="12" t="n">
        <v>1</v>
      </c>
      <c r="I837" s="4" t="s">
        <v>408</v>
      </c>
      <c r="J837" s="4" t="s">
        <v>416</v>
      </c>
      <c r="K837" s="13" t="n">
        <v>2500</v>
      </c>
      <c r="L837" s="6" t="n">
        <f aca="false">H837*K837</f>
        <v>2500</v>
      </c>
      <c r="M837" s="4" t="s">
        <v>371</v>
      </c>
    </row>
    <row r="838" customFormat="false" ht="15" hidden="false" customHeight="false" outlineLevel="0" collapsed="false">
      <c r="A838" s="4" t="s">
        <v>120</v>
      </c>
      <c r="B838" s="5" t="s">
        <v>125</v>
      </c>
      <c r="C838" s="5" t="s">
        <v>126</v>
      </c>
      <c r="D838" s="4" t="s">
        <v>22</v>
      </c>
      <c r="E838" s="4" t="s">
        <v>1458</v>
      </c>
      <c r="F838" s="4" t="s">
        <v>470</v>
      </c>
      <c r="G838" s="4" t="s">
        <v>1459</v>
      </c>
      <c r="H838" s="12" t="n">
        <v>1</v>
      </c>
      <c r="I838" s="4" t="s">
        <v>408</v>
      </c>
      <c r="J838" s="4" t="s">
        <v>416</v>
      </c>
      <c r="K838" s="13" t="n">
        <v>8500</v>
      </c>
      <c r="L838" s="6" t="n">
        <f aca="false">H838*K838</f>
        <v>8500</v>
      </c>
      <c r="M838" s="4" t="s">
        <v>371</v>
      </c>
    </row>
    <row r="839" customFormat="false" ht="15" hidden="false" customHeight="false" outlineLevel="0" collapsed="false">
      <c r="A839" s="4" t="s">
        <v>120</v>
      </c>
      <c r="B839" s="5" t="s">
        <v>125</v>
      </c>
      <c r="C839" s="5" t="s">
        <v>126</v>
      </c>
      <c r="D839" s="4" t="s">
        <v>22</v>
      </c>
      <c r="E839" s="4" t="s">
        <v>1423</v>
      </c>
      <c r="F839" s="4" t="s">
        <v>470</v>
      </c>
      <c r="G839" s="4" t="s">
        <v>1424</v>
      </c>
      <c r="H839" s="12" t="n">
        <v>1</v>
      </c>
      <c r="I839" s="4" t="s">
        <v>408</v>
      </c>
      <c r="J839" s="4" t="s">
        <v>409</v>
      </c>
      <c r="K839" s="13" t="n">
        <v>3500</v>
      </c>
      <c r="L839" s="6" t="n">
        <f aca="false">H839*K839</f>
        <v>3500</v>
      </c>
      <c r="M839" s="4" t="s">
        <v>371</v>
      </c>
    </row>
    <row r="840" customFormat="false" ht="15" hidden="false" customHeight="false" outlineLevel="0" collapsed="false">
      <c r="A840" s="4" t="s">
        <v>120</v>
      </c>
      <c r="B840" s="5" t="s">
        <v>125</v>
      </c>
      <c r="C840" s="5" t="s">
        <v>126</v>
      </c>
      <c r="D840" s="4" t="s">
        <v>22</v>
      </c>
      <c r="E840" s="4" t="s">
        <v>1526</v>
      </c>
      <c r="F840" s="4" t="s">
        <v>488</v>
      </c>
      <c r="G840" s="4" t="s">
        <v>1527</v>
      </c>
      <c r="H840" s="12" t="n">
        <v>1</v>
      </c>
      <c r="I840" s="4" t="s">
        <v>408</v>
      </c>
      <c r="J840" s="4" t="s">
        <v>807</v>
      </c>
      <c r="K840" s="13" t="n">
        <v>120</v>
      </c>
      <c r="L840" s="6" t="n">
        <f aca="false">H840*K840</f>
        <v>120</v>
      </c>
      <c r="M840" s="4" t="s">
        <v>371</v>
      </c>
    </row>
    <row r="841" customFormat="false" ht="15" hidden="false" customHeight="false" outlineLevel="0" collapsed="false">
      <c r="A841" s="4" t="s">
        <v>120</v>
      </c>
      <c r="B841" s="5" t="s">
        <v>125</v>
      </c>
      <c r="C841" s="5" t="s">
        <v>126</v>
      </c>
      <c r="D841" s="4" t="s">
        <v>22</v>
      </c>
      <c r="E841" s="4" t="s">
        <v>1528</v>
      </c>
      <c r="F841" s="4" t="s">
        <v>488</v>
      </c>
      <c r="G841" s="4" t="s">
        <v>1529</v>
      </c>
      <c r="H841" s="12" t="n">
        <v>1</v>
      </c>
      <c r="I841" s="4" t="s">
        <v>408</v>
      </c>
      <c r="J841" s="4" t="s">
        <v>807</v>
      </c>
      <c r="K841" s="13" t="n">
        <v>120</v>
      </c>
      <c r="L841" s="6" t="n">
        <f aca="false">H841*K841</f>
        <v>120</v>
      </c>
      <c r="M841" s="4" t="s">
        <v>371</v>
      </c>
    </row>
    <row r="842" customFormat="false" ht="15" hidden="false" customHeight="false" outlineLevel="0" collapsed="false">
      <c r="A842" s="4" t="s">
        <v>120</v>
      </c>
      <c r="B842" s="5" t="s">
        <v>125</v>
      </c>
      <c r="C842" s="5" t="s">
        <v>126</v>
      </c>
      <c r="D842" s="4" t="s">
        <v>22</v>
      </c>
      <c r="E842" s="4" t="s">
        <v>1530</v>
      </c>
      <c r="F842" s="4" t="s">
        <v>488</v>
      </c>
      <c r="G842" s="4" t="s">
        <v>1531</v>
      </c>
      <c r="H842" s="12" t="n">
        <v>1</v>
      </c>
      <c r="I842" s="4" t="s">
        <v>408</v>
      </c>
      <c r="J842" s="4" t="s">
        <v>409</v>
      </c>
      <c r="K842" s="13" t="n">
        <v>180</v>
      </c>
      <c r="L842" s="6" t="n">
        <f aca="false">H842*K842</f>
        <v>180</v>
      </c>
      <c r="M842" s="14" t="s">
        <v>410</v>
      </c>
    </row>
    <row r="843" customFormat="false" ht="15" hidden="false" customHeight="false" outlineLevel="0" collapsed="false">
      <c r="A843" s="4" t="s">
        <v>120</v>
      </c>
      <c r="B843" s="5" t="s">
        <v>125</v>
      </c>
      <c r="C843" s="5" t="s">
        <v>126</v>
      </c>
      <c r="D843" s="4" t="s">
        <v>22</v>
      </c>
      <c r="E843" s="4" t="s">
        <v>1532</v>
      </c>
      <c r="F843" s="4" t="s">
        <v>488</v>
      </c>
      <c r="G843" s="4" t="s">
        <v>1533</v>
      </c>
      <c r="H843" s="12" t="n">
        <v>1</v>
      </c>
      <c r="I843" s="4" t="s">
        <v>408</v>
      </c>
      <c r="J843" s="4" t="s">
        <v>506</v>
      </c>
      <c r="K843" s="13" t="n">
        <v>100</v>
      </c>
      <c r="L843" s="6" t="n">
        <f aca="false">H843*K843</f>
        <v>100</v>
      </c>
      <c r="M843" s="4" t="s">
        <v>371</v>
      </c>
    </row>
    <row r="844" customFormat="false" ht="15" hidden="false" customHeight="false" outlineLevel="0" collapsed="false">
      <c r="A844" s="4" t="s">
        <v>120</v>
      </c>
      <c r="B844" s="5" t="s">
        <v>125</v>
      </c>
      <c r="C844" s="5" t="s">
        <v>126</v>
      </c>
      <c r="D844" s="4" t="s">
        <v>22</v>
      </c>
      <c r="E844" s="4" t="s">
        <v>1534</v>
      </c>
      <c r="F844" s="4" t="s">
        <v>488</v>
      </c>
      <c r="G844" s="4" t="s">
        <v>1535</v>
      </c>
      <c r="H844" s="12" t="n">
        <v>1</v>
      </c>
      <c r="I844" s="4" t="s">
        <v>408</v>
      </c>
      <c r="J844" s="4" t="s">
        <v>506</v>
      </c>
      <c r="K844" s="13" t="n">
        <v>120</v>
      </c>
      <c r="L844" s="6" t="n">
        <f aca="false">H844*K844</f>
        <v>120</v>
      </c>
      <c r="M844" s="4" t="s">
        <v>371</v>
      </c>
    </row>
    <row r="845" customFormat="false" ht="15" hidden="false" customHeight="false" outlineLevel="0" collapsed="false">
      <c r="A845" s="4" t="s">
        <v>120</v>
      </c>
      <c r="B845" s="5" t="s">
        <v>125</v>
      </c>
      <c r="C845" s="5" t="s">
        <v>126</v>
      </c>
      <c r="D845" s="4" t="s">
        <v>22</v>
      </c>
      <c r="E845" s="4" t="s">
        <v>1536</v>
      </c>
      <c r="F845" s="4" t="s">
        <v>488</v>
      </c>
      <c r="G845" s="4" t="s">
        <v>1537</v>
      </c>
      <c r="H845" s="12" t="n">
        <v>1</v>
      </c>
      <c r="I845" s="4" t="s">
        <v>408</v>
      </c>
      <c r="J845" s="4" t="s">
        <v>409</v>
      </c>
      <c r="K845" s="13" t="n">
        <v>180</v>
      </c>
      <c r="L845" s="6" t="n">
        <f aca="false">H845*K845</f>
        <v>180</v>
      </c>
      <c r="M845" s="4" t="s">
        <v>371</v>
      </c>
    </row>
    <row r="846" customFormat="false" ht="15" hidden="false" customHeight="false" outlineLevel="0" collapsed="false">
      <c r="A846" s="4" t="s">
        <v>120</v>
      </c>
      <c r="B846" s="5" t="s">
        <v>125</v>
      </c>
      <c r="C846" s="5" t="s">
        <v>126</v>
      </c>
      <c r="D846" s="4" t="s">
        <v>22</v>
      </c>
      <c r="E846" s="4" t="s">
        <v>1538</v>
      </c>
      <c r="F846" s="4" t="s">
        <v>488</v>
      </c>
      <c r="G846" s="4" t="s">
        <v>1539</v>
      </c>
      <c r="H846" s="12" t="n">
        <v>1</v>
      </c>
      <c r="I846" s="4" t="s">
        <v>408</v>
      </c>
      <c r="J846" s="4" t="s">
        <v>506</v>
      </c>
      <c r="K846" s="13" t="n">
        <v>80</v>
      </c>
      <c r="L846" s="6" t="n">
        <f aca="false">H846*K846</f>
        <v>80</v>
      </c>
      <c r="M846" s="4" t="s">
        <v>371</v>
      </c>
    </row>
    <row r="847" customFormat="false" ht="15" hidden="false" customHeight="false" outlineLevel="0" collapsed="false">
      <c r="A847" s="4" t="s">
        <v>120</v>
      </c>
      <c r="B847" s="5" t="s">
        <v>125</v>
      </c>
      <c r="C847" s="5" t="s">
        <v>126</v>
      </c>
      <c r="D847" s="4" t="s">
        <v>22</v>
      </c>
      <c r="E847" s="4" t="s">
        <v>1540</v>
      </c>
      <c r="F847" s="4" t="s">
        <v>488</v>
      </c>
      <c r="G847" s="4" t="s">
        <v>1541</v>
      </c>
      <c r="H847" s="12" t="n">
        <v>1</v>
      </c>
      <c r="I847" s="4" t="s">
        <v>408</v>
      </c>
      <c r="J847" s="4" t="s">
        <v>480</v>
      </c>
      <c r="K847" s="13" t="n">
        <v>180</v>
      </c>
      <c r="L847" s="6" t="n">
        <f aca="false">H847*K847</f>
        <v>180</v>
      </c>
      <c r="M847" s="4" t="s">
        <v>371</v>
      </c>
    </row>
    <row r="848" customFormat="false" ht="15" hidden="false" customHeight="false" outlineLevel="0" collapsed="false">
      <c r="A848" s="4" t="s">
        <v>120</v>
      </c>
      <c r="B848" s="5" t="s">
        <v>125</v>
      </c>
      <c r="C848" s="5" t="s">
        <v>126</v>
      </c>
      <c r="D848" s="4" t="s">
        <v>22</v>
      </c>
      <c r="E848" s="4" t="s">
        <v>1425</v>
      </c>
      <c r="F848" s="4" t="s">
        <v>488</v>
      </c>
      <c r="G848" s="4" t="s">
        <v>1426</v>
      </c>
      <c r="H848" s="12" t="n">
        <v>1</v>
      </c>
      <c r="I848" s="4" t="s">
        <v>408</v>
      </c>
      <c r="J848" s="4" t="s">
        <v>506</v>
      </c>
      <c r="K848" s="13" t="n">
        <v>100</v>
      </c>
      <c r="L848" s="6" t="n">
        <f aca="false">H848*K848</f>
        <v>100</v>
      </c>
      <c r="M848" s="4" t="s">
        <v>371</v>
      </c>
    </row>
    <row r="849" customFormat="false" ht="15" hidden="false" customHeight="false" outlineLevel="0" collapsed="false">
      <c r="A849" s="4" t="s">
        <v>120</v>
      </c>
      <c r="B849" s="5" t="s">
        <v>125</v>
      </c>
      <c r="C849" s="5" t="s">
        <v>126</v>
      </c>
      <c r="D849" s="4" t="s">
        <v>22</v>
      </c>
      <c r="E849" s="4" t="s">
        <v>1427</v>
      </c>
      <c r="F849" s="4" t="s">
        <v>488</v>
      </c>
      <c r="G849" s="4" t="s">
        <v>1428</v>
      </c>
      <c r="H849" s="12" t="n">
        <v>1</v>
      </c>
      <c r="I849" s="4" t="s">
        <v>408</v>
      </c>
      <c r="J849" s="4" t="s">
        <v>480</v>
      </c>
      <c r="K849" s="13" t="n">
        <v>100</v>
      </c>
      <c r="L849" s="6" t="n">
        <f aca="false">H849*K849</f>
        <v>100</v>
      </c>
      <c r="M849" s="4" t="s">
        <v>371</v>
      </c>
    </row>
    <row r="850" customFormat="false" ht="15" hidden="false" customHeight="false" outlineLevel="0" collapsed="false">
      <c r="A850" s="4" t="s">
        <v>120</v>
      </c>
      <c r="B850" s="5" t="s">
        <v>125</v>
      </c>
      <c r="C850" s="5" t="s">
        <v>126</v>
      </c>
      <c r="D850" s="4" t="s">
        <v>22</v>
      </c>
      <c r="E850" s="4" t="s">
        <v>1289</v>
      </c>
      <c r="F850" s="4" t="s">
        <v>488</v>
      </c>
      <c r="G850" s="4" t="s">
        <v>1290</v>
      </c>
      <c r="H850" s="12" t="n">
        <v>1</v>
      </c>
      <c r="I850" s="4" t="s">
        <v>408</v>
      </c>
      <c r="J850" s="4" t="s">
        <v>409</v>
      </c>
      <c r="K850" s="13" t="n">
        <v>180</v>
      </c>
      <c r="L850" s="6" t="n">
        <f aca="false">H850*K850</f>
        <v>180</v>
      </c>
      <c r="M850" s="14" t="s">
        <v>410</v>
      </c>
    </row>
    <row r="851" customFormat="false" ht="15" hidden="false" customHeight="false" outlineLevel="0" collapsed="false">
      <c r="A851" s="4" t="s">
        <v>120</v>
      </c>
      <c r="B851" s="5" t="s">
        <v>125</v>
      </c>
      <c r="C851" s="5" t="s">
        <v>126</v>
      </c>
      <c r="D851" s="4" t="s">
        <v>22</v>
      </c>
      <c r="E851" s="4" t="s">
        <v>1431</v>
      </c>
      <c r="F851" s="4" t="s">
        <v>488</v>
      </c>
      <c r="G851" s="4" t="s">
        <v>1432</v>
      </c>
      <c r="H851" s="12" t="n">
        <v>1</v>
      </c>
      <c r="I851" s="4" t="s">
        <v>408</v>
      </c>
      <c r="J851" s="4" t="s">
        <v>480</v>
      </c>
      <c r="K851" s="13" t="n">
        <v>80</v>
      </c>
      <c r="L851" s="6" t="n">
        <f aca="false">H851*K851</f>
        <v>80</v>
      </c>
      <c r="M851" s="4" t="s">
        <v>371</v>
      </c>
    </row>
    <row r="852" customFormat="false" ht="15" hidden="false" customHeight="false" outlineLevel="0" collapsed="false">
      <c r="A852" s="4" t="s">
        <v>120</v>
      </c>
      <c r="B852" s="5" t="s">
        <v>125</v>
      </c>
      <c r="C852" s="5" t="s">
        <v>126</v>
      </c>
      <c r="D852" s="4" t="s">
        <v>22</v>
      </c>
      <c r="E852" s="4" t="s">
        <v>1433</v>
      </c>
      <c r="F852" s="4" t="s">
        <v>488</v>
      </c>
      <c r="G852" s="4" t="s">
        <v>1434</v>
      </c>
      <c r="H852" s="12" t="n">
        <v>1</v>
      </c>
      <c r="I852" s="4" t="s">
        <v>408</v>
      </c>
      <c r="J852" s="4" t="s">
        <v>480</v>
      </c>
      <c r="K852" s="13" t="n">
        <v>80</v>
      </c>
      <c r="L852" s="6" t="n">
        <f aca="false">H852*K852</f>
        <v>80</v>
      </c>
      <c r="M852" s="4" t="s">
        <v>371</v>
      </c>
    </row>
    <row r="853" customFormat="false" ht="15" hidden="false" customHeight="false" outlineLevel="0" collapsed="false">
      <c r="A853" s="4" t="s">
        <v>120</v>
      </c>
      <c r="B853" s="5" t="s">
        <v>125</v>
      </c>
      <c r="C853" s="5" t="s">
        <v>126</v>
      </c>
      <c r="D853" s="4" t="s">
        <v>22</v>
      </c>
      <c r="E853" s="4" t="s">
        <v>1329</v>
      </c>
      <c r="F853" s="4" t="s">
        <v>488</v>
      </c>
      <c r="G853" s="4" t="s">
        <v>1330</v>
      </c>
      <c r="H853" s="12" t="n">
        <v>1</v>
      </c>
      <c r="I853" s="4" t="s">
        <v>408</v>
      </c>
      <c r="J853" s="4" t="s">
        <v>409</v>
      </c>
      <c r="K853" s="13" t="n">
        <v>150</v>
      </c>
      <c r="L853" s="6" t="n">
        <f aca="false">H853*K853</f>
        <v>150</v>
      </c>
      <c r="M853" s="14" t="s">
        <v>410</v>
      </c>
    </row>
    <row r="854" customFormat="false" ht="15" hidden="false" customHeight="false" outlineLevel="0" collapsed="false">
      <c r="A854" s="4" t="s">
        <v>120</v>
      </c>
      <c r="B854" s="5" t="s">
        <v>125</v>
      </c>
      <c r="C854" s="5" t="s">
        <v>126</v>
      </c>
      <c r="D854" s="4" t="s">
        <v>22</v>
      </c>
      <c r="E854" s="4" t="s">
        <v>1437</v>
      </c>
      <c r="F854" s="4" t="s">
        <v>488</v>
      </c>
      <c r="G854" s="4" t="s">
        <v>1438</v>
      </c>
      <c r="H854" s="12" t="n">
        <v>1</v>
      </c>
      <c r="I854" s="4" t="s">
        <v>408</v>
      </c>
      <c r="J854" s="4" t="s">
        <v>480</v>
      </c>
      <c r="K854" s="13" t="n">
        <v>120</v>
      </c>
      <c r="L854" s="6" t="n">
        <f aca="false">H854*K854</f>
        <v>120</v>
      </c>
      <c r="M854" s="4" t="s">
        <v>371</v>
      </c>
    </row>
    <row r="855" customFormat="false" ht="15" hidden="false" customHeight="false" outlineLevel="0" collapsed="false">
      <c r="A855" s="4" t="s">
        <v>120</v>
      </c>
      <c r="B855" s="5" t="s">
        <v>125</v>
      </c>
      <c r="C855" s="5" t="s">
        <v>126</v>
      </c>
      <c r="D855" s="4" t="s">
        <v>22</v>
      </c>
      <c r="E855" s="4" t="s">
        <v>1439</v>
      </c>
      <c r="F855" s="4" t="s">
        <v>488</v>
      </c>
      <c r="G855" s="4" t="s">
        <v>1440</v>
      </c>
      <c r="H855" s="12" t="n">
        <v>1</v>
      </c>
      <c r="I855" s="4" t="s">
        <v>408</v>
      </c>
      <c r="J855" s="4" t="s">
        <v>409</v>
      </c>
      <c r="K855" s="13" t="n">
        <v>120</v>
      </c>
      <c r="L855" s="6" t="n">
        <f aca="false">H855*K855</f>
        <v>120</v>
      </c>
      <c r="M855" s="14" t="s">
        <v>410</v>
      </c>
    </row>
    <row r="856" customFormat="false" ht="15" hidden="false" customHeight="false" outlineLevel="0" collapsed="false">
      <c r="A856" s="4" t="s">
        <v>120</v>
      </c>
      <c r="B856" s="5" t="s">
        <v>125</v>
      </c>
      <c r="C856" s="5" t="s">
        <v>126</v>
      </c>
      <c r="D856" s="4" t="s">
        <v>22</v>
      </c>
      <c r="E856" s="4" t="s">
        <v>1441</v>
      </c>
      <c r="F856" s="4" t="s">
        <v>488</v>
      </c>
      <c r="G856" s="4" t="s">
        <v>1442</v>
      </c>
      <c r="H856" s="12" t="n">
        <v>1</v>
      </c>
      <c r="I856" s="4" t="s">
        <v>408</v>
      </c>
      <c r="J856" s="4" t="s">
        <v>409</v>
      </c>
      <c r="K856" s="13" t="n">
        <v>15</v>
      </c>
      <c r="L856" s="6" t="n">
        <f aca="false">H856*K856</f>
        <v>15</v>
      </c>
      <c r="M856" s="4" t="s">
        <v>371</v>
      </c>
    </row>
    <row r="857" customFormat="false" ht="15" hidden="false" customHeight="false" outlineLevel="0" collapsed="false">
      <c r="A857" s="4" t="s">
        <v>120</v>
      </c>
      <c r="B857" s="5" t="s">
        <v>125</v>
      </c>
      <c r="C857" s="5" t="s">
        <v>126</v>
      </c>
      <c r="D857" s="4" t="s">
        <v>22</v>
      </c>
      <c r="E857" s="4" t="s">
        <v>1443</v>
      </c>
      <c r="F857" s="4" t="s">
        <v>470</v>
      </c>
      <c r="G857" s="4" t="s">
        <v>1444</v>
      </c>
      <c r="H857" s="12" t="n">
        <v>1</v>
      </c>
      <c r="I857" s="4" t="s">
        <v>408</v>
      </c>
      <c r="J857" s="4" t="s">
        <v>409</v>
      </c>
      <c r="K857" s="13" t="n">
        <v>450</v>
      </c>
      <c r="L857" s="6" t="n">
        <f aca="false">H857*K857</f>
        <v>450</v>
      </c>
      <c r="M857" s="4" t="s">
        <v>371</v>
      </c>
    </row>
    <row r="858" customFormat="false" ht="15" hidden="false" customHeight="false" outlineLevel="0" collapsed="false">
      <c r="A858" s="4" t="s">
        <v>120</v>
      </c>
      <c r="B858" s="5" t="s">
        <v>125</v>
      </c>
      <c r="C858" s="5" t="s">
        <v>126</v>
      </c>
      <c r="D858" s="4" t="s">
        <v>22</v>
      </c>
      <c r="E858" s="4" t="s">
        <v>1472</v>
      </c>
      <c r="F858" s="4" t="s">
        <v>470</v>
      </c>
      <c r="G858" s="4" t="s">
        <v>1473</v>
      </c>
      <c r="H858" s="12" t="n">
        <v>1</v>
      </c>
      <c r="I858" s="4" t="s">
        <v>408</v>
      </c>
      <c r="J858" s="4" t="s">
        <v>416</v>
      </c>
      <c r="K858" s="13" t="n">
        <v>350</v>
      </c>
      <c r="L858" s="6" t="n">
        <f aca="false">H858*K858</f>
        <v>350</v>
      </c>
      <c r="M858" s="4" t="s">
        <v>371</v>
      </c>
    </row>
    <row r="859" customFormat="false" ht="15" hidden="false" customHeight="false" outlineLevel="0" collapsed="false">
      <c r="A859" s="4" t="s">
        <v>136</v>
      </c>
      <c r="B859" s="5" t="s">
        <v>137</v>
      </c>
      <c r="C859" s="5" t="s">
        <v>138</v>
      </c>
      <c r="D859" s="4" t="s">
        <v>22</v>
      </c>
      <c r="E859" s="4" t="s">
        <v>1542</v>
      </c>
      <c r="F859" s="4" t="s">
        <v>406</v>
      </c>
      <c r="G859" s="4" t="s">
        <v>1543</v>
      </c>
      <c r="H859" s="12" t="n">
        <v>1</v>
      </c>
      <c r="I859" s="4" t="s">
        <v>408</v>
      </c>
      <c r="J859" s="4" t="s">
        <v>409</v>
      </c>
      <c r="K859" s="13" t="n">
        <v>250</v>
      </c>
      <c r="L859" s="6" t="n">
        <f aca="false">H859*K859</f>
        <v>250</v>
      </c>
      <c r="M859" s="4" t="s">
        <v>371</v>
      </c>
    </row>
    <row r="860" customFormat="false" ht="15" hidden="false" customHeight="false" outlineLevel="0" collapsed="false">
      <c r="A860" s="4" t="s">
        <v>136</v>
      </c>
      <c r="B860" s="5" t="s">
        <v>137</v>
      </c>
      <c r="C860" s="5" t="s">
        <v>138</v>
      </c>
      <c r="D860" s="4" t="s">
        <v>22</v>
      </c>
      <c r="E860" s="4" t="s">
        <v>1544</v>
      </c>
      <c r="F860" s="4" t="s">
        <v>406</v>
      </c>
      <c r="G860" s="4" t="s">
        <v>1545</v>
      </c>
      <c r="H860" s="12" t="n">
        <v>1</v>
      </c>
      <c r="I860" s="4" t="s">
        <v>408</v>
      </c>
      <c r="J860" s="4" t="s">
        <v>416</v>
      </c>
      <c r="K860" s="13" t="n">
        <v>650</v>
      </c>
      <c r="L860" s="6" t="n">
        <f aca="false">H860*K860</f>
        <v>650</v>
      </c>
      <c r="M860" s="14" t="s">
        <v>410</v>
      </c>
    </row>
    <row r="861" customFormat="false" ht="15" hidden="false" customHeight="false" outlineLevel="0" collapsed="false">
      <c r="A861" s="4" t="s">
        <v>136</v>
      </c>
      <c r="B861" s="5" t="s">
        <v>137</v>
      </c>
      <c r="C861" s="5" t="s">
        <v>138</v>
      </c>
      <c r="D861" s="4" t="s">
        <v>22</v>
      </c>
      <c r="E861" s="4" t="s">
        <v>1546</v>
      </c>
      <c r="F861" s="4" t="s">
        <v>406</v>
      </c>
      <c r="G861" s="4" t="s">
        <v>1547</v>
      </c>
      <c r="H861" s="12" t="n">
        <v>1</v>
      </c>
      <c r="I861" s="4" t="s">
        <v>408</v>
      </c>
      <c r="J861" s="4" t="s">
        <v>409</v>
      </c>
      <c r="K861" s="13" t="n">
        <v>650</v>
      </c>
      <c r="L861" s="6" t="n">
        <f aca="false">H861*K861</f>
        <v>650</v>
      </c>
      <c r="M861" s="14" t="s">
        <v>410</v>
      </c>
    </row>
    <row r="862" customFormat="false" ht="15" hidden="false" customHeight="false" outlineLevel="0" collapsed="false">
      <c r="A862" s="4" t="s">
        <v>136</v>
      </c>
      <c r="B862" s="5" t="s">
        <v>137</v>
      </c>
      <c r="C862" s="5" t="s">
        <v>138</v>
      </c>
      <c r="D862" s="4" t="s">
        <v>22</v>
      </c>
      <c r="E862" s="4" t="s">
        <v>1548</v>
      </c>
      <c r="F862" s="4" t="s">
        <v>406</v>
      </c>
      <c r="G862" s="4" t="s">
        <v>1549</v>
      </c>
      <c r="H862" s="12" t="n">
        <v>1</v>
      </c>
      <c r="I862" s="4" t="s">
        <v>408</v>
      </c>
      <c r="J862" s="4" t="s">
        <v>409</v>
      </c>
      <c r="K862" s="13" t="n">
        <v>350</v>
      </c>
      <c r="L862" s="6" t="n">
        <f aca="false">H862*K862</f>
        <v>350</v>
      </c>
      <c r="M862" s="14" t="s">
        <v>410</v>
      </c>
    </row>
    <row r="863" customFormat="false" ht="15" hidden="false" customHeight="false" outlineLevel="0" collapsed="false">
      <c r="A863" s="4" t="s">
        <v>136</v>
      </c>
      <c r="B863" s="5" t="s">
        <v>137</v>
      </c>
      <c r="C863" s="5" t="s">
        <v>138</v>
      </c>
      <c r="D863" s="4" t="s">
        <v>22</v>
      </c>
      <c r="E863" s="4" t="s">
        <v>1550</v>
      </c>
      <c r="F863" s="4" t="s">
        <v>406</v>
      </c>
      <c r="G863" s="4" t="s">
        <v>1551</v>
      </c>
      <c r="H863" s="12" t="n">
        <v>1</v>
      </c>
      <c r="I863" s="4" t="s">
        <v>408</v>
      </c>
      <c r="J863" s="4" t="s">
        <v>416</v>
      </c>
      <c r="K863" s="13" t="n">
        <v>450</v>
      </c>
      <c r="L863" s="6" t="n">
        <f aca="false">H863*K863</f>
        <v>450</v>
      </c>
      <c r="M863" s="14" t="s">
        <v>410</v>
      </c>
    </row>
    <row r="864" customFormat="false" ht="15" hidden="false" customHeight="false" outlineLevel="0" collapsed="false">
      <c r="A864" s="4" t="s">
        <v>136</v>
      </c>
      <c r="B864" s="5" t="s">
        <v>137</v>
      </c>
      <c r="C864" s="5" t="s">
        <v>138</v>
      </c>
      <c r="D864" s="4" t="s">
        <v>22</v>
      </c>
      <c r="E864" s="4" t="s">
        <v>1552</v>
      </c>
      <c r="F864" s="4" t="s">
        <v>406</v>
      </c>
      <c r="G864" s="4" t="s">
        <v>1553</v>
      </c>
      <c r="H864" s="12" t="n">
        <v>1</v>
      </c>
      <c r="I864" s="4" t="s">
        <v>408</v>
      </c>
      <c r="J864" s="4" t="s">
        <v>409</v>
      </c>
      <c r="K864" s="13" t="n">
        <v>850</v>
      </c>
      <c r="L864" s="6" t="n">
        <f aca="false">H864*K864</f>
        <v>850</v>
      </c>
      <c r="M864" s="14" t="s">
        <v>410</v>
      </c>
    </row>
    <row r="865" customFormat="false" ht="15" hidden="false" customHeight="false" outlineLevel="0" collapsed="false">
      <c r="A865" s="4" t="s">
        <v>136</v>
      </c>
      <c r="B865" s="5" t="s">
        <v>137</v>
      </c>
      <c r="C865" s="5" t="s">
        <v>138</v>
      </c>
      <c r="D865" s="4" t="s">
        <v>22</v>
      </c>
      <c r="E865" s="4" t="s">
        <v>1554</v>
      </c>
      <c r="F865" s="4" t="s">
        <v>406</v>
      </c>
      <c r="G865" s="4" t="s">
        <v>1555</v>
      </c>
      <c r="H865" s="12" t="n">
        <v>1</v>
      </c>
      <c r="I865" s="4" t="s">
        <v>408</v>
      </c>
      <c r="J865" s="4" t="s">
        <v>409</v>
      </c>
      <c r="K865" s="13" t="n">
        <v>850</v>
      </c>
      <c r="L865" s="6" t="n">
        <f aca="false">H865*K865</f>
        <v>850</v>
      </c>
      <c r="M865" s="14" t="s">
        <v>410</v>
      </c>
    </row>
    <row r="866" customFormat="false" ht="15" hidden="false" customHeight="false" outlineLevel="0" collapsed="false">
      <c r="A866" s="4" t="s">
        <v>136</v>
      </c>
      <c r="B866" s="5" t="s">
        <v>137</v>
      </c>
      <c r="C866" s="5" t="s">
        <v>138</v>
      </c>
      <c r="D866" s="4" t="s">
        <v>22</v>
      </c>
      <c r="E866" s="4" t="s">
        <v>1556</v>
      </c>
      <c r="F866" s="4" t="s">
        <v>406</v>
      </c>
      <c r="G866" s="4" t="s">
        <v>1557</v>
      </c>
      <c r="H866" s="12" t="n">
        <v>1</v>
      </c>
      <c r="I866" s="4" t="s">
        <v>408</v>
      </c>
      <c r="J866" s="4" t="s">
        <v>409</v>
      </c>
      <c r="K866" s="13" t="n">
        <v>350</v>
      </c>
      <c r="L866" s="6" t="n">
        <f aca="false">H866*K866</f>
        <v>350</v>
      </c>
      <c r="M866" s="14" t="s">
        <v>410</v>
      </c>
    </row>
    <row r="867" customFormat="false" ht="15" hidden="false" customHeight="false" outlineLevel="0" collapsed="false">
      <c r="A867" s="4" t="s">
        <v>136</v>
      </c>
      <c r="B867" s="5" t="s">
        <v>137</v>
      </c>
      <c r="C867" s="5" t="s">
        <v>138</v>
      </c>
      <c r="D867" s="4" t="s">
        <v>22</v>
      </c>
      <c r="E867" s="4" t="s">
        <v>1558</v>
      </c>
      <c r="F867" s="4" t="s">
        <v>406</v>
      </c>
      <c r="G867" s="4" t="s">
        <v>1559</v>
      </c>
      <c r="H867" s="12" t="n">
        <v>1</v>
      </c>
      <c r="I867" s="4" t="s">
        <v>408</v>
      </c>
      <c r="J867" s="4" t="s">
        <v>409</v>
      </c>
      <c r="K867" s="13" t="n">
        <v>850</v>
      </c>
      <c r="L867" s="6" t="n">
        <f aca="false">H867*K867</f>
        <v>850</v>
      </c>
      <c r="M867" s="14" t="s">
        <v>410</v>
      </c>
    </row>
    <row r="868" customFormat="false" ht="15" hidden="false" customHeight="false" outlineLevel="0" collapsed="false">
      <c r="A868" s="4" t="s">
        <v>136</v>
      </c>
      <c r="B868" s="5" t="s">
        <v>137</v>
      </c>
      <c r="C868" s="5" t="s">
        <v>138</v>
      </c>
      <c r="D868" s="4" t="s">
        <v>22</v>
      </c>
      <c r="E868" s="4" t="s">
        <v>1560</v>
      </c>
      <c r="F868" s="4" t="s">
        <v>406</v>
      </c>
      <c r="G868" s="4" t="s">
        <v>617</v>
      </c>
      <c r="H868" s="12" t="n">
        <v>1</v>
      </c>
      <c r="I868" s="4" t="s">
        <v>408</v>
      </c>
      <c r="J868" s="4" t="s">
        <v>409</v>
      </c>
      <c r="K868" s="13" t="n">
        <v>850</v>
      </c>
      <c r="L868" s="6" t="n">
        <f aca="false">H868*K868</f>
        <v>850</v>
      </c>
      <c r="M868" s="14" t="s">
        <v>410</v>
      </c>
    </row>
    <row r="869" customFormat="false" ht="15" hidden="false" customHeight="false" outlineLevel="0" collapsed="false">
      <c r="A869" s="4" t="s">
        <v>136</v>
      </c>
      <c r="B869" s="5" t="s">
        <v>137</v>
      </c>
      <c r="C869" s="5" t="s">
        <v>138</v>
      </c>
      <c r="D869" s="4" t="s">
        <v>22</v>
      </c>
      <c r="E869" s="4" t="s">
        <v>1561</v>
      </c>
      <c r="F869" s="4" t="s">
        <v>406</v>
      </c>
      <c r="G869" s="4" t="s">
        <v>1562</v>
      </c>
      <c r="H869" s="12" t="n">
        <v>1</v>
      </c>
      <c r="I869" s="4" t="s">
        <v>408</v>
      </c>
      <c r="J869" s="4" t="s">
        <v>409</v>
      </c>
      <c r="K869" s="13" t="n">
        <v>250</v>
      </c>
      <c r="L869" s="6" t="n">
        <f aca="false">H869*K869</f>
        <v>250</v>
      </c>
      <c r="M869" s="14" t="s">
        <v>410</v>
      </c>
    </row>
    <row r="870" customFormat="false" ht="15" hidden="false" customHeight="false" outlineLevel="0" collapsed="false">
      <c r="A870" s="4" t="s">
        <v>136</v>
      </c>
      <c r="B870" s="5" t="s">
        <v>137</v>
      </c>
      <c r="C870" s="5" t="s">
        <v>138</v>
      </c>
      <c r="D870" s="4" t="s">
        <v>22</v>
      </c>
      <c r="E870" s="4" t="s">
        <v>1563</v>
      </c>
      <c r="F870" s="4" t="s">
        <v>406</v>
      </c>
      <c r="G870" s="4" t="s">
        <v>1564</v>
      </c>
      <c r="H870" s="12" t="n">
        <v>1</v>
      </c>
      <c r="I870" s="4" t="s">
        <v>408</v>
      </c>
      <c r="J870" s="4" t="s">
        <v>409</v>
      </c>
      <c r="K870" s="13" t="n">
        <v>650</v>
      </c>
      <c r="L870" s="6" t="n">
        <f aca="false">H870*K870</f>
        <v>650</v>
      </c>
      <c r="M870" s="14" t="s">
        <v>410</v>
      </c>
    </row>
    <row r="871" customFormat="false" ht="15" hidden="false" customHeight="false" outlineLevel="0" collapsed="false">
      <c r="A871" s="4" t="s">
        <v>136</v>
      </c>
      <c r="B871" s="5" t="s">
        <v>137</v>
      </c>
      <c r="C871" s="5" t="s">
        <v>138</v>
      </c>
      <c r="D871" s="4" t="s">
        <v>22</v>
      </c>
      <c r="E871" s="4" t="s">
        <v>1565</v>
      </c>
      <c r="F871" s="4" t="s">
        <v>406</v>
      </c>
      <c r="G871" s="4" t="s">
        <v>1566</v>
      </c>
      <c r="H871" s="12" t="n">
        <v>1</v>
      </c>
      <c r="I871" s="4" t="s">
        <v>408</v>
      </c>
      <c r="J871" s="4" t="s">
        <v>409</v>
      </c>
      <c r="K871" s="13" t="n">
        <v>850</v>
      </c>
      <c r="L871" s="6" t="n">
        <f aca="false">H871*K871</f>
        <v>850</v>
      </c>
      <c r="M871" s="14" t="s">
        <v>410</v>
      </c>
    </row>
    <row r="872" customFormat="false" ht="15" hidden="false" customHeight="false" outlineLevel="0" collapsed="false">
      <c r="A872" s="4" t="s">
        <v>136</v>
      </c>
      <c r="B872" s="5" t="s">
        <v>137</v>
      </c>
      <c r="C872" s="5" t="s">
        <v>138</v>
      </c>
      <c r="D872" s="4" t="s">
        <v>22</v>
      </c>
      <c r="E872" s="4" t="s">
        <v>1567</v>
      </c>
      <c r="F872" s="4" t="s">
        <v>406</v>
      </c>
      <c r="G872" s="4" t="s">
        <v>1568</v>
      </c>
      <c r="H872" s="12" t="n">
        <v>1</v>
      </c>
      <c r="I872" s="4" t="s">
        <v>408</v>
      </c>
      <c r="J872" s="4" t="s">
        <v>409</v>
      </c>
      <c r="K872" s="13" t="n">
        <v>850</v>
      </c>
      <c r="L872" s="6" t="n">
        <f aca="false">H872*K872</f>
        <v>850</v>
      </c>
      <c r="M872" s="14" t="s">
        <v>410</v>
      </c>
    </row>
    <row r="873" customFormat="false" ht="15" hidden="false" customHeight="false" outlineLevel="0" collapsed="false">
      <c r="A873" s="4" t="s">
        <v>136</v>
      </c>
      <c r="B873" s="5" t="s">
        <v>137</v>
      </c>
      <c r="C873" s="5" t="s">
        <v>138</v>
      </c>
      <c r="D873" s="4" t="s">
        <v>22</v>
      </c>
      <c r="E873" s="4" t="s">
        <v>1569</v>
      </c>
      <c r="F873" s="4" t="s">
        <v>406</v>
      </c>
      <c r="G873" s="4" t="s">
        <v>1570</v>
      </c>
      <c r="H873" s="12" t="n">
        <v>1</v>
      </c>
      <c r="I873" s="4" t="s">
        <v>408</v>
      </c>
      <c r="J873" s="4" t="s">
        <v>409</v>
      </c>
      <c r="K873" s="13" t="n">
        <v>850</v>
      </c>
      <c r="L873" s="6" t="n">
        <f aca="false">H873*K873</f>
        <v>850</v>
      </c>
      <c r="M873" s="14" t="s">
        <v>410</v>
      </c>
    </row>
    <row r="874" customFormat="false" ht="15" hidden="false" customHeight="false" outlineLevel="0" collapsed="false">
      <c r="A874" s="4" t="s">
        <v>136</v>
      </c>
      <c r="B874" s="5" t="s">
        <v>137</v>
      </c>
      <c r="C874" s="5" t="s">
        <v>138</v>
      </c>
      <c r="D874" s="4" t="s">
        <v>22</v>
      </c>
      <c r="E874" s="4" t="s">
        <v>1571</v>
      </c>
      <c r="F874" s="4" t="s">
        <v>406</v>
      </c>
      <c r="G874" s="4" t="s">
        <v>1572</v>
      </c>
      <c r="H874" s="12" t="n">
        <v>1</v>
      </c>
      <c r="I874" s="4" t="s">
        <v>408</v>
      </c>
      <c r="J874" s="4" t="s">
        <v>409</v>
      </c>
      <c r="K874" s="13" t="n">
        <v>850</v>
      </c>
      <c r="L874" s="6" t="n">
        <f aca="false">H874*K874</f>
        <v>850</v>
      </c>
      <c r="M874" s="14" t="s">
        <v>410</v>
      </c>
    </row>
    <row r="875" customFormat="false" ht="15" hidden="false" customHeight="false" outlineLevel="0" collapsed="false">
      <c r="A875" s="4" t="s">
        <v>136</v>
      </c>
      <c r="B875" s="5" t="s">
        <v>137</v>
      </c>
      <c r="C875" s="5" t="s">
        <v>138</v>
      </c>
      <c r="D875" s="4" t="s">
        <v>22</v>
      </c>
      <c r="E875" s="4" t="s">
        <v>604</v>
      </c>
      <c r="F875" s="4" t="s">
        <v>406</v>
      </c>
      <c r="G875" s="4" t="s">
        <v>605</v>
      </c>
      <c r="H875" s="12" t="n">
        <v>1</v>
      </c>
      <c r="I875" s="4" t="s">
        <v>408</v>
      </c>
      <c r="J875" s="4" t="s">
        <v>409</v>
      </c>
      <c r="K875" s="13" t="n">
        <v>650</v>
      </c>
      <c r="L875" s="6" t="n">
        <f aca="false">H875*K875</f>
        <v>650</v>
      </c>
      <c r="M875" s="14" t="s">
        <v>410</v>
      </c>
    </row>
    <row r="876" customFormat="false" ht="15" hidden="false" customHeight="false" outlineLevel="0" collapsed="false">
      <c r="A876" s="4" t="s">
        <v>136</v>
      </c>
      <c r="B876" s="5" t="s">
        <v>137</v>
      </c>
      <c r="C876" s="5" t="s">
        <v>138</v>
      </c>
      <c r="D876" s="4" t="s">
        <v>22</v>
      </c>
      <c r="E876" s="4" t="s">
        <v>1573</v>
      </c>
      <c r="F876" s="4" t="s">
        <v>406</v>
      </c>
      <c r="G876" s="4" t="s">
        <v>1574</v>
      </c>
      <c r="H876" s="12" t="n">
        <v>1</v>
      </c>
      <c r="I876" s="4" t="s">
        <v>408</v>
      </c>
      <c r="J876" s="4" t="s">
        <v>416</v>
      </c>
      <c r="K876" s="13" t="n">
        <v>650</v>
      </c>
      <c r="L876" s="6" t="n">
        <f aca="false">H876*K876</f>
        <v>650</v>
      </c>
      <c r="M876" s="14" t="s">
        <v>410</v>
      </c>
    </row>
    <row r="877" customFormat="false" ht="15" hidden="false" customHeight="false" outlineLevel="0" collapsed="false">
      <c r="A877" s="4" t="s">
        <v>136</v>
      </c>
      <c r="B877" s="5" t="s">
        <v>137</v>
      </c>
      <c r="C877" s="5" t="s">
        <v>138</v>
      </c>
      <c r="D877" s="4" t="s">
        <v>22</v>
      </c>
      <c r="E877" s="4" t="s">
        <v>1575</v>
      </c>
      <c r="F877" s="4" t="s">
        <v>406</v>
      </c>
      <c r="G877" s="4" t="s">
        <v>1576</v>
      </c>
      <c r="H877" s="12" t="n">
        <v>1</v>
      </c>
      <c r="I877" s="4" t="s">
        <v>408</v>
      </c>
      <c r="J877" s="4" t="s">
        <v>409</v>
      </c>
      <c r="K877" s="13" t="n">
        <v>350</v>
      </c>
      <c r="L877" s="6" t="n">
        <f aca="false">H877*K877</f>
        <v>350</v>
      </c>
      <c r="M877" s="14" t="s">
        <v>410</v>
      </c>
    </row>
    <row r="878" customFormat="false" ht="15" hidden="false" customHeight="false" outlineLevel="0" collapsed="false">
      <c r="A878" s="4" t="s">
        <v>136</v>
      </c>
      <c r="B878" s="5" t="s">
        <v>137</v>
      </c>
      <c r="C878" s="5" t="s">
        <v>138</v>
      </c>
      <c r="D878" s="4" t="s">
        <v>22</v>
      </c>
      <c r="E878" s="4" t="s">
        <v>1577</v>
      </c>
      <c r="F878" s="4" t="s">
        <v>406</v>
      </c>
      <c r="G878" s="4" t="s">
        <v>1578</v>
      </c>
      <c r="H878" s="12" t="n">
        <v>1</v>
      </c>
      <c r="I878" s="4" t="s">
        <v>408</v>
      </c>
      <c r="J878" s="4" t="s">
        <v>409</v>
      </c>
      <c r="K878" s="13" t="n">
        <v>250</v>
      </c>
      <c r="L878" s="6" t="n">
        <f aca="false">H878*K878</f>
        <v>250</v>
      </c>
      <c r="M878" s="14" t="s">
        <v>410</v>
      </c>
    </row>
    <row r="879" customFormat="false" ht="15" hidden="false" customHeight="false" outlineLevel="0" collapsed="false">
      <c r="A879" s="4" t="s">
        <v>136</v>
      </c>
      <c r="B879" s="5" t="s">
        <v>137</v>
      </c>
      <c r="C879" s="5" t="s">
        <v>138</v>
      </c>
      <c r="D879" s="4" t="s">
        <v>22</v>
      </c>
      <c r="E879" s="4" t="s">
        <v>1579</v>
      </c>
      <c r="F879" s="4" t="s">
        <v>406</v>
      </c>
      <c r="G879" s="4" t="s">
        <v>1580</v>
      </c>
      <c r="H879" s="12" t="n">
        <v>1</v>
      </c>
      <c r="I879" s="4" t="s">
        <v>408</v>
      </c>
      <c r="J879" s="4" t="s">
        <v>409</v>
      </c>
      <c r="K879" s="13" t="n">
        <v>450</v>
      </c>
      <c r="L879" s="6" t="n">
        <f aca="false">H879*K879</f>
        <v>450</v>
      </c>
      <c r="M879" s="14" t="s">
        <v>410</v>
      </c>
    </row>
    <row r="880" customFormat="false" ht="15" hidden="false" customHeight="false" outlineLevel="0" collapsed="false">
      <c r="A880" s="4" t="s">
        <v>136</v>
      </c>
      <c r="B880" s="5" t="s">
        <v>137</v>
      </c>
      <c r="C880" s="5" t="s">
        <v>138</v>
      </c>
      <c r="D880" s="4" t="s">
        <v>22</v>
      </c>
      <c r="E880" s="4" t="s">
        <v>1581</v>
      </c>
      <c r="F880" s="4" t="s">
        <v>406</v>
      </c>
      <c r="G880" s="4" t="s">
        <v>1582</v>
      </c>
      <c r="H880" s="12" t="n">
        <v>1</v>
      </c>
      <c r="I880" s="4" t="s">
        <v>408</v>
      </c>
      <c r="J880" s="4" t="s">
        <v>409</v>
      </c>
      <c r="K880" s="13" t="n">
        <v>350</v>
      </c>
      <c r="L880" s="6" t="n">
        <f aca="false">H880*K880</f>
        <v>350</v>
      </c>
      <c r="M880" s="14" t="s">
        <v>410</v>
      </c>
    </row>
    <row r="881" customFormat="false" ht="15" hidden="false" customHeight="false" outlineLevel="0" collapsed="false">
      <c r="A881" s="4" t="s">
        <v>136</v>
      </c>
      <c r="B881" s="5" t="s">
        <v>137</v>
      </c>
      <c r="C881" s="5" t="s">
        <v>138</v>
      </c>
      <c r="D881" s="4" t="s">
        <v>22</v>
      </c>
      <c r="E881" s="4" t="s">
        <v>1583</v>
      </c>
      <c r="F881" s="4" t="s">
        <v>406</v>
      </c>
      <c r="G881" s="4" t="s">
        <v>1584</v>
      </c>
      <c r="H881" s="12" t="n">
        <v>1</v>
      </c>
      <c r="I881" s="4" t="s">
        <v>408</v>
      </c>
      <c r="J881" s="4" t="s">
        <v>409</v>
      </c>
      <c r="K881" s="13" t="n">
        <v>450</v>
      </c>
      <c r="L881" s="6" t="n">
        <f aca="false">H881*K881</f>
        <v>450</v>
      </c>
      <c r="M881" s="14" t="s">
        <v>410</v>
      </c>
    </row>
    <row r="882" customFormat="false" ht="15" hidden="false" customHeight="false" outlineLevel="0" collapsed="false">
      <c r="A882" s="4" t="s">
        <v>136</v>
      </c>
      <c r="B882" s="5" t="s">
        <v>137</v>
      </c>
      <c r="C882" s="5" t="s">
        <v>138</v>
      </c>
      <c r="D882" s="4" t="s">
        <v>22</v>
      </c>
      <c r="E882" s="4" t="s">
        <v>1585</v>
      </c>
      <c r="F882" s="4" t="s">
        <v>406</v>
      </c>
      <c r="G882" s="4" t="s">
        <v>1586</v>
      </c>
      <c r="H882" s="12" t="n">
        <v>1</v>
      </c>
      <c r="I882" s="4" t="s">
        <v>408</v>
      </c>
      <c r="J882" s="4" t="s">
        <v>409</v>
      </c>
      <c r="K882" s="13" t="n">
        <v>250</v>
      </c>
      <c r="L882" s="6" t="n">
        <f aca="false">H882*K882</f>
        <v>250</v>
      </c>
      <c r="M882" s="14" t="s">
        <v>410</v>
      </c>
    </row>
    <row r="883" customFormat="false" ht="15" hidden="false" customHeight="false" outlineLevel="0" collapsed="false">
      <c r="A883" s="4" t="s">
        <v>136</v>
      </c>
      <c r="B883" s="5" t="s">
        <v>137</v>
      </c>
      <c r="C883" s="5" t="s">
        <v>138</v>
      </c>
      <c r="D883" s="4" t="s">
        <v>22</v>
      </c>
      <c r="E883" s="4" t="s">
        <v>604</v>
      </c>
      <c r="F883" s="4" t="s">
        <v>406</v>
      </c>
      <c r="G883" s="4" t="s">
        <v>605</v>
      </c>
      <c r="H883" s="12" t="n">
        <v>1</v>
      </c>
      <c r="I883" s="4" t="s">
        <v>408</v>
      </c>
      <c r="J883" s="4" t="s">
        <v>409</v>
      </c>
      <c r="K883" s="13" t="n">
        <v>650</v>
      </c>
      <c r="L883" s="6" t="n">
        <f aca="false">H883*K883</f>
        <v>650</v>
      </c>
      <c r="M883" s="14" t="s">
        <v>410</v>
      </c>
    </row>
    <row r="884" customFormat="false" ht="15" hidden="false" customHeight="false" outlineLevel="0" collapsed="false">
      <c r="A884" s="4" t="s">
        <v>136</v>
      </c>
      <c r="B884" s="5" t="s">
        <v>137</v>
      </c>
      <c r="C884" s="5" t="s">
        <v>138</v>
      </c>
      <c r="D884" s="4" t="s">
        <v>22</v>
      </c>
      <c r="E884" s="4" t="s">
        <v>1587</v>
      </c>
      <c r="F884" s="4" t="s">
        <v>406</v>
      </c>
      <c r="G884" s="4" t="s">
        <v>1588</v>
      </c>
      <c r="H884" s="12" t="n">
        <v>1</v>
      </c>
      <c r="I884" s="4" t="s">
        <v>408</v>
      </c>
      <c r="J884" s="4" t="s">
        <v>409</v>
      </c>
      <c r="K884" s="13" t="n">
        <v>180</v>
      </c>
      <c r="L884" s="6" t="n">
        <f aca="false">H884*K884</f>
        <v>180</v>
      </c>
      <c r="M884" s="14" t="s">
        <v>410</v>
      </c>
    </row>
    <row r="885" customFormat="false" ht="15" hidden="false" customHeight="false" outlineLevel="0" collapsed="false">
      <c r="A885" s="4" t="s">
        <v>136</v>
      </c>
      <c r="B885" s="5" t="s">
        <v>137</v>
      </c>
      <c r="C885" s="5" t="s">
        <v>138</v>
      </c>
      <c r="D885" s="4" t="s">
        <v>22</v>
      </c>
      <c r="E885" s="4" t="s">
        <v>1589</v>
      </c>
      <c r="F885" s="4" t="s">
        <v>488</v>
      </c>
      <c r="G885" s="4" t="s">
        <v>1590</v>
      </c>
      <c r="H885" s="12" t="n">
        <v>1</v>
      </c>
      <c r="I885" s="4" t="s">
        <v>408</v>
      </c>
      <c r="J885" s="4" t="s">
        <v>409</v>
      </c>
      <c r="K885" s="13" t="n">
        <v>15</v>
      </c>
      <c r="L885" s="6" t="n">
        <f aca="false">H885*K885</f>
        <v>15</v>
      </c>
      <c r="M885" s="4" t="s">
        <v>371</v>
      </c>
    </row>
    <row r="886" customFormat="false" ht="15" hidden="false" customHeight="false" outlineLevel="0" collapsed="false">
      <c r="A886" s="4" t="s">
        <v>136</v>
      </c>
      <c r="B886" s="5" t="s">
        <v>137</v>
      </c>
      <c r="C886" s="5" t="s">
        <v>138</v>
      </c>
      <c r="D886" s="4" t="s">
        <v>22</v>
      </c>
      <c r="E886" s="4" t="s">
        <v>1591</v>
      </c>
      <c r="F886" s="4" t="s">
        <v>488</v>
      </c>
      <c r="G886" s="4" t="s">
        <v>1592</v>
      </c>
      <c r="H886" s="12" t="n">
        <v>1</v>
      </c>
      <c r="I886" s="4" t="s">
        <v>408</v>
      </c>
      <c r="J886" s="4" t="s">
        <v>432</v>
      </c>
      <c r="K886" s="13" t="n">
        <v>25</v>
      </c>
      <c r="L886" s="6" t="n">
        <f aca="false">H886*K886</f>
        <v>25</v>
      </c>
      <c r="M886" s="4" t="s">
        <v>371</v>
      </c>
    </row>
    <row r="887" customFormat="false" ht="15" hidden="false" customHeight="false" outlineLevel="0" collapsed="false">
      <c r="A887" s="4" t="s">
        <v>136</v>
      </c>
      <c r="B887" s="5" t="s">
        <v>137</v>
      </c>
      <c r="C887" s="5" t="s">
        <v>138</v>
      </c>
      <c r="D887" s="4" t="s">
        <v>22</v>
      </c>
      <c r="E887" s="4" t="s">
        <v>1593</v>
      </c>
      <c r="F887" s="4" t="s">
        <v>488</v>
      </c>
      <c r="G887" s="4" t="s">
        <v>1594</v>
      </c>
      <c r="H887" s="12" t="n">
        <v>1</v>
      </c>
      <c r="I887" s="4" t="s">
        <v>408</v>
      </c>
      <c r="J887" s="4" t="s">
        <v>432</v>
      </c>
      <c r="K887" s="13" t="n">
        <v>8</v>
      </c>
      <c r="L887" s="6" t="n">
        <f aca="false">H887*K887</f>
        <v>8</v>
      </c>
      <c r="M887" s="4" t="s">
        <v>371</v>
      </c>
    </row>
    <row r="888" customFormat="false" ht="15" hidden="false" customHeight="false" outlineLevel="0" collapsed="false">
      <c r="A888" s="4" t="s">
        <v>136</v>
      </c>
      <c r="B888" s="5" t="s">
        <v>137</v>
      </c>
      <c r="C888" s="5" t="s">
        <v>138</v>
      </c>
      <c r="D888" s="4" t="s">
        <v>22</v>
      </c>
      <c r="E888" s="4" t="s">
        <v>1595</v>
      </c>
      <c r="F888" s="4" t="s">
        <v>488</v>
      </c>
      <c r="G888" s="4" t="s">
        <v>1596</v>
      </c>
      <c r="H888" s="12" t="n">
        <v>1</v>
      </c>
      <c r="I888" s="4" t="s">
        <v>408</v>
      </c>
      <c r="J888" s="4" t="s">
        <v>409</v>
      </c>
      <c r="K888" s="13" t="n">
        <v>55</v>
      </c>
      <c r="L888" s="6" t="n">
        <f aca="false">H888*K888</f>
        <v>55</v>
      </c>
      <c r="M888" s="4" t="s">
        <v>371</v>
      </c>
    </row>
    <row r="889" customFormat="false" ht="15" hidden="false" customHeight="false" outlineLevel="0" collapsed="false">
      <c r="A889" s="4" t="s">
        <v>136</v>
      </c>
      <c r="B889" s="5" t="s">
        <v>137</v>
      </c>
      <c r="C889" s="5" t="s">
        <v>138</v>
      </c>
      <c r="D889" s="4" t="s">
        <v>22</v>
      </c>
      <c r="E889" s="4" t="s">
        <v>1597</v>
      </c>
      <c r="F889" s="4" t="s">
        <v>488</v>
      </c>
      <c r="G889" s="4" t="s">
        <v>1598</v>
      </c>
      <c r="H889" s="12" t="n">
        <v>1</v>
      </c>
      <c r="I889" s="4" t="s">
        <v>408</v>
      </c>
      <c r="J889" s="4" t="s">
        <v>432</v>
      </c>
      <c r="K889" s="13" t="n">
        <v>9</v>
      </c>
      <c r="L889" s="6" t="n">
        <f aca="false">H889*K889</f>
        <v>9</v>
      </c>
      <c r="M889" s="4" t="s">
        <v>371</v>
      </c>
    </row>
    <row r="890" customFormat="false" ht="15" hidden="false" customHeight="false" outlineLevel="0" collapsed="false">
      <c r="A890" s="4" t="s">
        <v>136</v>
      </c>
      <c r="B890" s="5" t="s">
        <v>137</v>
      </c>
      <c r="C890" s="5" t="s">
        <v>138</v>
      </c>
      <c r="D890" s="4" t="s">
        <v>22</v>
      </c>
      <c r="E890" s="4" t="s">
        <v>1599</v>
      </c>
      <c r="F890" s="4" t="s">
        <v>488</v>
      </c>
      <c r="G890" s="4" t="s">
        <v>1600</v>
      </c>
      <c r="H890" s="12" t="n">
        <v>1</v>
      </c>
      <c r="I890" s="4" t="s">
        <v>408</v>
      </c>
      <c r="J890" s="4" t="s">
        <v>490</v>
      </c>
      <c r="K890" s="13" t="n">
        <v>2</v>
      </c>
      <c r="L890" s="6" t="n">
        <f aca="false">H890*K890</f>
        <v>2</v>
      </c>
      <c r="M890" s="4" t="s">
        <v>371</v>
      </c>
    </row>
    <row r="891" customFormat="false" ht="23.85" hidden="false" customHeight="false" outlineLevel="0" collapsed="false">
      <c r="A891" s="4" t="s">
        <v>147</v>
      </c>
      <c r="B891" s="5" t="s">
        <v>148</v>
      </c>
      <c r="C891" s="5" t="s">
        <v>149</v>
      </c>
      <c r="D891" s="4" t="s">
        <v>22</v>
      </c>
      <c r="E891" s="4" t="s">
        <v>1601</v>
      </c>
      <c r="F891" s="4" t="s">
        <v>406</v>
      </c>
      <c r="G891" s="4" t="s">
        <v>1602</v>
      </c>
      <c r="H891" s="12" t="n">
        <v>1</v>
      </c>
      <c r="I891" s="4" t="s">
        <v>408</v>
      </c>
      <c r="J891" s="4" t="s">
        <v>409</v>
      </c>
      <c r="K891" s="13" t="n">
        <v>850</v>
      </c>
      <c r="L891" s="6" t="n">
        <f aca="false">H891*K891</f>
        <v>850</v>
      </c>
      <c r="M891" s="4" t="s">
        <v>371</v>
      </c>
    </row>
    <row r="892" customFormat="false" ht="23.85" hidden="false" customHeight="false" outlineLevel="0" collapsed="false">
      <c r="A892" s="4" t="s">
        <v>147</v>
      </c>
      <c r="B892" s="5" t="s">
        <v>148</v>
      </c>
      <c r="C892" s="5" t="s">
        <v>149</v>
      </c>
      <c r="D892" s="4" t="s">
        <v>22</v>
      </c>
      <c r="E892" s="4" t="s">
        <v>1603</v>
      </c>
      <c r="F892" s="4" t="s">
        <v>406</v>
      </c>
      <c r="G892" s="4" t="s">
        <v>1604</v>
      </c>
      <c r="H892" s="12" t="n">
        <v>1</v>
      </c>
      <c r="I892" s="4" t="s">
        <v>408</v>
      </c>
      <c r="J892" s="4" t="s">
        <v>416</v>
      </c>
      <c r="K892" s="13" t="n">
        <v>1200</v>
      </c>
      <c r="L892" s="6" t="n">
        <f aca="false">H892*K892</f>
        <v>1200</v>
      </c>
      <c r="M892" s="14" t="s">
        <v>410</v>
      </c>
    </row>
    <row r="893" customFormat="false" ht="23.85" hidden="false" customHeight="false" outlineLevel="0" collapsed="false">
      <c r="A893" s="4" t="s">
        <v>147</v>
      </c>
      <c r="B893" s="5" t="s">
        <v>148</v>
      </c>
      <c r="C893" s="5" t="s">
        <v>149</v>
      </c>
      <c r="D893" s="4" t="s">
        <v>22</v>
      </c>
      <c r="E893" s="4" t="s">
        <v>1605</v>
      </c>
      <c r="F893" s="4" t="s">
        <v>406</v>
      </c>
      <c r="G893" s="4" t="s">
        <v>1005</v>
      </c>
      <c r="H893" s="12" t="n">
        <v>1</v>
      </c>
      <c r="I893" s="4" t="s">
        <v>408</v>
      </c>
      <c r="J893" s="4" t="s">
        <v>409</v>
      </c>
      <c r="K893" s="13" t="n">
        <v>850</v>
      </c>
      <c r="L893" s="6" t="n">
        <f aca="false">H893*K893</f>
        <v>850</v>
      </c>
      <c r="M893" s="4" t="s">
        <v>371</v>
      </c>
    </row>
    <row r="894" customFormat="false" ht="23.85" hidden="false" customHeight="false" outlineLevel="0" collapsed="false">
      <c r="A894" s="4" t="s">
        <v>147</v>
      </c>
      <c r="B894" s="5" t="s">
        <v>148</v>
      </c>
      <c r="C894" s="5" t="s">
        <v>149</v>
      </c>
      <c r="D894" s="4" t="s">
        <v>22</v>
      </c>
      <c r="E894" s="4" t="s">
        <v>1606</v>
      </c>
      <c r="F894" s="4" t="s">
        <v>406</v>
      </c>
      <c r="G894" s="4" t="s">
        <v>1607</v>
      </c>
      <c r="H894" s="12" t="n">
        <v>1</v>
      </c>
      <c r="I894" s="4" t="s">
        <v>408</v>
      </c>
      <c r="J894" s="4" t="s">
        <v>409</v>
      </c>
      <c r="K894" s="13" t="n">
        <v>1200</v>
      </c>
      <c r="L894" s="6" t="n">
        <f aca="false">H894*K894</f>
        <v>1200</v>
      </c>
      <c r="M894" s="14" t="s">
        <v>410</v>
      </c>
    </row>
    <row r="895" customFormat="false" ht="23.85" hidden="false" customHeight="false" outlineLevel="0" collapsed="false">
      <c r="A895" s="4" t="s">
        <v>147</v>
      </c>
      <c r="B895" s="5" t="s">
        <v>148</v>
      </c>
      <c r="C895" s="5" t="s">
        <v>149</v>
      </c>
      <c r="D895" s="4" t="s">
        <v>22</v>
      </c>
      <c r="E895" s="4" t="s">
        <v>1608</v>
      </c>
      <c r="F895" s="4" t="s">
        <v>406</v>
      </c>
      <c r="G895" s="4" t="s">
        <v>1609</v>
      </c>
      <c r="H895" s="12" t="n">
        <v>1</v>
      </c>
      <c r="I895" s="4" t="s">
        <v>408</v>
      </c>
      <c r="J895" s="4" t="s">
        <v>409</v>
      </c>
      <c r="K895" s="13" t="n">
        <v>8500</v>
      </c>
      <c r="L895" s="6" t="n">
        <f aca="false">H895*K895</f>
        <v>8500</v>
      </c>
      <c r="M895" s="14" t="s">
        <v>410</v>
      </c>
    </row>
    <row r="896" customFormat="false" ht="23.85" hidden="false" customHeight="false" outlineLevel="0" collapsed="false">
      <c r="A896" s="4" t="s">
        <v>147</v>
      </c>
      <c r="B896" s="5" t="s">
        <v>148</v>
      </c>
      <c r="C896" s="5" t="s">
        <v>149</v>
      </c>
      <c r="D896" s="4" t="s">
        <v>22</v>
      </c>
      <c r="E896" s="4" t="s">
        <v>1610</v>
      </c>
      <c r="F896" s="4" t="s">
        <v>406</v>
      </c>
      <c r="G896" s="4" t="s">
        <v>1611</v>
      </c>
      <c r="H896" s="12" t="n">
        <v>1</v>
      </c>
      <c r="I896" s="4" t="s">
        <v>408</v>
      </c>
      <c r="J896" s="4" t="s">
        <v>409</v>
      </c>
      <c r="K896" s="13" t="n">
        <v>350</v>
      </c>
      <c r="L896" s="6" t="n">
        <f aca="false">H896*K896</f>
        <v>350</v>
      </c>
      <c r="M896" s="14" t="s">
        <v>410</v>
      </c>
    </row>
    <row r="897" customFormat="false" ht="23.85" hidden="false" customHeight="false" outlineLevel="0" collapsed="false">
      <c r="A897" s="4" t="s">
        <v>147</v>
      </c>
      <c r="B897" s="5" t="s">
        <v>148</v>
      </c>
      <c r="C897" s="5" t="s">
        <v>149</v>
      </c>
      <c r="D897" s="4" t="s">
        <v>22</v>
      </c>
      <c r="E897" s="4" t="s">
        <v>1612</v>
      </c>
      <c r="F897" s="4" t="s">
        <v>470</v>
      </c>
      <c r="G897" s="4" t="s">
        <v>1613</v>
      </c>
      <c r="H897" s="12" t="n">
        <v>1</v>
      </c>
      <c r="I897" s="4" t="s">
        <v>474</v>
      </c>
      <c r="J897" s="4" t="s">
        <v>416</v>
      </c>
      <c r="K897" s="13" t="n">
        <v>55000</v>
      </c>
      <c r="L897" s="6" t="n">
        <f aca="false">H897*K897</f>
        <v>55000</v>
      </c>
      <c r="M897" s="4" t="s">
        <v>371</v>
      </c>
    </row>
    <row r="898" customFormat="false" ht="23.85" hidden="false" customHeight="false" outlineLevel="0" collapsed="false">
      <c r="A898" s="4" t="s">
        <v>147</v>
      </c>
      <c r="B898" s="5" t="s">
        <v>148</v>
      </c>
      <c r="C898" s="5" t="s">
        <v>149</v>
      </c>
      <c r="D898" s="4" t="s">
        <v>22</v>
      </c>
      <c r="E898" s="4" t="s">
        <v>1614</v>
      </c>
      <c r="F898" s="4" t="s">
        <v>470</v>
      </c>
      <c r="G898" s="4" t="s">
        <v>1615</v>
      </c>
      <c r="H898" s="12" t="n">
        <v>1</v>
      </c>
      <c r="I898" s="4" t="s">
        <v>474</v>
      </c>
      <c r="J898" s="4" t="s">
        <v>416</v>
      </c>
      <c r="K898" s="13" t="n">
        <v>65000</v>
      </c>
      <c r="L898" s="6" t="n">
        <f aca="false">H898*K898</f>
        <v>65000</v>
      </c>
      <c r="M898" s="4" t="s">
        <v>371</v>
      </c>
    </row>
    <row r="899" customFormat="false" ht="23.85" hidden="false" customHeight="false" outlineLevel="0" collapsed="false">
      <c r="A899" s="4" t="s">
        <v>147</v>
      </c>
      <c r="B899" s="5" t="s">
        <v>148</v>
      </c>
      <c r="C899" s="5" t="s">
        <v>149</v>
      </c>
      <c r="D899" s="4" t="s">
        <v>22</v>
      </c>
      <c r="E899" s="4" t="s">
        <v>1616</v>
      </c>
      <c r="F899" s="4" t="s">
        <v>470</v>
      </c>
      <c r="G899" s="4" t="s">
        <v>1617</v>
      </c>
      <c r="H899" s="12" t="n">
        <v>1</v>
      </c>
      <c r="I899" s="4" t="s">
        <v>408</v>
      </c>
      <c r="J899" s="4" t="s">
        <v>409</v>
      </c>
      <c r="K899" s="13" t="n">
        <v>12000</v>
      </c>
      <c r="L899" s="6" t="n">
        <f aca="false">H899*K899</f>
        <v>12000</v>
      </c>
      <c r="M899" s="14" t="s">
        <v>410</v>
      </c>
    </row>
    <row r="900" customFormat="false" ht="23.85" hidden="false" customHeight="false" outlineLevel="0" collapsed="false">
      <c r="A900" s="4" t="s">
        <v>147</v>
      </c>
      <c r="B900" s="5" t="s">
        <v>148</v>
      </c>
      <c r="C900" s="5" t="s">
        <v>149</v>
      </c>
      <c r="D900" s="4" t="s">
        <v>22</v>
      </c>
      <c r="E900" s="4" t="s">
        <v>1618</v>
      </c>
      <c r="F900" s="4" t="s">
        <v>470</v>
      </c>
      <c r="G900" s="4" t="s">
        <v>1619</v>
      </c>
      <c r="H900" s="12" t="n">
        <v>1</v>
      </c>
      <c r="I900" s="4" t="s">
        <v>408</v>
      </c>
      <c r="J900" s="4" t="s">
        <v>409</v>
      </c>
      <c r="K900" s="13" t="n">
        <v>25000</v>
      </c>
      <c r="L900" s="6" t="n">
        <f aca="false">H900*K900</f>
        <v>25000</v>
      </c>
      <c r="M900" s="4" t="s">
        <v>371</v>
      </c>
    </row>
    <row r="901" customFormat="false" ht="23.85" hidden="false" customHeight="false" outlineLevel="0" collapsed="false">
      <c r="A901" s="4" t="s">
        <v>147</v>
      </c>
      <c r="B901" s="5" t="s">
        <v>148</v>
      </c>
      <c r="C901" s="5" t="s">
        <v>149</v>
      </c>
      <c r="D901" s="4" t="s">
        <v>22</v>
      </c>
      <c r="E901" s="4" t="s">
        <v>1620</v>
      </c>
      <c r="F901" s="4" t="s">
        <v>470</v>
      </c>
      <c r="G901" s="4" t="s">
        <v>1621</v>
      </c>
      <c r="H901" s="12" t="n">
        <v>1</v>
      </c>
      <c r="I901" s="4" t="s">
        <v>408</v>
      </c>
      <c r="J901" s="4" t="s">
        <v>409</v>
      </c>
      <c r="K901" s="13" t="n">
        <v>18000</v>
      </c>
      <c r="L901" s="6" t="n">
        <f aca="false">H901*K901</f>
        <v>18000</v>
      </c>
      <c r="M901" s="4" t="s">
        <v>371</v>
      </c>
    </row>
    <row r="902" customFormat="false" ht="23.85" hidden="false" customHeight="false" outlineLevel="0" collapsed="false">
      <c r="A902" s="4" t="s">
        <v>147</v>
      </c>
      <c r="B902" s="5" t="s">
        <v>148</v>
      </c>
      <c r="C902" s="5" t="s">
        <v>149</v>
      </c>
      <c r="D902" s="4" t="s">
        <v>22</v>
      </c>
      <c r="E902" s="4" t="s">
        <v>1622</v>
      </c>
      <c r="F902" s="4" t="s">
        <v>470</v>
      </c>
      <c r="G902" s="4" t="s">
        <v>1623</v>
      </c>
      <c r="H902" s="12" t="n">
        <v>1</v>
      </c>
      <c r="I902" s="4" t="s">
        <v>408</v>
      </c>
      <c r="J902" s="4" t="s">
        <v>409</v>
      </c>
      <c r="K902" s="13" t="n">
        <v>8500</v>
      </c>
      <c r="L902" s="6" t="n">
        <f aca="false">H902*K902</f>
        <v>8500</v>
      </c>
      <c r="M902" s="4" t="s">
        <v>371</v>
      </c>
    </row>
    <row r="903" customFormat="false" ht="23.85" hidden="false" customHeight="false" outlineLevel="0" collapsed="false">
      <c r="A903" s="4" t="s">
        <v>147</v>
      </c>
      <c r="B903" s="5" t="s">
        <v>148</v>
      </c>
      <c r="C903" s="5" t="s">
        <v>149</v>
      </c>
      <c r="D903" s="4" t="s">
        <v>22</v>
      </c>
      <c r="E903" s="4" t="s">
        <v>1624</v>
      </c>
      <c r="F903" s="4" t="s">
        <v>470</v>
      </c>
      <c r="G903" s="4" t="s">
        <v>1625</v>
      </c>
      <c r="H903" s="12" t="n">
        <v>1</v>
      </c>
      <c r="I903" s="4" t="s">
        <v>408</v>
      </c>
      <c r="J903" s="4" t="s">
        <v>409</v>
      </c>
      <c r="K903" s="13" t="n">
        <v>25000</v>
      </c>
      <c r="L903" s="6" t="n">
        <f aca="false">H903*K903</f>
        <v>25000</v>
      </c>
      <c r="M903" s="14" t="s">
        <v>410</v>
      </c>
    </row>
    <row r="904" customFormat="false" ht="23.85" hidden="false" customHeight="false" outlineLevel="0" collapsed="false">
      <c r="A904" s="4" t="s">
        <v>147</v>
      </c>
      <c r="B904" s="5" t="s">
        <v>148</v>
      </c>
      <c r="C904" s="5" t="s">
        <v>149</v>
      </c>
      <c r="D904" s="4" t="s">
        <v>22</v>
      </c>
      <c r="E904" s="4" t="s">
        <v>1253</v>
      </c>
      <c r="F904" s="4" t="s">
        <v>470</v>
      </c>
      <c r="G904" s="4" t="s">
        <v>1254</v>
      </c>
      <c r="H904" s="12" t="n">
        <v>1</v>
      </c>
      <c r="I904" s="4" t="s">
        <v>408</v>
      </c>
      <c r="J904" s="4" t="s">
        <v>409</v>
      </c>
      <c r="K904" s="13" t="n">
        <v>8500</v>
      </c>
      <c r="L904" s="6" t="n">
        <f aca="false">H904*K904</f>
        <v>8500</v>
      </c>
      <c r="M904" s="14" t="s">
        <v>410</v>
      </c>
    </row>
    <row r="905" customFormat="false" ht="23.85" hidden="false" customHeight="false" outlineLevel="0" collapsed="false">
      <c r="A905" s="4" t="s">
        <v>147</v>
      </c>
      <c r="B905" s="5" t="s">
        <v>148</v>
      </c>
      <c r="C905" s="5" t="s">
        <v>149</v>
      </c>
      <c r="D905" s="4" t="s">
        <v>22</v>
      </c>
      <c r="E905" s="4" t="s">
        <v>1626</v>
      </c>
      <c r="F905" s="4" t="s">
        <v>470</v>
      </c>
      <c r="G905" s="4" t="s">
        <v>1627</v>
      </c>
      <c r="H905" s="12" t="n">
        <v>1</v>
      </c>
      <c r="I905" s="4" t="s">
        <v>408</v>
      </c>
      <c r="J905" s="4" t="s">
        <v>475</v>
      </c>
      <c r="K905" s="13" t="n">
        <v>2500</v>
      </c>
      <c r="L905" s="6" t="n">
        <f aca="false">H905*K905</f>
        <v>2500</v>
      </c>
      <c r="M905" s="14" t="s">
        <v>410</v>
      </c>
    </row>
    <row r="906" customFormat="false" ht="23.85" hidden="false" customHeight="false" outlineLevel="0" collapsed="false">
      <c r="A906" s="4" t="s">
        <v>147</v>
      </c>
      <c r="B906" s="5" t="s">
        <v>148</v>
      </c>
      <c r="C906" s="5" t="s">
        <v>149</v>
      </c>
      <c r="D906" s="4" t="s">
        <v>22</v>
      </c>
      <c r="E906" s="4" t="s">
        <v>1628</v>
      </c>
      <c r="F906" s="4" t="s">
        <v>470</v>
      </c>
      <c r="G906" s="4" t="s">
        <v>1629</v>
      </c>
      <c r="H906" s="12" t="n">
        <v>1</v>
      </c>
      <c r="I906" s="4" t="s">
        <v>408</v>
      </c>
      <c r="J906" s="4" t="s">
        <v>409</v>
      </c>
      <c r="K906" s="13" t="n">
        <v>8500</v>
      </c>
      <c r="L906" s="6" t="n">
        <f aca="false">H906*K906</f>
        <v>8500</v>
      </c>
      <c r="M906" s="14" t="s">
        <v>410</v>
      </c>
    </row>
    <row r="907" customFormat="false" ht="23.85" hidden="false" customHeight="false" outlineLevel="0" collapsed="false">
      <c r="A907" s="4" t="s">
        <v>147</v>
      </c>
      <c r="B907" s="5" t="s">
        <v>148</v>
      </c>
      <c r="C907" s="5" t="s">
        <v>149</v>
      </c>
      <c r="D907" s="4" t="s">
        <v>22</v>
      </c>
      <c r="E907" s="4" t="s">
        <v>1630</v>
      </c>
      <c r="F907" s="4" t="s">
        <v>470</v>
      </c>
      <c r="G907" s="4" t="s">
        <v>1631</v>
      </c>
      <c r="H907" s="12" t="n">
        <v>1</v>
      </c>
      <c r="I907" s="4" t="s">
        <v>408</v>
      </c>
      <c r="J907" s="4" t="s">
        <v>416</v>
      </c>
      <c r="K907" s="13" t="n">
        <v>65000</v>
      </c>
      <c r="L907" s="6" t="n">
        <f aca="false">H907*K907</f>
        <v>65000</v>
      </c>
      <c r="M907" s="4" t="s">
        <v>371</v>
      </c>
    </row>
    <row r="908" customFormat="false" ht="23.85" hidden="false" customHeight="false" outlineLevel="0" collapsed="false">
      <c r="A908" s="4" t="s">
        <v>147</v>
      </c>
      <c r="B908" s="5" t="s">
        <v>148</v>
      </c>
      <c r="C908" s="5" t="s">
        <v>149</v>
      </c>
      <c r="D908" s="4" t="s">
        <v>22</v>
      </c>
      <c r="E908" s="4" t="s">
        <v>1253</v>
      </c>
      <c r="F908" s="4" t="s">
        <v>470</v>
      </c>
      <c r="G908" s="4" t="s">
        <v>1254</v>
      </c>
      <c r="H908" s="12" t="n">
        <v>1</v>
      </c>
      <c r="I908" s="4" t="s">
        <v>408</v>
      </c>
      <c r="J908" s="4" t="s">
        <v>409</v>
      </c>
      <c r="K908" s="13" t="n">
        <v>8500</v>
      </c>
      <c r="L908" s="6" t="n">
        <f aca="false">H908*K908</f>
        <v>8500</v>
      </c>
      <c r="M908" s="14" t="s">
        <v>410</v>
      </c>
    </row>
    <row r="909" customFormat="false" ht="23.85" hidden="false" customHeight="false" outlineLevel="0" collapsed="false">
      <c r="A909" s="4" t="s">
        <v>147</v>
      </c>
      <c r="B909" s="5" t="s">
        <v>148</v>
      </c>
      <c r="C909" s="5" t="s">
        <v>149</v>
      </c>
      <c r="D909" s="4" t="s">
        <v>22</v>
      </c>
      <c r="E909" s="4" t="s">
        <v>1632</v>
      </c>
      <c r="F909" s="4" t="s">
        <v>470</v>
      </c>
      <c r="G909" s="4" t="s">
        <v>1633</v>
      </c>
      <c r="H909" s="12" t="n">
        <v>1</v>
      </c>
      <c r="I909" s="4" t="s">
        <v>408</v>
      </c>
      <c r="J909" s="4" t="s">
        <v>416</v>
      </c>
      <c r="K909" s="13" t="n">
        <v>1200</v>
      </c>
      <c r="L909" s="6" t="n">
        <f aca="false">H909*K909</f>
        <v>1200</v>
      </c>
      <c r="M909" s="14" t="s">
        <v>410</v>
      </c>
    </row>
    <row r="910" customFormat="false" ht="23.85" hidden="false" customHeight="false" outlineLevel="0" collapsed="false">
      <c r="A910" s="4" t="s">
        <v>147</v>
      </c>
      <c r="B910" s="5" t="s">
        <v>148</v>
      </c>
      <c r="C910" s="5" t="s">
        <v>149</v>
      </c>
      <c r="D910" s="4" t="s">
        <v>22</v>
      </c>
      <c r="E910" s="4" t="s">
        <v>1634</v>
      </c>
      <c r="F910" s="4" t="s">
        <v>470</v>
      </c>
      <c r="G910" s="4" t="s">
        <v>1635</v>
      </c>
      <c r="H910" s="12" t="n">
        <v>1</v>
      </c>
      <c r="I910" s="4" t="s">
        <v>408</v>
      </c>
      <c r="J910" s="4" t="s">
        <v>475</v>
      </c>
      <c r="K910" s="13" t="n">
        <v>350</v>
      </c>
      <c r="L910" s="6" t="n">
        <f aca="false">H910*K910</f>
        <v>350</v>
      </c>
      <c r="M910" s="4" t="s">
        <v>371</v>
      </c>
    </row>
    <row r="911" customFormat="false" ht="23.85" hidden="false" customHeight="false" outlineLevel="0" collapsed="false">
      <c r="A911" s="4" t="s">
        <v>147</v>
      </c>
      <c r="B911" s="5" t="s">
        <v>148</v>
      </c>
      <c r="C911" s="5" t="s">
        <v>149</v>
      </c>
      <c r="D911" s="4" t="s">
        <v>22</v>
      </c>
      <c r="E911" s="4" t="s">
        <v>1072</v>
      </c>
      <c r="F911" s="4" t="s">
        <v>470</v>
      </c>
      <c r="G911" s="4" t="s">
        <v>1073</v>
      </c>
      <c r="H911" s="12" t="n">
        <v>1</v>
      </c>
      <c r="I911" s="4" t="s">
        <v>408</v>
      </c>
      <c r="J911" s="4" t="s">
        <v>475</v>
      </c>
      <c r="K911" s="13" t="n">
        <v>450</v>
      </c>
      <c r="L911" s="6" t="n">
        <f aca="false">H911*K911</f>
        <v>450</v>
      </c>
      <c r="M911" s="4" t="s">
        <v>371</v>
      </c>
    </row>
    <row r="912" customFormat="false" ht="23.85" hidden="false" customHeight="false" outlineLevel="0" collapsed="false">
      <c r="A912" s="4" t="s">
        <v>147</v>
      </c>
      <c r="B912" s="5" t="s">
        <v>148</v>
      </c>
      <c r="C912" s="5" t="s">
        <v>149</v>
      </c>
      <c r="D912" s="4" t="s">
        <v>22</v>
      </c>
      <c r="E912" s="4" t="s">
        <v>1074</v>
      </c>
      <c r="F912" s="4" t="s">
        <v>470</v>
      </c>
      <c r="G912" s="4" t="s">
        <v>1075</v>
      </c>
      <c r="H912" s="12" t="n">
        <v>1</v>
      </c>
      <c r="I912" s="4" t="s">
        <v>408</v>
      </c>
      <c r="J912" s="4" t="s">
        <v>409</v>
      </c>
      <c r="K912" s="13" t="n">
        <v>850</v>
      </c>
      <c r="L912" s="6" t="n">
        <f aca="false">H912*K912</f>
        <v>850</v>
      </c>
      <c r="M912" s="4" t="s">
        <v>371</v>
      </c>
    </row>
    <row r="913" customFormat="false" ht="23.85" hidden="false" customHeight="false" outlineLevel="0" collapsed="false">
      <c r="A913" s="4" t="s">
        <v>147</v>
      </c>
      <c r="B913" s="5" t="s">
        <v>148</v>
      </c>
      <c r="C913" s="5" t="s">
        <v>149</v>
      </c>
      <c r="D913" s="4" t="s">
        <v>22</v>
      </c>
      <c r="E913" s="4" t="s">
        <v>1636</v>
      </c>
      <c r="F913" s="4" t="s">
        <v>470</v>
      </c>
      <c r="G913" s="4" t="s">
        <v>1637</v>
      </c>
      <c r="H913" s="12" t="n">
        <v>1</v>
      </c>
      <c r="I913" s="4" t="s">
        <v>408</v>
      </c>
      <c r="J913" s="4" t="s">
        <v>475</v>
      </c>
      <c r="K913" s="13" t="n">
        <v>180</v>
      </c>
      <c r="L913" s="6" t="n">
        <f aca="false">H913*K913</f>
        <v>180</v>
      </c>
      <c r="M913" s="4" t="s">
        <v>371</v>
      </c>
    </row>
    <row r="914" customFormat="false" ht="23.85" hidden="false" customHeight="false" outlineLevel="0" collapsed="false">
      <c r="A914" s="4" t="s">
        <v>147</v>
      </c>
      <c r="B914" s="5" t="s">
        <v>148</v>
      </c>
      <c r="C914" s="5" t="s">
        <v>149</v>
      </c>
      <c r="D914" s="4" t="s">
        <v>22</v>
      </c>
      <c r="E914" s="4" t="s">
        <v>1638</v>
      </c>
      <c r="F914" s="4" t="s">
        <v>470</v>
      </c>
      <c r="G914" s="4" t="s">
        <v>1639</v>
      </c>
      <c r="H914" s="12" t="n">
        <v>1</v>
      </c>
      <c r="I914" s="4" t="s">
        <v>408</v>
      </c>
      <c r="J914" s="4" t="s">
        <v>475</v>
      </c>
      <c r="K914" s="13" t="n">
        <v>2500</v>
      </c>
      <c r="L914" s="6" t="n">
        <f aca="false">H914*K914</f>
        <v>2500</v>
      </c>
      <c r="M914" s="4" t="s">
        <v>371</v>
      </c>
    </row>
    <row r="915" customFormat="false" ht="23.85" hidden="false" customHeight="false" outlineLevel="0" collapsed="false">
      <c r="A915" s="4" t="s">
        <v>147</v>
      </c>
      <c r="B915" s="5" t="s">
        <v>148</v>
      </c>
      <c r="C915" s="5" t="s">
        <v>149</v>
      </c>
      <c r="D915" s="4" t="s">
        <v>22</v>
      </c>
      <c r="E915" s="4" t="s">
        <v>1640</v>
      </c>
      <c r="F915" s="4" t="s">
        <v>470</v>
      </c>
      <c r="G915" s="4" t="s">
        <v>1641</v>
      </c>
      <c r="H915" s="12" t="n">
        <v>1</v>
      </c>
      <c r="I915" s="4" t="s">
        <v>408</v>
      </c>
      <c r="J915" s="4" t="s">
        <v>416</v>
      </c>
      <c r="K915" s="13" t="n">
        <v>450</v>
      </c>
      <c r="L915" s="6" t="n">
        <f aca="false">H915*K915</f>
        <v>450</v>
      </c>
      <c r="M915" s="4" t="s">
        <v>371</v>
      </c>
    </row>
    <row r="916" customFormat="false" ht="23.85" hidden="false" customHeight="false" outlineLevel="0" collapsed="false">
      <c r="A916" s="4" t="s">
        <v>147</v>
      </c>
      <c r="B916" s="5" t="s">
        <v>148</v>
      </c>
      <c r="C916" s="5" t="s">
        <v>149</v>
      </c>
      <c r="D916" s="4" t="s">
        <v>22</v>
      </c>
      <c r="E916" s="4" t="s">
        <v>1089</v>
      </c>
      <c r="F916" s="4" t="s">
        <v>470</v>
      </c>
      <c r="G916" s="4" t="s">
        <v>1090</v>
      </c>
      <c r="H916" s="12" t="n">
        <v>1</v>
      </c>
      <c r="I916" s="4" t="s">
        <v>408</v>
      </c>
      <c r="J916" s="4" t="s">
        <v>409</v>
      </c>
      <c r="K916" s="13" t="n">
        <v>3500</v>
      </c>
      <c r="L916" s="6" t="n">
        <f aca="false">H916*K916</f>
        <v>3500</v>
      </c>
      <c r="M916" s="4" t="s">
        <v>371</v>
      </c>
    </row>
    <row r="917" customFormat="false" ht="23.85" hidden="false" customHeight="false" outlineLevel="0" collapsed="false">
      <c r="A917" s="4" t="s">
        <v>147</v>
      </c>
      <c r="B917" s="5" t="s">
        <v>148</v>
      </c>
      <c r="C917" s="5" t="s">
        <v>149</v>
      </c>
      <c r="D917" s="4" t="s">
        <v>22</v>
      </c>
      <c r="E917" s="4" t="s">
        <v>1451</v>
      </c>
      <c r="F917" s="4" t="s">
        <v>470</v>
      </c>
      <c r="G917" s="4" t="s">
        <v>1452</v>
      </c>
      <c r="H917" s="12" t="n">
        <v>1</v>
      </c>
      <c r="I917" s="4" t="s">
        <v>408</v>
      </c>
      <c r="J917" s="4" t="s">
        <v>413</v>
      </c>
      <c r="K917" s="13" t="n">
        <v>450</v>
      </c>
      <c r="L917" s="6" t="n">
        <f aca="false">H917*K917</f>
        <v>450</v>
      </c>
      <c r="M917" s="4" t="s">
        <v>371</v>
      </c>
    </row>
    <row r="918" customFormat="false" ht="23.85" hidden="false" customHeight="false" outlineLevel="0" collapsed="false">
      <c r="A918" s="4" t="s">
        <v>147</v>
      </c>
      <c r="B918" s="5" t="s">
        <v>148</v>
      </c>
      <c r="C918" s="5" t="s">
        <v>149</v>
      </c>
      <c r="D918" s="4" t="s">
        <v>22</v>
      </c>
      <c r="E918" s="4" t="s">
        <v>1104</v>
      </c>
      <c r="F918" s="4" t="s">
        <v>470</v>
      </c>
      <c r="G918" s="4" t="s">
        <v>1105</v>
      </c>
      <c r="H918" s="12" t="n">
        <v>1</v>
      </c>
      <c r="I918" s="4" t="s">
        <v>408</v>
      </c>
      <c r="J918" s="4" t="s">
        <v>409</v>
      </c>
      <c r="K918" s="13" t="n">
        <v>3500</v>
      </c>
      <c r="L918" s="6" t="n">
        <f aca="false">H918*K918</f>
        <v>3500</v>
      </c>
      <c r="M918" s="4" t="s">
        <v>371</v>
      </c>
    </row>
    <row r="919" customFormat="false" ht="23.85" hidden="false" customHeight="false" outlineLevel="0" collapsed="false">
      <c r="A919" s="4" t="s">
        <v>147</v>
      </c>
      <c r="B919" s="5" t="s">
        <v>148</v>
      </c>
      <c r="C919" s="5" t="s">
        <v>149</v>
      </c>
      <c r="D919" s="4" t="s">
        <v>22</v>
      </c>
      <c r="E919" s="4" t="s">
        <v>1642</v>
      </c>
      <c r="F919" s="4" t="s">
        <v>470</v>
      </c>
      <c r="G919" s="4" t="s">
        <v>1643</v>
      </c>
      <c r="H919" s="12" t="n">
        <v>1</v>
      </c>
      <c r="I919" s="4" t="s">
        <v>408</v>
      </c>
      <c r="J919" s="4" t="s">
        <v>409</v>
      </c>
      <c r="K919" s="13" t="n">
        <v>350</v>
      </c>
      <c r="L919" s="6" t="n">
        <f aca="false">H919*K919</f>
        <v>350</v>
      </c>
      <c r="M919" s="4" t="s">
        <v>371</v>
      </c>
    </row>
    <row r="920" customFormat="false" ht="23.85" hidden="false" customHeight="false" outlineLevel="0" collapsed="false">
      <c r="A920" s="4" t="s">
        <v>147</v>
      </c>
      <c r="B920" s="5" t="s">
        <v>148</v>
      </c>
      <c r="C920" s="5" t="s">
        <v>149</v>
      </c>
      <c r="D920" s="4" t="s">
        <v>22</v>
      </c>
      <c r="E920" s="4" t="s">
        <v>1644</v>
      </c>
      <c r="F920" s="4" t="s">
        <v>470</v>
      </c>
      <c r="G920" s="4" t="s">
        <v>1645</v>
      </c>
      <c r="H920" s="12" t="n">
        <v>1</v>
      </c>
      <c r="I920" s="4" t="s">
        <v>408</v>
      </c>
      <c r="J920" s="4" t="s">
        <v>416</v>
      </c>
      <c r="K920" s="13" t="n">
        <v>450</v>
      </c>
      <c r="L920" s="6" t="n">
        <f aca="false">H920*K920</f>
        <v>450</v>
      </c>
      <c r="M920" s="4" t="s">
        <v>371</v>
      </c>
    </row>
    <row r="921" customFormat="false" ht="23.85" hidden="false" customHeight="false" outlineLevel="0" collapsed="false">
      <c r="A921" s="4" t="s">
        <v>147</v>
      </c>
      <c r="B921" s="5" t="s">
        <v>148</v>
      </c>
      <c r="C921" s="5" t="s">
        <v>149</v>
      </c>
      <c r="D921" s="4" t="s">
        <v>22</v>
      </c>
      <c r="E921" s="4" t="s">
        <v>1646</v>
      </c>
      <c r="F921" s="4" t="s">
        <v>470</v>
      </c>
      <c r="G921" s="4" t="s">
        <v>1647</v>
      </c>
      <c r="H921" s="12" t="n">
        <v>1</v>
      </c>
      <c r="I921" s="4" t="s">
        <v>408</v>
      </c>
      <c r="J921" s="4" t="s">
        <v>416</v>
      </c>
      <c r="K921" s="13" t="n">
        <v>850</v>
      </c>
      <c r="L921" s="6" t="n">
        <f aca="false">H921*K921</f>
        <v>850</v>
      </c>
      <c r="M921" s="4" t="s">
        <v>371</v>
      </c>
    </row>
    <row r="922" customFormat="false" ht="23.85" hidden="false" customHeight="false" outlineLevel="0" collapsed="false">
      <c r="A922" s="4" t="s">
        <v>147</v>
      </c>
      <c r="B922" s="5" t="s">
        <v>148</v>
      </c>
      <c r="C922" s="5" t="s">
        <v>149</v>
      </c>
      <c r="D922" s="4" t="s">
        <v>22</v>
      </c>
      <c r="E922" s="4" t="s">
        <v>1648</v>
      </c>
      <c r="F922" s="4" t="s">
        <v>470</v>
      </c>
      <c r="G922" s="4" t="s">
        <v>1424</v>
      </c>
      <c r="H922" s="12" t="n">
        <v>1</v>
      </c>
      <c r="I922" s="4" t="s">
        <v>408</v>
      </c>
      <c r="J922" s="4" t="s">
        <v>409</v>
      </c>
      <c r="K922" s="13" t="n">
        <v>3500</v>
      </c>
      <c r="L922" s="6" t="n">
        <f aca="false">H922*K922</f>
        <v>3500</v>
      </c>
      <c r="M922" s="4" t="s">
        <v>371</v>
      </c>
    </row>
    <row r="923" customFormat="false" ht="23.85" hidden="false" customHeight="false" outlineLevel="0" collapsed="false">
      <c r="A923" s="4" t="s">
        <v>147</v>
      </c>
      <c r="B923" s="5" t="s">
        <v>148</v>
      </c>
      <c r="C923" s="5" t="s">
        <v>149</v>
      </c>
      <c r="D923" s="4" t="s">
        <v>22</v>
      </c>
      <c r="E923" s="4" t="s">
        <v>1649</v>
      </c>
      <c r="F923" s="4" t="s">
        <v>488</v>
      </c>
      <c r="G923" s="4" t="s">
        <v>1650</v>
      </c>
      <c r="H923" s="12" t="n">
        <v>1</v>
      </c>
      <c r="I923" s="4" t="s">
        <v>408</v>
      </c>
      <c r="J923" s="4" t="s">
        <v>416</v>
      </c>
      <c r="K923" s="13" t="n">
        <v>850</v>
      </c>
      <c r="L923" s="6" t="n">
        <f aca="false">H923*K923</f>
        <v>850</v>
      </c>
      <c r="M923" s="4" t="s">
        <v>371</v>
      </c>
    </row>
    <row r="924" customFormat="false" ht="23.85" hidden="false" customHeight="false" outlineLevel="0" collapsed="false">
      <c r="A924" s="4" t="s">
        <v>147</v>
      </c>
      <c r="B924" s="5" t="s">
        <v>148</v>
      </c>
      <c r="C924" s="5" t="s">
        <v>149</v>
      </c>
      <c r="D924" s="4" t="s">
        <v>22</v>
      </c>
      <c r="E924" s="4" t="s">
        <v>1651</v>
      </c>
      <c r="F924" s="4" t="s">
        <v>488</v>
      </c>
      <c r="G924" s="4" t="s">
        <v>1652</v>
      </c>
      <c r="H924" s="12" t="n">
        <v>1</v>
      </c>
      <c r="I924" s="4" t="s">
        <v>408</v>
      </c>
      <c r="J924" s="4" t="s">
        <v>429</v>
      </c>
      <c r="K924" s="13" t="n">
        <v>45</v>
      </c>
      <c r="L924" s="6" t="n">
        <f aca="false">H924*K924</f>
        <v>45</v>
      </c>
      <c r="M924" s="4" t="s">
        <v>371</v>
      </c>
    </row>
    <row r="925" customFormat="false" ht="23.85" hidden="false" customHeight="false" outlineLevel="0" collapsed="false">
      <c r="A925" s="4" t="s">
        <v>147</v>
      </c>
      <c r="B925" s="5" t="s">
        <v>148</v>
      </c>
      <c r="C925" s="5" t="s">
        <v>149</v>
      </c>
      <c r="D925" s="4" t="s">
        <v>22</v>
      </c>
      <c r="E925" s="4" t="s">
        <v>1653</v>
      </c>
      <c r="F925" s="4" t="s">
        <v>488</v>
      </c>
      <c r="G925" s="4" t="s">
        <v>1654</v>
      </c>
      <c r="H925" s="12" t="n">
        <v>1</v>
      </c>
      <c r="I925" s="4" t="s">
        <v>408</v>
      </c>
      <c r="J925" s="4" t="s">
        <v>807</v>
      </c>
      <c r="K925" s="13" t="n">
        <v>45</v>
      </c>
      <c r="L925" s="6" t="n">
        <f aca="false">H925*K925</f>
        <v>45</v>
      </c>
      <c r="M925" s="4" t="s">
        <v>371</v>
      </c>
    </row>
    <row r="926" customFormat="false" ht="23.85" hidden="false" customHeight="false" outlineLevel="0" collapsed="false">
      <c r="A926" s="4" t="s">
        <v>147</v>
      </c>
      <c r="B926" s="5" t="s">
        <v>148</v>
      </c>
      <c r="C926" s="5" t="s">
        <v>149</v>
      </c>
      <c r="D926" s="4" t="s">
        <v>22</v>
      </c>
      <c r="E926" s="4" t="s">
        <v>1655</v>
      </c>
      <c r="F926" s="4" t="s">
        <v>488</v>
      </c>
      <c r="G926" s="4" t="s">
        <v>1656</v>
      </c>
      <c r="H926" s="12" t="n">
        <v>1</v>
      </c>
      <c r="I926" s="4" t="s">
        <v>408</v>
      </c>
      <c r="J926" s="4" t="s">
        <v>807</v>
      </c>
      <c r="K926" s="13" t="n">
        <v>250</v>
      </c>
      <c r="L926" s="6" t="n">
        <f aca="false">H926*K926</f>
        <v>250</v>
      </c>
      <c r="M926" s="4" t="s">
        <v>371</v>
      </c>
    </row>
    <row r="927" customFormat="false" ht="23.85" hidden="false" customHeight="false" outlineLevel="0" collapsed="false">
      <c r="A927" s="4" t="s">
        <v>147</v>
      </c>
      <c r="B927" s="5" t="s">
        <v>148</v>
      </c>
      <c r="C927" s="5" t="s">
        <v>149</v>
      </c>
      <c r="D927" s="4" t="s">
        <v>22</v>
      </c>
      <c r="E927" s="4" t="s">
        <v>1657</v>
      </c>
      <c r="F927" s="4" t="s">
        <v>488</v>
      </c>
      <c r="G927" s="4" t="s">
        <v>1658</v>
      </c>
      <c r="H927" s="12" t="n">
        <v>1</v>
      </c>
      <c r="I927" s="4" t="s">
        <v>408</v>
      </c>
      <c r="J927" s="4" t="s">
        <v>503</v>
      </c>
      <c r="K927" s="13" t="n">
        <v>120</v>
      </c>
      <c r="L927" s="6" t="n">
        <f aca="false">H927*K927</f>
        <v>120</v>
      </c>
      <c r="M927" s="4" t="s">
        <v>371</v>
      </c>
    </row>
    <row r="928" customFormat="false" ht="23.85" hidden="false" customHeight="false" outlineLevel="0" collapsed="false">
      <c r="A928" s="4" t="s">
        <v>147</v>
      </c>
      <c r="B928" s="5" t="s">
        <v>148</v>
      </c>
      <c r="C928" s="5" t="s">
        <v>149</v>
      </c>
      <c r="D928" s="4" t="s">
        <v>22</v>
      </c>
      <c r="E928" s="4" t="s">
        <v>1659</v>
      </c>
      <c r="F928" s="4" t="s">
        <v>488</v>
      </c>
      <c r="G928" s="4" t="s">
        <v>1660</v>
      </c>
      <c r="H928" s="12" t="n">
        <v>1</v>
      </c>
      <c r="I928" s="4" t="s">
        <v>408</v>
      </c>
      <c r="J928" s="4" t="s">
        <v>409</v>
      </c>
      <c r="K928" s="13" t="n">
        <v>25</v>
      </c>
      <c r="L928" s="6" t="n">
        <f aca="false">H928*K928</f>
        <v>25</v>
      </c>
      <c r="M928" s="4" t="s">
        <v>371</v>
      </c>
    </row>
    <row r="929" customFormat="false" ht="23.85" hidden="false" customHeight="false" outlineLevel="0" collapsed="false">
      <c r="A929" s="4" t="s">
        <v>147</v>
      </c>
      <c r="B929" s="5" t="s">
        <v>160</v>
      </c>
      <c r="C929" s="5" t="s">
        <v>161</v>
      </c>
      <c r="D929" s="4" t="s">
        <v>22</v>
      </c>
      <c r="E929" s="4" t="s">
        <v>1661</v>
      </c>
      <c r="F929" s="4" t="s">
        <v>406</v>
      </c>
      <c r="G929" s="4" t="s">
        <v>1662</v>
      </c>
      <c r="H929" s="12" t="n">
        <v>1</v>
      </c>
      <c r="I929" s="4" t="s">
        <v>408</v>
      </c>
      <c r="J929" s="4" t="s">
        <v>409</v>
      </c>
      <c r="K929" s="13" t="n">
        <v>250</v>
      </c>
      <c r="L929" s="6" t="n">
        <f aca="false">H929*K929</f>
        <v>250</v>
      </c>
      <c r="M929" s="14" t="s">
        <v>410</v>
      </c>
    </row>
    <row r="930" customFormat="false" ht="23.85" hidden="false" customHeight="false" outlineLevel="0" collapsed="false">
      <c r="A930" s="4" t="s">
        <v>147</v>
      </c>
      <c r="B930" s="5" t="s">
        <v>160</v>
      </c>
      <c r="C930" s="5" t="s">
        <v>161</v>
      </c>
      <c r="D930" s="4" t="s">
        <v>22</v>
      </c>
      <c r="E930" s="4" t="s">
        <v>1663</v>
      </c>
      <c r="F930" s="4" t="s">
        <v>406</v>
      </c>
      <c r="G930" s="4" t="s">
        <v>1604</v>
      </c>
      <c r="H930" s="12" t="n">
        <v>1</v>
      </c>
      <c r="I930" s="4" t="s">
        <v>408</v>
      </c>
      <c r="J930" s="4" t="s">
        <v>416</v>
      </c>
      <c r="K930" s="13" t="n">
        <v>1200</v>
      </c>
      <c r="L930" s="6" t="n">
        <f aca="false">H930*K930</f>
        <v>1200</v>
      </c>
      <c r="M930" s="14" t="s">
        <v>410</v>
      </c>
    </row>
    <row r="931" customFormat="false" ht="23.85" hidden="false" customHeight="false" outlineLevel="0" collapsed="false">
      <c r="A931" s="4" t="s">
        <v>147</v>
      </c>
      <c r="B931" s="5" t="s">
        <v>160</v>
      </c>
      <c r="C931" s="5" t="s">
        <v>161</v>
      </c>
      <c r="D931" s="4" t="s">
        <v>22</v>
      </c>
      <c r="E931" s="4" t="s">
        <v>1664</v>
      </c>
      <c r="F931" s="4" t="s">
        <v>406</v>
      </c>
      <c r="G931" s="4" t="s">
        <v>1665</v>
      </c>
      <c r="H931" s="12" t="n">
        <v>1</v>
      </c>
      <c r="I931" s="4" t="s">
        <v>408</v>
      </c>
      <c r="J931" s="4" t="s">
        <v>416</v>
      </c>
      <c r="K931" s="13" t="n">
        <v>1200</v>
      </c>
      <c r="L931" s="6" t="n">
        <f aca="false">H931*K931</f>
        <v>1200</v>
      </c>
      <c r="M931" s="14" t="s">
        <v>410</v>
      </c>
    </row>
    <row r="932" customFormat="false" ht="23.85" hidden="false" customHeight="false" outlineLevel="0" collapsed="false">
      <c r="A932" s="4" t="s">
        <v>147</v>
      </c>
      <c r="B932" s="5" t="s">
        <v>160</v>
      </c>
      <c r="C932" s="5" t="s">
        <v>161</v>
      </c>
      <c r="D932" s="4" t="s">
        <v>22</v>
      </c>
      <c r="E932" s="4" t="s">
        <v>1666</v>
      </c>
      <c r="F932" s="4" t="s">
        <v>406</v>
      </c>
      <c r="G932" s="4" t="s">
        <v>1667</v>
      </c>
      <c r="H932" s="12" t="n">
        <v>1</v>
      </c>
      <c r="I932" s="4" t="s">
        <v>408</v>
      </c>
      <c r="J932" s="4" t="s">
        <v>409</v>
      </c>
      <c r="K932" s="13" t="n">
        <v>450</v>
      </c>
      <c r="L932" s="6" t="n">
        <f aca="false">H932*K932</f>
        <v>450</v>
      </c>
      <c r="M932" s="14" t="s">
        <v>410</v>
      </c>
    </row>
    <row r="933" customFormat="false" ht="23.85" hidden="false" customHeight="false" outlineLevel="0" collapsed="false">
      <c r="A933" s="4" t="s">
        <v>147</v>
      </c>
      <c r="B933" s="5" t="s">
        <v>160</v>
      </c>
      <c r="C933" s="5" t="s">
        <v>161</v>
      </c>
      <c r="D933" s="4" t="s">
        <v>22</v>
      </c>
      <c r="E933" s="4" t="s">
        <v>1668</v>
      </c>
      <c r="F933" s="4" t="s">
        <v>406</v>
      </c>
      <c r="G933" s="4" t="s">
        <v>1669</v>
      </c>
      <c r="H933" s="12" t="n">
        <v>1</v>
      </c>
      <c r="I933" s="4" t="s">
        <v>408</v>
      </c>
      <c r="J933" s="4" t="s">
        <v>416</v>
      </c>
      <c r="K933" s="13" t="n">
        <v>1200</v>
      </c>
      <c r="L933" s="6" t="n">
        <f aca="false">H933*K933</f>
        <v>1200</v>
      </c>
      <c r="M933" s="14" t="s">
        <v>410</v>
      </c>
    </row>
    <row r="934" customFormat="false" ht="23.85" hidden="false" customHeight="false" outlineLevel="0" collapsed="false">
      <c r="A934" s="4" t="s">
        <v>147</v>
      </c>
      <c r="B934" s="5" t="s">
        <v>160</v>
      </c>
      <c r="C934" s="5" t="s">
        <v>161</v>
      </c>
      <c r="D934" s="4" t="s">
        <v>22</v>
      </c>
      <c r="E934" s="4" t="s">
        <v>1670</v>
      </c>
      <c r="F934" s="4" t="s">
        <v>406</v>
      </c>
      <c r="G934" s="4" t="s">
        <v>1671</v>
      </c>
      <c r="H934" s="12" t="n">
        <v>1</v>
      </c>
      <c r="I934" s="4" t="s">
        <v>408</v>
      </c>
      <c r="J934" s="4" t="s">
        <v>413</v>
      </c>
      <c r="K934" s="13" t="n">
        <v>1200</v>
      </c>
      <c r="L934" s="6" t="n">
        <f aca="false">H934*K934</f>
        <v>1200</v>
      </c>
      <c r="M934" s="14" t="s">
        <v>410</v>
      </c>
    </row>
    <row r="935" customFormat="false" ht="23.85" hidden="false" customHeight="false" outlineLevel="0" collapsed="false">
      <c r="A935" s="4" t="s">
        <v>147</v>
      </c>
      <c r="B935" s="5" t="s">
        <v>160</v>
      </c>
      <c r="C935" s="5" t="s">
        <v>161</v>
      </c>
      <c r="D935" s="4" t="s">
        <v>22</v>
      </c>
      <c r="E935" s="4" t="s">
        <v>1672</v>
      </c>
      <c r="F935" s="4" t="s">
        <v>406</v>
      </c>
      <c r="G935" s="4" t="s">
        <v>1673</v>
      </c>
      <c r="H935" s="12" t="n">
        <v>1</v>
      </c>
      <c r="I935" s="4" t="s">
        <v>408</v>
      </c>
      <c r="J935" s="4" t="s">
        <v>409</v>
      </c>
      <c r="K935" s="13" t="n">
        <v>3500</v>
      </c>
      <c r="L935" s="6" t="n">
        <f aca="false">H935*K935</f>
        <v>3500</v>
      </c>
      <c r="M935" s="14" t="s">
        <v>410</v>
      </c>
    </row>
    <row r="936" customFormat="false" ht="23.85" hidden="false" customHeight="false" outlineLevel="0" collapsed="false">
      <c r="A936" s="4" t="s">
        <v>147</v>
      </c>
      <c r="B936" s="5" t="s">
        <v>160</v>
      </c>
      <c r="C936" s="5" t="s">
        <v>161</v>
      </c>
      <c r="D936" s="4" t="s">
        <v>22</v>
      </c>
      <c r="E936" s="4" t="s">
        <v>1674</v>
      </c>
      <c r="F936" s="4" t="s">
        <v>406</v>
      </c>
      <c r="G936" s="4" t="s">
        <v>778</v>
      </c>
      <c r="H936" s="12" t="n">
        <v>1</v>
      </c>
      <c r="I936" s="4" t="s">
        <v>408</v>
      </c>
      <c r="J936" s="4" t="s">
        <v>409</v>
      </c>
      <c r="K936" s="13" t="n">
        <v>120</v>
      </c>
      <c r="L936" s="6" t="n">
        <f aca="false">H936*K936</f>
        <v>120</v>
      </c>
      <c r="M936" s="14" t="s">
        <v>410</v>
      </c>
    </row>
    <row r="937" customFormat="false" ht="23.85" hidden="false" customHeight="false" outlineLevel="0" collapsed="false">
      <c r="A937" s="4" t="s">
        <v>147</v>
      </c>
      <c r="B937" s="5" t="s">
        <v>160</v>
      </c>
      <c r="C937" s="5" t="s">
        <v>161</v>
      </c>
      <c r="D937" s="4" t="s">
        <v>22</v>
      </c>
      <c r="E937" s="4" t="s">
        <v>1675</v>
      </c>
      <c r="F937" s="4" t="s">
        <v>406</v>
      </c>
      <c r="G937" s="4" t="s">
        <v>1676</v>
      </c>
      <c r="H937" s="12" t="n">
        <v>1</v>
      </c>
      <c r="I937" s="4" t="s">
        <v>408</v>
      </c>
      <c r="J937" s="4" t="s">
        <v>409</v>
      </c>
      <c r="K937" s="13" t="n">
        <v>450</v>
      </c>
      <c r="L937" s="6" t="n">
        <f aca="false">H937*K937</f>
        <v>450</v>
      </c>
      <c r="M937" s="14" t="s">
        <v>410</v>
      </c>
    </row>
    <row r="938" customFormat="false" ht="23.85" hidden="false" customHeight="false" outlineLevel="0" collapsed="false">
      <c r="A938" s="4" t="s">
        <v>147</v>
      </c>
      <c r="B938" s="5" t="s">
        <v>160</v>
      </c>
      <c r="C938" s="5" t="s">
        <v>161</v>
      </c>
      <c r="D938" s="4" t="s">
        <v>22</v>
      </c>
      <c r="E938" s="4" t="s">
        <v>1194</v>
      </c>
      <c r="F938" s="4" t="s">
        <v>406</v>
      </c>
      <c r="G938" s="4" t="s">
        <v>1195</v>
      </c>
      <c r="H938" s="12" t="n">
        <v>1</v>
      </c>
      <c r="I938" s="4" t="s">
        <v>408</v>
      </c>
      <c r="J938" s="4" t="s">
        <v>409</v>
      </c>
      <c r="K938" s="13" t="n">
        <v>450</v>
      </c>
      <c r="L938" s="6" t="n">
        <f aca="false">H938*K938</f>
        <v>450</v>
      </c>
      <c r="M938" s="14" t="s">
        <v>410</v>
      </c>
    </row>
    <row r="939" customFormat="false" ht="23.85" hidden="false" customHeight="false" outlineLevel="0" collapsed="false">
      <c r="A939" s="4" t="s">
        <v>147</v>
      </c>
      <c r="B939" s="5" t="s">
        <v>160</v>
      </c>
      <c r="C939" s="5" t="s">
        <v>161</v>
      </c>
      <c r="D939" s="4" t="s">
        <v>22</v>
      </c>
      <c r="E939" s="4" t="s">
        <v>1677</v>
      </c>
      <c r="F939" s="4" t="s">
        <v>406</v>
      </c>
      <c r="G939" s="4" t="s">
        <v>1678</v>
      </c>
      <c r="H939" s="12" t="n">
        <v>1</v>
      </c>
      <c r="I939" s="4" t="s">
        <v>408</v>
      </c>
      <c r="J939" s="4" t="s">
        <v>409</v>
      </c>
      <c r="K939" s="13" t="n">
        <v>250</v>
      </c>
      <c r="L939" s="6" t="n">
        <f aca="false">H939*K939</f>
        <v>250</v>
      </c>
      <c r="M939" s="14" t="s">
        <v>410</v>
      </c>
    </row>
    <row r="940" customFormat="false" ht="23.85" hidden="false" customHeight="false" outlineLevel="0" collapsed="false">
      <c r="A940" s="4" t="s">
        <v>147</v>
      </c>
      <c r="B940" s="5" t="s">
        <v>160</v>
      </c>
      <c r="C940" s="5" t="s">
        <v>161</v>
      </c>
      <c r="D940" s="4" t="s">
        <v>22</v>
      </c>
      <c r="E940" s="4" t="s">
        <v>1208</v>
      </c>
      <c r="F940" s="4" t="s">
        <v>406</v>
      </c>
      <c r="G940" s="4" t="s">
        <v>1209</v>
      </c>
      <c r="H940" s="12" t="n">
        <v>1</v>
      </c>
      <c r="I940" s="4" t="s">
        <v>408</v>
      </c>
      <c r="J940" s="4" t="s">
        <v>409</v>
      </c>
      <c r="K940" s="13" t="n">
        <v>850</v>
      </c>
      <c r="L940" s="6" t="n">
        <f aca="false">H940*K940</f>
        <v>850</v>
      </c>
      <c r="M940" s="14" t="s">
        <v>410</v>
      </c>
    </row>
    <row r="941" customFormat="false" ht="23.85" hidden="false" customHeight="false" outlineLevel="0" collapsed="false">
      <c r="A941" s="4" t="s">
        <v>147</v>
      </c>
      <c r="B941" s="5" t="s">
        <v>160</v>
      </c>
      <c r="C941" s="5" t="s">
        <v>161</v>
      </c>
      <c r="D941" s="4" t="s">
        <v>22</v>
      </c>
      <c r="E941" s="4" t="s">
        <v>1679</v>
      </c>
      <c r="F941" s="4" t="s">
        <v>406</v>
      </c>
      <c r="G941" s="4" t="s">
        <v>1680</v>
      </c>
      <c r="H941" s="12" t="n">
        <v>1</v>
      </c>
      <c r="I941" s="4" t="s">
        <v>408</v>
      </c>
      <c r="J941" s="4" t="s">
        <v>409</v>
      </c>
      <c r="K941" s="13" t="n">
        <v>8500</v>
      </c>
      <c r="L941" s="6" t="n">
        <f aca="false">H941*K941</f>
        <v>8500</v>
      </c>
      <c r="M941" s="14" t="s">
        <v>410</v>
      </c>
    </row>
    <row r="942" customFormat="false" ht="23.85" hidden="false" customHeight="false" outlineLevel="0" collapsed="false">
      <c r="A942" s="4" t="s">
        <v>147</v>
      </c>
      <c r="B942" s="5" t="s">
        <v>160</v>
      </c>
      <c r="C942" s="5" t="s">
        <v>161</v>
      </c>
      <c r="D942" s="4" t="s">
        <v>22</v>
      </c>
      <c r="E942" s="4" t="s">
        <v>1681</v>
      </c>
      <c r="F942" s="4" t="s">
        <v>406</v>
      </c>
      <c r="G942" s="4" t="s">
        <v>1682</v>
      </c>
      <c r="H942" s="12" t="n">
        <v>1</v>
      </c>
      <c r="I942" s="4" t="s">
        <v>408</v>
      </c>
      <c r="J942" s="4" t="s">
        <v>409</v>
      </c>
      <c r="K942" s="13" t="n">
        <v>3500</v>
      </c>
      <c r="L942" s="6" t="n">
        <f aca="false">H942*K942</f>
        <v>3500</v>
      </c>
      <c r="M942" s="14" t="s">
        <v>410</v>
      </c>
    </row>
    <row r="943" customFormat="false" ht="23.85" hidden="false" customHeight="false" outlineLevel="0" collapsed="false">
      <c r="A943" s="4" t="s">
        <v>147</v>
      </c>
      <c r="B943" s="5" t="s">
        <v>160</v>
      </c>
      <c r="C943" s="5" t="s">
        <v>161</v>
      </c>
      <c r="D943" s="4" t="s">
        <v>22</v>
      </c>
      <c r="E943" s="4" t="s">
        <v>1683</v>
      </c>
      <c r="F943" s="4" t="s">
        <v>406</v>
      </c>
      <c r="G943" s="4" t="s">
        <v>1684</v>
      </c>
      <c r="H943" s="12" t="n">
        <v>1</v>
      </c>
      <c r="I943" s="4" t="s">
        <v>408</v>
      </c>
      <c r="J943" s="4" t="s">
        <v>409</v>
      </c>
      <c r="K943" s="13" t="n">
        <v>120</v>
      </c>
      <c r="L943" s="6" t="n">
        <f aca="false">H943*K943</f>
        <v>120</v>
      </c>
      <c r="M943" s="14" t="s">
        <v>410</v>
      </c>
    </row>
    <row r="944" customFormat="false" ht="23.85" hidden="false" customHeight="false" outlineLevel="0" collapsed="false">
      <c r="A944" s="4" t="s">
        <v>147</v>
      </c>
      <c r="B944" s="5" t="s">
        <v>160</v>
      </c>
      <c r="C944" s="5" t="s">
        <v>161</v>
      </c>
      <c r="D944" s="4" t="s">
        <v>22</v>
      </c>
      <c r="E944" s="4" t="s">
        <v>1685</v>
      </c>
      <c r="F944" s="4" t="s">
        <v>406</v>
      </c>
      <c r="G944" s="4" t="s">
        <v>1686</v>
      </c>
      <c r="H944" s="12" t="n">
        <v>1</v>
      </c>
      <c r="I944" s="4" t="s">
        <v>408</v>
      </c>
      <c r="J944" s="4" t="s">
        <v>409</v>
      </c>
      <c r="K944" s="13" t="n">
        <v>250</v>
      </c>
      <c r="L944" s="6" t="n">
        <f aca="false">H944*K944</f>
        <v>250</v>
      </c>
      <c r="M944" s="14" t="s">
        <v>410</v>
      </c>
    </row>
    <row r="945" customFormat="false" ht="23.85" hidden="false" customHeight="false" outlineLevel="0" collapsed="false">
      <c r="A945" s="4" t="s">
        <v>147</v>
      </c>
      <c r="B945" s="5" t="s">
        <v>160</v>
      </c>
      <c r="C945" s="5" t="s">
        <v>161</v>
      </c>
      <c r="D945" s="4" t="s">
        <v>22</v>
      </c>
      <c r="E945" s="4" t="s">
        <v>1687</v>
      </c>
      <c r="F945" s="4" t="s">
        <v>406</v>
      </c>
      <c r="G945" s="4" t="s">
        <v>1688</v>
      </c>
      <c r="H945" s="12" t="n">
        <v>1</v>
      </c>
      <c r="I945" s="4" t="s">
        <v>408</v>
      </c>
      <c r="J945" s="4" t="s">
        <v>413</v>
      </c>
      <c r="K945" s="13" t="n">
        <v>2500</v>
      </c>
      <c r="L945" s="6" t="n">
        <f aca="false">H945*K945</f>
        <v>2500</v>
      </c>
      <c r="M945" s="14" t="s">
        <v>410</v>
      </c>
    </row>
    <row r="946" customFormat="false" ht="23.85" hidden="false" customHeight="false" outlineLevel="0" collapsed="false">
      <c r="A946" s="4" t="s">
        <v>147</v>
      </c>
      <c r="B946" s="5" t="s">
        <v>160</v>
      </c>
      <c r="C946" s="5" t="s">
        <v>161</v>
      </c>
      <c r="D946" s="4" t="s">
        <v>22</v>
      </c>
      <c r="E946" s="4" t="s">
        <v>1689</v>
      </c>
      <c r="F946" s="4" t="s">
        <v>406</v>
      </c>
      <c r="G946" s="4" t="s">
        <v>1690</v>
      </c>
      <c r="H946" s="12" t="n">
        <v>1</v>
      </c>
      <c r="I946" s="4" t="s">
        <v>408</v>
      </c>
      <c r="J946" s="4" t="s">
        <v>416</v>
      </c>
      <c r="K946" s="13" t="n">
        <v>4500</v>
      </c>
      <c r="L946" s="6" t="n">
        <f aca="false">H946*K946</f>
        <v>4500</v>
      </c>
      <c r="M946" s="14" t="s">
        <v>410</v>
      </c>
    </row>
    <row r="947" customFormat="false" ht="23.85" hidden="false" customHeight="false" outlineLevel="0" collapsed="false">
      <c r="A947" s="4" t="s">
        <v>147</v>
      </c>
      <c r="B947" s="5" t="s">
        <v>160</v>
      </c>
      <c r="C947" s="5" t="s">
        <v>161</v>
      </c>
      <c r="D947" s="4" t="s">
        <v>22</v>
      </c>
      <c r="E947" s="4" t="s">
        <v>1691</v>
      </c>
      <c r="F947" s="4" t="s">
        <v>406</v>
      </c>
      <c r="G947" s="4" t="s">
        <v>1692</v>
      </c>
      <c r="H947" s="12" t="n">
        <v>1</v>
      </c>
      <c r="I947" s="4" t="s">
        <v>408</v>
      </c>
      <c r="J947" s="4" t="s">
        <v>416</v>
      </c>
      <c r="K947" s="13" t="n">
        <v>18000</v>
      </c>
      <c r="L947" s="6" t="n">
        <f aca="false">H947*K947</f>
        <v>18000</v>
      </c>
      <c r="M947" s="14" t="s">
        <v>410</v>
      </c>
    </row>
    <row r="948" customFormat="false" ht="23.85" hidden="false" customHeight="false" outlineLevel="0" collapsed="false">
      <c r="A948" s="4" t="s">
        <v>147</v>
      </c>
      <c r="B948" s="5" t="s">
        <v>160</v>
      </c>
      <c r="C948" s="5" t="s">
        <v>161</v>
      </c>
      <c r="D948" s="4" t="s">
        <v>22</v>
      </c>
      <c r="E948" s="4" t="s">
        <v>1693</v>
      </c>
      <c r="F948" s="4" t="s">
        <v>406</v>
      </c>
      <c r="G948" s="4" t="s">
        <v>1694</v>
      </c>
      <c r="H948" s="12" t="n">
        <v>1</v>
      </c>
      <c r="I948" s="4" t="s">
        <v>408</v>
      </c>
      <c r="J948" s="4" t="s">
        <v>413</v>
      </c>
      <c r="K948" s="13" t="n">
        <v>2500</v>
      </c>
      <c r="L948" s="6" t="n">
        <f aca="false">H948*K948</f>
        <v>2500</v>
      </c>
      <c r="M948" s="14" t="s">
        <v>410</v>
      </c>
    </row>
    <row r="949" customFormat="false" ht="23.85" hidden="false" customHeight="false" outlineLevel="0" collapsed="false">
      <c r="A949" s="4" t="s">
        <v>147</v>
      </c>
      <c r="B949" s="5" t="s">
        <v>160</v>
      </c>
      <c r="C949" s="5" t="s">
        <v>161</v>
      </c>
      <c r="D949" s="4" t="s">
        <v>22</v>
      </c>
      <c r="E949" s="4" t="s">
        <v>1695</v>
      </c>
      <c r="F949" s="4" t="s">
        <v>406</v>
      </c>
      <c r="G949" s="4" t="s">
        <v>1696</v>
      </c>
      <c r="H949" s="12" t="n">
        <v>1</v>
      </c>
      <c r="I949" s="4" t="s">
        <v>408</v>
      </c>
      <c r="J949" s="4" t="s">
        <v>409</v>
      </c>
      <c r="K949" s="13" t="n">
        <v>850</v>
      </c>
      <c r="L949" s="6" t="n">
        <f aca="false">H949*K949</f>
        <v>850</v>
      </c>
      <c r="M949" s="14" t="s">
        <v>410</v>
      </c>
    </row>
    <row r="950" customFormat="false" ht="23.85" hidden="false" customHeight="false" outlineLevel="0" collapsed="false">
      <c r="A950" s="4" t="s">
        <v>147</v>
      </c>
      <c r="B950" s="5" t="s">
        <v>160</v>
      </c>
      <c r="C950" s="5" t="s">
        <v>161</v>
      </c>
      <c r="D950" s="4" t="s">
        <v>22</v>
      </c>
      <c r="E950" s="4" t="s">
        <v>1697</v>
      </c>
      <c r="F950" s="4" t="s">
        <v>470</v>
      </c>
      <c r="G950" s="4" t="s">
        <v>1698</v>
      </c>
      <c r="H950" s="12" t="n">
        <v>1</v>
      </c>
      <c r="I950" s="4" t="s">
        <v>408</v>
      </c>
      <c r="J950" s="4" t="s">
        <v>409</v>
      </c>
      <c r="K950" s="13" t="n">
        <v>45000</v>
      </c>
      <c r="L950" s="6" t="n">
        <f aca="false">H950*K950</f>
        <v>45000</v>
      </c>
      <c r="M950" s="14" t="s">
        <v>410</v>
      </c>
    </row>
    <row r="951" customFormat="false" ht="23.85" hidden="false" customHeight="false" outlineLevel="0" collapsed="false">
      <c r="A951" s="4" t="s">
        <v>147</v>
      </c>
      <c r="B951" s="5" t="s">
        <v>160</v>
      </c>
      <c r="C951" s="5" t="s">
        <v>161</v>
      </c>
      <c r="D951" s="4" t="s">
        <v>22</v>
      </c>
      <c r="E951" s="4" t="s">
        <v>1699</v>
      </c>
      <c r="F951" s="4" t="s">
        <v>470</v>
      </c>
      <c r="G951" s="4" t="s">
        <v>1700</v>
      </c>
      <c r="H951" s="12" t="n">
        <v>1</v>
      </c>
      <c r="I951" s="4" t="s">
        <v>408</v>
      </c>
      <c r="J951" s="4" t="s">
        <v>409</v>
      </c>
      <c r="K951" s="13" t="n">
        <v>55000</v>
      </c>
      <c r="L951" s="6" t="n">
        <f aca="false">H951*K951</f>
        <v>55000</v>
      </c>
      <c r="M951" s="14" t="s">
        <v>410</v>
      </c>
    </row>
    <row r="952" customFormat="false" ht="23.85" hidden="false" customHeight="false" outlineLevel="0" collapsed="false">
      <c r="A952" s="4" t="s">
        <v>147</v>
      </c>
      <c r="B952" s="5" t="s">
        <v>160</v>
      </c>
      <c r="C952" s="5" t="s">
        <v>161</v>
      </c>
      <c r="D952" s="4" t="s">
        <v>22</v>
      </c>
      <c r="E952" s="4" t="s">
        <v>1701</v>
      </c>
      <c r="F952" s="4" t="s">
        <v>470</v>
      </c>
      <c r="G952" s="4" t="s">
        <v>1702</v>
      </c>
      <c r="H952" s="12" t="n">
        <v>1</v>
      </c>
      <c r="I952" s="4" t="s">
        <v>408</v>
      </c>
      <c r="J952" s="4" t="s">
        <v>416</v>
      </c>
      <c r="K952" s="13" t="n">
        <v>2500</v>
      </c>
      <c r="L952" s="6" t="n">
        <f aca="false">H952*K952</f>
        <v>2500</v>
      </c>
      <c r="M952" s="4" t="s">
        <v>371</v>
      </c>
    </row>
    <row r="953" customFormat="false" ht="23.85" hidden="false" customHeight="false" outlineLevel="0" collapsed="false">
      <c r="A953" s="4" t="s">
        <v>147</v>
      </c>
      <c r="B953" s="5" t="s">
        <v>160</v>
      </c>
      <c r="C953" s="5" t="s">
        <v>161</v>
      </c>
      <c r="D953" s="4" t="s">
        <v>22</v>
      </c>
      <c r="E953" s="4" t="s">
        <v>1703</v>
      </c>
      <c r="F953" s="4" t="s">
        <v>470</v>
      </c>
      <c r="G953" s="4" t="s">
        <v>1704</v>
      </c>
      <c r="H953" s="12" t="n">
        <v>1</v>
      </c>
      <c r="I953" s="4" t="s">
        <v>408</v>
      </c>
      <c r="J953" s="4" t="s">
        <v>409</v>
      </c>
      <c r="K953" s="13" t="n">
        <v>450</v>
      </c>
      <c r="L953" s="6" t="n">
        <f aca="false">H953*K953</f>
        <v>450</v>
      </c>
      <c r="M953" s="4" t="s">
        <v>371</v>
      </c>
    </row>
    <row r="954" customFormat="false" ht="23.85" hidden="false" customHeight="false" outlineLevel="0" collapsed="false">
      <c r="A954" s="4" t="s">
        <v>147</v>
      </c>
      <c r="B954" s="5" t="s">
        <v>160</v>
      </c>
      <c r="C954" s="5" t="s">
        <v>161</v>
      </c>
      <c r="D954" s="4" t="s">
        <v>22</v>
      </c>
      <c r="E954" s="4" t="s">
        <v>1705</v>
      </c>
      <c r="F954" s="4" t="s">
        <v>470</v>
      </c>
      <c r="G954" s="4" t="s">
        <v>1706</v>
      </c>
      <c r="H954" s="12" t="n">
        <v>1</v>
      </c>
      <c r="I954" s="4" t="s">
        <v>408</v>
      </c>
      <c r="J954" s="4" t="s">
        <v>416</v>
      </c>
      <c r="K954" s="13" t="n">
        <v>850</v>
      </c>
      <c r="L954" s="6" t="n">
        <f aca="false">H954*K954</f>
        <v>850</v>
      </c>
      <c r="M954" s="4" t="s">
        <v>371</v>
      </c>
    </row>
    <row r="955" customFormat="false" ht="23.85" hidden="false" customHeight="false" outlineLevel="0" collapsed="false">
      <c r="A955" s="4" t="s">
        <v>147</v>
      </c>
      <c r="B955" s="5" t="s">
        <v>160</v>
      </c>
      <c r="C955" s="5" t="s">
        <v>161</v>
      </c>
      <c r="D955" s="4" t="s">
        <v>22</v>
      </c>
      <c r="E955" s="4" t="s">
        <v>1707</v>
      </c>
      <c r="F955" s="4" t="s">
        <v>470</v>
      </c>
      <c r="G955" s="4" t="s">
        <v>1708</v>
      </c>
      <c r="H955" s="12" t="n">
        <v>1</v>
      </c>
      <c r="I955" s="4" t="s">
        <v>408</v>
      </c>
      <c r="J955" s="4" t="s">
        <v>416</v>
      </c>
      <c r="K955" s="13" t="n">
        <v>850</v>
      </c>
      <c r="L955" s="6" t="n">
        <f aca="false">H955*K955</f>
        <v>850</v>
      </c>
      <c r="M955" s="4" t="s">
        <v>371</v>
      </c>
    </row>
    <row r="956" customFormat="false" ht="23.85" hidden="false" customHeight="false" outlineLevel="0" collapsed="false">
      <c r="A956" s="4" t="s">
        <v>147</v>
      </c>
      <c r="B956" s="5" t="s">
        <v>160</v>
      </c>
      <c r="C956" s="5" t="s">
        <v>161</v>
      </c>
      <c r="D956" s="4" t="s">
        <v>22</v>
      </c>
      <c r="E956" s="4" t="s">
        <v>1709</v>
      </c>
      <c r="F956" s="4" t="s">
        <v>470</v>
      </c>
      <c r="G956" s="4" t="s">
        <v>1710</v>
      </c>
      <c r="H956" s="12" t="n">
        <v>1</v>
      </c>
      <c r="I956" s="4" t="s">
        <v>408</v>
      </c>
      <c r="J956" s="4" t="s">
        <v>416</v>
      </c>
      <c r="K956" s="13" t="n">
        <v>850</v>
      </c>
      <c r="L956" s="6" t="n">
        <f aca="false">H956*K956</f>
        <v>850</v>
      </c>
      <c r="M956" s="4" t="s">
        <v>371</v>
      </c>
    </row>
    <row r="957" customFormat="false" ht="23.85" hidden="false" customHeight="false" outlineLevel="0" collapsed="false">
      <c r="A957" s="4" t="s">
        <v>147</v>
      </c>
      <c r="B957" s="5" t="s">
        <v>160</v>
      </c>
      <c r="C957" s="5" t="s">
        <v>161</v>
      </c>
      <c r="D957" s="4" t="s">
        <v>22</v>
      </c>
      <c r="E957" s="4" t="s">
        <v>1711</v>
      </c>
      <c r="F957" s="4" t="s">
        <v>470</v>
      </c>
      <c r="G957" s="4" t="s">
        <v>1712</v>
      </c>
      <c r="H957" s="12" t="n">
        <v>1</v>
      </c>
      <c r="I957" s="4" t="s">
        <v>408</v>
      </c>
      <c r="J957" s="4" t="s">
        <v>409</v>
      </c>
      <c r="K957" s="13" t="n">
        <v>850</v>
      </c>
      <c r="L957" s="6" t="n">
        <f aca="false">H957*K957</f>
        <v>850</v>
      </c>
      <c r="M957" s="4" t="s">
        <v>371</v>
      </c>
    </row>
    <row r="958" customFormat="false" ht="23.85" hidden="false" customHeight="false" outlineLevel="0" collapsed="false">
      <c r="A958" s="4" t="s">
        <v>147</v>
      </c>
      <c r="B958" s="5" t="s">
        <v>160</v>
      </c>
      <c r="C958" s="5" t="s">
        <v>161</v>
      </c>
      <c r="D958" s="4" t="s">
        <v>22</v>
      </c>
      <c r="E958" s="4" t="s">
        <v>1713</v>
      </c>
      <c r="F958" s="4" t="s">
        <v>470</v>
      </c>
      <c r="G958" s="4" t="s">
        <v>1714</v>
      </c>
      <c r="H958" s="12" t="n">
        <v>1</v>
      </c>
      <c r="I958" s="4" t="s">
        <v>408</v>
      </c>
      <c r="J958" s="4" t="s">
        <v>543</v>
      </c>
      <c r="K958" s="13" t="n">
        <v>850</v>
      </c>
      <c r="L958" s="6" t="n">
        <f aca="false">H958*K958</f>
        <v>850</v>
      </c>
      <c r="M958" s="4" t="s">
        <v>371</v>
      </c>
    </row>
    <row r="959" customFormat="false" ht="23.85" hidden="false" customHeight="false" outlineLevel="0" collapsed="false">
      <c r="A959" s="4" t="s">
        <v>147</v>
      </c>
      <c r="B959" s="5" t="s">
        <v>160</v>
      </c>
      <c r="C959" s="5" t="s">
        <v>161</v>
      </c>
      <c r="D959" s="4" t="s">
        <v>22</v>
      </c>
      <c r="E959" s="4" t="s">
        <v>1648</v>
      </c>
      <c r="F959" s="4" t="s">
        <v>470</v>
      </c>
      <c r="G959" s="4" t="s">
        <v>1424</v>
      </c>
      <c r="H959" s="12" t="n">
        <v>1</v>
      </c>
      <c r="I959" s="4" t="s">
        <v>408</v>
      </c>
      <c r="J959" s="4" t="s">
        <v>409</v>
      </c>
      <c r="K959" s="13" t="n">
        <v>3500</v>
      </c>
      <c r="L959" s="6" t="n">
        <f aca="false">H959*K959</f>
        <v>3500</v>
      </c>
      <c r="M959" s="4" t="s">
        <v>371</v>
      </c>
    </row>
    <row r="960" customFormat="false" ht="23.85" hidden="false" customHeight="false" outlineLevel="0" collapsed="false">
      <c r="A960" s="4" t="s">
        <v>147</v>
      </c>
      <c r="B960" s="5" t="s">
        <v>160</v>
      </c>
      <c r="C960" s="5" t="s">
        <v>161</v>
      </c>
      <c r="D960" s="4" t="s">
        <v>22</v>
      </c>
      <c r="E960" s="4" t="s">
        <v>1715</v>
      </c>
      <c r="F960" s="4" t="s">
        <v>488</v>
      </c>
      <c r="G960" s="4" t="s">
        <v>1716</v>
      </c>
      <c r="H960" s="12" t="n">
        <v>1</v>
      </c>
      <c r="I960" s="4" t="s">
        <v>408</v>
      </c>
      <c r="J960" s="4" t="s">
        <v>807</v>
      </c>
      <c r="K960" s="13" t="n">
        <v>45</v>
      </c>
      <c r="L960" s="6" t="n">
        <f aca="false">H960*K960</f>
        <v>45</v>
      </c>
      <c r="M960" s="4" t="s">
        <v>371</v>
      </c>
    </row>
    <row r="961" customFormat="false" ht="23.85" hidden="false" customHeight="false" outlineLevel="0" collapsed="false">
      <c r="A961" s="4" t="s">
        <v>147</v>
      </c>
      <c r="B961" s="5" t="s">
        <v>160</v>
      </c>
      <c r="C961" s="5" t="s">
        <v>161</v>
      </c>
      <c r="D961" s="4" t="s">
        <v>22</v>
      </c>
      <c r="E961" s="4" t="s">
        <v>1717</v>
      </c>
      <c r="F961" s="4" t="s">
        <v>488</v>
      </c>
      <c r="G961" s="4" t="s">
        <v>1718</v>
      </c>
      <c r="H961" s="12" t="n">
        <v>1</v>
      </c>
      <c r="I961" s="4" t="s">
        <v>408</v>
      </c>
      <c r="J961" s="4" t="s">
        <v>416</v>
      </c>
      <c r="K961" s="13" t="n">
        <v>1200</v>
      </c>
      <c r="L961" s="6" t="n">
        <f aca="false">H961*K961</f>
        <v>1200</v>
      </c>
      <c r="M961" s="4" t="s">
        <v>371</v>
      </c>
    </row>
    <row r="962" customFormat="false" ht="23.85" hidden="false" customHeight="false" outlineLevel="0" collapsed="false">
      <c r="A962" s="4" t="s">
        <v>147</v>
      </c>
      <c r="B962" s="5" t="s">
        <v>160</v>
      </c>
      <c r="C962" s="5" t="s">
        <v>161</v>
      </c>
      <c r="D962" s="4" t="s">
        <v>22</v>
      </c>
      <c r="E962" s="4" t="s">
        <v>1719</v>
      </c>
      <c r="F962" s="4" t="s">
        <v>488</v>
      </c>
      <c r="G962" s="4" t="s">
        <v>1720</v>
      </c>
      <c r="H962" s="12" t="n">
        <v>1</v>
      </c>
      <c r="I962" s="4" t="s">
        <v>408</v>
      </c>
      <c r="J962" s="4" t="s">
        <v>429</v>
      </c>
      <c r="K962" s="13" t="n">
        <v>45</v>
      </c>
      <c r="L962" s="6" t="n">
        <f aca="false">H962*K962</f>
        <v>45</v>
      </c>
      <c r="M962" s="4" t="s">
        <v>371</v>
      </c>
    </row>
    <row r="963" customFormat="false" ht="23.85" hidden="false" customHeight="false" outlineLevel="0" collapsed="false">
      <c r="A963" s="4" t="s">
        <v>147</v>
      </c>
      <c r="B963" s="5" t="s">
        <v>160</v>
      </c>
      <c r="C963" s="5" t="s">
        <v>161</v>
      </c>
      <c r="D963" s="4" t="s">
        <v>22</v>
      </c>
      <c r="E963" s="4" t="s">
        <v>1721</v>
      </c>
      <c r="F963" s="4" t="s">
        <v>488</v>
      </c>
      <c r="G963" s="4" t="s">
        <v>1722</v>
      </c>
      <c r="H963" s="12" t="n">
        <v>1</v>
      </c>
      <c r="I963" s="4" t="s">
        <v>408</v>
      </c>
      <c r="J963" s="4" t="s">
        <v>409</v>
      </c>
      <c r="K963" s="13" t="n">
        <v>80</v>
      </c>
      <c r="L963" s="6" t="n">
        <f aca="false">H963*K963</f>
        <v>80</v>
      </c>
      <c r="M963" s="4" t="s">
        <v>371</v>
      </c>
    </row>
    <row r="964" customFormat="false" ht="23.85" hidden="false" customHeight="false" outlineLevel="0" collapsed="false">
      <c r="A964" s="4" t="s">
        <v>147</v>
      </c>
      <c r="B964" s="5" t="s">
        <v>160</v>
      </c>
      <c r="C964" s="5" t="s">
        <v>161</v>
      </c>
      <c r="D964" s="4" t="s">
        <v>22</v>
      </c>
      <c r="E964" s="4" t="s">
        <v>1723</v>
      </c>
      <c r="F964" s="4" t="s">
        <v>488</v>
      </c>
      <c r="G964" s="4" t="s">
        <v>1724</v>
      </c>
      <c r="H964" s="12" t="n">
        <v>1</v>
      </c>
      <c r="I964" s="4" t="s">
        <v>408</v>
      </c>
      <c r="J964" s="4" t="s">
        <v>409</v>
      </c>
      <c r="K964" s="13" t="n">
        <v>25</v>
      </c>
      <c r="L964" s="6" t="n">
        <f aca="false">H964*K964</f>
        <v>25</v>
      </c>
      <c r="M964" s="4" t="s">
        <v>371</v>
      </c>
    </row>
    <row r="965" customFormat="false" ht="15" hidden="false" customHeight="false" outlineLevel="0" collapsed="false">
      <c r="A965" s="4" t="s">
        <v>166</v>
      </c>
      <c r="B965" s="5" t="s">
        <v>167</v>
      </c>
      <c r="C965" s="5" t="s">
        <v>168</v>
      </c>
      <c r="D965" s="4" t="s">
        <v>22</v>
      </c>
      <c r="E965" s="4" t="s">
        <v>1725</v>
      </c>
      <c r="F965" s="4" t="s">
        <v>406</v>
      </c>
      <c r="G965" s="4" t="s">
        <v>1726</v>
      </c>
      <c r="H965" s="12" t="n">
        <v>1</v>
      </c>
      <c r="I965" s="4" t="s">
        <v>408</v>
      </c>
      <c r="J965" s="4" t="s">
        <v>409</v>
      </c>
      <c r="K965" s="13" t="n">
        <v>250</v>
      </c>
      <c r="L965" s="6" t="n">
        <f aca="false">H965*K965</f>
        <v>250</v>
      </c>
      <c r="M965" s="14" t="s">
        <v>410</v>
      </c>
    </row>
    <row r="966" customFormat="false" ht="15" hidden="false" customHeight="false" outlineLevel="0" collapsed="false">
      <c r="A966" s="4" t="s">
        <v>166</v>
      </c>
      <c r="B966" s="5" t="s">
        <v>167</v>
      </c>
      <c r="C966" s="5" t="s">
        <v>168</v>
      </c>
      <c r="D966" s="4" t="s">
        <v>22</v>
      </c>
      <c r="E966" s="4" t="s">
        <v>1727</v>
      </c>
      <c r="F966" s="4" t="s">
        <v>406</v>
      </c>
      <c r="G966" s="4" t="s">
        <v>1728</v>
      </c>
      <c r="H966" s="12" t="n">
        <v>1</v>
      </c>
      <c r="I966" s="4" t="s">
        <v>408</v>
      </c>
      <c r="J966" s="4" t="s">
        <v>409</v>
      </c>
      <c r="K966" s="13" t="n">
        <v>350</v>
      </c>
      <c r="L966" s="6" t="n">
        <f aca="false">H966*K966</f>
        <v>350</v>
      </c>
      <c r="M966" s="14" t="s">
        <v>410</v>
      </c>
    </row>
    <row r="967" customFormat="false" ht="15" hidden="false" customHeight="false" outlineLevel="0" collapsed="false">
      <c r="A967" s="4" t="s">
        <v>166</v>
      </c>
      <c r="B967" s="5" t="s">
        <v>167</v>
      </c>
      <c r="C967" s="5" t="s">
        <v>168</v>
      </c>
      <c r="D967" s="4" t="s">
        <v>22</v>
      </c>
      <c r="E967" s="4" t="s">
        <v>1729</v>
      </c>
      <c r="F967" s="4" t="s">
        <v>406</v>
      </c>
      <c r="G967" s="4" t="s">
        <v>1730</v>
      </c>
      <c r="H967" s="12" t="n">
        <v>1</v>
      </c>
      <c r="I967" s="4" t="s">
        <v>408</v>
      </c>
      <c r="J967" s="4" t="s">
        <v>409</v>
      </c>
      <c r="K967" s="13" t="n">
        <v>450</v>
      </c>
      <c r="L967" s="6" t="n">
        <f aca="false">H967*K967</f>
        <v>450</v>
      </c>
      <c r="M967" s="14" t="s">
        <v>410</v>
      </c>
    </row>
    <row r="968" customFormat="false" ht="15" hidden="false" customHeight="false" outlineLevel="0" collapsed="false">
      <c r="A968" s="4" t="s">
        <v>166</v>
      </c>
      <c r="B968" s="5" t="s">
        <v>167</v>
      </c>
      <c r="C968" s="5" t="s">
        <v>168</v>
      </c>
      <c r="D968" s="4" t="s">
        <v>22</v>
      </c>
      <c r="E968" s="4" t="s">
        <v>1731</v>
      </c>
      <c r="F968" s="4" t="s">
        <v>406</v>
      </c>
      <c r="G968" s="4" t="s">
        <v>1732</v>
      </c>
      <c r="H968" s="12" t="n">
        <v>1</v>
      </c>
      <c r="I968" s="4" t="s">
        <v>408</v>
      </c>
      <c r="J968" s="4" t="s">
        <v>409</v>
      </c>
      <c r="K968" s="13" t="n">
        <v>850</v>
      </c>
      <c r="L968" s="6" t="n">
        <f aca="false">H968*K968</f>
        <v>850</v>
      </c>
      <c r="M968" s="14" t="s">
        <v>410</v>
      </c>
    </row>
    <row r="969" customFormat="false" ht="15" hidden="false" customHeight="false" outlineLevel="0" collapsed="false">
      <c r="A969" s="4" t="s">
        <v>166</v>
      </c>
      <c r="B969" s="5" t="s">
        <v>167</v>
      </c>
      <c r="C969" s="5" t="s">
        <v>168</v>
      </c>
      <c r="D969" s="4" t="s">
        <v>22</v>
      </c>
      <c r="E969" s="4" t="s">
        <v>1733</v>
      </c>
      <c r="F969" s="4" t="s">
        <v>406</v>
      </c>
      <c r="G969" s="4" t="s">
        <v>1734</v>
      </c>
      <c r="H969" s="12" t="n">
        <v>1</v>
      </c>
      <c r="I969" s="4" t="s">
        <v>408</v>
      </c>
      <c r="J969" s="4" t="s">
        <v>416</v>
      </c>
      <c r="K969" s="13" t="n">
        <v>450</v>
      </c>
      <c r="L969" s="6" t="n">
        <f aca="false">H969*K969</f>
        <v>450</v>
      </c>
      <c r="M969" s="4" t="s">
        <v>371</v>
      </c>
    </row>
    <row r="970" customFormat="false" ht="15" hidden="false" customHeight="false" outlineLevel="0" collapsed="false">
      <c r="A970" s="4" t="s">
        <v>166</v>
      </c>
      <c r="B970" s="5" t="s">
        <v>167</v>
      </c>
      <c r="C970" s="5" t="s">
        <v>168</v>
      </c>
      <c r="D970" s="4" t="s">
        <v>22</v>
      </c>
      <c r="E970" s="4" t="s">
        <v>1735</v>
      </c>
      <c r="F970" s="4" t="s">
        <v>406</v>
      </c>
      <c r="G970" s="4" t="s">
        <v>1736</v>
      </c>
      <c r="H970" s="12" t="n">
        <v>1</v>
      </c>
      <c r="I970" s="4" t="s">
        <v>408</v>
      </c>
      <c r="J970" s="4" t="s">
        <v>416</v>
      </c>
      <c r="K970" s="13" t="n">
        <v>850</v>
      </c>
      <c r="L970" s="6" t="n">
        <f aca="false">H970*K970</f>
        <v>850</v>
      </c>
      <c r="M970" s="14" t="s">
        <v>410</v>
      </c>
    </row>
    <row r="971" customFormat="false" ht="15" hidden="false" customHeight="false" outlineLevel="0" collapsed="false">
      <c r="A971" s="4" t="s">
        <v>166</v>
      </c>
      <c r="B971" s="5" t="s">
        <v>167</v>
      </c>
      <c r="C971" s="5" t="s">
        <v>168</v>
      </c>
      <c r="D971" s="4" t="s">
        <v>22</v>
      </c>
      <c r="E971" s="4" t="s">
        <v>1737</v>
      </c>
      <c r="F971" s="4" t="s">
        <v>406</v>
      </c>
      <c r="G971" s="4" t="s">
        <v>1738</v>
      </c>
      <c r="H971" s="12" t="n">
        <v>1</v>
      </c>
      <c r="I971" s="4" t="s">
        <v>408</v>
      </c>
      <c r="J971" s="4" t="s">
        <v>409</v>
      </c>
      <c r="K971" s="13" t="n">
        <v>180</v>
      </c>
      <c r="L971" s="6" t="n">
        <f aca="false">H971*K971</f>
        <v>180</v>
      </c>
      <c r="M971" s="14" t="s">
        <v>410</v>
      </c>
    </row>
    <row r="972" customFormat="false" ht="15" hidden="false" customHeight="false" outlineLevel="0" collapsed="false">
      <c r="A972" s="4" t="s">
        <v>166</v>
      </c>
      <c r="B972" s="5" t="s">
        <v>167</v>
      </c>
      <c r="C972" s="5" t="s">
        <v>168</v>
      </c>
      <c r="D972" s="4" t="s">
        <v>22</v>
      </c>
      <c r="E972" s="4" t="s">
        <v>1739</v>
      </c>
      <c r="F972" s="4" t="s">
        <v>406</v>
      </c>
      <c r="G972" s="4" t="s">
        <v>1740</v>
      </c>
      <c r="H972" s="12" t="n">
        <v>1</v>
      </c>
      <c r="I972" s="4" t="s">
        <v>408</v>
      </c>
      <c r="J972" s="4" t="s">
        <v>416</v>
      </c>
      <c r="K972" s="13" t="n">
        <v>450</v>
      </c>
      <c r="L972" s="6" t="n">
        <f aca="false">H972*K972</f>
        <v>450</v>
      </c>
      <c r="M972" s="4" t="s">
        <v>371</v>
      </c>
    </row>
    <row r="973" customFormat="false" ht="15" hidden="false" customHeight="false" outlineLevel="0" collapsed="false">
      <c r="A973" s="4" t="s">
        <v>166</v>
      </c>
      <c r="B973" s="5" t="s">
        <v>167</v>
      </c>
      <c r="C973" s="5" t="s">
        <v>168</v>
      </c>
      <c r="D973" s="4" t="s">
        <v>22</v>
      </c>
      <c r="E973" s="4" t="s">
        <v>1741</v>
      </c>
      <c r="F973" s="4" t="s">
        <v>406</v>
      </c>
      <c r="G973" s="4" t="s">
        <v>1742</v>
      </c>
      <c r="H973" s="12" t="n">
        <v>1</v>
      </c>
      <c r="I973" s="4" t="s">
        <v>408</v>
      </c>
      <c r="J973" s="4" t="s">
        <v>409</v>
      </c>
      <c r="K973" s="13" t="n">
        <v>100</v>
      </c>
      <c r="L973" s="6" t="n">
        <f aca="false">H973*K973</f>
        <v>100</v>
      </c>
      <c r="M973" s="14" t="s">
        <v>410</v>
      </c>
    </row>
    <row r="974" customFormat="false" ht="15" hidden="false" customHeight="false" outlineLevel="0" collapsed="false">
      <c r="A974" s="4" t="s">
        <v>166</v>
      </c>
      <c r="B974" s="5" t="s">
        <v>167</v>
      </c>
      <c r="C974" s="5" t="s">
        <v>168</v>
      </c>
      <c r="D974" s="4" t="s">
        <v>22</v>
      </c>
      <c r="E974" s="4" t="s">
        <v>1743</v>
      </c>
      <c r="F974" s="4" t="s">
        <v>406</v>
      </c>
      <c r="G974" s="4" t="s">
        <v>1744</v>
      </c>
      <c r="H974" s="12" t="n">
        <v>1</v>
      </c>
      <c r="I974" s="4" t="s">
        <v>408</v>
      </c>
      <c r="J974" s="4" t="s">
        <v>416</v>
      </c>
      <c r="K974" s="13" t="n">
        <v>1800</v>
      </c>
      <c r="L974" s="6" t="n">
        <f aca="false">H974*K974</f>
        <v>1800</v>
      </c>
      <c r="M974" s="14" t="s">
        <v>410</v>
      </c>
    </row>
    <row r="975" customFormat="false" ht="15" hidden="false" customHeight="false" outlineLevel="0" collapsed="false">
      <c r="A975" s="4" t="s">
        <v>166</v>
      </c>
      <c r="B975" s="5" t="s">
        <v>167</v>
      </c>
      <c r="C975" s="5" t="s">
        <v>168</v>
      </c>
      <c r="D975" s="4" t="s">
        <v>22</v>
      </c>
      <c r="E975" s="4" t="s">
        <v>1745</v>
      </c>
      <c r="F975" s="4" t="s">
        <v>406</v>
      </c>
      <c r="G975" s="4" t="s">
        <v>1746</v>
      </c>
      <c r="H975" s="12" t="n">
        <v>1</v>
      </c>
      <c r="I975" s="4" t="s">
        <v>408</v>
      </c>
      <c r="J975" s="4" t="s">
        <v>416</v>
      </c>
      <c r="K975" s="13" t="n">
        <v>1200</v>
      </c>
      <c r="L975" s="6" t="n">
        <f aca="false">H975*K975</f>
        <v>1200</v>
      </c>
      <c r="M975" s="14" t="s">
        <v>410</v>
      </c>
    </row>
    <row r="976" customFormat="false" ht="15" hidden="false" customHeight="false" outlineLevel="0" collapsed="false">
      <c r="A976" s="4" t="s">
        <v>166</v>
      </c>
      <c r="B976" s="5" t="s">
        <v>167</v>
      </c>
      <c r="C976" s="5" t="s">
        <v>168</v>
      </c>
      <c r="D976" s="4" t="s">
        <v>22</v>
      </c>
      <c r="E976" s="4" t="s">
        <v>1747</v>
      </c>
      <c r="F976" s="4" t="s">
        <v>406</v>
      </c>
      <c r="G976" s="4" t="s">
        <v>1748</v>
      </c>
      <c r="H976" s="12" t="n">
        <v>1</v>
      </c>
      <c r="I976" s="4" t="s">
        <v>408</v>
      </c>
      <c r="J976" s="4" t="s">
        <v>409</v>
      </c>
      <c r="K976" s="13" t="n">
        <v>350</v>
      </c>
      <c r="L976" s="6" t="n">
        <f aca="false">H976*K976</f>
        <v>350</v>
      </c>
      <c r="M976" s="14" t="s">
        <v>410</v>
      </c>
    </row>
    <row r="977" customFormat="false" ht="15" hidden="false" customHeight="false" outlineLevel="0" collapsed="false">
      <c r="A977" s="4" t="s">
        <v>166</v>
      </c>
      <c r="B977" s="5" t="s">
        <v>167</v>
      </c>
      <c r="C977" s="5" t="s">
        <v>168</v>
      </c>
      <c r="D977" s="4" t="s">
        <v>22</v>
      </c>
      <c r="E977" s="4" t="s">
        <v>1749</v>
      </c>
      <c r="F977" s="4" t="s">
        <v>406</v>
      </c>
      <c r="G977" s="4" t="s">
        <v>1750</v>
      </c>
      <c r="H977" s="12" t="n">
        <v>1</v>
      </c>
      <c r="I977" s="4" t="s">
        <v>408</v>
      </c>
      <c r="J977" s="4" t="s">
        <v>416</v>
      </c>
      <c r="K977" s="13" t="n">
        <v>450</v>
      </c>
      <c r="L977" s="6" t="n">
        <f aca="false">H977*K977</f>
        <v>450</v>
      </c>
      <c r="M977" s="14" t="s">
        <v>410</v>
      </c>
    </row>
    <row r="978" customFormat="false" ht="15" hidden="false" customHeight="false" outlineLevel="0" collapsed="false">
      <c r="A978" s="4" t="s">
        <v>166</v>
      </c>
      <c r="B978" s="5" t="s">
        <v>167</v>
      </c>
      <c r="C978" s="5" t="s">
        <v>168</v>
      </c>
      <c r="D978" s="4" t="s">
        <v>22</v>
      </c>
      <c r="E978" s="4" t="s">
        <v>1751</v>
      </c>
      <c r="F978" s="4" t="s">
        <v>406</v>
      </c>
      <c r="G978" s="4" t="s">
        <v>1752</v>
      </c>
      <c r="H978" s="12" t="n">
        <v>1</v>
      </c>
      <c r="I978" s="4" t="s">
        <v>408</v>
      </c>
      <c r="J978" s="4" t="s">
        <v>416</v>
      </c>
      <c r="K978" s="13" t="n">
        <v>650</v>
      </c>
      <c r="L978" s="6" t="n">
        <f aca="false">H978*K978</f>
        <v>650</v>
      </c>
      <c r="M978" s="4" t="s">
        <v>371</v>
      </c>
    </row>
    <row r="979" customFormat="false" ht="15" hidden="false" customHeight="false" outlineLevel="0" collapsed="false">
      <c r="A979" s="4" t="s">
        <v>166</v>
      </c>
      <c r="B979" s="5" t="s">
        <v>167</v>
      </c>
      <c r="C979" s="5" t="s">
        <v>168</v>
      </c>
      <c r="D979" s="4" t="s">
        <v>22</v>
      </c>
      <c r="E979" s="4" t="s">
        <v>1753</v>
      </c>
      <c r="F979" s="4" t="s">
        <v>406</v>
      </c>
      <c r="G979" s="4" t="s">
        <v>1754</v>
      </c>
      <c r="H979" s="12" t="n">
        <v>1</v>
      </c>
      <c r="I979" s="4" t="s">
        <v>408</v>
      </c>
      <c r="J979" s="4" t="s">
        <v>409</v>
      </c>
      <c r="K979" s="13" t="n">
        <v>180</v>
      </c>
      <c r="L979" s="6" t="n">
        <f aca="false">H979*K979</f>
        <v>180</v>
      </c>
      <c r="M979" s="14" t="s">
        <v>410</v>
      </c>
    </row>
    <row r="980" customFormat="false" ht="15" hidden="false" customHeight="false" outlineLevel="0" collapsed="false">
      <c r="A980" s="4" t="s">
        <v>166</v>
      </c>
      <c r="B980" s="5" t="s">
        <v>167</v>
      </c>
      <c r="C980" s="5" t="s">
        <v>168</v>
      </c>
      <c r="D980" s="4" t="s">
        <v>22</v>
      </c>
      <c r="E980" s="4" t="s">
        <v>1755</v>
      </c>
      <c r="F980" s="4" t="s">
        <v>406</v>
      </c>
      <c r="G980" s="4" t="s">
        <v>1756</v>
      </c>
      <c r="H980" s="12" t="n">
        <v>1</v>
      </c>
      <c r="I980" s="4" t="s">
        <v>408</v>
      </c>
      <c r="J980" s="4" t="s">
        <v>409</v>
      </c>
      <c r="K980" s="13" t="n">
        <v>180</v>
      </c>
      <c r="L980" s="6" t="n">
        <f aca="false">H980*K980</f>
        <v>180</v>
      </c>
      <c r="M980" s="14" t="s">
        <v>410</v>
      </c>
    </row>
    <row r="981" customFormat="false" ht="15" hidden="false" customHeight="false" outlineLevel="0" collapsed="false">
      <c r="A981" s="4" t="s">
        <v>166</v>
      </c>
      <c r="B981" s="5" t="s">
        <v>167</v>
      </c>
      <c r="C981" s="5" t="s">
        <v>168</v>
      </c>
      <c r="D981" s="4" t="s">
        <v>22</v>
      </c>
      <c r="E981" s="4" t="s">
        <v>1757</v>
      </c>
      <c r="F981" s="4" t="s">
        <v>406</v>
      </c>
      <c r="G981" s="4" t="s">
        <v>1758</v>
      </c>
      <c r="H981" s="12" t="n">
        <v>1</v>
      </c>
      <c r="I981" s="4" t="s">
        <v>408</v>
      </c>
      <c r="J981" s="4" t="s">
        <v>409</v>
      </c>
      <c r="K981" s="13" t="n">
        <v>250</v>
      </c>
      <c r="L981" s="6" t="n">
        <f aca="false">H981*K981</f>
        <v>250</v>
      </c>
      <c r="M981" s="14" t="s">
        <v>410</v>
      </c>
    </row>
    <row r="982" customFormat="false" ht="15" hidden="false" customHeight="false" outlineLevel="0" collapsed="false">
      <c r="A982" s="4" t="s">
        <v>166</v>
      </c>
      <c r="B982" s="5" t="s">
        <v>167</v>
      </c>
      <c r="C982" s="5" t="s">
        <v>168</v>
      </c>
      <c r="D982" s="4" t="s">
        <v>22</v>
      </c>
      <c r="E982" s="4" t="s">
        <v>1759</v>
      </c>
      <c r="F982" s="4" t="s">
        <v>406</v>
      </c>
      <c r="G982" s="4" t="s">
        <v>1760</v>
      </c>
      <c r="H982" s="12" t="n">
        <v>1</v>
      </c>
      <c r="I982" s="4" t="s">
        <v>408</v>
      </c>
      <c r="J982" s="4" t="s">
        <v>416</v>
      </c>
      <c r="K982" s="13" t="n">
        <v>450</v>
      </c>
      <c r="L982" s="6" t="n">
        <f aca="false">H982*K982</f>
        <v>450</v>
      </c>
      <c r="M982" s="14" t="s">
        <v>410</v>
      </c>
    </row>
    <row r="983" customFormat="false" ht="15" hidden="false" customHeight="false" outlineLevel="0" collapsed="false">
      <c r="A983" s="4" t="s">
        <v>166</v>
      </c>
      <c r="B983" s="5" t="s">
        <v>167</v>
      </c>
      <c r="C983" s="5" t="s">
        <v>168</v>
      </c>
      <c r="D983" s="4" t="s">
        <v>22</v>
      </c>
      <c r="E983" s="4" t="s">
        <v>1761</v>
      </c>
      <c r="F983" s="4" t="s">
        <v>406</v>
      </c>
      <c r="G983" s="4" t="s">
        <v>1762</v>
      </c>
      <c r="H983" s="12" t="n">
        <v>1</v>
      </c>
      <c r="I983" s="4" t="s">
        <v>408</v>
      </c>
      <c r="J983" s="4" t="s">
        <v>416</v>
      </c>
      <c r="K983" s="13" t="n">
        <v>350</v>
      </c>
      <c r="L983" s="6" t="n">
        <f aca="false">H983*K983</f>
        <v>350</v>
      </c>
      <c r="M983" s="14" t="s">
        <v>410</v>
      </c>
    </row>
    <row r="984" customFormat="false" ht="15" hidden="false" customHeight="false" outlineLevel="0" collapsed="false">
      <c r="A984" s="4" t="s">
        <v>166</v>
      </c>
      <c r="B984" s="5" t="s">
        <v>167</v>
      </c>
      <c r="C984" s="5" t="s">
        <v>168</v>
      </c>
      <c r="D984" s="4" t="s">
        <v>22</v>
      </c>
      <c r="E984" s="4" t="s">
        <v>1763</v>
      </c>
      <c r="F984" s="4" t="s">
        <v>406</v>
      </c>
      <c r="G984" s="4" t="s">
        <v>1764</v>
      </c>
      <c r="H984" s="12" t="n">
        <v>1</v>
      </c>
      <c r="I984" s="4" t="s">
        <v>408</v>
      </c>
      <c r="J984" s="4" t="s">
        <v>416</v>
      </c>
      <c r="K984" s="13" t="n">
        <v>350</v>
      </c>
      <c r="L984" s="6" t="n">
        <f aca="false">H984*K984</f>
        <v>350</v>
      </c>
      <c r="M984" s="14" t="s">
        <v>410</v>
      </c>
    </row>
    <row r="985" customFormat="false" ht="15" hidden="false" customHeight="false" outlineLevel="0" collapsed="false">
      <c r="A985" s="4" t="s">
        <v>166</v>
      </c>
      <c r="B985" s="5" t="s">
        <v>167</v>
      </c>
      <c r="C985" s="5" t="s">
        <v>168</v>
      </c>
      <c r="D985" s="4" t="s">
        <v>22</v>
      </c>
      <c r="E985" s="4" t="s">
        <v>1162</v>
      </c>
      <c r="F985" s="4" t="s">
        <v>406</v>
      </c>
      <c r="G985" s="4" t="s">
        <v>1163</v>
      </c>
      <c r="H985" s="12" t="n">
        <v>1</v>
      </c>
      <c r="I985" s="4" t="s">
        <v>408</v>
      </c>
      <c r="J985" s="4" t="s">
        <v>409</v>
      </c>
      <c r="K985" s="13" t="n">
        <v>250</v>
      </c>
      <c r="L985" s="6" t="n">
        <f aca="false">H985*K985</f>
        <v>250</v>
      </c>
      <c r="M985" s="14" t="s">
        <v>410</v>
      </c>
    </row>
    <row r="986" customFormat="false" ht="15" hidden="false" customHeight="false" outlineLevel="0" collapsed="false">
      <c r="A986" s="4" t="s">
        <v>166</v>
      </c>
      <c r="B986" s="5" t="s">
        <v>167</v>
      </c>
      <c r="C986" s="5" t="s">
        <v>168</v>
      </c>
      <c r="D986" s="4" t="s">
        <v>22</v>
      </c>
      <c r="E986" s="4" t="s">
        <v>1765</v>
      </c>
      <c r="F986" s="4" t="s">
        <v>406</v>
      </c>
      <c r="G986" s="4" t="s">
        <v>1766</v>
      </c>
      <c r="H986" s="12" t="n">
        <v>1</v>
      </c>
      <c r="I986" s="4" t="s">
        <v>408</v>
      </c>
      <c r="J986" s="4" t="s">
        <v>409</v>
      </c>
      <c r="K986" s="13" t="n">
        <v>250</v>
      </c>
      <c r="L986" s="6" t="n">
        <f aca="false">H986*K986</f>
        <v>250</v>
      </c>
      <c r="M986" s="14" t="s">
        <v>410</v>
      </c>
    </row>
    <row r="987" customFormat="false" ht="15" hidden="false" customHeight="false" outlineLevel="0" collapsed="false">
      <c r="A987" s="4" t="s">
        <v>166</v>
      </c>
      <c r="B987" s="5" t="s">
        <v>167</v>
      </c>
      <c r="C987" s="5" t="s">
        <v>168</v>
      </c>
      <c r="D987" s="4" t="s">
        <v>22</v>
      </c>
      <c r="E987" s="4" t="s">
        <v>1767</v>
      </c>
      <c r="F987" s="4" t="s">
        <v>406</v>
      </c>
      <c r="G987" s="4" t="s">
        <v>1768</v>
      </c>
      <c r="H987" s="12" t="n">
        <v>1</v>
      </c>
      <c r="I987" s="4" t="s">
        <v>408</v>
      </c>
      <c r="J987" s="4" t="s">
        <v>409</v>
      </c>
      <c r="K987" s="13" t="n">
        <v>8500</v>
      </c>
      <c r="L987" s="6" t="n">
        <f aca="false">H987*K987</f>
        <v>8500</v>
      </c>
      <c r="M987" s="14" t="s">
        <v>410</v>
      </c>
    </row>
    <row r="988" customFormat="false" ht="15" hidden="false" customHeight="false" outlineLevel="0" collapsed="false">
      <c r="A988" s="4" t="s">
        <v>166</v>
      </c>
      <c r="B988" s="5" t="s">
        <v>167</v>
      </c>
      <c r="C988" s="5" t="s">
        <v>168</v>
      </c>
      <c r="D988" s="4" t="s">
        <v>22</v>
      </c>
      <c r="E988" s="4" t="s">
        <v>1769</v>
      </c>
      <c r="F988" s="4" t="s">
        <v>406</v>
      </c>
      <c r="G988" s="4" t="s">
        <v>1770</v>
      </c>
      <c r="H988" s="12" t="n">
        <v>1</v>
      </c>
      <c r="I988" s="4" t="s">
        <v>408</v>
      </c>
      <c r="J988" s="4" t="s">
        <v>409</v>
      </c>
      <c r="K988" s="13" t="n">
        <v>350</v>
      </c>
      <c r="L988" s="6" t="n">
        <f aca="false">H988*K988</f>
        <v>350</v>
      </c>
      <c r="M988" s="4" t="s">
        <v>371</v>
      </c>
    </row>
    <row r="989" customFormat="false" ht="15" hidden="false" customHeight="false" outlineLevel="0" collapsed="false">
      <c r="A989" s="4" t="s">
        <v>166</v>
      </c>
      <c r="B989" s="5" t="s">
        <v>167</v>
      </c>
      <c r="C989" s="5" t="s">
        <v>168</v>
      </c>
      <c r="D989" s="4" t="s">
        <v>22</v>
      </c>
      <c r="E989" s="4" t="s">
        <v>1771</v>
      </c>
      <c r="F989" s="4" t="s">
        <v>406</v>
      </c>
      <c r="G989" s="4" t="s">
        <v>1772</v>
      </c>
      <c r="H989" s="12" t="n">
        <v>1</v>
      </c>
      <c r="I989" s="4" t="s">
        <v>408</v>
      </c>
      <c r="J989" s="4" t="s">
        <v>409</v>
      </c>
      <c r="K989" s="13" t="n">
        <v>250</v>
      </c>
      <c r="L989" s="6" t="n">
        <f aca="false">H989*K989</f>
        <v>250</v>
      </c>
      <c r="M989" s="14" t="s">
        <v>410</v>
      </c>
    </row>
    <row r="990" customFormat="false" ht="15" hidden="false" customHeight="false" outlineLevel="0" collapsed="false">
      <c r="A990" s="4" t="s">
        <v>166</v>
      </c>
      <c r="B990" s="5" t="s">
        <v>167</v>
      </c>
      <c r="C990" s="5" t="s">
        <v>168</v>
      </c>
      <c r="D990" s="4" t="s">
        <v>22</v>
      </c>
      <c r="E990" s="4" t="s">
        <v>1773</v>
      </c>
      <c r="F990" s="4" t="s">
        <v>406</v>
      </c>
      <c r="G990" s="4" t="s">
        <v>1774</v>
      </c>
      <c r="H990" s="12" t="n">
        <v>1</v>
      </c>
      <c r="I990" s="4" t="s">
        <v>408</v>
      </c>
      <c r="J990" s="4" t="s">
        <v>409</v>
      </c>
      <c r="K990" s="13" t="n">
        <v>3500</v>
      </c>
      <c r="L990" s="6" t="n">
        <f aca="false">H990*K990</f>
        <v>3500</v>
      </c>
      <c r="M990" s="14" t="s">
        <v>410</v>
      </c>
    </row>
    <row r="991" customFormat="false" ht="15" hidden="false" customHeight="false" outlineLevel="0" collapsed="false">
      <c r="A991" s="4" t="s">
        <v>166</v>
      </c>
      <c r="B991" s="5" t="s">
        <v>167</v>
      </c>
      <c r="C991" s="5" t="s">
        <v>168</v>
      </c>
      <c r="D991" s="4" t="s">
        <v>22</v>
      </c>
      <c r="E991" s="4" t="s">
        <v>1775</v>
      </c>
      <c r="F991" s="4" t="s">
        <v>406</v>
      </c>
      <c r="G991" s="4" t="s">
        <v>1776</v>
      </c>
      <c r="H991" s="12" t="n">
        <v>1</v>
      </c>
      <c r="I991" s="4" t="s">
        <v>408</v>
      </c>
      <c r="J991" s="4" t="s">
        <v>409</v>
      </c>
      <c r="K991" s="13" t="n">
        <v>5500</v>
      </c>
      <c r="L991" s="6" t="n">
        <f aca="false">H991*K991</f>
        <v>5500</v>
      </c>
      <c r="M991" s="4" t="s">
        <v>371</v>
      </c>
    </row>
    <row r="992" customFormat="false" ht="15" hidden="false" customHeight="false" outlineLevel="0" collapsed="false">
      <c r="A992" s="4" t="s">
        <v>166</v>
      </c>
      <c r="B992" s="5" t="s">
        <v>167</v>
      </c>
      <c r="C992" s="5" t="s">
        <v>168</v>
      </c>
      <c r="D992" s="4" t="s">
        <v>22</v>
      </c>
      <c r="E992" s="4" t="s">
        <v>1777</v>
      </c>
      <c r="F992" s="4" t="s">
        <v>406</v>
      </c>
      <c r="G992" s="4" t="s">
        <v>1778</v>
      </c>
      <c r="H992" s="12" t="n">
        <v>1</v>
      </c>
      <c r="I992" s="4" t="s">
        <v>408</v>
      </c>
      <c r="J992" s="4" t="s">
        <v>409</v>
      </c>
      <c r="K992" s="13" t="n">
        <v>65000</v>
      </c>
      <c r="L992" s="6" t="n">
        <f aca="false">H992*K992</f>
        <v>65000</v>
      </c>
      <c r="M992" s="14" t="s">
        <v>410</v>
      </c>
    </row>
    <row r="993" customFormat="false" ht="15" hidden="false" customHeight="false" outlineLevel="0" collapsed="false">
      <c r="A993" s="4" t="s">
        <v>166</v>
      </c>
      <c r="B993" s="5" t="s">
        <v>167</v>
      </c>
      <c r="C993" s="5" t="s">
        <v>168</v>
      </c>
      <c r="D993" s="4" t="s">
        <v>22</v>
      </c>
      <c r="E993" s="4" t="s">
        <v>1779</v>
      </c>
      <c r="F993" s="4" t="s">
        <v>406</v>
      </c>
      <c r="G993" s="4" t="s">
        <v>1780</v>
      </c>
      <c r="H993" s="12" t="n">
        <v>1</v>
      </c>
      <c r="I993" s="4" t="s">
        <v>408</v>
      </c>
      <c r="J993" s="4" t="s">
        <v>409</v>
      </c>
      <c r="K993" s="13" t="n">
        <v>85000</v>
      </c>
      <c r="L993" s="6" t="n">
        <f aca="false">H993*K993</f>
        <v>85000</v>
      </c>
      <c r="M993" s="14" t="s">
        <v>410</v>
      </c>
    </row>
    <row r="994" customFormat="false" ht="15" hidden="false" customHeight="false" outlineLevel="0" collapsed="false">
      <c r="A994" s="4" t="s">
        <v>166</v>
      </c>
      <c r="B994" s="5" t="s">
        <v>167</v>
      </c>
      <c r="C994" s="5" t="s">
        <v>168</v>
      </c>
      <c r="D994" s="4" t="s">
        <v>22</v>
      </c>
      <c r="E994" s="4" t="s">
        <v>1781</v>
      </c>
      <c r="F994" s="4" t="s">
        <v>406</v>
      </c>
      <c r="G994" s="4" t="s">
        <v>1782</v>
      </c>
      <c r="H994" s="12" t="n">
        <v>3</v>
      </c>
      <c r="I994" s="4" t="s">
        <v>474</v>
      </c>
      <c r="J994" s="4" t="s">
        <v>409</v>
      </c>
      <c r="K994" s="13" t="n">
        <v>95000</v>
      </c>
      <c r="L994" s="6" t="n">
        <f aca="false">H994*K994</f>
        <v>285000</v>
      </c>
      <c r="M994" s="4" t="s">
        <v>371</v>
      </c>
    </row>
    <row r="995" customFormat="false" ht="15" hidden="false" customHeight="false" outlineLevel="0" collapsed="false">
      <c r="A995" s="4" t="s">
        <v>166</v>
      </c>
      <c r="B995" s="5" t="s">
        <v>167</v>
      </c>
      <c r="C995" s="5" t="s">
        <v>168</v>
      </c>
      <c r="D995" s="4" t="s">
        <v>22</v>
      </c>
      <c r="E995" s="4" t="s">
        <v>1783</v>
      </c>
      <c r="F995" s="4" t="s">
        <v>406</v>
      </c>
      <c r="G995" s="4" t="s">
        <v>1784</v>
      </c>
      <c r="H995" s="12" t="n">
        <v>1</v>
      </c>
      <c r="I995" s="4" t="s">
        <v>408</v>
      </c>
      <c r="J995" s="4" t="s">
        <v>409</v>
      </c>
      <c r="K995" s="13" t="n">
        <v>180000</v>
      </c>
      <c r="L995" s="6" t="n">
        <f aca="false">H995*K995</f>
        <v>180000</v>
      </c>
      <c r="M995" s="4" t="s">
        <v>371</v>
      </c>
    </row>
    <row r="996" customFormat="false" ht="15" hidden="false" customHeight="false" outlineLevel="0" collapsed="false">
      <c r="A996" s="4" t="s">
        <v>166</v>
      </c>
      <c r="B996" s="5" t="s">
        <v>167</v>
      </c>
      <c r="C996" s="5" t="s">
        <v>168</v>
      </c>
      <c r="D996" s="4" t="s">
        <v>22</v>
      </c>
      <c r="E996" s="4" t="s">
        <v>1785</v>
      </c>
      <c r="F996" s="4" t="s">
        <v>406</v>
      </c>
      <c r="G996" s="4" t="s">
        <v>1786</v>
      </c>
      <c r="H996" s="12" t="n">
        <v>1</v>
      </c>
      <c r="I996" s="4" t="s">
        <v>408</v>
      </c>
      <c r="J996" s="4" t="s">
        <v>409</v>
      </c>
      <c r="K996" s="13" t="n">
        <v>2500</v>
      </c>
      <c r="L996" s="6" t="n">
        <f aca="false">H996*K996</f>
        <v>2500</v>
      </c>
      <c r="M996" s="14" t="s">
        <v>410</v>
      </c>
    </row>
    <row r="997" customFormat="false" ht="15" hidden="false" customHeight="false" outlineLevel="0" collapsed="false">
      <c r="A997" s="4" t="s">
        <v>166</v>
      </c>
      <c r="B997" s="5" t="s">
        <v>167</v>
      </c>
      <c r="C997" s="5" t="s">
        <v>168</v>
      </c>
      <c r="D997" s="4" t="s">
        <v>22</v>
      </c>
      <c r="E997" s="4" t="s">
        <v>1787</v>
      </c>
      <c r="F997" s="4" t="s">
        <v>406</v>
      </c>
      <c r="G997" s="4" t="s">
        <v>1788</v>
      </c>
      <c r="H997" s="12" t="n">
        <v>1</v>
      </c>
      <c r="I997" s="4" t="s">
        <v>408</v>
      </c>
      <c r="J997" s="4" t="s">
        <v>409</v>
      </c>
      <c r="K997" s="13" t="n">
        <v>180000</v>
      </c>
      <c r="L997" s="6" t="n">
        <f aca="false">H997*K997</f>
        <v>180000</v>
      </c>
      <c r="M997" s="4" t="s">
        <v>371</v>
      </c>
    </row>
    <row r="998" customFormat="false" ht="15" hidden="false" customHeight="false" outlineLevel="0" collapsed="false">
      <c r="A998" s="4" t="s">
        <v>166</v>
      </c>
      <c r="B998" s="5" t="s">
        <v>167</v>
      </c>
      <c r="C998" s="5" t="s">
        <v>168</v>
      </c>
      <c r="D998" s="4" t="s">
        <v>22</v>
      </c>
      <c r="E998" s="4" t="s">
        <v>1789</v>
      </c>
      <c r="F998" s="4" t="s">
        <v>406</v>
      </c>
      <c r="G998" s="4" t="s">
        <v>1790</v>
      </c>
      <c r="H998" s="12" t="n">
        <v>1</v>
      </c>
      <c r="I998" s="4" t="s">
        <v>408</v>
      </c>
      <c r="J998" s="4" t="s">
        <v>409</v>
      </c>
      <c r="K998" s="13" t="n">
        <v>85000</v>
      </c>
      <c r="L998" s="6" t="n">
        <f aca="false">H998*K998</f>
        <v>85000</v>
      </c>
      <c r="M998" s="14" t="s">
        <v>410</v>
      </c>
    </row>
    <row r="999" customFormat="false" ht="15" hidden="false" customHeight="false" outlineLevel="0" collapsed="false">
      <c r="A999" s="4" t="s">
        <v>166</v>
      </c>
      <c r="B999" s="5" t="s">
        <v>167</v>
      </c>
      <c r="C999" s="5" t="s">
        <v>168</v>
      </c>
      <c r="D999" s="4" t="s">
        <v>22</v>
      </c>
      <c r="E999" s="4" t="s">
        <v>1791</v>
      </c>
      <c r="F999" s="4" t="s">
        <v>470</v>
      </c>
      <c r="G999" s="4" t="s">
        <v>1792</v>
      </c>
      <c r="H999" s="12" t="n">
        <v>1</v>
      </c>
      <c r="I999" s="4" t="s">
        <v>408</v>
      </c>
      <c r="J999" s="4" t="s">
        <v>409</v>
      </c>
      <c r="K999" s="13" t="n">
        <v>8500</v>
      </c>
      <c r="L999" s="6" t="n">
        <f aca="false">H999*K999</f>
        <v>8500</v>
      </c>
      <c r="M999" s="4" t="s">
        <v>371</v>
      </c>
    </row>
    <row r="1000" customFormat="false" ht="15" hidden="false" customHeight="false" outlineLevel="0" collapsed="false">
      <c r="A1000" s="4" t="s">
        <v>166</v>
      </c>
      <c r="B1000" s="5" t="s">
        <v>167</v>
      </c>
      <c r="C1000" s="5" t="s">
        <v>168</v>
      </c>
      <c r="D1000" s="4" t="s">
        <v>22</v>
      </c>
      <c r="E1000" s="4" t="s">
        <v>1793</v>
      </c>
      <c r="F1000" s="4" t="s">
        <v>470</v>
      </c>
      <c r="G1000" s="4" t="s">
        <v>1794</v>
      </c>
      <c r="H1000" s="12" t="n">
        <v>1</v>
      </c>
      <c r="I1000" s="4" t="s">
        <v>408</v>
      </c>
      <c r="J1000" s="4" t="s">
        <v>416</v>
      </c>
      <c r="K1000" s="13" t="n">
        <v>450</v>
      </c>
      <c r="L1000" s="6" t="n">
        <f aca="false">H1000*K1000</f>
        <v>450</v>
      </c>
      <c r="M1000" s="4" t="s">
        <v>371</v>
      </c>
    </row>
    <row r="1001" customFormat="false" ht="15" hidden="false" customHeight="false" outlineLevel="0" collapsed="false">
      <c r="A1001" s="4" t="s">
        <v>166</v>
      </c>
      <c r="B1001" s="5" t="s">
        <v>167</v>
      </c>
      <c r="C1001" s="5" t="s">
        <v>168</v>
      </c>
      <c r="D1001" s="4" t="s">
        <v>22</v>
      </c>
      <c r="E1001" s="4" t="s">
        <v>472</v>
      </c>
      <c r="F1001" s="4" t="s">
        <v>488</v>
      </c>
      <c r="G1001" s="4" t="s">
        <v>473</v>
      </c>
      <c r="H1001" s="12" t="n">
        <v>1</v>
      </c>
      <c r="I1001" s="4" t="s">
        <v>408</v>
      </c>
      <c r="J1001" s="4" t="s">
        <v>475</v>
      </c>
      <c r="K1001" s="13" t="n">
        <v>180</v>
      </c>
      <c r="L1001" s="6" t="n">
        <f aca="false">H1001*K1001</f>
        <v>180</v>
      </c>
      <c r="M1001" s="4" t="s">
        <v>371</v>
      </c>
    </row>
    <row r="1002" customFormat="false" ht="15" hidden="false" customHeight="false" outlineLevel="0" collapsed="false">
      <c r="A1002" s="4" t="s">
        <v>166</v>
      </c>
      <c r="B1002" s="5" t="s">
        <v>167</v>
      </c>
      <c r="C1002" s="5" t="s">
        <v>168</v>
      </c>
      <c r="D1002" s="4" t="s">
        <v>22</v>
      </c>
      <c r="E1002" s="4" t="s">
        <v>1795</v>
      </c>
      <c r="F1002" s="4" t="s">
        <v>488</v>
      </c>
      <c r="G1002" s="4" t="s">
        <v>1796</v>
      </c>
      <c r="H1002" s="12" t="n">
        <v>1</v>
      </c>
      <c r="I1002" s="4" t="s">
        <v>408</v>
      </c>
      <c r="J1002" s="4" t="s">
        <v>409</v>
      </c>
      <c r="K1002" s="13" t="n">
        <v>150</v>
      </c>
      <c r="L1002" s="6" t="n">
        <f aca="false">H1002*K1002</f>
        <v>150</v>
      </c>
      <c r="M1002" s="4" t="s">
        <v>371</v>
      </c>
    </row>
    <row r="1003" customFormat="false" ht="15" hidden="false" customHeight="false" outlineLevel="0" collapsed="false">
      <c r="A1003" s="4" t="s">
        <v>166</v>
      </c>
      <c r="B1003" s="5" t="s">
        <v>167</v>
      </c>
      <c r="C1003" s="5" t="s">
        <v>168</v>
      </c>
      <c r="D1003" s="4" t="s">
        <v>22</v>
      </c>
      <c r="E1003" s="4" t="s">
        <v>1797</v>
      </c>
      <c r="F1003" s="4" t="s">
        <v>488</v>
      </c>
      <c r="G1003" s="4" t="s">
        <v>1798</v>
      </c>
      <c r="H1003" s="12" t="n">
        <v>1</v>
      </c>
      <c r="I1003" s="4" t="s">
        <v>408</v>
      </c>
      <c r="J1003" s="4" t="s">
        <v>807</v>
      </c>
      <c r="K1003" s="13" t="n">
        <v>250</v>
      </c>
      <c r="L1003" s="6" t="n">
        <f aca="false">H1003*K1003</f>
        <v>250</v>
      </c>
      <c r="M1003" s="4" t="s">
        <v>371</v>
      </c>
    </row>
    <row r="1004" customFormat="false" ht="15" hidden="false" customHeight="false" outlineLevel="0" collapsed="false">
      <c r="A1004" s="4" t="s">
        <v>166</v>
      </c>
      <c r="B1004" s="5" t="s">
        <v>167</v>
      </c>
      <c r="C1004" s="5" t="s">
        <v>168</v>
      </c>
      <c r="D1004" s="4" t="s">
        <v>22</v>
      </c>
      <c r="E1004" s="4" t="s">
        <v>1799</v>
      </c>
      <c r="F1004" s="4" t="s">
        <v>488</v>
      </c>
      <c r="G1004" s="4" t="s">
        <v>1800</v>
      </c>
      <c r="H1004" s="12" t="n">
        <v>1</v>
      </c>
      <c r="I1004" s="4" t="s">
        <v>408</v>
      </c>
      <c r="J1004" s="4" t="s">
        <v>807</v>
      </c>
      <c r="K1004" s="13" t="n">
        <v>250</v>
      </c>
      <c r="L1004" s="6" t="n">
        <f aca="false">H1004*K1004</f>
        <v>250</v>
      </c>
      <c r="M1004" s="4" t="s">
        <v>371</v>
      </c>
    </row>
    <row r="1005" customFormat="false" ht="15" hidden="false" customHeight="false" outlineLevel="0" collapsed="false">
      <c r="A1005" s="4" t="s">
        <v>166</v>
      </c>
      <c r="B1005" s="5" t="s">
        <v>167</v>
      </c>
      <c r="C1005" s="5" t="s">
        <v>168</v>
      </c>
      <c r="D1005" s="4" t="s">
        <v>22</v>
      </c>
      <c r="E1005" s="4" t="s">
        <v>1801</v>
      </c>
      <c r="F1005" s="4" t="s">
        <v>470</v>
      </c>
      <c r="G1005" s="4" t="s">
        <v>1802</v>
      </c>
      <c r="H1005" s="12" t="n">
        <v>1</v>
      </c>
      <c r="I1005" s="4" t="s">
        <v>408</v>
      </c>
      <c r="J1005" s="4" t="s">
        <v>409</v>
      </c>
      <c r="K1005" s="13" t="n">
        <v>850</v>
      </c>
      <c r="L1005" s="6" t="n">
        <f aca="false">H1005*K1005</f>
        <v>850</v>
      </c>
      <c r="M1005" s="4" t="s">
        <v>371</v>
      </c>
    </row>
    <row r="1006" customFormat="false" ht="15" hidden="false" customHeight="false" outlineLevel="0" collapsed="false">
      <c r="A1006" s="4" t="s">
        <v>166</v>
      </c>
      <c r="B1006" s="5" t="s">
        <v>179</v>
      </c>
      <c r="C1006" s="5" t="s">
        <v>180</v>
      </c>
      <c r="D1006" s="4" t="s">
        <v>22</v>
      </c>
      <c r="E1006" s="4" t="s">
        <v>1803</v>
      </c>
      <c r="F1006" s="4" t="s">
        <v>406</v>
      </c>
      <c r="G1006" s="4" t="s">
        <v>1804</v>
      </c>
      <c r="H1006" s="12" t="n">
        <v>1</v>
      </c>
      <c r="I1006" s="4" t="s">
        <v>408</v>
      </c>
      <c r="J1006" s="4" t="s">
        <v>416</v>
      </c>
      <c r="K1006" s="13" t="n">
        <v>1200</v>
      </c>
      <c r="L1006" s="6" t="n">
        <f aca="false">H1006*K1006</f>
        <v>1200</v>
      </c>
      <c r="M1006" s="14" t="s">
        <v>410</v>
      </c>
    </row>
    <row r="1007" customFormat="false" ht="15" hidden="false" customHeight="false" outlineLevel="0" collapsed="false">
      <c r="A1007" s="4" t="s">
        <v>166</v>
      </c>
      <c r="B1007" s="5" t="s">
        <v>179</v>
      </c>
      <c r="C1007" s="5" t="s">
        <v>180</v>
      </c>
      <c r="D1007" s="4" t="s">
        <v>22</v>
      </c>
      <c r="E1007" s="4" t="s">
        <v>1805</v>
      </c>
      <c r="F1007" s="4" t="s">
        <v>406</v>
      </c>
      <c r="G1007" s="4" t="s">
        <v>1806</v>
      </c>
      <c r="H1007" s="12" t="n">
        <v>1</v>
      </c>
      <c r="I1007" s="4" t="s">
        <v>408</v>
      </c>
      <c r="J1007" s="4" t="s">
        <v>416</v>
      </c>
      <c r="K1007" s="13" t="n">
        <v>2500</v>
      </c>
      <c r="L1007" s="6" t="n">
        <f aca="false">H1007*K1007</f>
        <v>2500</v>
      </c>
      <c r="M1007" s="4" t="s">
        <v>371</v>
      </c>
    </row>
    <row r="1008" customFormat="false" ht="15" hidden="false" customHeight="false" outlineLevel="0" collapsed="false">
      <c r="A1008" s="4" t="s">
        <v>166</v>
      </c>
      <c r="B1008" s="5" t="s">
        <v>179</v>
      </c>
      <c r="C1008" s="5" t="s">
        <v>180</v>
      </c>
      <c r="D1008" s="4" t="s">
        <v>22</v>
      </c>
      <c r="E1008" s="4" t="s">
        <v>1807</v>
      </c>
      <c r="F1008" s="4" t="s">
        <v>406</v>
      </c>
      <c r="G1008" s="4" t="s">
        <v>1808</v>
      </c>
      <c r="H1008" s="12" t="n">
        <v>1</v>
      </c>
      <c r="I1008" s="4" t="s">
        <v>408</v>
      </c>
      <c r="J1008" s="4" t="s">
        <v>409</v>
      </c>
      <c r="K1008" s="13" t="n">
        <v>85000</v>
      </c>
      <c r="L1008" s="6" t="n">
        <f aca="false">H1008*K1008</f>
        <v>85000</v>
      </c>
      <c r="M1008" s="14" t="s">
        <v>410</v>
      </c>
    </row>
    <row r="1009" customFormat="false" ht="15" hidden="false" customHeight="false" outlineLevel="0" collapsed="false">
      <c r="A1009" s="4" t="s">
        <v>166</v>
      </c>
      <c r="B1009" s="5" t="s">
        <v>179</v>
      </c>
      <c r="C1009" s="5" t="s">
        <v>180</v>
      </c>
      <c r="D1009" s="4" t="s">
        <v>22</v>
      </c>
      <c r="E1009" s="4" t="s">
        <v>1809</v>
      </c>
      <c r="F1009" s="4" t="s">
        <v>406</v>
      </c>
      <c r="G1009" s="4" t="s">
        <v>1810</v>
      </c>
      <c r="H1009" s="12" t="n">
        <v>1</v>
      </c>
      <c r="I1009" s="4" t="s">
        <v>408</v>
      </c>
      <c r="J1009" s="4" t="s">
        <v>409</v>
      </c>
      <c r="K1009" s="13" t="n">
        <v>180000</v>
      </c>
      <c r="L1009" s="6" t="n">
        <f aca="false">H1009*K1009</f>
        <v>180000</v>
      </c>
      <c r="M1009" s="4" t="s">
        <v>371</v>
      </c>
    </row>
    <row r="1010" customFormat="false" ht="15" hidden="false" customHeight="false" outlineLevel="0" collapsed="false">
      <c r="A1010" s="4" t="s">
        <v>166</v>
      </c>
      <c r="B1010" s="5" t="s">
        <v>179</v>
      </c>
      <c r="C1010" s="5" t="s">
        <v>180</v>
      </c>
      <c r="D1010" s="4" t="s">
        <v>22</v>
      </c>
      <c r="E1010" s="4" t="s">
        <v>1811</v>
      </c>
      <c r="F1010" s="4" t="s">
        <v>406</v>
      </c>
      <c r="G1010" s="4" t="s">
        <v>1812</v>
      </c>
      <c r="H1010" s="12" t="n">
        <v>1</v>
      </c>
      <c r="I1010" s="4" t="s">
        <v>408</v>
      </c>
      <c r="J1010" s="4" t="s">
        <v>409</v>
      </c>
      <c r="K1010" s="13" t="n">
        <v>85000</v>
      </c>
      <c r="L1010" s="6" t="n">
        <f aca="false">H1010*K1010</f>
        <v>85000</v>
      </c>
      <c r="M1010" s="4" t="s">
        <v>371</v>
      </c>
    </row>
    <row r="1011" customFormat="false" ht="15" hidden="false" customHeight="false" outlineLevel="0" collapsed="false">
      <c r="A1011" s="4" t="s">
        <v>166</v>
      </c>
      <c r="B1011" s="5" t="s">
        <v>179</v>
      </c>
      <c r="C1011" s="5" t="s">
        <v>180</v>
      </c>
      <c r="D1011" s="4" t="s">
        <v>22</v>
      </c>
      <c r="E1011" s="4" t="s">
        <v>1813</v>
      </c>
      <c r="F1011" s="4" t="s">
        <v>406</v>
      </c>
      <c r="G1011" s="4" t="s">
        <v>1814</v>
      </c>
      <c r="H1011" s="12" t="n">
        <v>1</v>
      </c>
      <c r="I1011" s="4" t="s">
        <v>408</v>
      </c>
      <c r="J1011" s="4" t="s">
        <v>409</v>
      </c>
      <c r="K1011" s="13" t="n">
        <v>18000</v>
      </c>
      <c r="L1011" s="6" t="n">
        <f aca="false">H1011*K1011</f>
        <v>18000</v>
      </c>
      <c r="M1011" s="14" t="s">
        <v>410</v>
      </c>
    </row>
    <row r="1012" customFormat="false" ht="15" hidden="false" customHeight="false" outlineLevel="0" collapsed="false">
      <c r="A1012" s="4" t="s">
        <v>166</v>
      </c>
      <c r="B1012" s="5" t="s">
        <v>179</v>
      </c>
      <c r="C1012" s="5" t="s">
        <v>180</v>
      </c>
      <c r="D1012" s="4" t="s">
        <v>22</v>
      </c>
      <c r="E1012" s="4" t="s">
        <v>1815</v>
      </c>
      <c r="F1012" s="4" t="s">
        <v>406</v>
      </c>
      <c r="G1012" s="4" t="s">
        <v>1816</v>
      </c>
      <c r="H1012" s="12" t="n">
        <v>1</v>
      </c>
      <c r="I1012" s="4" t="s">
        <v>408</v>
      </c>
      <c r="J1012" s="4" t="s">
        <v>409</v>
      </c>
      <c r="K1012" s="13" t="n">
        <v>18000</v>
      </c>
      <c r="L1012" s="6" t="n">
        <f aca="false">H1012*K1012</f>
        <v>18000</v>
      </c>
      <c r="M1012" s="14" t="s">
        <v>410</v>
      </c>
    </row>
    <row r="1013" customFormat="false" ht="15" hidden="false" customHeight="false" outlineLevel="0" collapsed="false">
      <c r="A1013" s="4" t="s">
        <v>166</v>
      </c>
      <c r="B1013" s="5" t="s">
        <v>179</v>
      </c>
      <c r="C1013" s="5" t="s">
        <v>180</v>
      </c>
      <c r="D1013" s="4" t="s">
        <v>22</v>
      </c>
      <c r="E1013" s="4" t="s">
        <v>1817</v>
      </c>
      <c r="F1013" s="4" t="s">
        <v>406</v>
      </c>
      <c r="G1013" s="4" t="s">
        <v>1818</v>
      </c>
      <c r="H1013" s="12" t="n">
        <v>1</v>
      </c>
      <c r="I1013" s="4" t="s">
        <v>408</v>
      </c>
      <c r="J1013" s="4" t="s">
        <v>409</v>
      </c>
      <c r="K1013" s="13" t="n">
        <v>180000</v>
      </c>
      <c r="L1013" s="6" t="n">
        <f aca="false">H1013*K1013</f>
        <v>180000</v>
      </c>
      <c r="M1013" s="14" t="s">
        <v>410</v>
      </c>
    </row>
    <row r="1014" customFormat="false" ht="15" hidden="false" customHeight="false" outlineLevel="0" collapsed="false">
      <c r="A1014" s="4" t="s">
        <v>166</v>
      </c>
      <c r="B1014" s="5" t="s">
        <v>179</v>
      </c>
      <c r="C1014" s="5" t="s">
        <v>180</v>
      </c>
      <c r="D1014" s="4" t="s">
        <v>22</v>
      </c>
      <c r="E1014" s="4" t="s">
        <v>1819</v>
      </c>
      <c r="F1014" s="4" t="s">
        <v>406</v>
      </c>
      <c r="G1014" s="4" t="s">
        <v>1820</v>
      </c>
      <c r="H1014" s="12" t="n">
        <v>1</v>
      </c>
      <c r="I1014" s="4" t="s">
        <v>408</v>
      </c>
      <c r="J1014" s="4" t="s">
        <v>409</v>
      </c>
      <c r="K1014" s="13" t="n">
        <v>180000</v>
      </c>
      <c r="L1014" s="6" t="n">
        <f aca="false">H1014*K1014</f>
        <v>180000</v>
      </c>
      <c r="M1014" s="14" t="s">
        <v>410</v>
      </c>
    </row>
    <row r="1015" customFormat="false" ht="15" hidden="false" customHeight="false" outlineLevel="0" collapsed="false">
      <c r="A1015" s="4" t="s">
        <v>166</v>
      </c>
      <c r="B1015" s="5" t="s">
        <v>179</v>
      </c>
      <c r="C1015" s="5" t="s">
        <v>180</v>
      </c>
      <c r="D1015" s="4" t="s">
        <v>22</v>
      </c>
      <c r="E1015" s="4" t="s">
        <v>1821</v>
      </c>
      <c r="F1015" s="4" t="s">
        <v>406</v>
      </c>
      <c r="G1015" s="4" t="s">
        <v>1822</v>
      </c>
      <c r="H1015" s="12" t="n">
        <v>1</v>
      </c>
      <c r="I1015" s="4" t="s">
        <v>408</v>
      </c>
      <c r="J1015" s="4" t="s">
        <v>409</v>
      </c>
      <c r="K1015" s="13" t="n">
        <v>180000</v>
      </c>
      <c r="L1015" s="6" t="n">
        <f aca="false">H1015*K1015</f>
        <v>180000</v>
      </c>
      <c r="M1015" s="14" t="s">
        <v>410</v>
      </c>
    </row>
    <row r="1016" customFormat="false" ht="15" hidden="false" customHeight="false" outlineLevel="0" collapsed="false">
      <c r="A1016" s="4" t="s">
        <v>166</v>
      </c>
      <c r="B1016" s="5" t="s">
        <v>179</v>
      </c>
      <c r="C1016" s="5" t="s">
        <v>180</v>
      </c>
      <c r="D1016" s="4" t="s">
        <v>22</v>
      </c>
      <c r="E1016" s="4" t="s">
        <v>1823</v>
      </c>
      <c r="F1016" s="4" t="s">
        <v>406</v>
      </c>
      <c r="G1016" s="4" t="s">
        <v>1824</v>
      </c>
      <c r="H1016" s="12" t="n">
        <v>1</v>
      </c>
      <c r="I1016" s="4" t="s">
        <v>408</v>
      </c>
      <c r="J1016" s="4" t="s">
        <v>409</v>
      </c>
      <c r="K1016" s="13" t="n">
        <v>85000</v>
      </c>
      <c r="L1016" s="6" t="n">
        <f aca="false">H1016*K1016</f>
        <v>85000</v>
      </c>
      <c r="M1016" s="14" t="s">
        <v>410</v>
      </c>
    </row>
    <row r="1017" customFormat="false" ht="15" hidden="false" customHeight="false" outlineLevel="0" collapsed="false">
      <c r="A1017" s="4" t="s">
        <v>166</v>
      </c>
      <c r="B1017" s="5" t="s">
        <v>179</v>
      </c>
      <c r="C1017" s="5" t="s">
        <v>180</v>
      </c>
      <c r="D1017" s="4" t="s">
        <v>22</v>
      </c>
      <c r="E1017" s="4" t="s">
        <v>1825</v>
      </c>
      <c r="F1017" s="4" t="s">
        <v>406</v>
      </c>
      <c r="G1017" s="4" t="s">
        <v>1826</v>
      </c>
      <c r="H1017" s="12" t="n">
        <v>1</v>
      </c>
      <c r="I1017" s="4" t="s">
        <v>408</v>
      </c>
      <c r="J1017" s="4" t="s">
        <v>409</v>
      </c>
      <c r="K1017" s="13" t="n">
        <v>180000</v>
      </c>
      <c r="L1017" s="6" t="n">
        <f aca="false">H1017*K1017</f>
        <v>180000</v>
      </c>
      <c r="M1017" s="14" t="s">
        <v>410</v>
      </c>
    </row>
    <row r="1018" customFormat="false" ht="15" hidden="false" customHeight="false" outlineLevel="0" collapsed="false">
      <c r="A1018" s="4" t="s">
        <v>166</v>
      </c>
      <c r="B1018" s="5" t="s">
        <v>179</v>
      </c>
      <c r="C1018" s="5" t="s">
        <v>180</v>
      </c>
      <c r="D1018" s="4" t="s">
        <v>22</v>
      </c>
      <c r="E1018" s="4" t="s">
        <v>1827</v>
      </c>
      <c r="F1018" s="4" t="s">
        <v>406</v>
      </c>
      <c r="G1018" s="4" t="s">
        <v>1828</v>
      </c>
      <c r="H1018" s="12" t="n">
        <v>1</v>
      </c>
      <c r="I1018" s="4" t="s">
        <v>408</v>
      </c>
      <c r="J1018" s="4" t="s">
        <v>409</v>
      </c>
      <c r="K1018" s="13" t="n">
        <v>180000</v>
      </c>
      <c r="L1018" s="6" t="n">
        <f aca="false">H1018*K1018</f>
        <v>180000</v>
      </c>
      <c r="M1018" s="14" t="s">
        <v>410</v>
      </c>
    </row>
    <row r="1019" customFormat="false" ht="15" hidden="false" customHeight="false" outlineLevel="0" collapsed="false">
      <c r="A1019" s="4" t="s">
        <v>166</v>
      </c>
      <c r="B1019" s="5" t="s">
        <v>179</v>
      </c>
      <c r="C1019" s="5" t="s">
        <v>180</v>
      </c>
      <c r="D1019" s="4" t="s">
        <v>22</v>
      </c>
      <c r="E1019" s="4" t="s">
        <v>1829</v>
      </c>
      <c r="F1019" s="4" t="s">
        <v>406</v>
      </c>
      <c r="G1019" s="4" t="s">
        <v>1830</v>
      </c>
      <c r="H1019" s="12" t="n">
        <v>1</v>
      </c>
      <c r="I1019" s="4" t="s">
        <v>408</v>
      </c>
      <c r="J1019" s="4" t="s">
        <v>409</v>
      </c>
      <c r="K1019" s="13" t="n">
        <v>450000</v>
      </c>
      <c r="L1019" s="6" t="n">
        <f aca="false">H1019*K1019</f>
        <v>450000</v>
      </c>
      <c r="M1019" s="14" t="s">
        <v>410</v>
      </c>
    </row>
    <row r="1020" customFormat="false" ht="15" hidden="false" customHeight="false" outlineLevel="0" collapsed="false">
      <c r="A1020" s="4" t="s">
        <v>166</v>
      </c>
      <c r="B1020" s="5" t="s">
        <v>179</v>
      </c>
      <c r="C1020" s="5" t="s">
        <v>180</v>
      </c>
      <c r="D1020" s="4" t="s">
        <v>22</v>
      </c>
      <c r="E1020" s="4" t="s">
        <v>1831</v>
      </c>
      <c r="F1020" s="4" t="s">
        <v>406</v>
      </c>
      <c r="G1020" s="4" t="s">
        <v>1832</v>
      </c>
      <c r="H1020" s="12" t="n">
        <v>1</v>
      </c>
      <c r="I1020" s="4" t="s">
        <v>408</v>
      </c>
      <c r="J1020" s="4" t="s">
        <v>409</v>
      </c>
      <c r="K1020" s="13" t="n">
        <v>450000</v>
      </c>
      <c r="L1020" s="6" t="n">
        <f aca="false">H1020*K1020</f>
        <v>450000</v>
      </c>
      <c r="M1020" s="14" t="s">
        <v>410</v>
      </c>
    </row>
    <row r="1021" customFormat="false" ht="15" hidden="false" customHeight="false" outlineLevel="0" collapsed="false">
      <c r="A1021" s="4" t="s">
        <v>166</v>
      </c>
      <c r="B1021" s="5" t="s">
        <v>179</v>
      </c>
      <c r="C1021" s="5" t="s">
        <v>180</v>
      </c>
      <c r="D1021" s="4" t="s">
        <v>22</v>
      </c>
      <c r="E1021" s="4" t="s">
        <v>1833</v>
      </c>
      <c r="F1021" s="4" t="s">
        <v>406</v>
      </c>
      <c r="G1021" s="4" t="s">
        <v>1834</v>
      </c>
      <c r="H1021" s="12" t="n">
        <v>1</v>
      </c>
      <c r="I1021" s="4" t="s">
        <v>408</v>
      </c>
      <c r="J1021" s="4" t="s">
        <v>409</v>
      </c>
      <c r="K1021" s="13" t="n">
        <v>180000</v>
      </c>
      <c r="L1021" s="6" t="n">
        <f aca="false">H1021*K1021</f>
        <v>180000</v>
      </c>
      <c r="M1021" s="14" t="s">
        <v>410</v>
      </c>
    </row>
    <row r="1022" customFormat="false" ht="15" hidden="false" customHeight="false" outlineLevel="0" collapsed="false">
      <c r="A1022" s="4" t="s">
        <v>166</v>
      </c>
      <c r="B1022" s="5" t="s">
        <v>179</v>
      </c>
      <c r="C1022" s="5" t="s">
        <v>180</v>
      </c>
      <c r="D1022" s="4" t="s">
        <v>22</v>
      </c>
      <c r="E1022" s="4" t="s">
        <v>1835</v>
      </c>
      <c r="F1022" s="4" t="s">
        <v>406</v>
      </c>
      <c r="G1022" s="4" t="s">
        <v>1836</v>
      </c>
      <c r="H1022" s="12" t="n">
        <v>1</v>
      </c>
      <c r="I1022" s="4" t="s">
        <v>408</v>
      </c>
      <c r="J1022" s="4" t="s">
        <v>409</v>
      </c>
      <c r="K1022" s="13" t="n">
        <v>85000</v>
      </c>
      <c r="L1022" s="6" t="n">
        <f aca="false">H1022*K1022</f>
        <v>85000</v>
      </c>
      <c r="M1022" s="4" t="s">
        <v>371</v>
      </c>
    </row>
    <row r="1023" customFormat="false" ht="15" hidden="false" customHeight="false" outlineLevel="0" collapsed="false">
      <c r="A1023" s="4" t="s">
        <v>166</v>
      </c>
      <c r="B1023" s="5" t="s">
        <v>179</v>
      </c>
      <c r="C1023" s="5" t="s">
        <v>180</v>
      </c>
      <c r="D1023" s="4" t="s">
        <v>22</v>
      </c>
      <c r="E1023" s="4" t="s">
        <v>1837</v>
      </c>
      <c r="F1023" s="4" t="s">
        <v>406</v>
      </c>
      <c r="G1023" s="4" t="s">
        <v>1838</v>
      </c>
      <c r="H1023" s="12" t="n">
        <v>1</v>
      </c>
      <c r="I1023" s="4" t="s">
        <v>408</v>
      </c>
      <c r="J1023" s="4" t="s">
        <v>409</v>
      </c>
      <c r="K1023" s="13" t="n">
        <v>180000</v>
      </c>
      <c r="L1023" s="6" t="n">
        <f aca="false">H1023*K1023</f>
        <v>180000</v>
      </c>
      <c r="M1023" s="14" t="s">
        <v>410</v>
      </c>
    </row>
    <row r="1024" customFormat="false" ht="15" hidden="false" customHeight="false" outlineLevel="0" collapsed="false">
      <c r="A1024" s="4" t="s">
        <v>166</v>
      </c>
      <c r="B1024" s="5" t="s">
        <v>179</v>
      </c>
      <c r="C1024" s="5" t="s">
        <v>180</v>
      </c>
      <c r="D1024" s="4" t="s">
        <v>22</v>
      </c>
      <c r="E1024" s="4" t="s">
        <v>1839</v>
      </c>
      <c r="F1024" s="4" t="s">
        <v>406</v>
      </c>
      <c r="G1024" s="4" t="s">
        <v>1840</v>
      </c>
      <c r="H1024" s="12" t="n">
        <v>1</v>
      </c>
      <c r="I1024" s="4" t="s">
        <v>408</v>
      </c>
      <c r="J1024" s="4" t="s">
        <v>409</v>
      </c>
      <c r="K1024" s="13" t="n">
        <v>85000</v>
      </c>
      <c r="L1024" s="6" t="n">
        <f aca="false">H1024*K1024</f>
        <v>85000</v>
      </c>
      <c r="M1024" s="4" t="s">
        <v>371</v>
      </c>
    </row>
    <row r="1025" customFormat="false" ht="15" hidden="false" customHeight="false" outlineLevel="0" collapsed="false">
      <c r="A1025" s="4" t="s">
        <v>166</v>
      </c>
      <c r="B1025" s="5" t="s">
        <v>179</v>
      </c>
      <c r="C1025" s="5" t="s">
        <v>180</v>
      </c>
      <c r="D1025" s="4" t="s">
        <v>22</v>
      </c>
      <c r="E1025" s="4" t="s">
        <v>1841</v>
      </c>
      <c r="F1025" s="4" t="s">
        <v>406</v>
      </c>
      <c r="G1025" s="4" t="s">
        <v>1842</v>
      </c>
      <c r="H1025" s="12" t="n">
        <v>1</v>
      </c>
      <c r="I1025" s="4" t="s">
        <v>408</v>
      </c>
      <c r="J1025" s="4" t="s">
        <v>409</v>
      </c>
      <c r="K1025" s="13" t="n">
        <v>85000</v>
      </c>
      <c r="L1025" s="6" t="n">
        <f aca="false">H1025*K1025</f>
        <v>85000</v>
      </c>
      <c r="M1025" s="14" t="s">
        <v>410</v>
      </c>
    </row>
    <row r="1026" customFormat="false" ht="15" hidden="false" customHeight="false" outlineLevel="0" collapsed="false">
      <c r="A1026" s="4" t="s">
        <v>166</v>
      </c>
      <c r="B1026" s="5" t="s">
        <v>179</v>
      </c>
      <c r="C1026" s="5" t="s">
        <v>180</v>
      </c>
      <c r="D1026" s="4" t="s">
        <v>22</v>
      </c>
      <c r="E1026" s="4" t="s">
        <v>1843</v>
      </c>
      <c r="F1026" s="4" t="s">
        <v>488</v>
      </c>
      <c r="G1026" s="4" t="s">
        <v>1844</v>
      </c>
      <c r="H1026" s="12" t="n">
        <v>1</v>
      </c>
      <c r="I1026" s="4" t="s">
        <v>408</v>
      </c>
      <c r="J1026" s="4" t="s">
        <v>416</v>
      </c>
      <c r="K1026" s="13" t="n">
        <v>350</v>
      </c>
      <c r="L1026" s="6" t="n">
        <f aca="false">H1026*K1026</f>
        <v>350</v>
      </c>
      <c r="M1026" s="4" t="s">
        <v>371</v>
      </c>
    </row>
    <row r="1027" customFormat="false" ht="23.85" hidden="false" customHeight="false" outlineLevel="0" collapsed="false">
      <c r="A1027" s="4" t="s">
        <v>183</v>
      </c>
      <c r="B1027" s="5" t="s">
        <v>188</v>
      </c>
      <c r="C1027" s="5" t="s">
        <v>189</v>
      </c>
      <c r="D1027" s="4" t="s">
        <v>22</v>
      </c>
      <c r="E1027" s="4" t="s">
        <v>1845</v>
      </c>
      <c r="F1027" s="4" t="s">
        <v>406</v>
      </c>
      <c r="G1027" s="4" t="s">
        <v>1846</v>
      </c>
      <c r="H1027" s="12" t="n">
        <v>1</v>
      </c>
      <c r="I1027" s="4" t="s">
        <v>408</v>
      </c>
      <c r="J1027" s="4" t="s">
        <v>416</v>
      </c>
      <c r="K1027" s="13" t="n">
        <v>4500</v>
      </c>
      <c r="L1027" s="6" t="n">
        <f aca="false">H1027*K1027</f>
        <v>4500</v>
      </c>
      <c r="M1027" s="14" t="s">
        <v>410</v>
      </c>
    </row>
    <row r="1028" customFormat="false" ht="23.85" hidden="false" customHeight="false" outlineLevel="0" collapsed="false">
      <c r="A1028" s="4" t="s">
        <v>183</v>
      </c>
      <c r="B1028" s="5" t="s">
        <v>188</v>
      </c>
      <c r="C1028" s="5" t="s">
        <v>189</v>
      </c>
      <c r="D1028" s="4" t="s">
        <v>22</v>
      </c>
      <c r="E1028" s="4" t="s">
        <v>1847</v>
      </c>
      <c r="F1028" s="4" t="s">
        <v>406</v>
      </c>
      <c r="G1028" s="4" t="s">
        <v>1848</v>
      </c>
      <c r="H1028" s="12" t="n">
        <v>1</v>
      </c>
      <c r="I1028" s="4" t="s">
        <v>408</v>
      </c>
      <c r="J1028" s="4" t="s">
        <v>409</v>
      </c>
      <c r="K1028" s="13" t="n">
        <v>450</v>
      </c>
      <c r="L1028" s="6" t="n">
        <f aca="false">H1028*K1028</f>
        <v>450</v>
      </c>
      <c r="M1028" s="14" t="s">
        <v>410</v>
      </c>
    </row>
    <row r="1029" customFormat="false" ht="23.85" hidden="false" customHeight="false" outlineLevel="0" collapsed="false">
      <c r="A1029" s="4" t="s">
        <v>183</v>
      </c>
      <c r="B1029" s="5" t="s">
        <v>188</v>
      </c>
      <c r="C1029" s="5" t="s">
        <v>189</v>
      </c>
      <c r="D1029" s="4" t="s">
        <v>22</v>
      </c>
      <c r="E1029" s="4" t="s">
        <v>1849</v>
      </c>
      <c r="F1029" s="4" t="s">
        <v>406</v>
      </c>
      <c r="G1029" s="4" t="s">
        <v>1850</v>
      </c>
      <c r="H1029" s="12" t="n">
        <v>1</v>
      </c>
      <c r="I1029" s="4" t="s">
        <v>408</v>
      </c>
      <c r="J1029" s="4" t="s">
        <v>409</v>
      </c>
      <c r="K1029" s="13" t="n">
        <v>1800</v>
      </c>
      <c r="L1029" s="6" t="n">
        <f aca="false">H1029*K1029</f>
        <v>1800</v>
      </c>
      <c r="M1029" s="14" t="s">
        <v>410</v>
      </c>
    </row>
    <row r="1030" customFormat="false" ht="23.85" hidden="false" customHeight="false" outlineLevel="0" collapsed="false">
      <c r="A1030" s="4" t="s">
        <v>183</v>
      </c>
      <c r="B1030" s="5" t="s">
        <v>188</v>
      </c>
      <c r="C1030" s="5" t="s">
        <v>189</v>
      </c>
      <c r="D1030" s="4" t="s">
        <v>22</v>
      </c>
      <c r="E1030" s="4" t="s">
        <v>1851</v>
      </c>
      <c r="F1030" s="4" t="s">
        <v>406</v>
      </c>
      <c r="G1030" s="4" t="s">
        <v>1852</v>
      </c>
      <c r="H1030" s="12" t="n">
        <v>1</v>
      </c>
      <c r="I1030" s="4" t="s">
        <v>408</v>
      </c>
      <c r="J1030" s="4" t="s">
        <v>409</v>
      </c>
      <c r="K1030" s="13" t="n">
        <v>250</v>
      </c>
      <c r="L1030" s="6" t="n">
        <f aca="false">H1030*K1030</f>
        <v>250</v>
      </c>
      <c r="M1030" s="14" t="s">
        <v>410</v>
      </c>
    </row>
    <row r="1031" customFormat="false" ht="23.85" hidden="false" customHeight="false" outlineLevel="0" collapsed="false">
      <c r="A1031" s="4" t="s">
        <v>183</v>
      </c>
      <c r="B1031" s="5" t="s">
        <v>188</v>
      </c>
      <c r="C1031" s="5" t="s">
        <v>189</v>
      </c>
      <c r="D1031" s="4" t="s">
        <v>22</v>
      </c>
      <c r="E1031" s="4" t="s">
        <v>1853</v>
      </c>
      <c r="F1031" s="4" t="s">
        <v>406</v>
      </c>
      <c r="G1031" s="4" t="s">
        <v>1854</v>
      </c>
      <c r="H1031" s="12" t="n">
        <v>1</v>
      </c>
      <c r="I1031" s="4" t="s">
        <v>408</v>
      </c>
      <c r="J1031" s="4" t="s">
        <v>409</v>
      </c>
      <c r="K1031" s="13" t="n">
        <v>250</v>
      </c>
      <c r="L1031" s="6" t="n">
        <f aca="false">H1031*K1031</f>
        <v>250</v>
      </c>
      <c r="M1031" s="14" t="s">
        <v>410</v>
      </c>
    </row>
    <row r="1032" customFormat="false" ht="23.85" hidden="false" customHeight="false" outlineLevel="0" collapsed="false">
      <c r="A1032" s="4" t="s">
        <v>183</v>
      </c>
      <c r="B1032" s="5" t="s">
        <v>188</v>
      </c>
      <c r="C1032" s="5" t="s">
        <v>189</v>
      </c>
      <c r="D1032" s="4" t="s">
        <v>22</v>
      </c>
      <c r="E1032" s="4" t="s">
        <v>960</v>
      </c>
      <c r="F1032" s="4" t="s">
        <v>406</v>
      </c>
      <c r="G1032" s="4" t="s">
        <v>961</v>
      </c>
      <c r="H1032" s="12" t="n">
        <v>1</v>
      </c>
      <c r="I1032" s="4" t="s">
        <v>408</v>
      </c>
      <c r="J1032" s="4" t="s">
        <v>409</v>
      </c>
      <c r="K1032" s="13" t="n">
        <v>3500</v>
      </c>
      <c r="L1032" s="6" t="n">
        <f aca="false">H1032*K1032</f>
        <v>3500</v>
      </c>
      <c r="M1032" s="14" t="s">
        <v>410</v>
      </c>
    </row>
    <row r="1033" customFormat="false" ht="23.85" hidden="false" customHeight="false" outlineLevel="0" collapsed="false">
      <c r="A1033" s="4" t="s">
        <v>183</v>
      </c>
      <c r="B1033" s="5" t="s">
        <v>188</v>
      </c>
      <c r="C1033" s="5" t="s">
        <v>189</v>
      </c>
      <c r="D1033" s="4" t="s">
        <v>22</v>
      </c>
      <c r="E1033" s="4" t="s">
        <v>1855</v>
      </c>
      <c r="F1033" s="4" t="s">
        <v>406</v>
      </c>
      <c r="G1033" s="4" t="s">
        <v>1856</v>
      </c>
      <c r="H1033" s="12" t="n">
        <v>1</v>
      </c>
      <c r="I1033" s="4" t="s">
        <v>408</v>
      </c>
      <c r="J1033" s="4" t="s">
        <v>409</v>
      </c>
      <c r="K1033" s="13" t="n">
        <v>180</v>
      </c>
      <c r="L1033" s="6" t="n">
        <f aca="false">H1033*K1033</f>
        <v>180</v>
      </c>
      <c r="M1033" s="14" t="s">
        <v>410</v>
      </c>
    </row>
    <row r="1034" customFormat="false" ht="23.85" hidden="false" customHeight="false" outlineLevel="0" collapsed="false">
      <c r="A1034" s="4" t="s">
        <v>183</v>
      </c>
      <c r="B1034" s="5" t="s">
        <v>188</v>
      </c>
      <c r="C1034" s="5" t="s">
        <v>189</v>
      </c>
      <c r="D1034" s="4" t="s">
        <v>22</v>
      </c>
      <c r="E1034" s="4" t="s">
        <v>1857</v>
      </c>
      <c r="F1034" s="4" t="s">
        <v>406</v>
      </c>
      <c r="G1034" s="4" t="s">
        <v>1858</v>
      </c>
      <c r="H1034" s="12" t="n">
        <v>1</v>
      </c>
      <c r="I1034" s="4" t="s">
        <v>408</v>
      </c>
      <c r="J1034" s="4" t="s">
        <v>409</v>
      </c>
      <c r="K1034" s="13" t="n">
        <v>450</v>
      </c>
      <c r="L1034" s="6" t="n">
        <f aca="false">H1034*K1034</f>
        <v>450</v>
      </c>
      <c r="M1034" s="14" t="s">
        <v>410</v>
      </c>
    </row>
    <row r="1035" customFormat="false" ht="23.85" hidden="false" customHeight="false" outlineLevel="0" collapsed="false">
      <c r="A1035" s="4" t="s">
        <v>183</v>
      </c>
      <c r="B1035" s="5" t="s">
        <v>188</v>
      </c>
      <c r="C1035" s="5" t="s">
        <v>189</v>
      </c>
      <c r="D1035" s="4" t="s">
        <v>22</v>
      </c>
      <c r="E1035" s="4" t="s">
        <v>1859</v>
      </c>
      <c r="F1035" s="4" t="s">
        <v>406</v>
      </c>
      <c r="G1035" s="4" t="s">
        <v>1860</v>
      </c>
      <c r="H1035" s="12" t="n">
        <v>1</v>
      </c>
      <c r="I1035" s="4" t="s">
        <v>408</v>
      </c>
      <c r="J1035" s="4" t="s">
        <v>416</v>
      </c>
      <c r="K1035" s="13" t="n">
        <v>1800</v>
      </c>
      <c r="L1035" s="6" t="n">
        <f aca="false">H1035*K1035</f>
        <v>1800</v>
      </c>
      <c r="M1035" s="14" t="s">
        <v>410</v>
      </c>
    </row>
    <row r="1036" customFormat="false" ht="23.85" hidden="false" customHeight="false" outlineLevel="0" collapsed="false">
      <c r="A1036" s="4" t="s">
        <v>183</v>
      </c>
      <c r="B1036" s="5" t="s">
        <v>188</v>
      </c>
      <c r="C1036" s="5" t="s">
        <v>189</v>
      </c>
      <c r="D1036" s="4" t="s">
        <v>22</v>
      </c>
      <c r="E1036" s="4" t="s">
        <v>1861</v>
      </c>
      <c r="F1036" s="4" t="s">
        <v>406</v>
      </c>
      <c r="G1036" s="4" t="s">
        <v>1667</v>
      </c>
      <c r="H1036" s="12" t="n">
        <v>1</v>
      </c>
      <c r="I1036" s="4" t="s">
        <v>408</v>
      </c>
      <c r="J1036" s="4" t="s">
        <v>409</v>
      </c>
      <c r="K1036" s="13" t="n">
        <v>450</v>
      </c>
      <c r="L1036" s="6" t="n">
        <f aca="false">H1036*K1036</f>
        <v>450</v>
      </c>
      <c r="M1036" s="14" t="s">
        <v>410</v>
      </c>
    </row>
    <row r="1037" customFormat="false" ht="23.85" hidden="false" customHeight="false" outlineLevel="0" collapsed="false">
      <c r="A1037" s="4" t="s">
        <v>183</v>
      </c>
      <c r="B1037" s="5" t="s">
        <v>188</v>
      </c>
      <c r="C1037" s="5" t="s">
        <v>189</v>
      </c>
      <c r="D1037" s="4" t="s">
        <v>22</v>
      </c>
      <c r="E1037" s="4" t="s">
        <v>1862</v>
      </c>
      <c r="F1037" s="4" t="s">
        <v>406</v>
      </c>
      <c r="G1037" s="4" t="s">
        <v>1863</v>
      </c>
      <c r="H1037" s="12" t="n">
        <v>1</v>
      </c>
      <c r="I1037" s="4" t="s">
        <v>408</v>
      </c>
      <c r="J1037" s="4" t="s">
        <v>409</v>
      </c>
      <c r="K1037" s="13" t="n">
        <v>350</v>
      </c>
      <c r="L1037" s="6" t="n">
        <f aca="false">H1037*K1037</f>
        <v>350</v>
      </c>
      <c r="M1037" s="14" t="s">
        <v>410</v>
      </c>
    </row>
    <row r="1038" customFormat="false" ht="23.85" hidden="false" customHeight="false" outlineLevel="0" collapsed="false">
      <c r="A1038" s="4" t="s">
        <v>183</v>
      </c>
      <c r="B1038" s="5" t="s">
        <v>188</v>
      </c>
      <c r="C1038" s="5" t="s">
        <v>189</v>
      </c>
      <c r="D1038" s="4" t="s">
        <v>22</v>
      </c>
      <c r="E1038" s="4" t="s">
        <v>1864</v>
      </c>
      <c r="F1038" s="4" t="s">
        <v>406</v>
      </c>
      <c r="G1038" s="4" t="s">
        <v>1865</v>
      </c>
      <c r="H1038" s="12" t="n">
        <v>1</v>
      </c>
      <c r="I1038" s="4" t="s">
        <v>408</v>
      </c>
      <c r="J1038" s="4" t="s">
        <v>409</v>
      </c>
      <c r="K1038" s="13" t="n">
        <v>450</v>
      </c>
      <c r="L1038" s="6" t="n">
        <f aca="false">H1038*K1038</f>
        <v>450</v>
      </c>
      <c r="M1038" s="14" t="s">
        <v>410</v>
      </c>
    </row>
    <row r="1039" customFormat="false" ht="23.85" hidden="false" customHeight="false" outlineLevel="0" collapsed="false">
      <c r="A1039" s="4" t="s">
        <v>183</v>
      </c>
      <c r="B1039" s="5" t="s">
        <v>188</v>
      </c>
      <c r="C1039" s="5" t="s">
        <v>189</v>
      </c>
      <c r="D1039" s="4" t="s">
        <v>22</v>
      </c>
      <c r="E1039" s="4" t="s">
        <v>1866</v>
      </c>
      <c r="F1039" s="4" t="s">
        <v>406</v>
      </c>
      <c r="G1039" s="4" t="s">
        <v>1867</v>
      </c>
      <c r="H1039" s="12" t="n">
        <v>1</v>
      </c>
      <c r="I1039" s="4" t="s">
        <v>408</v>
      </c>
      <c r="J1039" s="4" t="s">
        <v>409</v>
      </c>
      <c r="K1039" s="13" t="n">
        <v>450</v>
      </c>
      <c r="L1039" s="6" t="n">
        <f aca="false">H1039*K1039</f>
        <v>450</v>
      </c>
      <c r="M1039" s="14" t="s">
        <v>410</v>
      </c>
    </row>
    <row r="1040" customFormat="false" ht="23.85" hidden="false" customHeight="false" outlineLevel="0" collapsed="false">
      <c r="A1040" s="4" t="s">
        <v>183</v>
      </c>
      <c r="B1040" s="5" t="s">
        <v>188</v>
      </c>
      <c r="C1040" s="5" t="s">
        <v>189</v>
      </c>
      <c r="D1040" s="4" t="s">
        <v>22</v>
      </c>
      <c r="E1040" s="4" t="s">
        <v>1868</v>
      </c>
      <c r="F1040" s="4" t="s">
        <v>406</v>
      </c>
      <c r="G1040" s="4" t="s">
        <v>1869</v>
      </c>
      <c r="H1040" s="12" t="n">
        <v>1</v>
      </c>
      <c r="I1040" s="4" t="s">
        <v>408</v>
      </c>
      <c r="J1040" s="4" t="s">
        <v>409</v>
      </c>
      <c r="K1040" s="13" t="n">
        <v>350</v>
      </c>
      <c r="L1040" s="6" t="n">
        <f aca="false">H1040*K1040</f>
        <v>350</v>
      </c>
      <c r="M1040" s="14" t="s">
        <v>410</v>
      </c>
    </row>
    <row r="1041" customFormat="false" ht="23.85" hidden="false" customHeight="false" outlineLevel="0" collapsed="false">
      <c r="A1041" s="4" t="s">
        <v>183</v>
      </c>
      <c r="B1041" s="5" t="s">
        <v>188</v>
      </c>
      <c r="C1041" s="5" t="s">
        <v>189</v>
      </c>
      <c r="D1041" s="4" t="s">
        <v>22</v>
      </c>
      <c r="E1041" s="4" t="s">
        <v>1870</v>
      </c>
      <c r="F1041" s="4" t="s">
        <v>406</v>
      </c>
      <c r="G1041" s="4" t="s">
        <v>1871</v>
      </c>
      <c r="H1041" s="12" t="n">
        <v>1</v>
      </c>
      <c r="I1041" s="4" t="s">
        <v>408</v>
      </c>
      <c r="J1041" s="4" t="s">
        <v>416</v>
      </c>
      <c r="K1041" s="13" t="n">
        <v>2500</v>
      </c>
      <c r="L1041" s="6" t="n">
        <f aca="false">H1041*K1041</f>
        <v>2500</v>
      </c>
      <c r="M1041" s="14" t="s">
        <v>410</v>
      </c>
    </row>
    <row r="1042" customFormat="false" ht="23.85" hidden="false" customHeight="false" outlineLevel="0" collapsed="false">
      <c r="A1042" s="4" t="s">
        <v>183</v>
      </c>
      <c r="B1042" s="5" t="s">
        <v>188</v>
      </c>
      <c r="C1042" s="5" t="s">
        <v>189</v>
      </c>
      <c r="D1042" s="4" t="s">
        <v>22</v>
      </c>
      <c r="E1042" s="4" t="s">
        <v>960</v>
      </c>
      <c r="F1042" s="4" t="s">
        <v>406</v>
      </c>
      <c r="G1042" s="4" t="s">
        <v>961</v>
      </c>
      <c r="H1042" s="12" t="n">
        <v>1</v>
      </c>
      <c r="I1042" s="4" t="s">
        <v>408</v>
      </c>
      <c r="J1042" s="4" t="s">
        <v>409</v>
      </c>
      <c r="K1042" s="13" t="n">
        <v>3500</v>
      </c>
      <c r="L1042" s="6" t="n">
        <f aca="false">H1042*K1042</f>
        <v>3500</v>
      </c>
      <c r="M1042" s="14" t="s">
        <v>410</v>
      </c>
    </row>
    <row r="1043" customFormat="false" ht="23.85" hidden="false" customHeight="false" outlineLevel="0" collapsed="false">
      <c r="A1043" s="4" t="s">
        <v>183</v>
      </c>
      <c r="B1043" s="5" t="s">
        <v>188</v>
      </c>
      <c r="C1043" s="5" t="s">
        <v>189</v>
      </c>
      <c r="D1043" s="4" t="s">
        <v>22</v>
      </c>
      <c r="E1043" s="4" t="s">
        <v>1866</v>
      </c>
      <c r="F1043" s="4" t="s">
        <v>406</v>
      </c>
      <c r="G1043" s="4" t="s">
        <v>1867</v>
      </c>
      <c r="H1043" s="12" t="n">
        <v>1</v>
      </c>
      <c r="I1043" s="4" t="s">
        <v>408</v>
      </c>
      <c r="J1043" s="4" t="s">
        <v>409</v>
      </c>
      <c r="K1043" s="13" t="n">
        <v>450</v>
      </c>
      <c r="L1043" s="6" t="n">
        <f aca="false">H1043*K1043</f>
        <v>450</v>
      </c>
      <c r="M1043" s="14" t="s">
        <v>410</v>
      </c>
    </row>
    <row r="1044" customFormat="false" ht="23.85" hidden="false" customHeight="false" outlineLevel="0" collapsed="false">
      <c r="A1044" s="4" t="s">
        <v>183</v>
      </c>
      <c r="B1044" s="5" t="s">
        <v>188</v>
      </c>
      <c r="C1044" s="5" t="s">
        <v>189</v>
      </c>
      <c r="D1044" s="4" t="s">
        <v>22</v>
      </c>
      <c r="E1044" s="4" t="s">
        <v>1674</v>
      </c>
      <c r="F1044" s="4" t="s">
        <v>406</v>
      </c>
      <c r="G1044" s="4" t="s">
        <v>778</v>
      </c>
      <c r="H1044" s="12" t="n">
        <v>1</v>
      </c>
      <c r="I1044" s="4" t="s">
        <v>408</v>
      </c>
      <c r="J1044" s="4" t="s">
        <v>409</v>
      </c>
      <c r="K1044" s="13" t="n">
        <v>120</v>
      </c>
      <c r="L1044" s="6" t="n">
        <f aca="false">H1044*K1044</f>
        <v>120</v>
      </c>
      <c r="M1044" s="14" t="s">
        <v>410</v>
      </c>
    </row>
    <row r="1045" customFormat="false" ht="23.85" hidden="false" customHeight="false" outlineLevel="0" collapsed="false">
      <c r="A1045" s="4" t="s">
        <v>183</v>
      </c>
      <c r="B1045" s="5" t="s">
        <v>188</v>
      </c>
      <c r="C1045" s="5" t="s">
        <v>189</v>
      </c>
      <c r="D1045" s="4" t="s">
        <v>22</v>
      </c>
      <c r="E1045" s="4" t="s">
        <v>1872</v>
      </c>
      <c r="F1045" s="4" t="s">
        <v>406</v>
      </c>
      <c r="G1045" s="4" t="s">
        <v>1873</v>
      </c>
      <c r="H1045" s="12" t="n">
        <v>1</v>
      </c>
      <c r="I1045" s="4" t="s">
        <v>408</v>
      </c>
      <c r="J1045" s="4" t="s">
        <v>807</v>
      </c>
      <c r="K1045" s="13" t="n">
        <v>250</v>
      </c>
      <c r="L1045" s="6" t="n">
        <f aca="false">H1045*K1045</f>
        <v>250</v>
      </c>
      <c r="M1045" s="14" t="s">
        <v>410</v>
      </c>
    </row>
    <row r="1046" customFormat="false" ht="23.85" hidden="false" customHeight="false" outlineLevel="0" collapsed="false">
      <c r="A1046" s="4" t="s">
        <v>183</v>
      </c>
      <c r="B1046" s="5" t="s">
        <v>188</v>
      </c>
      <c r="C1046" s="5" t="s">
        <v>189</v>
      </c>
      <c r="D1046" s="4" t="s">
        <v>22</v>
      </c>
      <c r="E1046" s="4" t="s">
        <v>1874</v>
      </c>
      <c r="F1046" s="4" t="s">
        <v>406</v>
      </c>
      <c r="G1046" s="4" t="s">
        <v>1875</v>
      </c>
      <c r="H1046" s="12" t="n">
        <v>1</v>
      </c>
      <c r="I1046" s="4" t="s">
        <v>408</v>
      </c>
      <c r="J1046" s="4" t="s">
        <v>409</v>
      </c>
      <c r="K1046" s="13" t="n">
        <v>350</v>
      </c>
      <c r="L1046" s="6" t="n">
        <f aca="false">H1046*K1046</f>
        <v>350</v>
      </c>
      <c r="M1046" s="14" t="s">
        <v>410</v>
      </c>
    </row>
    <row r="1047" customFormat="false" ht="23.85" hidden="false" customHeight="false" outlineLevel="0" collapsed="false">
      <c r="A1047" s="4" t="s">
        <v>183</v>
      </c>
      <c r="B1047" s="5" t="s">
        <v>188</v>
      </c>
      <c r="C1047" s="5" t="s">
        <v>189</v>
      </c>
      <c r="D1047" s="4" t="s">
        <v>22</v>
      </c>
      <c r="E1047" s="4" t="s">
        <v>1876</v>
      </c>
      <c r="F1047" s="4" t="s">
        <v>406</v>
      </c>
      <c r="G1047" s="4" t="s">
        <v>1877</v>
      </c>
      <c r="H1047" s="12" t="n">
        <v>1</v>
      </c>
      <c r="I1047" s="4" t="s">
        <v>408</v>
      </c>
      <c r="J1047" s="4" t="s">
        <v>409</v>
      </c>
      <c r="K1047" s="13" t="n">
        <v>850</v>
      </c>
      <c r="L1047" s="6" t="n">
        <f aca="false">H1047*K1047</f>
        <v>850</v>
      </c>
      <c r="M1047" s="14" t="s">
        <v>410</v>
      </c>
    </row>
    <row r="1048" customFormat="false" ht="23.85" hidden="false" customHeight="false" outlineLevel="0" collapsed="false">
      <c r="A1048" s="4" t="s">
        <v>183</v>
      </c>
      <c r="B1048" s="5" t="s">
        <v>188</v>
      </c>
      <c r="C1048" s="5" t="s">
        <v>189</v>
      </c>
      <c r="D1048" s="4" t="s">
        <v>22</v>
      </c>
      <c r="E1048" s="4" t="s">
        <v>1192</v>
      </c>
      <c r="F1048" s="4" t="s">
        <v>406</v>
      </c>
      <c r="G1048" s="4" t="s">
        <v>1193</v>
      </c>
      <c r="H1048" s="12" t="n">
        <v>1</v>
      </c>
      <c r="I1048" s="4" t="s">
        <v>408</v>
      </c>
      <c r="J1048" s="4" t="s">
        <v>416</v>
      </c>
      <c r="K1048" s="13" t="n">
        <v>450</v>
      </c>
      <c r="L1048" s="6" t="n">
        <f aca="false">H1048*K1048</f>
        <v>450</v>
      </c>
      <c r="M1048" s="14" t="s">
        <v>410</v>
      </c>
    </row>
    <row r="1049" customFormat="false" ht="23.85" hidden="false" customHeight="false" outlineLevel="0" collapsed="false">
      <c r="A1049" s="4" t="s">
        <v>183</v>
      </c>
      <c r="B1049" s="5" t="s">
        <v>188</v>
      </c>
      <c r="C1049" s="5" t="s">
        <v>189</v>
      </c>
      <c r="D1049" s="4" t="s">
        <v>22</v>
      </c>
      <c r="E1049" s="4" t="s">
        <v>1878</v>
      </c>
      <c r="F1049" s="4" t="s">
        <v>406</v>
      </c>
      <c r="G1049" s="4" t="s">
        <v>1879</v>
      </c>
      <c r="H1049" s="12" t="n">
        <v>1</v>
      </c>
      <c r="I1049" s="4" t="s">
        <v>408</v>
      </c>
      <c r="J1049" s="4" t="s">
        <v>409</v>
      </c>
      <c r="K1049" s="13" t="n">
        <v>180</v>
      </c>
      <c r="L1049" s="6" t="n">
        <f aca="false">H1049*K1049</f>
        <v>180</v>
      </c>
      <c r="M1049" s="14" t="s">
        <v>410</v>
      </c>
    </row>
    <row r="1050" customFormat="false" ht="23.85" hidden="false" customHeight="false" outlineLevel="0" collapsed="false">
      <c r="A1050" s="4" t="s">
        <v>183</v>
      </c>
      <c r="B1050" s="5" t="s">
        <v>188</v>
      </c>
      <c r="C1050" s="5" t="s">
        <v>189</v>
      </c>
      <c r="D1050" s="4" t="s">
        <v>22</v>
      </c>
      <c r="E1050" s="4" t="s">
        <v>1880</v>
      </c>
      <c r="F1050" s="4" t="s">
        <v>406</v>
      </c>
      <c r="G1050" s="4" t="s">
        <v>1881</v>
      </c>
      <c r="H1050" s="12" t="n">
        <v>1</v>
      </c>
      <c r="I1050" s="4" t="s">
        <v>408</v>
      </c>
      <c r="J1050" s="4" t="s">
        <v>409</v>
      </c>
      <c r="K1050" s="13" t="n">
        <v>650</v>
      </c>
      <c r="L1050" s="6" t="n">
        <f aca="false">H1050*K1050</f>
        <v>650</v>
      </c>
      <c r="M1050" s="14" t="s">
        <v>410</v>
      </c>
    </row>
    <row r="1051" customFormat="false" ht="23.85" hidden="false" customHeight="false" outlineLevel="0" collapsed="false">
      <c r="A1051" s="4" t="s">
        <v>183</v>
      </c>
      <c r="B1051" s="5" t="s">
        <v>188</v>
      </c>
      <c r="C1051" s="5" t="s">
        <v>189</v>
      </c>
      <c r="D1051" s="4" t="s">
        <v>22</v>
      </c>
      <c r="E1051" s="4" t="s">
        <v>1882</v>
      </c>
      <c r="F1051" s="4" t="s">
        <v>406</v>
      </c>
      <c r="G1051" s="4" t="s">
        <v>1883</v>
      </c>
      <c r="H1051" s="12" t="n">
        <v>1</v>
      </c>
      <c r="I1051" s="4" t="s">
        <v>408</v>
      </c>
      <c r="J1051" s="4" t="s">
        <v>409</v>
      </c>
      <c r="K1051" s="13" t="n">
        <v>1800</v>
      </c>
      <c r="L1051" s="6" t="n">
        <f aca="false">H1051*K1051</f>
        <v>1800</v>
      </c>
      <c r="M1051" s="14" t="s">
        <v>410</v>
      </c>
    </row>
    <row r="1052" customFormat="false" ht="23.85" hidden="false" customHeight="false" outlineLevel="0" collapsed="false">
      <c r="A1052" s="4" t="s">
        <v>183</v>
      </c>
      <c r="B1052" s="5" t="s">
        <v>188</v>
      </c>
      <c r="C1052" s="5" t="s">
        <v>189</v>
      </c>
      <c r="D1052" s="4" t="s">
        <v>22</v>
      </c>
      <c r="E1052" s="4" t="s">
        <v>1884</v>
      </c>
      <c r="F1052" s="4" t="s">
        <v>406</v>
      </c>
      <c r="G1052" s="4" t="s">
        <v>1604</v>
      </c>
      <c r="H1052" s="12" t="n">
        <v>1</v>
      </c>
      <c r="I1052" s="4" t="s">
        <v>408</v>
      </c>
      <c r="J1052" s="4" t="s">
        <v>416</v>
      </c>
      <c r="K1052" s="13" t="n">
        <v>1200</v>
      </c>
      <c r="L1052" s="6" t="n">
        <f aca="false">H1052*K1052</f>
        <v>1200</v>
      </c>
      <c r="M1052" s="14" t="s">
        <v>410</v>
      </c>
    </row>
    <row r="1053" customFormat="false" ht="23.85" hidden="false" customHeight="false" outlineLevel="0" collapsed="false">
      <c r="A1053" s="4" t="s">
        <v>183</v>
      </c>
      <c r="B1053" s="5" t="s">
        <v>188</v>
      </c>
      <c r="C1053" s="5" t="s">
        <v>189</v>
      </c>
      <c r="D1053" s="4" t="s">
        <v>22</v>
      </c>
      <c r="E1053" s="4" t="s">
        <v>1866</v>
      </c>
      <c r="F1053" s="4" t="s">
        <v>406</v>
      </c>
      <c r="G1053" s="4" t="s">
        <v>1867</v>
      </c>
      <c r="H1053" s="12" t="n">
        <v>1</v>
      </c>
      <c r="I1053" s="4" t="s">
        <v>408</v>
      </c>
      <c r="J1053" s="4" t="s">
        <v>409</v>
      </c>
      <c r="K1053" s="13" t="n">
        <v>450</v>
      </c>
      <c r="L1053" s="6" t="n">
        <f aca="false">H1053*K1053</f>
        <v>450</v>
      </c>
      <c r="M1053" s="14" t="s">
        <v>410</v>
      </c>
    </row>
    <row r="1054" customFormat="false" ht="23.85" hidden="false" customHeight="false" outlineLevel="0" collapsed="false">
      <c r="A1054" s="4" t="s">
        <v>183</v>
      </c>
      <c r="B1054" s="5" t="s">
        <v>188</v>
      </c>
      <c r="C1054" s="5" t="s">
        <v>189</v>
      </c>
      <c r="D1054" s="4" t="s">
        <v>22</v>
      </c>
      <c r="E1054" s="4" t="s">
        <v>1885</v>
      </c>
      <c r="F1054" s="4" t="s">
        <v>406</v>
      </c>
      <c r="G1054" s="4" t="s">
        <v>1886</v>
      </c>
      <c r="H1054" s="12" t="n">
        <v>1</v>
      </c>
      <c r="I1054" s="4" t="s">
        <v>408</v>
      </c>
      <c r="J1054" s="4" t="s">
        <v>543</v>
      </c>
      <c r="K1054" s="13" t="n">
        <v>85000</v>
      </c>
      <c r="L1054" s="6" t="n">
        <f aca="false">H1054*K1054</f>
        <v>85000</v>
      </c>
      <c r="M1054" s="14" t="s">
        <v>410</v>
      </c>
    </row>
    <row r="1055" customFormat="false" ht="23.85" hidden="false" customHeight="false" outlineLevel="0" collapsed="false">
      <c r="A1055" s="4" t="s">
        <v>183</v>
      </c>
      <c r="B1055" s="5" t="s">
        <v>188</v>
      </c>
      <c r="C1055" s="5" t="s">
        <v>189</v>
      </c>
      <c r="D1055" s="4" t="s">
        <v>22</v>
      </c>
      <c r="E1055" s="4" t="s">
        <v>1887</v>
      </c>
      <c r="F1055" s="4" t="s">
        <v>406</v>
      </c>
      <c r="G1055" s="4" t="s">
        <v>1888</v>
      </c>
      <c r="H1055" s="12" t="n">
        <v>1</v>
      </c>
      <c r="I1055" s="4" t="s">
        <v>408</v>
      </c>
      <c r="J1055" s="4" t="s">
        <v>409</v>
      </c>
      <c r="K1055" s="13" t="n">
        <v>85000</v>
      </c>
      <c r="L1055" s="6" t="n">
        <f aca="false">H1055*K1055</f>
        <v>85000</v>
      </c>
      <c r="M1055" s="14" t="s">
        <v>410</v>
      </c>
    </row>
    <row r="1056" customFormat="false" ht="23.85" hidden="false" customHeight="false" outlineLevel="0" collapsed="false">
      <c r="A1056" s="4" t="s">
        <v>183</v>
      </c>
      <c r="B1056" s="5" t="s">
        <v>188</v>
      </c>
      <c r="C1056" s="5" t="s">
        <v>189</v>
      </c>
      <c r="D1056" s="4" t="s">
        <v>22</v>
      </c>
      <c r="E1056" s="4" t="s">
        <v>1889</v>
      </c>
      <c r="F1056" s="4" t="s">
        <v>406</v>
      </c>
      <c r="G1056" s="4" t="s">
        <v>1890</v>
      </c>
      <c r="H1056" s="12" t="n">
        <v>1</v>
      </c>
      <c r="I1056" s="4" t="s">
        <v>408</v>
      </c>
      <c r="J1056" s="4" t="s">
        <v>409</v>
      </c>
      <c r="K1056" s="13" t="n">
        <v>18000</v>
      </c>
      <c r="L1056" s="6" t="n">
        <f aca="false">H1056*K1056</f>
        <v>18000</v>
      </c>
      <c r="M1056" s="14" t="s">
        <v>410</v>
      </c>
    </row>
    <row r="1057" customFormat="false" ht="23.85" hidden="false" customHeight="false" outlineLevel="0" collapsed="false">
      <c r="A1057" s="4" t="s">
        <v>183</v>
      </c>
      <c r="B1057" s="5" t="s">
        <v>188</v>
      </c>
      <c r="C1057" s="5" t="s">
        <v>189</v>
      </c>
      <c r="D1057" s="4" t="s">
        <v>22</v>
      </c>
      <c r="E1057" s="4" t="s">
        <v>1891</v>
      </c>
      <c r="F1057" s="4" t="s">
        <v>406</v>
      </c>
      <c r="G1057" s="4" t="s">
        <v>1892</v>
      </c>
      <c r="H1057" s="12" t="n">
        <v>1</v>
      </c>
      <c r="I1057" s="4" t="s">
        <v>408</v>
      </c>
      <c r="J1057" s="4" t="s">
        <v>409</v>
      </c>
      <c r="K1057" s="13" t="n">
        <v>1800</v>
      </c>
      <c r="L1057" s="6" t="n">
        <f aca="false">H1057*K1057</f>
        <v>1800</v>
      </c>
      <c r="M1057" s="14" t="s">
        <v>410</v>
      </c>
    </row>
    <row r="1058" customFormat="false" ht="23.85" hidden="false" customHeight="false" outlineLevel="0" collapsed="false">
      <c r="A1058" s="4" t="s">
        <v>183</v>
      </c>
      <c r="B1058" s="5" t="s">
        <v>188</v>
      </c>
      <c r="C1058" s="5" t="s">
        <v>189</v>
      </c>
      <c r="D1058" s="4" t="s">
        <v>22</v>
      </c>
      <c r="E1058" s="4" t="s">
        <v>1893</v>
      </c>
      <c r="F1058" s="4" t="s">
        <v>406</v>
      </c>
      <c r="G1058" s="4" t="s">
        <v>1894</v>
      </c>
      <c r="H1058" s="12" t="n">
        <v>1</v>
      </c>
      <c r="I1058" s="4" t="s">
        <v>408</v>
      </c>
      <c r="J1058" s="4" t="s">
        <v>409</v>
      </c>
      <c r="K1058" s="13" t="n">
        <v>1800</v>
      </c>
      <c r="L1058" s="6" t="n">
        <f aca="false">H1058*K1058</f>
        <v>1800</v>
      </c>
      <c r="M1058" s="14" t="s">
        <v>410</v>
      </c>
    </row>
    <row r="1059" customFormat="false" ht="23.85" hidden="false" customHeight="false" outlineLevel="0" collapsed="false">
      <c r="A1059" s="4" t="s">
        <v>183</v>
      </c>
      <c r="B1059" s="5" t="s">
        <v>188</v>
      </c>
      <c r="C1059" s="5" t="s">
        <v>189</v>
      </c>
      <c r="D1059" s="4" t="s">
        <v>22</v>
      </c>
      <c r="E1059" s="4" t="s">
        <v>1895</v>
      </c>
      <c r="F1059" s="4" t="s">
        <v>406</v>
      </c>
      <c r="G1059" s="4" t="s">
        <v>1896</v>
      </c>
      <c r="H1059" s="12" t="n">
        <v>1</v>
      </c>
      <c r="I1059" s="4" t="s">
        <v>408</v>
      </c>
      <c r="J1059" s="4" t="s">
        <v>409</v>
      </c>
      <c r="K1059" s="13" t="n">
        <v>6500</v>
      </c>
      <c r="L1059" s="6" t="n">
        <f aca="false">H1059*K1059</f>
        <v>6500</v>
      </c>
      <c r="M1059" s="14" t="s">
        <v>410</v>
      </c>
    </row>
    <row r="1060" customFormat="false" ht="23.85" hidden="false" customHeight="false" outlineLevel="0" collapsed="false">
      <c r="A1060" s="4" t="s">
        <v>183</v>
      </c>
      <c r="B1060" s="5" t="s">
        <v>188</v>
      </c>
      <c r="C1060" s="5" t="s">
        <v>189</v>
      </c>
      <c r="D1060" s="4" t="s">
        <v>22</v>
      </c>
      <c r="E1060" s="4" t="s">
        <v>1208</v>
      </c>
      <c r="F1060" s="4" t="s">
        <v>406</v>
      </c>
      <c r="G1060" s="4" t="s">
        <v>1209</v>
      </c>
      <c r="H1060" s="12" t="n">
        <v>1</v>
      </c>
      <c r="I1060" s="4" t="s">
        <v>408</v>
      </c>
      <c r="J1060" s="4" t="s">
        <v>409</v>
      </c>
      <c r="K1060" s="13" t="n">
        <v>850</v>
      </c>
      <c r="L1060" s="6" t="n">
        <f aca="false">H1060*K1060</f>
        <v>850</v>
      </c>
      <c r="M1060" s="14" t="s">
        <v>410</v>
      </c>
    </row>
    <row r="1061" customFormat="false" ht="23.85" hidden="false" customHeight="false" outlineLevel="0" collapsed="false">
      <c r="A1061" s="4" t="s">
        <v>183</v>
      </c>
      <c r="B1061" s="5" t="s">
        <v>188</v>
      </c>
      <c r="C1061" s="5" t="s">
        <v>189</v>
      </c>
      <c r="D1061" s="4" t="s">
        <v>22</v>
      </c>
      <c r="E1061" s="4" t="s">
        <v>1897</v>
      </c>
      <c r="F1061" s="4" t="s">
        <v>406</v>
      </c>
      <c r="G1061" s="4" t="s">
        <v>1611</v>
      </c>
      <c r="H1061" s="12" t="n">
        <v>1</v>
      </c>
      <c r="I1061" s="4" t="s">
        <v>408</v>
      </c>
      <c r="J1061" s="4" t="s">
        <v>409</v>
      </c>
      <c r="K1061" s="13" t="n">
        <v>350</v>
      </c>
      <c r="L1061" s="6" t="n">
        <f aca="false">H1061*K1061</f>
        <v>350</v>
      </c>
      <c r="M1061" s="14" t="s">
        <v>410</v>
      </c>
    </row>
    <row r="1062" customFormat="false" ht="23.85" hidden="false" customHeight="false" outlineLevel="0" collapsed="false">
      <c r="A1062" s="4" t="s">
        <v>183</v>
      </c>
      <c r="B1062" s="5" t="s">
        <v>188</v>
      </c>
      <c r="C1062" s="5" t="s">
        <v>189</v>
      </c>
      <c r="D1062" s="4" t="s">
        <v>22</v>
      </c>
      <c r="E1062" s="4" t="s">
        <v>1898</v>
      </c>
      <c r="F1062" s="4" t="s">
        <v>406</v>
      </c>
      <c r="G1062" s="4" t="s">
        <v>1899</v>
      </c>
      <c r="H1062" s="12" t="n">
        <v>1</v>
      </c>
      <c r="I1062" s="4" t="s">
        <v>408</v>
      </c>
      <c r="J1062" s="4" t="s">
        <v>409</v>
      </c>
      <c r="K1062" s="13" t="n">
        <v>6500</v>
      </c>
      <c r="L1062" s="6" t="n">
        <f aca="false">H1062*K1062</f>
        <v>6500</v>
      </c>
      <c r="M1062" s="14" t="s">
        <v>410</v>
      </c>
    </row>
    <row r="1063" customFormat="false" ht="23.85" hidden="false" customHeight="false" outlineLevel="0" collapsed="false">
      <c r="A1063" s="4" t="s">
        <v>183</v>
      </c>
      <c r="B1063" s="5" t="s">
        <v>188</v>
      </c>
      <c r="C1063" s="5" t="s">
        <v>189</v>
      </c>
      <c r="D1063" s="4" t="s">
        <v>22</v>
      </c>
      <c r="E1063" s="4" t="s">
        <v>1900</v>
      </c>
      <c r="F1063" s="4" t="s">
        <v>406</v>
      </c>
      <c r="G1063" s="4" t="s">
        <v>1901</v>
      </c>
      <c r="H1063" s="12" t="n">
        <v>1</v>
      </c>
      <c r="I1063" s="4" t="s">
        <v>408</v>
      </c>
      <c r="J1063" s="4" t="s">
        <v>409</v>
      </c>
      <c r="K1063" s="13" t="n">
        <v>4500</v>
      </c>
      <c r="L1063" s="6" t="n">
        <f aca="false">H1063*K1063</f>
        <v>4500</v>
      </c>
      <c r="M1063" s="14" t="s">
        <v>410</v>
      </c>
    </row>
    <row r="1064" customFormat="false" ht="23.85" hidden="false" customHeight="false" outlineLevel="0" collapsed="false">
      <c r="A1064" s="4" t="s">
        <v>183</v>
      </c>
      <c r="B1064" s="5" t="s">
        <v>188</v>
      </c>
      <c r="C1064" s="5" t="s">
        <v>189</v>
      </c>
      <c r="D1064" s="4" t="s">
        <v>22</v>
      </c>
      <c r="E1064" s="4" t="s">
        <v>1902</v>
      </c>
      <c r="F1064" s="4" t="s">
        <v>406</v>
      </c>
      <c r="G1064" s="4" t="s">
        <v>1680</v>
      </c>
      <c r="H1064" s="12" t="n">
        <v>1</v>
      </c>
      <c r="I1064" s="4" t="s">
        <v>408</v>
      </c>
      <c r="J1064" s="4" t="s">
        <v>409</v>
      </c>
      <c r="K1064" s="13" t="n">
        <v>8500</v>
      </c>
      <c r="L1064" s="6" t="n">
        <f aca="false">H1064*K1064</f>
        <v>8500</v>
      </c>
      <c r="M1064" s="14" t="s">
        <v>410</v>
      </c>
    </row>
    <row r="1065" customFormat="false" ht="23.85" hidden="false" customHeight="false" outlineLevel="0" collapsed="false">
      <c r="A1065" s="4" t="s">
        <v>183</v>
      </c>
      <c r="B1065" s="5" t="s">
        <v>188</v>
      </c>
      <c r="C1065" s="5" t="s">
        <v>189</v>
      </c>
      <c r="D1065" s="4" t="s">
        <v>22</v>
      </c>
      <c r="E1065" s="4" t="s">
        <v>1903</v>
      </c>
      <c r="F1065" s="4" t="s">
        <v>406</v>
      </c>
      <c r="G1065" s="4" t="s">
        <v>1904</v>
      </c>
      <c r="H1065" s="12" t="n">
        <v>1</v>
      </c>
      <c r="I1065" s="4" t="s">
        <v>408</v>
      </c>
      <c r="J1065" s="4" t="s">
        <v>409</v>
      </c>
      <c r="K1065" s="13" t="n">
        <v>8500</v>
      </c>
      <c r="L1065" s="6" t="n">
        <f aca="false">H1065*K1065</f>
        <v>8500</v>
      </c>
      <c r="M1065" s="14" t="s">
        <v>410</v>
      </c>
    </row>
    <row r="1066" customFormat="false" ht="23.85" hidden="false" customHeight="false" outlineLevel="0" collapsed="false">
      <c r="A1066" s="4" t="s">
        <v>183</v>
      </c>
      <c r="B1066" s="5" t="s">
        <v>188</v>
      </c>
      <c r="C1066" s="5" t="s">
        <v>189</v>
      </c>
      <c r="D1066" s="4" t="s">
        <v>22</v>
      </c>
      <c r="E1066" s="4" t="s">
        <v>1905</v>
      </c>
      <c r="F1066" s="4" t="s">
        <v>406</v>
      </c>
      <c r="G1066" s="4" t="s">
        <v>1906</v>
      </c>
      <c r="H1066" s="12" t="n">
        <v>1</v>
      </c>
      <c r="I1066" s="4" t="s">
        <v>408</v>
      </c>
      <c r="J1066" s="4" t="s">
        <v>409</v>
      </c>
      <c r="K1066" s="13" t="n">
        <v>1800</v>
      </c>
      <c r="L1066" s="6" t="n">
        <f aca="false">H1066*K1066</f>
        <v>1800</v>
      </c>
      <c r="M1066" s="14" t="s">
        <v>410</v>
      </c>
    </row>
    <row r="1067" customFormat="false" ht="23.85" hidden="false" customHeight="false" outlineLevel="0" collapsed="false">
      <c r="A1067" s="4" t="s">
        <v>183</v>
      </c>
      <c r="B1067" s="5" t="s">
        <v>188</v>
      </c>
      <c r="C1067" s="5" t="s">
        <v>189</v>
      </c>
      <c r="D1067" s="4" t="s">
        <v>22</v>
      </c>
      <c r="E1067" s="4" t="s">
        <v>1672</v>
      </c>
      <c r="F1067" s="4" t="s">
        <v>406</v>
      </c>
      <c r="G1067" s="4" t="s">
        <v>1673</v>
      </c>
      <c r="H1067" s="12" t="n">
        <v>1</v>
      </c>
      <c r="I1067" s="4" t="s">
        <v>408</v>
      </c>
      <c r="J1067" s="4" t="s">
        <v>409</v>
      </c>
      <c r="K1067" s="13" t="n">
        <v>3500</v>
      </c>
      <c r="L1067" s="6" t="n">
        <f aca="false">H1067*K1067</f>
        <v>3500</v>
      </c>
      <c r="M1067" s="14" t="s">
        <v>410</v>
      </c>
    </row>
    <row r="1068" customFormat="false" ht="23.85" hidden="false" customHeight="false" outlineLevel="0" collapsed="false">
      <c r="A1068" s="4" t="s">
        <v>183</v>
      </c>
      <c r="B1068" s="5" t="s">
        <v>188</v>
      </c>
      <c r="C1068" s="5" t="s">
        <v>189</v>
      </c>
      <c r="D1068" s="4" t="s">
        <v>22</v>
      </c>
      <c r="E1068" s="4" t="s">
        <v>1672</v>
      </c>
      <c r="F1068" s="4" t="s">
        <v>406</v>
      </c>
      <c r="G1068" s="4" t="s">
        <v>1673</v>
      </c>
      <c r="H1068" s="12" t="n">
        <v>1</v>
      </c>
      <c r="I1068" s="4" t="s">
        <v>408</v>
      </c>
      <c r="J1068" s="4" t="s">
        <v>409</v>
      </c>
      <c r="K1068" s="13" t="n">
        <v>3500</v>
      </c>
      <c r="L1068" s="6" t="n">
        <f aca="false">H1068*K1068</f>
        <v>3500</v>
      </c>
      <c r="M1068" s="14" t="s">
        <v>410</v>
      </c>
    </row>
    <row r="1069" customFormat="false" ht="23.85" hidden="false" customHeight="false" outlineLevel="0" collapsed="false">
      <c r="A1069" s="4" t="s">
        <v>183</v>
      </c>
      <c r="B1069" s="5" t="s">
        <v>188</v>
      </c>
      <c r="C1069" s="5" t="s">
        <v>189</v>
      </c>
      <c r="D1069" s="4" t="s">
        <v>22</v>
      </c>
      <c r="E1069" s="4" t="s">
        <v>1907</v>
      </c>
      <c r="F1069" s="4" t="s">
        <v>406</v>
      </c>
      <c r="G1069" s="4" t="s">
        <v>1908</v>
      </c>
      <c r="H1069" s="12" t="n">
        <v>1</v>
      </c>
      <c r="I1069" s="4" t="s">
        <v>408</v>
      </c>
      <c r="J1069" s="4" t="s">
        <v>409</v>
      </c>
      <c r="K1069" s="13" t="n">
        <v>4500</v>
      </c>
      <c r="L1069" s="6" t="n">
        <f aca="false">H1069*K1069</f>
        <v>4500</v>
      </c>
      <c r="M1069" s="14" t="s">
        <v>410</v>
      </c>
    </row>
    <row r="1070" customFormat="false" ht="23.85" hidden="false" customHeight="false" outlineLevel="0" collapsed="false">
      <c r="A1070" s="4" t="s">
        <v>183</v>
      </c>
      <c r="B1070" s="5" t="s">
        <v>188</v>
      </c>
      <c r="C1070" s="5" t="s">
        <v>189</v>
      </c>
      <c r="D1070" s="4" t="s">
        <v>22</v>
      </c>
      <c r="E1070" s="4" t="s">
        <v>1909</v>
      </c>
      <c r="F1070" s="4" t="s">
        <v>406</v>
      </c>
      <c r="G1070" s="4" t="s">
        <v>1910</v>
      </c>
      <c r="H1070" s="12" t="n">
        <v>1</v>
      </c>
      <c r="I1070" s="4" t="s">
        <v>408</v>
      </c>
      <c r="J1070" s="4" t="s">
        <v>409</v>
      </c>
      <c r="K1070" s="13" t="n">
        <v>4500</v>
      </c>
      <c r="L1070" s="6" t="n">
        <f aca="false">H1070*K1070</f>
        <v>4500</v>
      </c>
      <c r="M1070" s="14" t="s">
        <v>410</v>
      </c>
    </row>
    <row r="1071" customFormat="false" ht="23.85" hidden="false" customHeight="false" outlineLevel="0" collapsed="false">
      <c r="A1071" s="4" t="s">
        <v>183</v>
      </c>
      <c r="B1071" s="5" t="s">
        <v>188</v>
      </c>
      <c r="C1071" s="5" t="s">
        <v>189</v>
      </c>
      <c r="D1071" s="4" t="s">
        <v>22</v>
      </c>
      <c r="E1071" s="4" t="s">
        <v>1911</v>
      </c>
      <c r="F1071" s="4" t="s">
        <v>406</v>
      </c>
      <c r="G1071" s="4" t="s">
        <v>1912</v>
      </c>
      <c r="H1071" s="12" t="n">
        <v>1</v>
      </c>
      <c r="I1071" s="4" t="s">
        <v>408</v>
      </c>
      <c r="J1071" s="4" t="s">
        <v>413</v>
      </c>
      <c r="K1071" s="13" t="n">
        <v>18000</v>
      </c>
      <c r="L1071" s="6" t="n">
        <f aca="false">H1071*K1071</f>
        <v>18000</v>
      </c>
      <c r="M1071" s="14" t="s">
        <v>410</v>
      </c>
    </row>
    <row r="1072" customFormat="false" ht="23.85" hidden="false" customHeight="false" outlineLevel="0" collapsed="false">
      <c r="A1072" s="4" t="s">
        <v>183</v>
      </c>
      <c r="B1072" s="5" t="s">
        <v>188</v>
      </c>
      <c r="C1072" s="5" t="s">
        <v>189</v>
      </c>
      <c r="D1072" s="4" t="s">
        <v>22</v>
      </c>
      <c r="E1072" s="4" t="s">
        <v>1913</v>
      </c>
      <c r="F1072" s="4" t="s">
        <v>406</v>
      </c>
      <c r="G1072" s="4" t="s">
        <v>1914</v>
      </c>
      <c r="H1072" s="12" t="n">
        <v>1</v>
      </c>
      <c r="I1072" s="4" t="s">
        <v>408</v>
      </c>
      <c r="J1072" s="4" t="s">
        <v>409</v>
      </c>
      <c r="K1072" s="13" t="n">
        <v>8500</v>
      </c>
      <c r="L1072" s="6" t="n">
        <f aca="false">H1072*K1072</f>
        <v>8500</v>
      </c>
      <c r="M1072" s="14" t="s">
        <v>410</v>
      </c>
    </row>
    <row r="1073" customFormat="false" ht="23.85" hidden="false" customHeight="false" outlineLevel="0" collapsed="false">
      <c r="A1073" s="4" t="s">
        <v>183</v>
      </c>
      <c r="B1073" s="5" t="s">
        <v>188</v>
      </c>
      <c r="C1073" s="5" t="s">
        <v>189</v>
      </c>
      <c r="D1073" s="4" t="s">
        <v>22</v>
      </c>
      <c r="E1073" s="4" t="s">
        <v>1897</v>
      </c>
      <c r="F1073" s="4" t="s">
        <v>406</v>
      </c>
      <c r="G1073" s="4" t="s">
        <v>1611</v>
      </c>
      <c r="H1073" s="12" t="n">
        <v>1</v>
      </c>
      <c r="I1073" s="4" t="s">
        <v>408</v>
      </c>
      <c r="J1073" s="4" t="s">
        <v>409</v>
      </c>
      <c r="K1073" s="13" t="n">
        <v>350</v>
      </c>
      <c r="L1073" s="6" t="n">
        <f aca="false">H1073*K1073</f>
        <v>350</v>
      </c>
      <c r="M1073" s="14" t="s">
        <v>410</v>
      </c>
    </row>
    <row r="1074" customFormat="false" ht="23.85" hidden="false" customHeight="false" outlineLevel="0" collapsed="false">
      <c r="A1074" s="4" t="s">
        <v>183</v>
      </c>
      <c r="B1074" s="5" t="s">
        <v>188</v>
      </c>
      <c r="C1074" s="5" t="s">
        <v>189</v>
      </c>
      <c r="D1074" s="4" t="s">
        <v>22</v>
      </c>
      <c r="E1074" s="4" t="s">
        <v>1220</v>
      </c>
      <c r="F1074" s="4" t="s">
        <v>406</v>
      </c>
      <c r="G1074" s="4" t="s">
        <v>1221</v>
      </c>
      <c r="H1074" s="12" t="n">
        <v>1</v>
      </c>
      <c r="I1074" s="4" t="s">
        <v>408</v>
      </c>
      <c r="J1074" s="4" t="s">
        <v>416</v>
      </c>
      <c r="K1074" s="13" t="n">
        <v>2500</v>
      </c>
      <c r="L1074" s="6" t="n">
        <f aca="false">H1074*K1074</f>
        <v>2500</v>
      </c>
      <c r="M1074" s="14" t="s">
        <v>410</v>
      </c>
    </row>
    <row r="1075" customFormat="false" ht="23.85" hidden="false" customHeight="false" outlineLevel="0" collapsed="false">
      <c r="A1075" s="4" t="s">
        <v>183</v>
      </c>
      <c r="B1075" s="5" t="s">
        <v>188</v>
      </c>
      <c r="C1075" s="5" t="s">
        <v>189</v>
      </c>
      <c r="D1075" s="4" t="s">
        <v>22</v>
      </c>
      <c r="E1075" s="4" t="s">
        <v>1058</v>
      </c>
      <c r="F1075" s="4" t="s">
        <v>470</v>
      </c>
      <c r="G1075" s="4" t="s">
        <v>1059</v>
      </c>
      <c r="H1075" s="12" t="n">
        <v>1</v>
      </c>
      <c r="I1075" s="4" t="s">
        <v>408</v>
      </c>
      <c r="J1075" s="4" t="s">
        <v>409</v>
      </c>
      <c r="K1075" s="13" t="n">
        <v>45000</v>
      </c>
      <c r="L1075" s="6" t="n">
        <f aca="false">H1075*K1075</f>
        <v>45000</v>
      </c>
      <c r="M1075" s="14" t="s">
        <v>410</v>
      </c>
    </row>
    <row r="1076" customFormat="false" ht="23.85" hidden="false" customHeight="false" outlineLevel="0" collapsed="false">
      <c r="A1076" s="4" t="s">
        <v>183</v>
      </c>
      <c r="B1076" s="5" t="s">
        <v>188</v>
      </c>
      <c r="C1076" s="5" t="s">
        <v>189</v>
      </c>
      <c r="D1076" s="4" t="s">
        <v>22</v>
      </c>
      <c r="E1076" s="4" t="s">
        <v>1915</v>
      </c>
      <c r="F1076" s="4" t="s">
        <v>470</v>
      </c>
      <c r="G1076" s="4" t="s">
        <v>1916</v>
      </c>
      <c r="H1076" s="12" t="n">
        <v>1</v>
      </c>
      <c r="I1076" s="4" t="s">
        <v>408</v>
      </c>
      <c r="J1076" s="4" t="s">
        <v>409</v>
      </c>
      <c r="K1076" s="13" t="n">
        <v>850</v>
      </c>
      <c r="L1076" s="6" t="n">
        <f aca="false">H1076*K1076</f>
        <v>850</v>
      </c>
      <c r="M1076" s="4" t="s">
        <v>371</v>
      </c>
    </row>
    <row r="1077" customFormat="false" ht="23.85" hidden="false" customHeight="false" outlineLevel="0" collapsed="false">
      <c r="A1077" s="4" t="s">
        <v>183</v>
      </c>
      <c r="B1077" s="5" t="s">
        <v>188</v>
      </c>
      <c r="C1077" s="5" t="s">
        <v>189</v>
      </c>
      <c r="D1077" s="4" t="s">
        <v>22</v>
      </c>
      <c r="E1077" s="4" t="s">
        <v>1917</v>
      </c>
      <c r="F1077" s="4" t="s">
        <v>470</v>
      </c>
      <c r="G1077" s="4" t="s">
        <v>1918</v>
      </c>
      <c r="H1077" s="12" t="n">
        <v>1</v>
      </c>
      <c r="I1077" s="4" t="s">
        <v>408</v>
      </c>
      <c r="J1077" s="4" t="s">
        <v>409</v>
      </c>
      <c r="K1077" s="13" t="n">
        <v>3500</v>
      </c>
      <c r="L1077" s="6" t="n">
        <f aca="false">H1077*K1077</f>
        <v>3500</v>
      </c>
      <c r="M1077" s="4" t="s">
        <v>371</v>
      </c>
    </row>
    <row r="1078" customFormat="false" ht="23.85" hidden="false" customHeight="false" outlineLevel="0" collapsed="false">
      <c r="A1078" s="4" t="s">
        <v>183</v>
      </c>
      <c r="B1078" s="5" t="s">
        <v>188</v>
      </c>
      <c r="C1078" s="5" t="s">
        <v>189</v>
      </c>
      <c r="D1078" s="4" t="s">
        <v>22</v>
      </c>
      <c r="E1078" s="4" t="s">
        <v>1919</v>
      </c>
      <c r="F1078" s="4" t="s">
        <v>470</v>
      </c>
      <c r="G1078" s="4" t="s">
        <v>1920</v>
      </c>
      <c r="H1078" s="12" t="n">
        <v>1</v>
      </c>
      <c r="I1078" s="4" t="s">
        <v>408</v>
      </c>
      <c r="J1078" s="4" t="s">
        <v>409</v>
      </c>
      <c r="K1078" s="13" t="n">
        <v>80</v>
      </c>
      <c r="L1078" s="6" t="n">
        <f aca="false">H1078*K1078</f>
        <v>80</v>
      </c>
      <c r="M1078" s="4" t="s">
        <v>371</v>
      </c>
    </row>
    <row r="1079" customFormat="false" ht="23.85" hidden="false" customHeight="false" outlineLevel="0" collapsed="false">
      <c r="A1079" s="4" t="s">
        <v>183</v>
      </c>
      <c r="B1079" s="5" t="s">
        <v>188</v>
      </c>
      <c r="C1079" s="5" t="s">
        <v>189</v>
      </c>
      <c r="D1079" s="4" t="s">
        <v>22</v>
      </c>
      <c r="E1079" s="4" t="s">
        <v>1921</v>
      </c>
      <c r="F1079" s="4" t="s">
        <v>470</v>
      </c>
      <c r="G1079" s="4" t="s">
        <v>1922</v>
      </c>
      <c r="H1079" s="12" t="n">
        <v>1</v>
      </c>
      <c r="I1079" s="4" t="s">
        <v>408</v>
      </c>
      <c r="J1079" s="4" t="s">
        <v>475</v>
      </c>
      <c r="K1079" s="13" t="n">
        <v>350</v>
      </c>
      <c r="L1079" s="6" t="n">
        <f aca="false">H1079*K1079</f>
        <v>350</v>
      </c>
      <c r="M1079" s="4" t="s">
        <v>371</v>
      </c>
    </row>
    <row r="1080" customFormat="false" ht="23.85" hidden="false" customHeight="false" outlineLevel="0" collapsed="false">
      <c r="A1080" s="4" t="s">
        <v>183</v>
      </c>
      <c r="B1080" s="5" t="s">
        <v>188</v>
      </c>
      <c r="C1080" s="5" t="s">
        <v>189</v>
      </c>
      <c r="D1080" s="4" t="s">
        <v>22</v>
      </c>
      <c r="E1080" s="4" t="s">
        <v>1923</v>
      </c>
      <c r="F1080" s="4" t="s">
        <v>470</v>
      </c>
      <c r="G1080" s="4" t="s">
        <v>1924</v>
      </c>
      <c r="H1080" s="12" t="n">
        <v>1</v>
      </c>
      <c r="I1080" s="4" t="s">
        <v>408</v>
      </c>
      <c r="J1080" s="4" t="s">
        <v>475</v>
      </c>
      <c r="K1080" s="13" t="n">
        <v>180</v>
      </c>
      <c r="L1080" s="6" t="n">
        <f aca="false">H1080*K1080</f>
        <v>180</v>
      </c>
      <c r="M1080" s="4" t="s">
        <v>371</v>
      </c>
    </row>
    <row r="1081" customFormat="false" ht="23.85" hidden="false" customHeight="false" outlineLevel="0" collapsed="false">
      <c r="A1081" s="4" t="s">
        <v>183</v>
      </c>
      <c r="B1081" s="5" t="s">
        <v>188</v>
      </c>
      <c r="C1081" s="5" t="s">
        <v>189</v>
      </c>
      <c r="D1081" s="4" t="s">
        <v>22</v>
      </c>
      <c r="E1081" s="4" t="s">
        <v>1925</v>
      </c>
      <c r="F1081" s="4" t="s">
        <v>470</v>
      </c>
      <c r="G1081" s="4" t="s">
        <v>1926</v>
      </c>
      <c r="H1081" s="12" t="n">
        <v>1</v>
      </c>
      <c r="I1081" s="4" t="s">
        <v>408</v>
      </c>
      <c r="J1081" s="4" t="s">
        <v>475</v>
      </c>
      <c r="K1081" s="13" t="n">
        <v>180</v>
      </c>
      <c r="L1081" s="6" t="n">
        <f aca="false">H1081*K1081</f>
        <v>180</v>
      </c>
      <c r="M1081" s="4" t="s">
        <v>371</v>
      </c>
    </row>
    <row r="1082" customFormat="false" ht="23.85" hidden="false" customHeight="false" outlineLevel="0" collapsed="false">
      <c r="A1082" s="4" t="s">
        <v>183</v>
      </c>
      <c r="B1082" s="5" t="s">
        <v>188</v>
      </c>
      <c r="C1082" s="5" t="s">
        <v>189</v>
      </c>
      <c r="D1082" s="4" t="s">
        <v>22</v>
      </c>
      <c r="E1082" s="4" t="s">
        <v>1927</v>
      </c>
      <c r="F1082" s="4" t="s">
        <v>470</v>
      </c>
      <c r="G1082" s="4" t="s">
        <v>1452</v>
      </c>
      <c r="H1082" s="12" t="n">
        <v>1</v>
      </c>
      <c r="I1082" s="4" t="s">
        <v>408</v>
      </c>
      <c r="J1082" s="4" t="s">
        <v>413</v>
      </c>
      <c r="K1082" s="13" t="n">
        <v>450</v>
      </c>
      <c r="L1082" s="6" t="n">
        <f aca="false">H1082*K1082</f>
        <v>450</v>
      </c>
      <c r="M1082" s="4" t="s">
        <v>371</v>
      </c>
    </row>
    <row r="1083" customFormat="false" ht="23.85" hidden="false" customHeight="false" outlineLevel="0" collapsed="false">
      <c r="A1083" s="4" t="s">
        <v>183</v>
      </c>
      <c r="B1083" s="5" t="s">
        <v>188</v>
      </c>
      <c r="C1083" s="5" t="s">
        <v>189</v>
      </c>
      <c r="D1083" s="4" t="s">
        <v>22</v>
      </c>
      <c r="E1083" s="4" t="s">
        <v>1928</v>
      </c>
      <c r="F1083" s="4" t="s">
        <v>470</v>
      </c>
      <c r="G1083" s="4" t="s">
        <v>1929</v>
      </c>
      <c r="H1083" s="12" t="n">
        <v>1</v>
      </c>
      <c r="I1083" s="4" t="s">
        <v>408</v>
      </c>
      <c r="J1083" s="4" t="s">
        <v>409</v>
      </c>
      <c r="K1083" s="13" t="n">
        <v>450</v>
      </c>
      <c r="L1083" s="6" t="n">
        <f aca="false">H1083*K1083</f>
        <v>450</v>
      </c>
      <c r="M1083" s="4" t="s">
        <v>371</v>
      </c>
    </row>
    <row r="1084" customFormat="false" ht="23.85" hidden="false" customHeight="false" outlineLevel="0" collapsed="false">
      <c r="A1084" s="4" t="s">
        <v>183</v>
      </c>
      <c r="B1084" s="5" t="s">
        <v>188</v>
      </c>
      <c r="C1084" s="5" t="s">
        <v>189</v>
      </c>
      <c r="D1084" s="4" t="s">
        <v>22</v>
      </c>
      <c r="E1084" s="4" t="s">
        <v>1136</v>
      </c>
      <c r="F1084" s="4" t="s">
        <v>470</v>
      </c>
      <c r="G1084" s="4" t="s">
        <v>1137</v>
      </c>
      <c r="H1084" s="12" t="n">
        <v>1</v>
      </c>
      <c r="I1084" s="4" t="s">
        <v>408</v>
      </c>
      <c r="J1084" s="4" t="s">
        <v>416</v>
      </c>
      <c r="K1084" s="13" t="n">
        <v>850</v>
      </c>
      <c r="L1084" s="6" t="n">
        <f aca="false">H1084*K1084</f>
        <v>850</v>
      </c>
      <c r="M1084" s="4" t="s">
        <v>371</v>
      </c>
    </row>
    <row r="1085" customFormat="false" ht="23.85" hidden="false" customHeight="false" outlineLevel="0" collapsed="false">
      <c r="A1085" s="4" t="s">
        <v>183</v>
      </c>
      <c r="B1085" s="5" t="s">
        <v>188</v>
      </c>
      <c r="C1085" s="5" t="s">
        <v>189</v>
      </c>
      <c r="D1085" s="4" t="s">
        <v>22</v>
      </c>
      <c r="E1085" s="4" t="s">
        <v>1064</v>
      </c>
      <c r="F1085" s="4" t="s">
        <v>470</v>
      </c>
      <c r="G1085" s="4" t="s">
        <v>1065</v>
      </c>
      <c r="H1085" s="12" t="n">
        <v>1</v>
      </c>
      <c r="I1085" s="4" t="s">
        <v>408</v>
      </c>
      <c r="J1085" s="4" t="s">
        <v>543</v>
      </c>
      <c r="K1085" s="13" t="n">
        <v>25000</v>
      </c>
      <c r="L1085" s="6" t="n">
        <f aca="false">H1085*K1085</f>
        <v>25000</v>
      </c>
      <c r="M1085" s="4" t="s">
        <v>371</v>
      </c>
    </row>
    <row r="1086" customFormat="false" ht="23.85" hidden="false" customHeight="false" outlineLevel="0" collapsed="false">
      <c r="A1086" s="4" t="s">
        <v>183</v>
      </c>
      <c r="B1086" s="5" t="s">
        <v>188</v>
      </c>
      <c r="C1086" s="5" t="s">
        <v>189</v>
      </c>
      <c r="D1086" s="4" t="s">
        <v>22</v>
      </c>
      <c r="E1086" s="4" t="s">
        <v>1138</v>
      </c>
      <c r="F1086" s="4" t="s">
        <v>470</v>
      </c>
      <c r="G1086" s="4" t="s">
        <v>1139</v>
      </c>
      <c r="H1086" s="12" t="n">
        <v>1</v>
      </c>
      <c r="I1086" s="4" t="s">
        <v>408</v>
      </c>
      <c r="J1086" s="4" t="s">
        <v>416</v>
      </c>
      <c r="K1086" s="13" t="n">
        <v>2500</v>
      </c>
      <c r="L1086" s="6" t="n">
        <f aca="false">H1086*K1086</f>
        <v>2500</v>
      </c>
      <c r="M1086" s="4" t="s">
        <v>371</v>
      </c>
    </row>
    <row r="1087" customFormat="false" ht="23.85" hidden="false" customHeight="false" outlineLevel="0" collapsed="false">
      <c r="A1087" s="4" t="s">
        <v>183</v>
      </c>
      <c r="B1087" s="5" t="s">
        <v>188</v>
      </c>
      <c r="C1087" s="5" t="s">
        <v>189</v>
      </c>
      <c r="D1087" s="4" t="s">
        <v>22</v>
      </c>
      <c r="E1087" s="4" t="s">
        <v>1140</v>
      </c>
      <c r="F1087" s="4" t="s">
        <v>470</v>
      </c>
      <c r="G1087" s="4" t="s">
        <v>1141</v>
      </c>
      <c r="H1087" s="12" t="n">
        <v>1</v>
      </c>
      <c r="I1087" s="4" t="s">
        <v>408</v>
      </c>
      <c r="J1087" s="4" t="s">
        <v>409</v>
      </c>
      <c r="K1087" s="13" t="n">
        <v>350</v>
      </c>
      <c r="L1087" s="6" t="n">
        <f aca="false">H1087*K1087</f>
        <v>350</v>
      </c>
      <c r="M1087" s="4" t="s">
        <v>371</v>
      </c>
    </row>
    <row r="1088" customFormat="false" ht="23.85" hidden="false" customHeight="false" outlineLevel="0" collapsed="false">
      <c r="A1088" s="4" t="s">
        <v>183</v>
      </c>
      <c r="B1088" s="5" t="s">
        <v>188</v>
      </c>
      <c r="C1088" s="5" t="s">
        <v>189</v>
      </c>
      <c r="D1088" s="4" t="s">
        <v>22</v>
      </c>
      <c r="E1088" s="4" t="s">
        <v>1930</v>
      </c>
      <c r="F1088" s="4" t="s">
        <v>470</v>
      </c>
      <c r="G1088" s="4" t="s">
        <v>1931</v>
      </c>
      <c r="H1088" s="12" t="n">
        <v>1</v>
      </c>
      <c r="I1088" s="4" t="s">
        <v>408</v>
      </c>
      <c r="J1088" s="4" t="s">
        <v>416</v>
      </c>
      <c r="K1088" s="13" t="n">
        <v>850</v>
      </c>
      <c r="L1088" s="6" t="n">
        <f aca="false">H1088*K1088</f>
        <v>850</v>
      </c>
      <c r="M1088" s="4" t="s">
        <v>371</v>
      </c>
    </row>
    <row r="1089" customFormat="false" ht="23.85" hidden="false" customHeight="false" outlineLevel="0" collapsed="false">
      <c r="A1089" s="4" t="s">
        <v>183</v>
      </c>
      <c r="B1089" s="5" t="s">
        <v>188</v>
      </c>
      <c r="C1089" s="5" t="s">
        <v>189</v>
      </c>
      <c r="D1089" s="4" t="s">
        <v>22</v>
      </c>
      <c r="E1089" s="4" t="s">
        <v>1932</v>
      </c>
      <c r="F1089" s="4" t="s">
        <v>470</v>
      </c>
      <c r="G1089" s="4" t="s">
        <v>1145</v>
      </c>
      <c r="H1089" s="12" t="n">
        <v>1</v>
      </c>
      <c r="I1089" s="4" t="s">
        <v>408</v>
      </c>
      <c r="J1089" s="4" t="s">
        <v>416</v>
      </c>
      <c r="K1089" s="13" t="n">
        <v>3500</v>
      </c>
      <c r="L1089" s="6" t="n">
        <f aca="false">H1089*K1089</f>
        <v>3500</v>
      </c>
      <c r="M1089" s="4" t="s">
        <v>371</v>
      </c>
    </row>
    <row r="1090" customFormat="false" ht="23.85" hidden="false" customHeight="false" outlineLevel="0" collapsed="false">
      <c r="A1090" s="4" t="s">
        <v>183</v>
      </c>
      <c r="B1090" s="5" t="s">
        <v>188</v>
      </c>
      <c r="C1090" s="5" t="s">
        <v>189</v>
      </c>
      <c r="D1090" s="4" t="s">
        <v>22</v>
      </c>
      <c r="E1090" s="4" t="s">
        <v>1146</v>
      </c>
      <c r="F1090" s="4" t="s">
        <v>470</v>
      </c>
      <c r="G1090" s="4" t="s">
        <v>1147</v>
      </c>
      <c r="H1090" s="12" t="n">
        <v>1</v>
      </c>
      <c r="I1090" s="4" t="s">
        <v>408</v>
      </c>
      <c r="J1090" s="4" t="s">
        <v>416</v>
      </c>
      <c r="K1090" s="13" t="n">
        <v>2500</v>
      </c>
      <c r="L1090" s="6" t="n">
        <f aca="false">H1090*K1090</f>
        <v>2500</v>
      </c>
      <c r="M1090" s="4" t="s">
        <v>371</v>
      </c>
    </row>
    <row r="1091" customFormat="false" ht="23.85" hidden="false" customHeight="false" outlineLevel="0" collapsed="false">
      <c r="A1091" s="4" t="s">
        <v>183</v>
      </c>
      <c r="B1091" s="5" t="s">
        <v>188</v>
      </c>
      <c r="C1091" s="5" t="s">
        <v>189</v>
      </c>
      <c r="D1091" s="4" t="s">
        <v>22</v>
      </c>
      <c r="E1091" s="4" t="s">
        <v>1933</v>
      </c>
      <c r="F1091" s="4" t="s">
        <v>470</v>
      </c>
      <c r="G1091" s="4" t="s">
        <v>1149</v>
      </c>
      <c r="H1091" s="12" t="n">
        <v>1</v>
      </c>
      <c r="I1091" s="4" t="s">
        <v>408</v>
      </c>
      <c r="J1091" s="4" t="s">
        <v>409</v>
      </c>
      <c r="K1091" s="13" t="n">
        <v>450</v>
      </c>
      <c r="L1091" s="6" t="n">
        <f aca="false">H1091*K1091</f>
        <v>450</v>
      </c>
      <c r="M1091" s="4" t="s">
        <v>371</v>
      </c>
    </row>
    <row r="1092" customFormat="false" ht="23.85" hidden="false" customHeight="false" outlineLevel="0" collapsed="false">
      <c r="A1092" s="4" t="s">
        <v>183</v>
      </c>
      <c r="B1092" s="5" t="s">
        <v>188</v>
      </c>
      <c r="C1092" s="5" t="s">
        <v>189</v>
      </c>
      <c r="D1092" s="4" t="s">
        <v>22</v>
      </c>
      <c r="E1092" s="4" t="s">
        <v>1150</v>
      </c>
      <c r="F1092" s="4" t="s">
        <v>470</v>
      </c>
      <c r="G1092" s="4" t="s">
        <v>1151</v>
      </c>
      <c r="H1092" s="12" t="n">
        <v>1</v>
      </c>
      <c r="I1092" s="4" t="s">
        <v>408</v>
      </c>
      <c r="J1092" s="4" t="s">
        <v>416</v>
      </c>
      <c r="K1092" s="13" t="n">
        <v>1200</v>
      </c>
      <c r="L1092" s="6" t="n">
        <f aca="false">H1092*K1092</f>
        <v>1200</v>
      </c>
      <c r="M1092" s="4" t="s">
        <v>371</v>
      </c>
    </row>
    <row r="1093" customFormat="false" ht="23.85" hidden="false" customHeight="false" outlineLevel="0" collapsed="false">
      <c r="A1093" s="4" t="s">
        <v>183</v>
      </c>
      <c r="B1093" s="5" t="s">
        <v>188</v>
      </c>
      <c r="C1093" s="5" t="s">
        <v>189</v>
      </c>
      <c r="D1093" s="4" t="s">
        <v>22</v>
      </c>
      <c r="E1093" s="4" t="s">
        <v>1934</v>
      </c>
      <c r="F1093" s="4" t="s">
        <v>470</v>
      </c>
      <c r="G1093" s="4" t="s">
        <v>1935</v>
      </c>
      <c r="H1093" s="12" t="n">
        <v>1</v>
      </c>
      <c r="I1093" s="4" t="s">
        <v>408</v>
      </c>
      <c r="J1093" s="4" t="s">
        <v>543</v>
      </c>
      <c r="K1093" s="13" t="n">
        <v>25000</v>
      </c>
      <c r="L1093" s="6" t="n">
        <f aca="false">H1093*K1093</f>
        <v>25000</v>
      </c>
      <c r="M1093" s="4" t="s">
        <v>371</v>
      </c>
    </row>
    <row r="1094" customFormat="false" ht="23.85" hidden="false" customHeight="false" outlineLevel="0" collapsed="false">
      <c r="A1094" s="4" t="s">
        <v>183</v>
      </c>
      <c r="B1094" s="5" t="s">
        <v>188</v>
      </c>
      <c r="C1094" s="5" t="s">
        <v>189</v>
      </c>
      <c r="D1094" s="4" t="s">
        <v>22</v>
      </c>
      <c r="E1094" s="4" t="s">
        <v>1651</v>
      </c>
      <c r="F1094" s="4" t="s">
        <v>488</v>
      </c>
      <c r="G1094" s="4" t="s">
        <v>1652</v>
      </c>
      <c r="H1094" s="12" t="n">
        <v>1</v>
      </c>
      <c r="I1094" s="4" t="s">
        <v>408</v>
      </c>
      <c r="J1094" s="4" t="s">
        <v>429</v>
      </c>
      <c r="K1094" s="13" t="n">
        <v>45</v>
      </c>
      <c r="L1094" s="6" t="n">
        <f aca="false">H1094*K1094</f>
        <v>45</v>
      </c>
      <c r="M1094" s="4" t="s">
        <v>371</v>
      </c>
    </row>
    <row r="1095" customFormat="false" ht="23.85" hidden="false" customHeight="false" outlineLevel="0" collapsed="false">
      <c r="A1095" s="4" t="s">
        <v>183</v>
      </c>
      <c r="B1095" s="5" t="s">
        <v>188</v>
      </c>
      <c r="C1095" s="5" t="s">
        <v>189</v>
      </c>
      <c r="D1095" s="4" t="s">
        <v>22</v>
      </c>
      <c r="E1095" s="4" t="s">
        <v>1936</v>
      </c>
      <c r="F1095" s="4" t="s">
        <v>488</v>
      </c>
      <c r="G1095" s="4" t="s">
        <v>1937</v>
      </c>
      <c r="H1095" s="12" t="n">
        <v>1</v>
      </c>
      <c r="I1095" s="4" t="s">
        <v>408</v>
      </c>
      <c r="J1095" s="4" t="s">
        <v>409</v>
      </c>
      <c r="K1095" s="13" t="n">
        <v>850</v>
      </c>
      <c r="L1095" s="6" t="n">
        <f aca="false">H1095*K1095</f>
        <v>850</v>
      </c>
      <c r="M1095" s="4" t="s">
        <v>371</v>
      </c>
    </row>
    <row r="1096" customFormat="false" ht="23.85" hidden="false" customHeight="false" outlineLevel="0" collapsed="false">
      <c r="A1096" s="4" t="s">
        <v>183</v>
      </c>
      <c r="B1096" s="5" t="s">
        <v>188</v>
      </c>
      <c r="C1096" s="5" t="s">
        <v>189</v>
      </c>
      <c r="D1096" s="4" t="s">
        <v>22</v>
      </c>
      <c r="E1096" s="4" t="s">
        <v>1938</v>
      </c>
      <c r="F1096" s="4" t="s">
        <v>488</v>
      </c>
      <c r="G1096" s="4" t="s">
        <v>1939</v>
      </c>
      <c r="H1096" s="12" t="n">
        <v>1</v>
      </c>
      <c r="I1096" s="4" t="s">
        <v>408</v>
      </c>
      <c r="J1096" s="4" t="s">
        <v>432</v>
      </c>
      <c r="K1096" s="13" t="n">
        <v>250</v>
      </c>
      <c r="L1096" s="6" t="n">
        <f aca="false">H1096*K1096</f>
        <v>250</v>
      </c>
      <c r="M1096" s="4" t="s">
        <v>371</v>
      </c>
    </row>
    <row r="1097" customFormat="false" ht="23.85" hidden="false" customHeight="false" outlineLevel="0" collapsed="false">
      <c r="A1097" s="4" t="s">
        <v>183</v>
      </c>
      <c r="B1097" s="5" t="s">
        <v>188</v>
      </c>
      <c r="C1097" s="5" t="s">
        <v>189</v>
      </c>
      <c r="D1097" s="4" t="s">
        <v>22</v>
      </c>
      <c r="E1097" s="4" t="s">
        <v>1940</v>
      </c>
      <c r="F1097" s="4" t="s">
        <v>488</v>
      </c>
      <c r="G1097" s="4" t="s">
        <v>1941</v>
      </c>
      <c r="H1097" s="12" t="n">
        <v>1</v>
      </c>
      <c r="I1097" s="4" t="s">
        <v>408</v>
      </c>
      <c r="J1097" s="4" t="s">
        <v>506</v>
      </c>
      <c r="K1097" s="13" t="n">
        <v>100</v>
      </c>
      <c r="L1097" s="6" t="n">
        <f aca="false">H1097*K1097</f>
        <v>100</v>
      </c>
      <c r="M1097" s="4" t="s">
        <v>371</v>
      </c>
    </row>
    <row r="1098" customFormat="false" ht="23.85" hidden="false" customHeight="false" outlineLevel="0" collapsed="false">
      <c r="A1098" s="4" t="s">
        <v>183</v>
      </c>
      <c r="B1098" s="5" t="s">
        <v>188</v>
      </c>
      <c r="C1098" s="5" t="s">
        <v>189</v>
      </c>
      <c r="D1098" s="4" t="s">
        <v>22</v>
      </c>
      <c r="E1098" s="4" t="s">
        <v>1942</v>
      </c>
      <c r="F1098" s="4" t="s">
        <v>488</v>
      </c>
      <c r="G1098" s="4" t="s">
        <v>1943</v>
      </c>
      <c r="H1098" s="12" t="n">
        <v>1</v>
      </c>
      <c r="I1098" s="4" t="s">
        <v>408</v>
      </c>
      <c r="J1098" s="4" t="s">
        <v>416</v>
      </c>
      <c r="K1098" s="13" t="n">
        <v>250</v>
      </c>
      <c r="L1098" s="6" t="n">
        <f aca="false">H1098*K1098</f>
        <v>250</v>
      </c>
      <c r="M1098" s="4" t="s">
        <v>371</v>
      </c>
    </row>
    <row r="1099" customFormat="false" ht="23.85" hidden="false" customHeight="false" outlineLevel="0" collapsed="false">
      <c r="A1099" s="4" t="s">
        <v>183</v>
      </c>
      <c r="B1099" s="5" t="s">
        <v>188</v>
      </c>
      <c r="C1099" s="5" t="s">
        <v>189</v>
      </c>
      <c r="D1099" s="4" t="s">
        <v>22</v>
      </c>
      <c r="E1099" s="4" t="s">
        <v>1944</v>
      </c>
      <c r="F1099" s="4" t="s">
        <v>488</v>
      </c>
      <c r="G1099" s="4" t="s">
        <v>1656</v>
      </c>
      <c r="H1099" s="12" t="n">
        <v>1</v>
      </c>
      <c r="I1099" s="4" t="s">
        <v>408</v>
      </c>
      <c r="J1099" s="4" t="s">
        <v>807</v>
      </c>
      <c r="K1099" s="13" t="n">
        <v>250</v>
      </c>
      <c r="L1099" s="6" t="n">
        <f aca="false">H1099*K1099</f>
        <v>250</v>
      </c>
      <c r="M1099" s="4" t="s">
        <v>371</v>
      </c>
    </row>
    <row r="1100" customFormat="false" ht="23.85" hidden="false" customHeight="false" outlineLevel="0" collapsed="false">
      <c r="A1100" s="4" t="s">
        <v>183</v>
      </c>
      <c r="B1100" s="5" t="s">
        <v>188</v>
      </c>
      <c r="C1100" s="5" t="s">
        <v>189</v>
      </c>
      <c r="D1100" s="4" t="s">
        <v>22</v>
      </c>
      <c r="E1100" s="4" t="s">
        <v>1945</v>
      </c>
      <c r="F1100" s="4" t="s">
        <v>488</v>
      </c>
      <c r="G1100" s="4" t="s">
        <v>1946</v>
      </c>
      <c r="H1100" s="12" t="n">
        <v>1</v>
      </c>
      <c r="I1100" s="4" t="s">
        <v>408</v>
      </c>
      <c r="J1100" s="4" t="s">
        <v>475</v>
      </c>
      <c r="K1100" s="13" t="n">
        <v>180</v>
      </c>
      <c r="L1100" s="6" t="n">
        <f aca="false">H1100*K1100</f>
        <v>180</v>
      </c>
      <c r="M1100" s="4" t="s">
        <v>371</v>
      </c>
    </row>
    <row r="1101" customFormat="false" ht="23.85" hidden="false" customHeight="false" outlineLevel="0" collapsed="false">
      <c r="A1101" s="4" t="s">
        <v>183</v>
      </c>
      <c r="B1101" s="5" t="s">
        <v>188</v>
      </c>
      <c r="C1101" s="5" t="s">
        <v>189</v>
      </c>
      <c r="D1101" s="4" t="s">
        <v>22</v>
      </c>
      <c r="E1101" s="4" t="s">
        <v>1947</v>
      </c>
      <c r="F1101" s="4" t="s">
        <v>488</v>
      </c>
      <c r="G1101" s="4" t="s">
        <v>1948</v>
      </c>
      <c r="H1101" s="12" t="n">
        <v>1</v>
      </c>
      <c r="I1101" s="4" t="s">
        <v>408</v>
      </c>
      <c r="J1101" s="4" t="s">
        <v>416</v>
      </c>
      <c r="K1101" s="13" t="n">
        <v>2500</v>
      </c>
      <c r="L1101" s="6" t="n">
        <f aca="false">H1101*K1101</f>
        <v>2500</v>
      </c>
      <c r="M1101" s="4" t="s">
        <v>371</v>
      </c>
    </row>
    <row r="1102" customFormat="false" ht="23.85" hidden="false" customHeight="false" outlineLevel="0" collapsed="false">
      <c r="A1102" s="4" t="s">
        <v>183</v>
      </c>
      <c r="B1102" s="5" t="s">
        <v>188</v>
      </c>
      <c r="C1102" s="5" t="s">
        <v>189</v>
      </c>
      <c r="D1102" s="4" t="s">
        <v>22</v>
      </c>
      <c r="E1102" s="4" t="s">
        <v>1949</v>
      </c>
      <c r="F1102" s="4" t="s">
        <v>488</v>
      </c>
      <c r="G1102" s="4" t="s">
        <v>1658</v>
      </c>
      <c r="H1102" s="12" t="n">
        <v>1</v>
      </c>
      <c r="I1102" s="4" t="s">
        <v>408</v>
      </c>
      <c r="J1102" s="4" t="s">
        <v>503</v>
      </c>
      <c r="K1102" s="13" t="n">
        <v>120</v>
      </c>
      <c r="L1102" s="6" t="n">
        <f aca="false">H1102*K1102</f>
        <v>120</v>
      </c>
      <c r="M1102" s="4" t="s">
        <v>371</v>
      </c>
    </row>
    <row r="1103" customFormat="false" ht="23.85" hidden="false" customHeight="false" outlineLevel="0" collapsed="false">
      <c r="A1103" s="4" t="s">
        <v>183</v>
      </c>
      <c r="B1103" s="5" t="s">
        <v>188</v>
      </c>
      <c r="C1103" s="5" t="s">
        <v>189</v>
      </c>
      <c r="D1103" s="4" t="s">
        <v>22</v>
      </c>
      <c r="E1103" s="4" t="s">
        <v>1243</v>
      </c>
      <c r="F1103" s="4" t="s">
        <v>488</v>
      </c>
      <c r="G1103" s="4" t="s">
        <v>1244</v>
      </c>
      <c r="H1103" s="12" t="n">
        <v>1</v>
      </c>
      <c r="I1103" s="4" t="s">
        <v>408</v>
      </c>
      <c r="J1103" s="4" t="s">
        <v>503</v>
      </c>
      <c r="K1103" s="13" t="n">
        <v>180</v>
      </c>
      <c r="L1103" s="6" t="n">
        <f aca="false">H1103*K1103</f>
        <v>180</v>
      </c>
      <c r="M1103" s="4" t="s">
        <v>371</v>
      </c>
    </row>
    <row r="1104" customFormat="false" ht="23.85" hidden="false" customHeight="false" outlineLevel="0" collapsed="false">
      <c r="A1104" s="4" t="s">
        <v>183</v>
      </c>
      <c r="B1104" s="5" t="s">
        <v>188</v>
      </c>
      <c r="C1104" s="5" t="s">
        <v>189</v>
      </c>
      <c r="D1104" s="4" t="s">
        <v>22</v>
      </c>
      <c r="E1104" s="4" t="s">
        <v>1950</v>
      </c>
      <c r="F1104" s="4" t="s">
        <v>470</v>
      </c>
      <c r="G1104" s="4" t="s">
        <v>1951</v>
      </c>
      <c r="H1104" s="12" t="n">
        <v>1</v>
      </c>
      <c r="I1104" s="4" t="s">
        <v>408</v>
      </c>
      <c r="J1104" s="4" t="s">
        <v>409</v>
      </c>
      <c r="K1104" s="13" t="n">
        <v>850</v>
      </c>
      <c r="L1104" s="6" t="n">
        <f aca="false">H1104*K1104</f>
        <v>850</v>
      </c>
      <c r="M1104" s="4" t="s">
        <v>371</v>
      </c>
    </row>
    <row r="1105" customFormat="false" ht="15" hidden="false" customHeight="false" outlineLevel="0" collapsed="false">
      <c r="A1105" s="4" t="s">
        <v>203</v>
      </c>
      <c r="B1105" s="5" t="s">
        <v>208</v>
      </c>
      <c r="C1105" s="5" t="s">
        <v>209</v>
      </c>
      <c r="D1105" s="4" t="s">
        <v>22</v>
      </c>
      <c r="E1105" s="4" t="s">
        <v>1952</v>
      </c>
      <c r="F1105" s="4" t="s">
        <v>406</v>
      </c>
      <c r="G1105" s="4" t="s">
        <v>1953</v>
      </c>
      <c r="H1105" s="12" t="n">
        <v>1</v>
      </c>
      <c r="I1105" s="4" t="s">
        <v>408</v>
      </c>
      <c r="J1105" s="4" t="s">
        <v>409</v>
      </c>
      <c r="K1105" s="13" t="n">
        <v>250</v>
      </c>
      <c r="L1105" s="6" t="n">
        <f aca="false">H1105*K1105</f>
        <v>250</v>
      </c>
      <c r="M1105" s="14" t="s">
        <v>410</v>
      </c>
    </row>
    <row r="1106" customFormat="false" ht="15" hidden="false" customHeight="false" outlineLevel="0" collapsed="false">
      <c r="A1106" s="4" t="s">
        <v>203</v>
      </c>
      <c r="B1106" s="5" t="s">
        <v>208</v>
      </c>
      <c r="C1106" s="5" t="s">
        <v>209</v>
      </c>
      <c r="D1106" s="4" t="s">
        <v>22</v>
      </c>
      <c r="E1106" s="4" t="s">
        <v>1954</v>
      </c>
      <c r="F1106" s="4" t="s">
        <v>406</v>
      </c>
      <c r="G1106" s="4" t="s">
        <v>1955</v>
      </c>
      <c r="H1106" s="12" t="n">
        <v>1</v>
      </c>
      <c r="I1106" s="4" t="s">
        <v>408</v>
      </c>
      <c r="J1106" s="4" t="s">
        <v>409</v>
      </c>
      <c r="K1106" s="13" t="n">
        <v>350</v>
      </c>
      <c r="L1106" s="6" t="n">
        <f aca="false">H1106*K1106</f>
        <v>350</v>
      </c>
      <c r="M1106" s="14" t="s">
        <v>410</v>
      </c>
    </row>
    <row r="1107" customFormat="false" ht="15" hidden="false" customHeight="false" outlineLevel="0" collapsed="false">
      <c r="A1107" s="4" t="s">
        <v>203</v>
      </c>
      <c r="B1107" s="5" t="s">
        <v>208</v>
      </c>
      <c r="C1107" s="5" t="s">
        <v>209</v>
      </c>
      <c r="D1107" s="4" t="s">
        <v>22</v>
      </c>
      <c r="E1107" s="4" t="s">
        <v>777</v>
      </c>
      <c r="F1107" s="4" t="s">
        <v>406</v>
      </c>
      <c r="G1107" s="4" t="s">
        <v>778</v>
      </c>
      <c r="H1107" s="12" t="n">
        <v>1</v>
      </c>
      <c r="I1107" s="4" t="s">
        <v>408</v>
      </c>
      <c r="J1107" s="4" t="s">
        <v>409</v>
      </c>
      <c r="K1107" s="13" t="n">
        <v>120</v>
      </c>
      <c r="L1107" s="6" t="n">
        <f aca="false">H1107*K1107</f>
        <v>120</v>
      </c>
      <c r="M1107" s="14" t="s">
        <v>410</v>
      </c>
    </row>
    <row r="1108" customFormat="false" ht="15" hidden="false" customHeight="false" outlineLevel="0" collapsed="false">
      <c r="A1108" s="4" t="s">
        <v>203</v>
      </c>
      <c r="B1108" s="5" t="s">
        <v>208</v>
      </c>
      <c r="C1108" s="5" t="s">
        <v>209</v>
      </c>
      <c r="D1108" s="4" t="s">
        <v>22</v>
      </c>
      <c r="E1108" s="4" t="s">
        <v>1956</v>
      </c>
      <c r="F1108" s="4" t="s">
        <v>406</v>
      </c>
      <c r="G1108" s="4" t="s">
        <v>1957</v>
      </c>
      <c r="H1108" s="12" t="n">
        <v>1</v>
      </c>
      <c r="I1108" s="4" t="s">
        <v>408</v>
      </c>
      <c r="J1108" s="4" t="s">
        <v>409</v>
      </c>
      <c r="K1108" s="13" t="n">
        <v>80</v>
      </c>
      <c r="L1108" s="6" t="n">
        <f aca="false">H1108*K1108</f>
        <v>80</v>
      </c>
      <c r="M1108" s="14" t="s">
        <v>410</v>
      </c>
    </row>
    <row r="1109" customFormat="false" ht="15" hidden="false" customHeight="false" outlineLevel="0" collapsed="false">
      <c r="A1109" s="4" t="s">
        <v>203</v>
      </c>
      <c r="B1109" s="5" t="s">
        <v>208</v>
      </c>
      <c r="C1109" s="5" t="s">
        <v>209</v>
      </c>
      <c r="D1109" s="4" t="s">
        <v>22</v>
      </c>
      <c r="E1109" s="4" t="s">
        <v>1339</v>
      </c>
      <c r="F1109" s="4" t="s">
        <v>406</v>
      </c>
      <c r="G1109" s="4" t="s">
        <v>1340</v>
      </c>
      <c r="H1109" s="12" t="n">
        <v>1</v>
      </c>
      <c r="I1109" s="4" t="s">
        <v>408</v>
      </c>
      <c r="J1109" s="4" t="s">
        <v>409</v>
      </c>
      <c r="K1109" s="13" t="n">
        <v>150</v>
      </c>
      <c r="L1109" s="6" t="n">
        <f aca="false">H1109*K1109</f>
        <v>150</v>
      </c>
      <c r="M1109" s="14" t="s">
        <v>410</v>
      </c>
    </row>
    <row r="1110" customFormat="false" ht="15" hidden="false" customHeight="false" outlineLevel="0" collapsed="false">
      <c r="A1110" s="4" t="s">
        <v>203</v>
      </c>
      <c r="B1110" s="5" t="s">
        <v>208</v>
      </c>
      <c r="C1110" s="5" t="s">
        <v>209</v>
      </c>
      <c r="D1110" s="4" t="s">
        <v>22</v>
      </c>
      <c r="E1110" s="4" t="s">
        <v>1958</v>
      </c>
      <c r="F1110" s="4" t="s">
        <v>406</v>
      </c>
      <c r="G1110" s="4" t="s">
        <v>1959</v>
      </c>
      <c r="H1110" s="12" t="n">
        <v>1</v>
      </c>
      <c r="I1110" s="4" t="s">
        <v>408</v>
      </c>
      <c r="J1110" s="4" t="s">
        <v>475</v>
      </c>
      <c r="K1110" s="13" t="n">
        <v>650</v>
      </c>
      <c r="L1110" s="6" t="n">
        <f aca="false">H1110*K1110</f>
        <v>650</v>
      </c>
      <c r="M1110" s="14" t="s">
        <v>410</v>
      </c>
    </row>
    <row r="1111" customFormat="false" ht="15" hidden="false" customHeight="false" outlineLevel="0" collapsed="false">
      <c r="A1111" s="4" t="s">
        <v>203</v>
      </c>
      <c r="B1111" s="5" t="s">
        <v>208</v>
      </c>
      <c r="C1111" s="5" t="s">
        <v>209</v>
      </c>
      <c r="D1111" s="4" t="s">
        <v>22</v>
      </c>
      <c r="E1111" s="4" t="s">
        <v>1960</v>
      </c>
      <c r="F1111" s="4" t="s">
        <v>406</v>
      </c>
      <c r="G1111" s="4" t="s">
        <v>1961</v>
      </c>
      <c r="H1111" s="12" t="n">
        <v>1</v>
      </c>
      <c r="I1111" s="4" t="s">
        <v>408</v>
      </c>
      <c r="J1111" s="4" t="s">
        <v>409</v>
      </c>
      <c r="K1111" s="13" t="n">
        <v>180</v>
      </c>
      <c r="L1111" s="6" t="n">
        <f aca="false">H1111*K1111</f>
        <v>180</v>
      </c>
      <c r="M1111" s="14" t="s">
        <v>410</v>
      </c>
    </row>
    <row r="1112" customFormat="false" ht="15" hidden="false" customHeight="false" outlineLevel="0" collapsed="false">
      <c r="A1112" s="4" t="s">
        <v>203</v>
      </c>
      <c r="B1112" s="5" t="s">
        <v>208</v>
      </c>
      <c r="C1112" s="5" t="s">
        <v>209</v>
      </c>
      <c r="D1112" s="4" t="s">
        <v>22</v>
      </c>
      <c r="E1112" s="4" t="s">
        <v>1962</v>
      </c>
      <c r="F1112" s="4" t="s">
        <v>406</v>
      </c>
      <c r="G1112" s="4" t="s">
        <v>1963</v>
      </c>
      <c r="H1112" s="12" t="n">
        <v>1</v>
      </c>
      <c r="I1112" s="4" t="s">
        <v>408</v>
      </c>
      <c r="J1112" s="4" t="s">
        <v>409</v>
      </c>
      <c r="K1112" s="13" t="n">
        <v>1200</v>
      </c>
      <c r="L1112" s="6" t="n">
        <f aca="false">H1112*K1112</f>
        <v>1200</v>
      </c>
      <c r="M1112" s="14" t="s">
        <v>410</v>
      </c>
    </row>
    <row r="1113" customFormat="false" ht="15" hidden="false" customHeight="false" outlineLevel="0" collapsed="false">
      <c r="A1113" s="4" t="s">
        <v>203</v>
      </c>
      <c r="B1113" s="5" t="s">
        <v>208</v>
      </c>
      <c r="C1113" s="5" t="s">
        <v>209</v>
      </c>
      <c r="D1113" s="4" t="s">
        <v>22</v>
      </c>
      <c r="E1113" s="4" t="s">
        <v>1964</v>
      </c>
      <c r="F1113" s="4" t="s">
        <v>406</v>
      </c>
      <c r="G1113" s="4" t="s">
        <v>1965</v>
      </c>
      <c r="H1113" s="12" t="n">
        <v>1</v>
      </c>
      <c r="I1113" s="4" t="s">
        <v>408</v>
      </c>
      <c r="J1113" s="4" t="s">
        <v>409</v>
      </c>
      <c r="K1113" s="13" t="n">
        <v>650</v>
      </c>
      <c r="L1113" s="6" t="n">
        <f aca="false">H1113*K1113</f>
        <v>650</v>
      </c>
      <c r="M1113" s="14" t="s">
        <v>410</v>
      </c>
    </row>
    <row r="1114" customFormat="false" ht="15" hidden="false" customHeight="false" outlineLevel="0" collapsed="false">
      <c r="A1114" s="4" t="s">
        <v>203</v>
      </c>
      <c r="B1114" s="5" t="s">
        <v>208</v>
      </c>
      <c r="C1114" s="5" t="s">
        <v>209</v>
      </c>
      <c r="D1114" s="4" t="s">
        <v>22</v>
      </c>
      <c r="E1114" s="4" t="s">
        <v>1966</v>
      </c>
      <c r="F1114" s="4" t="s">
        <v>406</v>
      </c>
      <c r="G1114" s="4" t="s">
        <v>1967</v>
      </c>
      <c r="H1114" s="12" t="n">
        <v>1</v>
      </c>
      <c r="I1114" s="4" t="s">
        <v>408</v>
      </c>
      <c r="J1114" s="4" t="s">
        <v>409</v>
      </c>
      <c r="K1114" s="13" t="n">
        <v>650</v>
      </c>
      <c r="L1114" s="6" t="n">
        <f aca="false">H1114*K1114</f>
        <v>650</v>
      </c>
      <c r="M1114" s="14" t="s">
        <v>410</v>
      </c>
    </row>
    <row r="1115" customFormat="false" ht="15" hidden="false" customHeight="false" outlineLevel="0" collapsed="false">
      <c r="A1115" s="4" t="s">
        <v>203</v>
      </c>
      <c r="B1115" s="5" t="s">
        <v>208</v>
      </c>
      <c r="C1115" s="5" t="s">
        <v>209</v>
      </c>
      <c r="D1115" s="4" t="s">
        <v>22</v>
      </c>
      <c r="E1115" s="4" t="s">
        <v>1968</v>
      </c>
      <c r="F1115" s="4" t="s">
        <v>406</v>
      </c>
      <c r="G1115" s="4" t="s">
        <v>1969</v>
      </c>
      <c r="H1115" s="12" t="n">
        <v>1</v>
      </c>
      <c r="I1115" s="4" t="s">
        <v>408</v>
      </c>
      <c r="J1115" s="4" t="s">
        <v>409</v>
      </c>
      <c r="K1115" s="13" t="n">
        <v>6500</v>
      </c>
      <c r="L1115" s="6" t="n">
        <f aca="false">H1115*K1115</f>
        <v>6500</v>
      </c>
      <c r="M1115" s="14" t="s">
        <v>410</v>
      </c>
    </row>
    <row r="1116" customFormat="false" ht="15" hidden="false" customHeight="false" outlineLevel="0" collapsed="false">
      <c r="A1116" s="4" t="s">
        <v>203</v>
      </c>
      <c r="B1116" s="5" t="s">
        <v>208</v>
      </c>
      <c r="C1116" s="5" t="s">
        <v>209</v>
      </c>
      <c r="D1116" s="4" t="s">
        <v>22</v>
      </c>
      <c r="E1116" s="4" t="s">
        <v>1970</v>
      </c>
      <c r="F1116" s="4" t="s">
        <v>406</v>
      </c>
      <c r="G1116" s="4" t="s">
        <v>1971</v>
      </c>
      <c r="H1116" s="12" t="n">
        <v>1</v>
      </c>
      <c r="I1116" s="4" t="s">
        <v>408</v>
      </c>
      <c r="J1116" s="4" t="s">
        <v>409</v>
      </c>
      <c r="K1116" s="13" t="n">
        <v>8500</v>
      </c>
      <c r="L1116" s="6" t="n">
        <f aca="false">H1116*K1116</f>
        <v>8500</v>
      </c>
      <c r="M1116" s="14" t="s">
        <v>410</v>
      </c>
    </row>
    <row r="1117" customFormat="false" ht="15" hidden="false" customHeight="false" outlineLevel="0" collapsed="false">
      <c r="A1117" s="4" t="s">
        <v>203</v>
      </c>
      <c r="B1117" s="5" t="s">
        <v>208</v>
      </c>
      <c r="C1117" s="5" t="s">
        <v>209</v>
      </c>
      <c r="D1117" s="4" t="s">
        <v>22</v>
      </c>
      <c r="E1117" s="4" t="s">
        <v>1972</v>
      </c>
      <c r="F1117" s="4" t="s">
        <v>406</v>
      </c>
      <c r="G1117" s="4" t="s">
        <v>1973</v>
      </c>
      <c r="H1117" s="12" t="n">
        <v>1</v>
      </c>
      <c r="I1117" s="4" t="s">
        <v>408</v>
      </c>
      <c r="J1117" s="4" t="s">
        <v>409</v>
      </c>
      <c r="K1117" s="13" t="n">
        <v>3500</v>
      </c>
      <c r="L1117" s="6" t="n">
        <f aca="false">H1117*K1117</f>
        <v>3500</v>
      </c>
      <c r="M1117" s="14" t="s">
        <v>410</v>
      </c>
    </row>
    <row r="1118" customFormat="false" ht="15" hidden="false" customHeight="false" outlineLevel="0" collapsed="false">
      <c r="A1118" s="4" t="s">
        <v>203</v>
      </c>
      <c r="B1118" s="5" t="s">
        <v>208</v>
      </c>
      <c r="C1118" s="5" t="s">
        <v>209</v>
      </c>
      <c r="D1118" s="4" t="s">
        <v>22</v>
      </c>
      <c r="E1118" s="4" t="s">
        <v>1974</v>
      </c>
      <c r="F1118" s="4" t="s">
        <v>406</v>
      </c>
      <c r="G1118" s="4" t="s">
        <v>1975</v>
      </c>
      <c r="H1118" s="12" t="n">
        <v>1</v>
      </c>
      <c r="I1118" s="4" t="s">
        <v>408</v>
      </c>
      <c r="J1118" s="4" t="s">
        <v>475</v>
      </c>
      <c r="K1118" s="13" t="n">
        <v>1800</v>
      </c>
      <c r="L1118" s="6" t="n">
        <f aca="false">H1118*K1118</f>
        <v>1800</v>
      </c>
      <c r="M1118" s="14" t="s">
        <v>410</v>
      </c>
    </row>
    <row r="1119" customFormat="false" ht="15" hidden="false" customHeight="false" outlineLevel="0" collapsed="false">
      <c r="A1119" s="4" t="s">
        <v>203</v>
      </c>
      <c r="B1119" s="5" t="s">
        <v>208</v>
      </c>
      <c r="C1119" s="5" t="s">
        <v>209</v>
      </c>
      <c r="D1119" s="4" t="s">
        <v>22</v>
      </c>
      <c r="E1119" s="4" t="s">
        <v>1976</v>
      </c>
      <c r="F1119" s="4" t="s">
        <v>406</v>
      </c>
      <c r="G1119" s="4" t="s">
        <v>1977</v>
      </c>
      <c r="H1119" s="12" t="n">
        <v>1</v>
      </c>
      <c r="I1119" s="4" t="s">
        <v>408</v>
      </c>
      <c r="J1119" s="4" t="s">
        <v>409</v>
      </c>
      <c r="K1119" s="13" t="n">
        <v>4500</v>
      </c>
      <c r="L1119" s="6" t="n">
        <f aca="false">H1119*K1119</f>
        <v>4500</v>
      </c>
      <c r="M1119" s="14" t="s">
        <v>410</v>
      </c>
    </row>
    <row r="1120" customFormat="false" ht="15" hidden="false" customHeight="false" outlineLevel="0" collapsed="false">
      <c r="A1120" s="4" t="s">
        <v>203</v>
      </c>
      <c r="B1120" s="5" t="s">
        <v>208</v>
      </c>
      <c r="C1120" s="5" t="s">
        <v>209</v>
      </c>
      <c r="D1120" s="4" t="s">
        <v>22</v>
      </c>
      <c r="E1120" s="4" t="s">
        <v>1978</v>
      </c>
      <c r="F1120" s="4" t="s">
        <v>406</v>
      </c>
      <c r="G1120" s="4" t="s">
        <v>1979</v>
      </c>
      <c r="H1120" s="12" t="n">
        <v>1</v>
      </c>
      <c r="I1120" s="4" t="s">
        <v>408</v>
      </c>
      <c r="J1120" s="4" t="s">
        <v>409</v>
      </c>
      <c r="K1120" s="13" t="n">
        <v>850</v>
      </c>
      <c r="L1120" s="6" t="n">
        <f aca="false">H1120*K1120</f>
        <v>850</v>
      </c>
      <c r="M1120" s="14" t="s">
        <v>410</v>
      </c>
    </row>
    <row r="1121" customFormat="false" ht="15" hidden="false" customHeight="false" outlineLevel="0" collapsed="false">
      <c r="A1121" s="4" t="s">
        <v>203</v>
      </c>
      <c r="B1121" s="5" t="s">
        <v>208</v>
      </c>
      <c r="C1121" s="5" t="s">
        <v>209</v>
      </c>
      <c r="D1121" s="4" t="s">
        <v>22</v>
      </c>
      <c r="E1121" s="4" t="s">
        <v>1980</v>
      </c>
      <c r="F1121" s="4" t="s">
        <v>406</v>
      </c>
      <c r="G1121" s="4" t="s">
        <v>1981</v>
      </c>
      <c r="H1121" s="12" t="n">
        <v>1</v>
      </c>
      <c r="I1121" s="4" t="s">
        <v>408</v>
      </c>
      <c r="J1121" s="4" t="s">
        <v>409</v>
      </c>
      <c r="K1121" s="13" t="n">
        <v>8500</v>
      </c>
      <c r="L1121" s="6" t="n">
        <f aca="false">H1121*K1121</f>
        <v>8500</v>
      </c>
      <c r="M1121" s="14" t="s">
        <v>410</v>
      </c>
    </row>
    <row r="1122" customFormat="false" ht="15" hidden="false" customHeight="false" outlineLevel="0" collapsed="false">
      <c r="A1122" s="4" t="s">
        <v>203</v>
      </c>
      <c r="B1122" s="5" t="s">
        <v>208</v>
      </c>
      <c r="C1122" s="5" t="s">
        <v>209</v>
      </c>
      <c r="D1122" s="4" t="s">
        <v>22</v>
      </c>
      <c r="E1122" s="4" t="s">
        <v>1982</v>
      </c>
      <c r="F1122" s="4" t="s">
        <v>406</v>
      </c>
      <c r="G1122" s="4" t="s">
        <v>1983</v>
      </c>
      <c r="H1122" s="12" t="n">
        <v>1</v>
      </c>
      <c r="I1122" s="4" t="s">
        <v>408</v>
      </c>
      <c r="J1122" s="4" t="s">
        <v>409</v>
      </c>
      <c r="K1122" s="13" t="n">
        <v>1800</v>
      </c>
      <c r="L1122" s="6" t="n">
        <f aca="false">H1122*K1122</f>
        <v>1800</v>
      </c>
      <c r="M1122" s="14" t="s">
        <v>410</v>
      </c>
    </row>
    <row r="1123" customFormat="false" ht="15" hidden="false" customHeight="false" outlineLevel="0" collapsed="false">
      <c r="A1123" s="4" t="s">
        <v>203</v>
      </c>
      <c r="B1123" s="5" t="s">
        <v>208</v>
      </c>
      <c r="C1123" s="5" t="s">
        <v>209</v>
      </c>
      <c r="D1123" s="4" t="s">
        <v>22</v>
      </c>
      <c r="E1123" s="4" t="s">
        <v>1984</v>
      </c>
      <c r="F1123" s="4" t="s">
        <v>406</v>
      </c>
      <c r="G1123" s="4" t="s">
        <v>1985</v>
      </c>
      <c r="H1123" s="12" t="n">
        <v>1</v>
      </c>
      <c r="I1123" s="4" t="s">
        <v>408</v>
      </c>
      <c r="J1123" s="4" t="s">
        <v>409</v>
      </c>
      <c r="K1123" s="13" t="n">
        <v>120</v>
      </c>
      <c r="L1123" s="6" t="n">
        <f aca="false">H1123*K1123</f>
        <v>120</v>
      </c>
      <c r="M1123" s="14" t="s">
        <v>410</v>
      </c>
    </row>
    <row r="1124" customFormat="false" ht="15" hidden="false" customHeight="false" outlineLevel="0" collapsed="false">
      <c r="A1124" s="4" t="s">
        <v>203</v>
      </c>
      <c r="B1124" s="5" t="s">
        <v>208</v>
      </c>
      <c r="C1124" s="5" t="s">
        <v>209</v>
      </c>
      <c r="D1124" s="4" t="s">
        <v>22</v>
      </c>
      <c r="E1124" s="4" t="s">
        <v>1986</v>
      </c>
      <c r="F1124" s="4" t="s">
        <v>406</v>
      </c>
      <c r="G1124" s="4" t="s">
        <v>1987</v>
      </c>
      <c r="H1124" s="12" t="n">
        <v>1</v>
      </c>
      <c r="I1124" s="4" t="s">
        <v>408</v>
      </c>
      <c r="J1124" s="4" t="s">
        <v>409</v>
      </c>
      <c r="K1124" s="13" t="n">
        <v>4500</v>
      </c>
      <c r="L1124" s="6" t="n">
        <f aca="false">H1124*K1124</f>
        <v>4500</v>
      </c>
      <c r="M1124" s="14" t="s">
        <v>410</v>
      </c>
    </row>
    <row r="1125" customFormat="false" ht="15" hidden="false" customHeight="false" outlineLevel="0" collapsed="false">
      <c r="A1125" s="4" t="s">
        <v>203</v>
      </c>
      <c r="B1125" s="5" t="s">
        <v>208</v>
      </c>
      <c r="C1125" s="5" t="s">
        <v>209</v>
      </c>
      <c r="D1125" s="4" t="s">
        <v>22</v>
      </c>
      <c r="E1125" s="4" t="s">
        <v>1988</v>
      </c>
      <c r="F1125" s="4" t="s">
        <v>406</v>
      </c>
      <c r="G1125" s="4" t="s">
        <v>1989</v>
      </c>
      <c r="H1125" s="12" t="n">
        <v>1</v>
      </c>
      <c r="I1125" s="4" t="s">
        <v>408</v>
      </c>
      <c r="J1125" s="4" t="s">
        <v>409</v>
      </c>
      <c r="K1125" s="13" t="n">
        <v>8500</v>
      </c>
      <c r="L1125" s="6" t="n">
        <f aca="false">H1125*K1125</f>
        <v>8500</v>
      </c>
      <c r="M1125" s="14" t="s">
        <v>410</v>
      </c>
    </row>
    <row r="1126" customFormat="false" ht="15" hidden="false" customHeight="false" outlineLevel="0" collapsed="false">
      <c r="A1126" s="4" t="s">
        <v>203</v>
      </c>
      <c r="B1126" s="5" t="s">
        <v>208</v>
      </c>
      <c r="C1126" s="5" t="s">
        <v>209</v>
      </c>
      <c r="D1126" s="4" t="s">
        <v>22</v>
      </c>
      <c r="E1126" s="4" t="s">
        <v>1990</v>
      </c>
      <c r="F1126" s="4" t="s">
        <v>406</v>
      </c>
      <c r="G1126" s="4" t="s">
        <v>1991</v>
      </c>
      <c r="H1126" s="12" t="n">
        <v>1</v>
      </c>
      <c r="I1126" s="4" t="s">
        <v>408</v>
      </c>
      <c r="J1126" s="4" t="s">
        <v>409</v>
      </c>
      <c r="K1126" s="13" t="n">
        <v>4500</v>
      </c>
      <c r="L1126" s="6" t="n">
        <f aca="false">H1126*K1126</f>
        <v>4500</v>
      </c>
      <c r="M1126" s="14" t="s">
        <v>410</v>
      </c>
    </row>
    <row r="1127" customFormat="false" ht="15" hidden="false" customHeight="false" outlineLevel="0" collapsed="false">
      <c r="A1127" s="4" t="s">
        <v>203</v>
      </c>
      <c r="B1127" s="5" t="s">
        <v>208</v>
      </c>
      <c r="C1127" s="5" t="s">
        <v>209</v>
      </c>
      <c r="D1127" s="4" t="s">
        <v>22</v>
      </c>
      <c r="E1127" s="4" t="s">
        <v>467</v>
      </c>
      <c r="F1127" s="4" t="s">
        <v>406</v>
      </c>
      <c r="G1127" s="4" t="s">
        <v>468</v>
      </c>
      <c r="H1127" s="12" t="n">
        <v>1</v>
      </c>
      <c r="I1127" s="4" t="s">
        <v>408</v>
      </c>
      <c r="J1127" s="4" t="s">
        <v>409</v>
      </c>
      <c r="K1127" s="13" t="n">
        <v>250</v>
      </c>
      <c r="L1127" s="6" t="n">
        <f aca="false">H1127*K1127</f>
        <v>250</v>
      </c>
      <c r="M1127" s="14" t="s">
        <v>410</v>
      </c>
    </row>
    <row r="1128" customFormat="false" ht="15" hidden="false" customHeight="false" outlineLevel="0" collapsed="false">
      <c r="A1128" s="4" t="s">
        <v>203</v>
      </c>
      <c r="B1128" s="5" t="s">
        <v>208</v>
      </c>
      <c r="C1128" s="5" t="s">
        <v>209</v>
      </c>
      <c r="D1128" s="4" t="s">
        <v>22</v>
      </c>
      <c r="E1128" s="4" t="s">
        <v>1992</v>
      </c>
      <c r="F1128" s="4" t="s">
        <v>406</v>
      </c>
      <c r="G1128" s="4" t="s">
        <v>1993</v>
      </c>
      <c r="H1128" s="12" t="n">
        <v>1</v>
      </c>
      <c r="I1128" s="4" t="s">
        <v>408</v>
      </c>
      <c r="J1128" s="4" t="s">
        <v>409</v>
      </c>
      <c r="K1128" s="13" t="n">
        <v>2500</v>
      </c>
      <c r="L1128" s="6" t="n">
        <f aca="false">H1128*K1128</f>
        <v>2500</v>
      </c>
      <c r="M1128" s="4" t="s">
        <v>371</v>
      </c>
    </row>
    <row r="1129" customFormat="false" ht="15" hidden="false" customHeight="false" outlineLevel="0" collapsed="false">
      <c r="A1129" s="4" t="s">
        <v>203</v>
      </c>
      <c r="B1129" s="5" t="s">
        <v>208</v>
      </c>
      <c r="C1129" s="5" t="s">
        <v>209</v>
      </c>
      <c r="D1129" s="4" t="s">
        <v>22</v>
      </c>
      <c r="E1129" s="4" t="s">
        <v>1994</v>
      </c>
      <c r="F1129" s="4" t="s">
        <v>406</v>
      </c>
      <c r="G1129" s="4" t="s">
        <v>1995</v>
      </c>
      <c r="H1129" s="12" t="n">
        <v>1</v>
      </c>
      <c r="I1129" s="4" t="s">
        <v>408</v>
      </c>
      <c r="J1129" s="4" t="s">
        <v>409</v>
      </c>
      <c r="K1129" s="13" t="n">
        <v>850</v>
      </c>
      <c r="L1129" s="6" t="n">
        <f aca="false">H1129*K1129</f>
        <v>850</v>
      </c>
      <c r="M1129" s="14" t="s">
        <v>410</v>
      </c>
    </row>
    <row r="1130" customFormat="false" ht="15" hidden="false" customHeight="false" outlineLevel="0" collapsed="false">
      <c r="A1130" s="4" t="s">
        <v>203</v>
      </c>
      <c r="B1130" s="5" t="s">
        <v>208</v>
      </c>
      <c r="C1130" s="5" t="s">
        <v>209</v>
      </c>
      <c r="D1130" s="4" t="s">
        <v>22</v>
      </c>
      <c r="E1130" s="4" t="s">
        <v>1996</v>
      </c>
      <c r="F1130" s="4" t="s">
        <v>406</v>
      </c>
      <c r="G1130" s="4" t="s">
        <v>1997</v>
      </c>
      <c r="H1130" s="12" t="n">
        <v>1</v>
      </c>
      <c r="I1130" s="4" t="s">
        <v>408</v>
      </c>
      <c r="J1130" s="4" t="s">
        <v>409</v>
      </c>
      <c r="K1130" s="13" t="n">
        <v>2500</v>
      </c>
      <c r="L1130" s="6" t="n">
        <f aca="false">H1130*K1130</f>
        <v>2500</v>
      </c>
      <c r="M1130" s="14" t="s">
        <v>410</v>
      </c>
    </row>
    <row r="1131" customFormat="false" ht="15" hidden="false" customHeight="false" outlineLevel="0" collapsed="false">
      <c r="A1131" s="4" t="s">
        <v>203</v>
      </c>
      <c r="B1131" s="5" t="s">
        <v>208</v>
      </c>
      <c r="C1131" s="5" t="s">
        <v>209</v>
      </c>
      <c r="D1131" s="4" t="s">
        <v>22</v>
      </c>
      <c r="E1131" s="4" t="s">
        <v>1998</v>
      </c>
      <c r="F1131" s="4" t="s">
        <v>406</v>
      </c>
      <c r="G1131" s="4" t="s">
        <v>1999</v>
      </c>
      <c r="H1131" s="12" t="n">
        <v>1</v>
      </c>
      <c r="I1131" s="4" t="s">
        <v>408</v>
      </c>
      <c r="J1131" s="4" t="s">
        <v>409</v>
      </c>
      <c r="K1131" s="13" t="n">
        <v>4500</v>
      </c>
      <c r="L1131" s="6" t="n">
        <f aca="false">H1131*K1131</f>
        <v>4500</v>
      </c>
      <c r="M1131" s="14" t="s">
        <v>410</v>
      </c>
    </row>
    <row r="1132" customFormat="false" ht="15" hidden="false" customHeight="false" outlineLevel="0" collapsed="false">
      <c r="A1132" s="4" t="s">
        <v>203</v>
      </c>
      <c r="B1132" s="5" t="s">
        <v>208</v>
      </c>
      <c r="C1132" s="5" t="s">
        <v>209</v>
      </c>
      <c r="D1132" s="4" t="s">
        <v>22</v>
      </c>
      <c r="E1132" s="4" t="s">
        <v>1697</v>
      </c>
      <c r="F1132" s="4" t="s">
        <v>470</v>
      </c>
      <c r="G1132" s="4" t="s">
        <v>1698</v>
      </c>
      <c r="H1132" s="12" t="n">
        <v>1</v>
      </c>
      <c r="I1132" s="4" t="s">
        <v>408</v>
      </c>
      <c r="J1132" s="4" t="s">
        <v>409</v>
      </c>
      <c r="K1132" s="13" t="n">
        <v>45000</v>
      </c>
      <c r="L1132" s="6" t="n">
        <f aca="false">H1132*K1132</f>
        <v>45000</v>
      </c>
      <c r="M1132" s="14" t="s">
        <v>410</v>
      </c>
    </row>
    <row r="1133" customFormat="false" ht="15" hidden="false" customHeight="false" outlineLevel="0" collapsed="false">
      <c r="A1133" s="4" t="s">
        <v>203</v>
      </c>
      <c r="B1133" s="5" t="s">
        <v>208</v>
      </c>
      <c r="C1133" s="5" t="s">
        <v>209</v>
      </c>
      <c r="D1133" s="4" t="s">
        <v>22</v>
      </c>
      <c r="E1133" s="4" t="s">
        <v>2000</v>
      </c>
      <c r="F1133" s="4" t="s">
        <v>470</v>
      </c>
      <c r="G1133" s="4" t="s">
        <v>2001</v>
      </c>
      <c r="H1133" s="12" t="n">
        <v>1</v>
      </c>
      <c r="I1133" s="4" t="s">
        <v>408</v>
      </c>
      <c r="J1133" s="4" t="s">
        <v>409</v>
      </c>
      <c r="K1133" s="13" t="n">
        <v>2500</v>
      </c>
      <c r="L1133" s="6" t="n">
        <f aca="false">H1133*K1133</f>
        <v>2500</v>
      </c>
      <c r="M1133" s="14" t="s">
        <v>410</v>
      </c>
    </row>
    <row r="1134" customFormat="false" ht="15" hidden="false" customHeight="false" outlineLevel="0" collapsed="false">
      <c r="A1134" s="4" t="s">
        <v>203</v>
      </c>
      <c r="B1134" s="5" t="s">
        <v>208</v>
      </c>
      <c r="C1134" s="5" t="s">
        <v>209</v>
      </c>
      <c r="D1134" s="4" t="s">
        <v>22</v>
      </c>
      <c r="E1134" s="4" t="s">
        <v>2002</v>
      </c>
      <c r="F1134" s="4" t="s">
        <v>470</v>
      </c>
      <c r="G1134" s="4" t="s">
        <v>2003</v>
      </c>
      <c r="H1134" s="12" t="n">
        <v>1</v>
      </c>
      <c r="I1134" s="4" t="s">
        <v>408</v>
      </c>
      <c r="J1134" s="4" t="s">
        <v>409</v>
      </c>
      <c r="K1134" s="13" t="n">
        <v>4500</v>
      </c>
      <c r="L1134" s="6" t="n">
        <f aca="false">H1134*K1134</f>
        <v>4500</v>
      </c>
      <c r="M1134" s="4" t="s">
        <v>371</v>
      </c>
    </row>
    <row r="1135" customFormat="false" ht="15" hidden="false" customHeight="false" outlineLevel="0" collapsed="false">
      <c r="A1135" s="4" t="s">
        <v>203</v>
      </c>
      <c r="B1135" s="5" t="s">
        <v>208</v>
      </c>
      <c r="C1135" s="5" t="s">
        <v>209</v>
      </c>
      <c r="D1135" s="4" t="s">
        <v>22</v>
      </c>
      <c r="E1135" s="4" t="s">
        <v>2004</v>
      </c>
      <c r="F1135" s="4" t="s">
        <v>470</v>
      </c>
      <c r="G1135" s="4" t="s">
        <v>2005</v>
      </c>
      <c r="H1135" s="12" t="n">
        <v>1</v>
      </c>
      <c r="I1135" s="4" t="s">
        <v>408</v>
      </c>
      <c r="J1135" s="4" t="s">
        <v>409</v>
      </c>
      <c r="K1135" s="13" t="n">
        <v>25000</v>
      </c>
      <c r="L1135" s="6" t="n">
        <f aca="false">H1135*K1135</f>
        <v>25000</v>
      </c>
      <c r="M1135" s="4" t="s">
        <v>371</v>
      </c>
    </row>
    <row r="1136" customFormat="false" ht="15" hidden="false" customHeight="false" outlineLevel="0" collapsed="false">
      <c r="A1136" s="4" t="s">
        <v>203</v>
      </c>
      <c r="B1136" s="5" t="s">
        <v>208</v>
      </c>
      <c r="C1136" s="5" t="s">
        <v>209</v>
      </c>
      <c r="D1136" s="4" t="s">
        <v>22</v>
      </c>
      <c r="E1136" s="4" t="s">
        <v>2006</v>
      </c>
      <c r="F1136" s="4" t="s">
        <v>470</v>
      </c>
      <c r="G1136" s="4" t="s">
        <v>2007</v>
      </c>
      <c r="H1136" s="12" t="n">
        <v>1</v>
      </c>
      <c r="I1136" s="4" t="s">
        <v>408</v>
      </c>
      <c r="J1136" s="4" t="s">
        <v>409</v>
      </c>
      <c r="K1136" s="13" t="n">
        <v>3500</v>
      </c>
      <c r="L1136" s="6" t="n">
        <f aca="false">H1136*K1136</f>
        <v>3500</v>
      </c>
      <c r="M1136" s="4" t="s">
        <v>371</v>
      </c>
    </row>
    <row r="1137" customFormat="false" ht="15" hidden="false" customHeight="false" outlineLevel="0" collapsed="false">
      <c r="A1137" s="4" t="s">
        <v>203</v>
      </c>
      <c r="B1137" s="5" t="s">
        <v>208</v>
      </c>
      <c r="C1137" s="5" t="s">
        <v>209</v>
      </c>
      <c r="D1137" s="4" t="s">
        <v>22</v>
      </c>
      <c r="E1137" s="4" t="s">
        <v>2008</v>
      </c>
      <c r="F1137" s="4" t="s">
        <v>470</v>
      </c>
      <c r="G1137" s="4" t="s">
        <v>2009</v>
      </c>
      <c r="H1137" s="12" t="n">
        <v>1</v>
      </c>
      <c r="I1137" s="4" t="s">
        <v>408</v>
      </c>
      <c r="J1137" s="4" t="s">
        <v>409</v>
      </c>
      <c r="K1137" s="13" t="n">
        <v>25000</v>
      </c>
      <c r="L1137" s="6" t="n">
        <f aca="false">H1137*K1137</f>
        <v>25000</v>
      </c>
      <c r="M1137" s="4" t="s">
        <v>371</v>
      </c>
    </row>
    <row r="1138" customFormat="false" ht="15" hidden="false" customHeight="false" outlineLevel="0" collapsed="false">
      <c r="A1138" s="4" t="s">
        <v>203</v>
      </c>
      <c r="B1138" s="5" t="s">
        <v>208</v>
      </c>
      <c r="C1138" s="5" t="s">
        <v>209</v>
      </c>
      <c r="D1138" s="4" t="s">
        <v>22</v>
      </c>
      <c r="E1138" s="4" t="s">
        <v>2010</v>
      </c>
      <c r="F1138" s="4" t="s">
        <v>470</v>
      </c>
      <c r="G1138" s="4" t="s">
        <v>2011</v>
      </c>
      <c r="H1138" s="12" t="n">
        <v>1</v>
      </c>
      <c r="I1138" s="4" t="s">
        <v>408</v>
      </c>
      <c r="J1138" s="4" t="s">
        <v>409</v>
      </c>
      <c r="K1138" s="13" t="n">
        <v>3500</v>
      </c>
      <c r="L1138" s="6" t="n">
        <f aca="false">H1138*K1138</f>
        <v>3500</v>
      </c>
      <c r="M1138" s="4" t="s">
        <v>371</v>
      </c>
    </row>
    <row r="1139" customFormat="false" ht="15" hidden="false" customHeight="false" outlineLevel="0" collapsed="false">
      <c r="A1139" s="4" t="s">
        <v>203</v>
      </c>
      <c r="B1139" s="5" t="s">
        <v>208</v>
      </c>
      <c r="C1139" s="5" t="s">
        <v>209</v>
      </c>
      <c r="D1139" s="4" t="s">
        <v>22</v>
      </c>
      <c r="E1139" s="4" t="s">
        <v>2012</v>
      </c>
      <c r="F1139" s="4" t="s">
        <v>470</v>
      </c>
      <c r="G1139" s="4" t="s">
        <v>2013</v>
      </c>
      <c r="H1139" s="12" t="n">
        <v>1</v>
      </c>
      <c r="I1139" s="4" t="s">
        <v>408</v>
      </c>
      <c r="J1139" s="4" t="s">
        <v>409</v>
      </c>
      <c r="K1139" s="13" t="n">
        <v>8500</v>
      </c>
      <c r="L1139" s="6" t="n">
        <f aca="false">H1139*K1139</f>
        <v>8500</v>
      </c>
      <c r="M1139" s="4" t="s">
        <v>371</v>
      </c>
    </row>
    <row r="1140" customFormat="false" ht="15" hidden="false" customHeight="false" outlineLevel="0" collapsed="false">
      <c r="A1140" s="4" t="s">
        <v>203</v>
      </c>
      <c r="B1140" s="5" t="s">
        <v>208</v>
      </c>
      <c r="C1140" s="5" t="s">
        <v>209</v>
      </c>
      <c r="D1140" s="4" t="s">
        <v>22</v>
      </c>
      <c r="E1140" s="4" t="s">
        <v>2014</v>
      </c>
      <c r="F1140" s="4" t="s">
        <v>470</v>
      </c>
      <c r="G1140" s="4" t="s">
        <v>2015</v>
      </c>
      <c r="H1140" s="12" t="n">
        <v>1</v>
      </c>
      <c r="I1140" s="4" t="s">
        <v>408</v>
      </c>
      <c r="J1140" s="4" t="s">
        <v>409</v>
      </c>
      <c r="K1140" s="13" t="n">
        <v>8500</v>
      </c>
      <c r="L1140" s="6" t="n">
        <f aca="false">H1140*K1140</f>
        <v>8500</v>
      </c>
      <c r="M1140" s="4" t="s">
        <v>371</v>
      </c>
    </row>
    <row r="1141" customFormat="false" ht="15" hidden="false" customHeight="false" outlineLevel="0" collapsed="false">
      <c r="A1141" s="4" t="s">
        <v>203</v>
      </c>
      <c r="B1141" s="5" t="s">
        <v>208</v>
      </c>
      <c r="C1141" s="5" t="s">
        <v>209</v>
      </c>
      <c r="D1141" s="4" t="s">
        <v>22</v>
      </c>
      <c r="E1141" s="4" t="s">
        <v>2016</v>
      </c>
      <c r="F1141" s="4" t="s">
        <v>470</v>
      </c>
      <c r="G1141" s="4" t="s">
        <v>2017</v>
      </c>
      <c r="H1141" s="12" t="n">
        <v>1</v>
      </c>
      <c r="I1141" s="4" t="s">
        <v>408</v>
      </c>
      <c r="J1141" s="4" t="s">
        <v>416</v>
      </c>
      <c r="K1141" s="13" t="n">
        <v>1500</v>
      </c>
      <c r="L1141" s="6" t="n">
        <f aca="false">H1141*K1141</f>
        <v>1500</v>
      </c>
      <c r="M1141" s="4" t="s">
        <v>371</v>
      </c>
    </row>
    <row r="1142" customFormat="false" ht="15" hidden="false" customHeight="false" outlineLevel="0" collapsed="false">
      <c r="A1142" s="4" t="s">
        <v>203</v>
      </c>
      <c r="B1142" s="5" t="s">
        <v>208</v>
      </c>
      <c r="C1142" s="5" t="s">
        <v>209</v>
      </c>
      <c r="D1142" s="4" t="s">
        <v>22</v>
      </c>
      <c r="E1142" s="4" t="s">
        <v>2018</v>
      </c>
      <c r="F1142" s="4" t="s">
        <v>470</v>
      </c>
      <c r="G1142" s="4" t="s">
        <v>2019</v>
      </c>
      <c r="H1142" s="12" t="n">
        <v>1</v>
      </c>
      <c r="I1142" s="4" t="s">
        <v>408</v>
      </c>
      <c r="J1142" s="4" t="s">
        <v>409</v>
      </c>
      <c r="K1142" s="13" t="n">
        <v>8500</v>
      </c>
      <c r="L1142" s="6" t="n">
        <f aca="false">H1142*K1142</f>
        <v>8500</v>
      </c>
      <c r="M1142" s="4" t="s">
        <v>371</v>
      </c>
    </row>
    <row r="1143" customFormat="false" ht="15" hidden="false" customHeight="false" outlineLevel="0" collapsed="false">
      <c r="A1143" s="4" t="s">
        <v>203</v>
      </c>
      <c r="B1143" s="5" t="s">
        <v>208</v>
      </c>
      <c r="C1143" s="5" t="s">
        <v>209</v>
      </c>
      <c r="D1143" s="4" t="s">
        <v>22</v>
      </c>
      <c r="E1143" s="4" t="s">
        <v>1096</v>
      </c>
      <c r="F1143" s="4" t="s">
        <v>470</v>
      </c>
      <c r="G1143" s="4" t="s">
        <v>1097</v>
      </c>
      <c r="H1143" s="12" t="n">
        <v>1</v>
      </c>
      <c r="I1143" s="4" t="s">
        <v>408</v>
      </c>
      <c r="J1143" s="4" t="s">
        <v>475</v>
      </c>
      <c r="K1143" s="13" t="n">
        <v>350</v>
      </c>
      <c r="L1143" s="6" t="n">
        <f aca="false">H1143*K1143</f>
        <v>350</v>
      </c>
      <c r="M1143" s="4" t="s">
        <v>371</v>
      </c>
    </row>
    <row r="1144" customFormat="false" ht="15" hidden="false" customHeight="false" outlineLevel="0" collapsed="false">
      <c r="A1144" s="4" t="s">
        <v>203</v>
      </c>
      <c r="B1144" s="5" t="s">
        <v>208</v>
      </c>
      <c r="C1144" s="5" t="s">
        <v>209</v>
      </c>
      <c r="D1144" s="4" t="s">
        <v>22</v>
      </c>
      <c r="E1144" s="4" t="s">
        <v>2020</v>
      </c>
      <c r="F1144" s="4" t="s">
        <v>470</v>
      </c>
      <c r="G1144" s="4" t="s">
        <v>2021</v>
      </c>
      <c r="H1144" s="12" t="n">
        <v>1</v>
      </c>
      <c r="I1144" s="4" t="s">
        <v>408</v>
      </c>
      <c r="J1144" s="4" t="s">
        <v>409</v>
      </c>
      <c r="K1144" s="13" t="n">
        <v>850</v>
      </c>
      <c r="L1144" s="6" t="n">
        <f aca="false">H1144*K1144</f>
        <v>850</v>
      </c>
      <c r="M1144" s="4" t="s">
        <v>371</v>
      </c>
    </row>
    <row r="1145" customFormat="false" ht="15" hidden="false" customHeight="false" outlineLevel="0" collapsed="false">
      <c r="A1145" s="4" t="s">
        <v>203</v>
      </c>
      <c r="B1145" s="5" t="s">
        <v>208</v>
      </c>
      <c r="C1145" s="5" t="s">
        <v>209</v>
      </c>
      <c r="D1145" s="4" t="s">
        <v>22</v>
      </c>
      <c r="E1145" s="4" t="s">
        <v>2022</v>
      </c>
      <c r="F1145" s="4" t="s">
        <v>470</v>
      </c>
      <c r="G1145" s="4" t="s">
        <v>2023</v>
      </c>
      <c r="H1145" s="12" t="n">
        <v>1</v>
      </c>
      <c r="I1145" s="4" t="s">
        <v>408</v>
      </c>
      <c r="J1145" s="4" t="s">
        <v>409</v>
      </c>
      <c r="K1145" s="13" t="n">
        <v>25</v>
      </c>
      <c r="L1145" s="6" t="n">
        <f aca="false">H1145*K1145</f>
        <v>25</v>
      </c>
      <c r="M1145" s="4" t="s">
        <v>371</v>
      </c>
    </row>
    <row r="1146" customFormat="false" ht="15" hidden="false" customHeight="false" outlineLevel="0" collapsed="false">
      <c r="A1146" s="4" t="s">
        <v>203</v>
      </c>
      <c r="B1146" s="5" t="s">
        <v>208</v>
      </c>
      <c r="C1146" s="5" t="s">
        <v>209</v>
      </c>
      <c r="D1146" s="4" t="s">
        <v>22</v>
      </c>
      <c r="E1146" s="4" t="s">
        <v>2024</v>
      </c>
      <c r="F1146" s="4" t="s">
        <v>470</v>
      </c>
      <c r="G1146" s="4" t="s">
        <v>2025</v>
      </c>
      <c r="H1146" s="12" t="n">
        <v>1</v>
      </c>
      <c r="I1146" s="4" t="s">
        <v>408</v>
      </c>
      <c r="J1146" s="4" t="s">
        <v>475</v>
      </c>
      <c r="K1146" s="13" t="n">
        <v>80</v>
      </c>
      <c r="L1146" s="6" t="n">
        <f aca="false">H1146*K1146</f>
        <v>80</v>
      </c>
      <c r="M1146" s="4" t="s">
        <v>371</v>
      </c>
    </row>
    <row r="1147" customFormat="false" ht="15" hidden="false" customHeight="false" outlineLevel="0" collapsed="false">
      <c r="A1147" s="4" t="s">
        <v>203</v>
      </c>
      <c r="B1147" s="5" t="s">
        <v>208</v>
      </c>
      <c r="C1147" s="5" t="s">
        <v>209</v>
      </c>
      <c r="D1147" s="4" t="s">
        <v>22</v>
      </c>
      <c r="E1147" s="4" t="s">
        <v>2026</v>
      </c>
      <c r="F1147" s="4" t="s">
        <v>470</v>
      </c>
      <c r="G1147" s="4" t="s">
        <v>2027</v>
      </c>
      <c r="H1147" s="12" t="n">
        <v>1</v>
      </c>
      <c r="I1147" s="4" t="s">
        <v>408</v>
      </c>
      <c r="J1147" s="4" t="s">
        <v>409</v>
      </c>
      <c r="K1147" s="13" t="n">
        <v>25</v>
      </c>
      <c r="L1147" s="6" t="n">
        <f aca="false">H1147*K1147</f>
        <v>25</v>
      </c>
      <c r="M1147" s="4" t="s">
        <v>371</v>
      </c>
    </row>
    <row r="1148" customFormat="false" ht="15" hidden="false" customHeight="false" outlineLevel="0" collapsed="false">
      <c r="A1148" s="4" t="s">
        <v>203</v>
      </c>
      <c r="B1148" s="5" t="s">
        <v>208</v>
      </c>
      <c r="C1148" s="5" t="s">
        <v>209</v>
      </c>
      <c r="D1148" s="4" t="s">
        <v>22</v>
      </c>
      <c r="E1148" s="4" t="s">
        <v>2028</v>
      </c>
      <c r="F1148" s="4" t="s">
        <v>470</v>
      </c>
      <c r="G1148" s="4" t="s">
        <v>2029</v>
      </c>
      <c r="H1148" s="12" t="n">
        <v>1</v>
      </c>
      <c r="I1148" s="4" t="s">
        <v>408</v>
      </c>
      <c r="J1148" s="4" t="s">
        <v>409</v>
      </c>
      <c r="K1148" s="13" t="n">
        <v>25000</v>
      </c>
      <c r="L1148" s="6" t="n">
        <f aca="false">H1148*K1148</f>
        <v>25000</v>
      </c>
      <c r="M1148" s="4" t="s">
        <v>371</v>
      </c>
    </row>
    <row r="1149" customFormat="false" ht="15" hidden="false" customHeight="false" outlineLevel="0" collapsed="false">
      <c r="A1149" s="4" t="s">
        <v>203</v>
      </c>
      <c r="B1149" s="5" t="s">
        <v>208</v>
      </c>
      <c r="C1149" s="5" t="s">
        <v>209</v>
      </c>
      <c r="D1149" s="4" t="s">
        <v>22</v>
      </c>
      <c r="E1149" s="4" t="s">
        <v>2030</v>
      </c>
      <c r="F1149" s="4" t="s">
        <v>470</v>
      </c>
      <c r="G1149" s="4" t="s">
        <v>2031</v>
      </c>
      <c r="H1149" s="12" t="n">
        <v>1</v>
      </c>
      <c r="I1149" s="4" t="s">
        <v>408</v>
      </c>
      <c r="J1149" s="4" t="s">
        <v>409</v>
      </c>
      <c r="K1149" s="13" t="n">
        <v>18000</v>
      </c>
      <c r="L1149" s="6" t="n">
        <f aca="false">H1149*K1149</f>
        <v>18000</v>
      </c>
      <c r="M1149" s="4" t="s">
        <v>371</v>
      </c>
    </row>
    <row r="1150" customFormat="false" ht="15" hidden="false" customHeight="false" outlineLevel="0" collapsed="false">
      <c r="A1150" s="4" t="s">
        <v>203</v>
      </c>
      <c r="B1150" s="5" t="s">
        <v>208</v>
      </c>
      <c r="C1150" s="5" t="s">
        <v>209</v>
      </c>
      <c r="D1150" s="4" t="s">
        <v>22</v>
      </c>
      <c r="E1150" s="4" t="s">
        <v>1423</v>
      </c>
      <c r="F1150" s="4" t="s">
        <v>470</v>
      </c>
      <c r="G1150" s="4" t="s">
        <v>1424</v>
      </c>
      <c r="H1150" s="12" t="n">
        <v>1</v>
      </c>
      <c r="I1150" s="4" t="s">
        <v>408</v>
      </c>
      <c r="J1150" s="4" t="s">
        <v>409</v>
      </c>
      <c r="K1150" s="13" t="n">
        <v>3500</v>
      </c>
      <c r="L1150" s="6" t="n">
        <f aca="false">H1150*K1150</f>
        <v>3500</v>
      </c>
      <c r="M1150" s="4" t="s">
        <v>371</v>
      </c>
    </row>
    <row r="1151" customFormat="false" ht="15" hidden="false" customHeight="false" outlineLevel="0" collapsed="false">
      <c r="A1151" s="4" t="s">
        <v>203</v>
      </c>
      <c r="B1151" s="5" t="s">
        <v>208</v>
      </c>
      <c r="C1151" s="5" t="s">
        <v>209</v>
      </c>
      <c r="D1151" s="4" t="s">
        <v>22</v>
      </c>
      <c r="E1151" s="4" t="s">
        <v>2032</v>
      </c>
      <c r="F1151" s="4" t="s">
        <v>488</v>
      </c>
      <c r="G1151" s="4" t="s">
        <v>2033</v>
      </c>
      <c r="H1151" s="12" t="n">
        <v>1</v>
      </c>
      <c r="I1151" s="4" t="s">
        <v>408</v>
      </c>
      <c r="J1151" s="4" t="s">
        <v>409</v>
      </c>
      <c r="K1151" s="13" t="n">
        <v>80</v>
      </c>
      <c r="L1151" s="6" t="n">
        <f aca="false">H1151*K1151</f>
        <v>80</v>
      </c>
      <c r="M1151" s="4" t="s">
        <v>371</v>
      </c>
    </row>
    <row r="1152" customFormat="false" ht="15" hidden="false" customHeight="false" outlineLevel="0" collapsed="false">
      <c r="A1152" s="4" t="s">
        <v>203</v>
      </c>
      <c r="B1152" s="5" t="s">
        <v>208</v>
      </c>
      <c r="C1152" s="5" t="s">
        <v>209</v>
      </c>
      <c r="D1152" s="4" t="s">
        <v>22</v>
      </c>
      <c r="E1152" s="4" t="s">
        <v>2034</v>
      </c>
      <c r="F1152" s="4" t="s">
        <v>488</v>
      </c>
      <c r="G1152" s="4" t="s">
        <v>2035</v>
      </c>
      <c r="H1152" s="12" t="n">
        <v>1</v>
      </c>
      <c r="I1152" s="4" t="s">
        <v>408</v>
      </c>
      <c r="J1152" s="4" t="s">
        <v>480</v>
      </c>
      <c r="K1152" s="13" t="n">
        <v>250</v>
      </c>
      <c r="L1152" s="6" t="n">
        <f aca="false">H1152*K1152</f>
        <v>250</v>
      </c>
      <c r="M1152" s="4" t="s">
        <v>371</v>
      </c>
    </row>
    <row r="1153" customFormat="false" ht="15" hidden="false" customHeight="false" outlineLevel="0" collapsed="false">
      <c r="A1153" s="4" t="s">
        <v>203</v>
      </c>
      <c r="B1153" s="5" t="s">
        <v>208</v>
      </c>
      <c r="C1153" s="5" t="s">
        <v>209</v>
      </c>
      <c r="D1153" s="4" t="s">
        <v>22</v>
      </c>
      <c r="E1153" s="4" t="s">
        <v>2036</v>
      </c>
      <c r="F1153" s="4" t="s">
        <v>488</v>
      </c>
      <c r="G1153" s="4" t="s">
        <v>2037</v>
      </c>
      <c r="H1153" s="12" t="n">
        <v>1</v>
      </c>
      <c r="I1153" s="4" t="s">
        <v>408</v>
      </c>
      <c r="J1153" s="4" t="s">
        <v>503</v>
      </c>
      <c r="K1153" s="13" t="n">
        <v>150</v>
      </c>
      <c r="L1153" s="6" t="n">
        <f aca="false">H1153*K1153</f>
        <v>150</v>
      </c>
      <c r="M1153" s="4" t="s">
        <v>371</v>
      </c>
    </row>
    <row r="1154" customFormat="false" ht="15" hidden="false" customHeight="false" outlineLevel="0" collapsed="false">
      <c r="A1154" s="4" t="s">
        <v>203</v>
      </c>
      <c r="B1154" s="5" t="s">
        <v>208</v>
      </c>
      <c r="C1154" s="5" t="s">
        <v>209</v>
      </c>
      <c r="D1154" s="4" t="s">
        <v>22</v>
      </c>
      <c r="E1154" s="4" t="s">
        <v>2038</v>
      </c>
      <c r="F1154" s="4" t="s">
        <v>488</v>
      </c>
      <c r="G1154" s="4" t="s">
        <v>2039</v>
      </c>
      <c r="H1154" s="12" t="n">
        <v>1</v>
      </c>
      <c r="I1154" s="4" t="s">
        <v>408</v>
      </c>
      <c r="J1154" s="4" t="s">
        <v>503</v>
      </c>
      <c r="K1154" s="13" t="n">
        <v>120</v>
      </c>
      <c r="L1154" s="6" t="n">
        <f aca="false">H1154*K1154</f>
        <v>120</v>
      </c>
      <c r="M1154" s="4" t="s">
        <v>371</v>
      </c>
    </row>
    <row r="1155" customFormat="false" ht="15" hidden="false" customHeight="false" outlineLevel="0" collapsed="false">
      <c r="A1155" s="4" t="s">
        <v>203</v>
      </c>
      <c r="B1155" s="5" t="s">
        <v>208</v>
      </c>
      <c r="C1155" s="5" t="s">
        <v>209</v>
      </c>
      <c r="D1155" s="4" t="s">
        <v>22</v>
      </c>
      <c r="E1155" s="4" t="s">
        <v>2040</v>
      </c>
      <c r="F1155" s="4" t="s">
        <v>488</v>
      </c>
      <c r="G1155" s="4" t="s">
        <v>2041</v>
      </c>
      <c r="H1155" s="12" t="n">
        <v>1</v>
      </c>
      <c r="I1155" s="4" t="s">
        <v>408</v>
      </c>
      <c r="J1155" s="4" t="s">
        <v>506</v>
      </c>
      <c r="K1155" s="13" t="n">
        <v>120</v>
      </c>
      <c r="L1155" s="6" t="n">
        <f aca="false">H1155*K1155</f>
        <v>120</v>
      </c>
      <c r="M1155" s="4" t="s">
        <v>371</v>
      </c>
    </row>
    <row r="1156" customFormat="false" ht="15" hidden="false" customHeight="false" outlineLevel="0" collapsed="false">
      <c r="A1156" s="4" t="s">
        <v>203</v>
      </c>
      <c r="B1156" s="5" t="s">
        <v>208</v>
      </c>
      <c r="C1156" s="5" t="s">
        <v>209</v>
      </c>
      <c r="D1156" s="4" t="s">
        <v>22</v>
      </c>
      <c r="E1156" s="4" t="s">
        <v>2042</v>
      </c>
      <c r="F1156" s="4" t="s">
        <v>488</v>
      </c>
      <c r="G1156" s="4" t="s">
        <v>2043</v>
      </c>
      <c r="H1156" s="12" t="n">
        <v>1</v>
      </c>
      <c r="I1156" s="4" t="s">
        <v>408</v>
      </c>
      <c r="J1156" s="4" t="s">
        <v>506</v>
      </c>
      <c r="K1156" s="13" t="n">
        <v>80</v>
      </c>
      <c r="L1156" s="6" t="n">
        <f aca="false">H1156*K1156</f>
        <v>80</v>
      </c>
      <c r="M1156" s="4" t="s">
        <v>371</v>
      </c>
    </row>
    <row r="1157" customFormat="false" ht="15" hidden="false" customHeight="false" outlineLevel="0" collapsed="false">
      <c r="A1157" s="4" t="s">
        <v>203</v>
      </c>
      <c r="B1157" s="5" t="s">
        <v>208</v>
      </c>
      <c r="C1157" s="5" t="s">
        <v>209</v>
      </c>
      <c r="D1157" s="4" t="s">
        <v>22</v>
      </c>
      <c r="E1157" s="4" t="s">
        <v>2044</v>
      </c>
      <c r="F1157" s="4" t="s">
        <v>488</v>
      </c>
      <c r="G1157" s="4" t="s">
        <v>2045</v>
      </c>
      <c r="H1157" s="12" t="n">
        <v>1</v>
      </c>
      <c r="I1157" s="4" t="s">
        <v>408</v>
      </c>
      <c r="J1157" s="4" t="s">
        <v>409</v>
      </c>
      <c r="K1157" s="13" t="n">
        <v>25</v>
      </c>
      <c r="L1157" s="6" t="n">
        <f aca="false">H1157*K1157</f>
        <v>25</v>
      </c>
      <c r="M1157" s="4" t="s">
        <v>371</v>
      </c>
    </row>
    <row r="1158" customFormat="false" ht="15" hidden="false" customHeight="false" outlineLevel="0" collapsed="false">
      <c r="A1158" s="4" t="s">
        <v>203</v>
      </c>
      <c r="B1158" s="5" t="s">
        <v>208</v>
      </c>
      <c r="C1158" s="5" t="s">
        <v>209</v>
      </c>
      <c r="D1158" s="4" t="s">
        <v>22</v>
      </c>
      <c r="E1158" s="4" t="s">
        <v>2046</v>
      </c>
      <c r="F1158" s="4" t="s">
        <v>488</v>
      </c>
      <c r="G1158" s="4" t="s">
        <v>2047</v>
      </c>
      <c r="H1158" s="12" t="n">
        <v>1</v>
      </c>
      <c r="I1158" s="4" t="s">
        <v>408</v>
      </c>
      <c r="J1158" s="4" t="s">
        <v>2048</v>
      </c>
      <c r="K1158" s="13" t="n">
        <v>45</v>
      </c>
      <c r="L1158" s="6" t="n">
        <f aca="false">H1158*K1158</f>
        <v>45</v>
      </c>
      <c r="M1158" s="4" t="s">
        <v>371</v>
      </c>
    </row>
    <row r="1159" customFormat="false" ht="15" hidden="false" customHeight="false" outlineLevel="0" collapsed="false">
      <c r="A1159" s="4" t="s">
        <v>203</v>
      </c>
      <c r="B1159" s="5" t="s">
        <v>208</v>
      </c>
      <c r="C1159" s="5" t="s">
        <v>209</v>
      </c>
      <c r="D1159" s="4" t="s">
        <v>22</v>
      </c>
      <c r="E1159" s="4" t="s">
        <v>2049</v>
      </c>
      <c r="F1159" s="4" t="s">
        <v>488</v>
      </c>
      <c r="G1159" s="4" t="s">
        <v>2050</v>
      </c>
      <c r="H1159" s="12" t="n">
        <v>1</v>
      </c>
      <c r="I1159" s="4" t="s">
        <v>408</v>
      </c>
      <c r="J1159" s="4" t="s">
        <v>503</v>
      </c>
      <c r="K1159" s="13" t="n">
        <v>120</v>
      </c>
      <c r="L1159" s="6" t="n">
        <f aca="false">H1159*K1159</f>
        <v>120</v>
      </c>
      <c r="M1159" s="4" t="s">
        <v>371</v>
      </c>
    </row>
    <row r="1160" customFormat="false" ht="15" hidden="false" customHeight="false" outlineLevel="0" collapsed="false">
      <c r="A1160" s="4" t="s">
        <v>203</v>
      </c>
      <c r="B1160" s="5" t="s">
        <v>208</v>
      </c>
      <c r="C1160" s="5" t="s">
        <v>209</v>
      </c>
      <c r="D1160" s="4" t="s">
        <v>22</v>
      </c>
      <c r="E1160" s="4" t="s">
        <v>2051</v>
      </c>
      <c r="F1160" s="4" t="s">
        <v>488</v>
      </c>
      <c r="G1160" s="4" t="s">
        <v>2052</v>
      </c>
      <c r="H1160" s="12" t="n">
        <v>1</v>
      </c>
      <c r="I1160" s="4" t="s">
        <v>408</v>
      </c>
      <c r="J1160" s="4" t="s">
        <v>503</v>
      </c>
      <c r="K1160" s="13" t="n">
        <v>120</v>
      </c>
      <c r="L1160" s="6" t="n">
        <f aca="false">H1160*K1160</f>
        <v>120</v>
      </c>
      <c r="M1160" s="4" t="s">
        <v>371</v>
      </c>
    </row>
    <row r="1161" customFormat="false" ht="15" hidden="false" customHeight="false" outlineLevel="0" collapsed="false">
      <c r="A1161" s="4" t="s">
        <v>203</v>
      </c>
      <c r="B1161" s="5" t="s">
        <v>208</v>
      </c>
      <c r="C1161" s="5" t="s">
        <v>209</v>
      </c>
      <c r="D1161" s="4" t="s">
        <v>22</v>
      </c>
      <c r="E1161" s="4" t="s">
        <v>2053</v>
      </c>
      <c r="F1161" s="4" t="s">
        <v>488</v>
      </c>
      <c r="G1161" s="4" t="s">
        <v>2054</v>
      </c>
      <c r="H1161" s="12" t="n">
        <v>1</v>
      </c>
      <c r="I1161" s="4" t="s">
        <v>408</v>
      </c>
      <c r="J1161" s="4" t="s">
        <v>409</v>
      </c>
      <c r="K1161" s="13" t="n">
        <v>35</v>
      </c>
      <c r="L1161" s="6" t="n">
        <f aca="false">H1161*K1161</f>
        <v>35</v>
      </c>
      <c r="M1161" s="4" t="s">
        <v>371</v>
      </c>
    </row>
    <row r="1162" customFormat="false" ht="15" hidden="false" customHeight="false" outlineLevel="0" collapsed="false">
      <c r="A1162" s="4" t="s">
        <v>203</v>
      </c>
      <c r="B1162" s="5" t="s">
        <v>208</v>
      </c>
      <c r="C1162" s="5" t="s">
        <v>209</v>
      </c>
      <c r="D1162" s="4" t="s">
        <v>22</v>
      </c>
      <c r="E1162" s="4" t="s">
        <v>2055</v>
      </c>
      <c r="F1162" s="4" t="s">
        <v>488</v>
      </c>
      <c r="G1162" s="4" t="s">
        <v>2056</v>
      </c>
      <c r="H1162" s="12" t="n">
        <v>1</v>
      </c>
      <c r="I1162" s="4" t="s">
        <v>408</v>
      </c>
      <c r="J1162" s="4" t="s">
        <v>503</v>
      </c>
      <c r="K1162" s="13" t="n">
        <v>120</v>
      </c>
      <c r="L1162" s="6" t="n">
        <f aca="false">H1162*K1162</f>
        <v>120</v>
      </c>
      <c r="M1162" s="4" t="s">
        <v>371</v>
      </c>
    </row>
    <row r="1163" customFormat="false" ht="15" hidden="false" customHeight="false" outlineLevel="0" collapsed="false">
      <c r="A1163" s="4" t="s">
        <v>203</v>
      </c>
      <c r="B1163" s="5" t="s">
        <v>208</v>
      </c>
      <c r="C1163" s="5" t="s">
        <v>209</v>
      </c>
      <c r="D1163" s="4" t="s">
        <v>22</v>
      </c>
      <c r="E1163" s="4" t="s">
        <v>2057</v>
      </c>
      <c r="F1163" s="4" t="s">
        <v>488</v>
      </c>
      <c r="G1163" s="4" t="s">
        <v>2058</v>
      </c>
      <c r="H1163" s="12" t="n">
        <v>1</v>
      </c>
      <c r="I1163" s="4" t="s">
        <v>408</v>
      </c>
      <c r="J1163" s="4" t="s">
        <v>506</v>
      </c>
      <c r="K1163" s="13" t="n">
        <v>120</v>
      </c>
      <c r="L1163" s="6" t="n">
        <f aca="false">H1163*K1163</f>
        <v>120</v>
      </c>
      <c r="M1163" s="4" t="s">
        <v>371</v>
      </c>
    </row>
    <row r="1164" customFormat="false" ht="15" hidden="false" customHeight="false" outlineLevel="0" collapsed="false">
      <c r="A1164" s="4" t="s">
        <v>203</v>
      </c>
      <c r="B1164" s="5" t="s">
        <v>208</v>
      </c>
      <c r="C1164" s="5" t="s">
        <v>209</v>
      </c>
      <c r="D1164" s="4" t="s">
        <v>22</v>
      </c>
      <c r="E1164" s="4" t="s">
        <v>2059</v>
      </c>
      <c r="F1164" s="4" t="s">
        <v>488</v>
      </c>
      <c r="G1164" s="4" t="s">
        <v>2060</v>
      </c>
      <c r="H1164" s="12" t="n">
        <v>1</v>
      </c>
      <c r="I1164" s="4" t="s">
        <v>408</v>
      </c>
      <c r="J1164" s="4" t="s">
        <v>409</v>
      </c>
      <c r="K1164" s="13" t="n">
        <v>35</v>
      </c>
      <c r="L1164" s="6" t="n">
        <f aca="false">H1164*K1164</f>
        <v>35</v>
      </c>
      <c r="M1164" s="4" t="s">
        <v>371</v>
      </c>
    </row>
    <row r="1165" customFormat="false" ht="15" hidden="false" customHeight="false" outlineLevel="0" collapsed="false">
      <c r="A1165" s="4" t="s">
        <v>203</v>
      </c>
      <c r="B1165" s="5" t="s">
        <v>208</v>
      </c>
      <c r="C1165" s="5" t="s">
        <v>209</v>
      </c>
      <c r="D1165" s="4" t="s">
        <v>22</v>
      </c>
      <c r="E1165" s="4" t="s">
        <v>2061</v>
      </c>
      <c r="F1165" s="4" t="s">
        <v>488</v>
      </c>
      <c r="G1165" s="4" t="s">
        <v>2062</v>
      </c>
      <c r="H1165" s="12" t="n">
        <v>1</v>
      </c>
      <c r="I1165" s="4" t="s">
        <v>408</v>
      </c>
      <c r="J1165" s="4" t="s">
        <v>503</v>
      </c>
      <c r="K1165" s="13" t="n">
        <v>80</v>
      </c>
      <c r="L1165" s="6" t="n">
        <f aca="false">H1165*K1165</f>
        <v>80</v>
      </c>
      <c r="M1165" s="4" t="s">
        <v>371</v>
      </c>
    </row>
    <row r="1166" customFormat="false" ht="15" hidden="false" customHeight="false" outlineLevel="0" collapsed="false">
      <c r="A1166" s="4" t="s">
        <v>203</v>
      </c>
      <c r="B1166" s="5" t="s">
        <v>208</v>
      </c>
      <c r="C1166" s="5" t="s">
        <v>209</v>
      </c>
      <c r="D1166" s="4" t="s">
        <v>22</v>
      </c>
      <c r="E1166" s="4" t="s">
        <v>2063</v>
      </c>
      <c r="F1166" s="4" t="s">
        <v>488</v>
      </c>
      <c r="G1166" s="4" t="s">
        <v>2064</v>
      </c>
      <c r="H1166" s="12" t="n">
        <v>1</v>
      </c>
      <c r="I1166" s="4" t="s">
        <v>408</v>
      </c>
      <c r="J1166" s="4" t="s">
        <v>506</v>
      </c>
      <c r="K1166" s="13" t="n">
        <v>80</v>
      </c>
      <c r="L1166" s="6" t="n">
        <f aca="false">H1166*K1166</f>
        <v>80</v>
      </c>
      <c r="M1166" s="4" t="s">
        <v>371</v>
      </c>
    </row>
    <row r="1167" customFormat="false" ht="15" hidden="false" customHeight="false" outlineLevel="0" collapsed="false">
      <c r="A1167" s="4" t="s">
        <v>203</v>
      </c>
      <c r="B1167" s="5" t="s">
        <v>208</v>
      </c>
      <c r="C1167" s="5" t="s">
        <v>209</v>
      </c>
      <c r="D1167" s="4" t="s">
        <v>22</v>
      </c>
      <c r="E1167" s="4" t="s">
        <v>2065</v>
      </c>
      <c r="F1167" s="4" t="s">
        <v>488</v>
      </c>
      <c r="G1167" s="4" t="s">
        <v>2066</v>
      </c>
      <c r="H1167" s="12" t="n">
        <v>1</v>
      </c>
      <c r="I1167" s="4" t="s">
        <v>408</v>
      </c>
      <c r="J1167" s="4" t="s">
        <v>503</v>
      </c>
      <c r="K1167" s="13" t="n">
        <v>180</v>
      </c>
      <c r="L1167" s="6" t="n">
        <f aca="false">H1167*K1167</f>
        <v>180</v>
      </c>
      <c r="M1167" s="4" t="s">
        <v>371</v>
      </c>
    </row>
    <row r="1168" customFormat="false" ht="15" hidden="false" customHeight="false" outlineLevel="0" collapsed="false">
      <c r="A1168" s="4" t="s">
        <v>203</v>
      </c>
      <c r="B1168" s="5" t="s">
        <v>208</v>
      </c>
      <c r="C1168" s="5" t="s">
        <v>209</v>
      </c>
      <c r="D1168" s="4" t="s">
        <v>22</v>
      </c>
      <c r="E1168" s="4" t="s">
        <v>2067</v>
      </c>
      <c r="F1168" s="4" t="s">
        <v>488</v>
      </c>
      <c r="G1168" s="4" t="s">
        <v>2068</v>
      </c>
      <c r="H1168" s="12" t="n">
        <v>1</v>
      </c>
      <c r="I1168" s="4" t="s">
        <v>408</v>
      </c>
      <c r="J1168" s="4" t="s">
        <v>807</v>
      </c>
      <c r="K1168" s="13" t="n">
        <v>120</v>
      </c>
      <c r="L1168" s="6" t="n">
        <f aca="false">H1168*K1168</f>
        <v>120</v>
      </c>
      <c r="M1168" s="4" t="s">
        <v>371</v>
      </c>
    </row>
    <row r="1169" customFormat="false" ht="15" hidden="false" customHeight="false" outlineLevel="0" collapsed="false">
      <c r="A1169" s="4" t="s">
        <v>203</v>
      </c>
      <c r="B1169" s="5" t="s">
        <v>208</v>
      </c>
      <c r="C1169" s="5" t="s">
        <v>209</v>
      </c>
      <c r="D1169" s="4" t="s">
        <v>22</v>
      </c>
      <c r="E1169" s="4" t="s">
        <v>2069</v>
      </c>
      <c r="F1169" s="4" t="s">
        <v>488</v>
      </c>
      <c r="G1169" s="4" t="s">
        <v>2070</v>
      </c>
      <c r="H1169" s="12" t="n">
        <v>1</v>
      </c>
      <c r="I1169" s="4" t="s">
        <v>408</v>
      </c>
      <c r="J1169" s="4" t="s">
        <v>503</v>
      </c>
      <c r="K1169" s="13" t="n">
        <v>45</v>
      </c>
      <c r="L1169" s="6" t="n">
        <f aca="false">H1169*K1169</f>
        <v>45</v>
      </c>
      <c r="M1169" s="4" t="s">
        <v>371</v>
      </c>
    </row>
    <row r="1170" customFormat="false" ht="15" hidden="false" customHeight="false" outlineLevel="0" collapsed="false">
      <c r="A1170" s="4" t="s">
        <v>203</v>
      </c>
      <c r="B1170" s="5" t="s">
        <v>208</v>
      </c>
      <c r="C1170" s="5" t="s">
        <v>209</v>
      </c>
      <c r="D1170" s="4" t="s">
        <v>22</v>
      </c>
      <c r="E1170" s="4" t="s">
        <v>2071</v>
      </c>
      <c r="F1170" s="4" t="s">
        <v>488</v>
      </c>
      <c r="G1170" s="4" t="s">
        <v>2072</v>
      </c>
      <c r="H1170" s="12" t="n">
        <v>1</v>
      </c>
      <c r="I1170" s="4" t="s">
        <v>408</v>
      </c>
      <c r="J1170" s="4" t="s">
        <v>807</v>
      </c>
      <c r="K1170" s="13" t="n">
        <v>80</v>
      </c>
      <c r="L1170" s="6" t="n">
        <f aca="false">H1170*K1170</f>
        <v>80</v>
      </c>
      <c r="M1170" s="4" t="s">
        <v>371</v>
      </c>
    </row>
    <row r="1171" customFormat="false" ht="15" hidden="false" customHeight="false" outlineLevel="0" collapsed="false">
      <c r="A1171" s="4" t="s">
        <v>203</v>
      </c>
      <c r="B1171" s="5" t="s">
        <v>208</v>
      </c>
      <c r="C1171" s="5" t="s">
        <v>209</v>
      </c>
      <c r="D1171" s="4" t="s">
        <v>22</v>
      </c>
      <c r="E1171" s="4" t="s">
        <v>2073</v>
      </c>
      <c r="F1171" s="4" t="s">
        <v>488</v>
      </c>
      <c r="G1171" s="4" t="s">
        <v>2074</v>
      </c>
      <c r="H1171" s="12" t="n">
        <v>1</v>
      </c>
      <c r="I1171" s="4" t="s">
        <v>408</v>
      </c>
      <c r="J1171" s="4" t="s">
        <v>503</v>
      </c>
      <c r="K1171" s="13" t="n">
        <v>450</v>
      </c>
      <c r="L1171" s="6" t="n">
        <f aca="false">H1171*K1171</f>
        <v>450</v>
      </c>
      <c r="M1171" s="4" t="s">
        <v>371</v>
      </c>
    </row>
    <row r="1172" customFormat="false" ht="15" hidden="false" customHeight="false" outlineLevel="0" collapsed="false">
      <c r="A1172" s="4" t="s">
        <v>203</v>
      </c>
      <c r="B1172" s="5" t="s">
        <v>208</v>
      </c>
      <c r="C1172" s="5" t="s">
        <v>209</v>
      </c>
      <c r="D1172" s="4" t="s">
        <v>22</v>
      </c>
      <c r="E1172" s="4" t="s">
        <v>2075</v>
      </c>
      <c r="F1172" s="4" t="s">
        <v>488</v>
      </c>
      <c r="G1172" s="4" t="s">
        <v>2076</v>
      </c>
      <c r="H1172" s="12" t="n">
        <v>1</v>
      </c>
      <c r="I1172" s="4" t="s">
        <v>408</v>
      </c>
      <c r="J1172" s="4" t="s">
        <v>503</v>
      </c>
      <c r="K1172" s="13" t="n">
        <v>80</v>
      </c>
      <c r="L1172" s="6" t="n">
        <f aca="false">H1172*K1172</f>
        <v>80</v>
      </c>
      <c r="M1172" s="4" t="s">
        <v>371</v>
      </c>
    </row>
    <row r="1173" customFormat="false" ht="15" hidden="false" customHeight="false" outlineLevel="0" collapsed="false">
      <c r="A1173" s="4" t="s">
        <v>203</v>
      </c>
      <c r="B1173" s="5" t="s">
        <v>208</v>
      </c>
      <c r="C1173" s="5" t="s">
        <v>209</v>
      </c>
      <c r="D1173" s="4" t="s">
        <v>22</v>
      </c>
      <c r="E1173" s="4" t="s">
        <v>2077</v>
      </c>
      <c r="F1173" s="4" t="s">
        <v>488</v>
      </c>
      <c r="G1173" s="4" t="s">
        <v>2078</v>
      </c>
      <c r="H1173" s="12" t="n">
        <v>1</v>
      </c>
      <c r="I1173" s="4" t="s">
        <v>408</v>
      </c>
      <c r="J1173" s="4" t="s">
        <v>503</v>
      </c>
      <c r="K1173" s="13" t="n">
        <v>120</v>
      </c>
      <c r="L1173" s="6" t="n">
        <f aca="false">H1173*K1173</f>
        <v>120</v>
      </c>
      <c r="M1173" s="4" t="s">
        <v>371</v>
      </c>
    </row>
    <row r="1174" customFormat="false" ht="15" hidden="false" customHeight="false" outlineLevel="0" collapsed="false">
      <c r="A1174" s="4" t="s">
        <v>203</v>
      </c>
      <c r="B1174" s="5" t="s">
        <v>208</v>
      </c>
      <c r="C1174" s="5" t="s">
        <v>209</v>
      </c>
      <c r="D1174" s="4" t="s">
        <v>22</v>
      </c>
      <c r="E1174" s="4" t="s">
        <v>2079</v>
      </c>
      <c r="F1174" s="4" t="s">
        <v>488</v>
      </c>
      <c r="G1174" s="4" t="s">
        <v>2080</v>
      </c>
      <c r="H1174" s="12" t="n">
        <v>1</v>
      </c>
      <c r="I1174" s="4" t="s">
        <v>408</v>
      </c>
      <c r="J1174" s="4" t="s">
        <v>409</v>
      </c>
      <c r="K1174" s="13" t="n">
        <v>35</v>
      </c>
      <c r="L1174" s="6" t="n">
        <f aca="false">H1174*K1174</f>
        <v>35</v>
      </c>
      <c r="M1174" s="4" t="s">
        <v>371</v>
      </c>
    </row>
    <row r="1175" customFormat="false" ht="15" hidden="false" customHeight="false" outlineLevel="0" collapsed="false">
      <c r="A1175" s="4" t="s">
        <v>203</v>
      </c>
      <c r="B1175" s="5" t="s">
        <v>208</v>
      </c>
      <c r="C1175" s="5" t="s">
        <v>209</v>
      </c>
      <c r="D1175" s="4" t="s">
        <v>22</v>
      </c>
      <c r="E1175" s="4" t="s">
        <v>2081</v>
      </c>
      <c r="F1175" s="4" t="s">
        <v>488</v>
      </c>
      <c r="G1175" s="4" t="s">
        <v>2082</v>
      </c>
      <c r="H1175" s="12" t="n">
        <v>1</v>
      </c>
      <c r="I1175" s="4" t="s">
        <v>408</v>
      </c>
      <c r="J1175" s="4" t="s">
        <v>409</v>
      </c>
      <c r="K1175" s="13" t="n">
        <v>120</v>
      </c>
      <c r="L1175" s="6" t="n">
        <f aca="false">H1175*K1175</f>
        <v>120</v>
      </c>
      <c r="M1175" s="4" t="s">
        <v>371</v>
      </c>
    </row>
    <row r="1176" customFormat="false" ht="15" hidden="false" customHeight="false" outlineLevel="0" collapsed="false">
      <c r="A1176" s="4" t="s">
        <v>203</v>
      </c>
      <c r="B1176" s="5" t="s">
        <v>208</v>
      </c>
      <c r="C1176" s="5" t="s">
        <v>209</v>
      </c>
      <c r="D1176" s="4" t="s">
        <v>22</v>
      </c>
      <c r="E1176" s="4" t="s">
        <v>2083</v>
      </c>
      <c r="F1176" s="4" t="s">
        <v>488</v>
      </c>
      <c r="G1176" s="4" t="s">
        <v>2084</v>
      </c>
      <c r="H1176" s="12" t="n">
        <v>1</v>
      </c>
      <c r="I1176" s="4" t="s">
        <v>408</v>
      </c>
      <c r="J1176" s="4" t="s">
        <v>506</v>
      </c>
      <c r="K1176" s="13" t="n">
        <v>150</v>
      </c>
      <c r="L1176" s="6" t="n">
        <f aca="false">H1176*K1176</f>
        <v>150</v>
      </c>
      <c r="M1176" s="4" t="s">
        <v>371</v>
      </c>
    </row>
    <row r="1177" customFormat="false" ht="15" hidden="false" customHeight="false" outlineLevel="0" collapsed="false">
      <c r="A1177" s="4" t="s">
        <v>203</v>
      </c>
      <c r="B1177" s="5" t="s">
        <v>208</v>
      </c>
      <c r="C1177" s="5" t="s">
        <v>209</v>
      </c>
      <c r="D1177" s="4" t="s">
        <v>22</v>
      </c>
      <c r="E1177" s="4" t="s">
        <v>2085</v>
      </c>
      <c r="F1177" s="4" t="s">
        <v>488</v>
      </c>
      <c r="G1177" s="4" t="s">
        <v>2086</v>
      </c>
      <c r="H1177" s="12" t="n">
        <v>1</v>
      </c>
      <c r="I1177" s="4" t="s">
        <v>408</v>
      </c>
      <c r="J1177" s="4" t="s">
        <v>409</v>
      </c>
      <c r="K1177" s="13" t="n">
        <v>25</v>
      </c>
      <c r="L1177" s="6" t="n">
        <f aca="false">H1177*K1177</f>
        <v>25</v>
      </c>
      <c r="M1177" s="4" t="s">
        <v>371</v>
      </c>
    </row>
    <row r="1178" customFormat="false" ht="15" hidden="false" customHeight="false" outlineLevel="0" collapsed="false">
      <c r="A1178" s="4" t="s">
        <v>203</v>
      </c>
      <c r="B1178" s="5" t="s">
        <v>208</v>
      </c>
      <c r="C1178" s="5" t="s">
        <v>209</v>
      </c>
      <c r="D1178" s="4" t="s">
        <v>22</v>
      </c>
      <c r="E1178" s="4" t="s">
        <v>2087</v>
      </c>
      <c r="F1178" s="4" t="s">
        <v>488</v>
      </c>
      <c r="G1178" s="4" t="s">
        <v>2088</v>
      </c>
      <c r="H1178" s="12" t="n">
        <v>1</v>
      </c>
      <c r="I1178" s="4" t="s">
        <v>408</v>
      </c>
      <c r="J1178" s="4" t="s">
        <v>409</v>
      </c>
      <c r="K1178" s="13" t="n">
        <v>80</v>
      </c>
      <c r="L1178" s="6" t="n">
        <f aca="false">H1178*K1178</f>
        <v>80</v>
      </c>
      <c r="M1178" s="4" t="s">
        <v>371</v>
      </c>
    </row>
    <row r="1179" customFormat="false" ht="15" hidden="false" customHeight="false" outlineLevel="0" collapsed="false">
      <c r="A1179" s="4" t="s">
        <v>203</v>
      </c>
      <c r="B1179" s="5" t="s">
        <v>208</v>
      </c>
      <c r="C1179" s="5" t="s">
        <v>209</v>
      </c>
      <c r="D1179" s="4" t="s">
        <v>22</v>
      </c>
      <c r="E1179" s="4" t="s">
        <v>2089</v>
      </c>
      <c r="F1179" s="4" t="s">
        <v>488</v>
      </c>
      <c r="G1179" s="4" t="s">
        <v>2090</v>
      </c>
      <c r="H1179" s="12" t="n">
        <v>1</v>
      </c>
      <c r="I1179" s="4" t="s">
        <v>408</v>
      </c>
      <c r="J1179" s="4" t="s">
        <v>506</v>
      </c>
      <c r="K1179" s="13" t="n">
        <v>180</v>
      </c>
      <c r="L1179" s="6" t="n">
        <f aca="false">H1179*K1179</f>
        <v>180</v>
      </c>
      <c r="M1179" s="4" t="s">
        <v>371</v>
      </c>
    </row>
    <row r="1180" customFormat="false" ht="15" hidden="false" customHeight="false" outlineLevel="0" collapsed="false">
      <c r="A1180" s="4" t="s">
        <v>203</v>
      </c>
      <c r="B1180" s="5" t="s">
        <v>208</v>
      </c>
      <c r="C1180" s="5" t="s">
        <v>209</v>
      </c>
      <c r="D1180" s="4" t="s">
        <v>22</v>
      </c>
      <c r="E1180" s="4" t="s">
        <v>2091</v>
      </c>
      <c r="F1180" s="4" t="s">
        <v>470</v>
      </c>
      <c r="G1180" s="4" t="s">
        <v>2092</v>
      </c>
      <c r="H1180" s="12" t="n">
        <v>1</v>
      </c>
      <c r="I1180" s="4" t="s">
        <v>408</v>
      </c>
      <c r="J1180" s="4" t="s">
        <v>409</v>
      </c>
      <c r="K1180" s="13" t="n">
        <v>450</v>
      </c>
      <c r="L1180" s="6" t="n">
        <f aca="false">H1180*K1180</f>
        <v>450</v>
      </c>
      <c r="M1180" s="4" t="s">
        <v>371</v>
      </c>
    </row>
    <row r="1181" customFormat="false" ht="15" hidden="false" customHeight="false" outlineLevel="0" collapsed="false">
      <c r="A1181" s="4" t="s">
        <v>203</v>
      </c>
      <c r="B1181" s="5" t="s">
        <v>208</v>
      </c>
      <c r="C1181" s="5" t="s">
        <v>209</v>
      </c>
      <c r="D1181" s="4" t="s">
        <v>22</v>
      </c>
      <c r="E1181" s="4" t="s">
        <v>2093</v>
      </c>
      <c r="F1181" s="4" t="s">
        <v>470</v>
      </c>
      <c r="G1181" s="4" t="s">
        <v>2094</v>
      </c>
      <c r="H1181" s="12" t="n">
        <v>1</v>
      </c>
      <c r="I1181" s="4" t="s">
        <v>408</v>
      </c>
      <c r="J1181" s="4" t="s">
        <v>416</v>
      </c>
      <c r="K1181" s="13" t="n">
        <v>850</v>
      </c>
      <c r="L1181" s="6" t="n">
        <f aca="false">H1181*K1181</f>
        <v>850</v>
      </c>
      <c r="M1181" s="4" t="s">
        <v>371</v>
      </c>
    </row>
    <row r="1182" customFormat="false" ht="15" hidden="false" customHeight="false" outlineLevel="0" collapsed="false">
      <c r="A1182" s="4" t="s">
        <v>203</v>
      </c>
      <c r="B1182" s="5" t="s">
        <v>208</v>
      </c>
      <c r="C1182" s="5" t="s">
        <v>209</v>
      </c>
      <c r="D1182" s="4" t="s">
        <v>22</v>
      </c>
      <c r="E1182" s="4" t="s">
        <v>2095</v>
      </c>
      <c r="F1182" s="4" t="s">
        <v>470</v>
      </c>
      <c r="G1182" s="4" t="s">
        <v>2096</v>
      </c>
      <c r="H1182" s="12" t="n">
        <v>1</v>
      </c>
      <c r="I1182" s="4" t="s">
        <v>408</v>
      </c>
      <c r="J1182" s="4" t="s">
        <v>409</v>
      </c>
      <c r="K1182" s="13" t="n">
        <v>850</v>
      </c>
      <c r="L1182" s="6" t="n">
        <f aca="false">H1182*K1182</f>
        <v>850</v>
      </c>
      <c r="M1182" s="4" t="s">
        <v>371</v>
      </c>
    </row>
    <row r="1183" customFormat="false" ht="15" hidden="false" customHeight="false" outlineLevel="0" collapsed="false">
      <c r="A1183" s="4" t="s">
        <v>203</v>
      </c>
      <c r="B1183" s="5" t="s">
        <v>208</v>
      </c>
      <c r="C1183" s="5" t="s">
        <v>209</v>
      </c>
      <c r="D1183" s="4" t="s">
        <v>22</v>
      </c>
      <c r="E1183" s="4" t="s">
        <v>2097</v>
      </c>
      <c r="F1183" s="4" t="s">
        <v>470</v>
      </c>
      <c r="G1183" s="4" t="s">
        <v>2098</v>
      </c>
      <c r="H1183" s="12" t="n">
        <v>1</v>
      </c>
      <c r="I1183" s="4" t="s">
        <v>408</v>
      </c>
      <c r="J1183" s="4" t="s">
        <v>416</v>
      </c>
      <c r="K1183" s="13" t="n">
        <v>1800</v>
      </c>
      <c r="L1183" s="6" t="n">
        <f aca="false">H1183*K1183</f>
        <v>1800</v>
      </c>
      <c r="M1183" s="14" t="s">
        <v>410</v>
      </c>
    </row>
    <row r="1184" customFormat="false" ht="15" hidden="false" customHeight="false" outlineLevel="0" collapsed="false">
      <c r="A1184" s="4" t="s">
        <v>203</v>
      </c>
      <c r="B1184" s="5" t="s">
        <v>208</v>
      </c>
      <c r="C1184" s="5" t="s">
        <v>209</v>
      </c>
      <c r="D1184" s="4" t="s">
        <v>22</v>
      </c>
      <c r="E1184" s="4" t="s">
        <v>2099</v>
      </c>
      <c r="F1184" s="4" t="s">
        <v>470</v>
      </c>
      <c r="G1184" s="4" t="s">
        <v>2100</v>
      </c>
      <c r="H1184" s="12" t="n">
        <v>1</v>
      </c>
      <c r="I1184" s="4" t="s">
        <v>408</v>
      </c>
      <c r="J1184" s="4" t="s">
        <v>409</v>
      </c>
      <c r="K1184" s="13" t="n">
        <v>450</v>
      </c>
      <c r="L1184" s="6" t="n">
        <f aca="false">H1184*K1184</f>
        <v>450</v>
      </c>
      <c r="M1184" s="14" t="s">
        <v>410</v>
      </c>
    </row>
    <row r="1185" customFormat="false" ht="15" hidden="false" customHeight="false" outlineLevel="0" collapsed="false">
      <c r="A1185" s="4" t="s">
        <v>203</v>
      </c>
      <c r="B1185" s="5" t="s">
        <v>208</v>
      </c>
      <c r="C1185" s="5" t="s">
        <v>209</v>
      </c>
      <c r="D1185" s="4" t="s">
        <v>22</v>
      </c>
      <c r="E1185" s="4" t="s">
        <v>2101</v>
      </c>
      <c r="F1185" s="4" t="s">
        <v>470</v>
      </c>
      <c r="G1185" s="4" t="s">
        <v>2102</v>
      </c>
      <c r="H1185" s="12" t="n">
        <v>1</v>
      </c>
      <c r="I1185" s="4" t="s">
        <v>408</v>
      </c>
      <c r="J1185" s="4" t="s">
        <v>416</v>
      </c>
      <c r="K1185" s="13" t="n">
        <v>8500</v>
      </c>
      <c r="L1185" s="6" t="n">
        <f aca="false">H1185*K1185</f>
        <v>8500</v>
      </c>
      <c r="M1185" s="4" t="s">
        <v>371</v>
      </c>
    </row>
    <row r="1186" customFormat="false" ht="15" hidden="false" customHeight="false" outlineLevel="0" collapsed="false">
      <c r="A1186" s="4" t="s">
        <v>203</v>
      </c>
      <c r="B1186" s="5" t="s">
        <v>208</v>
      </c>
      <c r="C1186" s="5" t="s">
        <v>209</v>
      </c>
      <c r="D1186" s="4" t="s">
        <v>22</v>
      </c>
      <c r="E1186" s="4" t="s">
        <v>2103</v>
      </c>
      <c r="F1186" s="4" t="s">
        <v>470</v>
      </c>
      <c r="G1186" s="4" t="s">
        <v>2104</v>
      </c>
      <c r="H1186" s="12" t="n">
        <v>1</v>
      </c>
      <c r="I1186" s="4" t="s">
        <v>408</v>
      </c>
      <c r="J1186" s="4" t="s">
        <v>409</v>
      </c>
      <c r="K1186" s="13" t="n">
        <v>150</v>
      </c>
      <c r="L1186" s="6" t="n">
        <f aca="false">H1186*K1186</f>
        <v>150</v>
      </c>
      <c r="M1186" s="14" t="s">
        <v>410</v>
      </c>
    </row>
    <row r="1187" customFormat="false" ht="15" hidden="false" customHeight="false" outlineLevel="0" collapsed="false">
      <c r="A1187" s="4" t="s">
        <v>203</v>
      </c>
      <c r="B1187" s="5" t="s">
        <v>208</v>
      </c>
      <c r="C1187" s="5" t="s">
        <v>209</v>
      </c>
      <c r="D1187" s="4" t="s">
        <v>22</v>
      </c>
      <c r="E1187" s="4" t="s">
        <v>2105</v>
      </c>
      <c r="F1187" s="4" t="s">
        <v>470</v>
      </c>
      <c r="G1187" s="4" t="s">
        <v>2106</v>
      </c>
      <c r="H1187" s="12" t="n">
        <v>1</v>
      </c>
      <c r="I1187" s="4" t="s">
        <v>408</v>
      </c>
      <c r="J1187" s="4" t="s">
        <v>409</v>
      </c>
      <c r="K1187" s="13" t="n">
        <v>80</v>
      </c>
      <c r="L1187" s="6" t="n">
        <f aca="false">H1187*K1187</f>
        <v>80</v>
      </c>
      <c r="M1187" s="14" t="s">
        <v>410</v>
      </c>
    </row>
    <row r="1188" customFormat="false" ht="15" hidden="false" customHeight="false" outlineLevel="0" collapsed="false">
      <c r="A1188" s="4" t="s">
        <v>203</v>
      </c>
      <c r="B1188" s="5" t="s">
        <v>208</v>
      </c>
      <c r="C1188" s="5" t="s">
        <v>209</v>
      </c>
      <c r="D1188" s="4" t="s">
        <v>22</v>
      </c>
      <c r="E1188" s="4" t="s">
        <v>2107</v>
      </c>
      <c r="F1188" s="4" t="s">
        <v>470</v>
      </c>
      <c r="G1188" s="4" t="s">
        <v>2108</v>
      </c>
      <c r="H1188" s="12" t="n">
        <v>1</v>
      </c>
      <c r="I1188" s="4" t="s">
        <v>408</v>
      </c>
      <c r="J1188" s="4" t="s">
        <v>409</v>
      </c>
      <c r="K1188" s="13" t="n">
        <v>120</v>
      </c>
      <c r="L1188" s="6" t="n">
        <f aca="false">H1188*K1188</f>
        <v>120</v>
      </c>
      <c r="M1188" s="14" t="s">
        <v>410</v>
      </c>
    </row>
    <row r="1189" customFormat="false" ht="15" hidden="false" customHeight="false" outlineLevel="0" collapsed="false">
      <c r="A1189" s="4" t="s">
        <v>203</v>
      </c>
      <c r="B1189" s="5" t="s">
        <v>208</v>
      </c>
      <c r="C1189" s="5" t="s">
        <v>209</v>
      </c>
      <c r="D1189" s="4" t="s">
        <v>22</v>
      </c>
      <c r="E1189" s="4" t="s">
        <v>2109</v>
      </c>
      <c r="F1189" s="4" t="s">
        <v>470</v>
      </c>
      <c r="G1189" s="4" t="s">
        <v>2110</v>
      </c>
      <c r="H1189" s="12" t="n">
        <v>1</v>
      </c>
      <c r="I1189" s="4" t="s">
        <v>408</v>
      </c>
      <c r="J1189" s="4" t="s">
        <v>409</v>
      </c>
      <c r="K1189" s="13" t="n">
        <v>80</v>
      </c>
      <c r="L1189" s="6" t="n">
        <f aca="false">H1189*K1189</f>
        <v>80</v>
      </c>
      <c r="M1189" s="14" t="s">
        <v>410</v>
      </c>
    </row>
    <row r="1190" customFormat="false" ht="15" hidden="false" customHeight="false" outlineLevel="0" collapsed="false">
      <c r="A1190" s="4" t="s">
        <v>203</v>
      </c>
      <c r="B1190" s="5" t="s">
        <v>208</v>
      </c>
      <c r="C1190" s="5" t="s">
        <v>209</v>
      </c>
      <c r="D1190" s="4" t="s">
        <v>22</v>
      </c>
      <c r="E1190" s="4" t="s">
        <v>2111</v>
      </c>
      <c r="F1190" s="4" t="s">
        <v>470</v>
      </c>
      <c r="G1190" s="4" t="s">
        <v>2112</v>
      </c>
      <c r="H1190" s="12" t="n">
        <v>1</v>
      </c>
      <c r="I1190" s="4" t="s">
        <v>408</v>
      </c>
      <c r="J1190" s="4" t="s">
        <v>409</v>
      </c>
      <c r="K1190" s="13" t="n">
        <v>350</v>
      </c>
      <c r="L1190" s="6" t="n">
        <f aca="false">H1190*K1190</f>
        <v>350</v>
      </c>
      <c r="M1190" s="14" t="s">
        <v>410</v>
      </c>
    </row>
    <row r="1191" customFormat="false" ht="15" hidden="false" customHeight="false" outlineLevel="0" collapsed="false">
      <c r="A1191" s="4" t="s">
        <v>203</v>
      </c>
      <c r="B1191" s="5" t="s">
        <v>208</v>
      </c>
      <c r="C1191" s="5" t="s">
        <v>209</v>
      </c>
      <c r="D1191" s="4" t="s">
        <v>22</v>
      </c>
      <c r="E1191" s="4" t="s">
        <v>2113</v>
      </c>
      <c r="F1191" s="4" t="s">
        <v>470</v>
      </c>
      <c r="G1191" s="4" t="s">
        <v>2114</v>
      </c>
      <c r="H1191" s="12" t="n">
        <v>1</v>
      </c>
      <c r="I1191" s="4" t="s">
        <v>408</v>
      </c>
      <c r="J1191" s="4" t="s">
        <v>409</v>
      </c>
      <c r="K1191" s="13" t="n">
        <v>18000</v>
      </c>
      <c r="L1191" s="6" t="n">
        <f aca="false">H1191*K1191</f>
        <v>18000</v>
      </c>
      <c r="M1191" s="14" t="s">
        <v>410</v>
      </c>
    </row>
    <row r="1192" customFormat="false" ht="15" hidden="false" customHeight="false" outlineLevel="0" collapsed="false">
      <c r="A1192" s="4" t="s">
        <v>203</v>
      </c>
      <c r="B1192" s="5" t="s">
        <v>208</v>
      </c>
      <c r="C1192" s="5" t="s">
        <v>209</v>
      </c>
      <c r="D1192" s="4" t="s">
        <v>22</v>
      </c>
      <c r="E1192" s="4" t="s">
        <v>2115</v>
      </c>
      <c r="F1192" s="4" t="s">
        <v>470</v>
      </c>
      <c r="G1192" s="4" t="s">
        <v>2116</v>
      </c>
      <c r="H1192" s="12" t="n">
        <v>1</v>
      </c>
      <c r="I1192" s="4" t="s">
        <v>408</v>
      </c>
      <c r="J1192" s="4" t="s">
        <v>409</v>
      </c>
      <c r="K1192" s="13" t="n">
        <v>450</v>
      </c>
      <c r="L1192" s="6" t="n">
        <f aca="false">H1192*K1192</f>
        <v>450</v>
      </c>
      <c r="M1192" s="14" t="s">
        <v>410</v>
      </c>
    </row>
    <row r="1193" customFormat="false" ht="15" hidden="false" customHeight="false" outlineLevel="0" collapsed="false">
      <c r="A1193" s="4" t="s">
        <v>203</v>
      </c>
      <c r="B1193" s="5" t="s">
        <v>208</v>
      </c>
      <c r="C1193" s="5" t="s">
        <v>209</v>
      </c>
      <c r="D1193" s="4" t="s">
        <v>22</v>
      </c>
      <c r="E1193" s="4" t="s">
        <v>2117</v>
      </c>
      <c r="F1193" s="4" t="s">
        <v>470</v>
      </c>
      <c r="G1193" s="4" t="s">
        <v>2118</v>
      </c>
      <c r="H1193" s="12" t="n">
        <v>1</v>
      </c>
      <c r="I1193" s="4" t="s">
        <v>408</v>
      </c>
      <c r="J1193" s="4" t="s">
        <v>409</v>
      </c>
      <c r="K1193" s="13" t="n">
        <v>250</v>
      </c>
      <c r="L1193" s="6" t="n">
        <f aca="false">H1193*K1193</f>
        <v>250</v>
      </c>
      <c r="M1193" s="4" t="s">
        <v>371</v>
      </c>
    </row>
    <row r="1194" customFormat="false" ht="15" hidden="false" customHeight="false" outlineLevel="0" collapsed="false">
      <c r="A1194" s="4" t="s">
        <v>203</v>
      </c>
      <c r="B1194" s="5" t="s">
        <v>208</v>
      </c>
      <c r="C1194" s="5" t="s">
        <v>209</v>
      </c>
      <c r="D1194" s="4" t="s">
        <v>22</v>
      </c>
      <c r="E1194" s="4" t="s">
        <v>2119</v>
      </c>
      <c r="F1194" s="4" t="s">
        <v>470</v>
      </c>
      <c r="G1194" s="4" t="s">
        <v>2120</v>
      </c>
      <c r="H1194" s="12" t="n">
        <v>1</v>
      </c>
      <c r="I1194" s="4" t="s">
        <v>408</v>
      </c>
      <c r="J1194" s="4" t="s">
        <v>409</v>
      </c>
      <c r="K1194" s="13" t="n">
        <v>1800</v>
      </c>
      <c r="L1194" s="6" t="n">
        <f aca="false">H1194*K1194</f>
        <v>1800</v>
      </c>
      <c r="M1194" s="4" t="s">
        <v>371</v>
      </c>
    </row>
    <row r="1195" customFormat="false" ht="15" hidden="false" customHeight="false" outlineLevel="0" collapsed="false">
      <c r="A1195" s="4" t="s">
        <v>203</v>
      </c>
      <c r="B1195" s="5" t="s">
        <v>208</v>
      </c>
      <c r="C1195" s="5" t="s">
        <v>209</v>
      </c>
      <c r="D1195" s="4" t="s">
        <v>22</v>
      </c>
      <c r="E1195" s="4" t="s">
        <v>2121</v>
      </c>
      <c r="F1195" s="4" t="s">
        <v>470</v>
      </c>
      <c r="G1195" s="4" t="s">
        <v>2122</v>
      </c>
      <c r="H1195" s="12" t="n">
        <v>1</v>
      </c>
      <c r="I1195" s="4" t="s">
        <v>408</v>
      </c>
      <c r="J1195" s="4" t="s">
        <v>409</v>
      </c>
      <c r="K1195" s="13" t="n">
        <v>450</v>
      </c>
      <c r="L1195" s="6" t="n">
        <f aca="false">H1195*K1195</f>
        <v>450</v>
      </c>
      <c r="M1195" s="4" t="s">
        <v>371</v>
      </c>
    </row>
    <row r="1196" customFormat="false" ht="15" hidden="false" customHeight="false" outlineLevel="0" collapsed="false">
      <c r="A1196" s="4" t="s">
        <v>203</v>
      </c>
      <c r="B1196" s="5" t="s">
        <v>208</v>
      </c>
      <c r="C1196" s="5" t="s">
        <v>209</v>
      </c>
      <c r="D1196" s="4" t="s">
        <v>22</v>
      </c>
      <c r="E1196" s="4" t="s">
        <v>2123</v>
      </c>
      <c r="F1196" s="4" t="s">
        <v>470</v>
      </c>
      <c r="G1196" s="4" t="s">
        <v>2124</v>
      </c>
      <c r="H1196" s="12" t="n">
        <v>1</v>
      </c>
      <c r="I1196" s="4" t="s">
        <v>408</v>
      </c>
      <c r="J1196" s="4" t="s">
        <v>409</v>
      </c>
      <c r="K1196" s="13" t="n">
        <v>450</v>
      </c>
      <c r="L1196" s="6" t="n">
        <f aca="false">H1196*K1196</f>
        <v>450</v>
      </c>
      <c r="M1196" s="14" t="s">
        <v>410</v>
      </c>
    </row>
    <row r="1197" customFormat="false" ht="15" hidden="false" customHeight="false" outlineLevel="0" collapsed="false">
      <c r="A1197" s="4" t="s">
        <v>203</v>
      </c>
      <c r="B1197" s="5" t="s">
        <v>208</v>
      </c>
      <c r="C1197" s="5" t="s">
        <v>209</v>
      </c>
      <c r="D1197" s="4" t="s">
        <v>22</v>
      </c>
      <c r="E1197" s="4" t="s">
        <v>2125</v>
      </c>
      <c r="F1197" s="4" t="s">
        <v>470</v>
      </c>
      <c r="G1197" s="4" t="s">
        <v>2126</v>
      </c>
      <c r="H1197" s="12" t="n">
        <v>1</v>
      </c>
      <c r="I1197" s="4" t="s">
        <v>408</v>
      </c>
      <c r="J1197" s="4" t="s">
        <v>409</v>
      </c>
      <c r="K1197" s="13" t="n">
        <v>180</v>
      </c>
      <c r="L1197" s="6" t="n">
        <f aca="false">H1197*K1197</f>
        <v>180</v>
      </c>
      <c r="M1197" s="4" t="s">
        <v>371</v>
      </c>
    </row>
    <row r="1198" customFormat="false" ht="15" hidden="false" customHeight="false" outlineLevel="0" collapsed="false">
      <c r="A1198" s="4" t="s">
        <v>203</v>
      </c>
      <c r="B1198" s="5" t="s">
        <v>208</v>
      </c>
      <c r="C1198" s="5" t="s">
        <v>209</v>
      </c>
      <c r="D1198" s="4" t="s">
        <v>22</v>
      </c>
      <c r="E1198" s="4" t="s">
        <v>2127</v>
      </c>
      <c r="F1198" s="4" t="s">
        <v>470</v>
      </c>
      <c r="G1198" s="4" t="s">
        <v>2128</v>
      </c>
      <c r="H1198" s="12" t="n">
        <v>1</v>
      </c>
      <c r="I1198" s="4" t="s">
        <v>408</v>
      </c>
      <c r="J1198" s="4" t="s">
        <v>475</v>
      </c>
      <c r="K1198" s="13" t="n">
        <v>180</v>
      </c>
      <c r="L1198" s="6" t="n">
        <f aca="false">H1198*K1198</f>
        <v>180</v>
      </c>
      <c r="M1198" s="4" t="s">
        <v>371</v>
      </c>
    </row>
    <row r="1199" customFormat="false" ht="15" hidden="false" customHeight="false" outlineLevel="0" collapsed="false">
      <c r="A1199" s="4" t="s">
        <v>203</v>
      </c>
      <c r="B1199" s="5" t="s">
        <v>208</v>
      </c>
      <c r="C1199" s="5" t="s">
        <v>209</v>
      </c>
      <c r="D1199" s="4" t="s">
        <v>22</v>
      </c>
      <c r="E1199" s="4" t="s">
        <v>2129</v>
      </c>
      <c r="F1199" s="4" t="s">
        <v>470</v>
      </c>
      <c r="G1199" s="4" t="s">
        <v>2130</v>
      </c>
      <c r="H1199" s="12" t="n">
        <v>1</v>
      </c>
      <c r="I1199" s="4" t="s">
        <v>408</v>
      </c>
      <c r="J1199" s="4" t="s">
        <v>1080</v>
      </c>
      <c r="K1199" s="13" t="n">
        <v>450</v>
      </c>
      <c r="L1199" s="6" t="n">
        <f aca="false">H1199*K1199</f>
        <v>450</v>
      </c>
      <c r="M1199" s="4" t="s">
        <v>371</v>
      </c>
    </row>
    <row r="1200" customFormat="false" ht="15" hidden="false" customHeight="false" outlineLevel="0" collapsed="false">
      <c r="A1200" s="4" t="s">
        <v>203</v>
      </c>
      <c r="B1200" s="5" t="s">
        <v>208</v>
      </c>
      <c r="C1200" s="5" t="s">
        <v>209</v>
      </c>
      <c r="D1200" s="4" t="s">
        <v>22</v>
      </c>
      <c r="E1200" s="4" t="s">
        <v>2131</v>
      </c>
      <c r="F1200" s="4" t="s">
        <v>470</v>
      </c>
      <c r="G1200" s="4" t="s">
        <v>2132</v>
      </c>
      <c r="H1200" s="12" t="n">
        <v>1</v>
      </c>
      <c r="I1200" s="4" t="s">
        <v>408</v>
      </c>
      <c r="J1200" s="4" t="s">
        <v>409</v>
      </c>
      <c r="K1200" s="13" t="n">
        <v>350</v>
      </c>
      <c r="L1200" s="6" t="n">
        <f aca="false">H1200*K1200</f>
        <v>350</v>
      </c>
      <c r="M1200" s="4" t="s">
        <v>371</v>
      </c>
    </row>
    <row r="1201" customFormat="false" ht="15" hidden="false" customHeight="false" outlineLevel="0" collapsed="false">
      <c r="A1201" s="4" t="s">
        <v>221</v>
      </c>
      <c r="B1201" s="5" t="s">
        <v>222</v>
      </c>
      <c r="C1201" s="5" t="s">
        <v>223</v>
      </c>
      <c r="D1201" s="4" t="s">
        <v>22</v>
      </c>
      <c r="E1201" s="4" t="s">
        <v>2133</v>
      </c>
      <c r="F1201" s="4" t="s">
        <v>470</v>
      </c>
      <c r="G1201" s="4" t="s">
        <v>2134</v>
      </c>
      <c r="H1201" s="12" t="n">
        <v>30</v>
      </c>
      <c r="I1201" s="4" t="s">
        <v>474</v>
      </c>
      <c r="J1201" s="4" t="s">
        <v>409</v>
      </c>
      <c r="K1201" s="13" t="n">
        <v>55000</v>
      </c>
      <c r="L1201" s="6" t="n">
        <f aca="false">H1201*K1201</f>
        <v>1650000</v>
      </c>
      <c r="M1201" s="14" t="s">
        <v>410</v>
      </c>
    </row>
    <row r="1202" customFormat="false" ht="15" hidden="false" customHeight="false" outlineLevel="0" collapsed="false">
      <c r="A1202" s="4" t="s">
        <v>221</v>
      </c>
      <c r="B1202" s="5" t="s">
        <v>222</v>
      </c>
      <c r="C1202" s="5" t="s">
        <v>223</v>
      </c>
      <c r="D1202" s="4" t="s">
        <v>22</v>
      </c>
      <c r="E1202" s="4" t="s">
        <v>1616</v>
      </c>
      <c r="F1202" s="4" t="s">
        <v>470</v>
      </c>
      <c r="G1202" s="4" t="s">
        <v>1617</v>
      </c>
      <c r="H1202" s="12" t="n">
        <v>1</v>
      </c>
      <c r="I1202" s="4" t="s">
        <v>474</v>
      </c>
      <c r="J1202" s="4" t="s">
        <v>409</v>
      </c>
      <c r="K1202" s="13" t="n">
        <v>12000</v>
      </c>
      <c r="L1202" s="6" t="n">
        <f aca="false">H1202*K1202</f>
        <v>12000</v>
      </c>
      <c r="M1202" s="14" t="s">
        <v>410</v>
      </c>
    </row>
    <row r="1203" customFormat="false" ht="15" hidden="false" customHeight="false" outlineLevel="0" collapsed="false">
      <c r="A1203" s="4" t="s">
        <v>221</v>
      </c>
      <c r="B1203" s="5" t="s">
        <v>222</v>
      </c>
      <c r="C1203" s="5" t="s">
        <v>223</v>
      </c>
      <c r="D1203" s="4" t="s">
        <v>22</v>
      </c>
      <c r="E1203" s="4" t="s">
        <v>1697</v>
      </c>
      <c r="F1203" s="4" t="s">
        <v>470</v>
      </c>
      <c r="G1203" s="4" t="s">
        <v>1698</v>
      </c>
      <c r="H1203" s="12" t="n">
        <v>1</v>
      </c>
      <c r="I1203" s="4" t="s">
        <v>408</v>
      </c>
      <c r="J1203" s="4" t="s">
        <v>409</v>
      </c>
      <c r="K1203" s="13" t="n">
        <v>45000</v>
      </c>
      <c r="L1203" s="6" t="n">
        <f aca="false">H1203*K1203</f>
        <v>45000</v>
      </c>
      <c r="M1203" s="14" t="s">
        <v>410</v>
      </c>
    </row>
    <row r="1204" customFormat="false" ht="15" hidden="false" customHeight="false" outlineLevel="0" collapsed="false">
      <c r="A1204" s="4" t="s">
        <v>221</v>
      </c>
      <c r="B1204" s="5" t="s">
        <v>222</v>
      </c>
      <c r="C1204" s="5" t="s">
        <v>223</v>
      </c>
      <c r="D1204" s="4" t="s">
        <v>22</v>
      </c>
      <c r="E1204" s="4" t="s">
        <v>1699</v>
      </c>
      <c r="F1204" s="4" t="s">
        <v>470</v>
      </c>
      <c r="G1204" s="4" t="s">
        <v>1700</v>
      </c>
      <c r="H1204" s="12" t="n">
        <v>1</v>
      </c>
      <c r="I1204" s="4" t="s">
        <v>408</v>
      </c>
      <c r="J1204" s="4" t="s">
        <v>409</v>
      </c>
      <c r="K1204" s="13" t="n">
        <v>55000</v>
      </c>
      <c r="L1204" s="6" t="n">
        <f aca="false">H1204*K1204</f>
        <v>55000</v>
      </c>
      <c r="M1204" s="14" t="s">
        <v>410</v>
      </c>
    </row>
    <row r="1205" customFormat="false" ht="15" hidden="false" customHeight="false" outlineLevel="0" collapsed="false">
      <c r="A1205" s="4" t="s">
        <v>221</v>
      </c>
      <c r="B1205" s="5" t="s">
        <v>222</v>
      </c>
      <c r="C1205" s="5" t="s">
        <v>223</v>
      </c>
      <c r="D1205" s="4" t="s">
        <v>22</v>
      </c>
      <c r="E1205" s="4" t="s">
        <v>2135</v>
      </c>
      <c r="F1205" s="4" t="s">
        <v>470</v>
      </c>
      <c r="G1205" s="4" t="s">
        <v>2136</v>
      </c>
      <c r="H1205" s="12" t="n">
        <v>1</v>
      </c>
      <c r="I1205" s="4" t="s">
        <v>408</v>
      </c>
      <c r="J1205" s="4" t="s">
        <v>543</v>
      </c>
      <c r="K1205" s="13" t="n">
        <v>25000</v>
      </c>
      <c r="L1205" s="6" t="n">
        <f aca="false">H1205*K1205</f>
        <v>25000</v>
      </c>
      <c r="M1205" s="4" t="s">
        <v>371</v>
      </c>
    </row>
    <row r="1206" customFormat="false" ht="15" hidden="false" customHeight="false" outlineLevel="0" collapsed="false">
      <c r="A1206" s="4" t="s">
        <v>221</v>
      </c>
      <c r="B1206" s="5" t="s">
        <v>222</v>
      </c>
      <c r="C1206" s="5" t="s">
        <v>223</v>
      </c>
      <c r="D1206" s="4" t="s">
        <v>22</v>
      </c>
      <c r="E1206" s="4" t="s">
        <v>2010</v>
      </c>
      <c r="F1206" s="4" t="s">
        <v>470</v>
      </c>
      <c r="G1206" s="4" t="s">
        <v>2011</v>
      </c>
      <c r="H1206" s="12" t="n">
        <v>30</v>
      </c>
      <c r="I1206" s="4" t="s">
        <v>474</v>
      </c>
      <c r="J1206" s="4" t="s">
        <v>409</v>
      </c>
      <c r="K1206" s="13" t="n">
        <v>3500</v>
      </c>
      <c r="L1206" s="6" t="n">
        <f aca="false">H1206*K1206</f>
        <v>105000</v>
      </c>
      <c r="M1206" s="4" t="s">
        <v>371</v>
      </c>
    </row>
    <row r="1207" customFormat="false" ht="15" hidden="false" customHeight="false" outlineLevel="0" collapsed="false">
      <c r="A1207" s="4" t="s">
        <v>221</v>
      </c>
      <c r="B1207" s="5" t="s">
        <v>222</v>
      </c>
      <c r="C1207" s="5" t="s">
        <v>223</v>
      </c>
      <c r="D1207" s="4" t="s">
        <v>22</v>
      </c>
      <c r="E1207" s="4" t="s">
        <v>2137</v>
      </c>
      <c r="F1207" s="4" t="s">
        <v>470</v>
      </c>
      <c r="G1207" s="4" t="s">
        <v>2138</v>
      </c>
      <c r="H1207" s="12" t="n">
        <v>30</v>
      </c>
      <c r="I1207" s="4" t="s">
        <v>474</v>
      </c>
      <c r="J1207" s="4" t="s">
        <v>409</v>
      </c>
      <c r="K1207" s="13" t="n">
        <v>4500</v>
      </c>
      <c r="L1207" s="6" t="n">
        <f aca="false">H1207*K1207</f>
        <v>135000</v>
      </c>
      <c r="M1207" s="4" t="s">
        <v>371</v>
      </c>
    </row>
    <row r="1208" customFormat="false" ht="15" hidden="false" customHeight="false" outlineLevel="0" collapsed="false">
      <c r="A1208" s="4" t="s">
        <v>221</v>
      </c>
      <c r="B1208" s="5" t="s">
        <v>222</v>
      </c>
      <c r="C1208" s="5" t="s">
        <v>223</v>
      </c>
      <c r="D1208" s="4" t="s">
        <v>22</v>
      </c>
      <c r="E1208" s="4" t="s">
        <v>1711</v>
      </c>
      <c r="F1208" s="4" t="s">
        <v>470</v>
      </c>
      <c r="G1208" s="4" t="s">
        <v>1712</v>
      </c>
      <c r="H1208" s="12" t="n">
        <v>1</v>
      </c>
      <c r="I1208" s="4" t="s">
        <v>408</v>
      </c>
      <c r="J1208" s="4" t="s">
        <v>409</v>
      </c>
      <c r="K1208" s="13" t="n">
        <v>850</v>
      </c>
      <c r="L1208" s="6" t="n">
        <f aca="false">H1208*K1208</f>
        <v>850</v>
      </c>
      <c r="M1208" s="4" t="s">
        <v>371</v>
      </c>
    </row>
    <row r="1209" customFormat="false" ht="15" hidden="false" customHeight="false" outlineLevel="0" collapsed="false">
      <c r="A1209" s="4" t="s">
        <v>221</v>
      </c>
      <c r="B1209" s="5" t="s">
        <v>222</v>
      </c>
      <c r="C1209" s="5" t="s">
        <v>223</v>
      </c>
      <c r="D1209" s="4" t="s">
        <v>22</v>
      </c>
      <c r="E1209" s="4" t="s">
        <v>1713</v>
      </c>
      <c r="F1209" s="4" t="s">
        <v>470</v>
      </c>
      <c r="G1209" s="4" t="s">
        <v>1714</v>
      </c>
      <c r="H1209" s="12" t="n">
        <v>1</v>
      </c>
      <c r="I1209" s="4" t="s">
        <v>408</v>
      </c>
      <c r="J1209" s="4" t="s">
        <v>543</v>
      </c>
      <c r="K1209" s="13" t="n">
        <v>850</v>
      </c>
      <c r="L1209" s="6" t="n">
        <f aca="false">H1209*K1209</f>
        <v>850</v>
      </c>
      <c r="M1209" s="4" t="s">
        <v>371</v>
      </c>
    </row>
    <row r="1210" customFormat="false" ht="15" hidden="false" customHeight="false" outlineLevel="0" collapsed="false">
      <c r="A1210" s="4" t="s">
        <v>221</v>
      </c>
      <c r="B1210" s="5" t="s">
        <v>222</v>
      </c>
      <c r="C1210" s="5" t="s">
        <v>223</v>
      </c>
      <c r="D1210" s="4" t="s">
        <v>22</v>
      </c>
      <c r="E1210" s="4" t="s">
        <v>1648</v>
      </c>
      <c r="F1210" s="4" t="s">
        <v>470</v>
      </c>
      <c r="G1210" s="4" t="s">
        <v>1424</v>
      </c>
      <c r="H1210" s="12" t="n">
        <v>1</v>
      </c>
      <c r="I1210" s="4" t="s">
        <v>408</v>
      </c>
      <c r="J1210" s="4" t="s">
        <v>409</v>
      </c>
      <c r="K1210" s="13" t="n">
        <v>3500</v>
      </c>
      <c r="L1210" s="6" t="n">
        <f aca="false">H1210*K1210</f>
        <v>3500</v>
      </c>
      <c r="M1210" s="4" t="s">
        <v>371</v>
      </c>
    </row>
    <row r="1211" customFormat="false" ht="15" hidden="false" customHeight="false" outlineLevel="0" collapsed="false">
      <c r="A1211" s="4" t="s">
        <v>221</v>
      </c>
      <c r="B1211" s="5" t="s">
        <v>222</v>
      </c>
      <c r="C1211" s="5" t="s">
        <v>223</v>
      </c>
      <c r="D1211" s="4" t="s">
        <v>22</v>
      </c>
      <c r="E1211" s="4" t="s">
        <v>2139</v>
      </c>
      <c r="F1211" s="4" t="s">
        <v>470</v>
      </c>
      <c r="G1211" s="4" t="s">
        <v>2140</v>
      </c>
      <c r="H1211" s="12" t="n">
        <v>1</v>
      </c>
      <c r="I1211" s="4" t="s">
        <v>408</v>
      </c>
      <c r="J1211" s="4" t="s">
        <v>409</v>
      </c>
      <c r="K1211" s="13" t="n">
        <v>2500</v>
      </c>
      <c r="L1211" s="6" t="n">
        <f aca="false">H1211*K1211</f>
        <v>2500</v>
      </c>
      <c r="M1211" s="4" t="s">
        <v>371</v>
      </c>
    </row>
    <row r="1212" customFormat="false" ht="15" hidden="false" customHeight="false" outlineLevel="0" collapsed="false">
      <c r="A1212" s="4" t="s">
        <v>221</v>
      </c>
      <c r="B1212" s="5" t="s">
        <v>222</v>
      </c>
      <c r="C1212" s="5" t="s">
        <v>223</v>
      </c>
      <c r="D1212" s="4" t="s">
        <v>22</v>
      </c>
      <c r="E1212" s="4" t="s">
        <v>1723</v>
      </c>
      <c r="F1212" s="4" t="s">
        <v>488</v>
      </c>
      <c r="G1212" s="4" t="s">
        <v>1724</v>
      </c>
      <c r="H1212" s="12" t="n">
        <v>1</v>
      </c>
      <c r="I1212" s="4" t="s">
        <v>408</v>
      </c>
      <c r="J1212" s="4" t="s">
        <v>409</v>
      </c>
      <c r="K1212" s="13" t="n">
        <v>25</v>
      </c>
      <c r="L1212" s="6" t="n">
        <f aca="false">H1212*K1212</f>
        <v>25</v>
      </c>
      <c r="M1212" s="4" t="s">
        <v>371</v>
      </c>
    </row>
    <row r="1213" customFormat="false" ht="15" hidden="false" customHeight="false" outlineLevel="0" collapsed="false">
      <c r="A1213" s="4" t="s">
        <v>221</v>
      </c>
      <c r="B1213" s="5" t="s">
        <v>226</v>
      </c>
      <c r="C1213" s="5" t="s">
        <v>227</v>
      </c>
      <c r="D1213" s="4" t="s">
        <v>22</v>
      </c>
      <c r="E1213" s="4" t="s">
        <v>2133</v>
      </c>
      <c r="F1213" s="4" t="s">
        <v>470</v>
      </c>
      <c r="G1213" s="4" t="s">
        <v>2134</v>
      </c>
      <c r="H1213" s="12" t="n">
        <v>30</v>
      </c>
      <c r="I1213" s="4" t="s">
        <v>474</v>
      </c>
      <c r="J1213" s="4" t="s">
        <v>409</v>
      </c>
      <c r="K1213" s="13" t="n">
        <v>55000</v>
      </c>
      <c r="L1213" s="6" t="n">
        <f aca="false">H1213*K1213</f>
        <v>1650000</v>
      </c>
      <c r="M1213" s="14" t="s">
        <v>410</v>
      </c>
    </row>
    <row r="1214" customFormat="false" ht="15" hidden="false" customHeight="false" outlineLevel="0" collapsed="false">
      <c r="A1214" s="4" t="s">
        <v>221</v>
      </c>
      <c r="B1214" s="5" t="s">
        <v>226</v>
      </c>
      <c r="C1214" s="5" t="s">
        <v>227</v>
      </c>
      <c r="D1214" s="4" t="s">
        <v>22</v>
      </c>
      <c r="E1214" s="4" t="s">
        <v>1616</v>
      </c>
      <c r="F1214" s="4" t="s">
        <v>470</v>
      </c>
      <c r="G1214" s="4" t="s">
        <v>1617</v>
      </c>
      <c r="H1214" s="12" t="n">
        <v>1</v>
      </c>
      <c r="I1214" s="4" t="s">
        <v>474</v>
      </c>
      <c r="J1214" s="4" t="s">
        <v>409</v>
      </c>
      <c r="K1214" s="13" t="n">
        <v>12000</v>
      </c>
      <c r="L1214" s="6" t="n">
        <f aca="false">H1214*K1214</f>
        <v>12000</v>
      </c>
      <c r="M1214" s="14" t="s">
        <v>410</v>
      </c>
    </row>
    <row r="1215" customFormat="false" ht="15" hidden="false" customHeight="false" outlineLevel="0" collapsed="false">
      <c r="A1215" s="4" t="s">
        <v>221</v>
      </c>
      <c r="B1215" s="5" t="s">
        <v>226</v>
      </c>
      <c r="C1215" s="5" t="s">
        <v>227</v>
      </c>
      <c r="D1215" s="4" t="s">
        <v>22</v>
      </c>
      <c r="E1215" s="4" t="s">
        <v>1697</v>
      </c>
      <c r="F1215" s="4" t="s">
        <v>470</v>
      </c>
      <c r="G1215" s="4" t="s">
        <v>1698</v>
      </c>
      <c r="H1215" s="12" t="n">
        <v>1</v>
      </c>
      <c r="I1215" s="4" t="s">
        <v>408</v>
      </c>
      <c r="J1215" s="4" t="s">
        <v>409</v>
      </c>
      <c r="K1215" s="13" t="n">
        <v>45000</v>
      </c>
      <c r="L1215" s="6" t="n">
        <f aca="false">H1215*K1215</f>
        <v>45000</v>
      </c>
      <c r="M1215" s="14" t="s">
        <v>410</v>
      </c>
    </row>
    <row r="1216" customFormat="false" ht="15" hidden="false" customHeight="false" outlineLevel="0" collapsed="false">
      <c r="A1216" s="4" t="s">
        <v>221</v>
      </c>
      <c r="B1216" s="5" t="s">
        <v>226</v>
      </c>
      <c r="C1216" s="5" t="s">
        <v>227</v>
      </c>
      <c r="D1216" s="4" t="s">
        <v>22</v>
      </c>
      <c r="E1216" s="4" t="s">
        <v>1699</v>
      </c>
      <c r="F1216" s="4" t="s">
        <v>470</v>
      </c>
      <c r="G1216" s="4" t="s">
        <v>1700</v>
      </c>
      <c r="H1216" s="12" t="n">
        <v>1</v>
      </c>
      <c r="I1216" s="4" t="s">
        <v>408</v>
      </c>
      <c r="J1216" s="4" t="s">
        <v>409</v>
      </c>
      <c r="K1216" s="13" t="n">
        <v>55000</v>
      </c>
      <c r="L1216" s="6" t="n">
        <f aca="false">H1216*K1216</f>
        <v>55000</v>
      </c>
      <c r="M1216" s="14" t="s">
        <v>410</v>
      </c>
    </row>
    <row r="1217" customFormat="false" ht="15" hidden="false" customHeight="false" outlineLevel="0" collapsed="false">
      <c r="A1217" s="4" t="s">
        <v>221</v>
      </c>
      <c r="B1217" s="5" t="s">
        <v>226</v>
      </c>
      <c r="C1217" s="5" t="s">
        <v>227</v>
      </c>
      <c r="D1217" s="4" t="s">
        <v>22</v>
      </c>
      <c r="E1217" s="4" t="s">
        <v>2135</v>
      </c>
      <c r="F1217" s="4" t="s">
        <v>470</v>
      </c>
      <c r="G1217" s="4" t="s">
        <v>2136</v>
      </c>
      <c r="H1217" s="12" t="n">
        <v>1</v>
      </c>
      <c r="I1217" s="4" t="s">
        <v>408</v>
      </c>
      <c r="J1217" s="4" t="s">
        <v>543</v>
      </c>
      <c r="K1217" s="13" t="n">
        <v>25000</v>
      </c>
      <c r="L1217" s="6" t="n">
        <f aca="false">H1217*K1217</f>
        <v>25000</v>
      </c>
      <c r="M1217" s="4" t="s">
        <v>371</v>
      </c>
    </row>
    <row r="1218" customFormat="false" ht="15" hidden="false" customHeight="false" outlineLevel="0" collapsed="false">
      <c r="A1218" s="4" t="s">
        <v>221</v>
      </c>
      <c r="B1218" s="5" t="s">
        <v>226</v>
      </c>
      <c r="C1218" s="5" t="s">
        <v>227</v>
      </c>
      <c r="D1218" s="4" t="s">
        <v>22</v>
      </c>
      <c r="E1218" s="4" t="s">
        <v>2010</v>
      </c>
      <c r="F1218" s="4" t="s">
        <v>470</v>
      </c>
      <c r="G1218" s="4" t="s">
        <v>2011</v>
      </c>
      <c r="H1218" s="12" t="n">
        <v>30</v>
      </c>
      <c r="I1218" s="4" t="s">
        <v>474</v>
      </c>
      <c r="J1218" s="4" t="s">
        <v>409</v>
      </c>
      <c r="K1218" s="13" t="n">
        <v>3500</v>
      </c>
      <c r="L1218" s="6" t="n">
        <f aca="false">H1218*K1218</f>
        <v>105000</v>
      </c>
      <c r="M1218" s="4" t="s">
        <v>371</v>
      </c>
    </row>
    <row r="1219" customFormat="false" ht="15" hidden="false" customHeight="false" outlineLevel="0" collapsed="false">
      <c r="A1219" s="4" t="s">
        <v>221</v>
      </c>
      <c r="B1219" s="5" t="s">
        <v>226</v>
      </c>
      <c r="C1219" s="5" t="s">
        <v>227</v>
      </c>
      <c r="D1219" s="4" t="s">
        <v>22</v>
      </c>
      <c r="E1219" s="4" t="s">
        <v>2137</v>
      </c>
      <c r="F1219" s="4" t="s">
        <v>470</v>
      </c>
      <c r="G1219" s="4" t="s">
        <v>2138</v>
      </c>
      <c r="H1219" s="12" t="n">
        <v>30</v>
      </c>
      <c r="I1219" s="4" t="s">
        <v>474</v>
      </c>
      <c r="J1219" s="4" t="s">
        <v>409</v>
      </c>
      <c r="K1219" s="13" t="n">
        <v>4500</v>
      </c>
      <c r="L1219" s="6" t="n">
        <f aca="false">H1219*K1219</f>
        <v>135000</v>
      </c>
      <c r="M1219" s="4" t="s">
        <v>371</v>
      </c>
    </row>
    <row r="1220" customFormat="false" ht="15" hidden="false" customHeight="false" outlineLevel="0" collapsed="false">
      <c r="A1220" s="4" t="s">
        <v>221</v>
      </c>
      <c r="B1220" s="5" t="s">
        <v>226</v>
      </c>
      <c r="C1220" s="5" t="s">
        <v>227</v>
      </c>
      <c r="D1220" s="4" t="s">
        <v>22</v>
      </c>
      <c r="E1220" s="4" t="s">
        <v>1711</v>
      </c>
      <c r="F1220" s="4" t="s">
        <v>470</v>
      </c>
      <c r="G1220" s="4" t="s">
        <v>1712</v>
      </c>
      <c r="H1220" s="12" t="n">
        <v>1</v>
      </c>
      <c r="I1220" s="4" t="s">
        <v>408</v>
      </c>
      <c r="J1220" s="4" t="s">
        <v>409</v>
      </c>
      <c r="K1220" s="13" t="n">
        <v>850</v>
      </c>
      <c r="L1220" s="6" t="n">
        <f aca="false">H1220*K1220</f>
        <v>850</v>
      </c>
      <c r="M1220" s="4" t="s">
        <v>371</v>
      </c>
    </row>
    <row r="1221" customFormat="false" ht="15" hidden="false" customHeight="false" outlineLevel="0" collapsed="false">
      <c r="A1221" s="4" t="s">
        <v>221</v>
      </c>
      <c r="B1221" s="5" t="s">
        <v>226</v>
      </c>
      <c r="C1221" s="5" t="s">
        <v>227</v>
      </c>
      <c r="D1221" s="4" t="s">
        <v>22</v>
      </c>
      <c r="E1221" s="4" t="s">
        <v>1713</v>
      </c>
      <c r="F1221" s="4" t="s">
        <v>470</v>
      </c>
      <c r="G1221" s="4" t="s">
        <v>1714</v>
      </c>
      <c r="H1221" s="12" t="n">
        <v>1</v>
      </c>
      <c r="I1221" s="4" t="s">
        <v>408</v>
      </c>
      <c r="J1221" s="4" t="s">
        <v>543</v>
      </c>
      <c r="K1221" s="13" t="n">
        <v>850</v>
      </c>
      <c r="L1221" s="6" t="n">
        <f aca="false">H1221*K1221</f>
        <v>850</v>
      </c>
      <c r="M1221" s="4" t="s">
        <v>371</v>
      </c>
    </row>
    <row r="1222" customFormat="false" ht="15" hidden="false" customHeight="false" outlineLevel="0" collapsed="false">
      <c r="A1222" s="4" t="s">
        <v>221</v>
      </c>
      <c r="B1222" s="5" t="s">
        <v>226</v>
      </c>
      <c r="C1222" s="5" t="s">
        <v>227</v>
      </c>
      <c r="D1222" s="4" t="s">
        <v>22</v>
      </c>
      <c r="E1222" s="4" t="s">
        <v>1648</v>
      </c>
      <c r="F1222" s="4" t="s">
        <v>470</v>
      </c>
      <c r="G1222" s="4" t="s">
        <v>1424</v>
      </c>
      <c r="H1222" s="12" t="n">
        <v>1</v>
      </c>
      <c r="I1222" s="4" t="s">
        <v>408</v>
      </c>
      <c r="J1222" s="4" t="s">
        <v>409</v>
      </c>
      <c r="K1222" s="13" t="n">
        <v>3500</v>
      </c>
      <c r="L1222" s="6" t="n">
        <f aca="false">H1222*K1222</f>
        <v>3500</v>
      </c>
      <c r="M1222" s="4" t="s">
        <v>371</v>
      </c>
    </row>
    <row r="1223" customFormat="false" ht="15" hidden="false" customHeight="false" outlineLevel="0" collapsed="false">
      <c r="A1223" s="4" t="s">
        <v>221</v>
      </c>
      <c r="B1223" s="5" t="s">
        <v>226</v>
      </c>
      <c r="C1223" s="5" t="s">
        <v>227</v>
      </c>
      <c r="D1223" s="4" t="s">
        <v>22</v>
      </c>
      <c r="E1223" s="4" t="s">
        <v>2139</v>
      </c>
      <c r="F1223" s="4" t="s">
        <v>470</v>
      </c>
      <c r="G1223" s="4" t="s">
        <v>2140</v>
      </c>
      <c r="H1223" s="12" t="n">
        <v>1</v>
      </c>
      <c r="I1223" s="4" t="s">
        <v>408</v>
      </c>
      <c r="J1223" s="4" t="s">
        <v>409</v>
      </c>
      <c r="K1223" s="13" t="n">
        <v>2500</v>
      </c>
      <c r="L1223" s="6" t="n">
        <f aca="false">H1223*K1223</f>
        <v>2500</v>
      </c>
      <c r="M1223" s="4" t="s">
        <v>371</v>
      </c>
    </row>
    <row r="1224" customFormat="false" ht="15" hidden="false" customHeight="false" outlineLevel="0" collapsed="false">
      <c r="A1224" s="4" t="s">
        <v>221</v>
      </c>
      <c r="B1224" s="5" t="s">
        <v>226</v>
      </c>
      <c r="C1224" s="5" t="s">
        <v>227</v>
      </c>
      <c r="D1224" s="4" t="s">
        <v>22</v>
      </c>
      <c r="E1224" s="4" t="s">
        <v>1723</v>
      </c>
      <c r="F1224" s="4" t="s">
        <v>488</v>
      </c>
      <c r="G1224" s="4" t="s">
        <v>1724</v>
      </c>
      <c r="H1224" s="12" t="n">
        <v>1</v>
      </c>
      <c r="I1224" s="4" t="s">
        <v>408</v>
      </c>
      <c r="J1224" s="4" t="s">
        <v>409</v>
      </c>
      <c r="K1224" s="13" t="n">
        <v>25</v>
      </c>
      <c r="L1224" s="6" t="n">
        <f aca="false">H1224*K1224</f>
        <v>25</v>
      </c>
      <c r="M1224" s="4" t="s">
        <v>371</v>
      </c>
    </row>
    <row r="1225" customFormat="false" ht="23.85" hidden="false" customHeight="false" outlineLevel="0" collapsed="false">
      <c r="A1225" s="4" t="s">
        <v>221</v>
      </c>
      <c r="B1225" s="5" t="s">
        <v>228</v>
      </c>
      <c r="C1225" s="5" t="s">
        <v>229</v>
      </c>
      <c r="D1225" s="4" t="s">
        <v>22</v>
      </c>
      <c r="E1225" s="4" t="s">
        <v>2141</v>
      </c>
      <c r="F1225" s="4" t="s">
        <v>406</v>
      </c>
      <c r="G1225" s="4" t="s">
        <v>2142</v>
      </c>
      <c r="H1225" s="12" t="n">
        <v>1</v>
      </c>
      <c r="I1225" s="4" t="s">
        <v>408</v>
      </c>
      <c r="J1225" s="4" t="s">
        <v>416</v>
      </c>
      <c r="K1225" s="13" t="n">
        <v>12000</v>
      </c>
      <c r="L1225" s="6" t="n">
        <f aca="false">H1225*K1225</f>
        <v>12000</v>
      </c>
      <c r="M1225" s="4" t="s">
        <v>371</v>
      </c>
    </row>
    <row r="1226" customFormat="false" ht="23.85" hidden="false" customHeight="false" outlineLevel="0" collapsed="false">
      <c r="A1226" s="4" t="s">
        <v>221</v>
      </c>
      <c r="B1226" s="5" t="s">
        <v>228</v>
      </c>
      <c r="C1226" s="5" t="s">
        <v>229</v>
      </c>
      <c r="D1226" s="4" t="s">
        <v>22</v>
      </c>
      <c r="E1226" s="4" t="s">
        <v>2143</v>
      </c>
      <c r="F1226" s="4" t="s">
        <v>470</v>
      </c>
      <c r="G1226" s="4" t="s">
        <v>2144</v>
      </c>
      <c r="H1226" s="12" t="n">
        <v>1</v>
      </c>
      <c r="I1226" s="4" t="s">
        <v>408</v>
      </c>
      <c r="J1226" s="4" t="s">
        <v>409</v>
      </c>
      <c r="K1226" s="13" t="n">
        <v>55000</v>
      </c>
      <c r="L1226" s="6" t="n">
        <f aca="false">H1226*K1226</f>
        <v>55000</v>
      </c>
      <c r="M1226" s="4" t="s">
        <v>371</v>
      </c>
    </row>
    <row r="1227" customFormat="false" ht="23.85" hidden="false" customHeight="false" outlineLevel="0" collapsed="false">
      <c r="A1227" s="4" t="s">
        <v>221</v>
      </c>
      <c r="B1227" s="5" t="s">
        <v>228</v>
      </c>
      <c r="C1227" s="5" t="s">
        <v>229</v>
      </c>
      <c r="D1227" s="4" t="s">
        <v>22</v>
      </c>
      <c r="E1227" s="4" t="s">
        <v>2145</v>
      </c>
      <c r="F1227" s="4" t="s">
        <v>470</v>
      </c>
      <c r="G1227" s="4" t="s">
        <v>2146</v>
      </c>
      <c r="H1227" s="12" t="n">
        <v>1</v>
      </c>
      <c r="I1227" s="4" t="s">
        <v>408</v>
      </c>
      <c r="J1227" s="4" t="s">
        <v>409</v>
      </c>
      <c r="K1227" s="13" t="n">
        <v>55000</v>
      </c>
      <c r="L1227" s="6" t="n">
        <f aca="false">H1227*K1227</f>
        <v>55000</v>
      </c>
      <c r="M1227" s="4" t="s">
        <v>371</v>
      </c>
    </row>
    <row r="1228" customFormat="false" ht="23.85" hidden="false" customHeight="false" outlineLevel="0" collapsed="false">
      <c r="A1228" s="4" t="s">
        <v>221</v>
      </c>
      <c r="B1228" s="5" t="s">
        <v>228</v>
      </c>
      <c r="C1228" s="5" t="s">
        <v>229</v>
      </c>
      <c r="D1228" s="4" t="s">
        <v>22</v>
      </c>
      <c r="E1228" s="4" t="s">
        <v>2147</v>
      </c>
      <c r="F1228" s="4" t="s">
        <v>470</v>
      </c>
      <c r="G1228" s="4" t="s">
        <v>2148</v>
      </c>
      <c r="H1228" s="12" t="n">
        <v>1</v>
      </c>
      <c r="I1228" s="4" t="s">
        <v>408</v>
      </c>
      <c r="J1228" s="4" t="s">
        <v>543</v>
      </c>
      <c r="K1228" s="13" t="n">
        <v>12000</v>
      </c>
      <c r="L1228" s="6" t="n">
        <f aca="false">H1228*K1228</f>
        <v>12000</v>
      </c>
      <c r="M1228" s="4" t="s">
        <v>371</v>
      </c>
    </row>
    <row r="1229" customFormat="false" ht="23.85" hidden="false" customHeight="false" outlineLevel="0" collapsed="false">
      <c r="A1229" s="4" t="s">
        <v>221</v>
      </c>
      <c r="B1229" s="5" t="s">
        <v>228</v>
      </c>
      <c r="C1229" s="5" t="s">
        <v>229</v>
      </c>
      <c r="D1229" s="4" t="s">
        <v>22</v>
      </c>
      <c r="E1229" s="4" t="s">
        <v>2149</v>
      </c>
      <c r="F1229" s="4" t="s">
        <v>470</v>
      </c>
      <c r="G1229" s="4" t="s">
        <v>2150</v>
      </c>
      <c r="H1229" s="12" t="n">
        <v>1</v>
      </c>
      <c r="I1229" s="4" t="s">
        <v>408</v>
      </c>
      <c r="J1229" s="4" t="s">
        <v>416</v>
      </c>
      <c r="K1229" s="13" t="n">
        <v>1200000</v>
      </c>
      <c r="L1229" s="6" t="n">
        <f aca="false">H1229*K1229</f>
        <v>1200000</v>
      </c>
      <c r="M1229" s="4" t="s">
        <v>371</v>
      </c>
    </row>
    <row r="1230" customFormat="false" ht="23.85" hidden="false" customHeight="false" outlineLevel="0" collapsed="false">
      <c r="A1230" s="4" t="s">
        <v>221</v>
      </c>
      <c r="B1230" s="5" t="s">
        <v>228</v>
      </c>
      <c r="C1230" s="5" t="s">
        <v>229</v>
      </c>
      <c r="D1230" s="4" t="s">
        <v>22</v>
      </c>
      <c r="E1230" s="4" t="s">
        <v>1697</v>
      </c>
      <c r="F1230" s="4" t="s">
        <v>470</v>
      </c>
      <c r="G1230" s="4" t="s">
        <v>1698</v>
      </c>
      <c r="H1230" s="12" t="n">
        <v>1</v>
      </c>
      <c r="I1230" s="4" t="s">
        <v>408</v>
      </c>
      <c r="J1230" s="4" t="s">
        <v>409</v>
      </c>
      <c r="K1230" s="13" t="n">
        <v>45000</v>
      </c>
      <c r="L1230" s="6" t="n">
        <f aca="false">H1230*K1230</f>
        <v>45000</v>
      </c>
      <c r="M1230" s="14" t="s">
        <v>410</v>
      </c>
    </row>
    <row r="1231" customFormat="false" ht="23.85" hidden="false" customHeight="false" outlineLevel="0" collapsed="false">
      <c r="A1231" s="4" t="s">
        <v>221</v>
      </c>
      <c r="B1231" s="5" t="s">
        <v>228</v>
      </c>
      <c r="C1231" s="5" t="s">
        <v>229</v>
      </c>
      <c r="D1231" s="4" t="s">
        <v>22</v>
      </c>
      <c r="E1231" s="4" t="s">
        <v>1699</v>
      </c>
      <c r="F1231" s="4" t="s">
        <v>470</v>
      </c>
      <c r="G1231" s="4" t="s">
        <v>1700</v>
      </c>
      <c r="H1231" s="12" t="n">
        <v>1</v>
      </c>
      <c r="I1231" s="4" t="s">
        <v>408</v>
      </c>
      <c r="J1231" s="4" t="s">
        <v>409</v>
      </c>
      <c r="K1231" s="13" t="n">
        <v>55000</v>
      </c>
      <c r="L1231" s="6" t="n">
        <f aca="false">H1231*K1231</f>
        <v>55000</v>
      </c>
      <c r="M1231" s="14" t="s">
        <v>410</v>
      </c>
    </row>
    <row r="1232" customFormat="false" ht="23.85" hidden="false" customHeight="false" outlineLevel="0" collapsed="false">
      <c r="A1232" s="4" t="s">
        <v>221</v>
      </c>
      <c r="B1232" s="5" t="s">
        <v>228</v>
      </c>
      <c r="C1232" s="5" t="s">
        <v>229</v>
      </c>
      <c r="D1232" s="4" t="s">
        <v>22</v>
      </c>
      <c r="E1232" s="4" t="s">
        <v>2151</v>
      </c>
      <c r="F1232" s="4" t="s">
        <v>470</v>
      </c>
      <c r="G1232" s="4" t="s">
        <v>2152</v>
      </c>
      <c r="H1232" s="12" t="n">
        <v>1</v>
      </c>
      <c r="I1232" s="4" t="s">
        <v>408</v>
      </c>
      <c r="J1232" s="4" t="s">
        <v>543</v>
      </c>
      <c r="K1232" s="13" t="n">
        <v>25000</v>
      </c>
      <c r="L1232" s="6" t="n">
        <f aca="false">H1232*K1232</f>
        <v>25000</v>
      </c>
      <c r="M1232" s="4" t="s">
        <v>371</v>
      </c>
    </row>
    <row r="1233" customFormat="false" ht="23.85" hidden="false" customHeight="false" outlineLevel="0" collapsed="false">
      <c r="A1233" s="4" t="s">
        <v>221</v>
      </c>
      <c r="B1233" s="5" t="s">
        <v>228</v>
      </c>
      <c r="C1233" s="5" t="s">
        <v>229</v>
      </c>
      <c r="D1233" s="4" t="s">
        <v>22</v>
      </c>
      <c r="E1233" s="4" t="s">
        <v>2153</v>
      </c>
      <c r="F1233" s="4" t="s">
        <v>470</v>
      </c>
      <c r="G1233" s="4" t="s">
        <v>2154</v>
      </c>
      <c r="H1233" s="12" t="n">
        <v>1</v>
      </c>
      <c r="I1233" s="4" t="s">
        <v>408</v>
      </c>
      <c r="J1233" s="4" t="s">
        <v>543</v>
      </c>
      <c r="K1233" s="13" t="n">
        <v>25000</v>
      </c>
      <c r="L1233" s="6" t="n">
        <f aca="false">H1233*K1233</f>
        <v>25000</v>
      </c>
      <c r="M1233" s="4" t="s">
        <v>371</v>
      </c>
    </row>
    <row r="1234" customFormat="false" ht="23.85" hidden="false" customHeight="false" outlineLevel="0" collapsed="false">
      <c r="A1234" s="4" t="s">
        <v>221</v>
      </c>
      <c r="B1234" s="5" t="s">
        <v>228</v>
      </c>
      <c r="C1234" s="5" t="s">
        <v>229</v>
      </c>
      <c r="D1234" s="4" t="s">
        <v>22</v>
      </c>
      <c r="E1234" s="4" t="s">
        <v>1648</v>
      </c>
      <c r="F1234" s="4" t="s">
        <v>470</v>
      </c>
      <c r="G1234" s="4" t="s">
        <v>1424</v>
      </c>
      <c r="H1234" s="12" t="n">
        <v>1</v>
      </c>
      <c r="I1234" s="4" t="s">
        <v>408</v>
      </c>
      <c r="J1234" s="4" t="s">
        <v>409</v>
      </c>
      <c r="K1234" s="13" t="n">
        <v>3500</v>
      </c>
      <c r="L1234" s="6" t="n">
        <f aca="false">H1234*K1234</f>
        <v>3500</v>
      </c>
      <c r="M1234" s="4" t="s">
        <v>371</v>
      </c>
    </row>
    <row r="1235" customFormat="false" ht="23.85" hidden="false" customHeight="false" outlineLevel="0" collapsed="false">
      <c r="A1235" s="4" t="s">
        <v>221</v>
      </c>
      <c r="B1235" s="5" t="s">
        <v>228</v>
      </c>
      <c r="C1235" s="5" t="s">
        <v>229</v>
      </c>
      <c r="D1235" s="4" t="s">
        <v>22</v>
      </c>
      <c r="E1235" s="4" t="s">
        <v>2155</v>
      </c>
      <c r="F1235" s="4" t="s">
        <v>470</v>
      </c>
      <c r="G1235" s="4" t="s">
        <v>2156</v>
      </c>
      <c r="H1235" s="12" t="n">
        <v>1</v>
      </c>
      <c r="I1235" s="4" t="s">
        <v>408</v>
      </c>
      <c r="J1235" s="4" t="s">
        <v>416</v>
      </c>
      <c r="K1235" s="13" t="n">
        <v>2500</v>
      </c>
      <c r="L1235" s="6" t="n">
        <f aca="false">H1235*K1235</f>
        <v>2500</v>
      </c>
      <c r="M1235" s="4" t="s">
        <v>371</v>
      </c>
    </row>
    <row r="1236" customFormat="false" ht="23.85" hidden="false" customHeight="false" outlineLevel="0" collapsed="false">
      <c r="A1236" s="4" t="s">
        <v>221</v>
      </c>
      <c r="B1236" s="5" t="s">
        <v>228</v>
      </c>
      <c r="C1236" s="5" t="s">
        <v>229</v>
      </c>
      <c r="D1236" s="4" t="s">
        <v>22</v>
      </c>
      <c r="E1236" s="4" t="s">
        <v>1711</v>
      </c>
      <c r="F1236" s="4" t="s">
        <v>470</v>
      </c>
      <c r="G1236" s="4" t="s">
        <v>1712</v>
      </c>
      <c r="H1236" s="12" t="n">
        <v>1</v>
      </c>
      <c r="I1236" s="4" t="s">
        <v>408</v>
      </c>
      <c r="J1236" s="4" t="s">
        <v>409</v>
      </c>
      <c r="K1236" s="13" t="n">
        <v>850</v>
      </c>
      <c r="L1236" s="6" t="n">
        <f aca="false">H1236*K1236</f>
        <v>850</v>
      </c>
      <c r="M1236" s="4" t="s">
        <v>371</v>
      </c>
    </row>
    <row r="1237" customFormat="false" ht="23.85" hidden="false" customHeight="false" outlineLevel="0" collapsed="false">
      <c r="A1237" s="4" t="s">
        <v>221</v>
      </c>
      <c r="B1237" s="5" t="s">
        <v>228</v>
      </c>
      <c r="C1237" s="5" t="s">
        <v>229</v>
      </c>
      <c r="D1237" s="4" t="s">
        <v>22</v>
      </c>
      <c r="E1237" s="4" t="s">
        <v>1713</v>
      </c>
      <c r="F1237" s="4" t="s">
        <v>470</v>
      </c>
      <c r="G1237" s="4" t="s">
        <v>1714</v>
      </c>
      <c r="H1237" s="12" t="n">
        <v>1</v>
      </c>
      <c r="I1237" s="4" t="s">
        <v>408</v>
      </c>
      <c r="J1237" s="4" t="s">
        <v>543</v>
      </c>
      <c r="K1237" s="13" t="n">
        <v>850</v>
      </c>
      <c r="L1237" s="6" t="n">
        <f aca="false">H1237*K1237</f>
        <v>850</v>
      </c>
      <c r="M1237" s="4" t="s">
        <v>371</v>
      </c>
    </row>
    <row r="1238" customFormat="false" ht="23.85" hidden="false" customHeight="false" outlineLevel="0" collapsed="false">
      <c r="A1238" s="4" t="s">
        <v>221</v>
      </c>
      <c r="B1238" s="5" t="s">
        <v>228</v>
      </c>
      <c r="C1238" s="5" t="s">
        <v>229</v>
      </c>
      <c r="D1238" s="4" t="s">
        <v>22</v>
      </c>
      <c r="E1238" s="4" t="s">
        <v>1648</v>
      </c>
      <c r="F1238" s="4" t="s">
        <v>470</v>
      </c>
      <c r="G1238" s="4" t="s">
        <v>1424</v>
      </c>
      <c r="H1238" s="12" t="n">
        <v>1</v>
      </c>
      <c r="I1238" s="4" t="s">
        <v>408</v>
      </c>
      <c r="J1238" s="4" t="s">
        <v>409</v>
      </c>
      <c r="K1238" s="13" t="n">
        <v>3500</v>
      </c>
      <c r="L1238" s="6" t="n">
        <f aca="false">H1238*K1238</f>
        <v>3500</v>
      </c>
      <c r="M1238" s="4" t="s">
        <v>371</v>
      </c>
    </row>
    <row r="1239" customFormat="false" ht="23.85" hidden="false" customHeight="false" outlineLevel="0" collapsed="false">
      <c r="A1239" s="4" t="s">
        <v>221</v>
      </c>
      <c r="B1239" s="5" t="s">
        <v>228</v>
      </c>
      <c r="C1239" s="5" t="s">
        <v>229</v>
      </c>
      <c r="D1239" s="4" t="s">
        <v>22</v>
      </c>
      <c r="E1239" s="4" t="s">
        <v>2157</v>
      </c>
      <c r="F1239" s="4" t="s">
        <v>488</v>
      </c>
      <c r="G1239" s="4" t="s">
        <v>2158</v>
      </c>
      <c r="H1239" s="12" t="n">
        <v>1</v>
      </c>
      <c r="I1239" s="4" t="s">
        <v>408</v>
      </c>
      <c r="J1239" s="4" t="s">
        <v>506</v>
      </c>
      <c r="K1239" s="13" t="n">
        <v>120</v>
      </c>
      <c r="L1239" s="6" t="n">
        <f aca="false">H1239*K1239</f>
        <v>120</v>
      </c>
      <c r="M1239" s="4" t="s">
        <v>371</v>
      </c>
    </row>
    <row r="1240" customFormat="false" ht="23.85" hidden="false" customHeight="false" outlineLevel="0" collapsed="false">
      <c r="A1240" s="4" t="s">
        <v>221</v>
      </c>
      <c r="B1240" s="5" t="s">
        <v>228</v>
      </c>
      <c r="C1240" s="5" t="s">
        <v>229</v>
      </c>
      <c r="D1240" s="4" t="s">
        <v>22</v>
      </c>
      <c r="E1240" s="4" t="s">
        <v>2159</v>
      </c>
      <c r="F1240" s="4" t="s">
        <v>488</v>
      </c>
      <c r="G1240" s="4" t="s">
        <v>2160</v>
      </c>
      <c r="H1240" s="12" t="n">
        <v>1</v>
      </c>
      <c r="I1240" s="4" t="s">
        <v>408</v>
      </c>
      <c r="J1240" s="4" t="s">
        <v>416</v>
      </c>
      <c r="K1240" s="13" t="n">
        <v>120</v>
      </c>
      <c r="L1240" s="6" t="n">
        <f aca="false">H1240*K1240</f>
        <v>120</v>
      </c>
      <c r="M1240" s="4" t="s">
        <v>371</v>
      </c>
    </row>
    <row r="1241" customFormat="false" ht="23.85" hidden="false" customHeight="false" outlineLevel="0" collapsed="false">
      <c r="A1241" s="4" t="s">
        <v>221</v>
      </c>
      <c r="B1241" s="5" t="s">
        <v>228</v>
      </c>
      <c r="C1241" s="5" t="s">
        <v>229</v>
      </c>
      <c r="D1241" s="4" t="s">
        <v>22</v>
      </c>
      <c r="E1241" s="4" t="s">
        <v>1723</v>
      </c>
      <c r="F1241" s="4" t="s">
        <v>488</v>
      </c>
      <c r="G1241" s="4" t="s">
        <v>1724</v>
      </c>
      <c r="H1241" s="12" t="n">
        <v>1</v>
      </c>
      <c r="I1241" s="4" t="s">
        <v>408</v>
      </c>
      <c r="J1241" s="4" t="s">
        <v>409</v>
      </c>
      <c r="K1241" s="13" t="n">
        <v>25</v>
      </c>
      <c r="L1241" s="6" t="n">
        <f aca="false">H1241*K1241</f>
        <v>25</v>
      </c>
      <c r="M1241" s="4" t="s">
        <v>371</v>
      </c>
    </row>
    <row r="1242" customFormat="false" ht="15" hidden="false" customHeight="false" outlineLevel="0" collapsed="false">
      <c r="A1242" s="4" t="s">
        <v>221</v>
      </c>
      <c r="B1242" s="5" t="s">
        <v>236</v>
      </c>
      <c r="C1242" s="5" t="s">
        <v>237</v>
      </c>
      <c r="D1242" s="4" t="s">
        <v>22</v>
      </c>
      <c r="E1242" s="4" t="s">
        <v>2161</v>
      </c>
      <c r="F1242" s="4" t="s">
        <v>406</v>
      </c>
      <c r="G1242" s="4" t="s">
        <v>2162</v>
      </c>
      <c r="H1242" s="12" t="n">
        <v>2</v>
      </c>
      <c r="I1242" s="4" t="s">
        <v>474</v>
      </c>
      <c r="J1242" s="4" t="s">
        <v>409</v>
      </c>
      <c r="K1242" s="13" t="n">
        <v>45000</v>
      </c>
      <c r="L1242" s="6" t="n">
        <f aca="false">H1242*K1242</f>
        <v>90000</v>
      </c>
      <c r="M1242" s="4" t="s">
        <v>371</v>
      </c>
    </row>
    <row r="1243" customFormat="false" ht="15" hidden="false" customHeight="false" outlineLevel="0" collapsed="false">
      <c r="A1243" s="4" t="s">
        <v>221</v>
      </c>
      <c r="B1243" s="5" t="s">
        <v>236</v>
      </c>
      <c r="C1243" s="5" t="s">
        <v>237</v>
      </c>
      <c r="D1243" s="4" t="s">
        <v>22</v>
      </c>
      <c r="E1243" s="4" t="s">
        <v>2163</v>
      </c>
      <c r="F1243" s="4" t="s">
        <v>470</v>
      </c>
      <c r="G1243" s="4" t="s">
        <v>2164</v>
      </c>
      <c r="H1243" s="12" t="n">
        <v>15</v>
      </c>
      <c r="I1243" s="4" t="s">
        <v>474</v>
      </c>
      <c r="J1243" s="4" t="s">
        <v>409</v>
      </c>
      <c r="K1243" s="13" t="n">
        <v>35000</v>
      </c>
      <c r="L1243" s="6" t="n">
        <f aca="false">H1243*K1243</f>
        <v>525000</v>
      </c>
      <c r="M1243" s="14" t="s">
        <v>410</v>
      </c>
    </row>
    <row r="1244" customFormat="false" ht="15" hidden="false" customHeight="false" outlineLevel="0" collapsed="false">
      <c r="A1244" s="4" t="s">
        <v>221</v>
      </c>
      <c r="B1244" s="5" t="s">
        <v>236</v>
      </c>
      <c r="C1244" s="5" t="s">
        <v>237</v>
      </c>
      <c r="D1244" s="4" t="s">
        <v>22</v>
      </c>
      <c r="E1244" s="4" t="s">
        <v>2165</v>
      </c>
      <c r="F1244" s="4" t="s">
        <v>470</v>
      </c>
      <c r="G1244" s="4" t="s">
        <v>2166</v>
      </c>
      <c r="H1244" s="12" t="n">
        <v>1</v>
      </c>
      <c r="I1244" s="4" t="s">
        <v>474</v>
      </c>
      <c r="J1244" s="4" t="s">
        <v>409</v>
      </c>
      <c r="K1244" s="13" t="n">
        <v>15000</v>
      </c>
      <c r="L1244" s="6" t="n">
        <f aca="false">H1244*K1244</f>
        <v>15000</v>
      </c>
      <c r="M1244" s="14" t="s">
        <v>410</v>
      </c>
    </row>
    <row r="1245" customFormat="false" ht="15" hidden="false" customHeight="false" outlineLevel="0" collapsed="false">
      <c r="A1245" s="4" t="s">
        <v>221</v>
      </c>
      <c r="B1245" s="5" t="s">
        <v>236</v>
      </c>
      <c r="C1245" s="5" t="s">
        <v>237</v>
      </c>
      <c r="D1245" s="4" t="s">
        <v>22</v>
      </c>
      <c r="E1245" s="4" t="s">
        <v>2167</v>
      </c>
      <c r="F1245" s="4" t="s">
        <v>470</v>
      </c>
      <c r="G1245" s="4" t="s">
        <v>2168</v>
      </c>
      <c r="H1245" s="12" t="n">
        <v>1</v>
      </c>
      <c r="I1245" s="4" t="s">
        <v>474</v>
      </c>
      <c r="J1245" s="4" t="s">
        <v>409</v>
      </c>
      <c r="K1245" s="13" t="n">
        <v>12000</v>
      </c>
      <c r="L1245" s="6" t="n">
        <f aca="false">H1245*K1245</f>
        <v>12000</v>
      </c>
      <c r="M1245" s="14" t="s">
        <v>410</v>
      </c>
    </row>
    <row r="1246" customFormat="false" ht="15" hidden="false" customHeight="false" outlineLevel="0" collapsed="false">
      <c r="A1246" s="4" t="s">
        <v>221</v>
      </c>
      <c r="B1246" s="5" t="s">
        <v>236</v>
      </c>
      <c r="C1246" s="5" t="s">
        <v>237</v>
      </c>
      <c r="D1246" s="4" t="s">
        <v>22</v>
      </c>
      <c r="E1246" s="4" t="s">
        <v>1253</v>
      </c>
      <c r="F1246" s="4" t="s">
        <v>470</v>
      </c>
      <c r="G1246" s="4" t="s">
        <v>1254</v>
      </c>
      <c r="H1246" s="12" t="n">
        <v>1</v>
      </c>
      <c r="I1246" s="4" t="s">
        <v>474</v>
      </c>
      <c r="J1246" s="4" t="s">
        <v>409</v>
      </c>
      <c r="K1246" s="13" t="n">
        <v>8500</v>
      </c>
      <c r="L1246" s="6" t="n">
        <f aca="false">H1246*K1246</f>
        <v>8500</v>
      </c>
      <c r="M1246" s="14" t="s">
        <v>410</v>
      </c>
    </row>
    <row r="1247" customFormat="false" ht="15" hidden="false" customHeight="false" outlineLevel="0" collapsed="false">
      <c r="A1247" s="4" t="s">
        <v>221</v>
      </c>
      <c r="B1247" s="5" t="s">
        <v>236</v>
      </c>
      <c r="C1247" s="5" t="s">
        <v>237</v>
      </c>
      <c r="D1247" s="4" t="s">
        <v>22</v>
      </c>
      <c r="E1247" s="4" t="s">
        <v>2169</v>
      </c>
      <c r="F1247" s="4" t="s">
        <v>470</v>
      </c>
      <c r="G1247" s="4" t="s">
        <v>2170</v>
      </c>
      <c r="H1247" s="12" t="n">
        <v>1</v>
      </c>
      <c r="I1247" s="4" t="s">
        <v>474</v>
      </c>
      <c r="J1247" s="4" t="s">
        <v>409</v>
      </c>
      <c r="K1247" s="13" t="n">
        <v>85000</v>
      </c>
      <c r="L1247" s="6" t="n">
        <f aca="false">H1247*K1247</f>
        <v>85000</v>
      </c>
      <c r="M1247" s="14" t="s">
        <v>410</v>
      </c>
    </row>
    <row r="1248" customFormat="false" ht="15" hidden="false" customHeight="false" outlineLevel="0" collapsed="false">
      <c r="A1248" s="4" t="s">
        <v>221</v>
      </c>
      <c r="B1248" s="5" t="s">
        <v>236</v>
      </c>
      <c r="C1248" s="5" t="s">
        <v>237</v>
      </c>
      <c r="D1248" s="4" t="s">
        <v>22</v>
      </c>
      <c r="E1248" s="4" t="s">
        <v>2171</v>
      </c>
      <c r="F1248" s="4" t="s">
        <v>470</v>
      </c>
      <c r="G1248" s="4" t="s">
        <v>2172</v>
      </c>
      <c r="H1248" s="12" t="n">
        <v>1</v>
      </c>
      <c r="I1248" s="4" t="s">
        <v>474</v>
      </c>
      <c r="J1248" s="4" t="s">
        <v>409</v>
      </c>
      <c r="K1248" s="13" t="n">
        <v>8500</v>
      </c>
      <c r="L1248" s="6" t="n">
        <f aca="false">H1248*K1248</f>
        <v>8500</v>
      </c>
      <c r="M1248" s="4" t="s">
        <v>371</v>
      </c>
    </row>
    <row r="1249" customFormat="false" ht="15" hidden="false" customHeight="false" outlineLevel="0" collapsed="false">
      <c r="A1249" s="4" t="s">
        <v>221</v>
      </c>
      <c r="B1249" s="5" t="s">
        <v>236</v>
      </c>
      <c r="C1249" s="5" t="s">
        <v>237</v>
      </c>
      <c r="D1249" s="4" t="s">
        <v>22</v>
      </c>
      <c r="E1249" s="4" t="s">
        <v>2173</v>
      </c>
      <c r="F1249" s="4" t="s">
        <v>470</v>
      </c>
      <c r="G1249" s="4" t="s">
        <v>2174</v>
      </c>
      <c r="H1249" s="12" t="n">
        <v>1</v>
      </c>
      <c r="I1249" s="4" t="s">
        <v>474</v>
      </c>
      <c r="J1249" s="4" t="s">
        <v>543</v>
      </c>
      <c r="K1249" s="13" t="n">
        <v>12000</v>
      </c>
      <c r="L1249" s="6" t="n">
        <f aca="false">H1249*K1249</f>
        <v>12000</v>
      </c>
      <c r="M1249" s="4" t="s">
        <v>371</v>
      </c>
    </row>
    <row r="1250" customFormat="false" ht="15" hidden="false" customHeight="false" outlineLevel="0" collapsed="false">
      <c r="A1250" s="4" t="s">
        <v>221</v>
      </c>
      <c r="B1250" s="5" t="s">
        <v>236</v>
      </c>
      <c r="C1250" s="5" t="s">
        <v>237</v>
      </c>
      <c r="D1250" s="4" t="s">
        <v>22</v>
      </c>
      <c r="E1250" s="4" t="s">
        <v>2175</v>
      </c>
      <c r="F1250" s="4" t="s">
        <v>470</v>
      </c>
      <c r="G1250" s="4" t="s">
        <v>2176</v>
      </c>
      <c r="H1250" s="12" t="n">
        <v>1</v>
      </c>
      <c r="I1250" s="4" t="s">
        <v>408</v>
      </c>
      <c r="J1250" s="4" t="s">
        <v>543</v>
      </c>
      <c r="K1250" s="13" t="n">
        <v>12000</v>
      </c>
      <c r="L1250" s="6" t="n">
        <f aca="false">H1250*K1250</f>
        <v>12000</v>
      </c>
      <c r="M1250" s="4" t="s">
        <v>371</v>
      </c>
    </row>
    <row r="1251" customFormat="false" ht="15" hidden="false" customHeight="false" outlineLevel="0" collapsed="false">
      <c r="A1251" s="4" t="s">
        <v>221</v>
      </c>
      <c r="B1251" s="5" t="s">
        <v>236</v>
      </c>
      <c r="C1251" s="5" t="s">
        <v>237</v>
      </c>
      <c r="D1251" s="4" t="s">
        <v>22</v>
      </c>
      <c r="E1251" s="4" t="s">
        <v>2177</v>
      </c>
      <c r="F1251" s="4" t="s">
        <v>470</v>
      </c>
      <c r="G1251" s="4" t="s">
        <v>2178</v>
      </c>
      <c r="H1251" s="12" t="n">
        <v>1</v>
      </c>
      <c r="I1251" s="4" t="s">
        <v>408</v>
      </c>
      <c r="J1251" s="4" t="s">
        <v>543</v>
      </c>
      <c r="K1251" s="13" t="n">
        <v>1200</v>
      </c>
      <c r="L1251" s="6" t="n">
        <f aca="false">H1251*K1251</f>
        <v>1200</v>
      </c>
      <c r="M1251" s="4" t="s">
        <v>371</v>
      </c>
    </row>
    <row r="1252" customFormat="false" ht="15" hidden="false" customHeight="false" outlineLevel="0" collapsed="false">
      <c r="A1252" s="4" t="s">
        <v>221</v>
      </c>
      <c r="B1252" s="5" t="s">
        <v>236</v>
      </c>
      <c r="C1252" s="5" t="s">
        <v>237</v>
      </c>
      <c r="D1252" s="4" t="s">
        <v>22</v>
      </c>
      <c r="E1252" s="4" t="s">
        <v>2179</v>
      </c>
      <c r="F1252" s="4" t="s">
        <v>470</v>
      </c>
      <c r="G1252" s="4" t="s">
        <v>2180</v>
      </c>
      <c r="H1252" s="12" t="n">
        <v>1</v>
      </c>
      <c r="I1252" s="4" t="s">
        <v>408</v>
      </c>
      <c r="J1252" s="4" t="s">
        <v>543</v>
      </c>
      <c r="K1252" s="13" t="n">
        <v>12000</v>
      </c>
      <c r="L1252" s="6" t="n">
        <f aca="false">H1252*K1252</f>
        <v>12000</v>
      </c>
      <c r="M1252" s="4" t="s">
        <v>371</v>
      </c>
    </row>
    <row r="1253" customFormat="false" ht="15" hidden="false" customHeight="false" outlineLevel="0" collapsed="false">
      <c r="A1253" s="4" t="s">
        <v>221</v>
      </c>
      <c r="B1253" s="5" t="s">
        <v>236</v>
      </c>
      <c r="C1253" s="5" t="s">
        <v>237</v>
      </c>
      <c r="D1253" s="4" t="s">
        <v>22</v>
      </c>
      <c r="E1253" s="4" t="s">
        <v>2181</v>
      </c>
      <c r="F1253" s="4" t="s">
        <v>470</v>
      </c>
      <c r="G1253" s="4" t="s">
        <v>2182</v>
      </c>
      <c r="H1253" s="12" t="n">
        <v>25</v>
      </c>
      <c r="I1253" s="4" t="s">
        <v>474</v>
      </c>
      <c r="J1253" s="4" t="s">
        <v>416</v>
      </c>
      <c r="K1253" s="13" t="n">
        <v>18000</v>
      </c>
      <c r="L1253" s="6" t="n">
        <f aca="false">H1253*K1253</f>
        <v>450000</v>
      </c>
      <c r="M1253" s="4" t="s">
        <v>371</v>
      </c>
    </row>
    <row r="1254" customFormat="false" ht="15" hidden="false" customHeight="false" outlineLevel="0" collapsed="false">
      <c r="A1254" s="4" t="s">
        <v>221</v>
      </c>
      <c r="B1254" s="5" t="s">
        <v>236</v>
      </c>
      <c r="C1254" s="5" t="s">
        <v>237</v>
      </c>
      <c r="D1254" s="4" t="s">
        <v>22</v>
      </c>
      <c r="E1254" s="4" t="s">
        <v>2183</v>
      </c>
      <c r="F1254" s="4" t="s">
        <v>470</v>
      </c>
      <c r="G1254" s="4" t="s">
        <v>2184</v>
      </c>
      <c r="H1254" s="12" t="n">
        <v>15</v>
      </c>
      <c r="I1254" s="4" t="s">
        <v>474</v>
      </c>
      <c r="J1254" s="4" t="s">
        <v>409</v>
      </c>
      <c r="K1254" s="13" t="n">
        <v>8500</v>
      </c>
      <c r="L1254" s="6" t="n">
        <f aca="false">H1254*K1254</f>
        <v>127500</v>
      </c>
      <c r="M1254" s="4" t="s">
        <v>371</v>
      </c>
    </row>
    <row r="1255" customFormat="false" ht="15" hidden="false" customHeight="false" outlineLevel="0" collapsed="false">
      <c r="A1255" s="4" t="s">
        <v>221</v>
      </c>
      <c r="B1255" s="5" t="s">
        <v>236</v>
      </c>
      <c r="C1255" s="5" t="s">
        <v>237</v>
      </c>
      <c r="D1255" s="4" t="s">
        <v>22</v>
      </c>
      <c r="E1255" s="4" t="s">
        <v>2185</v>
      </c>
      <c r="F1255" s="4" t="s">
        <v>470</v>
      </c>
      <c r="G1255" s="4" t="s">
        <v>2186</v>
      </c>
      <c r="H1255" s="12" t="n">
        <v>15</v>
      </c>
      <c r="I1255" s="4" t="s">
        <v>474</v>
      </c>
      <c r="J1255" s="4" t="s">
        <v>409</v>
      </c>
      <c r="K1255" s="13" t="n">
        <v>4500</v>
      </c>
      <c r="L1255" s="6" t="n">
        <f aca="false">H1255*K1255</f>
        <v>67500</v>
      </c>
      <c r="M1255" s="4" t="s">
        <v>371</v>
      </c>
    </row>
    <row r="1256" customFormat="false" ht="15" hidden="false" customHeight="false" outlineLevel="0" collapsed="false">
      <c r="A1256" s="4" t="s">
        <v>221</v>
      </c>
      <c r="B1256" s="5" t="s">
        <v>236</v>
      </c>
      <c r="C1256" s="5" t="s">
        <v>237</v>
      </c>
      <c r="D1256" s="4" t="s">
        <v>22</v>
      </c>
      <c r="E1256" s="4" t="s">
        <v>2187</v>
      </c>
      <c r="F1256" s="4" t="s">
        <v>470</v>
      </c>
      <c r="G1256" s="4" t="s">
        <v>2188</v>
      </c>
      <c r="H1256" s="12" t="n">
        <v>2</v>
      </c>
      <c r="I1256" s="4" t="s">
        <v>474</v>
      </c>
      <c r="J1256" s="4" t="s">
        <v>409</v>
      </c>
      <c r="K1256" s="13" t="n">
        <v>8500</v>
      </c>
      <c r="L1256" s="6" t="n">
        <f aca="false">H1256*K1256</f>
        <v>17000</v>
      </c>
      <c r="M1256" s="4" t="s">
        <v>371</v>
      </c>
    </row>
    <row r="1257" customFormat="false" ht="15" hidden="false" customHeight="false" outlineLevel="0" collapsed="false">
      <c r="A1257" s="4" t="s">
        <v>221</v>
      </c>
      <c r="B1257" s="5" t="s">
        <v>236</v>
      </c>
      <c r="C1257" s="5" t="s">
        <v>237</v>
      </c>
      <c r="D1257" s="4" t="s">
        <v>22</v>
      </c>
      <c r="E1257" s="4" t="s">
        <v>2189</v>
      </c>
      <c r="F1257" s="4" t="s">
        <v>470</v>
      </c>
      <c r="G1257" s="4" t="s">
        <v>2190</v>
      </c>
      <c r="H1257" s="12" t="n">
        <v>1</v>
      </c>
      <c r="I1257" s="4" t="s">
        <v>474</v>
      </c>
      <c r="J1257" s="4" t="s">
        <v>409</v>
      </c>
      <c r="K1257" s="13" t="n">
        <v>8500</v>
      </c>
      <c r="L1257" s="6" t="n">
        <f aca="false">H1257*K1257</f>
        <v>8500</v>
      </c>
      <c r="M1257" s="4" t="s">
        <v>371</v>
      </c>
    </row>
    <row r="1258" customFormat="false" ht="15" hidden="false" customHeight="false" outlineLevel="0" collapsed="false">
      <c r="A1258" s="4" t="s">
        <v>221</v>
      </c>
      <c r="B1258" s="5" t="s">
        <v>236</v>
      </c>
      <c r="C1258" s="5" t="s">
        <v>237</v>
      </c>
      <c r="D1258" s="4" t="s">
        <v>22</v>
      </c>
      <c r="E1258" s="4" t="s">
        <v>2191</v>
      </c>
      <c r="F1258" s="4" t="s">
        <v>470</v>
      </c>
      <c r="G1258" s="4" t="s">
        <v>2192</v>
      </c>
      <c r="H1258" s="12" t="n">
        <v>1</v>
      </c>
      <c r="I1258" s="4" t="s">
        <v>474</v>
      </c>
      <c r="J1258" s="4" t="s">
        <v>409</v>
      </c>
      <c r="K1258" s="13" t="n">
        <v>3500</v>
      </c>
      <c r="L1258" s="6" t="n">
        <f aca="false">H1258*K1258</f>
        <v>3500</v>
      </c>
      <c r="M1258" s="4" t="s">
        <v>371</v>
      </c>
    </row>
    <row r="1259" customFormat="false" ht="15" hidden="false" customHeight="false" outlineLevel="0" collapsed="false">
      <c r="A1259" s="4" t="s">
        <v>221</v>
      </c>
      <c r="B1259" s="5" t="s">
        <v>236</v>
      </c>
      <c r="C1259" s="5" t="s">
        <v>237</v>
      </c>
      <c r="D1259" s="4" t="s">
        <v>22</v>
      </c>
      <c r="E1259" s="4" t="s">
        <v>2193</v>
      </c>
      <c r="F1259" s="4" t="s">
        <v>470</v>
      </c>
      <c r="G1259" s="4" t="s">
        <v>2194</v>
      </c>
      <c r="H1259" s="12" t="n">
        <v>2</v>
      </c>
      <c r="I1259" s="4" t="s">
        <v>474</v>
      </c>
      <c r="J1259" s="4" t="s">
        <v>409</v>
      </c>
      <c r="K1259" s="13" t="n">
        <v>18000</v>
      </c>
      <c r="L1259" s="6" t="n">
        <f aca="false">H1259*K1259</f>
        <v>36000</v>
      </c>
      <c r="M1259" s="4" t="s">
        <v>371</v>
      </c>
    </row>
    <row r="1260" customFormat="false" ht="15" hidden="false" customHeight="false" outlineLevel="0" collapsed="false">
      <c r="A1260" s="4" t="s">
        <v>221</v>
      </c>
      <c r="B1260" s="5" t="s">
        <v>236</v>
      </c>
      <c r="C1260" s="5" t="s">
        <v>237</v>
      </c>
      <c r="D1260" s="4" t="s">
        <v>22</v>
      </c>
      <c r="E1260" s="4" t="s">
        <v>2195</v>
      </c>
      <c r="F1260" s="4" t="s">
        <v>470</v>
      </c>
      <c r="G1260" s="4" t="s">
        <v>2196</v>
      </c>
      <c r="H1260" s="12" t="n">
        <v>1</v>
      </c>
      <c r="I1260" s="4" t="s">
        <v>474</v>
      </c>
      <c r="J1260" s="4" t="s">
        <v>409</v>
      </c>
      <c r="K1260" s="13" t="n">
        <v>6500</v>
      </c>
      <c r="L1260" s="6" t="n">
        <f aca="false">H1260*K1260</f>
        <v>6500</v>
      </c>
      <c r="M1260" s="4" t="s">
        <v>371</v>
      </c>
    </row>
    <row r="1261" customFormat="false" ht="15" hidden="false" customHeight="false" outlineLevel="0" collapsed="false">
      <c r="A1261" s="4" t="s">
        <v>221</v>
      </c>
      <c r="B1261" s="5" t="s">
        <v>236</v>
      </c>
      <c r="C1261" s="5" t="s">
        <v>237</v>
      </c>
      <c r="D1261" s="4" t="s">
        <v>22</v>
      </c>
      <c r="E1261" s="4" t="s">
        <v>2197</v>
      </c>
      <c r="F1261" s="4" t="s">
        <v>470</v>
      </c>
      <c r="G1261" s="4" t="s">
        <v>2198</v>
      </c>
      <c r="H1261" s="12" t="n">
        <v>1</v>
      </c>
      <c r="I1261" s="4" t="s">
        <v>474</v>
      </c>
      <c r="J1261" s="4" t="s">
        <v>409</v>
      </c>
      <c r="K1261" s="13" t="n">
        <v>18000</v>
      </c>
      <c r="L1261" s="6" t="n">
        <f aca="false">H1261*K1261</f>
        <v>18000</v>
      </c>
      <c r="M1261" s="4" t="s">
        <v>371</v>
      </c>
    </row>
    <row r="1262" customFormat="false" ht="15" hidden="false" customHeight="false" outlineLevel="0" collapsed="false">
      <c r="A1262" s="4" t="s">
        <v>221</v>
      </c>
      <c r="B1262" s="5" t="s">
        <v>236</v>
      </c>
      <c r="C1262" s="5" t="s">
        <v>237</v>
      </c>
      <c r="D1262" s="4" t="s">
        <v>22</v>
      </c>
      <c r="E1262" s="4" t="s">
        <v>2199</v>
      </c>
      <c r="F1262" s="4" t="s">
        <v>470</v>
      </c>
      <c r="G1262" s="4" t="s">
        <v>2200</v>
      </c>
      <c r="H1262" s="12" t="n">
        <v>1</v>
      </c>
      <c r="I1262" s="4" t="s">
        <v>474</v>
      </c>
      <c r="J1262" s="4" t="s">
        <v>409</v>
      </c>
      <c r="K1262" s="13" t="n">
        <v>8500</v>
      </c>
      <c r="L1262" s="6" t="n">
        <f aca="false">H1262*K1262</f>
        <v>8500</v>
      </c>
      <c r="M1262" s="4" t="s">
        <v>371</v>
      </c>
    </row>
    <row r="1263" customFormat="false" ht="15" hidden="false" customHeight="false" outlineLevel="0" collapsed="false">
      <c r="A1263" s="4" t="s">
        <v>221</v>
      </c>
      <c r="B1263" s="5" t="s">
        <v>236</v>
      </c>
      <c r="C1263" s="5" t="s">
        <v>237</v>
      </c>
      <c r="D1263" s="4" t="s">
        <v>22</v>
      </c>
      <c r="E1263" s="4" t="s">
        <v>1089</v>
      </c>
      <c r="F1263" s="4" t="s">
        <v>470</v>
      </c>
      <c r="G1263" s="4" t="s">
        <v>1090</v>
      </c>
      <c r="H1263" s="12" t="n">
        <v>1</v>
      </c>
      <c r="I1263" s="4" t="s">
        <v>474</v>
      </c>
      <c r="J1263" s="4" t="s">
        <v>409</v>
      </c>
      <c r="K1263" s="13" t="n">
        <v>3500</v>
      </c>
      <c r="L1263" s="6" t="n">
        <f aca="false">H1263*K1263</f>
        <v>3500</v>
      </c>
      <c r="M1263" s="4" t="s">
        <v>371</v>
      </c>
    </row>
    <row r="1264" customFormat="false" ht="15" hidden="false" customHeight="false" outlineLevel="0" collapsed="false">
      <c r="A1264" s="4" t="s">
        <v>246</v>
      </c>
      <c r="B1264" s="5" t="s">
        <v>251</v>
      </c>
      <c r="C1264" s="5" t="s">
        <v>252</v>
      </c>
      <c r="D1264" s="4" t="s">
        <v>22</v>
      </c>
      <c r="E1264" s="4" t="s">
        <v>2201</v>
      </c>
      <c r="F1264" s="4" t="s">
        <v>406</v>
      </c>
      <c r="G1264" s="4" t="s">
        <v>2202</v>
      </c>
      <c r="H1264" s="12" t="n">
        <v>1</v>
      </c>
      <c r="I1264" s="4" t="s">
        <v>474</v>
      </c>
      <c r="J1264" s="4" t="s">
        <v>416</v>
      </c>
      <c r="K1264" s="13" t="n">
        <v>1800</v>
      </c>
      <c r="L1264" s="6" t="n">
        <f aca="false">H1264*K1264</f>
        <v>1800</v>
      </c>
      <c r="M1264" s="14" t="s">
        <v>410</v>
      </c>
    </row>
    <row r="1265" customFormat="false" ht="15" hidden="false" customHeight="false" outlineLevel="0" collapsed="false">
      <c r="A1265" s="4" t="s">
        <v>246</v>
      </c>
      <c r="B1265" s="5" t="s">
        <v>251</v>
      </c>
      <c r="C1265" s="5" t="s">
        <v>252</v>
      </c>
      <c r="D1265" s="4" t="s">
        <v>22</v>
      </c>
      <c r="E1265" s="4" t="s">
        <v>2203</v>
      </c>
      <c r="F1265" s="4" t="s">
        <v>406</v>
      </c>
      <c r="G1265" s="4" t="s">
        <v>2204</v>
      </c>
      <c r="H1265" s="12" t="n">
        <v>2</v>
      </c>
      <c r="I1265" s="4" t="s">
        <v>474</v>
      </c>
      <c r="J1265" s="4" t="s">
        <v>416</v>
      </c>
      <c r="K1265" s="13" t="n">
        <v>650</v>
      </c>
      <c r="L1265" s="6" t="n">
        <f aca="false">H1265*K1265</f>
        <v>1300</v>
      </c>
      <c r="M1265" s="14" t="s">
        <v>410</v>
      </c>
    </row>
    <row r="1266" customFormat="false" ht="15" hidden="false" customHeight="false" outlineLevel="0" collapsed="false">
      <c r="A1266" s="4" t="s">
        <v>246</v>
      </c>
      <c r="B1266" s="5" t="s">
        <v>251</v>
      </c>
      <c r="C1266" s="5" t="s">
        <v>252</v>
      </c>
      <c r="D1266" s="4" t="s">
        <v>22</v>
      </c>
      <c r="E1266" s="4" t="s">
        <v>2205</v>
      </c>
      <c r="F1266" s="4" t="s">
        <v>406</v>
      </c>
      <c r="G1266" s="4" t="s">
        <v>2206</v>
      </c>
      <c r="H1266" s="12" t="n">
        <v>2</v>
      </c>
      <c r="I1266" s="4" t="s">
        <v>474</v>
      </c>
      <c r="J1266" s="4" t="s">
        <v>416</v>
      </c>
      <c r="K1266" s="13" t="n">
        <v>450</v>
      </c>
      <c r="L1266" s="6" t="n">
        <f aca="false">H1266*K1266</f>
        <v>900</v>
      </c>
      <c r="M1266" s="14" t="s">
        <v>410</v>
      </c>
    </row>
    <row r="1267" customFormat="false" ht="15" hidden="false" customHeight="false" outlineLevel="0" collapsed="false">
      <c r="A1267" s="4" t="s">
        <v>246</v>
      </c>
      <c r="B1267" s="5" t="s">
        <v>251</v>
      </c>
      <c r="C1267" s="5" t="s">
        <v>252</v>
      </c>
      <c r="D1267" s="4" t="s">
        <v>22</v>
      </c>
      <c r="E1267" s="4" t="s">
        <v>2207</v>
      </c>
      <c r="F1267" s="4" t="s">
        <v>406</v>
      </c>
      <c r="G1267" s="4" t="s">
        <v>2208</v>
      </c>
      <c r="H1267" s="12" t="n">
        <v>10</v>
      </c>
      <c r="I1267" s="4" t="s">
        <v>474</v>
      </c>
      <c r="J1267" s="4" t="s">
        <v>409</v>
      </c>
      <c r="K1267" s="13" t="n">
        <v>450</v>
      </c>
      <c r="L1267" s="6" t="n">
        <f aca="false">H1267*K1267</f>
        <v>4500</v>
      </c>
      <c r="M1267" s="4" t="s">
        <v>371</v>
      </c>
    </row>
    <row r="1268" customFormat="false" ht="15" hidden="false" customHeight="false" outlineLevel="0" collapsed="false">
      <c r="A1268" s="4" t="s">
        <v>246</v>
      </c>
      <c r="B1268" s="5" t="s">
        <v>251</v>
      </c>
      <c r="C1268" s="5" t="s">
        <v>252</v>
      </c>
      <c r="D1268" s="4" t="s">
        <v>22</v>
      </c>
      <c r="E1268" s="4" t="s">
        <v>2209</v>
      </c>
      <c r="F1268" s="4" t="s">
        <v>406</v>
      </c>
      <c r="G1268" s="4" t="s">
        <v>2210</v>
      </c>
      <c r="H1268" s="12" t="n">
        <v>1</v>
      </c>
      <c r="I1268" s="4" t="s">
        <v>408</v>
      </c>
      <c r="J1268" s="4" t="s">
        <v>409</v>
      </c>
      <c r="K1268" s="13" t="n">
        <v>1800</v>
      </c>
      <c r="L1268" s="6" t="n">
        <f aca="false">H1268*K1268</f>
        <v>1800</v>
      </c>
      <c r="M1268" s="14" t="s">
        <v>410</v>
      </c>
    </row>
    <row r="1269" customFormat="false" ht="15" hidden="false" customHeight="false" outlineLevel="0" collapsed="false">
      <c r="A1269" s="4" t="s">
        <v>246</v>
      </c>
      <c r="B1269" s="5" t="s">
        <v>251</v>
      </c>
      <c r="C1269" s="5" t="s">
        <v>252</v>
      </c>
      <c r="D1269" s="4" t="s">
        <v>22</v>
      </c>
      <c r="E1269" s="4" t="s">
        <v>2211</v>
      </c>
      <c r="F1269" s="4" t="s">
        <v>406</v>
      </c>
      <c r="G1269" s="4" t="s">
        <v>2212</v>
      </c>
      <c r="H1269" s="12" t="n">
        <v>1</v>
      </c>
      <c r="I1269" s="4" t="s">
        <v>474</v>
      </c>
      <c r="J1269" s="4" t="s">
        <v>409</v>
      </c>
      <c r="K1269" s="13" t="n">
        <v>180</v>
      </c>
      <c r="L1269" s="6" t="n">
        <f aca="false">H1269*K1269</f>
        <v>180</v>
      </c>
      <c r="M1269" s="14" t="s">
        <v>410</v>
      </c>
    </row>
    <row r="1270" customFormat="false" ht="15" hidden="false" customHeight="false" outlineLevel="0" collapsed="false">
      <c r="A1270" s="4" t="s">
        <v>246</v>
      </c>
      <c r="B1270" s="5" t="s">
        <v>251</v>
      </c>
      <c r="C1270" s="5" t="s">
        <v>252</v>
      </c>
      <c r="D1270" s="4" t="s">
        <v>22</v>
      </c>
      <c r="E1270" s="4" t="s">
        <v>2213</v>
      </c>
      <c r="F1270" s="4" t="s">
        <v>406</v>
      </c>
      <c r="G1270" s="4" t="s">
        <v>2214</v>
      </c>
      <c r="H1270" s="12" t="n">
        <v>2</v>
      </c>
      <c r="I1270" s="4" t="s">
        <v>474</v>
      </c>
      <c r="J1270" s="4" t="s">
        <v>409</v>
      </c>
      <c r="K1270" s="13" t="n">
        <v>350</v>
      </c>
      <c r="L1270" s="6" t="n">
        <f aca="false">H1270*K1270</f>
        <v>700</v>
      </c>
      <c r="M1270" s="4" t="s">
        <v>371</v>
      </c>
    </row>
    <row r="1271" customFormat="false" ht="15" hidden="false" customHeight="false" outlineLevel="0" collapsed="false">
      <c r="A1271" s="4" t="s">
        <v>246</v>
      </c>
      <c r="B1271" s="5" t="s">
        <v>251</v>
      </c>
      <c r="C1271" s="5" t="s">
        <v>252</v>
      </c>
      <c r="D1271" s="4" t="s">
        <v>22</v>
      </c>
      <c r="E1271" s="4" t="s">
        <v>2215</v>
      </c>
      <c r="F1271" s="4" t="s">
        <v>406</v>
      </c>
      <c r="G1271" s="4" t="s">
        <v>2216</v>
      </c>
      <c r="H1271" s="12" t="n">
        <v>1</v>
      </c>
      <c r="I1271" s="4" t="s">
        <v>408</v>
      </c>
      <c r="J1271" s="4" t="s">
        <v>409</v>
      </c>
      <c r="K1271" s="13" t="n">
        <v>1200</v>
      </c>
      <c r="L1271" s="6" t="n">
        <f aca="false">H1271*K1271</f>
        <v>1200</v>
      </c>
      <c r="M1271" s="4" t="s">
        <v>371</v>
      </c>
    </row>
    <row r="1272" customFormat="false" ht="15" hidden="false" customHeight="false" outlineLevel="0" collapsed="false">
      <c r="A1272" s="4" t="s">
        <v>246</v>
      </c>
      <c r="B1272" s="5" t="s">
        <v>251</v>
      </c>
      <c r="C1272" s="5" t="s">
        <v>252</v>
      </c>
      <c r="D1272" s="4" t="s">
        <v>22</v>
      </c>
      <c r="E1272" s="4" t="s">
        <v>2217</v>
      </c>
      <c r="F1272" s="4" t="s">
        <v>406</v>
      </c>
      <c r="G1272" s="4" t="s">
        <v>2218</v>
      </c>
      <c r="H1272" s="12" t="n">
        <v>1</v>
      </c>
      <c r="I1272" s="4" t="s">
        <v>474</v>
      </c>
      <c r="J1272" s="4" t="s">
        <v>409</v>
      </c>
      <c r="K1272" s="13" t="n">
        <v>4500</v>
      </c>
      <c r="L1272" s="6" t="n">
        <f aca="false">H1272*K1272</f>
        <v>4500</v>
      </c>
      <c r="M1272" s="14" t="s">
        <v>410</v>
      </c>
    </row>
    <row r="1273" customFormat="false" ht="15" hidden="false" customHeight="false" outlineLevel="0" collapsed="false">
      <c r="A1273" s="4" t="s">
        <v>246</v>
      </c>
      <c r="B1273" s="5" t="s">
        <v>251</v>
      </c>
      <c r="C1273" s="5" t="s">
        <v>252</v>
      </c>
      <c r="D1273" s="4" t="s">
        <v>22</v>
      </c>
      <c r="E1273" s="4" t="s">
        <v>2219</v>
      </c>
      <c r="F1273" s="4" t="s">
        <v>406</v>
      </c>
      <c r="G1273" s="4" t="s">
        <v>2220</v>
      </c>
      <c r="H1273" s="12" t="n">
        <v>1</v>
      </c>
      <c r="I1273" s="4" t="s">
        <v>474</v>
      </c>
      <c r="J1273" s="4" t="s">
        <v>409</v>
      </c>
      <c r="K1273" s="13" t="n">
        <v>2500</v>
      </c>
      <c r="L1273" s="6" t="n">
        <f aca="false">H1273*K1273</f>
        <v>2500</v>
      </c>
      <c r="M1273" s="4" t="s">
        <v>371</v>
      </c>
    </row>
    <row r="1274" customFormat="false" ht="15" hidden="false" customHeight="false" outlineLevel="0" collapsed="false">
      <c r="A1274" s="4" t="s">
        <v>246</v>
      </c>
      <c r="B1274" s="5" t="s">
        <v>251</v>
      </c>
      <c r="C1274" s="5" t="s">
        <v>252</v>
      </c>
      <c r="D1274" s="4" t="s">
        <v>22</v>
      </c>
      <c r="E1274" s="4" t="s">
        <v>2221</v>
      </c>
      <c r="F1274" s="4" t="s">
        <v>406</v>
      </c>
      <c r="G1274" s="4" t="s">
        <v>2222</v>
      </c>
      <c r="H1274" s="12" t="n">
        <v>1</v>
      </c>
      <c r="I1274" s="4" t="s">
        <v>408</v>
      </c>
      <c r="J1274" s="4" t="s">
        <v>409</v>
      </c>
      <c r="K1274" s="13" t="n">
        <v>4500</v>
      </c>
      <c r="L1274" s="6" t="n">
        <f aca="false">H1274*K1274</f>
        <v>4500</v>
      </c>
      <c r="M1274" s="4" t="s">
        <v>371</v>
      </c>
    </row>
    <row r="1275" customFormat="false" ht="15" hidden="false" customHeight="false" outlineLevel="0" collapsed="false">
      <c r="A1275" s="4" t="s">
        <v>246</v>
      </c>
      <c r="B1275" s="5" t="s">
        <v>251</v>
      </c>
      <c r="C1275" s="5" t="s">
        <v>252</v>
      </c>
      <c r="D1275" s="4" t="s">
        <v>22</v>
      </c>
      <c r="E1275" s="4" t="s">
        <v>2223</v>
      </c>
      <c r="F1275" s="4" t="s">
        <v>406</v>
      </c>
      <c r="G1275" s="4" t="s">
        <v>2224</v>
      </c>
      <c r="H1275" s="12" t="n">
        <v>1</v>
      </c>
      <c r="I1275" s="4" t="s">
        <v>408</v>
      </c>
      <c r="J1275" s="4" t="s">
        <v>416</v>
      </c>
      <c r="K1275" s="13" t="n">
        <v>1800</v>
      </c>
      <c r="L1275" s="6" t="n">
        <f aca="false">H1275*K1275</f>
        <v>1800</v>
      </c>
      <c r="M1275" s="4" t="s">
        <v>371</v>
      </c>
    </row>
    <row r="1276" customFormat="false" ht="15" hidden="false" customHeight="false" outlineLevel="0" collapsed="false">
      <c r="A1276" s="4" t="s">
        <v>246</v>
      </c>
      <c r="B1276" s="5" t="s">
        <v>251</v>
      </c>
      <c r="C1276" s="5" t="s">
        <v>252</v>
      </c>
      <c r="D1276" s="4" t="s">
        <v>22</v>
      </c>
      <c r="E1276" s="4" t="s">
        <v>2225</v>
      </c>
      <c r="F1276" s="4" t="s">
        <v>406</v>
      </c>
      <c r="G1276" s="4" t="s">
        <v>2226</v>
      </c>
      <c r="H1276" s="12" t="n">
        <v>1</v>
      </c>
      <c r="I1276" s="4" t="s">
        <v>408</v>
      </c>
      <c r="J1276" s="4" t="s">
        <v>409</v>
      </c>
      <c r="K1276" s="13" t="n">
        <v>350</v>
      </c>
      <c r="L1276" s="6" t="n">
        <f aca="false">H1276*K1276</f>
        <v>350</v>
      </c>
      <c r="M1276" s="14" t="s">
        <v>410</v>
      </c>
    </row>
    <row r="1277" customFormat="false" ht="15" hidden="false" customHeight="false" outlineLevel="0" collapsed="false">
      <c r="A1277" s="4" t="s">
        <v>246</v>
      </c>
      <c r="B1277" s="5" t="s">
        <v>251</v>
      </c>
      <c r="C1277" s="5" t="s">
        <v>252</v>
      </c>
      <c r="D1277" s="4" t="s">
        <v>22</v>
      </c>
      <c r="E1277" s="4" t="s">
        <v>2227</v>
      </c>
      <c r="F1277" s="4" t="s">
        <v>406</v>
      </c>
      <c r="G1277" s="4" t="s">
        <v>2228</v>
      </c>
      <c r="H1277" s="12" t="n">
        <v>1</v>
      </c>
      <c r="I1277" s="4" t="s">
        <v>474</v>
      </c>
      <c r="J1277" s="4" t="s">
        <v>409</v>
      </c>
      <c r="K1277" s="13" t="n">
        <v>18000</v>
      </c>
      <c r="L1277" s="6" t="n">
        <f aca="false">H1277*K1277</f>
        <v>18000</v>
      </c>
      <c r="M1277" s="4" t="s">
        <v>371</v>
      </c>
    </row>
    <row r="1278" customFormat="false" ht="15" hidden="false" customHeight="false" outlineLevel="0" collapsed="false">
      <c r="A1278" s="4" t="s">
        <v>246</v>
      </c>
      <c r="B1278" s="5" t="s">
        <v>251</v>
      </c>
      <c r="C1278" s="5" t="s">
        <v>252</v>
      </c>
      <c r="D1278" s="4" t="s">
        <v>22</v>
      </c>
      <c r="E1278" s="4" t="s">
        <v>2229</v>
      </c>
      <c r="F1278" s="4" t="s">
        <v>406</v>
      </c>
      <c r="G1278" s="4" t="s">
        <v>2230</v>
      </c>
      <c r="H1278" s="12" t="n">
        <v>1</v>
      </c>
      <c r="I1278" s="4" t="s">
        <v>474</v>
      </c>
      <c r="J1278" s="4" t="s">
        <v>409</v>
      </c>
      <c r="K1278" s="13" t="n">
        <v>8500</v>
      </c>
      <c r="L1278" s="6" t="n">
        <f aca="false">H1278*K1278</f>
        <v>8500</v>
      </c>
      <c r="M1278" s="4" t="s">
        <v>371</v>
      </c>
    </row>
    <row r="1279" customFormat="false" ht="15" hidden="false" customHeight="false" outlineLevel="0" collapsed="false">
      <c r="A1279" s="4" t="s">
        <v>246</v>
      </c>
      <c r="B1279" s="5" t="s">
        <v>251</v>
      </c>
      <c r="C1279" s="5" t="s">
        <v>252</v>
      </c>
      <c r="D1279" s="4" t="s">
        <v>22</v>
      </c>
      <c r="E1279" s="4" t="s">
        <v>2231</v>
      </c>
      <c r="F1279" s="4" t="s">
        <v>406</v>
      </c>
      <c r="G1279" s="4" t="s">
        <v>2232</v>
      </c>
      <c r="H1279" s="12" t="n">
        <v>1</v>
      </c>
      <c r="I1279" s="4" t="s">
        <v>474</v>
      </c>
      <c r="J1279" s="4" t="s">
        <v>416</v>
      </c>
      <c r="K1279" s="13" t="n">
        <v>8500</v>
      </c>
      <c r="L1279" s="6" t="n">
        <f aca="false">H1279*K1279</f>
        <v>8500</v>
      </c>
      <c r="M1279" s="4" t="s">
        <v>371</v>
      </c>
    </row>
    <row r="1280" customFormat="false" ht="15" hidden="false" customHeight="false" outlineLevel="0" collapsed="false">
      <c r="A1280" s="4" t="s">
        <v>246</v>
      </c>
      <c r="B1280" s="5" t="s">
        <v>251</v>
      </c>
      <c r="C1280" s="5" t="s">
        <v>252</v>
      </c>
      <c r="D1280" s="4" t="s">
        <v>22</v>
      </c>
      <c r="E1280" s="4" t="s">
        <v>2233</v>
      </c>
      <c r="F1280" s="4" t="s">
        <v>406</v>
      </c>
      <c r="G1280" s="4" t="s">
        <v>2234</v>
      </c>
      <c r="H1280" s="12" t="n">
        <v>1</v>
      </c>
      <c r="I1280" s="4" t="s">
        <v>408</v>
      </c>
      <c r="J1280" s="4" t="s">
        <v>409</v>
      </c>
      <c r="K1280" s="13" t="n">
        <v>120</v>
      </c>
      <c r="L1280" s="6" t="n">
        <f aca="false">H1280*K1280</f>
        <v>120</v>
      </c>
      <c r="M1280" s="4" t="s">
        <v>371</v>
      </c>
    </row>
    <row r="1281" customFormat="false" ht="15" hidden="false" customHeight="false" outlineLevel="0" collapsed="false">
      <c r="A1281" s="4" t="s">
        <v>246</v>
      </c>
      <c r="B1281" s="5" t="s">
        <v>251</v>
      </c>
      <c r="C1281" s="5" t="s">
        <v>252</v>
      </c>
      <c r="D1281" s="4" t="s">
        <v>22</v>
      </c>
      <c r="E1281" s="4" t="s">
        <v>2235</v>
      </c>
      <c r="F1281" s="4" t="s">
        <v>406</v>
      </c>
      <c r="G1281" s="4" t="s">
        <v>2236</v>
      </c>
      <c r="H1281" s="12" t="n">
        <v>5</v>
      </c>
      <c r="I1281" s="4" t="s">
        <v>474</v>
      </c>
      <c r="J1281" s="4" t="s">
        <v>416</v>
      </c>
      <c r="K1281" s="13" t="n">
        <v>1200</v>
      </c>
      <c r="L1281" s="6" t="n">
        <f aca="false">H1281*K1281</f>
        <v>6000</v>
      </c>
      <c r="M1281" s="4" t="s">
        <v>371</v>
      </c>
    </row>
    <row r="1282" customFormat="false" ht="15" hidden="false" customHeight="false" outlineLevel="0" collapsed="false">
      <c r="A1282" s="4" t="s">
        <v>246</v>
      </c>
      <c r="B1282" s="5" t="s">
        <v>251</v>
      </c>
      <c r="C1282" s="5" t="s">
        <v>252</v>
      </c>
      <c r="D1282" s="4" t="s">
        <v>22</v>
      </c>
      <c r="E1282" s="4" t="s">
        <v>2237</v>
      </c>
      <c r="F1282" s="4" t="s">
        <v>406</v>
      </c>
      <c r="G1282" s="4" t="s">
        <v>2238</v>
      </c>
      <c r="H1282" s="12" t="n">
        <v>1</v>
      </c>
      <c r="I1282" s="4" t="s">
        <v>408</v>
      </c>
      <c r="J1282" s="4" t="s">
        <v>416</v>
      </c>
      <c r="K1282" s="13" t="n">
        <v>1200</v>
      </c>
      <c r="L1282" s="6" t="n">
        <f aca="false">H1282*K1282</f>
        <v>1200</v>
      </c>
      <c r="M1282" s="14" t="s">
        <v>410</v>
      </c>
    </row>
    <row r="1283" customFormat="false" ht="15" hidden="false" customHeight="false" outlineLevel="0" collapsed="false">
      <c r="A1283" s="4" t="s">
        <v>246</v>
      </c>
      <c r="B1283" s="5" t="s">
        <v>251</v>
      </c>
      <c r="C1283" s="5" t="s">
        <v>252</v>
      </c>
      <c r="D1283" s="4" t="s">
        <v>22</v>
      </c>
      <c r="E1283" s="4" t="s">
        <v>2239</v>
      </c>
      <c r="F1283" s="4" t="s">
        <v>406</v>
      </c>
      <c r="G1283" s="4" t="s">
        <v>2240</v>
      </c>
      <c r="H1283" s="12" t="n">
        <v>1</v>
      </c>
      <c r="I1283" s="4" t="s">
        <v>408</v>
      </c>
      <c r="J1283" s="4" t="s">
        <v>409</v>
      </c>
      <c r="K1283" s="13" t="n">
        <v>8500</v>
      </c>
      <c r="L1283" s="6" t="n">
        <f aca="false">H1283*K1283</f>
        <v>8500</v>
      </c>
      <c r="M1283" s="14" t="s">
        <v>410</v>
      </c>
    </row>
    <row r="1284" customFormat="false" ht="15" hidden="false" customHeight="false" outlineLevel="0" collapsed="false">
      <c r="A1284" s="4" t="s">
        <v>246</v>
      </c>
      <c r="B1284" s="5" t="s">
        <v>251</v>
      </c>
      <c r="C1284" s="5" t="s">
        <v>252</v>
      </c>
      <c r="D1284" s="4" t="s">
        <v>22</v>
      </c>
      <c r="E1284" s="4" t="s">
        <v>2241</v>
      </c>
      <c r="F1284" s="4" t="s">
        <v>406</v>
      </c>
      <c r="G1284" s="4" t="s">
        <v>2242</v>
      </c>
      <c r="H1284" s="12" t="n">
        <v>1</v>
      </c>
      <c r="I1284" s="4" t="s">
        <v>474</v>
      </c>
      <c r="J1284" s="4" t="s">
        <v>409</v>
      </c>
      <c r="K1284" s="13" t="n">
        <v>18000</v>
      </c>
      <c r="L1284" s="6" t="n">
        <f aca="false">H1284*K1284</f>
        <v>18000</v>
      </c>
      <c r="M1284" s="14" t="s">
        <v>410</v>
      </c>
    </row>
    <row r="1285" customFormat="false" ht="15" hidden="false" customHeight="false" outlineLevel="0" collapsed="false">
      <c r="A1285" s="4" t="s">
        <v>246</v>
      </c>
      <c r="B1285" s="5" t="s">
        <v>251</v>
      </c>
      <c r="C1285" s="5" t="s">
        <v>252</v>
      </c>
      <c r="D1285" s="4" t="s">
        <v>22</v>
      </c>
      <c r="E1285" s="4" t="s">
        <v>2243</v>
      </c>
      <c r="F1285" s="4" t="s">
        <v>406</v>
      </c>
      <c r="G1285" s="4" t="s">
        <v>2244</v>
      </c>
      <c r="H1285" s="12" t="n">
        <v>1</v>
      </c>
      <c r="I1285" s="4" t="s">
        <v>474</v>
      </c>
      <c r="J1285" s="4" t="s">
        <v>409</v>
      </c>
      <c r="K1285" s="13" t="n">
        <v>4500</v>
      </c>
      <c r="L1285" s="6" t="n">
        <f aca="false">H1285*K1285</f>
        <v>4500</v>
      </c>
      <c r="M1285" s="14" t="s">
        <v>410</v>
      </c>
    </row>
    <row r="1286" customFormat="false" ht="15" hidden="false" customHeight="false" outlineLevel="0" collapsed="false">
      <c r="A1286" s="4" t="s">
        <v>246</v>
      </c>
      <c r="B1286" s="5" t="s">
        <v>251</v>
      </c>
      <c r="C1286" s="5" t="s">
        <v>252</v>
      </c>
      <c r="D1286" s="4" t="s">
        <v>22</v>
      </c>
      <c r="E1286" s="4" t="s">
        <v>2245</v>
      </c>
      <c r="F1286" s="4" t="s">
        <v>406</v>
      </c>
      <c r="G1286" s="4" t="s">
        <v>2246</v>
      </c>
      <c r="H1286" s="12" t="n">
        <v>2</v>
      </c>
      <c r="I1286" s="4" t="s">
        <v>474</v>
      </c>
      <c r="J1286" s="4" t="s">
        <v>409</v>
      </c>
      <c r="K1286" s="13" t="n">
        <v>850</v>
      </c>
      <c r="L1286" s="6" t="n">
        <f aca="false">H1286*K1286</f>
        <v>1700</v>
      </c>
      <c r="M1286" s="14" t="s">
        <v>410</v>
      </c>
    </row>
    <row r="1287" customFormat="false" ht="15" hidden="false" customHeight="false" outlineLevel="0" collapsed="false">
      <c r="A1287" s="4" t="s">
        <v>246</v>
      </c>
      <c r="B1287" s="5" t="s">
        <v>251</v>
      </c>
      <c r="C1287" s="5" t="s">
        <v>252</v>
      </c>
      <c r="D1287" s="4" t="s">
        <v>22</v>
      </c>
      <c r="E1287" s="4" t="s">
        <v>2247</v>
      </c>
      <c r="F1287" s="4" t="s">
        <v>406</v>
      </c>
      <c r="G1287" s="4" t="s">
        <v>2248</v>
      </c>
      <c r="H1287" s="12" t="n">
        <v>2</v>
      </c>
      <c r="I1287" s="4" t="s">
        <v>474</v>
      </c>
      <c r="J1287" s="4" t="s">
        <v>416</v>
      </c>
      <c r="K1287" s="13" t="n">
        <v>1800</v>
      </c>
      <c r="L1287" s="6" t="n">
        <f aca="false">H1287*K1287</f>
        <v>3600</v>
      </c>
      <c r="M1287" s="4" t="s">
        <v>371</v>
      </c>
    </row>
    <row r="1288" customFormat="false" ht="15" hidden="false" customHeight="false" outlineLevel="0" collapsed="false">
      <c r="A1288" s="4" t="s">
        <v>246</v>
      </c>
      <c r="B1288" s="5" t="s">
        <v>251</v>
      </c>
      <c r="C1288" s="5" t="s">
        <v>252</v>
      </c>
      <c r="D1288" s="4" t="s">
        <v>22</v>
      </c>
      <c r="E1288" s="4" t="s">
        <v>2249</v>
      </c>
      <c r="F1288" s="4" t="s">
        <v>406</v>
      </c>
      <c r="G1288" s="4" t="s">
        <v>2250</v>
      </c>
      <c r="H1288" s="12" t="n">
        <v>10</v>
      </c>
      <c r="I1288" s="4" t="s">
        <v>474</v>
      </c>
      <c r="J1288" s="4" t="s">
        <v>409</v>
      </c>
      <c r="K1288" s="13" t="n">
        <v>80</v>
      </c>
      <c r="L1288" s="6" t="n">
        <f aca="false">H1288*K1288</f>
        <v>800</v>
      </c>
      <c r="M1288" s="14" t="s">
        <v>410</v>
      </c>
    </row>
    <row r="1289" customFormat="false" ht="15" hidden="false" customHeight="false" outlineLevel="0" collapsed="false">
      <c r="A1289" s="4" t="s">
        <v>246</v>
      </c>
      <c r="B1289" s="5" t="s">
        <v>251</v>
      </c>
      <c r="C1289" s="5" t="s">
        <v>252</v>
      </c>
      <c r="D1289" s="4" t="s">
        <v>22</v>
      </c>
      <c r="E1289" s="4" t="s">
        <v>2251</v>
      </c>
      <c r="F1289" s="4" t="s">
        <v>406</v>
      </c>
      <c r="G1289" s="4" t="s">
        <v>2252</v>
      </c>
      <c r="H1289" s="12" t="n">
        <v>1</v>
      </c>
      <c r="I1289" s="4" t="s">
        <v>474</v>
      </c>
      <c r="J1289" s="4" t="s">
        <v>409</v>
      </c>
      <c r="K1289" s="13" t="n">
        <v>85000</v>
      </c>
      <c r="L1289" s="6" t="n">
        <f aca="false">H1289*K1289</f>
        <v>85000</v>
      </c>
      <c r="M1289" s="14" t="s">
        <v>410</v>
      </c>
    </row>
    <row r="1290" customFormat="false" ht="15" hidden="false" customHeight="false" outlineLevel="0" collapsed="false">
      <c r="A1290" s="4" t="s">
        <v>246</v>
      </c>
      <c r="B1290" s="5" t="s">
        <v>251</v>
      </c>
      <c r="C1290" s="5" t="s">
        <v>252</v>
      </c>
      <c r="D1290" s="4" t="s">
        <v>22</v>
      </c>
      <c r="E1290" s="4" t="s">
        <v>2253</v>
      </c>
      <c r="F1290" s="4" t="s">
        <v>406</v>
      </c>
      <c r="G1290" s="4" t="s">
        <v>2254</v>
      </c>
      <c r="H1290" s="12" t="n">
        <v>1</v>
      </c>
      <c r="I1290" s="4" t="s">
        <v>474</v>
      </c>
      <c r="J1290" s="4" t="s">
        <v>409</v>
      </c>
      <c r="K1290" s="13" t="n">
        <v>125000</v>
      </c>
      <c r="L1290" s="6" t="n">
        <f aca="false">H1290*K1290</f>
        <v>125000</v>
      </c>
      <c r="M1290" s="14" t="s">
        <v>410</v>
      </c>
    </row>
    <row r="1291" customFormat="false" ht="15" hidden="false" customHeight="false" outlineLevel="0" collapsed="false">
      <c r="A1291" s="4" t="s">
        <v>246</v>
      </c>
      <c r="B1291" s="5" t="s">
        <v>251</v>
      </c>
      <c r="C1291" s="5" t="s">
        <v>252</v>
      </c>
      <c r="D1291" s="4" t="s">
        <v>22</v>
      </c>
      <c r="E1291" s="4" t="s">
        <v>2255</v>
      </c>
      <c r="F1291" s="4" t="s">
        <v>406</v>
      </c>
      <c r="G1291" s="4" t="s">
        <v>2256</v>
      </c>
      <c r="H1291" s="12" t="n">
        <v>1</v>
      </c>
      <c r="I1291" s="4" t="s">
        <v>474</v>
      </c>
      <c r="J1291" s="4" t="s">
        <v>409</v>
      </c>
      <c r="K1291" s="13" t="n">
        <v>8500</v>
      </c>
      <c r="L1291" s="6" t="n">
        <f aca="false">H1291*K1291</f>
        <v>8500</v>
      </c>
      <c r="M1291" s="14" t="s">
        <v>410</v>
      </c>
    </row>
    <row r="1292" customFormat="false" ht="15" hidden="false" customHeight="false" outlineLevel="0" collapsed="false">
      <c r="A1292" s="4" t="s">
        <v>246</v>
      </c>
      <c r="B1292" s="5" t="s">
        <v>251</v>
      </c>
      <c r="C1292" s="5" t="s">
        <v>252</v>
      </c>
      <c r="D1292" s="4" t="s">
        <v>22</v>
      </c>
      <c r="E1292" s="4" t="s">
        <v>2257</v>
      </c>
      <c r="F1292" s="4" t="s">
        <v>406</v>
      </c>
      <c r="G1292" s="4" t="s">
        <v>2258</v>
      </c>
      <c r="H1292" s="12" t="n">
        <v>1</v>
      </c>
      <c r="I1292" s="4" t="s">
        <v>408</v>
      </c>
      <c r="J1292" s="4" t="s">
        <v>409</v>
      </c>
      <c r="K1292" s="13" t="n">
        <v>6500</v>
      </c>
      <c r="L1292" s="6" t="n">
        <f aca="false">H1292*K1292</f>
        <v>6500</v>
      </c>
      <c r="M1292" s="14" t="s">
        <v>410</v>
      </c>
    </row>
    <row r="1293" customFormat="false" ht="15" hidden="false" customHeight="false" outlineLevel="0" collapsed="false">
      <c r="A1293" s="4" t="s">
        <v>246</v>
      </c>
      <c r="B1293" s="5" t="s">
        <v>251</v>
      </c>
      <c r="C1293" s="5" t="s">
        <v>252</v>
      </c>
      <c r="D1293" s="4" t="s">
        <v>22</v>
      </c>
      <c r="E1293" s="4" t="s">
        <v>2259</v>
      </c>
      <c r="F1293" s="4" t="s">
        <v>406</v>
      </c>
      <c r="G1293" s="4" t="s">
        <v>2260</v>
      </c>
      <c r="H1293" s="12" t="n">
        <v>1</v>
      </c>
      <c r="I1293" s="4" t="s">
        <v>408</v>
      </c>
      <c r="J1293" s="4" t="s">
        <v>409</v>
      </c>
      <c r="K1293" s="13" t="n">
        <v>85000</v>
      </c>
      <c r="L1293" s="6" t="n">
        <f aca="false">H1293*K1293</f>
        <v>85000</v>
      </c>
      <c r="M1293" s="14" t="s">
        <v>410</v>
      </c>
    </row>
    <row r="1294" customFormat="false" ht="15" hidden="false" customHeight="false" outlineLevel="0" collapsed="false">
      <c r="A1294" s="4" t="s">
        <v>246</v>
      </c>
      <c r="B1294" s="5" t="s">
        <v>251</v>
      </c>
      <c r="C1294" s="5" t="s">
        <v>252</v>
      </c>
      <c r="D1294" s="4" t="s">
        <v>22</v>
      </c>
      <c r="E1294" s="4" t="s">
        <v>2261</v>
      </c>
      <c r="F1294" s="4" t="s">
        <v>406</v>
      </c>
      <c r="G1294" s="4" t="s">
        <v>2262</v>
      </c>
      <c r="H1294" s="12" t="n">
        <v>1</v>
      </c>
      <c r="I1294" s="4" t="s">
        <v>408</v>
      </c>
      <c r="J1294" s="4" t="s">
        <v>409</v>
      </c>
      <c r="K1294" s="13" t="n">
        <v>18000</v>
      </c>
      <c r="L1294" s="6" t="n">
        <f aca="false">H1294*K1294</f>
        <v>18000</v>
      </c>
      <c r="M1294" s="14" t="s">
        <v>410</v>
      </c>
    </row>
    <row r="1295" customFormat="false" ht="15" hidden="false" customHeight="false" outlineLevel="0" collapsed="false">
      <c r="A1295" s="4" t="s">
        <v>246</v>
      </c>
      <c r="B1295" s="5" t="s">
        <v>251</v>
      </c>
      <c r="C1295" s="5" t="s">
        <v>252</v>
      </c>
      <c r="D1295" s="4" t="s">
        <v>22</v>
      </c>
      <c r="E1295" s="4" t="s">
        <v>2263</v>
      </c>
      <c r="F1295" s="4" t="s">
        <v>406</v>
      </c>
      <c r="G1295" s="4" t="s">
        <v>2264</v>
      </c>
      <c r="H1295" s="12" t="n">
        <v>1</v>
      </c>
      <c r="I1295" s="4" t="s">
        <v>408</v>
      </c>
      <c r="J1295" s="4" t="s">
        <v>409</v>
      </c>
      <c r="K1295" s="13" t="n">
        <v>25000</v>
      </c>
      <c r="L1295" s="6" t="n">
        <f aca="false">H1295*K1295</f>
        <v>25000</v>
      </c>
      <c r="M1295" s="4" t="s">
        <v>371</v>
      </c>
    </row>
    <row r="1296" customFormat="false" ht="15" hidden="false" customHeight="false" outlineLevel="0" collapsed="false">
      <c r="A1296" s="4" t="s">
        <v>246</v>
      </c>
      <c r="B1296" s="5" t="s">
        <v>251</v>
      </c>
      <c r="C1296" s="5" t="s">
        <v>252</v>
      </c>
      <c r="D1296" s="4" t="s">
        <v>22</v>
      </c>
      <c r="E1296" s="4" t="s">
        <v>2265</v>
      </c>
      <c r="F1296" s="4" t="s">
        <v>406</v>
      </c>
      <c r="G1296" s="4" t="s">
        <v>2266</v>
      </c>
      <c r="H1296" s="12" t="n">
        <v>1</v>
      </c>
      <c r="I1296" s="4" t="s">
        <v>408</v>
      </c>
      <c r="J1296" s="4" t="s">
        <v>416</v>
      </c>
      <c r="K1296" s="13" t="n">
        <v>18000</v>
      </c>
      <c r="L1296" s="6" t="n">
        <f aca="false">H1296*K1296</f>
        <v>18000</v>
      </c>
      <c r="M1296" s="4" t="s">
        <v>371</v>
      </c>
    </row>
    <row r="1297" customFormat="false" ht="15" hidden="false" customHeight="false" outlineLevel="0" collapsed="false">
      <c r="A1297" s="4" t="s">
        <v>246</v>
      </c>
      <c r="B1297" s="5" t="s">
        <v>251</v>
      </c>
      <c r="C1297" s="5" t="s">
        <v>252</v>
      </c>
      <c r="D1297" s="4" t="s">
        <v>22</v>
      </c>
      <c r="E1297" s="4" t="s">
        <v>2267</v>
      </c>
      <c r="F1297" s="4" t="s">
        <v>406</v>
      </c>
      <c r="G1297" s="4" t="s">
        <v>2268</v>
      </c>
      <c r="H1297" s="12" t="n">
        <v>1</v>
      </c>
      <c r="I1297" s="4" t="s">
        <v>408</v>
      </c>
      <c r="J1297" s="4" t="s">
        <v>543</v>
      </c>
      <c r="K1297" s="13" t="n">
        <v>850000</v>
      </c>
      <c r="L1297" s="6" t="n">
        <f aca="false">H1297*K1297</f>
        <v>850000</v>
      </c>
      <c r="M1297" s="4" t="s">
        <v>371</v>
      </c>
    </row>
    <row r="1298" customFormat="false" ht="15" hidden="false" customHeight="false" outlineLevel="0" collapsed="false">
      <c r="A1298" s="4" t="s">
        <v>246</v>
      </c>
      <c r="B1298" s="5" t="s">
        <v>251</v>
      </c>
      <c r="C1298" s="5" t="s">
        <v>252</v>
      </c>
      <c r="D1298" s="4" t="s">
        <v>22</v>
      </c>
      <c r="E1298" s="4" t="s">
        <v>2269</v>
      </c>
      <c r="F1298" s="4" t="s">
        <v>470</v>
      </c>
      <c r="G1298" s="4" t="s">
        <v>2270</v>
      </c>
      <c r="H1298" s="12" t="n">
        <v>1</v>
      </c>
      <c r="I1298" s="4" t="s">
        <v>408</v>
      </c>
      <c r="J1298" s="4" t="s">
        <v>416</v>
      </c>
      <c r="K1298" s="13" t="n">
        <v>25000</v>
      </c>
      <c r="L1298" s="6" t="n">
        <f aca="false">H1298*K1298</f>
        <v>25000</v>
      </c>
      <c r="M1298" s="4" t="s">
        <v>371</v>
      </c>
    </row>
    <row r="1299" customFormat="false" ht="15" hidden="false" customHeight="false" outlineLevel="0" collapsed="false">
      <c r="A1299" s="4" t="s">
        <v>246</v>
      </c>
      <c r="B1299" s="5" t="s">
        <v>251</v>
      </c>
      <c r="C1299" s="5" t="s">
        <v>252</v>
      </c>
      <c r="D1299" s="4" t="s">
        <v>22</v>
      </c>
      <c r="E1299" s="4" t="s">
        <v>2271</v>
      </c>
      <c r="F1299" s="4" t="s">
        <v>470</v>
      </c>
      <c r="G1299" s="4" t="s">
        <v>2272</v>
      </c>
      <c r="H1299" s="12" t="n">
        <v>1</v>
      </c>
      <c r="I1299" s="4" t="s">
        <v>408</v>
      </c>
      <c r="J1299" s="4" t="s">
        <v>409</v>
      </c>
      <c r="K1299" s="13" t="n">
        <v>4500</v>
      </c>
      <c r="L1299" s="6" t="n">
        <f aca="false">H1299*K1299</f>
        <v>4500</v>
      </c>
      <c r="M1299" s="14" t="s">
        <v>410</v>
      </c>
    </row>
    <row r="1300" customFormat="false" ht="15" hidden="false" customHeight="false" outlineLevel="0" collapsed="false">
      <c r="A1300" s="4" t="s">
        <v>246</v>
      </c>
      <c r="B1300" s="5" t="s">
        <v>251</v>
      </c>
      <c r="C1300" s="5" t="s">
        <v>252</v>
      </c>
      <c r="D1300" s="4" t="s">
        <v>22</v>
      </c>
      <c r="E1300" s="4" t="s">
        <v>2273</v>
      </c>
      <c r="F1300" s="4" t="s">
        <v>470</v>
      </c>
      <c r="G1300" s="4" t="s">
        <v>2274</v>
      </c>
      <c r="H1300" s="12" t="n">
        <v>1</v>
      </c>
      <c r="I1300" s="4" t="s">
        <v>408</v>
      </c>
      <c r="J1300" s="4" t="s">
        <v>409</v>
      </c>
      <c r="K1300" s="13" t="n">
        <v>25000</v>
      </c>
      <c r="L1300" s="6" t="n">
        <f aca="false">H1300*K1300</f>
        <v>25000</v>
      </c>
      <c r="M1300" s="14" t="s">
        <v>410</v>
      </c>
    </row>
    <row r="1301" customFormat="false" ht="15" hidden="false" customHeight="false" outlineLevel="0" collapsed="false">
      <c r="A1301" s="4" t="s">
        <v>246</v>
      </c>
      <c r="B1301" s="5" t="s">
        <v>251</v>
      </c>
      <c r="C1301" s="5" t="s">
        <v>252</v>
      </c>
      <c r="D1301" s="4" t="s">
        <v>22</v>
      </c>
      <c r="E1301" s="4" t="s">
        <v>2163</v>
      </c>
      <c r="F1301" s="4" t="s">
        <v>470</v>
      </c>
      <c r="G1301" s="4" t="s">
        <v>2164</v>
      </c>
      <c r="H1301" s="12" t="n">
        <v>1</v>
      </c>
      <c r="I1301" s="4" t="s">
        <v>408</v>
      </c>
      <c r="J1301" s="4" t="s">
        <v>409</v>
      </c>
      <c r="K1301" s="13" t="n">
        <v>35000</v>
      </c>
      <c r="L1301" s="6" t="n">
        <f aca="false">H1301*K1301</f>
        <v>35000</v>
      </c>
      <c r="M1301" s="14" t="s">
        <v>410</v>
      </c>
    </row>
    <row r="1302" customFormat="false" ht="15" hidden="false" customHeight="false" outlineLevel="0" collapsed="false">
      <c r="A1302" s="4" t="s">
        <v>246</v>
      </c>
      <c r="B1302" s="5" t="s">
        <v>251</v>
      </c>
      <c r="C1302" s="5" t="s">
        <v>252</v>
      </c>
      <c r="D1302" s="4" t="s">
        <v>22</v>
      </c>
      <c r="E1302" s="4" t="s">
        <v>1058</v>
      </c>
      <c r="F1302" s="4" t="s">
        <v>470</v>
      </c>
      <c r="G1302" s="4" t="s">
        <v>1059</v>
      </c>
      <c r="H1302" s="12" t="n">
        <v>1</v>
      </c>
      <c r="I1302" s="4" t="s">
        <v>408</v>
      </c>
      <c r="J1302" s="4" t="s">
        <v>409</v>
      </c>
      <c r="K1302" s="13" t="n">
        <v>45000</v>
      </c>
      <c r="L1302" s="6" t="n">
        <f aca="false">H1302*K1302</f>
        <v>45000</v>
      </c>
      <c r="M1302" s="14" t="s">
        <v>410</v>
      </c>
    </row>
    <row r="1303" customFormat="false" ht="15" hidden="false" customHeight="false" outlineLevel="0" collapsed="false">
      <c r="A1303" s="4" t="s">
        <v>246</v>
      </c>
      <c r="B1303" s="5" t="s">
        <v>251</v>
      </c>
      <c r="C1303" s="5" t="s">
        <v>252</v>
      </c>
      <c r="D1303" s="4" t="s">
        <v>22</v>
      </c>
      <c r="E1303" s="4" t="s">
        <v>2275</v>
      </c>
      <c r="F1303" s="4" t="s">
        <v>470</v>
      </c>
      <c r="G1303" s="4" t="s">
        <v>2276</v>
      </c>
      <c r="H1303" s="12" t="n">
        <v>1</v>
      </c>
      <c r="I1303" s="4" t="s">
        <v>408</v>
      </c>
      <c r="J1303" s="4" t="s">
        <v>409</v>
      </c>
      <c r="K1303" s="13" t="n">
        <v>8500</v>
      </c>
      <c r="L1303" s="6" t="n">
        <f aca="false">H1303*K1303</f>
        <v>8500</v>
      </c>
      <c r="M1303" s="4" t="s">
        <v>371</v>
      </c>
    </row>
    <row r="1304" customFormat="false" ht="15" hidden="false" customHeight="false" outlineLevel="0" collapsed="false">
      <c r="A1304" s="4" t="s">
        <v>246</v>
      </c>
      <c r="B1304" s="5" t="s">
        <v>251</v>
      </c>
      <c r="C1304" s="5" t="s">
        <v>252</v>
      </c>
      <c r="D1304" s="4" t="s">
        <v>22</v>
      </c>
      <c r="E1304" s="4" t="s">
        <v>2277</v>
      </c>
      <c r="F1304" s="4" t="s">
        <v>470</v>
      </c>
      <c r="G1304" s="4" t="s">
        <v>2278</v>
      </c>
      <c r="H1304" s="12" t="n">
        <v>1</v>
      </c>
      <c r="I1304" s="4" t="s">
        <v>474</v>
      </c>
      <c r="J1304" s="4" t="s">
        <v>413</v>
      </c>
      <c r="K1304" s="13" t="n">
        <v>450</v>
      </c>
      <c r="L1304" s="6" t="n">
        <f aca="false">H1304*K1304</f>
        <v>450</v>
      </c>
      <c r="M1304" s="4" t="s">
        <v>371</v>
      </c>
    </row>
    <row r="1305" customFormat="false" ht="15" hidden="false" customHeight="false" outlineLevel="0" collapsed="false">
      <c r="A1305" s="4" t="s">
        <v>246</v>
      </c>
      <c r="B1305" s="5" t="s">
        <v>251</v>
      </c>
      <c r="C1305" s="5" t="s">
        <v>252</v>
      </c>
      <c r="D1305" s="4" t="s">
        <v>22</v>
      </c>
      <c r="E1305" s="4" t="s">
        <v>1104</v>
      </c>
      <c r="F1305" s="4" t="s">
        <v>470</v>
      </c>
      <c r="G1305" s="4" t="s">
        <v>1105</v>
      </c>
      <c r="H1305" s="12" t="n">
        <v>1</v>
      </c>
      <c r="I1305" s="4" t="s">
        <v>408</v>
      </c>
      <c r="J1305" s="4" t="s">
        <v>409</v>
      </c>
      <c r="K1305" s="13" t="n">
        <v>3500</v>
      </c>
      <c r="L1305" s="6" t="n">
        <f aca="false">H1305*K1305</f>
        <v>3500</v>
      </c>
      <c r="M1305" s="4" t="s">
        <v>371</v>
      </c>
    </row>
    <row r="1306" customFormat="false" ht="15" hidden="false" customHeight="false" outlineLevel="0" collapsed="false">
      <c r="A1306" s="4" t="s">
        <v>246</v>
      </c>
      <c r="B1306" s="5" t="s">
        <v>251</v>
      </c>
      <c r="C1306" s="5" t="s">
        <v>252</v>
      </c>
      <c r="D1306" s="4" t="s">
        <v>22</v>
      </c>
      <c r="E1306" s="4" t="s">
        <v>2279</v>
      </c>
      <c r="F1306" s="4" t="s">
        <v>470</v>
      </c>
      <c r="G1306" s="4" t="s">
        <v>2280</v>
      </c>
      <c r="H1306" s="12" t="n">
        <v>1</v>
      </c>
      <c r="I1306" s="4" t="s">
        <v>408</v>
      </c>
      <c r="J1306" s="4" t="s">
        <v>409</v>
      </c>
      <c r="K1306" s="13" t="n">
        <v>450</v>
      </c>
      <c r="L1306" s="6" t="n">
        <f aca="false">H1306*K1306</f>
        <v>450</v>
      </c>
      <c r="M1306" s="4" t="s">
        <v>371</v>
      </c>
    </row>
    <row r="1307" customFormat="false" ht="15" hidden="false" customHeight="false" outlineLevel="0" collapsed="false">
      <c r="A1307" s="4" t="s">
        <v>246</v>
      </c>
      <c r="B1307" s="5" t="s">
        <v>251</v>
      </c>
      <c r="C1307" s="5" t="s">
        <v>252</v>
      </c>
      <c r="D1307" s="4" t="s">
        <v>22</v>
      </c>
      <c r="E1307" s="4" t="s">
        <v>2281</v>
      </c>
      <c r="F1307" s="4" t="s">
        <v>470</v>
      </c>
      <c r="G1307" s="4" t="s">
        <v>477</v>
      </c>
      <c r="H1307" s="12" t="n">
        <v>1</v>
      </c>
      <c r="I1307" s="4" t="s">
        <v>408</v>
      </c>
      <c r="J1307" s="4" t="s">
        <v>475</v>
      </c>
      <c r="K1307" s="13" t="n">
        <v>850</v>
      </c>
      <c r="L1307" s="6" t="n">
        <f aca="false">H1307*K1307</f>
        <v>850</v>
      </c>
      <c r="M1307" s="4" t="s">
        <v>371</v>
      </c>
    </row>
    <row r="1308" customFormat="false" ht="15" hidden="false" customHeight="false" outlineLevel="0" collapsed="false">
      <c r="A1308" s="4" t="s">
        <v>246</v>
      </c>
      <c r="B1308" s="5" t="s">
        <v>251</v>
      </c>
      <c r="C1308" s="5" t="s">
        <v>252</v>
      </c>
      <c r="D1308" s="4" t="s">
        <v>22</v>
      </c>
      <c r="E1308" s="4" t="s">
        <v>1096</v>
      </c>
      <c r="F1308" s="4" t="s">
        <v>470</v>
      </c>
      <c r="G1308" s="4" t="s">
        <v>1097</v>
      </c>
      <c r="H1308" s="12" t="n">
        <v>1</v>
      </c>
      <c r="I1308" s="4" t="s">
        <v>408</v>
      </c>
      <c r="J1308" s="4" t="s">
        <v>475</v>
      </c>
      <c r="K1308" s="13" t="n">
        <v>350</v>
      </c>
      <c r="L1308" s="6" t="n">
        <f aca="false">H1308*K1308</f>
        <v>350</v>
      </c>
      <c r="M1308" s="4" t="s">
        <v>371</v>
      </c>
    </row>
    <row r="1309" customFormat="false" ht="15" hidden="false" customHeight="false" outlineLevel="0" collapsed="false">
      <c r="A1309" s="4" t="s">
        <v>246</v>
      </c>
      <c r="B1309" s="5" t="s">
        <v>251</v>
      </c>
      <c r="C1309" s="5" t="s">
        <v>252</v>
      </c>
      <c r="D1309" s="4" t="s">
        <v>22</v>
      </c>
      <c r="E1309" s="4" t="s">
        <v>2282</v>
      </c>
      <c r="F1309" s="4" t="s">
        <v>470</v>
      </c>
      <c r="G1309" s="4" t="s">
        <v>2283</v>
      </c>
      <c r="H1309" s="12" t="n">
        <v>1</v>
      </c>
      <c r="I1309" s="4" t="s">
        <v>408</v>
      </c>
      <c r="J1309" s="4" t="s">
        <v>416</v>
      </c>
      <c r="K1309" s="13" t="n">
        <v>8500</v>
      </c>
      <c r="L1309" s="6" t="n">
        <f aca="false">H1309*K1309</f>
        <v>8500</v>
      </c>
      <c r="M1309" s="4" t="s">
        <v>371</v>
      </c>
    </row>
    <row r="1310" customFormat="false" ht="15" hidden="false" customHeight="false" outlineLevel="0" collapsed="false">
      <c r="A1310" s="4" t="s">
        <v>246</v>
      </c>
      <c r="B1310" s="5" t="s">
        <v>251</v>
      </c>
      <c r="C1310" s="5" t="s">
        <v>252</v>
      </c>
      <c r="D1310" s="4" t="s">
        <v>22</v>
      </c>
      <c r="E1310" s="4" t="s">
        <v>2284</v>
      </c>
      <c r="F1310" s="4" t="s">
        <v>470</v>
      </c>
      <c r="G1310" s="4" t="s">
        <v>2285</v>
      </c>
      <c r="H1310" s="12" t="n">
        <v>1</v>
      </c>
      <c r="I1310" s="4" t="s">
        <v>408</v>
      </c>
      <c r="J1310" s="4" t="s">
        <v>409</v>
      </c>
      <c r="K1310" s="13" t="n">
        <v>35</v>
      </c>
      <c r="L1310" s="6" t="n">
        <f aca="false">H1310*K1310</f>
        <v>35</v>
      </c>
      <c r="M1310" s="4" t="s">
        <v>371</v>
      </c>
    </row>
    <row r="1311" customFormat="false" ht="15" hidden="false" customHeight="false" outlineLevel="0" collapsed="false">
      <c r="A1311" s="4" t="s">
        <v>246</v>
      </c>
      <c r="B1311" s="5" t="s">
        <v>251</v>
      </c>
      <c r="C1311" s="5" t="s">
        <v>252</v>
      </c>
      <c r="D1311" s="4" t="s">
        <v>22</v>
      </c>
      <c r="E1311" s="4" t="s">
        <v>2286</v>
      </c>
      <c r="F1311" s="4" t="s">
        <v>470</v>
      </c>
      <c r="G1311" s="4" t="s">
        <v>2287</v>
      </c>
      <c r="H1311" s="12" t="n">
        <v>1</v>
      </c>
      <c r="I1311" s="4" t="s">
        <v>408</v>
      </c>
      <c r="J1311" s="4" t="s">
        <v>409</v>
      </c>
      <c r="K1311" s="13" t="n">
        <v>350</v>
      </c>
      <c r="L1311" s="6" t="n">
        <f aca="false">H1311*K1311</f>
        <v>350</v>
      </c>
      <c r="M1311" s="4" t="s">
        <v>371</v>
      </c>
    </row>
    <row r="1312" customFormat="false" ht="15" hidden="false" customHeight="false" outlineLevel="0" collapsed="false">
      <c r="A1312" s="4" t="s">
        <v>246</v>
      </c>
      <c r="B1312" s="5" t="s">
        <v>251</v>
      </c>
      <c r="C1312" s="5" t="s">
        <v>252</v>
      </c>
      <c r="D1312" s="4" t="s">
        <v>22</v>
      </c>
      <c r="E1312" s="4" t="s">
        <v>2288</v>
      </c>
      <c r="F1312" s="4" t="s">
        <v>470</v>
      </c>
      <c r="G1312" s="4" t="s">
        <v>1452</v>
      </c>
      <c r="H1312" s="12" t="n">
        <v>1</v>
      </c>
      <c r="I1312" s="4" t="s">
        <v>408</v>
      </c>
      <c r="J1312" s="4" t="s">
        <v>413</v>
      </c>
      <c r="K1312" s="13" t="n">
        <v>450</v>
      </c>
      <c r="L1312" s="6" t="n">
        <f aca="false">H1312*K1312</f>
        <v>450</v>
      </c>
      <c r="M1312" s="4" t="s">
        <v>371</v>
      </c>
    </row>
    <row r="1313" customFormat="false" ht="15" hidden="false" customHeight="false" outlineLevel="0" collapsed="false">
      <c r="A1313" s="4" t="s">
        <v>246</v>
      </c>
      <c r="B1313" s="5" t="s">
        <v>251</v>
      </c>
      <c r="C1313" s="5" t="s">
        <v>252</v>
      </c>
      <c r="D1313" s="4" t="s">
        <v>22</v>
      </c>
      <c r="E1313" s="4" t="s">
        <v>1089</v>
      </c>
      <c r="F1313" s="4" t="s">
        <v>470</v>
      </c>
      <c r="G1313" s="4" t="s">
        <v>1090</v>
      </c>
      <c r="H1313" s="12" t="n">
        <v>1</v>
      </c>
      <c r="I1313" s="4" t="s">
        <v>408</v>
      </c>
      <c r="J1313" s="4" t="s">
        <v>409</v>
      </c>
      <c r="K1313" s="13" t="n">
        <v>3500</v>
      </c>
      <c r="L1313" s="6" t="n">
        <f aca="false">H1313*K1313</f>
        <v>3500</v>
      </c>
      <c r="M1313" s="4" t="s">
        <v>371</v>
      </c>
    </row>
    <row r="1314" customFormat="false" ht="15" hidden="false" customHeight="false" outlineLevel="0" collapsed="false">
      <c r="A1314" s="4" t="s">
        <v>246</v>
      </c>
      <c r="B1314" s="5" t="s">
        <v>251</v>
      </c>
      <c r="C1314" s="5" t="s">
        <v>252</v>
      </c>
      <c r="D1314" s="4" t="s">
        <v>22</v>
      </c>
      <c r="E1314" s="4" t="s">
        <v>2289</v>
      </c>
      <c r="F1314" s="4" t="s">
        <v>470</v>
      </c>
      <c r="G1314" s="4" t="s">
        <v>2290</v>
      </c>
      <c r="H1314" s="12" t="n">
        <v>1</v>
      </c>
      <c r="I1314" s="4" t="s">
        <v>408</v>
      </c>
      <c r="J1314" s="4" t="s">
        <v>409</v>
      </c>
      <c r="K1314" s="13" t="n">
        <v>2500</v>
      </c>
      <c r="L1314" s="6" t="n">
        <f aca="false">H1314*K1314</f>
        <v>2500</v>
      </c>
      <c r="M1314" s="4" t="s">
        <v>371</v>
      </c>
    </row>
    <row r="1315" customFormat="false" ht="15" hidden="false" customHeight="false" outlineLevel="0" collapsed="false">
      <c r="A1315" s="4" t="s">
        <v>246</v>
      </c>
      <c r="B1315" s="5" t="s">
        <v>251</v>
      </c>
      <c r="C1315" s="5" t="s">
        <v>252</v>
      </c>
      <c r="D1315" s="4" t="s">
        <v>22</v>
      </c>
      <c r="E1315" s="4" t="s">
        <v>2291</v>
      </c>
      <c r="F1315" s="4" t="s">
        <v>470</v>
      </c>
      <c r="G1315" s="4" t="s">
        <v>2292</v>
      </c>
      <c r="H1315" s="12" t="n">
        <v>1</v>
      </c>
      <c r="I1315" s="4" t="s">
        <v>408</v>
      </c>
      <c r="J1315" s="4" t="s">
        <v>416</v>
      </c>
      <c r="K1315" s="13" t="n">
        <v>6500</v>
      </c>
      <c r="L1315" s="6" t="n">
        <f aca="false">H1315*K1315</f>
        <v>6500</v>
      </c>
      <c r="M1315" s="4" t="s">
        <v>371</v>
      </c>
    </row>
    <row r="1316" customFormat="false" ht="15" hidden="false" customHeight="false" outlineLevel="0" collapsed="false">
      <c r="A1316" s="4" t="s">
        <v>246</v>
      </c>
      <c r="B1316" s="5" t="s">
        <v>251</v>
      </c>
      <c r="C1316" s="5" t="s">
        <v>252</v>
      </c>
      <c r="D1316" s="4" t="s">
        <v>22</v>
      </c>
      <c r="E1316" s="4" t="s">
        <v>2293</v>
      </c>
      <c r="F1316" s="4" t="s">
        <v>470</v>
      </c>
      <c r="G1316" s="4" t="s">
        <v>2294</v>
      </c>
      <c r="H1316" s="12" t="n">
        <v>1</v>
      </c>
      <c r="I1316" s="4" t="s">
        <v>474</v>
      </c>
      <c r="J1316" s="4" t="s">
        <v>409</v>
      </c>
      <c r="K1316" s="13" t="n">
        <v>85000</v>
      </c>
      <c r="L1316" s="6" t="n">
        <f aca="false">H1316*K1316</f>
        <v>85000</v>
      </c>
      <c r="M1316" s="4" t="s">
        <v>371</v>
      </c>
    </row>
    <row r="1317" customFormat="false" ht="15" hidden="false" customHeight="false" outlineLevel="0" collapsed="false">
      <c r="A1317" s="4" t="s">
        <v>246</v>
      </c>
      <c r="B1317" s="5" t="s">
        <v>251</v>
      </c>
      <c r="C1317" s="5" t="s">
        <v>252</v>
      </c>
      <c r="D1317" s="4" t="s">
        <v>22</v>
      </c>
      <c r="E1317" s="4" t="s">
        <v>2295</v>
      </c>
      <c r="F1317" s="4" t="s">
        <v>470</v>
      </c>
      <c r="G1317" s="4" t="s">
        <v>2296</v>
      </c>
      <c r="H1317" s="12" t="n">
        <v>1</v>
      </c>
      <c r="I1317" s="4" t="s">
        <v>408</v>
      </c>
      <c r="J1317" s="4" t="s">
        <v>416</v>
      </c>
      <c r="K1317" s="13" t="n">
        <v>850</v>
      </c>
      <c r="L1317" s="6" t="n">
        <f aca="false">H1317*K1317</f>
        <v>850</v>
      </c>
      <c r="M1317" s="4" t="s">
        <v>371</v>
      </c>
    </row>
    <row r="1318" customFormat="false" ht="15" hidden="false" customHeight="false" outlineLevel="0" collapsed="false">
      <c r="A1318" s="4" t="s">
        <v>246</v>
      </c>
      <c r="B1318" s="5" t="s">
        <v>251</v>
      </c>
      <c r="C1318" s="5" t="s">
        <v>252</v>
      </c>
      <c r="D1318" s="4" t="s">
        <v>22</v>
      </c>
      <c r="E1318" s="4" t="s">
        <v>2297</v>
      </c>
      <c r="F1318" s="4" t="s">
        <v>470</v>
      </c>
      <c r="G1318" s="4" t="s">
        <v>2298</v>
      </c>
      <c r="H1318" s="12" t="n">
        <v>1</v>
      </c>
      <c r="I1318" s="4" t="s">
        <v>408</v>
      </c>
      <c r="J1318" s="4" t="s">
        <v>416</v>
      </c>
      <c r="K1318" s="13" t="n">
        <v>850</v>
      </c>
      <c r="L1318" s="6" t="n">
        <f aca="false">H1318*K1318</f>
        <v>850</v>
      </c>
      <c r="M1318" s="4" t="s">
        <v>371</v>
      </c>
    </row>
    <row r="1319" customFormat="false" ht="15" hidden="false" customHeight="false" outlineLevel="0" collapsed="false">
      <c r="A1319" s="4" t="s">
        <v>246</v>
      </c>
      <c r="B1319" s="5" t="s">
        <v>251</v>
      </c>
      <c r="C1319" s="5" t="s">
        <v>252</v>
      </c>
      <c r="D1319" s="4" t="s">
        <v>22</v>
      </c>
      <c r="E1319" s="4" t="s">
        <v>2299</v>
      </c>
      <c r="F1319" s="4" t="s">
        <v>470</v>
      </c>
      <c r="G1319" s="4" t="s">
        <v>2300</v>
      </c>
      <c r="H1319" s="12" t="n">
        <v>1</v>
      </c>
      <c r="I1319" s="4" t="s">
        <v>408</v>
      </c>
      <c r="J1319" s="4" t="s">
        <v>416</v>
      </c>
      <c r="K1319" s="13" t="n">
        <v>850</v>
      </c>
      <c r="L1319" s="6" t="n">
        <f aca="false">H1319*K1319</f>
        <v>850</v>
      </c>
      <c r="M1319" s="4" t="s">
        <v>371</v>
      </c>
    </row>
    <row r="1320" customFormat="false" ht="15" hidden="false" customHeight="false" outlineLevel="0" collapsed="false">
      <c r="A1320" s="4" t="s">
        <v>246</v>
      </c>
      <c r="B1320" s="5" t="s">
        <v>251</v>
      </c>
      <c r="C1320" s="5" t="s">
        <v>252</v>
      </c>
      <c r="D1320" s="4" t="s">
        <v>22</v>
      </c>
      <c r="E1320" s="4" t="s">
        <v>2301</v>
      </c>
      <c r="F1320" s="4" t="s">
        <v>470</v>
      </c>
      <c r="G1320" s="4" t="s">
        <v>2302</v>
      </c>
      <c r="H1320" s="12" t="n">
        <v>1</v>
      </c>
      <c r="I1320" s="4" t="s">
        <v>408</v>
      </c>
      <c r="J1320" s="4" t="s">
        <v>409</v>
      </c>
      <c r="K1320" s="13" t="n">
        <v>8500</v>
      </c>
      <c r="L1320" s="6" t="n">
        <f aca="false">H1320*K1320</f>
        <v>8500</v>
      </c>
      <c r="M1320" s="4" t="s">
        <v>371</v>
      </c>
    </row>
    <row r="1321" customFormat="false" ht="15" hidden="false" customHeight="false" outlineLevel="0" collapsed="false">
      <c r="A1321" s="4" t="s">
        <v>246</v>
      </c>
      <c r="B1321" s="5" t="s">
        <v>251</v>
      </c>
      <c r="C1321" s="5" t="s">
        <v>252</v>
      </c>
      <c r="D1321" s="4" t="s">
        <v>22</v>
      </c>
      <c r="E1321" s="4" t="s">
        <v>2303</v>
      </c>
      <c r="F1321" s="4" t="s">
        <v>470</v>
      </c>
      <c r="G1321" s="4" t="s">
        <v>2304</v>
      </c>
      <c r="H1321" s="12" t="n">
        <v>1</v>
      </c>
      <c r="I1321" s="4" t="s">
        <v>408</v>
      </c>
      <c r="J1321" s="4" t="s">
        <v>409</v>
      </c>
      <c r="K1321" s="13" t="n">
        <v>3500</v>
      </c>
      <c r="L1321" s="6" t="n">
        <f aca="false">H1321*K1321</f>
        <v>3500</v>
      </c>
      <c r="M1321" s="4" t="s">
        <v>371</v>
      </c>
    </row>
    <row r="1322" customFormat="false" ht="15" hidden="false" customHeight="false" outlineLevel="0" collapsed="false">
      <c r="A1322" s="4" t="s">
        <v>246</v>
      </c>
      <c r="B1322" s="5" t="s">
        <v>251</v>
      </c>
      <c r="C1322" s="5" t="s">
        <v>252</v>
      </c>
      <c r="D1322" s="4" t="s">
        <v>22</v>
      </c>
      <c r="E1322" s="4" t="s">
        <v>2305</v>
      </c>
      <c r="F1322" s="4" t="s">
        <v>470</v>
      </c>
      <c r="G1322" s="4" t="s">
        <v>2306</v>
      </c>
      <c r="H1322" s="12" t="n">
        <v>1</v>
      </c>
      <c r="I1322" s="4" t="s">
        <v>408</v>
      </c>
      <c r="J1322" s="4" t="s">
        <v>409</v>
      </c>
      <c r="K1322" s="13" t="n">
        <v>850</v>
      </c>
      <c r="L1322" s="6" t="n">
        <f aca="false">H1322*K1322</f>
        <v>850</v>
      </c>
      <c r="M1322" s="4" t="s">
        <v>371</v>
      </c>
    </row>
    <row r="1323" customFormat="false" ht="15" hidden="false" customHeight="false" outlineLevel="0" collapsed="false">
      <c r="A1323" s="4" t="s">
        <v>246</v>
      </c>
      <c r="B1323" s="5" t="s">
        <v>251</v>
      </c>
      <c r="C1323" s="5" t="s">
        <v>252</v>
      </c>
      <c r="D1323" s="4" t="s">
        <v>22</v>
      </c>
      <c r="E1323" s="4" t="s">
        <v>2307</v>
      </c>
      <c r="F1323" s="4" t="s">
        <v>488</v>
      </c>
      <c r="G1323" s="4" t="s">
        <v>2308</v>
      </c>
      <c r="H1323" s="12" t="n">
        <v>1</v>
      </c>
      <c r="I1323" s="4" t="s">
        <v>408</v>
      </c>
      <c r="J1323" s="4" t="s">
        <v>506</v>
      </c>
      <c r="K1323" s="13" t="n">
        <v>250</v>
      </c>
      <c r="L1323" s="6" t="n">
        <f aca="false">H1323*K1323</f>
        <v>250</v>
      </c>
      <c r="M1323" s="4" t="s">
        <v>371</v>
      </c>
    </row>
    <row r="1324" customFormat="false" ht="15" hidden="false" customHeight="false" outlineLevel="0" collapsed="false">
      <c r="A1324" s="4" t="s">
        <v>246</v>
      </c>
      <c r="B1324" s="5" t="s">
        <v>251</v>
      </c>
      <c r="C1324" s="5" t="s">
        <v>252</v>
      </c>
      <c r="D1324" s="4" t="s">
        <v>22</v>
      </c>
      <c r="E1324" s="4" t="s">
        <v>2309</v>
      </c>
      <c r="F1324" s="4" t="s">
        <v>488</v>
      </c>
      <c r="G1324" s="4" t="s">
        <v>2310</v>
      </c>
      <c r="H1324" s="12" t="n">
        <v>1</v>
      </c>
      <c r="I1324" s="4" t="s">
        <v>408</v>
      </c>
      <c r="J1324" s="4" t="s">
        <v>416</v>
      </c>
      <c r="K1324" s="13" t="n">
        <v>450</v>
      </c>
      <c r="L1324" s="6" t="n">
        <f aca="false">H1324*K1324</f>
        <v>450</v>
      </c>
      <c r="M1324" s="4" t="s">
        <v>371</v>
      </c>
    </row>
    <row r="1325" customFormat="false" ht="15" hidden="false" customHeight="false" outlineLevel="0" collapsed="false">
      <c r="A1325" s="4" t="s">
        <v>246</v>
      </c>
      <c r="B1325" s="5" t="s">
        <v>251</v>
      </c>
      <c r="C1325" s="5" t="s">
        <v>252</v>
      </c>
      <c r="D1325" s="4" t="s">
        <v>22</v>
      </c>
      <c r="E1325" s="4" t="s">
        <v>2311</v>
      </c>
      <c r="F1325" s="4" t="s">
        <v>488</v>
      </c>
      <c r="G1325" s="4" t="s">
        <v>2312</v>
      </c>
      <c r="H1325" s="12" t="n">
        <v>1</v>
      </c>
      <c r="I1325" s="4" t="s">
        <v>408</v>
      </c>
      <c r="J1325" s="4" t="s">
        <v>1080</v>
      </c>
      <c r="K1325" s="13" t="n">
        <v>180</v>
      </c>
      <c r="L1325" s="6" t="n">
        <f aca="false">H1325*K1325</f>
        <v>180</v>
      </c>
      <c r="M1325" s="4" t="s">
        <v>371</v>
      </c>
    </row>
    <row r="1326" customFormat="false" ht="15" hidden="false" customHeight="false" outlineLevel="0" collapsed="false">
      <c r="A1326" s="4" t="s">
        <v>246</v>
      </c>
      <c r="B1326" s="5" t="s">
        <v>251</v>
      </c>
      <c r="C1326" s="5" t="s">
        <v>252</v>
      </c>
      <c r="D1326" s="4" t="s">
        <v>22</v>
      </c>
      <c r="E1326" s="4" t="s">
        <v>2313</v>
      </c>
      <c r="F1326" s="4" t="s">
        <v>488</v>
      </c>
      <c r="G1326" s="4" t="s">
        <v>2314</v>
      </c>
      <c r="H1326" s="12" t="n">
        <v>1</v>
      </c>
      <c r="I1326" s="4" t="s">
        <v>408</v>
      </c>
      <c r="J1326" s="4" t="s">
        <v>1080</v>
      </c>
      <c r="K1326" s="13" t="n">
        <v>180</v>
      </c>
      <c r="L1326" s="6" t="n">
        <f aca="false">H1326*K1326</f>
        <v>180</v>
      </c>
      <c r="M1326" s="4" t="s">
        <v>371</v>
      </c>
    </row>
    <row r="1327" customFormat="false" ht="15" hidden="false" customHeight="false" outlineLevel="0" collapsed="false">
      <c r="A1327" s="4" t="s">
        <v>246</v>
      </c>
      <c r="B1327" s="5" t="s">
        <v>251</v>
      </c>
      <c r="C1327" s="5" t="s">
        <v>252</v>
      </c>
      <c r="D1327" s="4" t="s">
        <v>22</v>
      </c>
      <c r="E1327" s="4" t="s">
        <v>2315</v>
      </c>
      <c r="F1327" s="4" t="s">
        <v>488</v>
      </c>
      <c r="G1327" s="4" t="s">
        <v>2316</v>
      </c>
      <c r="H1327" s="12" t="n">
        <v>1</v>
      </c>
      <c r="I1327" s="4" t="s">
        <v>408</v>
      </c>
      <c r="J1327" s="4" t="s">
        <v>807</v>
      </c>
      <c r="K1327" s="13" t="n">
        <v>60</v>
      </c>
      <c r="L1327" s="6" t="n">
        <f aca="false">H1327*K1327</f>
        <v>60</v>
      </c>
      <c r="M1327" s="4" t="s">
        <v>371</v>
      </c>
    </row>
    <row r="1328" customFormat="false" ht="15" hidden="false" customHeight="false" outlineLevel="0" collapsed="false">
      <c r="A1328" s="4" t="s">
        <v>246</v>
      </c>
      <c r="B1328" s="5" t="s">
        <v>251</v>
      </c>
      <c r="C1328" s="5" t="s">
        <v>252</v>
      </c>
      <c r="D1328" s="4" t="s">
        <v>22</v>
      </c>
      <c r="E1328" s="4" t="s">
        <v>2317</v>
      </c>
      <c r="F1328" s="4" t="s">
        <v>488</v>
      </c>
      <c r="G1328" s="4" t="s">
        <v>2318</v>
      </c>
      <c r="H1328" s="12" t="n">
        <v>1</v>
      </c>
      <c r="I1328" s="4" t="s">
        <v>408</v>
      </c>
      <c r="J1328" s="4" t="s">
        <v>807</v>
      </c>
      <c r="K1328" s="13" t="n">
        <v>450</v>
      </c>
      <c r="L1328" s="6" t="n">
        <f aca="false">H1328*K1328</f>
        <v>450</v>
      </c>
      <c r="M1328" s="4" t="s">
        <v>371</v>
      </c>
    </row>
    <row r="1329" customFormat="false" ht="15" hidden="false" customHeight="false" outlineLevel="0" collapsed="false">
      <c r="A1329" s="4" t="s">
        <v>246</v>
      </c>
      <c r="B1329" s="5" t="s">
        <v>251</v>
      </c>
      <c r="C1329" s="5" t="s">
        <v>252</v>
      </c>
      <c r="D1329" s="4" t="s">
        <v>22</v>
      </c>
      <c r="E1329" s="4" t="s">
        <v>2319</v>
      </c>
      <c r="F1329" s="4" t="s">
        <v>488</v>
      </c>
      <c r="G1329" s="4" t="s">
        <v>2320</v>
      </c>
      <c r="H1329" s="12" t="n">
        <v>1</v>
      </c>
      <c r="I1329" s="4" t="s">
        <v>408</v>
      </c>
      <c r="J1329" s="4" t="s">
        <v>506</v>
      </c>
      <c r="K1329" s="13" t="n">
        <v>180</v>
      </c>
      <c r="L1329" s="6" t="n">
        <f aca="false">H1329*K1329</f>
        <v>180</v>
      </c>
      <c r="M1329" s="4" t="s">
        <v>371</v>
      </c>
    </row>
    <row r="1330" customFormat="false" ht="15" hidden="false" customHeight="false" outlineLevel="0" collapsed="false">
      <c r="A1330" s="4" t="s">
        <v>246</v>
      </c>
      <c r="B1330" s="5" t="s">
        <v>251</v>
      </c>
      <c r="C1330" s="5" t="s">
        <v>252</v>
      </c>
      <c r="D1330" s="4" t="s">
        <v>22</v>
      </c>
      <c r="E1330" s="4" t="s">
        <v>2321</v>
      </c>
      <c r="F1330" s="4" t="s">
        <v>488</v>
      </c>
      <c r="G1330" s="4" t="s">
        <v>2322</v>
      </c>
      <c r="H1330" s="12" t="n">
        <v>1</v>
      </c>
      <c r="I1330" s="4" t="s">
        <v>408</v>
      </c>
      <c r="J1330" s="4" t="s">
        <v>416</v>
      </c>
      <c r="K1330" s="13" t="n">
        <v>650</v>
      </c>
      <c r="L1330" s="6" t="n">
        <f aca="false">H1330*K1330</f>
        <v>650</v>
      </c>
      <c r="M1330" s="4" t="s">
        <v>371</v>
      </c>
    </row>
    <row r="1331" customFormat="false" ht="15" hidden="false" customHeight="false" outlineLevel="0" collapsed="false">
      <c r="A1331" s="4" t="s">
        <v>246</v>
      </c>
      <c r="B1331" s="5" t="s">
        <v>251</v>
      </c>
      <c r="C1331" s="5" t="s">
        <v>252</v>
      </c>
      <c r="D1331" s="4" t="s">
        <v>22</v>
      </c>
      <c r="E1331" s="4" t="s">
        <v>2323</v>
      </c>
      <c r="F1331" s="4" t="s">
        <v>488</v>
      </c>
      <c r="G1331" s="4" t="s">
        <v>2324</v>
      </c>
      <c r="H1331" s="12" t="n">
        <v>1</v>
      </c>
      <c r="I1331" s="4" t="s">
        <v>408</v>
      </c>
      <c r="J1331" s="4" t="s">
        <v>807</v>
      </c>
      <c r="K1331" s="13" t="n">
        <v>450</v>
      </c>
      <c r="L1331" s="6" t="n">
        <f aca="false">H1331*K1331</f>
        <v>450</v>
      </c>
      <c r="M1331" s="4" t="s">
        <v>371</v>
      </c>
    </row>
    <row r="1332" customFormat="false" ht="15" hidden="false" customHeight="false" outlineLevel="0" collapsed="false">
      <c r="A1332" s="4" t="s">
        <v>246</v>
      </c>
      <c r="B1332" s="5" t="s">
        <v>251</v>
      </c>
      <c r="C1332" s="5" t="s">
        <v>252</v>
      </c>
      <c r="D1332" s="4" t="s">
        <v>22</v>
      </c>
      <c r="E1332" s="4" t="s">
        <v>2325</v>
      </c>
      <c r="F1332" s="4" t="s">
        <v>488</v>
      </c>
      <c r="G1332" s="4" t="s">
        <v>2326</v>
      </c>
      <c r="H1332" s="12" t="n">
        <v>1</v>
      </c>
      <c r="I1332" s="4" t="s">
        <v>408</v>
      </c>
      <c r="J1332" s="4" t="s">
        <v>416</v>
      </c>
      <c r="K1332" s="13" t="n">
        <v>650</v>
      </c>
      <c r="L1332" s="6" t="n">
        <f aca="false">H1332*K1332</f>
        <v>650</v>
      </c>
      <c r="M1332" s="4" t="s">
        <v>371</v>
      </c>
    </row>
    <row r="1333" customFormat="false" ht="15" hidden="false" customHeight="false" outlineLevel="0" collapsed="false">
      <c r="A1333" s="4" t="s">
        <v>246</v>
      </c>
      <c r="B1333" s="5" t="s">
        <v>251</v>
      </c>
      <c r="C1333" s="5" t="s">
        <v>252</v>
      </c>
      <c r="D1333" s="4" t="s">
        <v>22</v>
      </c>
      <c r="E1333" s="4" t="s">
        <v>2327</v>
      </c>
      <c r="F1333" s="4" t="s">
        <v>488</v>
      </c>
      <c r="G1333" s="4" t="s">
        <v>2328</v>
      </c>
      <c r="H1333" s="12" t="n">
        <v>1</v>
      </c>
      <c r="I1333" s="4" t="s">
        <v>408</v>
      </c>
      <c r="J1333" s="4" t="s">
        <v>506</v>
      </c>
      <c r="K1333" s="13" t="n">
        <v>450</v>
      </c>
      <c r="L1333" s="6" t="n">
        <f aca="false">H1333*K1333</f>
        <v>450</v>
      </c>
      <c r="M1333" s="4" t="s">
        <v>371</v>
      </c>
    </row>
    <row r="1334" customFormat="false" ht="15" hidden="false" customHeight="false" outlineLevel="0" collapsed="false">
      <c r="A1334" s="4" t="s">
        <v>246</v>
      </c>
      <c r="B1334" s="5" t="s">
        <v>251</v>
      </c>
      <c r="C1334" s="5" t="s">
        <v>252</v>
      </c>
      <c r="D1334" s="4" t="s">
        <v>22</v>
      </c>
      <c r="E1334" s="4" t="s">
        <v>2329</v>
      </c>
      <c r="F1334" s="4" t="s">
        <v>470</v>
      </c>
      <c r="G1334" s="4" t="s">
        <v>2330</v>
      </c>
      <c r="H1334" s="12" t="n">
        <v>1</v>
      </c>
      <c r="I1334" s="4" t="s">
        <v>408</v>
      </c>
      <c r="J1334" s="4" t="s">
        <v>409</v>
      </c>
      <c r="K1334" s="13" t="n">
        <v>450</v>
      </c>
      <c r="L1334" s="6" t="n">
        <f aca="false">H1334*K1334</f>
        <v>450</v>
      </c>
      <c r="M1334" s="4" t="s">
        <v>371</v>
      </c>
    </row>
    <row r="1335" customFormat="false" ht="15" hidden="false" customHeight="false" outlineLevel="0" collapsed="false">
      <c r="A1335" s="4" t="s">
        <v>246</v>
      </c>
      <c r="B1335" s="5" t="s">
        <v>251</v>
      </c>
      <c r="C1335" s="5" t="s">
        <v>252</v>
      </c>
      <c r="D1335" s="4" t="s">
        <v>22</v>
      </c>
      <c r="E1335" s="4" t="s">
        <v>2331</v>
      </c>
      <c r="F1335" s="4" t="s">
        <v>470</v>
      </c>
      <c r="G1335" s="4" t="s">
        <v>2332</v>
      </c>
      <c r="H1335" s="12" t="n">
        <v>2</v>
      </c>
      <c r="I1335" s="4" t="s">
        <v>474</v>
      </c>
      <c r="J1335" s="4" t="s">
        <v>1080</v>
      </c>
      <c r="K1335" s="13" t="n">
        <v>120</v>
      </c>
      <c r="L1335" s="6" t="n">
        <f aca="false">H1335*K1335</f>
        <v>240</v>
      </c>
      <c r="M1335" s="4" t="s">
        <v>371</v>
      </c>
    </row>
    <row r="1336" customFormat="false" ht="15" hidden="false" customHeight="false" outlineLevel="0" collapsed="false">
      <c r="A1336" s="4" t="s">
        <v>246</v>
      </c>
      <c r="B1336" s="5" t="s">
        <v>251</v>
      </c>
      <c r="C1336" s="5" t="s">
        <v>252</v>
      </c>
      <c r="D1336" s="4" t="s">
        <v>22</v>
      </c>
      <c r="E1336" s="4" t="s">
        <v>2333</v>
      </c>
      <c r="F1336" s="4" t="s">
        <v>470</v>
      </c>
      <c r="G1336" s="4" t="s">
        <v>2334</v>
      </c>
      <c r="H1336" s="12" t="n">
        <v>1</v>
      </c>
      <c r="I1336" s="4" t="s">
        <v>408</v>
      </c>
      <c r="J1336" s="4" t="s">
        <v>409</v>
      </c>
      <c r="K1336" s="13" t="n">
        <v>350</v>
      </c>
      <c r="L1336" s="6" t="n">
        <f aca="false">H1336*K1336</f>
        <v>350</v>
      </c>
      <c r="M1336" s="4" t="s">
        <v>371</v>
      </c>
    </row>
    <row r="1337" customFormat="false" ht="15" hidden="false" customHeight="false" outlineLevel="0" collapsed="false">
      <c r="A1337" s="4" t="s">
        <v>246</v>
      </c>
      <c r="B1337" s="5" t="s">
        <v>251</v>
      </c>
      <c r="C1337" s="5" t="s">
        <v>252</v>
      </c>
      <c r="D1337" s="4" t="s">
        <v>22</v>
      </c>
      <c r="E1337" s="4" t="s">
        <v>2335</v>
      </c>
      <c r="F1337" s="4" t="s">
        <v>470</v>
      </c>
      <c r="G1337" s="4" t="s">
        <v>2336</v>
      </c>
      <c r="H1337" s="12" t="n">
        <v>1</v>
      </c>
      <c r="I1337" s="4" t="s">
        <v>408</v>
      </c>
      <c r="J1337" s="4" t="s">
        <v>409</v>
      </c>
      <c r="K1337" s="13" t="n">
        <v>850</v>
      </c>
      <c r="L1337" s="6" t="n">
        <f aca="false">H1337*K1337</f>
        <v>850</v>
      </c>
      <c r="M1337" s="4" t="s">
        <v>371</v>
      </c>
    </row>
    <row r="1338" customFormat="false" ht="15" hidden="false" customHeight="false" outlineLevel="0" collapsed="false">
      <c r="A1338" s="4" t="s">
        <v>246</v>
      </c>
      <c r="B1338" s="5" t="s">
        <v>251</v>
      </c>
      <c r="C1338" s="5" t="s">
        <v>252</v>
      </c>
      <c r="D1338" s="4" t="s">
        <v>22</v>
      </c>
      <c r="E1338" s="4" t="s">
        <v>2337</v>
      </c>
      <c r="F1338" s="4" t="s">
        <v>470</v>
      </c>
      <c r="G1338" s="4" t="s">
        <v>2338</v>
      </c>
      <c r="H1338" s="12" t="n">
        <v>1</v>
      </c>
      <c r="I1338" s="4" t="s">
        <v>408</v>
      </c>
      <c r="J1338" s="4" t="s">
        <v>416</v>
      </c>
      <c r="K1338" s="13" t="n">
        <v>8500</v>
      </c>
      <c r="L1338" s="6" t="n">
        <f aca="false">H1338*K1338</f>
        <v>8500</v>
      </c>
      <c r="M1338" s="4" t="s">
        <v>371</v>
      </c>
    </row>
    <row r="1339" customFormat="false" ht="15" hidden="false" customHeight="false" outlineLevel="0" collapsed="false">
      <c r="A1339" s="4" t="s">
        <v>246</v>
      </c>
      <c r="B1339" s="5" t="s">
        <v>251</v>
      </c>
      <c r="C1339" s="5" t="s">
        <v>252</v>
      </c>
      <c r="D1339" s="4" t="s">
        <v>22</v>
      </c>
      <c r="E1339" s="4" t="s">
        <v>2339</v>
      </c>
      <c r="F1339" s="4" t="s">
        <v>470</v>
      </c>
      <c r="G1339" s="4" t="s">
        <v>2340</v>
      </c>
      <c r="H1339" s="12" t="n">
        <v>1</v>
      </c>
      <c r="I1339" s="4" t="s">
        <v>408</v>
      </c>
      <c r="J1339" s="4" t="s">
        <v>416</v>
      </c>
      <c r="K1339" s="13" t="n">
        <v>8500</v>
      </c>
      <c r="L1339" s="6" t="n">
        <f aca="false">H1339*K1339</f>
        <v>8500</v>
      </c>
      <c r="M1339" s="14" t="s">
        <v>410</v>
      </c>
    </row>
    <row r="1340" customFormat="false" ht="15" hidden="false" customHeight="false" outlineLevel="0" collapsed="false">
      <c r="A1340" s="4" t="s">
        <v>246</v>
      </c>
      <c r="B1340" s="5" t="s">
        <v>251</v>
      </c>
      <c r="C1340" s="5" t="s">
        <v>252</v>
      </c>
      <c r="D1340" s="4" t="s">
        <v>22</v>
      </c>
      <c r="E1340" s="4" t="s">
        <v>2341</v>
      </c>
      <c r="F1340" s="4" t="s">
        <v>470</v>
      </c>
      <c r="G1340" s="4" t="s">
        <v>2342</v>
      </c>
      <c r="H1340" s="12" t="n">
        <v>1</v>
      </c>
      <c r="I1340" s="4" t="s">
        <v>408</v>
      </c>
      <c r="J1340" s="4" t="s">
        <v>543</v>
      </c>
      <c r="K1340" s="13" t="n">
        <v>5000</v>
      </c>
      <c r="L1340" s="6" t="n">
        <f aca="false">H1340*K1340</f>
        <v>5000</v>
      </c>
      <c r="M1340" s="4" t="s">
        <v>371</v>
      </c>
    </row>
    <row r="1341" customFormat="false" ht="15" hidden="false" customHeight="false" outlineLevel="0" collapsed="false">
      <c r="A1341" s="4" t="s">
        <v>246</v>
      </c>
      <c r="B1341" s="5" t="s">
        <v>255</v>
      </c>
      <c r="C1341" s="5" t="s">
        <v>256</v>
      </c>
      <c r="D1341" s="4" t="s">
        <v>22</v>
      </c>
      <c r="E1341" s="4" t="s">
        <v>2201</v>
      </c>
      <c r="F1341" s="4" t="s">
        <v>406</v>
      </c>
      <c r="G1341" s="4" t="s">
        <v>2202</v>
      </c>
      <c r="H1341" s="12" t="n">
        <v>1</v>
      </c>
      <c r="I1341" s="4" t="s">
        <v>474</v>
      </c>
      <c r="J1341" s="4" t="s">
        <v>416</v>
      </c>
      <c r="K1341" s="13" t="n">
        <v>1800</v>
      </c>
      <c r="L1341" s="6" t="n">
        <f aca="false">H1341*K1341</f>
        <v>1800</v>
      </c>
      <c r="M1341" s="14" t="s">
        <v>410</v>
      </c>
    </row>
    <row r="1342" customFormat="false" ht="15" hidden="false" customHeight="false" outlineLevel="0" collapsed="false">
      <c r="A1342" s="4" t="s">
        <v>246</v>
      </c>
      <c r="B1342" s="5" t="s">
        <v>255</v>
      </c>
      <c r="C1342" s="5" t="s">
        <v>256</v>
      </c>
      <c r="D1342" s="4" t="s">
        <v>22</v>
      </c>
      <c r="E1342" s="4" t="s">
        <v>2203</v>
      </c>
      <c r="F1342" s="4" t="s">
        <v>406</v>
      </c>
      <c r="G1342" s="4" t="s">
        <v>2204</v>
      </c>
      <c r="H1342" s="12" t="n">
        <v>2</v>
      </c>
      <c r="I1342" s="4" t="s">
        <v>474</v>
      </c>
      <c r="J1342" s="4" t="s">
        <v>416</v>
      </c>
      <c r="K1342" s="13" t="n">
        <v>650</v>
      </c>
      <c r="L1342" s="6" t="n">
        <f aca="false">H1342*K1342</f>
        <v>1300</v>
      </c>
      <c r="M1342" s="14" t="s">
        <v>410</v>
      </c>
    </row>
    <row r="1343" customFormat="false" ht="15" hidden="false" customHeight="false" outlineLevel="0" collapsed="false">
      <c r="A1343" s="4" t="s">
        <v>246</v>
      </c>
      <c r="B1343" s="5" t="s">
        <v>255</v>
      </c>
      <c r="C1343" s="5" t="s">
        <v>256</v>
      </c>
      <c r="D1343" s="4" t="s">
        <v>22</v>
      </c>
      <c r="E1343" s="4" t="s">
        <v>2205</v>
      </c>
      <c r="F1343" s="4" t="s">
        <v>406</v>
      </c>
      <c r="G1343" s="4" t="s">
        <v>2206</v>
      </c>
      <c r="H1343" s="12" t="n">
        <v>2</v>
      </c>
      <c r="I1343" s="4" t="s">
        <v>474</v>
      </c>
      <c r="J1343" s="4" t="s">
        <v>416</v>
      </c>
      <c r="K1343" s="13" t="n">
        <v>450</v>
      </c>
      <c r="L1343" s="6" t="n">
        <f aca="false">H1343*K1343</f>
        <v>900</v>
      </c>
      <c r="M1343" s="14" t="s">
        <v>410</v>
      </c>
    </row>
    <row r="1344" customFormat="false" ht="15" hidden="false" customHeight="false" outlineLevel="0" collapsed="false">
      <c r="A1344" s="4" t="s">
        <v>246</v>
      </c>
      <c r="B1344" s="5" t="s">
        <v>255</v>
      </c>
      <c r="C1344" s="5" t="s">
        <v>256</v>
      </c>
      <c r="D1344" s="4" t="s">
        <v>22</v>
      </c>
      <c r="E1344" s="4" t="s">
        <v>2343</v>
      </c>
      <c r="F1344" s="4" t="s">
        <v>406</v>
      </c>
      <c r="G1344" s="4" t="s">
        <v>2344</v>
      </c>
      <c r="H1344" s="12" t="n">
        <v>10</v>
      </c>
      <c r="I1344" s="4" t="s">
        <v>474</v>
      </c>
      <c r="J1344" s="4" t="s">
        <v>409</v>
      </c>
      <c r="K1344" s="13" t="n">
        <v>450</v>
      </c>
      <c r="L1344" s="6" t="n">
        <f aca="false">H1344*K1344</f>
        <v>4500</v>
      </c>
      <c r="M1344" s="4" t="s">
        <v>371</v>
      </c>
    </row>
    <row r="1345" customFormat="false" ht="15" hidden="false" customHeight="false" outlineLevel="0" collapsed="false">
      <c r="A1345" s="4" t="s">
        <v>246</v>
      </c>
      <c r="B1345" s="5" t="s">
        <v>255</v>
      </c>
      <c r="C1345" s="5" t="s">
        <v>256</v>
      </c>
      <c r="D1345" s="4" t="s">
        <v>22</v>
      </c>
      <c r="E1345" s="4" t="s">
        <v>2209</v>
      </c>
      <c r="F1345" s="4" t="s">
        <v>406</v>
      </c>
      <c r="G1345" s="4" t="s">
        <v>2210</v>
      </c>
      <c r="H1345" s="12" t="n">
        <v>1</v>
      </c>
      <c r="I1345" s="4" t="s">
        <v>408</v>
      </c>
      <c r="J1345" s="4" t="s">
        <v>409</v>
      </c>
      <c r="K1345" s="13" t="n">
        <v>1800</v>
      </c>
      <c r="L1345" s="6" t="n">
        <f aca="false">H1345*K1345</f>
        <v>1800</v>
      </c>
      <c r="M1345" s="14" t="s">
        <v>410</v>
      </c>
    </row>
    <row r="1346" customFormat="false" ht="15" hidden="false" customHeight="false" outlineLevel="0" collapsed="false">
      <c r="A1346" s="4" t="s">
        <v>246</v>
      </c>
      <c r="B1346" s="5" t="s">
        <v>255</v>
      </c>
      <c r="C1346" s="5" t="s">
        <v>256</v>
      </c>
      <c r="D1346" s="4" t="s">
        <v>22</v>
      </c>
      <c r="E1346" s="4" t="s">
        <v>2211</v>
      </c>
      <c r="F1346" s="4" t="s">
        <v>406</v>
      </c>
      <c r="G1346" s="4" t="s">
        <v>2212</v>
      </c>
      <c r="H1346" s="12" t="n">
        <v>1</v>
      </c>
      <c r="I1346" s="4" t="s">
        <v>474</v>
      </c>
      <c r="J1346" s="4" t="s">
        <v>409</v>
      </c>
      <c r="K1346" s="13" t="n">
        <v>180</v>
      </c>
      <c r="L1346" s="6" t="n">
        <f aca="false">H1346*K1346</f>
        <v>180</v>
      </c>
      <c r="M1346" s="14" t="s">
        <v>410</v>
      </c>
    </row>
    <row r="1347" customFormat="false" ht="15" hidden="false" customHeight="false" outlineLevel="0" collapsed="false">
      <c r="A1347" s="4" t="s">
        <v>246</v>
      </c>
      <c r="B1347" s="5" t="s">
        <v>255</v>
      </c>
      <c r="C1347" s="5" t="s">
        <v>256</v>
      </c>
      <c r="D1347" s="4" t="s">
        <v>22</v>
      </c>
      <c r="E1347" s="4" t="s">
        <v>2213</v>
      </c>
      <c r="F1347" s="4" t="s">
        <v>406</v>
      </c>
      <c r="G1347" s="4" t="s">
        <v>2214</v>
      </c>
      <c r="H1347" s="12" t="n">
        <v>2</v>
      </c>
      <c r="I1347" s="4" t="s">
        <v>474</v>
      </c>
      <c r="J1347" s="4" t="s">
        <v>409</v>
      </c>
      <c r="K1347" s="13" t="n">
        <v>350</v>
      </c>
      <c r="L1347" s="6" t="n">
        <f aca="false">H1347*K1347</f>
        <v>700</v>
      </c>
      <c r="M1347" s="4" t="s">
        <v>371</v>
      </c>
    </row>
    <row r="1348" customFormat="false" ht="15" hidden="false" customHeight="false" outlineLevel="0" collapsed="false">
      <c r="A1348" s="4" t="s">
        <v>246</v>
      </c>
      <c r="B1348" s="5" t="s">
        <v>255</v>
      </c>
      <c r="C1348" s="5" t="s">
        <v>256</v>
      </c>
      <c r="D1348" s="4" t="s">
        <v>22</v>
      </c>
      <c r="E1348" s="4" t="s">
        <v>2217</v>
      </c>
      <c r="F1348" s="4" t="s">
        <v>406</v>
      </c>
      <c r="G1348" s="4" t="s">
        <v>2218</v>
      </c>
      <c r="H1348" s="12" t="n">
        <v>1</v>
      </c>
      <c r="I1348" s="4" t="s">
        <v>474</v>
      </c>
      <c r="J1348" s="4" t="s">
        <v>409</v>
      </c>
      <c r="K1348" s="13" t="n">
        <v>4500</v>
      </c>
      <c r="L1348" s="6" t="n">
        <f aca="false">H1348*K1348</f>
        <v>4500</v>
      </c>
      <c r="M1348" s="14" t="s">
        <v>410</v>
      </c>
    </row>
    <row r="1349" customFormat="false" ht="15" hidden="false" customHeight="false" outlineLevel="0" collapsed="false">
      <c r="A1349" s="4" t="s">
        <v>246</v>
      </c>
      <c r="B1349" s="5" t="s">
        <v>255</v>
      </c>
      <c r="C1349" s="5" t="s">
        <v>256</v>
      </c>
      <c r="D1349" s="4" t="s">
        <v>22</v>
      </c>
      <c r="E1349" s="4" t="s">
        <v>2219</v>
      </c>
      <c r="F1349" s="4" t="s">
        <v>406</v>
      </c>
      <c r="G1349" s="4" t="s">
        <v>2220</v>
      </c>
      <c r="H1349" s="12" t="n">
        <v>1</v>
      </c>
      <c r="I1349" s="4" t="s">
        <v>474</v>
      </c>
      <c r="J1349" s="4" t="s">
        <v>409</v>
      </c>
      <c r="K1349" s="13" t="n">
        <v>2500</v>
      </c>
      <c r="L1349" s="6" t="n">
        <f aca="false">H1349*K1349</f>
        <v>2500</v>
      </c>
      <c r="M1349" s="4" t="s">
        <v>371</v>
      </c>
    </row>
    <row r="1350" customFormat="false" ht="15" hidden="false" customHeight="false" outlineLevel="0" collapsed="false">
      <c r="A1350" s="4" t="s">
        <v>246</v>
      </c>
      <c r="B1350" s="5" t="s">
        <v>255</v>
      </c>
      <c r="C1350" s="5" t="s">
        <v>256</v>
      </c>
      <c r="D1350" s="4" t="s">
        <v>22</v>
      </c>
      <c r="E1350" s="4" t="s">
        <v>2345</v>
      </c>
      <c r="F1350" s="4" t="s">
        <v>406</v>
      </c>
      <c r="G1350" s="4" t="s">
        <v>2346</v>
      </c>
      <c r="H1350" s="12" t="n">
        <v>1</v>
      </c>
      <c r="I1350" s="4" t="s">
        <v>408</v>
      </c>
      <c r="J1350" s="4" t="s">
        <v>409</v>
      </c>
      <c r="K1350" s="13" t="n">
        <v>4500</v>
      </c>
      <c r="L1350" s="6" t="n">
        <f aca="false">H1350*K1350</f>
        <v>4500</v>
      </c>
      <c r="M1350" s="14" t="s">
        <v>410</v>
      </c>
    </row>
    <row r="1351" customFormat="false" ht="15" hidden="false" customHeight="false" outlineLevel="0" collapsed="false">
      <c r="A1351" s="4" t="s">
        <v>246</v>
      </c>
      <c r="B1351" s="5" t="s">
        <v>255</v>
      </c>
      <c r="C1351" s="5" t="s">
        <v>256</v>
      </c>
      <c r="D1351" s="4" t="s">
        <v>22</v>
      </c>
      <c r="E1351" s="4" t="s">
        <v>2347</v>
      </c>
      <c r="F1351" s="4" t="s">
        <v>406</v>
      </c>
      <c r="G1351" s="4" t="s">
        <v>1189</v>
      </c>
      <c r="H1351" s="12" t="n">
        <v>1</v>
      </c>
      <c r="I1351" s="4" t="s">
        <v>408</v>
      </c>
      <c r="J1351" s="4" t="s">
        <v>416</v>
      </c>
      <c r="K1351" s="13" t="n">
        <v>1800</v>
      </c>
      <c r="L1351" s="6" t="n">
        <f aca="false">H1351*K1351</f>
        <v>1800</v>
      </c>
      <c r="M1351" s="14" t="s">
        <v>410</v>
      </c>
    </row>
    <row r="1352" customFormat="false" ht="15" hidden="false" customHeight="false" outlineLevel="0" collapsed="false">
      <c r="A1352" s="4" t="s">
        <v>246</v>
      </c>
      <c r="B1352" s="5" t="s">
        <v>255</v>
      </c>
      <c r="C1352" s="5" t="s">
        <v>256</v>
      </c>
      <c r="D1352" s="4" t="s">
        <v>22</v>
      </c>
      <c r="E1352" s="4" t="s">
        <v>2225</v>
      </c>
      <c r="F1352" s="4" t="s">
        <v>406</v>
      </c>
      <c r="G1352" s="4" t="s">
        <v>2226</v>
      </c>
      <c r="H1352" s="12" t="n">
        <v>1</v>
      </c>
      <c r="I1352" s="4" t="s">
        <v>408</v>
      </c>
      <c r="J1352" s="4" t="s">
        <v>409</v>
      </c>
      <c r="K1352" s="13" t="n">
        <v>350</v>
      </c>
      <c r="L1352" s="6" t="n">
        <f aca="false">H1352*K1352</f>
        <v>350</v>
      </c>
      <c r="M1352" s="14" t="s">
        <v>410</v>
      </c>
    </row>
    <row r="1353" customFormat="false" ht="15" hidden="false" customHeight="false" outlineLevel="0" collapsed="false">
      <c r="A1353" s="4" t="s">
        <v>246</v>
      </c>
      <c r="B1353" s="5" t="s">
        <v>255</v>
      </c>
      <c r="C1353" s="5" t="s">
        <v>256</v>
      </c>
      <c r="D1353" s="4" t="s">
        <v>22</v>
      </c>
      <c r="E1353" s="4" t="s">
        <v>2348</v>
      </c>
      <c r="F1353" s="4" t="s">
        <v>406</v>
      </c>
      <c r="G1353" s="4" t="s">
        <v>2228</v>
      </c>
      <c r="H1353" s="12" t="n">
        <v>1</v>
      </c>
      <c r="I1353" s="4" t="s">
        <v>474</v>
      </c>
      <c r="J1353" s="4" t="s">
        <v>409</v>
      </c>
      <c r="K1353" s="13" t="n">
        <v>18000</v>
      </c>
      <c r="L1353" s="6" t="n">
        <f aca="false">H1353*K1353</f>
        <v>18000</v>
      </c>
      <c r="M1353" s="4" t="s">
        <v>371</v>
      </c>
    </row>
    <row r="1354" customFormat="false" ht="15" hidden="false" customHeight="false" outlineLevel="0" collapsed="false">
      <c r="A1354" s="4" t="s">
        <v>246</v>
      </c>
      <c r="B1354" s="5" t="s">
        <v>255</v>
      </c>
      <c r="C1354" s="5" t="s">
        <v>256</v>
      </c>
      <c r="D1354" s="4" t="s">
        <v>22</v>
      </c>
      <c r="E1354" s="4" t="s">
        <v>2349</v>
      </c>
      <c r="F1354" s="4" t="s">
        <v>406</v>
      </c>
      <c r="G1354" s="4" t="s">
        <v>2350</v>
      </c>
      <c r="H1354" s="12" t="n">
        <v>1</v>
      </c>
      <c r="I1354" s="4" t="s">
        <v>474</v>
      </c>
      <c r="J1354" s="4" t="s">
        <v>409</v>
      </c>
      <c r="K1354" s="13" t="n">
        <v>8500</v>
      </c>
      <c r="L1354" s="6" t="n">
        <f aca="false">H1354*K1354</f>
        <v>8500</v>
      </c>
      <c r="M1354" s="14" t="s">
        <v>410</v>
      </c>
    </row>
    <row r="1355" customFormat="false" ht="15" hidden="false" customHeight="false" outlineLevel="0" collapsed="false">
      <c r="A1355" s="4" t="s">
        <v>246</v>
      </c>
      <c r="B1355" s="5" t="s">
        <v>255</v>
      </c>
      <c r="C1355" s="5" t="s">
        <v>256</v>
      </c>
      <c r="D1355" s="4" t="s">
        <v>22</v>
      </c>
      <c r="E1355" s="4" t="s">
        <v>2231</v>
      </c>
      <c r="F1355" s="4" t="s">
        <v>406</v>
      </c>
      <c r="G1355" s="4" t="s">
        <v>2232</v>
      </c>
      <c r="H1355" s="12" t="n">
        <v>1</v>
      </c>
      <c r="I1355" s="4" t="s">
        <v>474</v>
      </c>
      <c r="J1355" s="4" t="s">
        <v>416</v>
      </c>
      <c r="K1355" s="13" t="n">
        <v>8500</v>
      </c>
      <c r="L1355" s="6" t="n">
        <f aca="false">H1355*K1355</f>
        <v>8500</v>
      </c>
      <c r="M1355" s="4" t="s">
        <v>371</v>
      </c>
    </row>
    <row r="1356" customFormat="false" ht="15" hidden="false" customHeight="false" outlineLevel="0" collapsed="false">
      <c r="A1356" s="4" t="s">
        <v>246</v>
      </c>
      <c r="B1356" s="5" t="s">
        <v>255</v>
      </c>
      <c r="C1356" s="5" t="s">
        <v>256</v>
      </c>
      <c r="D1356" s="4" t="s">
        <v>22</v>
      </c>
      <c r="E1356" s="4" t="s">
        <v>2233</v>
      </c>
      <c r="F1356" s="4" t="s">
        <v>406</v>
      </c>
      <c r="G1356" s="4" t="s">
        <v>2234</v>
      </c>
      <c r="H1356" s="12" t="n">
        <v>1</v>
      </c>
      <c r="I1356" s="4" t="s">
        <v>408</v>
      </c>
      <c r="J1356" s="4" t="s">
        <v>409</v>
      </c>
      <c r="K1356" s="13" t="n">
        <v>120</v>
      </c>
      <c r="L1356" s="6" t="n">
        <f aca="false">H1356*K1356</f>
        <v>120</v>
      </c>
      <c r="M1356" s="4" t="s">
        <v>371</v>
      </c>
    </row>
    <row r="1357" customFormat="false" ht="15" hidden="false" customHeight="false" outlineLevel="0" collapsed="false">
      <c r="A1357" s="4" t="s">
        <v>246</v>
      </c>
      <c r="B1357" s="5" t="s">
        <v>255</v>
      </c>
      <c r="C1357" s="5" t="s">
        <v>256</v>
      </c>
      <c r="D1357" s="4" t="s">
        <v>22</v>
      </c>
      <c r="E1357" s="4" t="s">
        <v>2235</v>
      </c>
      <c r="F1357" s="4" t="s">
        <v>406</v>
      </c>
      <c r="G1357" s="4" t="s">
        <v>2236</v>
      </c>
      <c r="H1357" s="12" t="n">
        <v>5</v>
      </c>
      <c r="I1357" s="4" t="s">
        <v>474</v>
      </c>
      <c r="J1357" s="4" t="s">
        <v>416</v>
      </c>
      <c r="K1357" s="13" t="n">
        <v>1200</v>
      </c>
      <c r="L1357" s="6" t="n">
        <f aca="false">H1357*K1357</f>
        <v>6000</v>
      </c>
      <c r="M1357" s="4" t="s">
        <v>371</v>
      </c>
    </row>
    <row r="1358" customFormat="false" ht="15" hidden="false" customHeight="false" outlineLevel="0" collapsed="false">
      <c r="A1358" s="4" t="s">
        <v>246</v>
      </c>
      <c r="B1358" s="5" t="s">
        <v>255</v>
      </c>
      <c r="C1358" s="5" t="s">
        <v>256</v>
      </c>
      <c r="D1358" s="4" t="s">
        <v>22</v>
      </c>
      <c r="E1358" s="4" t="s">
        <v>2215</v>
      </c>
      <c r="F1358" s="4" t="s">
        <v>406</v>
      </c>
      <c r="G1358" s="4" t="s">
        <v>2216</v>
      </c>
      <c r="H1358" s="12" t="n">
        <v>1</v>
      </c>
      <c r="I1358" s="4" t="s">
        <v>408</v>
      </c>
      <c r="J1358" s="4" t="s">
        <v>409</v>
      </c>
      <c r="K1358" s="13" t="n">
        <v>1200</v>
      </c>
      <c r="L1358" s="6" t="n">
        <f aca="false">H1358*K1358</f>
        <v>1200</v>
      </c>
      <c r="M1358" s="4" t="s">
        <v>371</v>
      </c>
    </row>
    <row r="1359" customFormat="false" ht="15" hidden="false" customHeight="false" outlineLevel="0" collapsed="false">
      <c r="A1359" s="4" t="s">
        <v>246</v>
      </c>
      <c r="B1359" s="5" t="s">
        <v>255</v>
      </c>
      <c r="C1359" s="5" t="s">
        <v>256</v>
      </c>
      <c r="D1359" s="4" t="s">
        <v>22</v>
      </c>
      <c r="E1359" s="4" t="s">
        <v>2237</v>
      </c>
      <c r="F1359" s="4" t="s">
        <v>406</v>
      </c>
      <c r="G1359" s="4" t="s">
        <v>2238</v>
      </c>
      <c r="H1359" s="12" t="n">
        <v>1</v>
      </c>
      <c r="I1359" s="4" t="s">
        <v>408</v>
      </c>
      <c r="J1359" s="4" t="s">
        <v>416</v>
      </c>
      <c r="K1359" s="13" t="n">
        <v>1200</v>
      </c>
      <c r="L1359" s="6" t="n">
        <f aca="false">H1359*K1359</f>
        <v>1200</v>
      </c>
      <c r="M1359" s="14" t="s">
        <v>410</v>
      </c>
    </row>
    <row r="1360" customFormat="false" ht="15" hidden="false" customHeight="false" outlineLevel="0" collapsed="false">
      <c r="A1360" s="4" t="s">
        <v>246</v>
      </c>
      <c r="B1360" s="5" t="s">
        <v>255</v>
      </c>
      <c r="C1360" s="5" t="s">
        <v>256</v>
      </c>
      <c r="D1360" s="4" t="s">
        <v>22</v>
      </c>
      <c r="E1360" s="4" t="s">
        <v>2239</v>
      </c>
      <c r="F1360" s="4" t="s">
        <v>406</v>
      </c>
      <c r="G1360" s="4" t="s">
        <v>2240</v>
      </c>
      <c r="H1360" s="12" t="n">
        <v>1</v>
      </c>
      <c r="I1360" s="4" t="s">
        <v>408</v>
      </c>
      <c r="J1360" s="4" t="s">
        <v>409</v>
      </c>
      <c r="K1360" s="13" t="n">
        <v>8500</v>
      </c>
      <c r="L1360" s="6" t="n">
        <f aca="false">H1360*K1360</f>
        <v>8500</v>
      </c>
      <c r="M1360" s="14" t="s">
        <v>410</v>
      </c>
    </row>
    <row r="1361" customFormat="false" ht="15" hidden="false" customHeight="false" outlineLevel="0" collapsed="false">
      <c r="A1361" s="4" t="s">
        <v>246</v>
      </c>
      <c r="B1361" s="5" t="s">
        <v>255</v>
      </c>
      <c r="C1361" s="5" t="s">
        <v>256</v>
      </c>
      <c r="D1361" s="4" t="s">
        <v>22</v>
      </c>
      <c r="E1361" s="4" t="s">
        <v>2241</v>
      </c>
      <c r="F1361" s="4" t="s">
        <v>406</v>
      </c>
      <c r="G1361" s="4" t="s">
        <v>2242</v>
      </c>
      <c r="H1361" s="12" t="n">
        <v>1</v>
      </c>
      <c r="I1361" s="4" t="s">
        <v>474</v>
      </c>
      <c r="J1361" s="4" t="s">
        <v>409</v>
      </c>
      <c r="K1361" s="13" t="n">
        <v>18000</v>
      </c>
      <c r="L1361" s="6" t="n">
        <f aca="false">H1361*K1361</f>
        <v>18000</v>
      </c>
      <c r="M1361" s="14" t="s">
        <v>410</v>
      </c>
    </row>
    <row r="1362" customFormat="false" ht="15" hidden="false" customHeight="false" outlineLevel="0" collapsed="false">
      <c r="A1362" s="4" t="s">
        <v>246</v>
      </c>
      <c r="B1362" s="5" t="s">
        <v>255</v>
      </c>
      <c r="C1362" s="5" t="s">
        <v>256</v>
      </c>
      <c r="D1362" s="4" t="s">
        <v>22</v>
      </c>
      <c r="E1362" s="4" t="s">
        <v>2243</v>
      </c>
      <c r="F1362" s="4" t="s">
        <v>406</v>
      </c>
      <c r="G1362" s="4" t="s">
        <v>2244</v>
      </c>
      <c r="H1362" s="12" t="n">
        <v>1</v>
      </c>
      <c r="I1362" s="4" t="s">
        <v>474</v>
      </c>
      <c r="J1362" s="4" t="s">
        <v>409</v>
      </c>
      <c r="K1362" s="13" t="n">
        <v>4500</v>
      </c>
      <c r="L1362" s="6" t="n">
        <f aca="false">H1362*K1362</f>
        <v>4500</v>
      </c>
      <c r="M1362" s="14" t="s">
        <v>410</v>
      </c>
    </row>
    <row r="1363" customFormat="false" ht="15" hidden="false" customHeight="false" outlineLevel="0" collapsed="false">
      <c r="A1363" s="4" t="s">
        <v>246</v>
      </c>
      <c r="B1363" s="5" t="s">
        <v>255</v>
      </c>
      <c r="C1363" s="5" t="s">
        <v>256</v>
      </c>
      <c r="D1363" s="4" t="s">
        <v>22</v>
      </c>
      <c r="E1363" s="4" t="s">
        <v>2245</v>
      </c>
      <c r="F1363" s="4" t="s">
        <v>406</v>
      </c>
      <c r="G1363" s="4" t="s">
        <v>2246</v>
      </c>
      <c r="H1363" s="12" t="n">
        <v>2</v>
      </c>
      <c r="I1363" s="4" t="s">
        <v>474</v>
      </c>
      <c r="J1363" s="4" t="s">
        <v>409</v>
      </c>
      <c r="K1363" s="13" t="n">
        <v>850</v>
      </c>
      <c r="L1363" s="6" t="n">
        <f aca="false">H1363*K1363</f>
        <v>1700</v>
      </c>
      <c r="M1363" s="14" t="s">
        <v>410</v>
      </c>
    </row>
    <row r="1364" customFormat="false" ht="15" hidden="false" customHeight="false" outlineLevel="0" collapsed="false">
      <c r="A1364" s="4" t="s">
        <v>246</v>
      </c>
      <c r="B1364" s="5" t="s">
        <v>255</v>
      </c>
      <c r="C1364" s="5" t="s">
        <v>256</v>
      </c>
      <c r="D1364" s="4" t="s">
        <v>22</v>
      </c>
      <c r="E1364" s="4" t="s">
        <v>2351</v>
      </c>
      <c r="F1364" s="4" t="s">
        <v>406</v>
      </c>
      <c r="G1364" s="4" t="s">
        <v>2352</v>
      </c>
      <c r="H1364" s="12" t="n">
        <v>2</v>
      </c>
      <c r="I1364" s="4" t="s">
        <v>474</v>
      </c>
      <c r="J1364" s="4" t="s">
        <v>416</v>
      </c>
      <c r="K1364" s="13" t="n">
        <v>1800</v>
      </c>
      <c r="L1364" s="6" t="n">
        <f aca="false">H1364*K1364</f>
        <v>3600</v>
      </c>
      <c r="M1364" s="4" t="s">
        <v>371</v>
      </c>
    </row>
    <row r="1365" customFormat="false" ht="15" hidden="false" customHeight="false" outlineLevel="0" collapsed="false">
      <c r="A1365" s="4" t="s">
        <v>246</v>
      </c>
      <c r="B1365" s="5" t="s">
        <v>255</v>
      </c>
      <c r="C1365" s="5" t="s">
        <v>256</v>
      </c>
      <c r="D1365" s="4" t="s">
        <v>22</v>
      </c>
      <c r="E1365" s="4" t="s">
        <v>2249</v>
      </c>
      <c r="F1365" s="4" t="s">
        <v>406</v>
      </c>
      <c r="G1365" s="4" t="s">
        <v>2250</v>
      </c>
      <c r="H1365" s="12" t="n">
        <v>10</v>
      </c>
      <c r="I1365" s="4" t="s">
        <v>474</v>
      </c>
      <c r="J1365" s="4" t="s">
        <v>409</v>
      </c>
      <c r="K1365" s="13" t="n">
        <v>80</v>
      </c>
      <c r="L1365" s="6" t="n">
        <f aca="false">H1365*K1365</f>
        <v>800</v>
      </c>
      <c r="M1365" s="14" t="s">
        <v>410</v>
      </c>
    </row>
    <row r="1366" customFormat="false" ht="15" hidden="false" customHeight="false" outlineLevel="0" collapsed="false">
      <c r="A1366" s="4" t="s">
        <v>246</v>
      </c>
      <c r="B1366" s="5" t="s">
        <v>255</v>
      </c>
      <c r="C1366" s="5" t="s">
        <v>256</v>
      </c>
      <c r="D1366" s="4" t="s">
        <v>22</v>
      </c>
      <c r="E1366" s="4" t="s">
        <v>2251</v>
      </c>
      <c r="F1366" s="4" t="s">
        <v>406</v>
      </c>
      <c r="G1366" s="4" t="s">
        <v>2252</v>
      </c>
      <c r="H1366" s="12" t="n">
        <v>1</v>
      </c>
      <c r="I1366" s="4" t="s">
        <v>474</v>
      </c>
      <c r="J1366" s="4" t="s">
        <v>409</v>
      </c>
      <c r="K1366" s="13" t="n">
        <v>85000</v>
      </c>
      <c r="L1366" s="6" t="n">
        <f aca="false">H1366*K1366</f>
        <v>85000</v>
      </c>
      <c r="M1366" s="14" t="s">
        <v>410</v>
      </c>
    </row>
    <row r="1367" customFormat="false" ht="15" hidden="false" customHeight="false" outlineLevel="0" collapsed="false">
      <c r="A1367" s="4" t="s">
        <v>246</v>
      </c>
      <c r="B1367" s="5" t="s">
        <v>255</v>
      </c>
      <c r="C1367" s="5" t="s">
        <v>256</v>
      </c>
      <c r="D1367" s="4" t="s">
        <v>22</v>
      </c>
      <c r="E1367" s="4" t="s">
        <v>2253</v>
      </c>
      <c r="F1367" s="4" t="s">
        <v>406</v>
      </c>
      <c r="G1367" s="4" t="s">
        <v>2254</v>
      </c>
      <c r="H1367" s="12" t="n">
        <v>1</v>
      </c>
      <c r="I1367" s="4" t="s">
        <v>474</v>
      </c>
      <c r="J1367" s="4" t="s">
        <v>409</v>
      </c>
      <c r="K1367" s="13" t="n">
        <v>125000</v>
      </c>
      <c r="L1367" s="6" t="n">
        <f aca="false">H1367*K1367</f>
        <v>125000</v>
      </c>
      <c r="M1367" s="14" t="s">
        <v>410</v>
      </c>
    </row>
    <row r="1368" customFormat="false" ht="15" hidden="false" customHeight="false" outlineLevel="0" collapsed="false">
      <c r="A1368" s="4" t="s">
        <v>246</v>
      </c>
      <c r="B1368" s="5" t="s">
        <v>255</v>
      </c>
      <c r="C1368" s="5" t="s">
        <v>256</v>
      </c>
      <c r="D1368" s="4" t="s">
        <v>22</v>
      </c>
      <c r="E1368" s="4" t="s">
        <v>2257</v>
      </c>
      <c r="F1368" s="4" t="s">
        <v>406</v>
      </c>
      <c r="G1368" s="4" t="s">
        <v>2258</v>
      </c>
      <c r="H1368" s="12" t="n">
        <v>1</v>
      </c>
      <c r="I1368" s="4" t="s">
        <v>408</v>
      </c>
      <c r="J1368" s="4" t="s">
        <v>409</v>
      </c>
      <c r="K1368" s="13" t="n">
        <v>6500</v>
      </c>
      <c r="L1368" s="6" t="n">
        <f aca="false">H1368*K1368</f>
        <v>6500</v>
      </c>
      <c r="M1368" s="14" t="s">
        <v>410</v>
      </c>
    </row>
    <row r="1369" customFormat="false" ht="15" hidden="false" customHeight="false" outlineLevel="0" collapsed="false">
      <c r="A1369" s="4" t="s">
        <v>246</v>
      </c>
      <c r="B1369" s="5" t="s">
        <v>255</v>
      </c>
      <c r="C1369" s="5" t="s">
        <v>256</v>
      </c>
      <c r="D1369" s="4" t="s">
        <v>22</v>
      </c>
      <c r="E1369" s="4" t="s">
        <v>2259</v>
      </c>
      <c r="F1369" s="4" t="s">
        <v>406</v>
      </c>
      <c r="G1369" s="4" t="s">
        <v>2260</v>
      </c>
      <c r="H1369" s="12" t="n">
        <v>1</v>
      </c>
      <c r="I1369" s="4" t="s">
        <v>408</v>
      </c>
      <c r="J1369" s="4" t="s">
        <v>409</v>
      </c>
      <c r="K1369" s="13" t="n">
        <v>85000</v>
      </c>
      <c r="L1369" s="6" t="n">
        <f aca="false">H1369*K1369</f>
        <v>85000</v>
      </c>
      <c r="M1369" s="14" t="s">
        <v>410</v>
      </c>
    </row>
    <row r="1370" customFormat="false" ht="15" hidden="false" customHeight="false" outlineLevel="0" collapsed="false">
      <c r="A1370" s="4" t="s">
        <v>246</v>
      </c>
      <c r="B1370" s="5" t="s">
        <v>255</v>
      </c>
      <c r="C1370" s="5" t="s">
        <v>256</v>
      </c>
      <c r="D1370" s="4" t="s">
        <v>22</v>
      </c>
      <c r="E1370" s="4" t="s">
        <v>2261</v>
      </c>
      <c r="F1370" s="4" t="s">
        <v>406</v>
      </c>
      <c r="G1370" s="4" t="s">
        <v>2262</v>
      </c>
      <c r="H1370" s="12" t="n">
        <v>1</v>
      </c>
      <c r="I1370" s="4" t="s">
        <v>408</v>
      </c>
      <c r="J1370" s="4" t="s">
        <v>409</v>
      </c>
      <c r="K1370" s="13" t="n">
        <v>18000</v>
      </c>
      <c r="L1370" s="6" t="n">
        <f aca="false">H1370*K1370</f>
        <v>18000</v>
      </c>
      <c r="M1370" s="14" t="s">
        <v>410</v>
      </c>
    </row>
    <row r="1371" customFormat="false" ht="15" hidden="false" customHeight="false" outlineLevel="0" collapsed="false">
      <c r="A1371" s="4" t="s">
        <v>246</v>
      </c>
      <c r="B1371" s="5" t="s">
        <v>255</v>
      </c>
      <c r="C1371" s="5" t="s">
        <v>256</v>
      </c>
      <c r="D1371" s="4" t="s">
        <v>22</v>
      </c>
      <c r="E1371" s="4" t="s">
        <v>2263</v>
      </c>
      <c r="F1371" s="4" t="s">
        <v>406</v>
      </c>
      <c r="G1371" s="4" t="s">
        <v>2264</v>
      </c>
      <c r="H1371" s="12" t="n">
        <v>1</v>
      </c>
      <c r="I1371" s="4" t="s">
        <v>408</v>
      </c>
      <c r="J1371" s="4" t="s">
        <v>409</v>
      </c>
      <c r="K1371" s="13" t="n">
        <v>25000</v>
      </c>
      <c r="L1371" s="6" t="n">
        <f aca="false">H1371*K1371</f>
        <v>25000</v>
      </c>
      <c r="M1371" s="4" t="s">
        <v>371</v>
      </c>
    </row>
    <row r="1372" customFormat="false" ht="15" hidden="false" customHeight="false" outlineLevel="0" collapsed="false">
      <c r="A1372" s="4" t="s">
        <v>246</v>
      </c>
      <c r="B1372" s="5" t="s">
        <v>255</v>
      </c>
      <c r="C1372" s="5" t="s">
        <v>256</v>
      </c>
      <c r="D1372" s="4" t="s">
        <v>22</v>
      </c>
      <c r="E1372" s="4" t="s">
        <v>2265</v>
      </c>
      <c r="F1372" s="4" t="s">
        <v>406</v>
      </c>
      <c r="G1372" s="4" t="s">
        <v>2266</v>
      </c>
      <c r="H1372" s="12" t="n">
        <v>1</v>
      </c>
      <c r="I1372" s="4" t="s">
        <v>408</v>
      </c>
      <c r="J1372" s="4" t="s">
        <v>416</v>
      </c>
      <c r="K1372" s="13" t="n">
        <v>18000</v>
      </c>
      <c r="L1372" s="6" t="n">
        <f aca="false">H1372*K1372</f>
        <v>18000</v>
      </c>
      <c r="M1372" s="4" t="s">
        <v>371</v>
      </c>
    </row>
    <row r="1373" customFormat="false" ht="15" hidden="false" customHeight="false" outlineLevel="0" collapsed="false">
      <c r="A1373" s="4" t="s">
        <v>246</v>
      </c>
      <c r="B1373" s="5" t="s">
        <v>255</v>
      </c>
      <c r="C1373" s="5" t="s">
        <v>256</v>
      </c>
      <c r="D1373" s="4" t="s">
        <v>22</v>
      </c>
      <c r="E1373" s="4" t="s">
        <v>2353</v>
      </c>
      <c r="F1373" s="4" t="s">
        <v>406</v>
      </c>
      <c r="G1373" s="4" t="s">
        <v>2354</v>
      </c>
      <c r="H1373" s="12" t="n">
        <v>1</v>
      </c>
      <c r="I1373" s="4" t="s">
        <v>408</v>
      </c>
      <c r="J1373" s="4" t="s">
        <v>409</v>
      </c>
      <c r="K1373" s="13" t="n">
        <v>850000</v>
      </c>
      <c r="L1373" s="6" t="n">
        <f aca="false">H1373*K1373</f>
        <v>850000</v>
      </c>
      <c r="M1373" s="14" t="s">
        <v>410</v>
      </c>
    </row>
    <row r="1374" customFormat="false" ht="15" hidden="false" customHeight="false" outlineLevel="0" collapsed="false">
      <c r="A1374" s="4" t="s">
        <v>246</v>
      </c>
      <c r="B1374" s="5" t="s">
        <v>255</v>
      </c>
      <c r="C1374" s="5" t="s">
        <v>256</v>
      </c>
      <c r="D1374" s="4" t="s">
        <v>22</v>
      </c>
      <c r="E1374" s="4" t="s">
        <v>2355</v>
      </c>
      <c r="F1374" s="4" t="s">
        <v>406</v>
      </c>
      <c r="G1374" s="4" t="s">
        <v>2356</v>
      </c>
      <c r="H1374" s="12" t="n">
        <v>1</v>
      </c>
      <c r="I1374" s="4" t="s">
        <v>408</v>
      </c>
      <c r="J1374" s="4" t="s">
        <v>409</v>
      </c>
      <c r="K1374" s="13" t="n">
        <v>2500000</v>
      </c>
      <c r="L1374" s="6" t="n">
        <f aca="false">H1374*K1374</f>
        <v>2500000</v>
      </c>
      <c r="M1374" s="14" t="s">
        <v>410</v>
      </c>
    </row>
    <row r="1375" customFormat="false" ht="15" hidden="false" customHeight="false" outlineLevel="0" collapsed="false">
      <c r="A1375" s="4" t="s">
        <v>246</v>
      </c>
      <c r="B1375" s="5" t="s">
        <v>255</v>
      </c>
      <c r="C1375" s="5" t="s">
        <v>256</v>
      </c>
      <c r="D1375" s="4" t="s">
        <v>22</v>
      </c>
      <c r="E1375" s="4" t="s">
        <v>2271</v>
      </c>
      <c r="F1375" s="4" t="s">
        <v>470</v>
      </c>
      <c r="G1375" s="4" t="s">
        <v>2272</v>
      </c>
      <c r="H1375" s="12" t="n">
        <v>1</v>
      </c>
      <c r="I1375" s="4" t="s">
        <v>408</v>
      </c>
      <c r="J1375" s="4" t="s">
        <v>409</v>
      </c>
      <c r="K1375" s="13" t="n">
        <v>4500</v>
      </c>
      <c r="L1375" s="6" t="n">
        <f aca="false">H1375*K1375</f>
        <v>4500</v>
      </c>
      <c r="M1375" s="14" t="s">
        <v>410</v>
      </c>
    </row>
    <row r="1376" customFormat="false" ht="15" hidden="false" customHeight="false" outlineLevel="0" collapsed="false">
      <c r="A1376" s="4" t="s">
        <v>246</v>
      </c>
      <c r="B1376" s="5" t="s">
        <v>255</v>
      </c>
      <c r="C1376" s="5" t="s">
        <v>256</v>
      </c>
      <c r="D1376" s="4" t="s">
        <v>22</v>
      </c>
      <c r="E1376" s="4" t="s">
        <v>2273</v>
      </c>
      <c r="F1376" s="4" t="s">
        <v>470</v>
      </c>
      <c r="G1376" s="4" t="s">
        <v>2274</v>
      </c>
      <c r="H1376" s="12" t="n">
        <v>1</v>
      </c>
      <c r="I1376" s="4" t="s">
        <v>408</v>
      </c>
      <c r="J1376" s="4" t="s">
        <v>409</v>
      </c>
      <c r="K1376" s="13" t="n">
        <v>25000</v>
      </c>
      <c r="L1376" s="6" t="n">
        <f aca="false">H1376*K1376</f>
        <v>25000</v>
      </c>
      <c r="M1376" s="14" t="s">
        <v>410</v>
      </c>
    </row>
    <row r="1377" customFormat="false" ht="15" hidden="false" customHeight="false" outlineLevel="0" collapsed="false">
      <c r="A1377" s="4" t="s">
        <v>246</v>
      </c>
      <c r="B1377" s="5" t="s">
        <v>255</v>
      </c>
      <c r="C1377" s="5" t="s">
        <v>256</v>
      </c>
      <c r="D1377" s="4" t="s">
        <v>22</v>
      </c>
      <c r="E1377" s="4" t="s">
        <v>2163</v>
      </c>
      <c r="F1377" s="4" t="s">
        <v>470</v>
      </c>
      <c r="G1377" s="4" t="s">
        <v>2164</v>
      </c>
      <c r="H1377" s="12" t="n">
        <v>1</v>
      </c>
      <c r="I1377" s="4" t="s">
        <v>408</v>
      </c>
      <c r="J1377" s="4" t="s">
        <v>409</v>
      </c>
      <c r="K1377" s="13" t="n">
        <v>35000</v>
      </c>
      <c r="L1377" s="6" t="n">
        <f aca="false">H1377*K1377</f>
        <v>35000</v>
      </c>
      <c r="M1377" s="14" t="s">
        <v>410</v>
      </c>
    </row>
    <row r="1378" customFormat="false" ht="15" hidden="false" customHeight="false" outlineLevel="0" collapsed="false">
      <c r="A1378" s="4" t="s">
        <v>246</v>
      </c>
      <c r="B1378" s="5" t="s">
        <v>255</v>
      </c>
      <c r="C1378" s="5" t="s">
        <v>256</v>
      </c>
      <c r="D1378" s="4" t="s">
        <v>22</v>
      </c>
      <c r="E1378" s="4" t="s">
        <v>1058</v>
      </c>
      <c r="F1378" s="4" t="s">
        <v>470</v>
      </c>
      <c r="G1378" s="4" t="s">
        <v>1059</v>
      </c>
      <c r="H1378" s="12" t="n">
        <v>1</v>
      </c>
      <c r="I1378" s="4" t="s">
        <v>408</v>
      </c>
      <c r="J1378" s="4" t="s">
        <v>409</v>
      </c>
      <c r="K1378" s="13" t="n">
        <v>45000</v>
      </c>
      <c r="L1378" s="6" t="n">
        <f aca="false">H1378*K1378</f>
        <v>45000</v>
      </c>
      <c r="M1378" s="14" t="s">
        <v>410</v>
      </c>
    </row>
    <row r="1379" customFormat="false" ht="15" hidden="false" customHeight="false" outlineLevel="0" collapsed="false">
      <c r="A1379" s="4" t="s">
        <v>246</v>
      </c>
      <c r="B1379" s="5" t="s">
        <v>255</v>
      </c>
      <c r="C1379" s="5" t="s">
        <v>256</v>
      </c>
      <c r="D1379" s="4" t="s">
        <v>22</v>
      </c>
      <c r="E1379" s="4" t="s">
        <v>2357</v>
      </c>
      <c r="F1379" s="4" t="s">
        <v>470</v>
      </c>
      <c r="G1379" s="4" t="s">
        <v>2358</v>
      </c>
      <c r="H1379" s="12" t="n">
        <v>1</v>
      </c>
      <c r="I1379" s="4" t="s">
        <v>408</v>
      </c>
      <c r="J1379" s="4" t="s">
        <v>409</v>
      </c>
      <c r="K1379" s="13" t="n">
        <v>8500</v>
      </c>
      <c r="L1379" s="6" t="n">
        <f aca="false">H1379*K1379</f>
        <v>8500</v>
      </c>
      <c r="M1379" s="4" t="s">
        <v>371</v>
      </c>
    </row>
    <row r="1380" customFormat="false" ht="15" hidden="false" customHeight="false" outlineLevel="0" collapsed="false">
      <c r="A1380" s="4" t="s">
        <v>246</v>
      </c>
      <c r="B1380" s="5" t="s">
        <v>255</v>
      </c>
      <c r="C1380" s="5" t="s">
        <v>256</v>
      </c>
      <c r="D1380" s="4" t="s">
        <v>22</v>
      </c>
      <c r="E1380" s="4" t="s">
        <v>2277</v>
      </c>
      <c r="F1380" s="4" t="s">
        <v>470</v>
      </c>
      <c r="G1380" s="4" t="s">
        <v>2278</v>
      </c>
      <c r="H1380" s="12" t="n">
        <v>1</v>
      </c>
      <c r="I1380" s="4" t="s">
        <v>474</v>
      </c>
      <c r="J1380" s="4" t="s">
        <v>413</v>
      </c>
      <c r="K1380" s="13" t="n">
        <v>450</v>
      </c>
      <c r="L1380" s="6" t="n">
        <f aca="false">H1380*K1380</f>
        <v>450</v>
      </c>
      <c r="M1380" s="4" t="s">
        <v>371</v>
      </c>
    </row>
    <row r="1381" customFormat="false" ht="15" hidden="false" customHeight="false" outlineLevel="0" collapsed="false">
      <c r="A1381" s="4" t="s">
        <v>246</v>
      </c>
      <c r="B1381" s="5" t="s">
        <v>255</v>
      </c>
      <c r="C1381" s="5" t="s">
        <v>256</v>
      </c>
      <c r="D1381" s="4" t="s">
        <v>22</v>
      </c>
      <c r="E1381" s="4" t="s">
        <v>1104</v>
      </c>
      <c r="F1381" s="4" t="s">
        <v>470</v>
      </c>
      <c r="G1381" s="4" t="s">
        <v>1105</v>
      </c>
      <c r="H1381" s="12" t="n">
        <v>1</v>
      </c>
      <c r="I1381" s="4" t="s">
        <v>408</v>
      </c>
      <c r="J1381" s="4" t="s">
        <v>409</v>
      </c>
      <c r="K1381" s="13" t="n">
        <v>3500</v>
      </c>
      <c r="L1381" s="6" t="n">
        <f aca="false">H1381*K1381</f>
        <v>3500</v>
      </c>
      <c r="M1381" s="4" t="s">
        <v>371</v>
      </c>
    </row>
    <row r="1382" customFormat="false" ht="15" hidden="false" customHeight="false" outlineLevel="0" collapsed="false">
      <c r="A1382" s="4" t="s">
        <v>246</v>
      </c>
      <c r="B1382" s="5" t="s">
        <v>255</v>
      </c>
      <c r="C1382" s="5" t="s">
        <v>256</v>
      </c>
      <c r="D1382" s="4" t="s">
        <v>22</v>
      </c>
      <c r="E1382" s="4" t="s">
        <v>2279</v>
      </c>
      <c r="F1382" s="4" t="s">
        <v>470</v>
      </c>
      <c r="G1382" s="4" t="s">
        <v>2280</v>
      </c>
      <c r="H1382" s="12" t="n">
        <v>1</v>
      </c>
      <c r="I1382" s="4" t="s">
        <v>408</v>
      </c>
      <c r="J1382" s="4" t="s">
        <v>409</v>
      </c>
      <c r="K1382" s="13" t="n">
        <v>450</v>
      </c>
      <c r="L1382" s="6" t="n">
        <f aca="false">H1382*K1382</f>
        <v>450</v>
      </c>
      <c r="M1382" s="4" t="s">
        <v>371</v>
      </c>
    </row>
    <row r="1383" customFormat="false" ht="15" hidden="false" customHeight="false" outlineLevel="0" collapsed="false">
      <c r="A1383" s="4" t="s">
        <v>246</v>
      </c>
      <c r="B1383" s="5" t="s">
        <v>255</v>
      </c>
      <c r="C1383" s="5" t="s">
        <v>256</v>
      </c>
      <c r="D1383" s="4" t="s">
        <v>22</v>
      </c>
      <c r="E1383" s="4" t="s">
        <v>2281</v>
      </c>
      <c r="F1383" s="4" t="s">
        <v>470</v>
      </c>
      <c r="G1383" s="4" t="s">
        <v>477</v>
      </c>
      <c r="H1383" s="12" t="n">
        <v>1</v>
      </c>
      <c r="I1383" s="4" t="s">
        <v>408</v>
      </c>
      <c r="J1383" s="4" t="s">
        <v>475</v>
      </c>
      <c r="K1383" s="13" t="n">
        <v>850</v>
      </c>
      <c r="L1383" s="6" t="n">
        <f aca="false">H1383*K1383</f>
        <v>850</v>
      </c>
      <c r="M1383" s="4" t="s">
        <v>371</v>
      </c>
    </row>
    <row r="1384" customFormat="false" ht="15" hidden="false" customHeight="false" outlineLevel="0" collapsed="false">
      <c r="A1384" s="4" t="s">
        <v>246</v>
      </c>
      <c r="B1384" s="5" t="s">
        <v>255</v>
      </c>
      <c r="C1384" s="5" t="s">
        <v>256</v>
      </c>
      <c r="D1384" s="4" t="s">
        <v>22</v>
      </c>
      <c r="E1384" s="4" t="s">
        <v>1096</v>
      </c>
      <c r="F1384" s="4" t="s">
        <v>470</v>
      </c>
      <c r="G1384" s="4" t="s">
        <v>1097</v>
      </c>
      <c r="H1384" s="12" t="n">
        <v>1</v>
      </c>
      <c r="I1384" s="4" t="s">
        <v>408</v>
      </c>
      <c r="J1384" s="4" t="s">
        <v>475</v>
      </c>
      <c r="K1384" s="13" t="n">
        <v>350</v>
      </c>
      <c r="L1384" s="6" t="n">
        <f aca="false">H1384*K1384</f>
        <v>350</v>
      </c>
      <c r="M1384" s="4" t="s">
        <v>371</v>
      </c>
    </row>
    <row r="1385" customFormat="false" ht="15" hidden="false" customHeight="false" outlineLevel="0" collapsed="false">
      <c r="A1385" s="4" t="s">
        <v>246</v>
      </c>
      <c r="B1385" s="5" t="s">
        <v>255</v>
      </c>
      <c r="C1385" s="5" t="s">
        <v>256</v>
      </c>
      <c r="D1385" s="4" t="s">
        <v>22</v>
      </c>
      <c r="E1385" s="4" t="s">
        <v>2282</v>
      </c>
      <c r="F1385" s="4" t="s">
        <v>470</v>
      </c>
      <c r="G1385" s="4" t="s">
        <v>2283</v>
      </c>
      <c r="H1385" s="12" t="n">
        <v>1</v>
      </c>
      <c r="I1385" s="4" t="s">
        <v>408</v>
      </c>
      <c r="J1385" s="4" t="s">
        <v>416</v>
      </c>
      <c r="K1385" s="13" t="n">
        <v>8500</v>
      </c>
      <c r="L1385" s="6" t="n">
        <f aca="false">H1385*K1385</f>
        <v>8500</v>
      </c>
      <c r="M1385" s="4" t="s">
        <v>371</v>
      </c>
    </row>
    <row r="1386" customFormat="false" ht="15" hidden="false" customHeight="false" outlineLevel="0" collapsed="false">
      <c r="A1386" s="4" t="s">
        <v>246</v>
      </c>
      <c r="B1386" s="5" t="s">
        <v>255</v>
      </c>
      <c r="C1386" s="5" t="s">
        <v>256</v>
      </c>
      <c r="D1386" s="4" t="s">
        <v>22</v>
      </c>
      <c r="E1386" s="4" t="s">
        <v>2284</v>
      </c>
      <c r="F1386" s="4" t="s">
        <v>470</v>
      </c>
      <c r="G1386" s="4" t="s">
        <v>2285</v>
      </c>
      <c r="H1386" s="12" t="n">
        <v>1</v>
      </c>
      <c r="I1386" s="4" t="s">
        <v>408</v>
      </c>
      <c r="J1386" s="4" t="s">
        <v>409</v>
      </c>
      <c r="K1386" s="13" t="n">
        <v>35</v>
      </c>
      <c r="L1386" s="6" t="n">
        <f aca="false">H1386*K1386</f>
        <v>35</v>
      </c>
      <c r="M1386" s="4" t="s">
        <v>371</v>
      </c>
    </row>
    <row r="1387" customFormat="false" ht="15" hidden="false" customHeight="false" outlineLevel="0" collapsed="false">
      <c r="A1387" s="4" t="s">
        <v>246</v>
      </c>
      <c r="B1387" s="5" t="s">
        <v>255</v>
      </c>
      <c r="C1387" s="5" t="s">
        <v>256</v>
      </c>
      <c r="D1387" s="4" t="s">
        <v>22</v>
      </c>
      <c r="E1387" s="4" t="s">
        <v>2286</v>
      </c>
      <c r="F1387" s="4" t="s">
        <v>470</v>
      </c>
      <c r="G1387" s="4" t="s">
        <v>2287</v>
      </c>
      <c r="H1387" s="12" t="n">
        <v>1</v>
      </c>
      <c r="I1387" s="4" t="s">
        <v>408</v>
      </c>
      <c r="J1387" s="4" t="s">
        <v>409</v>
      </c>
      <c r="K1387" s="13" t="n">
        <v>350</v>
      </c>
      <c r="L1387" s="6" t="n">
        <f aca="false">H1387*K1387</f>
        <v>350</v>
      </c>
      <c r="M1387" s="4" t="s">
        <v>371</v>
      </c>
    </row>
    <row r="1388" customFormat="false" ht="15" hidden="false" customHeight="false" outlineLevel="0" collapsed="false">
      <c r="A1388" s="4" t="s">
        <v>246</v>
      </c>
      <c r="B1388" s="5" t="s">
        <v>255</v>
      </c>
      <c r="C1388" s="5" t="s">
        <v>256</v>
      </c>
      <c r="D1388" s="4" t="s">
        <v>22</v>
      </c>
      <c r="E1388" s="4" t="s">
        <v>2255</v>
      </c>
      <c r="F1388" s="4" t="s">
        <v>470</v>
      </c>
      <c r="G1388" s="4" t="s">
        <v>2256</v>
      </c>
      <c r="H1388" s="12" t="n">
        <v>1</v>
      </c>
      <c r="I1388" s="4" t="s">
        <v>474</v>
      </c>
      <c r="J1388" s="4" t="s">
        <v>409</v>
      </c>
      <c r="K1388" s="13" t="n">
        <v>8500</v>
      </c>
      <c r="L1388" s="6" t="n">
        <f aca="false">H1388*K1388</f>
        <v>8500</v>
      </c>
      <c r="M1388" s="14" t="s">
        <v>410</v>
      </c>
    </row>
    <row r="1389" customFormat="false" ht="15" hidden="false" customHeight="false" outlineLevel="0" collapsed="false">
      <c r="A1389" s="4" t="s">
        <v>246</v>
      </c>
      <c r="B1389" s="5" t="s">
        <v>255</v>
      </c>
      <c r="C1389" s="5" t="s">
        <v>256</v>
      </c>
      <c r="D1389" s="4" t="s">
        <v>22</v>
      </c>
      <c r="E1389" s="4" t="s">
        <v>1089</v>
      </c>
      <c r="F1389" s="4" t="s">
        <v>470</v>
      </c>
      <c r="G1389" s="4" t="s">
        <v>1090</v>
      </c>
      <c r="H1389" s="12" t="n">
        <v>1</v>
      </c>
      <c r="I1389" s="4" t="s">
        <v>408</v>
      </c>
      <c r="J1389" s="4" t="s">
        <v>409</v>
      </c>
      <c r="K1389" s="13" t="n">
        <v>3500</v>
      </c>
      <c r="L1389" s="6" t="n">
        <f aca="false">H1389*K1389</f>
        <v>3500</v>
      </c>
      <c r="M1389" s="4" t="s">
        <v>371</v>
      </c>
    </row>
    <row r="1390" customFormat="false" ht="15" hidden="false" customHeight="false" outlineLevel="0" collapsed="false">
      <c r="A1390" s="4" t="s">
        <v>246</v>
      </c>
      <c r="B1390" s="5" t="s">
        <v>255</v>
      </c>
      <c r="C1390" s="5" t="s">
        <v>256</v>
      </c>
      <c r="D1390" s="4" t="s">
        <v>22</v>
      </c>
      <c r="E1390" s="4" t="s">
        <v>2289</v>
      </c>
      <c r="F1390" s="4" t="s">
        <v>470</v>
      </c>
      <c r="G1390" s="4" t="s">
        <v>2290</v>
      </c>
      <c r="H1390" s="12" t="n">
        <v>1</v>
      </c>
      <c r="I1390" s="4" t="s">
        <v>408</v>
      </c>
      <c r="J1390" s="4" t="s">
        <v>409</v>
      </c>
      <c r="K1390" s="13" t="n">
        <v>2500</v>
      </c>
      <c r="L1390" s="6" t="n">
        <f aca="false">H1390*K1390</f>
        <v>2500</v>
      </c>
      <c r="M1390" s="4" t="s">
        <v>371</v>
      </c>
    </row>
    <row r="1391" customFormat="false" ht="15" hidden="false" customHeight="false" outlineLevel="0" collapsed="false">
      <c r="A1391" s="4" t="s">
        <v>246</v>
      </c>
      <c r="B1391" s="5" t="s">
        <v>255</v>
      </c>
      <c r="C1391" s="5" t="s">
        <v>256</v>
      </c>
      <c r="D1391" s="4" t="s">
        <v>22</v>
      </c>
      <c r="E1391" s="4" t="s">
        <v>2359</v>
      </c>
      <c r="F1391" s="4" t="s">
        <v>470</v>
      </c>
      <c r="G1391" s="4" t="s">
        <v>2360</v>
      </c>
      <c r="H1391" s="12" t="n">
        <v>1</v>
      </c>
      <c r="I1391" s="4" t="s">
        <v>408</v>
      </c>
      <c r="J1391" s="4" t="s">
        <v>416</v>
      </c>
      <c r="K1391" s="13" t="n">
        <v>4500</v>
      </c>
      <c r="L1391" s="6" t="n">
        <f aca="false">H1391*K1391</f>
        <v>4500</v>
      </c>
      <c r="M1391" s="4" t="s">
        <v>371</v>
      </c>
    </row>
    <row r="1392" customFormat="false" ht="15" hidden="false" customHeight="false" outlineLevel="0" collapsed="false">
      <c r="A1392" s="4" t="s">
        <v>246</v>
      </c>
      <c r="B1392" s="5" t="s">
        <v>255</v>
      </c>
      <c r="C1392" s="5" t="s">
        <v>256</v>
      </c>
      <c r="D1392" s="4" t="s">
        <v>22</v>
      </c>
      <c r="E1392" s="4" t="s">
        <v>2361</v>
      </c>
      <c r="F1392" s="4" t="s">
        <v>470</v>
      </c>
      <c r="G1392" s="4" t="s">
        <v>2362</v>
      </c>
      <c r="H1392" s="12" t="n">
        <v>1</v>
      </c>
      <c r="I1392" s="4" t="s">
        <v>408</v>
      </c>
      <c r="J1392" s="4" t="s">
        <v>416</v>
      </c>
      <c r="K1392" s="13" t="n">
        <v>850</v>
      </c>
      <c r="L1392" s="6" t="n">
        <f aca="false">H1392*K1392</f>
        <v>850</v>
      </c>
      <c r="M1392" s="4" t="s">
        <v>371</v>
      </c>
    </row>
    <row r="1393" customFormat="false" ht="15" hidden="false" customHeight="false" outlineLevel="0" collapsed="false">
      <c r="A1393" s="4" t="s">
        <v>246</v>
      </c>
      <c r="B1393" s="5" t="s">
        <v>255</v>
      </c>
      <c r="C1393" s="5" t="s">
        <v>256</v>
      </c>
      <c r="D1393" s="4" t="s">
        <v>22</v>
      </c>
      <c r="E1393" s="4" t="s">
        <v>2301</v>
      </c>
      <c r="F1393" s="4" t="s">
        <v>470</v>
      </c>
      <c r="G1393" s="4" t="s">
        <v>2302</v>
      </c>
      <c r="H1393" s="12" t="n">
        <v>1</v>
      </c>
      <c r="I1393" s="4" t="s">
        <v>408</v>
      </c>
      <c r="J1393" s="4" t="s">
        <v>409</v>
      </c>
      <c r="K1393" s="13" t="n">
        <v>8500</v>
      </c>
      <c r="L1393" s="6" t="n">
        <f aca="false">H1393*K1393</f>
        <v>8500</v>
      </c>
      <c r="M1393" s="4" t="s">
        <v>371</v>
      </c>
    </row>
    <row r="1394" customFormat="false" ht="15" hidden="false" customHeight="false" outlineLevel="0" collapsed="false">
      <c r="A1394" s="4" t="s">
        <v>246</v>
      </c>
      <c r="B1394" s="5" t="s">
        <v>255</v>
      </c>
      <c r="C1394" s="5" t="s">
        <v>256</v>
      </c>
      <c r="D1394" s="4" t="s">
        <v>22</v>
      </c>
      <c r="E1394" s="4" t="s">
        <v>2303</v>
      </c>
      <c r="F1394" s="4" t="s">
        <v>470</v>
      </c>
      <c r="G1394" s="4" t="s">
        <v>2304</v>
      </c>
      <c r="H1394" s="12" t="n">
        <v>1</v>
      </c>
      <c r="I1394" s="4" t="s">
        <v>408</v>
      </c>
      <c r="J1394" s="4" t="s">
        <v>409</v>
      </c>
      <c r="K1394" s="13" t="n">
        <v>3500</v>
      </c>
      <c r="L1394" s="6" t="n">
        <f aca="false">H1394*K1394</f>
        <v>3500</v>
      </c>
      <c r="M1394" s="4" t="s">
        <v>371</v>
      </c>
    </row>
    <row r="1395" customFormat="false" ht="15" hidden="false" customHeight="false" outlineLevel="0" collapsed="false">
      <c r="A1395" s="4" t="s">
        <v>246</v>
      </c>
      <c r="B1395" s="5" t="s">
        <v>255</v>
      </c>
      <c r="C1395" s="5" t="s">
        <v>256</v>
      </c>
      <c r="D1395" s="4" t="s">
        <v>22</v>
      </c>
      <c r="E1395" s="4" t="s">
        <v>2305</v>
      </c>
      <c r="F1395" s="4" t="s">
        <v>470</v>
      </c>
      <c r="G1395" s="4" t="s">
        <v>2306</v>
      </c>
      <c r="H1395" s="12" t="n">
        <v>1</v>
      </c>
      <c r="I1395" s="4" t="s">
        <v>408</v>
      </c>
      <c r="J1395" s="4" t="s">
        <v>409</v>
      </c>
      <c r="K1395" s="13" t="n">
        <v>850</v>
      </c>
      <c r="L1395" s="6" t="n">
        <f aca="false">H1395*K1395</f>
        <v>850</v>
      </c>
      <c r="M1395" s="4" t="s">
        <v>371</v>
      </c>
    </row>
    <row r="1396" customFormat="false" ht="15" hidden="false" customHeight="false" outlineLevel="0" collapsed="false">
      <c r="A1396" s="4" t="s">
        <v>246</v>
      </c>
      <c r="B1396" s="5" t="s">
        <v>255</v>
      </c>
      <c r="C1396" s="5" t="s">
        <v>256</v>
      </c>
      <c r="D1396" s="4" t="s">
        <v>22</v>
      </c>
      <c r="E1396" s="4" t="s">
        <v>2307</v>
      </c>
      <c r="F1396" s="4" t="s">
        <v>488</v>
      </c>
      <c r="G1396" s="4" t="s">
        <v>2308</v>
      </c>
      <c r="H1396" s="12" t="n">
        <v>1</v>
      </c>
      <c r="I1396" s="4" t="s">
        <v>408</v>
      </c>
      <c r="J1396" s="4" t="s">
        <v>506</v>
      </c>
      <c r="K1396" s="13" t="n">
        <v>250</v>
      </c>
      <c r="L1396" s="6" t="n">
        <f aca="false">H1396*K1396</f>
        <v>250</v>
      </c>
      <c r="M1396" s="4" t="s">
        <v>371</v>
      </c>
    </row>
    <row r="1397" customFormat="false" ht="15" hidden="false" customHeight="false" outlineLevel="0" collapsed="false">
      <c r="A1397" s="4" t="s">
        <v>246</v>
      </c>
      <c r="B1397" s="5" t="s">
        <v>255</v>
      </c>
      <c r="C1397" s="5" t="s">
        <v>256</v>
      </c>
      <c r="D1397" s="4" t="s">
        <v>22</v>
      </c>
      <c r="E1397" s="4" t="s">
        <v>2363</v>
      </c>
      <c r="F1397" s="4" t="s">
        <v>488</v>
      </c>
      <c r="G1397" s="4" t="s">
        <v>2364</v>
      </c>
      <c r="H1397" s="12" t="n">
        <v>1</v>
      </c>
      <c r="I1397" s="4" t="s">
        <v>408</v>
      </c>
      <c r="J1397" s="4" t="s">
        <v>416</v>
      </c>
      <c r="K1397" s="13" t="n">
        <v>450</v>
      </c>
      <c r="L1397" s="6" t="n">
        <f aca="false">H1397*K1397</f>
        <v>450</v>
      </c>
      <c r="M1397" s="4" t="s">
        <v>371</v>
      </c>
    </row>
    <row r="1398" customFormat="false" ht="15" hidden="false" customHeight="false" outlineLevel="0" collapsed="false">
      <c r="A1398" s="4" t="s">
        <v>246</v>
      </c>
      <c r="B1398" s="5" t="s">
        <v>255</v>
      </c>
      <c r="C1398" s="5" t="s">
        <v>256</v>
      </c>
      <c r="D1398" s="4" t="s">
        <v>22</v>
      </c>
      <c r="E1398" s="4" t="s">
        <v>2311</v>
      </c>
      <c r="F1398" s="4" t="s">
        <v>488</v>
      </c>
      <c r="G1398" s="4" t="s">
        <v>2312</v>
      </c>
      <c r="H1398" s="12" t="n">
        <v>1</v>
      </c>
      <c r="I1398" s="4" t="s">
        <v>408</v>
      </c>
      <c r="J1398" s="4" t="s">
        <v>1080</v>
      </c>
      <c r="K1398" s="13" t="n">
        <v>180</v>
      </c>
      <c r="L1398" s="6" t="n">
        <f aca="false">H1398*K1398</f>
        <v>180</v>
      </c>
      <c r="M1398" s="4" t="s">
        <v>371</v>
      </c>
    </row>
    <row r="1399" customFormat="false" ht="15" hidden="false" customHeight="false" outlineLevel="0" collapsed="false">
      <c r="A1399" s="4" t="s">
        <v>246</v>
      </c>
      <c r="B1399" s="5" t="s">
        <v>255</v>
      </c>
      <c r="C1399" s="5" t="s">
        <v>256</v>
      </c>
      <c r="D1399" s="4" t="s">
        <v>22</v>
      </c>
      <c r="E1399" s="4" t="s">
        <v>2313</v>
      </c>
      <c r="F1399" s="4" t="s">
        <v>488</v>
      </c>
      <c r="G1399" s="4" t="s">
        <v>2314</v>
      </c>
      <c r="H1399" s="12" t="n">
        <v>1</v>
      </c>
      <c r="I1399" s="4" t="s">
        <v>408</v>
      </c>
      <c r="J1399" s="4" t="s">
        <v>1080</v>
      </c>
      <c r="K1399" s="13" t="n">
        <v>180</v>
      </c>
      <c r="L1399" s="6" t="n">
        <f aca="false">H1399*K1399</f>
        <v>180</v>
      </c>
      <c r="M1399" s="4" t="s">
        <v>371</v>
      </c>
    </row>
    <row r="1400" customFormat="false" ht="15" hidden="false" customHeight="false" outlineLevel="0" collapsed="false">
      <c r="A1400" s="4" t="s">
        <v>246</v>
      </c>
      <c r="B1400" s="5" t="s">
        <v>255</v>
      </c>
      <c r="C1400" s="5" t="s">
        <v>256</v>
      </c>
      <c r="D1400" s="4" t="s">
        <v>22</v>
      </c>
      <c r="E1400" s="4" t="s">
        <v>2315</v>
      </c>
      <c r="F1400" s="4" t="s">
        <v>488</v>
      </c>
      <c r="G1400" s="4" t="s">
        <v>2316</v>
      </c>
      <c r="H1400" s="12" t="n">
        <v>1</v>
      </c>
      <c r="I1400" s="4" t="s">
        <v>408</v>
      </c>
      <c r="J1400" s="4" t="s">
        <v>807</v>
      </c>
      <c r="K1400" s="13" t="n">
        <v>60</v>
      </c>
      <c r="L1400" s="6" t="n">
        <f aca="false">H1400*K1400</f>
        <v>60</v>
      </c>
      <c r="M1400" s="4" t="s">
        <v>371</v>
      </c>
    </row>
    <row r="1401" customFormat="false" ht="15" hidden="false" customHeight="false" outlineLevel="0" collapsed="false">
      <c r="A1401" s="4" t="s">
        <v>246</v>
      </c>
      <c r="B1401" s="5" t="s">
        <v>255</v>
      </c>
      <c r="C1401" s="5" t="s">
        <v>256</v>
      </c>
      <c r="D1401" s="4" t="s">
        <v>22</v>
      </c>
      <c r="E1401" s="4" t="s">
        <v>2331</v>
      </c>
      <c r="F1401" s="4" t="s">
        <v>488</v>
      </c>
      <c r="G1401" s="4" t="s">
        <v>2332</v>
      </c>
      <c r="H1401" s="12" t="n">
        <v>2</v>
      </c>
      <c r="I1401" s="4" t="s">
        <v>474</v>
      </c>
      <c r="J1401" s="4" t="s">
        <v>1080</v>
      </c>
      <c r="K1401" s="13" t="n">
        <v>120</v>
      </c>
      <c r="L1401" s="6" t="n">
        <f aca="false">H1401*K1401</f>
        <v>240</v>
      </c>
      <c r="M1401" s="4" t="s">
        <v>371</v>
      </c>
    </row>
    <row r="1402" customFormat="false" ht="15" hidden="false" customHeight="false" outlineLevel="0" collapsed="false">
      <c r="A1402" s="4" t="s">
        <v>246</v>
      </c>
      <c r="B1402" s="5" t="s">
        <v>255</v>
      </c>
      <c r="C1402" s="5" t="s">
        <v>256</v>
      </c>
      <c r="D1402" s="4" t="s">
        <v>22</v>
      </c>
      <c r="E1402" s="4" t="s">
        <v>2317</v>
      </c>
      <c r="F1402" s="4" t="s">
        <v>488</v>
      </c>
      <c r="G1402" s="4" t="s">
        <v>2318</v>
      </c>
      <c r="H1402" s="12" t="n">
        <v>1</v>
      </c>
      <c r="I1402" s="4" t="s">
        <v>408</v>
      </c>
      <c r="J1402" s="4" t="s">
        <v>807</v>
      </c>
      <c r="K1402" s="13" t="n">
        <v>450</v>
      </c>
      <c r="L1402" s="6" t="n">
        <f aca="false">H1402*K1402</f>
        <v>450</v>
      </c>
      <c r="M1402" s="4" t="s">
        <v>371</v>
      </c>
    </row>
    <row r="1403" customFormat="false" ht="15" hidden="false" customHeight="false" outlineLevel="0" collapsed="false">
      <c r="A1403" s="4" t="s">
        <v>246</v>
      </c>
      <c r="B1403" s="5" t="s">
        <v>255</v>
      </c>
      <c r="C1403" s="5" t="s">
        <v>256</v>
      </c>
      <c r="D1403" s="4" t="s">
        <v>22</v>
      </c>
      <c r="E1403" s="4" t="s">
        <v>2333</v>
      </c>
      <c r="F1403" s="4" t="s">
        <v>488</v>
      </c>
      <c r="G1403" s="4" t="s">
        <v>2334</v>
      </c>
      <c r="H1403" s="12" t="n">
        <v>1</v>
      </c>
      <c r="I1403" s="4" t="s">
        <v>408</v>
      </c>
      <c r="J1403" s="4" t="s">
        <v>409</v>
      </c>
      <c r="K1403" s="13" t="n">
        <v>350</v>
      </c>
      <c r="L1403" s="6" t="n">
        <f aca="false">H1403*K1403</f>
        <v>350</v>
      </c>
      <c r="M1403" s="4" t="s">
        <v>371</v>
      </c>
    </row>
    <row r="1404" customFormat="false" ht="15" hidden="false" customHeight="false" outlineLevel="0" collapsed="false">
      <c r="A1404" s="4" t="s">
        <v>246</v>
      </c>
      <c r="B1404" s="5" t="s">
        <v>255</v>
      </c>
      <c r="C1404" s="5" t="s">
        <v>256</v>
      </c>
      <c r="D1404" s="4" t="s">
        <v>22</v>
      </c>
      <c r="E1404" s="4" t="s">
        <v>2319</v>
      </c>
      <c r="F1404" s="4" t="s">
        <v>488</v>
      </c>
      <c r="G1404" s="4" t="s">
        <v>2320</v>
      </c>
      <c r="H1404" s="12" t="n">
        <v>1</v>
      </c>
      <c r="I1404" s="4" t="s">
        <v>408</v>
      </c>
      <c r="J1404" s="4" t="s">
        <v>506</v>
      </c>
      <c r="K1404" s="13" t="n">
        <v>180</v>
      </c>
      <c r="L1404" s="6" t="n">
        <f aca="false">H1404*K1404</f>
        <v>180</v>
      </c>
      <c r="M1404" s="4" t="s">
        <v>371</v>
      </c>
    </row>
    <row r="1405" customFormat="false" ht="15" hidden="false" customHeight="false" outlineLevel="0" collapsed="false">
      <c r="A1405" s="4" t="s">
        <v>246</v>
      </c>
      <c r="B1405" s="5" t="s">
        <v>255</v>
      </c>
      <c r="C1405" s="5" t="s">
        <v>256</v>
      </c>
      <c r="D1405" s="4" t="s">
        <v>22</v>
      </c>
      <c r="E1405" s="4" t="s">
        <v>2321</v>
      </c>
      <c r="F1405" s="4" t="s">
        <v>488</v>
      </c>
      <c r="G1405" s="4" t="s">
        <v>2322</v>
      </c>
      <c r="H1405" s="12" t="n">
        <v>1</v>
      </c>
      <c r="I1405" s="4" t="s">
        <v>408</v>
      </c>
      <c r="J1405" s="4" t="s">
        <v>416</v>
      </c>
      <c r="K1405" s="13" t="n">
        <v>650</v>
      </c>
      <c r="L1405" s="6" t="n">
        <f aca="false">H1405*K1405</f>
        <v>650</v>
      </c>
      <c r="M1405" s="4" t="s">
        <v>371</v>
      </c>
    </row>
    <row r="1406" customFormat="false" ht="15" hidden="false" customHeight="false" outlineLevel="0" collapsed="false">
      <c r="A1406" s="4" t="s">
        <v>246</v>
      </c>
      <c r="B1406" s="5" t="s">
        <v>255</v>
      </c>
      <c r="C1406" s="5" t="s">
        <v>256</v>
      </c>
      <c r="D1406" s="4" t="s">
        <v>22</v>
      </c>
      <c r="E1406" s="4" t="s">
        <v>2325</v>
      </c>
      <c r="F1406" s="4" t="s">
        <v>488</v>
      </c>
      <c r="G1406" s="4" t="s">
        <v>2326</v>
      </c>
      <c r="H1406" s="12" t="n">
        <v>1</v>
      </c>
      <c r="I1406" s="4" t="s">
        <v>408</v>
      </c>
      <c r="J1406" s="4" t="s">
        <v>416</v>
      </c>
      <c r="K1406" s="13" t="n">
        <v>650</v>
      </c>
      <c r="L1406" s="6" t="n">
        <f aca="false">H1406*K1406</f>
        <v>650</v>
      </c>
      <c r="M1406" s="4" t="s">
        <v>371</v>
      </c>
    </row>
    <row r="1407" customFormat="false" ht="15" hidden="false" customHeight="false" outlineLevel="0" collapsed="false">
      <c r="A1407" s="4" t="s">
        <v>246</v>
      </c>
      <c r="B1407" s="5" t="s">
        <v>255</v>
      </c>
      <c r="C1407" s="5" t="s">
        <v>256</v>
      </c>
      <c r="D1407" s="4" t="s">
        <v>22</v>
      </c>
      <c r="E1407" s="4" t="s">
        <v>2327</v>
      </c>
      <c r="F1407" s="4" t="s">
        <v>488</v>
      </c>
      <c r="G1407" s="4" t="s">
        <v>2328</v>
      </c>
      <c r="H1407" s="12" t="n">
        <v>1</v>
      </c>
      <c r="I1407" s="4" t="s">
        <v>408</v>
      </c>
      <c r="J1407" s="4" t="s">
        <v>506</v>
      </c>
      <c r="K1407" s="13" t="n">
        <v>450</v>
      </c>
      <c r="L1407" s="6" t="n">
        <f aca="false">H1407*K1407</f>
        <v>450</v>
      </c>
      <c r="M1407" s="4" t="s">
        <v>371</v>
      </c>
    </row>
    <row r="1408" customFormat="false" ht="15" hidden="false" customHeight="false" outlineLevel="0" collapsed="false">
      <c r="A1408" s="4" t="s">
        <v>246</v>
      </c>
      <c r="B1408" s="5" t="s">
        <v>255</v>
      </c>
      <c r="C1408" s="5" t="s">
        <v>256</v>
      </c>
      <c r="D1408" s="4" t="s">
        <v>22</v>
      </c>
      <c r="E1408" s="4" t="s">
        <v>2329</v>
      </c>
      <c r="F1408" s="4" t="s">
        <v>470</v>
      </c>
      <c r="G1408" s="4" t="s">
        <v>2330</v>
      </c>
      <c r="H1408" s="12" t="n">
        <v>1</v>
      </c>
      <c r="I1408" s="4" t="s">
        <v>408</v>
      </c>
      <c r="J1408" s="4" t="s">
        <v>409</v>
      </c>
      <c r="K1408" s="13" t="n">
        <v>450</v>
      </c>
      <c r="L1408" s="6" t="n">
        <f aca="false">H1408*K1408</f>
        <v>450</v>
      </c>
      <c r="M1408" s="4" t="s">
        <v>371</v>
      </c>
    </row>
    <row r="1409" customFormat="false" ht="15" hidden="false" customHeight="false" outlineLevel="0" collapsed="false">
      <c r="A1409" s="4" t="s">
        <v>246</v>
      </c>
      <c r="B1409" s="5" t="s">
        <v>255</v>
      </c>
      <c r="C1409" s="5" t="s">
        <v>256</v>
      </c>
      <c r="D1409" s="4" t="s">
        <v>22</v>
      </c>
      <c r="E1409" s="4" t="s">
        <v>2335</v>
      </c>
      <c r="F1409" s="4" t="s">
        <v>470</v>
      </c>
      <c r="G1409" s="4" t="s">
        <v>2336</v>
      </c>
      <c r="H1409" s="12" t="n">
        <v>1</v>
      </c>
      <c r="I1409" s="4" t="s">
        <v>408</v>
      </c>
      <c r="J1409" s="4" t="s">
        <v>409</v>
      </c>
      <c r="K1409" s="13" t="n">
        <v>850</v>
      </c>
      <c r="L1409" s="6" t="n">
        <f aca="false">H1409*K1409</f>
        <v>850</v>
      </c>
      <c r="M1409" s="4" t="s">
        <v>371</v>
      </c>
    </row>
    <row r="1410" customFormat="false" ht="15" hidden="false" customHeight="false" outlineLevel="0" collapsed="false">
      <c r="A1410" s="4" t="s">
        <v>246</v>
      </c>
      <c r="B1410" s="5" t="s">
        <v>255</v>
      </c>
      <c r="C1410" s="5" t="s">
        <v>256</v>
      </c>
      <c r="D1410" s="4" t="s">
        <v>22</v>
      </c>
      <c r="E1410" s="4" t="s">
        <v>2365</v>
      </c>
      <c r="F1410" s="4" t="s">
        <v>470</v>
      </c>
      <c r="G1410" s="4" t="s">
        <v>2366</v>
      </c>
      <c r="H1410" s="12" t="n">
        <v>1</v>
      </c>
      <c r="I1410" s="4" t="s">
        <v>408</v>
      </c>
      <c r="J1410" s="4" t="s">
        <v>416</v>
      </c>
      <c r="K1410" s="13" t="n">
        <v>850</v>
      </c>
      <c r="L1410" s="6" t="n">
        <f aca="false">H1410*K1410</f>
        <v>850</v>
      </c>
      <c r="M1410" s="4" t="s">
        <v>371</v>
      </c>
    </row>
    <row r="1411" customFormat="false" ht="15" hidden="false" customHeight="false" outlineLevel="0" collapsed="false">
      <c r="A1411" s="4" t="s">
        <v>246</v>
      </c>
      <c r="B1411" s="5" t="s">
        <v>255</v>
      </c>
      <c r="C1411" s="5" t="s">
        <v>256</v>
      </c>
      <c r="D1411" s="4" t="s">
        <v>22</v>
      </c>
      <c r="E1411" s="4" t="s">
        <v>2367</v>
      </c>
      <c r="F1411" s="4" t="s">
        <v>470</v>
      </c>
      <c r="G1411" s="4" t="s">
        <v>2368</v>
      </c>
      <c r="H1411" s="12" t="n">
        <v>1</v>
      </c>
      <c r="I1411" s="4" t="s">
        <v>408</v>
      </c>
      <c r="J1411" s="4" t="s">
        <v>416</v>
      </c>
      <c r="K1411" s="13" t="n">
        <v>850</v>
      </c>
      <c r="L1411" s="6" t="n">
        <f aca="false">H1411*K1411</f>
        <v>850</v>
      </c>
      <c r="M1411" s="4" t="s">
        <v>371</v>
      </c>
    </row>
    <row r="1412" customFormat="false" ht="15" hidden="false" customHeight="false" outlineLevel="0" collapsed="false">
      <c r="A1412" s="4" t="s">
        <v>246</v>
      </c>
      <c r="B1412" s="5" t="s">
        <v>255</v>
      </c>
      <c r="C1412" s="5" t="s">
        <v>256</v>
      </c>
      <c r="D1412" s="4" t="s">
        <v>22</v>
      </c>
      <c r="E1412" s="4" t="s">
        <v>2369</v>
      </c>
      <c r="F1412" s="4" t="s">
        <v>470</v>
      </c>
      <c r="G1412" s="4" t="s">
        <v>2370</v>
      </c>
      <c r="H1412" s="12" t="n">
        <v>1</v>
      </c>
      <c r="I1412" s="4" t="s">
        <v>408</v>
      </c>
      <c r="J1412" s="4" t="s">
        <v>543</v>
      </c>
      <c r="K1412" s="13" t="n">
        <v>25000</v>
      </c>
      <c r="L1412" s="6" t="n">
        <f aca="false">H1412*K1412</f>
        <v>25000</v>
      </c>
      <c r="M1412" s="4" t="s">
        <v>371</v>
      </c>
    </row>
    <row r="1413" customFormat="false" ht="15" hidden="false" customHeight="false" outlineLevel="0" collapsed="false">
      <c r="A1413" s="4" t="s">
        <v>246</v>
      </c>
      <c r="B1413" s="5" t="s">
        <v>255</v>
      </c>
      <c r="C1413" s="5" t="s">
        <v>256</v>
      </c>
      <c r="D1413" s="4" t="s">
        <v>22</v>
      </c>
      <c r="E1413" s="4" t="s">
        <v>2339</v>
      </c>
      <c r="F1413" s="4" t="s">
        <v>470</v>
      </c>
      <c r="G1413" s="4" t="s">
        <v>2340</v>
      </c>
      <c r="H1413" s="12" t="n">
        <v>1</v>
      </c>
      <c r="I1413" s="4" t="s">
        <v>408</v>
      </c>
      <c r="J1413" s="4" t="s">
        <v>416</v>
      </c>
      <c r="K1413" s="13" t="n">
        <v>8500</v>
      </c>
      <c r="L1413" s="6" t="n">
        <f aca="false">H1413*K1413</f>
        <v>8500</v>
      </c>
      <c r="M1413" s="14" t="s">
        <v>410</v>
      </c>
    </row>
    <row r="1414" customFormat="false" ht="15" hidden="false" customHeight="false" outlineLevel="0" collapsed="false">
      <c r="A1414" s="4" t="s">
        <v>246</v>
      </c>
      <c r="B1414" s="5" t="s">
        <v>255</v>
      </c>
      <c r="C1414" s="5" t="s">
        <v>256</v>
      </c>
      <c r="D1414" s="4" t="s">
        <v>22</v>
      </c>
      <c r="E1414" s="4" t="s">
        <v>2341</v>
      </c>
      <c r="F1414" s="4" t="s">
        <v>470</v>
      </c>
      <c r="G1414" s="4" t="s">
        <v>2342</v>
      </c>
      <c r="H1414" s="12" t="n">
        <v>1</v>
      </c>
      <c r="I1414" s="4" t="s">
        <v>408</v>
      </c>
      <c r="J1414" s="4" t="s">
        <v>543</v>
      </c>
      <c r="K1414" s="13" t="n">
        <v>5000</v>
      </c>
      <c r="L1414" s="6" t="n">
        <f aca="false">H1414*K1414</f>
        <v>5000</v>
      </c>
      <c r="M1414" s="4" t="s">
        <v>371</v>
      </c>
    </row>
    <row r="1415" customFormat="false" ht="15" hidden="false" customHeight="false" outlineLevel="0" collapsed="false">
      <c r="A1415" s="4" t="s">
        <v>246</v>
      </c>
      <c r="B1415" s="5" t="s">
        <v>257</v>
      </c>
      <c r="C1415" s="5" t="s">
        <v>258</v>
      </c>
      <c r="D1415" s="4" t="s">
        <v>22</v>
      </c>
      <c r="E1415" s="4" t="s">
        <v>2371</v>
      </c>
      <c r="F1415" s="4" t="s">
        <v>406</v>
      </c>
      <c r="G1415" s="4" t="s">
        <v>2372</v>
      </c>
      <c r="H1415" s="12" t="n">
        <v>1</v>
      </c>
      <c r="I1415" s="4" t="s">
        <v>408</v>
      </c>
      <c r="J1415" s="4" t="s">
        <v>416</v>
      </c>
      <c r="K1415" s="13" t="n">
        <v>2500</v>
      </c>
      <c r="L1415" s="6" t="n">
        <f aca="false">H1415*K1415</f>
        <v>2500</v>
      </c>
      <c r="M1415" s="4" t="s">
        <v>371</v>
      </c>
    </row>
    <row r="1416" customFormat="false" ht="15" hidden="false" customHeight="false" outlineLevel="0" collapsed="false">
      <c r="A1416" s="4" t="s">
        <v>246</v>
      </c>
      <c r="B1416" s="5" t="s">
        <v>257</v>
      </c>
      <c r="C1416" s="5" t="s">
        <v>258</v>
      </c>
      <c r="D1416" s="4" t="s">
        <v>22</v>
      </c>
      <c r="E1416" s="4" t="s">
        <v>2225</v>
      </c>
      <c r="F1416" s="4" t="s">
        <v>406</v>
      </c>
      <c r="G1416" s="4" t="s">
        <v>2226</v>
      </c>
      <c r="H1416" s="12" t="n">
        <v>1</v>
      </c>
      <c r="I1416" s="4" t="s">
        <v>408</v>
      </c>
      <c r="J1416" s="4" t="s">
        <v>409</v>
      </c>
      <c r="K1416" s="13" t="n">
        <v>350</v>
      </c>
      <c r="L1416" s="6" t="n">
        <f aca="false">H1416*K1416</f>
        <v>350</v>
      </c>
      <c r="M1416" s="14" t="s">
        <v>410</v>
      </c>
    </row>
    <row r="1417" customFormat="false" ht="15" hidden="false" customHeight="false" outlineLevel="0" collapsed="false">
      <c r="A1417" s="4" t="s">
        <v>246</v>
      </c>
      <c r="B1417" s="5" t="s">
        <v>257</v>
      </c>
      <c r="C1417" s="5" t="s">
        <v>258</v>
      </c>
      <c r="D1417" s="4" t="s">
        <v>22</v>
      </c>
      <c r="E1417" s="4" t="s">
        <v>2257</v>
      </c>
      <c r="F1417" s="4" t="s">
        <v>406</v>
      </c>
      <c r="G1417" s="4" t="s">
        <v>2258</v>
      </c>
      <c r="H1417" s="12" t="n">
        <v>1</v>
      </c>
      <c r="I1417" s="4" t="s">
        <v>408</v>
      </c>
      <c r="J1417" s="4" t="s">
        <v>409</v>
      </c>
      <c r="K1417" s="13" t="n">
        <v>6500</v>
      </c>
      <c r="L1417" s="6" t="n">
        <f aca="false">H1417*K1417</f>
        <v>6500</v>
      </c>
      <c r="M1417" s="14" t="s">
        <v>410</v>
      </c>
    </row>
    <row r="1418" customFormat="false" ht="15" hidden="false" customHeight="false" outlineLevel="0" collapsed="false">
      <c r="A1418" s="4" t="s">
        <v>246</v>
      </c>
      <c r="B1418" s="5" t="s">
        <v>257</v>
      </c>
      <c r="C1418" s="5" t="s">
        <v>258</v>
      </c>
      <c r="D1418" s="4" t="s">
        <v>22</v>
      </c>
      <c r="E1418" s="4" t="s">
        <v>2259</v>
      </c>
      <c r="F1418" s="4" t="s">
        <v>406</v>
      </c>
      <c r="G1418" s="4" t="s">
        <v>2260</v>
      </c>
      <c r="H1418" s="12" t="n">
        <v>1</v>
      </c>
      <c r="I1418" s="4" t="s">
        <v>408</v>
      </c>
      <c r="J1418" s="4" t="s">
        <v>409</v>
      </c>
      <c r="K1418" s="13" t="n">
        <v>85000</v>
      </c>
      <c r="L1418" s="6" t="n">
        <f aca="false">H1418*K1418</f>
        <v>85000</v>
      </c>
      <c r="M1418" s="14" t="s">
        <v>410</v>
      </c>
    </row>
    <row r="1419" customFormat="false" ht="15" hidden="false" customHeight="false" outlineLevel="0" collapsed="false">
      <c r="A1419" s="4" t="s">
        <v>246</v>
      </c>
      <c r="B1419" s="5" t="s">
        <v>257</v>
      </c>
      <c r="C1419" s="5" t="s">
        <v>258</v>
      </c>
      <c r="D1419" s="4" t="s">
        <v>22</v>
      </c>
      <c r="E1419" s="4" t="s">
        <v>2261</v>
      </c>
      <c r="F1419" s="4" t="s">
        <v>406</v>
      </c>
      <c r="G1419" s="4" t="s">
        <v>2262</v>
      </c>
      <c r="H1419" s="12" t="n">
        <v>1</v>
      </c>
      <c r="I1419" s="4" t="s">
        <v>408</v>
      </c>
      <c r="J1419" s="4" t="s">
        <v>409</v>
      </c>
      <c r="K1419" s="13" t="n">
        <v>18000</v>
      </c>
      <c r="L1419" s="6" t="n">
        <f aca="false">H1419*K1419</f>
        <v>18000</v>
      </c>
      <c r="M1419" s="14" t="s">
        <v>410</v>
      </c>
    </row>
    <row r="1420" customFormat="false" ht="15" hidden="false" customHeight="false" outlineLevel="0" collapsed="false">
      <c r="A1420" s="4" t="s">
        <v>246</v>
      </c>
      <c r="B1420" s="5" t="s">
        <v>257</v>
      </c>
      <c r="C1420" s="5" t="s">
        <v>258</v>
      </c>
      <c r="D1420" s="4" t="s">
        <v>22</v>
      </c>
      <c r="E1420" s="4" t="s">
        <v>2263</v>
      </c>
      <c r="F1420" s="4" t="s">
        <v>406</v>
      </c>
      <c r="G1420" s="4" t="s">
        <v>2264</v>
      </c>
      <c r="H1420" s="12" t="n">
        <v>1</v>
      </c>
      <c r="I1420" s="4" t="s">
        <v>408</v>
      </c>
      <c r="J1420" s="4" t="s">
        <v>409</v>
      </c>
      <c r="K1420" s="13" t="n">
        <v>25000</v>
      </c>
      <c r="L1420" s="6" t="n">
        <f aca="false">H1420*K1420</f>
        <v>25000</v>
      </c>
      <c r="M1420" s="4" t="s">
        <v>371</v>
      </c>
    </row>
    <row r="1421" customFormat="false" ht="15" hidden="false" customHeight="false" outlineLevel="0" collapsed="false">
      <c r="A1421" s="4" t="s">
        <v>246</v>
      </c>
      <c r="B1421" s="5" t="s">
        <v>257</v>
      </c>
      <c r="C1421" s="5" t="s">
        <v>258</v>
      </c>
      <c r="D1421" s="4" t="s">
        <v>22</v>
      </c>
      <c r="E1421" s="4" t="s">
        <v>2265</v>
      </c>
      <c r="F1421" s="4" t="s">
        <v>406</v>
      </c>
      <c r="G1421" s="4" t="s">
        <v>2266</v>
      </c>
      <c r="H1421" s="12" t="n">
        <v>1</v>
      </c>
      <c r="I1421" s="4" t="s">
        <v>408</v>
      </c>
      <c r="J1421" s="4" t="s">
        <v>416</v>
      </c>
      <c r="K1421" s="13" t="n">
        <v>18000</v>
      </c>
      <c r="L1421" s="6" t="n">
        <f aca="false">H1421*K1421</f>
        <v>18000</v>
      </c>
      <c r="M1421" s="4" t="s">
        <v>371</v>
      </c>
    </row>
    <row r="1422" customFormat="false" ht="15" hidden="false" customHeight="false" outlineLevel="0" collapsed="false">
      <c r="A1422" s="4" t="s">
        <v>246</v>
      </c>
      <c r="B1422" s="5" t="s">
        <v>257</v>
      </c>
      <c r="C1422" s="5" t="s">
        <v>258</v>
      </c>
      <c r="D1422" s="4" t="s">
        <v>22</v>
      </c>
      <c r="E1422" s="4" t="s">
        <v>2353</v>
      </c>
      <c r="F1422" s="4" t="s">
        <v>406</v>
      </c>
      <c r="G1422" s="4" t="s">
        <v>2354</v>
      </c>
      <c r="H1422" s="12" t="n">
        <v>1</v>
      </c>
      <c r="I1422" s="4" t="s">
        <v>408</v>
      </c>
      <c r="J1422" s="4" t="s">
        <v>409</v>
      </c>
      <c r="K1422" s="13" t="n">
        <v>850000</v>
      </c>
      <c r="L1422" s="6" t="n">
        <f aca="false">H1422*K1422</f>
        <v>850000</v>
      </c>
      <c r="M1422" s="14" t="s">
        <v>410</v>
      </c>
    </row>
    <row r="1423" customFormat="false" ht="15" hidden="false" customHeight="false" outlineLevel="0" collapsed="false">
      <c r="A1423" s="4" t="s">
        <v>246</v>
      </c>
      <c r="B1423" s="5" t="s">
        <v>257</v>
      </c>
      <c r="C1423" s="5" t="s">
        <v>258</v>
      </c>
      <c r="D1423" s="4" t="s">
        <v>22</v>
      </c>
      <c r="E1423" s="4" t="s">
        <v>2355</v>
      </c>
      <c r="F1423" s="4" t="s">
        <v>406</v>
      </c>
      <c r="G1423" s="4" t="s">
        <v>2356</v>
      </c>
      <c r="H1423" s="12" t="n">
        <v>1</v>
      </c>
      <c r="I1423" s="4" t="s">
        <v>408</v>
      </c>
      <c r="J1423" s="4" t="s">
        <v>409</v>
      </c>
      <c r="K1423" s="13" t="n">
        <v>2500000</v>
      </c>
      <c r="L1423" s="6" t="n">
        <f aca="false">H1423*K1423</f>
        <v>2500000</v>
      </c>
      <c r="M1423" s="14" t="s">
        <v>410</v>
      </c>
    </row>
    <row r="1424" customFormat="false" ht="15" hidden="false" customHeight="false" outlineLevel="0" collapsed="false">
      <c r="A1424" s="4" t="s">
        <v>246</v>
      </c>
      <c r="B1424" s="5" t="s">
        <v>257</v>
      </c>
      <c r="C1424" s="5" t="s">
        <v>258</v>
      </c>
      <c r="D1424" s="4" t="s">
        <v>22</v>
      </c>
      <c r="E1424" s="4" t="s">
        <v>2271</v>
      </c>
      <c r="F1424" s="4" t="s">
        <v>470</v>
      </c>
      <c r="G1424" s="4" t="s">
        <v>2272</v>
      </c>
      <c r="H1424" s="12" t="n">
        <v>1</v>
      </c>
      <c r="I1424" s="4" t="s">
        <v>408</v>
      </c>
      <c r="J1424" s="4" t="s">
        <v>409</v>
      </c>
      <c r="K1424" s="13" t="n">
        <v>4500</v>
      </c>
      <c r="L1424" s="6" t="n">
        <f aca="false">H1424*K1424</f>
        <v>4500</v>
      </c>
      <c r="M1424" s="14" t="s">
        <v>410</v>
      </c>
    </row>
    <row r="1425" customFormat="false" ht="15" hidden="false" customHeight="false" outlineLevel="0" collapsed="false">
      <c r="A1425" s="4" t="s">
        <v>246</v>
      </c>
      <c r="B1425" s="5" t="s">
        <v>257</v>
      </c>
      <c r="C1425" s="5" t="s">
        <v>258</v>
      </c>
      <c r="D1425" s="4" t="s">
        <v>22</v>
      </c>
      <c r="E1425" s="4" t="s">
        <v>2273</v>
      </c>
      <c r="F1425" s="4" t="s">
        <v>470</v>
      </c>
      <c r="G1425" s="4" t="s">
        <v>2274</v>
      </c>
      <c r="H1425" s="12" t="n">
        <v>1</v>
      </c>
      <c r="I1425" s="4" t="s">
        <v>408</v>
      </c>
      <c r="J1425" s="4" t="s">
        <v>409</v>
      </c>
      <c r="K1425" s="13" t="n">
        <v>25000</v>
      </c>
      <c r="L1425" s="6" t="n">
        <f aca="false">H1425*K1425</f>
        <v>25000</v>
      </c>
      <c r="M1425" s="14" t="s">
        <v>410</v>
      </c>
    </row>
    <row r="1426" customFormat="false" ht="15" hidden="false" customHeight="false" outlineLevel="0" collapsed="false">
      <c r="A1426" s="4" t="s">
        <v>246</v>
      </c>
      <c r="B1426" s="5" t="s">
        <v>257</v>
      </c>
      <c r="C1426" s="5" t="s">
        <v>258</v>
      </c>
      <c r="D1426" s="4" t="s">
        <v>22</v>
      </c>
      <c r="E1426" s="4" t="s">
        <v>2163</v>
      </c>
      <c r="F1426" s="4" t="s">
        <v>470</v>
      </c>
      <c r="G1426" s="4" t="s">
        <v>2164</v>
      </c>
      <c r="H1426" s="12" t="n">
        <v>1</v>
      </c>
      <c r="I1426" s="4" t="s">
        <v>408</v>
      </c>
      <c r="J1426" s="4" t="s">
        <v>409</v>
      </c>
      <c r="K1426" s="13" t="n">
        <v>35000</v>
      </c>
      <c r="L1426" s="6" t="n">
        <f aca="false">H1426*K1426</f>
        <v>35000</v>
      </c>
      <c r="M1426" s="14" t="s">
        <v>410</v>
      </c>
    </row>
    <row r="1427" customFormat="false" ht="15" hidden="false" customHeight="false" outlineLevel="0" collapsed="false">
      <c r="A1427" s="4" t="s">
        <v>246</v>
      </c>
      <c r="B1427" s="5" t="s">
        <v>257</v>
      </c>
      <c r="C1427" s="5" t="s">
        <v>258</v>
      </c>
      <c r="D1427" s="4" t="s">
        <v>22</v>
      </c>
      <c r="E1427" s="4" t="s">
        <v>1058</v>
      </c>
      <c r="F1427" s="4" t="s">
        <v>470</v>
      </c>
      <c r="G1427" s="4" t="s">
        <v>1059</v>
      </c>
      <c r="H1427" s="12" t="n">
        <v>1</v>
      </c>
      <c r="I1427" s="4" t="s">
        <v>408</v>
      </c>
      <c r="J1427" s="4" t="s">
        <v>409</v>
      </c>
      <c r="K1427" s="13" t="n">
        <v>45000</v>
      </c>
      <c r="L1427" s="6" t="n">
        <f aca="false">H1427*K1427</f>
        <v>45000</v>
      </c>
      <c r="M1427" s="14" t="s">
        <v>410</v>
      </c>
    </row>
    <row r="1428" customFormat="false" ht="15" hidden="false" customHeight="false" outlineLevel="0" collapsed="false">
      <c r="A1428" s="4" t="s">
        <v>246</v>
      </c>
      <c r="B1428" s="5" t="s">
        <v>257</v>
      </c>
      <c r="C1428" s="5" t="s">
        <v>258</v>
      </c>
      <c r="D1428" s="4" t="s">
        <v>22</v>
      </c>
      <c r="E1428" s="4" t="s">
        <v>2357</v>
      </c>
      <c r="F1428" s="4" t="s">
        <v>470</v>
      </c>
      <c r="G1428" s="4" t="s">
        <v>2358</v>
      </c>
      <c r="H1428" s="12" t="n">
        <v>1</v>
      </c>
      <c r="I1428" s="4" t="s">
        <v>408</v>
      </c>
      <c r="J1428" s="4" t="s">
        <v>409</v>
      </c>
      <c r="K1428" s="13" t="n">
        <v>8500</v>
      </c>
      <c r="L1428" s="6" t="n">
        <f aca="false">H1428*K1428</f>
        <v>8500</v>
      </c>
      <c r="M1428" s="4" t="s">
        <v>371</v>
      </c>
    </row>
    <row r="1429" customFormat="false" ht="15" hidden="false" customHeight="false" outlineLevel="0" collapsed="false">
      <c r="A1429" s="4" t="s">
        <v>246</v>
      </c>
      <c r="B1429" s="5" t="s">
        <v>257</v>
      </c>
      <c r="C1429" s="5" t="s">
        <v>258</v>
      </c>
      <c r="D1429" s="4" t="s">
        <v>22</v>
      </c>
      <c r="E1429" s="4" t="s">
        <v>1089</v>
      </c>
      <c r="F1429" s="4" t="s">
        <v>470</v>
      </c>
      <c r="G1429" s="4" t="s">
        <v>1090</v>
      </c>
      <c r="H1429" s="12" t="n">
        <v>1</v>
      </c>
      <c r="I1429" s="4" t="s">
        <v>408</v>
      </c>
      <c r="J1429" s="4" t="s">
        <v>409</v>
      </c>
      <c r="K1429" s="13" t="n">
        <v>3500</v>
      </c>
      <c r="L1429" s="6" t="n">
        <f aca="false">H1429*K1429</f>
        <v>3500</v>
      </c>
      <c r="M1429" s="4" t="s">
        <v>371</v>
      </c>
    </row>
    <row r="1430" customFormat="false" ht="15" hidden="false" customHeight="false" outlineLevel="0" collapsed="false">
      <c r="A1430" s="4" t="s">
        <v>246</v>
      </c>
      <c r="B1430" s="5" t="s">
        <v>257</v>
      </c>
      <c r="C1430" s="5" t="s">
        <v>258</v>
      </c>
      <c r="D1430" s="4" t="s">
        <v>22</v>
      </c>
      <c r="E1430" s="4" t="s">
        <v>2289</v>
      </c>
      <c r="F1430" s="4" t="s">
        <v>470</v>
      </c>
      <c r="G1430" s="4" t="s">
        <v>2290</v>
      </c>
      <c r="H1430" s="12" t="n">
        <v>1</v>
      </c>
      <c r="I1430" s="4" t="s">
        <v>408</v>
      </c>
      <c r="J1430" s="4" t="s">
        <v>409</v>
      </c>
      <c r="K1430" s="13" t="n">
        <v>2500</v>
      </c>
      <c r="L1430" s="6" t="n">
        <f aca="false">H1430*K1430</f>
        <v>2500</v>
      </c>
      <c r="M1430" s="4" t="s">
        <v>371</v>
      </c>
    </row>
    <row r="1431" customFormat="false" ht="15" hidden="false" customHeight="false" outlineLevel="0" collapsed="false">
      <c r="A1431" s="4" t="s">
        <v>246</v>
      </c>
      <c r="B1431" s="5" t="s">
        <v>257</v>
      </c>
      <c r="C1431" s="5" t="s">
        <v>258</v>
      </c>
      <c r="D1431" s="4" t="s">
        <v>22</v>
      </c>
      <c r="E1431" s="4" t="s">
        <v>2359</v>
      </c>
      <c r="F1431" s="4" t="s">
        <v>470</v>
      </c>
      <c r="G1431" s="4" t="s">
        <v>2360</v>
      </c>
      <c r="H1431" s="12" t="n">
        <v>1</v>
      </c>
      <c r="I1431" s="4" t="s">
        <v>408</v>
      </c>
      <c r="J1431" s="4" t="s">
        <v>416</v>
      </c>
      <c r="K1431" s="13" t="n">
        <v>4500</v>
      </c>
      <c r="L1431" s="6" t="n">
        <f aca="false">H1431*K1431</f>
        <v>4500</v>
      </c>
      <c r="M1431" s="4" t="s">
        <v>371</v>
      </c>
    </row>
    <row r="1432" customFormat="false" ht="15" hidden="false" customHeight="false" outlineLevel="0" collapsed="false">
      <c r="A1432" s="4" t="s">
        <v>246</v>
      </c>
      <c r="B1432" s="5" t="s">
        <v>257</v>
      </c>
      <c r="C1432" s="5" t="s">
        <v>258</v>
      </c>
      <c r="D1432" s="4" t="s">
        <v>22</v>
      </c>
      <c r="E1432" s="4" t="s">
        <v>2373</v>
      </c>
      <c r="F1432" s="4" t="s">
        <v>470</v>
      </c>
      <c r="G1432" s="4" t="s">
        <v>2374</v>
      </c>
      <c r="H1432" s="12" t="n">
        <v>1</v>
      </c>
      <c r="I1432" s="4" t="s">
        <v>408</v>
      </c>
      <c r="J1432" s="4" t="s">
        <v>416</v>
      </c>
      <c r="K1432" s="13" t="n">
        <v>850</v>
      </c>
      <c r="L1432" s="6" t="n">
        <f aca="false">H1432*K1432</f>
        <v>850</v>
      </c>
      <c r="M1432" s="4" t="s">
        <v>371</v>
      </c>
    </row>
    <row r="1433" customFormat="false" ht="15" hidden="false" customHeight="false" outlineLevel="0" collapsed="false">
      <c r="A1433" s="4" t="s">
        <v>246</v>
      </c>
      <c r="B1433" s="5" t="s">
        <v>257</v>
      </c>
      <c r="C1433" s="5" t="s">
        <v>258</v>
      </c>
      <c r="D1433" s="4" t="s">
        <v>22</v>
      </c>
      <c r="E1433" s="4" t="s">
        <v>2375</v>
      </c>
      <c r="F1433" s="4" t="s">
        <v>470</v>
      </c>
      <c r="G1433" s="4" t="s">
        <v>2376</v>
      </c>
      <c r="H1433" s="12" t="n">
        <v>1</v>
      </c>
      <c r="I1433" s="4" t="s">
        <v>408</v>
      </c>
      <c r="J1433" s="4" t="s">
        <v>416</v>
      </c>
      <c r="K1433" s="13" t="n">
        <v>850</v>
      </c>
      <c r="L1433" s="6" t="n">
        <f aca="false">H1433*K1433</f>
        <v>850</v>
      </c>
      <c r="M1433" s="4" t="s">
        <v>371</v>
      </c>
    </row>
    <row r="1434" customFormat="false" ht="15" hidden="false" customHeight="false" outlineLevel="0" collapsed="false">
      <c r="A1434" s="4" t="s">
        <v>246</v>
      </c>
      <c r="B1434" s="5" t="s">
        <v>257</v>
      </c>
      <c r="C1434" s="5" t="s">
        <v>258</v>
      </c>
      <c r="D1434" s="4" t="s">
        <v>22</v>
      </c>
      <c r="E1434" s="4" t="s">
        <v>2377</v>
      </c>
      <c r="F1434" s="4" t="s">
        <v>470</v>
      </c>
      <c r="G1434" s="4" t="s">
        <v>2378</v>
      </c>
      <c r="H1434" s="12" t="n">
        <v>1</v>
      </c>
      <c r="I1434" s="4" t="s">
        <v>408</v>
      </c>
      <c r="J1434" s="4" t="s">
        <v>416</v>
      </c>
      <c r="K1434" s="13" t="n">
        <v>850</v>
      </c>
      <c r="L1434" s="6" t="n">
        <f aca="false">H1434*K1434</f>
        <v>850</v>
      </c>
      <c r="M1434" s="4" t="s">
        <v>371</v>
      </c>
    </row>
    <row r="1435" customFormat="false" ht="15" hidden="false" customHeight="false" outlineLevel="0" collapsed="false">
      <c r="A1435" s="4" t="s">
        <v>246</v>
      </c>
      <c r="B1435" s="5" t="s">
        <v>257</v>
      </c>
      <c r="C1435" s="5" t="s">
        <v>258</v>
      </c>
      <c r="D1435" s="4" t="s">
        <v>22</v>
      </c>
      <c r="E1435" s="4" t="s">
        <v>2379</v>
      </c>
      <c r="F1435" s="4" t="s">
        <v>470</v>
      </c>
      <c r="G1435" s="4" t="s">
        <v>2380</v>
      </c>
      <c r="H1435" s="12" t="n">
        <v>1</v>
      </c>
      <c r="I1435" s="4" t="s">
        <v>408</v>
      </c>
      <c r="J1435" s="4" t="s">
        <v>416</v>
      </c>
      <c r="K1435" s="13" t="n">
        <v>850</v>
      </c>
      <c r="L1435" s="6" t="n">
        <f aca="false">H1435*K1435</f>
        <v>850</v>
      </c>
      <c r="M1435" s="4" t="s">
        <v>371</v>
      </c>
    </row>
    <row r="1436" customFormat="false" ht="15" hidden="false" customHeight="false" outlineLevel="0" collapsed="false">
      <c r="A1436" s="4" t="s">
        <v>246</v>
      </c>
      <c r="B1436" s="5" t="s">
        <v>257</v>
      </c>
      <c r="C1436" s="5" t="s">
        <v>258</v>
      </c>
      <c r="D1436" s="4" t="s">
        <v>22</v>
      </c>
      <c r="E1436" s="4" t="s">
        <v>2381</v>
      </c>
      <c r="F1436" s="4" t="s">
        <v>470</v>
      </c>
      <c r="G1436" s="4" t="s">
        <v>2382</v>
      </c>
      <c r="H1436" s="12" t="n">
        <v>1</v>
      </c>
      <c r="I1436" s="4" t="s">
        <v>408</v>
      </c>
      <c r="J1436" s="4" t="s">
        <v>416</v>
      </c>
      <c r="K1436" s="13" t="n">
        <v>850</v>
      </c>
      <c r="L1436" s="6" t="n">
        <f aca="false">H1436*K1436</f>
        <v>850</v>
      </c>
      <c r="M1436" s="4" t="s">
        <v>371</v>
      </c>
    </row>
    <row r="1437" customFormat="false" ht="15" hidden="false" customHeight="false" outlineLevel="0" collapsed="false">
      <c r="A1437" s="4" t="s">
        <v>246</v>
      </c>
      <c r="B1437" s="5" t="s">
        <v>257</v>
      </c>
      <c r="C1437" s="5" t="s">
        <v>258</v>
      </c>
      <c r="D1437" s="4" t="s">
        <v>22</v>
      </c>
      <c r="E1437" s="4" t="s">
        <v>2383</v>
      </c>
      <c r="F1437" s="4" t="s">
        <v>470</v>
      </c>
      <c r="G1437" s="4" t="s">
        <v>2384</v>
      </c>
      <c r="H1437" s="12" t="n">
        <v>1</v>
      </c>
      <c r="I1437" s="4" t="s">
        <v>408</v>
      </c>
      <c r="J1437" s="4" t="s">
        <v>416</v>
      </c>
      <c r="K1437" s="13" t="n">
        <v>850</v>
      </c>
      <c r="L1437" s="6" t="n">
        <f aca="false">H1437*K1437</f>
        <v>850</v>
      </c>
      <c r="M1437" s="4" t="s">
        <v>371</v>
      </c>
    </row>
    <row r="1438" customFormat="false" ht="15" hidden="false" customHeight="false" outlineLevel="0" collapsed="false">
      <c r="A1438" s="4" t="s">
        <v>246</v>
      </c>
      <c r="B1438" s="5" t="s">
        <v>257</v>
      </c>
      <c r="C1438" s="5" t="s">
        <v>258</v>
      </c>
      <c r="D1438" s="4" t="s">
        <v>22</v>
      </c>
      <c r="E1438" s="4" t="s">
        <v>2361</v>
      </c>
      <c r="F1438" s="4" t="s">
        <v>470</v>
      </c>
      <c r="G1438" s="4" t="s">
        <v>2362</v>
      </c>
      <c r="H1438" s="12" t="n">
        <v>1</v>
      </c>
      <c r="I1438" s="4" t="s">
        <v>408</v>
      </c>
      <c r="J1438" s="4" t="s">
        <v>416</v>
      </c>
      <c r="K1438" s="13" t="n">
        <v>850</v>
      </c>
      <c r="L1438" s="6" t="n">
        <f aca="false">H1438*K1438</f>
        <v>850</v>
      </c>
      <c r="M1438" s="4" t="s">
        <v>371</v>
      </c>
    </row>
    <row r="1439" customFormat="false" ht="15" hidden="false" customHeight="false" outlineLevel="0" collapsed="false">
      <c r="A1439" s="4" t="s">
        <v>246</v>
      </c>
      <c r="B1439" s="5" t="s">
        <v>257</v>
      </c>
      <c r="C1439" s="5" t="s">
        <v>258</v>
      </c>
      <c r="D1439" s="4" t="s">
        <v>22</v>
      </c>
      <c r="E1439" s="4" t="s">
        <v>2301</v>
      </c>
      <c r="F1439" s="4" t="s">
        <v>470</v>
      </c>
      <c r="G1439" s="4" t="s">
        <v>2302</v>
      </c>
      <c r="H1439" s="12" t="n">
        <v>1</v>
      </c>
      <c r="I1439" s="4" t="s">
        <v>408</v>
      </c>
      <c r="J1439" s="4" t="s">
        <v>409</v>
      </c>
      <c r="K1439" s="13" t="n">
        <v>8500</v>
      </c>
      <c r="L1439" s="6" t="n">
        <f aca="false">H1439*K1439</f>
        <v>8500</v>
      </c>
      <c r="M1439" s="4" t="s">
        <v>371</v>
      </c>
    </row>
    <row r="1440" customFormat="false" ht="15" hidden="false" customHeight="false" outlineLevel="0" collapsed="false">
      <c r="A1440" s="4" t="s">
        <v>246</v>
      </c>
      <c r="B1440" s="5" t="s">
        <v>257</v>
      </c>
      <c r="C1440" s="5" t="s">
        <v>258</v>
      </c>
      <c r="D1440" s="4" t="s">
        <v>22</v>
      </c>
      <c r="E1440" s="4" t="s">
        <v>2303</v>
      </c>
      <c r="F1440" s="4" t="s">
        <v>470</v>
      </c>
      <c r="G1440" s="4" t="s">
        <v>2304</v>
      </c>
      <c r="H1440" s="12" t="n">
        <v>1</v>
      </c>
      <c r="I1440" s="4" t="s">
        <v>408</v>
      </c>
      <c r="J1440" s="4" t="s">
        <v>409</v>
      </c>
      <c r="K1440" s="13" t="n">
        <v>3500</v>
      </c>
      <c r="L1440" s="6" t="n">
        <f aca="false">H1440*K1440</f>
        <v>3500</v>
      </c>
      <c r="M1440" s="4" t="s">
        <v>371</v>
      </c>
    </row>
    <row r="1441" customFormat="false" ht="15" hidden="false" customHeight="false" outlineLevel="0" collapsed="false">
      <c r="A1441" s="4" t="s">
        <v>246</v>
      </c>
      <c r="B1441" s="5" t="s">
        <v>257</v>
      </c>
      <c r="C1441" s="5" t="s">
        <v>258</v>
      </c>
      <c r="D1441" s="4" t="s">
        <v>22</v>
      </c>
      <c r="E1441" s="4" t="s">
        <v>2305</v>
      </c>
      <c r="F1441" s="4" t="s">
        <v>470</v>
      </c>
      <c r="G1441" s="4" t="s">
        <v>2306</v>
      </c>
      <c r="H1441" s="12" t="n">
        <v>1</v>
      </c>
      <c r="I1441" s="4" t="s">
        <v>408</v>
      </c>
      <c r="J1441" s="4" t="s">
        <v>409</v>
      </c>
      <c r="K1441" s="13" t="n">
        <v>850</v>
      </c>
      <c r="L1441" s="6" t="n">
        <f aca="false">H1441*K1441</f>
        <v>850</v>
      </c>
      <c r="M1441" s="4" t="s">
        <v>371</v>
      </c>
    </row>
    <row r="1442" customFormat="false" ht="15" hidden="false" customHeight="false" outlineLevel="0" collapsed="false">
      <c r="A1442" s="4" t="s">
        <v>246</v>
      </c>
      <c r="B1442" s="5" t="s">
        <v>257</v>
      </c>
      <c r="C1442" s="5" t="s">
        <v>258</v>
      </c>
      <c r="D1442" s="4" t="s">
        <v>22</v>
      </c>
      <c r="E1442" s="4" t="s">
        <v>2325</v>
      </c>
      <c r="F1442" s="4" t="s">
        <v>488</v>
      </c>
      <c r="G1442" s="4" t="s">
        <v>2326</v>
      </c>
      <c r="H1442" s="12" t="n">
        <v>1</v>
      </c>
      <c r="I1442" s="4" t="s">
        <v>408</v>
      </c>
      <c r="J1442" s="4" t="s">
        <v>416</v>
      </c>
      <c r="K1442" s="13" t="n">
        <v>650</v>
      </c>
      <c r="L1442" s="6" t="n">
        <f aca="false">H1442*K1442</f>
        <v>650</v>
      </c>
      <c r="M1442" s="4" t="s">
        <v>371</v>
      </c>
    </row>
    <row r="1443" customFormat="false" ht="15" hidden="false" customHeight="false" outlineLevel="0" collapsed="false">
      <c r="A1443" s="4" t="s">
        <v>246</v>
      </c>
      <c r="B1443" s="5" t="s">
        <v>257</v>
      </c>
      <c r="C1443" s="5" t="s">
        <v>258</v>
      </c>
      <c r="D1443" s="4" t="s">
        <v>22</v>
      </c>
      <c r="E1443" s="4" t="s">
        <v>2327</v>
      </c>
      <c r="F1443" s="4" t="s">
        <v>488</v>
      </c>
      <c r="G1443" s="4" t="s">
        <v>2328</v>
      </c>
      <c r="H1443" s="12" t="n">
        <v>1</v>
      </c>
      <c r="I1443" s="4" t="s">
        <v>408</v>
      </c>
      <c r="J1443" s="4" t="s">
        <v>506</v>
      </c>
      <c r="K1443" s="13" t="n">
        <v>450</v>
      </c>
      <c r="L1443" s="6" t="n">
        <f aca="false">H1443*K1443</f>
        <v>450</v>
      </c>
      <c r="M1443" s="4" t="s">
        <v>371</v>
      </c>
    </row>
    <row r="1444" customFormat="false" ht="15" hidden="false" customHeight="false" outlineLevel="0" collapsed="false">
      <c r="A1444" s="4" t="s">
        <v>246</v>
      </c>
      <c r="B1444" s="5" t="s">
        <v>257</v>
      </c>
      <c r="C1444" s="5" t="s">
        <v>258</v>
      </c>
      <c r="D1444" s="4" t="s">
        <v>22</v>
      </c>
      <c r="E1444" s="4" t="s">
        <v>2385</v>
      </c>
      <c r="F1444" s="4" t="s">
        <v>470</v>
      </c>
      <c r="G1444" s="4" t="s">
        <v>2386</v>
      </c>
      <c r="H1444" s="12" t="n">
        <v>1</v>
      </c>
      <c r="I1444" s="4" t="s">
        <v>408</v>
      </c>
      <c r="J1444" s="4" t="s">
        <v>416</v>
      </c>
      <c r="K1444" s="13" t="n">
        <v>2500</v>
      </c>
      <c r="L1444" s="6" t="n">
        <f aca="false">H1444*K1444</f>
        <v>2500</v>
      </c>
      <c r="M1444" s="4" t="s">
        <v>371</v>
      </c>
    </row>
    <row r="1445" customFormat="false" ht="15" hidden="false" customHeight="false" outlineLevel="0" collapsed="false">
      <c r="A1445" s="4" t="s">
        <v>246</v>
      </c>
      <c r="B1445" s="5" t="s">
        <v>257</v>
      </c>
      <c r="C1445" s="5" t="s">
        <v>258</v>
      </c>
      <c r="D1445" s="4" t="s">
        <v>22</v>
      </c>
      <c r="E1445" s="4" t="s">
        <v>2365</v>
      </c>
      <c r="F1445" s="4" t="s">
        <v>470</v>
      </c>
      <c r="G1445" s="4" t="s">
        <v>2366</v>
      </c>
      <c r="H1445" s="12" t="n">
        <v>1</v>
      </c>
      <c r="I1445" s="4" t="s">
        <v>408</v>
      </c>
      <c r="J1445" s="4" t="s">
        <v>416</v>
      </c>
      <c r="K1445" s="13" t="n">
        <v>850</v>
      </c>
      <c r="L1445" s="6" t="n">
        <f aca="false">H1445*K1445</f>
        <v>850</v>
      </c>
      <c r="M1445" s="4" t="s">
        <v>371</v>
      </c>
    </row>
    <row r="1446" customFormat="false" ht="15" hidden="false" customHeight="false" outlineLevel="0" collapsed="false">
      <c r="A1446" s="4" t="s">
        <v>246</v>
      </c>
      <c r="B1446" s="5" t="s">
        <v>257</v>
      </c>
      <c r="C1446" s="5" t="s">
        <v>258</v>
      </c>
      <c r="D1446" s="4" t="s">
        <v>22</v>
      </c>
      <c r="E1446" s="4" t="s">
        <v>2367</v>
      </c>
      <c r="F1446" s="4" t="s">
        <v>470</v>
      </c>
      <c r="G1446" s="4" t="s">
        <v>2368</v>
      </c>
      <c r="H1446" s="12" t="n">
        <v>1</v>
      </c>
      <c r="I1446" s="4" t="s">
        <v>408</v>
      </c>
      <c r="J1446" s="4" t="s">
        <v>416</v>
      </c>
      <c r="K1446" s="13" t="n">
        <v>850</v>
      </c>
      <c r="L1446" s="6" t="n">
        <f aca="false">H1446*K1446</f>
        <v>850</v>
      </c>
      <c r="M1446" s="4" t="s">
        <v>371</v>
      </c>
    </row>
    <row r="1447" customFormat="false" ht="15" hidden="false" customHeight="false" outlineLevel="0" collapsed="false">
      <c r="A1447" s="4" t="s">
        <v>246</v>
      </c>
      <c r="B1447" s="5" t="s">
        <v>257</v>
      </c>
      <c r="C1447" s="5" t="s">
        <v>258</v>
      </c>
      <c r="D1447" s="4" t="s">
        <v>22</v>
      </c>
      <c r="E1447" s="4" t="s">
        <v>2369</v>
      </c>
      <c r="F1447" s="4" t="s">
        <v>470</v>
      </c>
      <c r="G1447" s="4" t="s">
        <v>2370</v>
      </c>
      <c r="H1447" s="12" t="n">
        <v>1</v>
      </c>
      <c r="I1447" s="4" t="s">
        <v>408</v>
      </c>
      <c r="J1447" s="4" t="s">
        <v>543</v>
      </c>
      <c r="K1447" s="13" t="n">
        <v>25000</v>
      </c>
      <c r="L1447" s="6" t="n">
        <f aca="false">H1447*K1447</f>
        <v>25000</v>
      </c>
      <c r="M1447" s="4" t="s">
        <v>371</v>
      </c>
    </row>
    <row r="1448" customFormat="false" ht="15" hidden="false" customHeight="false" outlineLevel="0" collapsed="false">
      <c r="A1448" s="4" t="s">
        <v>246</v>
      </c>
      <c r="B1448" s="5" t="s">
        <v>257</v>
      </c>
      <c r="C1448" s="5" t="s">
        <v>258</v>
      </c>
      <c r="D1448" s="4" t="s">
        <v>22</v>
      </c>
      <c r="E1448" s="4" t="s">
        <v>2339</v>
      </c>
      <c r="F1448" s="4" t="s">
        <v>470</v>
      </c>
      <c r="G1448" s="4" t="s">
        <v>2340</v>
      </c>
      <c r="H1448" s="12" t="n">
        <v>1</v>
      </c>
      <c r="I1448" s="4" t="s">
        <v>408</v>
      </c>
      <c r="J1448" s="4" t="s">
        <v>416</v>
      </c>
      <c r="K1448" s="13" t="n">
        <v>8500</v>
      </c>
      <c r="L1448" s="6" t="n">
        <f aca="false">H1448*K1448</f>
        <v>8500</v>
      </c>
      <c r="M1448" s="14" t="s">
        <v>410</v>
      </c>
    </row>
    <row r="1449" customFormat="false" ht="15" hidden="false" customHeight="false" outlineLevel="0" collapsed="false">
      <c r="A1449" s="4" t="s">
        <v>246</v>
      </c>
      <c r="B1449" s="5" t="s">
        <v>257</v>
      </c>
      <c r="C1449" s="5" t="s">
        <v>258</v>
      </c>
      <c r="D1449" s="4" t="s">
        <v>22</v>
      </c>
      <c r="E1449" s="4" t="s">
        <v>2341</v>
      </c>
      <c r="F1449" s="4" t="s">
        <v>470</v>
      </c>
      <c r="G1449" s="4" t="s">
        <v>2342</v>
      </c>
      <c r="H1449" s="12" t="n">
        <v>1</v>
      </c>
      <c r="I1449" s="4" t="s">
        <v>408</v>
      </c>
      <c r="J1449" s="4" t="s">
        <v>543</v>
      </c>
      <c r="K1449" s="13" t="n">
        <v>5000</v>
      </c>
      <c r="L1449" s="6" t="n">
        <f aca="false">H1449*K1449</f>
        <v>5000</v>
      </c>
      <c r="M1449" s="4" t="s">
        <v>371</v>
      </c>
    </row>
    <row r="1450" customFormat="false" ht="15" hidden="false" customHeight="false" outlineLevel="0" collapsed="false">
      <c r="A1450" s="4" t="s">
        <v>261</v>
      </c>
      <c r="B1450" s="5" t="s">
        <v>262</v>
      </c>
      <c r="C1450" s="5" t="s">
        <v>263</v>
      </c>
      <c r="D1450" s="4" t="s">
        <v>22</v>
      </c>
      <c r="E1450" s="4" t="s">
        <v>2387</v>
      </c>
      <c r="F1450" s="4" t="s">
        <v>470</v>
      </c>
      <c r="G1450" s="4" t="s">
        <v>1700</v>
      </c>
      <c r="H1450" s="12" t="n">
        <v>1</v>
      </c>
      <c r="I1450" s="4" t="s">
        <v>474</v>
      </c>
      <c r="J1450" s="4" t="s">
        <v>409</v>
      </c>
      <c r="K1450" s="13" t="n">
        <v>55000</v>
      </c>
      <c r="L1450" s="6" t="n">
        <f aca="false">H1450*K1450</f>
        <v>55000</v>
      </c>
      <c r="M1450" s="14" t="s">
        <v>410</v>
      </c>
    </row>
    <row r="1451" customFormat="false" ht="15" hidden="false" customHeight="false" outlineLevel="0" collapsed="false">
      <c r="A1451" s="4" t="s">
        <v>261</v>
      </c>
      <c r="B1451" s="5" t="s">
        <v>262</v>
      </c>
      <c r="C1451" s="5" t="s">
        <v>263</v>
      </c>
      <c r="D1451" s="4" t="s">
        <v>22</v>
      </c>
      <c r="E1451" s="4" t="s">
        <v>2388</v>
      </c>
      <c r="F1451" s="4" t="s">
        <v>470</v>
      </c>
      <c r="G1451" s="4" t="s">
        <v>2389</v>
      </c>
      <c r="H1451" s="12" t="n">
        <v>1</v>
      </c>
      <c r="I1451" s="4" t="s">
        <v>474</v>
      </c>
      <c r="J1451" s="4" t="s">
        <v>409</v>
      </c>
      <c r="K1451" s="13" t="n">
        <v>18000</v>
      </c>
      <c r="L1451" s="6" t="n">
        <f aca="false">H1451*K1451</f>
        <v>18000</v>
      </c>
      <c r="M1451" s="4" t="s">
        <v>371</v>
      </c>
    </row>
    <row r="1452" customFormat="false" ht="15" hidden="false" customHeight="false" outlineLevel="0" collapsed="false">
      <c r="A1452" s="4" t="s">
        <v>261</v>
      </c>
      <c r="B1452" s="5" t="s">
        <v>262</v>
      </c>
      <c r="C1452" s="5" t="s">
        <v>263</v>
      </c>
      <c r="D1452" s="4" t="s">
        <v>22</v>
      </c>
      <c r="E1452" s="4" t="s">
        <v>1253</v>
      </c>
      <c r="F1452" s="4" t="s">
        <v>470</v>
      </c>
      <c r="G1452" s="4" t="s">
        <v>1254</v>
      </c>
      <c r="H1452" s="12" t="n">
        <v>1</v>
      </c>
      <c r="I1452" s="4" t="s">
        <v>474</v>
      </c>
      <c r="J1452" s="4" t="s">
        <v>409</v>
      </c>
      <c r="K1452" s="13" t="n">
        <v>8500</v>
      </c>
      <c r="L1452" s="6" t="n">
        <f aca="false">H1452*K1452</f>
        <v>8500</v>
      </c>
      <c r="M1452" s="14" t="s">
        <v>410</v>
      </c>
    </row>
    <row r="1453" customFormat="false" ht="15" hidden="false" customHeight="false" outlineLevel="0" collapsed="false">
      <c r="A1453" s="4" t="s">
        <v>261</v>
      </c>
      <c r="B1453" s="5" t="s">
        <v>262</v>
      </c>
      <c r="C1453" s="5" t="s">
        <v>263</v>
      </c>
      <c r="D1453" s="4" t="s">
        <v>22</v>
      </c>
      <c r="E1453" s="4" t="s">
        <v>2390</v>
      </c>
      <c r="F1453" s="4" t="s">
        <v>470</v>
      </c>
      <c r="G1453" s="4" t="s">
        <v>2391</v>
      </c>
      <c r="H1453" s="12" t="n">
        <v>1</v>
      </c>
      <c r="I1453" s="4" t="s">
        <v>474</v>
      </c>
      <c r="J1453" s="4" t="s">
        <v>409</v>
      </c>
      <c r="K1453" s="13" t="n">
        <v>85000</v>
      </c>
      <c r="L1453" s="6" t="n">
        <f aca="false">H1453*K1453</f>
        <v>85000</v>
      </c>
      <c r="M1453" s="14" t="s">
        <v>410</v>
      </c>
    </row>
    <row r="1454" customFormat="false" ht="15" hidden="false" customHeight="false" outlineLevel="0" collapsed="false">
      <c r="A1454" s="4" t="s">
        <v>261</v>
      </c>
      <c r="B1454" s="5" t="s">
        <v>262</v>
      </c>
      <c r="C1454" s="5" t="s">
        <v>263</v>
      </c>
      <c r="D1454" s="4" t="s">
        <v>22</v>
      </c>
      <c r="E1454" s="4" t="s">
        <v>2392</v>
      </c>
      <c r="F1454" s="4" t="s">
        <v>470</v>
      </c>
      <c r="G1454" s="4" t="s">
        <v>2393</v>
      </c>
      <c r="H1454" s="12" t="n">
        <v>2</v>
      </c>
      <c r="I1454" s="4" t="s">
        <v>474</v>
      </c>
      <c r="J1454" s="4" t="s">
        <v>416</v>
      </c>
      <c r="K1454" s="13" t="n">
        <v>65000</v>
      </c>
      <c r="L1454" s="6" t="n">
        <f aca="false">H1454*K1454</f>
        <v>130000</v>
      </c>
      <c r="M1454" s="4" t="s">
        <v>371</v>
      </c>
    </row>
    <row r="1455" customFormat="false" ht="15" hidden="false" customHeight="false" outlineLevel="0" collapsed="false">
      <c r="A1455" s="4" t="s">
        <v>261</v>
      </c>
      <c r="B1455" s="5" t="s">
        <v>262</v>
      </c>
      <c r="C1455" s="5" t="s">
        <v>263</v>
      </c>
      <c r="D1455" s="4" t="s">
        <v>22</v>
      </c>
      <c r="E1455" s="4" t="s">
        <v>2394</v>
      </c>
      <c r="F1455" s="4" t="s">
        <v>470</v>
      </c>
      <c r="G1455" s="4" t="s">
        <v>2395</v>
      </c>
      <c r="H1455" s="12" t="n">
        <v>1</v>
      </c>
      <c r="I1455" s="4" t="s">
        <v>474</v>
      </c>
      <c r="J1455" s="4" t="s">
        <v>409</v>
      </c>
      <c r="K1455" s="13" t="n">
        <v>18000</v>
      </c>
      <c r="L1455" s="6" t="n">
        <f aca="false">H1455*K1455</f>
        <v>18000</v>
      </c>
      <c r="M1455" s="14" t="s">
        <v>410</v>
      </c>
    </row>
    <row r="1456" customFormat="false" ht="15" hidden="false" customHeight="false" outlineLevel="0" collapsed="false">
      <c r="A1456" s="4" t="s">
        <v>261</v>
      </c>
      <c r="B1456" s="5" t="s">
        <v>262</v>
      </c>
      <c r="C1456" s="5" t="s">
        <v>263</v>
      </c>
      <c r="D1456" s="4" t="s">
        <v>22</v>
      </c>
      <c r="E1456" s="4" t="s">
        <v>2163</v>
      </c>
      <c r="F1456" s="4" t="s">
        <v>470</v>
      </c>
      <c r="G1456" s="4" t="s">
        <v>2164</v>
      </c>
      <c r="H1456" s="12" t="n">
        <v>1</v>
      </c>
      <c r="I1456" s="4" t="s">
        <v>408</v>
      </c>
      <c r="J1456" s="4" t="s">
        <v>409</v>
      </c>
      <c r="K1456" s="13" t="n">
        <v>35000</v>
      </c>
      <c r="L1456" s="6" t="n">
        <f aca="false">H1456*K1456</f>
        <v>35000</v>
      </c>
      <c r="M1456" s="14" t="s">
        <v>410</v>
      </c>
    </row>
    <row r="1457" customFormat="false" ht="15" hidden="false" customHeight="false" outlineLevel="0" collapsed="false">
      <c r="A1457" s="4" t="s">
        <v>261</v>
      </c>
      <c r="B1457" s="5" t="s">
        <v>262</v>
      </c>
      <c r="C1457" s="5" t="s">
        <v>263</v>
      </c>
      <c r="D1457" s="4" t="s">
        <v>22</v>
      </c>
      <c r="E1457" s="4" t="s">
        <v>1058</v>
      </c>
      <c r="F1457" s="4" t="s">
        <v>470</v>
      </c>
      <c r="G1457" s="4" t="s">
        <v>1059</v>
      </c>
      <c r="H1457" s="12" t="n">
        <v>1</v>
      </c>
      <c r="I1457" s="4" t="s">
        <v>408</v>
      </c>
      <c r="J1457" s="4" t="s">
        <v>409</v>
      </c>
      <c r="K1457" s="13" t="n">
        <v>45000</v>
      </c>
      <c r="L1457" s="6" t="n">
        <f aca="false">H1457*K1457</f>
        <v>45000</v>
      </c>
      <c r="M1457" s="14" t="s">
        <v>410</v>
      </c>
    </row>
    <row r="1458" customFormat="false" ht="15" hidden="false" customHeight="false" outlineLevel="0" collapsed="false">
      <c r="A1458" s="4" t="s">
        <v>261</v>
      </c>
      <c r="B1458" s="5" t="s">
        <v>262</v>
      </c>
      <c r="C1458" s="5" t="s">
        <v>263</v>
      </c>
      <c r="D1458" s="4" t="s">
        <v>22</v>
      </c>
      <c r="E1458" s="4" t="s">
        <v>2396</v>
      </c>
      <c r="F1458" s="4" t="s">
        <v>470</v>
      </c>
      <c r="G1458" s="4" t="s">
        <v>2397</v>
      </c>
      <c r="H1458" s="12" t="n">
        <v>4</v>
      </c>
      <c r="I1458" s="4" t="s">
        <v>474</v>
      </c>
      <c r="J1458" s="4" t="s">
        <v>409</v>
      </c>
      <c r="K1458" s="13" t="n">
        <v>4500</v>
      </c>
      <c r="L1458" s="6" t="n">
        <f aca="false">H1458*K1458</f>
        <v>18000</v>
      </c>
      <c r="M1458" s="4" t="s">
        <v>371</v>
      </c>
    </row>
    <row r="1459" customFormat="false" ht="15" hidden="false" customHeight="false" outlineLevel="0" collapsed="false">
      <c r="A1459" s="4" t="s">
        <v>261</v>
      </c>
      <c r="B1459" s="5" t="s">
        <v>262</v>
      </c>
      <c r="C1459" s="5" t="s">
        <v>263</v>
      </c>
      <c r="D1459" s="4" t="s">
        <v>22</v>
      </c>
      <c r="E1459" s="4" t="s">
        <v>2398</v>
      </c>
      <c r="F1459" s="4" t="s">
        <v>470</v>
      </c>
      <c r="G1459" s="4" t="s">
        <v>2399</v>
      </c>
      <c r="H1459" s="12" t="n">
        <v>8</v>
      </c>
      <c r="I1459" s="4" t="s">
        <v>474</v>
      </c>
      <c r="J1459" s="4" t="s">
        <v>409</v>
      </c>
      <c r="K1459" s="13" t="n">
        <v>1800</v>
      </c>
      <c r="L1459" s="6" t="n">
        <f aca="false">H1459*K1459</f>
        <v>14400</v>
      </c>
      <c r="M1459" s="4" t="s">
        <v>371</v>
      </c>
    </row>
    <row r="1460" customFormat="false" ht="15" hidden="false" customHeight="false" outlineLevel="0" collapsed="false">
      <c r="A1460" s="4" t="s">
        <v>261</v>
      </c>
      <c r="B1460" s="5" t="s">
        <v>262</v>
      </c>
      <c r="C1460" s="5" t="s">
        <v>263</v>
      </c>
      <c r="D1460" s="4" t="s">
        <v>22</v>
      </c>
      <c r="E1460" s="4" t="s">
        <v>2400</v>
      </c>
      <c r="F1460" s="4" t="s">
        <v>470</v>
      </c>
      <c r="G1460" s="4" t="s">
        <v>2401</v>
      </c>
      <c r="H1460" s="12" t="n">
        <v>4</v>
      </c>
      <c r="I1460" s="4" t="s">
        <v>474</v>
      </c>
      <c r="J1460" s="4" t="s">
        <v>409</v>
      </c>
      <c r="K1460" s="13" t="n">
        <v>2500</v>
      </c>
      <c r="L1460" s="6" t="n">
        <f aca="false">H1460*K1460</f>
        <v>10000</v>
      </c>
      <c r="M1460" s="4" t="s">
        <v>371</v>
      </c>
    </row>
    <row r="1461" customFormat="false" ht="15" hidden="false" customHeight="false" outlineLevel="0" collapsed="false">
      <c r="A1461" s="4" t="s">
        <v>261</v>
      </c>
      <c r="B1461" s="5" t="s">
        <v>262</v>
      </c>
      <c r="C1461" s="5" t="s">
        <v>263</v>
      </c>
      <c r="D1461" s="4" t="s">
        <v>22</v>
      </c>
      <c r="E1461" s="4" t="s">
        <v>1423</v>
      </c>
      <c r="F1461" s="4" t="s">
        <v>470</v>
      </c>
      <c r="G1461" s="4" t="s">
        <v>1424</v>
      </c>
      <c r="H1461" s="12" t="n">
        <v>1</v>
      </c>
      <c r="I1461" s="4" t="s">
        <v>474</v>
      </c>
      <c r="J1461" s="4" t="s">
        <v>409</v>
      </c>
      <c r="K1461" s="13" t="n">
        <v>3500</v>
      </c>
      <c r="L1461" s="6" t="n">
        <f aca="false">H1461*K1461</f>
        <v>3500</v>
      </c>
      <c r="M1461" s="4" t="s">
        <v>371</v>
      </c>
    </row>
    <row r="1462" customFormat="false" ht="15" hidden="false" customHeight="false" outlineLevel="0" collapsed="false">
      <c r="A1462" s="4" t="s">
        <v>261</v>
      </c>
      <c r="B1462" s="5" t="s">
        <v>262</v>
      </c>
      <c r="C1462" s="5" t="s">
        <v>263</v>
      </c>
      <c r="D1462" s="4" t="s">
        <v>22</v>
      </c>
      <c r="E1462" s="4" t="s">
        <v>2301</v>
      </c>
      <c r="F1462" s="4" t="s">
        <v>470</v>
      </c>
      <c r="G1462" s="4" t="s">
        <v>2302</v>
      </c>
      <c r="H1462" s="12" t="n">
        <v>1</v>
      </c>
      <c r="I1462" s="4" t="s">
        <v>408</v>
      </c>
      <c r="J1462" s="4" t="s">
        <v>409</v>
      </c>
      <c r="K1462" s="13" t="n">
        <v>8500</v>
      </c>
      <c r="L1462" s="6" t="n">
        <f aca="false">H1462*K1462</f>
        <v>8500</v>
      </c>
      <c r="M1462" s="4" t="s">
        <v>371</v>
      </c>
    </row>
    <row r="1463" customFormat="false" ht="15" hidden="false" customHeight="false" outlineLevel="0" collapsed="false">
      <c r="A1463" s="4" t="s">
        <v>261</v>
      </c>
      <c r="B1463" s="5" t="s">
        <v>262</v>
      </c>
      <c r="C1463" s="5" t="s">
        <v>263</v>
      </c>
      <c r="D1463" s="4" t="s">
        <v>22</v>
      </c>
      <c r="E1463" s="4" t="s">
        <v>2303</v>
      </c>
      <c r="F1463" s="4" t="s">
        <v>470</v>
      </c>
      <c r="G1463" s="4" t="s">
        <v>2304</v>
      </c>
      <c r="H1463" s="12" t="n">
        <v>1</v>
      </c>
      <c r="I1463" s="4" t="s">
        <v>408</v>
      </c>
      <c r="J1463" s="4" t="s">
        <v>409</v>
      </c>
      <c r="K1463" s="13" t="n">
        <v>3500</v>
      </c>
      <c r="L1463" s="6" t="n">
        <f aca="false">H1463*K1463</f>
        <v>3500</v>
      </c>
      <c r="M1463" s="4" t="s">
        <v>371</v>
      </c>
    </row>
    <row r="1464" customFormat="false" ht="15" hidden="false" customHeight="false" outlineLevel="0" collapsed="false">
      <c r="A1464" s="4" t="s">
        <v>261</v>
      </c>
      <c r="B1464" s="5" t="s">
        <v>262</v>
      </c>
      <c r="C1464" s="5" t="s">
        <v>263</v>
      </c>
      <c r="D1464" s="4" t="s">
        <v>22</v>
      </c>
      <c r="E1464" s="4" t="s">
        <v>2305</v>
      </c>
      <c r="F1464" s="4" t="s">
        <v>470</v>
      </c>
      <c r="G1464" s="4" t="s">
        <v>2306</v>
      </c>
      <c r="H1464" s="12" t="n">
        <v>1</v>
      </c>
      <c r="I1464" s="4" t="s">
        <v>408</v>
      </c>
      <c r="J1464" s="4" t="s">
        <v>409</v>
      </c>
      <c r="K1464" s="13" t="n">
        <v>850</v>
      </c>
      <c r="L1464" s="6" t="n">
        <f aca="false">H1464*K1464</f>
        <v>850</v>
      </c>
      <c r="M1464" s="4" t="s">
        <v>371</v>
      </c>
    </row>
    <row r="1465" customFormat="false" ht="15" hidden="false" customHeight="false" outlineLevel="0" collapsed="false">
      <c r="A1465" s="4" t="s">
        <v>261</v>
      </c>
      <c r="B1465" s="5" t="s">
        <v>262</v>
      </c>
      <c r="C1465" s="5" t="s">
        <v>263</v>
      </c>
      <c r="D1465" s="4" t="s">
        <v>22</v>
      </c>
      <c r="E1465" s="4" t="s">
        <v>2402</v>
      </c>
      <c r="F1465" s="4" t="s">
        <v>488</v>
      </c>
      <c r="G1465" s="4" t="s">
        <v>2403</v>
      </c>
      <c r="H1465" s="12" t="n">
        <v>1</v>
      </c>
      <c r="I1465" s="4" t="s">
        <v>408</v>
      </c>
      <c r="J1465" s="4" t="s">
        <v>416</v>
      </c>
      <c r="K1465" s="13" t="n">
        <v>350</v>
      </c>
      <c r="L1465" s="6" t="n">
        <f aca="false">H1465*K1465</f>
        <v>350</v>
      </c>
      <c r="M1465" s="4" t="s">
        <v>371</v>
      </c>
    </row>
    <row r="1466" customFormat="false" ht="15" hidden="false" customHeight="false" outlineLevel="0" collapsed="false">
      <c r="A1466" s="4" t="s">
        <v>272</v>
      </c>
      <c r="B1466" s="5" t="s">
        <v>279</v>
      </c>
      <c r="C1466" s="5" t="s">
        <v>280</v>
      </c>
      <c r="D1466" s="4" t="s">
        <v>22</v>
      </c>
      <c r="E1466" s="4" t="s">
        <v>769</v>
      </c>
      <c r="F1466" s="4" t="s">
        <v>406</v>
      </c>
      <c r="G1466" s="4" t="s">
        <v>770</v>
      </c>
      <c r="H1466" s="12" t="n">
        <v>20</v>
      </c>
      <c r="I1466" s="4" t="s">
        <v>2404</v>
      </c>
      <c r="J1466" s="4" t="s">
        <v>409</v>
      </c>
      <c r="K1466" s="13" t="n">
        <v>80</v>
      </c>
      <c r="L1466" s="6" t="n">
        <f aca="false">H1466*K1466</f>
        <v>1600</v>
      </c>
      <c r="M1466" s="14" t="s">
        <v>410</v>
      </c>
    </row>
    <row r="1467" customFormat="false" ht="15" hidden="false" customHeight="false" outlineLevel="0" collapsed="false">
      <c r="A1467" s="4" t="s">
        <v>272</v>
      </c>
      <c r="B1467" s="5" t="s">
        <v>279</v>
      </c>
      <c r="C1467" s="5" t="s">
        <v>280</v>
      </c>
      <c r="D1467" s="4" t="s">
        <v>22</v>
      </c>
      <c r="E1467" s="4" t="s">
        <v>2405</v>
      </c>
      <c r="F1467" s="4" t="s">
        <v>406</v>
      </c>
      <c r="G1467" s="4" t="s">
        <v>2406</v>
      </c>
      <c r="H1467" s="12" t="n">
        <v>20</v>
      </c>
      <c r="I1467" s="4" t="s">
        <v>2404</v>
      </c>
      <c r="J1467" s="4" t="s">
        <v>409</v>
      </c>
      <c r="K1467" s="13" t="n">
        <v>250</v>
      </c>
      <c r="L1467" s="6" t="n">
        <f aca="false">H1467*K1467</f>
        <v>5000</v>
      </c>
      <c r="M1467" s="14" t="s">
        <v>410</v>
      </c>
    </row>
    <row r="1468" customFormat="false" ht="15" hidden="false" customHeight="false" outlineLevel="0" collapsed="false">
      <c r="A1468" s="4" t="s">
        <v>272</v>
      </c>
      <c r="B1468" s="5" t="s">
        <v>279</v>
      </c>
      <c r="C1468" s="5" t="s">
        <v>280</v>
      </c>
      <c r="D1468" s="4" t="s">
        <v>22</v>
      </c>
      <c r="E1468" s="4" t="s">
        <v>2407</v>
      </c>
      <c r="F1468" s="4" t="s">
        <v>406</v>
      </c>
      <c r="G1468" s="4" t="s">
        <v>2408</v>
      </c>
      <c r="H1468" s="12" t="n">
        <v>20</v>
      </c>
      <c r="I1468" s="4" t="s">
        <v>2404</v>
      </c>
      <c r="J1468" s="4" t="s">
        <v>409</v>
      </c>
      <c r="K1468" s="13" t="n">
        <v>180</v>
      </c>
      <c r="L1468" s="6" t="n">
        <f aca="false">H1468*K1468</f>
        <v>3600</v>
      </c>
      <c r="M1468" s="4" t="s">
        <v>371</v>
      </c>
    </row>
    <row r="1469" customFormat="false" ht="15" hidden="false" customHeight="false" outlineLevel="0" collapsed="false">
      <c r="A1469" s="4" t="s">
        <v>272</v>
      </c>
      <c r="B1469" s="5" t="s">
        <v>279</v>
      </c>
      <c r="C1469" s="5" t="s">
        <v>280</v>
      </c>
      <c r="D1469" s="4" t="s">
        <v>22</v>
      </c>
      <c r="E1469" s="4" t="s">
        <v>2409</v>
      </c>
      <c r="F1469" s="4" t="s">
        <v>406</v>
      </c>
      <c r="G1469" s="4" t="s">
        <v>2410</v>
      </c>
      <c r="H1469" s="12" t="n">
        <v>20</v>
      </c>
      <c r="I1469" s="4" t="s">
        <v>2404</v>
      </c>
      <c r="J1469" s="4" t="s">
        <v>409</v>
      </c>
      <c r="K1469" s="13" t="n">
        <v>80</v>
      </c>
      <c r="L1469" s="6" t="n">
        <f aca="false">H1469*K1469</f>
        <v>1600</v>
      </c>
      <c r="M1469" s="14" t="s">
        <v>410</v>
      </c>
    </row>
    <row r="1470" customFormat="false" ht="15" hidden="false" customHeight="false" outlineLevel="0" collapsed="false">
      <c r="A1470" s="4" t="s">
        <v>272</v>
      </c>
      <c r="B1470" s="5" t="s">
        <v>279</v>
      </c>
      <c r="C1470" s="5" t="s">
        <v>280</v>
      </c>
      <c r="D1470" s="4" t="s">
        <v>22</v>
      </c>
      <c r="E1470" s="4" t="s">
        <v>2411</v>
      </c>
      <c r="F1470" s="4" t="s">
        <v>406</v>
      </c>
      <c r="G1470" s="4" t="s">
        <v>2412</v>
      </c>
      <c r="H1470" s="12" t="n">
        <v>20</v>
      </c>
      <c r="I1470" s="4" t="s">
        <v>2404</v>
      </c>
      <c r="J1470" s="4" t="s">
        <v>409</v>
      </c>
      <c r="K1470" s="13" t="n">
        <v>4500</v>
      </c>
      <c r="L1470" s="6" t="n">
        <f aca="false">H1470*K1470</f>
        <v>90000</v>
      </c>
      <c r="M1470" s="14" t="s">
        <v>410</v>
      </c>
    </row>
    <row r="1471" customFormat="false" ht="15" hidden="false" customHeight="false" outlineLevel="0" collapsed="false">
      <c r="A1471" s="4" t="s">
        <v>272</v>
      </c>
      <c r="B1471" s="5" t="s">
        <v>279</v>
      </c>
      <c r="C1471" s="5" t="s">
        <v>280</v>
      </c>
      <c r="D1471" s="4" t="s">
        <v>22</v>
      </c>
      <c r="E1471" s="4" t="s">
        <v>2413</v>
      </c>
      <c r="F1471" s="4" t="s">
        <v>406</v>
      </c>
      <c r="G1471" s="4" t="s">
        <v>2414</v>
      </c>
      <c r="H1471" s="12" t="n">
        <v>1</v>
      </c>
      <c r="I1471" s="4" t="s">
        <v>474</v>
      </c>
      <c r="J1471" s="4" t="s">
        <v>409</v>
      </c>
      <c r="K1471" s="13" t="n">
        <v>45000</v>
      </c>
      <c r="L1471" s="6" t="n">
        <f aca="false">H1471*K1471</f>
        <v>45000</v>
      </c>
      <c r="M1471" s="14" t="s">
        <v>410</v>
      </c>
    </row>
    <row r="1472" customFormat="false" ht="15" hidden="false" customHeight="false" outlineLevel="0" collapsed="false">
      <c r="A1472" s="4" t="s">
        <v>272</v>
      </c>
      <c r="B1472" s="5" t="s">
        <v>279</v>
      </c>
      <c r="C1472" s="5" t="s">
        <v>280</v>
      </c>
      <c r="D1472" s="4" t="s">
        <v>22</v>
      </c>
      <c r="E1472" s="4" t="s">
        <v>2163</v>
      </c>
      <c r="F1472" s="4" t="s">
        <v>470</v>
      </c>
      <c r="G1472" s="4" t="s">
        <v>2164</v>
      </c>
      <c r="H1472" s="12" t="n">
        <v>20</v>
      </c>
      <c r="I1472" s="4" t="s">
        <v>2404</v>
      </c>
      <c r="J1472" s="4" t="s">
        <v>409</v>
      </c>
      <c r="K1472" s="13" t="n">
        <v>35000</v>
      </c>
      <c r="L1472" s="6" t="n">
        <f aca="false">H1472*K1472</f>
        <v>700000</v>
      </c>
      <c r="M1472" s="14" t="s">
        <v>410</v>
      </c>
    </row>
    <row r="1473" customFormat="false" ht="15" hidden="false" customHeight="false" outlineLevel="0" collapsed="false">
      <c r="A1473" s="4" t="s">
        <v>272</v>
      </c>
      <c r="B1473" s="5" t="s">
        <v>279</v>
      </c>
      <c r="C1473" s="5" t="s">
        <v>280</v>
      </c>
      <c r="D1473" s="4" t="s">
        <v>22</v>
      </c>
      <c r="E1473" s="4" t="s">
        <v>2415</v>
      </c>
      <c r="F1473" s="4" t="s">
        <v>470</v>
      </c>
      <c r="G1473" s="4" t="s">
        <v>2416</v>
      </c>
      <c r="H1473" s="12" t="n">
        <v>20</v>
      </c>
      <c r="I1473" s="4" t="s">
        <v>2404</v>
      </c>
      <c r="J1473" s="4" t="s">
        <v>416</v>
      </c>
      <c r="K1473" s="13" t="n">
        <v>3500</v>
      </c>
      <c r="L1473" s="6" t="n">
        <f aca="false">H1473*K1473</f>
        <v>70000</v>
      </c>
      <c r="M1473" s="4" t="s">
        <v>371</v>
      </c>
    </row>
    <row r="1474" customFormat="false" ht="15" hidden="false" customHeight="false" outlineLevel="0" collapsed="false">
      <c r="A1474" s="4" t="s">
        <v>272</v>
      </c>
      <c r="B1474" s="5" t="s">
        <v>279</v>
      </c>
      <c r="C1474" s="5" t="s">
        <v>280</v>
      </c>
      <c r="D1474" s="4" t="s">
        <v>22</v>
      </c>
      <c r="E1474" s="4" t="s">
        <v>2417</v>
      </c>
      <c r="F1474" s="4" t="s">
        <v>470</v>
      </c>
      <c r="G1474" s="4" t="s">
        <v>2418</v>
      </c>
      <c r="H1474" s="12" t="n">
        <v>1</v>
      </c>
      <c r="I1474" s="4" t="s">
        <v>474</v>
      </c>
      <c r="J1474" s="4" t="s">
        <v>409</v>
      </c>
      <c r="K1474" s="13" t="n">
        <v>45000</v>
      </c>
      <c r="L1474" s="6" t="n">
        <f aca="false">H1474*K1474</f>
        <v>45000</v>
      </c>
      <c r="M1474" s="14" t="s">
        <v>410</v>
      </c>
    </row>
    <row r="1475" customFormat="false" ht="15" hidden="false" customHeight="false" outlineLevel="0" collapsed="false">
      <c r="A1475" s="4" t="s">
        <v>272</v>
      </c>
      <c r="B1475" s="5" t="s">
        <v>279</v>
      </c>
      <c r="C1475" s="5" t="s">
        <v>280</v>
      </c>
      <c r="D1475" s="4" t="s">
        <v>22</v>
      </c>
      <c r="E1475" s="4" t="s">
        <v>1253</v>
      </c>
      <c r="F1475" s="4" t="s">
        <v>470</v>
      </c>
      <c r="G1475" s="4" t="s">
        <v>1254</v>
      </c>
      <c r="H1475" s="12" t="n">
        <v>1</v>
      </c>
      <c r="I1475" s="4" t="s">
        <v>474</v>
      </c>
      <c r="J1475" s="4" t="s">
        <v>409</v>
      </c>
      <c r="K1475" s="13" t="n">
        <v>8500</v>
      </c>
      <c r="L1475" s="6" t="n">
        <f aca="false">H1475*K1475</f>
        <v>8500</v>
      </c>
      <c r="M1475" s="14" t="s">
        <v>410</v>
      </c>
    </row>
    <row r="1476" customFormat="false" ht="15" hidden="false" customHeight="false" outlineLevel="0" collapsed="false">
      <c r="A1476" s="4" t="s">
        <v>272</v>
      </c>
      <c r="B1476" s="5" t="s">
        <v>279</v>
      </c>
      <c r="C1476" s="5" t="s">
        <v>280</v>
      </c>
      <c r="D1476" s="4" t="s">
        <v>22</v>
      </c>
      <c r="E1476" s="4" t="s">
        <v>2173</v>
      </c>
      <c r="F1476" s="4" t="s">
        <v>470</v>
      </c>
      <c r="G1476" s="4" t="s">
        <v>2174</v>
      </c>
      <c r="H1476" s="12" t="n">
        <v>1</v>
      </c>
      <c r="I1476" s="4" t="s">
        <v>474</v>
      </c>
      <c r="J1476" s="4" t="s">
        <v>543</v>
      </c>
      <c r="K1476" s="13" t="n">
        <v>12000</v>
      </c>
      <c r="L1476" s="6" t="n">
        <f aca="false">H1476*K1476</f>
        <v>12000</v>
      </c>
      <c r="M1476" s="4" t="s">
        <v>371</v>
      </c>
    </row>
    <row r="1477" customFormat="false" ht="15" hidden="false" customHeight="false" outlineLevel="0" collapsed="false">
      <c r="A1477" s="4" t="s">
        <v>272</v>
      </c>
      <c r="B1477" s="5" t="s">
        <v>279</v>
      </c>
      <c r="C1477" s="5" t="s">
        <v>280</v>
      </c>
      <c r="D1477" s="4" t="s">
        <v>22</v>
      </c>
      <c r="E1477" s="4" t="s">
        <v>2419</v>
      </c>
      <c r="F1477" s="4" t="s">
        <v>470</v>
      </c>
      <c r="G1477" s="4" t="s">
        <v>2420</v>
      </c>
      <c r="H1477" s="12" t="n">
        <v>1</v>
      </c>
      <c r="I1477" s="4" t="s">
        <v>474</v>
      </c>
      <c r="J1477" s="4" t="s">
        <v>543</v>
      </c>
      <c r="K1477" s="13" t="n">
        <v>12000</v>
      </c>
      <c r="L1477" s="6" t="n">
        <f aca="false">H1477*K1477</f>
        <v>12000</v>
      </c>
      <c r="M1477" s="4" t="s">
        <v>371</v>
      </c>
    </row>
    <row r="1478" customFormat="false" ht="15" hidden="false" customHeight="false" outlineLevel="0" collapsed="false">
      <c r="A1478" s="4" t="s">
        <v>272</v>
      </c>
      <c r="B1478" s="5" t="s">
        <v>279</v>
      </c>
      <c r="C1478" s="5" t="s">
        <v>280</v>
      </c>
      <c r="D1478" s="4" t="s">
        <v>22</v>
      </c>
      <c r="E1478" s="4" t="s">
        <v>2421</v>
      </c>
      <c r="F1478" s="4" t="s">
        <v>470</v>
      </c>
      <c r="G1478" s="4" t="s">
        <v>2422</v>
      </c>
      <c r="H1478" s="12" t="n">
        <v>1</v>
      </c>
      <c r="I1478" s="4" t="s">
        <v>474</v>
      </c>
      <c r="J1478" s="4" t="s">
        <v>543</v>
      </c>
      <c r="K1478" s="13" t="n">
        <v>1200</v>
      </c>
      <c r="L1478" s="6" t="n">
        <f aca="false">H1478*K1478</f>
        <v>1200</v>
      </c>
      <c r="M1478" s="4" t="s">
        <v>371</v>
      </c>
    </row>
    <row r="1479" customFormat="false" ht="15" hidden="false" customHeight="false" outlineLevel="0" collapsed="false">
      <c r="A1479" s="4" t="s">
        <v>272</v>
      </c>
      <c r="B1479" s="5" t="s">
        <v>279</v>
      </c>
      <c r="C1479" s="5" t="s">
        <v>280</v>
      </c>
      <c r="D1479" s="4" t="s">
        <v>22</v>
      </c>
      <c r="E1479" s="4" t="s">
        <v>2423</v>
      </c>
      <c r="F1479" s="4" t="s">
        <v>470</v>
      </c>
      <c r="G1479" s="4" t="s">
        <v>2424</v>
      </c>
      <c r="H1479" s="12" t="n">
        <v>1</v>
      </c>
      <c r="I1479" s="4" t="s">
        <v>474</v>
      </c>
      <c r="J1479" s="4" t="s">
        <v>543</v>
      </c>
      <c r="K1479" s="13" t="n">
        <v>12000</v>
      </c>
      <c r="L1479" s="6" t="n">
        <f aca="false">H1479*K1479</f>
        <v>12000</v>
      </c>
      <c r="M1479" s="4" t="s">
        <v>371</v>
      </c>
    </row>
    <row r="1480" customFormat="false" ht="15" hidden="false" customHeight="false" outlineLevel="0" collapsed="false">
      <c r="A1480" s="4" t="s">
        <v>272</v>
      </c>
      <c r="B1480" s="5" t="s">
        <v>279</v>
      </c>
      <c r="C1480" s="5" t="s">
        <v>280</v>
      </c>
      <c r="D1480" s="4" t="s">
        <v>22</v>
      </c>
      <c r="E1480" s="4" t="s">
        <v>2425</v>
      </c>
      <c r="F1480" s="4" t="s">
        <v>470</v>
      </c>
      <c r="G1480" s="4" t="s">
        <v>2426</v>
      </c>
      <c r="H1480" s="12" t="n">
        <v>1</v>
      </c>
      <c r="I1480" s="4" t="s">
        <v>474</v>
      </c>
      <c r="J1480" s="4" t="s">
        <v>543</v>
      </c>
      <c r="K1480" s="13" t="n">
        <v>8000</v>
      </c>
      <c r="L1480" s="6" t="n">
        <f aca="false">H1480*K1480</f>
        <v>8000</v>
      </c>
      <c r="M1480" s="4" t="s">
        <v>371</v>
      </c>
    </row>
    <row r="1481" customFormat="false" ht="15" hidden="false" customHeight="false" outlineLevel="0" collapsed="false">
      <c r="A1481" s="4" t="s">
        <v>272</v>
      </c>
      <c r="B1481" s="5" t="s">
        <v>279</v>
      </c>
      <c r="C1481" s="5" t="s">
        <v>280</v>
      </c>
      <c r="D1481" s="4" t="s">
        <v>22</v>
      </c>
      <c r="E1481" s="4" t="s">
        <v>2427</v>
      </c>
      <c r="F1481" s="4" t="s">
        <v>470</v>
      </c>
      <c r="G1481" s="4" t="s">
        <v>2428</v>
      </c>
      <c r="H1481" s="12" t="n">
        <v>1</v>
      </c>
      <c r="I1481" s="4" t="s">
        <v>474</v>
      </c>
      <c r="J1481" s="4" t="s">
        <v>543</v>
      </c>
      <c r="K1481" s="13" t="n">
        <v>45000</v>
      </c>
      <c r="L1481" s="6" t="n">
        <f aca="false">H1481*K1481</f>
        <v>45000</v>
      </c>
      <c r="M1481" s="4" t="s">
        <v>371</v>
      </c>
    </row>
    <row r="1482" customFormat="false" ht="15" hidden="false" customHeight="false" outlineLevel="0" collapsed="false">
      <c r="A1482" s="4" t="s">
        <v>272</v>
      </c>
      <c r="B1482" s="5" t="s">
        <v>279</v>
      </c>
      <c r="C1482" s="5" t="s">
        <v>280</v>
      </c>
      <c r="D1482" s="4" t="s">
        <v>22</v>
      </c>
      <c r="E1482" s="4" t="s">
        <v>2181</v>
      </c>
      <c r="F1482" s="4" t="s">
        <v>470</v>
      </c>
      <c r="G1482" s="4" t="s">
        <v>2182</v>
      </c>
      <c r="H1482" s="12" t="n">
        <v>20</v>
      </c>
      <c r="I1482" s="4" t="s">
        <v>2404</v>
      </c>
      <c r="J1482" s="4" t="s">
        <v>416</v>
      </c>
      <c r="K1482" s="13" t="n">
        <v>18000</v>
      </c>
      <c r="L1482" s="6" t="n">
        <f aca="false">H1482*K1482</f>
        <v>360000</v>
      </c>
      <c r="M1482" s="4" t="s">
        <v>371</v>
      </c>
    </row>
    <row r="1483" customFormat="false" ht="15" hidden="false" customHeight="false" outlineLevel="0" collapsed="false">
      <c r="A1483" s="4" t="s">
        <v>272</v>
      </c>
      <c r="B1483" s="5" t="s">
        <v>279</v>
      </c>
      <c r="C1483" s="5" t="s">
        <v>280</v>
      </c>
      <c r="D1483" s="4" t="s">
        <v>22</v>
      </c>
      <c r="E1483" s="4" t="s">
        <v>2429</v>
      </c>
      <c r="F1483" s="4" t="s">
        <v>470</v>
      </c>
      <c r="G1483" s="4" t="s">
        <v>2430</v>
      </c>
      <c r="H1483" s="12" t="n">
        <v>20</v>
      </c>
      <c r="I1483" s="4" t="s">
        <v>2404</v>
      </c>
      <c r="J1483" s="4" t="s">
        <v>409</v>
      </c>
      <c r="K1483" s="13" t="n">
        <v>6500</v>
      </c>
      <c r="L1483" s="6" t="n">
        <f aca="false">H1483*K1483</f>
        <v>130000</v>
      </c>
      <c r="M1483" s="4" t="s">
        <v>371</v>
      </c>
    </row>
    <row r="1484" customFormat="false" ht="15" hidden="false" customHeight="false" outlineLevel="0" collapsed="false">
      <c r="A1484" s="4" t="s">
        <v>272</v>
      </c>
      <c r="B1484" s="5" t="s">
        <v>279</v>
      </c>
      <c r="C1484" s="5" t="s">
        <v>280</v>
      </c>
      <c r="D1484" s="4" t="s">
        <v>22</v>
      </c>
      <c r="E1484" s="4" t="s">
        <v>2431</v>
      </c>
      <c r="F1484" s="4" t="s">
        <v>470</v>
      </c>
      <c r="G1484" s="4" t="s">
        <v>2432</v>
      </c>
      <c r="H1484" s="12" t="n">
        <v>20</v>
      </c>
      <c r="I1484" s="4" t="s">
        <v>2404</v>
      </c>
      <c r="J1484" s="4" t="s">
        <v>409</v>
      </c>
      <c r="K1484" s="13" t="n">
        <v>4500</v>
      </c>
      <c r="L1484" s="6" t="n">
        <f aca="false">H1484*K1484</f>
        <v>90000</v>
      </c>
      <c r="M1484" s="4" t="s">
        <v>371</v>
      </c>
    </row>
    <row r="1485" customFormat="false" ht="15" hidden="false" customHeight="false" outlineLevel="0" collapsed="false">
      <c r="A1485" s="4" t="s">
        <v>272</v>
      </c>
      <c r="B1485" s="5" t="s">
        <v>279</v>
      </c>
      <c r="C1485" s="5" t="s">
        <v>280</v>
      </c>
      <c r="D1485" s="4" t="s">
        <v>22</v>
      </c>
      <c r="E1485" s="4" t="s">
        <v>2433</v>
      </c>
      <c r="F1485" s="4" t="s">
        <v>470</v>
      </c>
      <c r="G1485" s="4" t="s">
        <v>2434</v>
      </c>
      <c r="H1485" s="12" t="n">
        <v>20</v>
      </c>
      <c r="I1485" s="4" t="s">
        <v>2404</v>
      </c>
      <c r="J1485" s="4" t="s">
        <v>409</v>
      </c>
      <c r="K1485" s="13" t="n">
        <v>12000</v>
      </c>
      <c r="L1485" s="6" t="n">
        <f aca="false">H1485*K1485</f>
        <v>240000</v>
      </c>
      <c r="M1485" s="4" t="s">
        <v>371</v>
      </c>
    </row>
    <row r="1486" customFormat="false" ht="15" hidden="false" customHeight="false" outlineLevel="0" collapsed="false">
      <c r="A1486" s="4" t="s">
        <v>272</v>
      </c>
      <c r="B1486" s="5" t="s">
        <v>279</v>
      </c>
      <c r="C1486" s="5" t="s">
        <v>280</v>
      </c>
      <c r="D1486" s="4" t="s">
        <v>22</v>
      </c>
      <c r="E1486" s="4" t="s">
        <v>2187</v>
      </c>
      <c r="F1486" s="4" t="s">
        <v>470</v>
      </c>
      <c r="G1486" s="4" t="s">
        <v>2188</v>
      </c>
      <c r="H1486" s="12" t="n">
        <v>1</v>
      </c>
      <c r="I1486" s="4" t="s">
        <v>474</v>
      </c>
      <c r="J1486" s="4" t="s">
        <v>409</v>
      </c>
      <c r="K1486" s="13" t="n">
        <v>8500</v>
      </c>
      <c r="L1486" s="6" t="n">
        <f aca="false">H1486*K1486</f>
        <v>8500</v>
      </c>
      <c r="M1486" s="4" t="s">
        <v>371</v>
      </c>
    </row>
    <row r="1487" customFormat="false" ht="15" hidden="false" customHeight="false" outlineLevel="0" collapsed="false">
      <c r="A1487" s="4" t="s">
        <v>272</v>
      </c>
      <c r="B1487" s="5" t="s">
        <v>279</v>
      </c>
      <c r="C1487" s="5" t="s">
        <v>280</v>
      </c>
      <c r="D1487" s="4" t="s">
        <v>22</v>
      </c>
      <c r="E1487" s="4" t="s">
        <v>2189</v>
      </c>
      <c r="F1487" s="4" t="s">
        <v>470</v>
      </c>
      <c r="G1487" s="4" t="s">
        <v>2190</v>
      </c>
      <c r="H1487" s="12" t="n">
        <v>1</v>
      </c>
      <c r="I1487" s="4" t="s">
        <v>474</v>
      </c>
      <c r="J1487" s="4" t="s">
        <v>409</v>
      </c>
      <c r="K1487" s="13" t="n">
        <v>8500</v>
      </c>
      <c r="L1487" s="6" t="n">
        <f aca="false">H1487*K1487</f>
        <v>8500</v>
      </c>
      <c r="M1487" s="4" t="s">
        <v>371</v>
      </c>
    </row>
    <row r="1488" customFormat="false" ht="15" hidden="false" customHeight="false" outlineLevel="0" collapsed="false">
      <c r="A1488" s="4" t="s">
        <v>272</v>
      </c>
      <c r="B1488" s="5" t="s">
        <v>279</v>
      </c>
      <c r="C1488" s="5" t="s">
        <v>280</v>
      </c>
      <c r="D1488" s="4" t="s">
        <v>22</v>
      </c>
      <c r="E1488" s="4" t="s">
        <v>2193</v>
      </c>
      <c r="F1488" s="4" t="s">
        <v>470</v>
      </c>
      <c r="G1488" s="4" t="s">
        <v>2194</v>
      </c>
      <c r="H1488" s="12" t="n">
        <v>1</v>
      </c>
      <c r="I1488" s="4" t="s">
        <v>474</v>
      </c>
      <c r="J1488" s="4" t="s">
        <v>409</v>
      </c>
      <c r="K1488" s="13" t="n">
        <v>18000</v>
      </c>
      <c r="L1488" s="6" t="n">
        <f aca="false">H1488*K1488</f>
        <v>18000</v>
      </c>
      <c r="M1488" s="4" t="s">
        <v>371</v>
      </c>
    </row>
    <row r="1489" customFormat="false" ht="15" hidden="false" customHeight="false" outlineLevel="0" collapsed="false">
      <c r="A1489" s="4" t="s">
        <v>272</v>
      </c>
      <c r="B1489" s="5" t="s">
        <v>279</v>
      </c>
      <c r="C1489" s="5" t="s">
        <v>280</v>
      </c>
      <c r="D1489" s="4" t="s">
        <v>22</v>
      </c>
      <c r="E1489" s="4" t="s">
        <v>2195</v>
      </c>
      <c r="F1489" s="4" t="s">
        <v>470</v>
      </c>
      <c r="G1489" s="4" t="s">
        <v>2196</v>
      </c>
      <c r="H1489" s="12" t="n">
        <v>1</v>
      </c>
      <c r="I1489" s="4" t="s">
        <v>474</v>
      </c>
      <c r="J1489" s="4" t="s">
        <v>409</v>
      </c>
      <c r="K1489" s="13" t="n">
        <v>6500</v>
      </c>
      <c r="L1489" s="6" t="n">
        <f aca="false">H1489*K1489</f>
        <v>6500</v>
      </c>
      <c r="M1489" s="4" t="s">
        <v>371</v>
      </c>
    </row>
    <row r="1490" customFormat="false" ht="15" hidden="false" customHeight="false" outlineLevel="0" collapsed="false">
      <c r="A1490" s="4" t="s">
        <v>272</v>
      </c>
      <c r="B1490" s="5" t="s">
        <v>279</v>
      </c>
      <c r="C1490" s="5" t="s">
        <v>280</v>
      </c>
      <c r="D1490" s="4" t="s">
        <v>22</v>
      </c>
      <c r="E1490" s="4" t="s">
        <v>2197</v>
      </c>
      <c r="F1490" s="4" t="s">
        <v>470</v>
      </c>
      <c r="G1490" s="4" t="s">
        <v>2198</v>
      </c>
      <c r="H1490" s="12" t="n">
        <v>1</v>
      </c>
      <c r="I1490" s="4" t="s">
        <v>474</v>
      </c>
      <c r="J1490" s="4" t="s">
        <v>409</v>
      </c>
      <c r="K1490" s="13" t="n">
        <v>18000</v>
      </c>
      <c r="L1490" s="6" t="n">
        <f aca="false">H1490*K1490</f>
        <v>18000</v>
      </c>
      <c r="M1490" s="4" t="s">
        <v>371</v>
      </c>
    </row>
    <row r="1491" customFormat="false" ht="15" hidden="false" customHeight="false" outlineLevel="0" collapsed="false">
      <c r="A1491" s="4" t="s">
        <v>272</v>
      </c>
      <c r="B1491" s="5" t="s">
        <v>279</v>
      </c>
      <c r="C1491" s="5" t="s">
        <v>280</v>
      </c>
      <c r="D1491" s="4" t="s">
        <v>22</v>
      </c>
      <c r="E1491" s="4" t="s">
        <v>2199</v>
      </c>
      <c r="F1491" s="4" t="s">
        <v>470</v>
      </c>
      <c r="G1491" s="4" t="s">
        <v>2200</v>
      </c>
      <c r="H1491" s="12" t="n">
        <v>1</v>
      </c>
      <c r="I1491" s="4" t="s">
        <v>474</v>
      </c>
      <c r="J1491" s="4" t="s">
        <v>409</v>
      </c>
      <c r="K1491" s="13" t="n">
        <v>8500</v>
      </c>
      <c r="L1491" s="6" t="n">
        <f aca="false">H1491*K1491</f>
        <v>8500</v>
      </c>
      <c r="M1491" s="4" t="s">
        <v>371</v>
      </c>
    </row>
    <row r="1492" customFormat="false" ht="15" hidden="false" customHeight="false" outlineLevel="0" collapsed="false">
      <c r="A1492" s="4" t="s">
        <v>272</v>
      </c>
      <c r="B1492" s="5" t="s">
        <v>279</v>
      </c>
      <c r="C1492" s="5" t="s">
        <v>280</v>
      </c>
      <c r="D1492" s="4" t="s">
        <v>22</v>
      </c>
      <c r="E1492" s="4" t="s">
        <v>1089</v>
      </c>
      <c r="F1492" s="4" t="s">
        <v>470</v>
      </c>
      <c r="G1492" s="4" t="s">
        <v>1090</v>
      </c>
      <c r="H1492" s="12" t="n">
        <v>1</v>
      </c>
      <c r="I1492" s="4" t="s">
        <v>474</v>
      </c>
      <c r="J1492" s="4" t="s">
        <v>409</v>
      </c>
      <c r="K1492" s="13" t="n">
        <v>3500</v>
      </c>
      <c r="L1492" s="6" t="n">
        <f aca="false">H1492*K1492</f>
        <v>3500</v>
      </c>
      <c r="M1492" s="4" t="s">
        <v>371</v>
      </c>
    </row>
    <row r="1493" customFormat="false" ht="15" hidden="false" customHeight="false" outlineLevel="0" collapsed="false">
      <c r="A1493" s="4" t="s">
        <v>272</v>
      </c>
      <c r="B1493" s="5" t="s">
        <v>279</v>
      </c>
      <c r="C1493" s="5" t="s">
        <v>280</v>
      </c>
      <c r="D1493" s="4" t="s">
        <v>22</v>
      </c>
      <c r="E1493" s="4" t="s">
        <v>2435</v>
      </c>
      <c r="F1493" s="4" t="s">
        <v>488</v>
      </c>
      <c r="G1493" s="4" t="s">
        <v>2436</v>
      </c>
      <c r="H1493" s="12" t="n">
        <v>20</v>
      </c>
      <c r="I1493" s="4" t="s">
        <v>2404</v>
      </c>
      <c r="J1493" s="4" t="s">
        <v>416</v>
      </c>
      <c r="K1493" s="13" t="n">
        <v>350</v>
      </c>
      <c r="L1493" s="6" t="n">
        <f aca="false">H1493*K1493</f>
        <v>7000</v>
      </c>
      <c r="M1493" s="4" t="s">
        <v>371</v>
      </c>
    </row>
    <row r="1494" customFormat="false" ht="15" hidden="false" customHeight="false" outlineLevel="0" collapsed="false">
      <c r="A1494" s="4" t="s">
        <v>272</v>
      </c>
      <c r="B1494" s="5" t="s">
        <v>279</v>
      </c>
      <c r="C1494" s="5" t="s">
        <v>280</v>
      </c>
      <c r="D1494" s="4" t="s">
        <v>22</v>
      </c>
      <c r="E1494" s="4" t="s">
        <v>2437</v>
      </c>
      <c r="F1494" s="4" t="s">
        <v>488</v>
      </c>
      <c r="G1494" s="4" t="s">
        <v>2438</v>
      </c>
      <c r="H1494" s="12" t="n">
        <v>20</v>
      </c>
      <c r="I1494" s="4" t="s">
        <v>2404</v>
      </c>
      <c r="J1494" s="4" t="s">
        <v>409</v>
      </c>
      <c r="K1494" s="13" t="n">
        <v>25</v>
      </c>
      <c r="L1494" s="6" t="n">
        <f aca="false">H1494*K1494</f>
        <v>500</v>
      </c>
      <c r="M1494" s="4" t="s">
        <v>371</v>
      </c>
    </row>
    <row r="1495" customFormat="false" ht="15" hidden="false" customHeight="false" outlineLevel="0" collapsed="false">
      <c r="A1495" s="4" t="s">
        <v>272</v>
      </c>
      <c r="B1495" s="5" t="s">
        <v>279</v>
      </c>
      <c r="C1495" s="5" t="s">
        <v>280</v>
      </c>
      <c r="D1495" s="4" t="s">
        <v>22</v>
      </c>
      <c r="E1495" s="4" t="s">
        <v>2439</v>
      </c>
      <c r="F1495" s="4" t="s">
        <v>488</v>
      </c>
      <c r="G1495" s="4" t="s">
        <v>2440</v>
      </c>
      <c r="H1495" s="12" t="n">
        <v>20</v>
      </c>
      <c r="I1495" s="4" t="s">
        <v>2404</v>
      </c>
      <c r="J1495" s="4" t="s">
        <v>409</v>
      </c>
      <c r="K1495" s="13" t="n">
        <v>10</v>
      </c>
      <c r="L1495" s="6" t="n">
        <f aca="false">H1495*K1495</f>
        <v>200</v>
      </c>
      <c r="M1495" s="4" t="s">
        <v>371</v>
      </c>
    </row>
    <row r="1496" customFormat="false" ht="15" hidden="false" customHeight="false" outlineLevel="0" collapsed="false">
      <c r="A1496" s="4" t="s">
        <v>272</v>
      </c>
      <c r="B1496" s="5" t="s">
        <v>279</v>
      </c>
      <c r="C1496" s="5" t="s">
        <v>280</v>
      </c>
      <c r="D1496" s="4" t="s">
        <v>22</v>
      </c>
      <c r="E1496" s="4" t="s">
        <v>2441</v>
      </c>
      <c r="F1496" s="4" t="s">
        <v>488</v>
      </c>
      <c r="G1496" s="4" t="s">
        <v>2442</v>
      </c>
      <c r="H1496" s="12" t="n">
        <v>20</v>
      </c>
      <c r="I1496" s="4" t="s">
        <v>2404</v>
      </c>
      <c r="J1496" s="4" t="s">
        <v>506</v>
      </c>
      <c r="K1496" s="13" t="n">
        <v>250</v>
      </c>
      <c r="L1496" s="6" t="n">
        <f aca="false">H1496*K1496</f>
        <v>5000</v>
      </c>
      <c r="M1496" s="4" t="s">
        <v>371</v>
      </c>
    </row>
    <row r="1497" customFormat="false" ht="15" hidden="false" customHeight="false" outlineLevel="0" collapsed="false">
      <c r="A1497" s="4" t="s">
        <v>272</v>
      </c>
      <c r="B1497" s="5" t="s">
        <v>279</v>
      </c>
      <c r="C1497" s="5" t="s">
        <v>280</v>
      </c>
      <c r="D1497" s="4" t="s">
        <v>22</v>
      </c>
      <c r="E1497" s="4" t="s">
        <v>2443</v>
      </c>
      <c r="F1497" s="4" t="s">
        <v>488</v>
      </c>
      <c r="G1497" s="4" t="s">
        <v>2444</v>
      </c>
      <c r="H1497" s="12" t="n">
        <v>20</v>
      </c>
      <c r="I1497" s="4" t="s">
        <v>2404</v>
      </c>
      <c r="J1497" s="4" t="s">
        <v>416</v>
      </c>
      <c r="K1497" s="13" t="n">
        <v>180</v>
      </c>
      <c r="L1497" s="6" t="n">
        <f aca="false">H1497*K1497</f>
        <v>3600</v>
      </c>
      <c r="M1497" s="4" t="s">
        <v>371</v>
      </c>
    </row>
    <row r="1498" customFormat="false" ht="15" hidden="false" customHeight="false" outlineLevel="0" collapsed="false">
      <c r="A1498" s="4" t="s">
        <v>272</v>
      </c>
      <c r="B1498" s="5" t="s">
        <v>279</v>
      </c>
      <c r="C1498" s="5" t="s">
        <v>280</v>
      </c>
      <c r="D1498" s="4" t="s">
        <v>22</v>
      </c>
      <c r="E1498" s="4" t="s">
        <v>2445</v>
      </c>
      <c r="F1498" s="4" t="s">
        <v>488</v>
      </c>
      <c r="G1498" s="4" t="s">
        <v>2446</v>
      </c>
      <c r="H1498" s="12" t="n">
        <v>20</v>
      </c>
      <c r="I1498" s="4" t="s">
        <v>2404</v>
      </c>
      <c r="J1498" s="4" t="s">
        <v>506</v>
      </c>
      <c r="K1498" s="13" t="n">
        <v>120</v>
      </c>
      <c r="L1498" s="6" t="n">
        <f aca="false">H1498*K1498</f>
        <v>2400</v>
      </c>
      <c r="M1498" s="4" t="s">
        <v>371</v>
      </c>
    </row>
    <row r="1499" customFormat="false" ht="15" hidden="false" customHeight="false" outlineLevel="0" collapsed="false">
      <c r="A1499" s="4" t="s">
        <v>272</v>
      </c>
      <c r="B1499" s="5" t="s">
        <v>279</v>
      </c>
      <c r="C1499" s="5" t="s">
        <v>280</v>
      </c>
      <c r="D1499" s="4" t="s">
        <v>22</v>
      </c>
      <c r="E1499" s="4" t="s">
        <v>2447</v>
      </c>
      <c r="F1499" s="4" t="s">
        <v>488</v>
      </c>
      <c r="G1499" s="4" t="s">
        <v>2448</v>
      </c>
      <c r="H1499" s="12" t="n">
        <v>20</v>
      </c>
      <c r="I1499" s="4" t="s">
        <v>2404</v>
      </c>
      <c r="J1499" s="4" t="s">
        <v>416</v>
      </c>
      <c r="K1499" s="13" t="n">
        <v>250</v>
      </c>
      <c r="L1499" s="6" t="n">
        <f aca="false">H1499*K1499</f>
        <v>5000</v>
      </c>
      <c r="M1499" s="4" t="s">
        <v>371</v>
      </c>
    </row>
    <row r="1500" customFormat="false" ht="15" hidden="false" customHeight="false" outlineLevel="0" collapsed="false">
      <c r="A1500" s="4" t="s">
        <v>283</v>
      </c>
      <c r="B1500" s="5" t="s">
        <v>292</v>
      </c>
      <c r="C1500" s="5" t="s">
        <v>293</v>
      </c>
      <c r="D1500" s="4" t="s">
        <v>22</v>
      </c>
      <c r="E1500" s="4" t="s">
        <v>2225</v>
      </c>
      <c r="F1500" s="4" t="s">
        <v>406</v>
      </c>
      <c r="G1500" s="4" t="s">
        <v>2226</v>
      </c>
      <c r="H1500" s="12" t="n">
        <v>1</v>
      </c>
      <c r="I1500" s="4" t="s">
        <v>408</v>
      </c>
      <c r="J1500" s="4" t="s">
        <v>409</v>
      </c>
      <c r="K1500" s="13" t="n">
        <v>350</v>
      </c>
      <c r="L1500" s="6" t="n">
        <f aca="false">H1500*K1500</f>
        <v>350</v>
      </c>
      <c r="M1500" s="14" t="s">
        <v>410</v>
      </c>
    </row>
    <row r="1501" customFormat="false" ht="15" hidden="false" customHeight="false" outlineLevel="0" collapsed="false">
      <c r="A1501" s="4" t="s">
        <v>283</v>
      </c>
      <c r="B1501" s="5" t="s">
        <v>292</v>
      </c>
      <c r="C1501" s="5" t="s">
        <v>293</v>
      </c>
      <c r="D1501" s="4" t="s">
        <v>22</v>
      </c>
      <c r="E1501" s="4" t="s">
        <v>2339</v>
      </c>
      <c r="F1501" s="4" t="s">
        <v>406</v>
      </c>
      <c r="G1501" s="4" t="s">
        <v>2340</v>
      </c>
      <c r="H1501" s="12" t="n">
        <v>1</v>
      </c>
      <c r="I1501" s="4" t="s">
        <v>408</v>
      </c>
      <c r="J1501" s="4" t="s">
        <v>416</v>
      </c>
      <c r="K1501" s="13" t="n">
        <v>8500</v>
      </c>
      <c r="L1501" s="6" t="n">
        <f aca="false">H1501*K1501</f>
        <v>8500</v>
      </c>
      <c r="M1501" s="14" t="s">
        <v>410</v>
      </c>
    </row>
    <row r="1502" customFormat="false" ht="15" hidden="false" customHeight="false" outlineLevel="0" collapsed="false">
      <c r="A1502" s="4" t="s">
        <v>283</v>
      </c>
      <c r="B1502" s="5" t="s">
        <v>292</v>
      </c>
      <c r="C1502" s="5" t="s">
        <v>293</v>
      </c>
      <c r="D1502" s="4" t="s">
        <v>22</v>
      </c>
      <c r="E1502" s="4" t="s">
        <v>2257</v>
      </c>
      <c r="F1502" s="4" t="s">
        <v>406</v>
      </c>
      <c r="G1502" s="4" t="s">
        <v>2258</v>
      </c>
      <c r="H1502" s="12" t="n">
        <v>1</v>
      </c>
      <c r="I1502" s="4" t="s">
        <v>408</v>
      </c>
      <c r="J1502" s="4" t="s">
        <v>409</v>
      </c>
      <c r="K1502" s="13" t="n">
        <v>6500</v>
      </c>
      <c r="L1502" s="6" t="n">
        <f aca="false">H1502*K1502</f>
        <v>6500</v>
      </c>
      <c r="M1502" s="14" t="s">
        <v>410</v>
      </c>
    </row>
    <row r="1503" customFormat="false" ht="15" hidden="false" customHeight="false" outlineLevel="0" collapsed="false">
      <c r="A1503" s="4" t="s">
        <v>283</v>
      </c>
      <c r="B1503" s="5" t="s">
        <v>292</v>
      </c>
      <c r="C1503" s="5" t="s">
        <v>293</v>
      </c>
      <c r="D1503" s="4" t="s">
        <v>22</v>
      </c>
      <c r="E1503" s="4" t="s">
        <v>2259</v>
      </c>
      <c r="F1503" s="4" t="s">
        <v>406</v>
      </c>
      <c r="G1503" s="4" t="s">
        <v>2260</v>
      </c>
      <c r="H1503" s="12" t="n">
        <v>1</v>
      </c>
      <c r="I1503" s="4" t="s">
        <v>408</v>
      </c>
      <c r="J1503" s="4" t="s">
        <v>409</v>
      </c>
      <c r="K1503" s="13" t="n">
        <v>85000</v>
      </c>
      <c r="L1503" s="6" t="n">
        <f aca="false">H1503*K1503</f>
        <v>85000</v>
      </c>
      <c r="M1503" s="14" t="s">
        <v>410</v>
      </c>
    </row>
    <row r="1504" customFormat="false" ht="15" hidden="false" customHeight="false" outlineLevel="0" collapsed="false">
      <c r="A1504" s="4" t="s">
        <v>283</v>
      </c>
      <c r="B1504" s="5" t="s">
        <v>292</v>
      </c>
      <c r="C1504" s="5" t="s">
        <v>293</v>
      </c>
      <c r="D1504" s="4" t="s">
        <v>22</v>
      </c>
      <c r="E1504" s="4" t="s">
        <v>2261</v>
      </c>
      <c r="F1504" s="4" t="s">
        <v>406</v>
      </c>
      <c r="G1504" s="4" t="s">
        <v>2262</v>
      </c>
      <c r="H1504" s="12" t="n">
        <v>1</v>
      </c>
      <c r="I1504" s="4" t="s">
        <v>408</v>
      </c>
      <c r="J1504" s="4" t="s">
        <v>409</v>
      </c>
      <c r="K1504" s="13" t="n">
        <v>18000</v>
      </c>
      <c r="L1504" s="6" t="n">
        <f aca="false">H1504*K1504</f>
        <v>18000</v>
      </c>
      <c r="M1504" s="14" t="s">
        <v>410</v>
      </c>
    </row>
    <row r="1505" customFormat="false" ht="15" hidden="false" customHeight="false" outlineLevel="0" collapsed="false">
      <c r="A1505" s="4" t="s">
        <v>283</v>
      </c>
      <c r="B1505" s="5" t="s">
        <v>292</v>
      </c>
      <c r="C1505" s="5" t="s">
        <v>293</v>
      </c>
      <c r="D1505" s="4" t="s">
        <v>22</v>
      </c>
      <c r="E1505" s="4" t="s">
        <v>2263</v>
      </c>
      <c r="F1505" s="4" t="s">
        <v>406</v>
      </c>
      <c r="G1505" s="4" t="s">
        <v>2264</v>
      </c>
      <c r="H1505" s="12" t="n">
        <v>1</v>
      </c>
      <c r="I1505" s="4" t="s">
        <v>408</v>
      </c>
      <c r="J1505" s="4" t="s">
        <v>409</v>
      </c>
      <c r="K1505" s="13" t="n">
        <v>25000</v>
      </c>
      <c r="L1505" s="6" t="n">
        <f aca="false">H1505*K1505</f>
        <v>25000</v>
      </c>
      <c r="M1505" s="4" t="s">
        <v>371</v>
      </c>
    </row>
    <row r="1506" customFormat="false" ht="15" hidden="false" customHeight="false" outlineLevel="0" collapsed="false">
      <c r="A1506" s="4" t="s">
        <v>283</v>
      </c>
      <c r="B1506" s="5" t="s">
        <v>292</v>
      </c>
      <c r="C1506" s="5" t="s">
        <v>293</v>
      </c>
      <c r="D1506" s="4" t="s">
        <v>22</v>
      </c>
      <c r="E1506" s="4" t="s">
        <v>2449</v>
      </c>
      <c r="F1506" s="4" t="s">
        <v>470</v>
      </c>
      <c r="G1506" s="4" t="s">
        <v>2450</v>
      </c>
      <c r="H1506" s="12" t="n">
        <v>1</v>
      </c>
      <c r="I1506" s="4" t="s">
        <v>408</v>
      </c>
      <c r="J1506" s="4" t="s">
        <v>409</v>
      </c>
      <c r="K1506" s="13" t="n">
        <v>8500</v>
      </c>
      <c r="L1506" s="6" t="n">
        <f aca="false">H1506*K1506</f>
        <v>8500</v>
      </c>
      <c r="M1506" s="4" t="s">
        <v>371</v>
      </c>
    </row>
    <row r="1507" customFormat="false" ht="15" hidden="false" customHeight="false" outlineLevel="0" collapsed="false">
      <c r="A1507" s="4" t="s">
        <v>283</v>
      </c>
      <c r="B1507" s="5" t="s">
        <v>292</v>
      </c>
      <c r="C1507" s="5" t="s">
        <v>293</v>
      </c>
      <c r="D1507" s="4" t="s">
        <v>22</v>
      </c>
      <c r="E1507" s="4" t="s">
        <v>2271</v>
      </c>
      <c r="F1507" s="4" t="s">
        <v>470</v>
      </c>
      <c r="G1507" s="4" t="s">
        <v>2272</v>
      </c>
      <c r="H1507" s="12" t="n">
        <v>1</v>
      </c>
      <c r="I1507" s="4" t="s">
        <v>408</v>
      </c>
      <c r="J1507" s="4" t="s">
        <v>409</v>
      </c>
      <c r="K1507" s="13" t="n">
        <v>4500</v>
      </c>
      <c r="L1507" s="6" t="n">
        <f aca="false">H1507*K1507</f>
        <v>4500</v>
      </c>
      <c r="M1507" s="14" t="s">
        <v>410</v>
      </c>
    </row>
    <row r="1508" customFormat="false" ht="15" hidden="false" customHeight="false" outlineLevel="0" collapsed="false">
      <c r="A1508" s="4" t="s">
        <v>283</v>
      </c>
      <c r="B1508" s="5" t="s">
        <v>292</v>
      </c>
      <c r="C1508" s="5" t="s">
        <v>293</v>
      </c>
      <c r="D1508" s="4" t="s">
        <v>22</v>
      </c>
      <c r="E1508" s="4" t="s">
        <v>2273</v>
      </c>
      <c r="F1508" s="4" t="s">
        <v>470</v>
      </c>
      <c r="G1508" s="4" t="s">
        <v>2274</v>
      </c>
      <c r="H1508" s="12" t="n">
        <v>1</v>
      </c>
      <c r="I1508" s="4" t="s">
        <v>408</v>
      </c>
      <c r="J1508" s="4" t="s">
        <v>409</v>
      </c>
      <c r="K1508" s="13" t="n">
        <v>25000</v>
      </c>
      <c r="L1508" s="6" t="n">
        <f aca="false">H1508*K1508</f>
        <v>25000</v>
      </c>
      <c r="M1508" s="14" t="s">
        <v>410</v>
      </c>
    </row>
    <row r="1509" customFormat="false" ht="15" hidden="false" customHeight="false" outlineLevel="0" collapsed="false">
      <c r="A1509" s="4" t="s">
        <v>283</v>
      </c>
      <c r="B1509" s="5" t="s">
        <v>292</v>
      </c>
      <c r="C1509" s="5" t="s">
        <v>293</v>
      </c>
      <c r="D1509" s="4" t="s">
        <v>22</v>
      </c>
      <c r="E1509" s="4" t="s">
        <v>2163</v>
      </c>
      <c r="F1509" s="4" t="s">
        <v>470</v>
      </c>
      <c r="G1509" s="4" t="s">
        <v>2164</v>
      </c>
      <c r="H1509" s="12" t="n">
        <v>1</v>
      </c>
      <c r="I1509" s="4" t="s">
        <v>408</v>
      </c>
      <c r="J1509" s="4" t="s">
        <v>409</v>
      </c>
      <c r="K1509" s="13" t="n">
        <v>35000</v>
      </c>
      <c r="L1509" s="6" t="n">
        <f aca="false">H1509*K1509</f>
        <v>35000</v>
      </c>
      <c r="M1509" s="14" t="s">
        <v>410</v>
      </c>
    </row>
    <row r="1510" customFormat="false" ht="15" hidden="false" customHeight="false" outlineLevel="0" collapsed="false">
      <c r="A1510" s="4" t="s">
        <v>283</v>
      </c>
      <c r="B1510" s="5" t="s">
        <v>292</v>
      </c>
      <c r="C1510" s="5" t="s">
        <v>293</v>
      </c>
      <c r="D1510" s="4" t="s">
        <v>22</v>
      </c>
      <c r="E1510" s="4" t="s">
        <v>1058</v>
      </c>
      <c r="F1510" s="4" t="s">
        <v>470</v>
      </c>
      <c r="G1510" s="4" t="s">
        <v>1059</v>
      </c>
      <c r="H1510" s="12" t="n">
        <v>1</v>
      </c>
      <c r="I1510" s="4" t="s">
        <v>408</v>
      </c>
      <c r="J1510" s="4" t="s">
        <v>409</v>
      </c>
      <c r="K1510" s="13" t="n">
        <v>45000</v>
      </c>
      <c r="L1510" s="6" t="n">
        <f aca="false">H1510*K1510</f>
        <v>45000</v>
      </c>
      <c r="M1510" s="14" t="s">
        <v>410</v>
      </c>
    </row>
    <row r="1511" customFormat="false" ht="15" hidden="false" customHeight="false" outlineLevel="0" collapsed="false">
      <c r="A1511" s="4" t="s">
        <v>283</v>
      </c>
      <c r="B1511" s="5" t="s">
        <v>292</v>
      </c>
      <c r="C1511" s="5" t="s">
        <v>293</v>
      </c>
      <c r="D1511" s="4" t="s">
        <v>22</v>
      </c>
      <c r="E1511" s="4" t="s">
        <v>2451</v>
      </c>
      <c r="F1511" s="4" t="s">
        <v>470</v>
      </c>
      <c r="G1511" s="4" t="s">
        <v>2452</v>
      </c>
      <c r="H1511" s="12" t="n">
        <v>1</v>
      </c>
      <c r="I1511" s="4" t="s">
        <v>408</v>
      </c>
      <c r="J1511" s="4" t="s">
        <v>409</v>
      </c>
      <c r="K1511" s="13" t="n">
        <v>8500</v>
      </c>
      <c r="L1511" s="6" t="n">
        <f aca="false">H1511*K1511</f>
        <v>8500</v>
      </c>
      <c r="M1511" s="4" t="s">
        <v>371</v>
      </c>
    </row>
    <row r="1512" customFormat="false" ht="15" hidden="false" customHeight="false" outlineLevel="0" collapsed="false">
      <c r="A1512" s="4" t="s">
        <v>283</v>
      </c>
      <c r="B1512" s="5" t="s">
        <v>292</v>
      </c>
      <c r="C1512" s="5" t="s">
        <v>293</v>
      </c>
      <c r="D1512" s="4" t="s">
        <v>22</v>
      </c>
      <c r="E1512" s="4" t="s">
        <v>2453</v>
      </c>
      <c r="F1512" s="4" t="s">
        <v>470</v>
      </c>
      <c r="G1512" s="4" t="s">
        <v>2454</v>
      </c>
      <c r="H1512" s="12" t="n">
        <v>1</v>
      </c>
      <c r="I1512" s="4" t="s">
        <v>408</v>
      </c>
      <c r="J1512" s="4" t="s">
        <v>409</v>
      </c>
      <c r="K1512" s="13" t="n">
        <v>18000</v>
      </c>
      <c r="L1512" s="6" t="n">
        <f aca="false">H1512*K1512</f>
        <v>18000</v>
      </c>
      <c r="M1512" s="4" t="s">
        <v>371</v>
      </c>
    </row>
    <row r="1513" customFormat="false" ht="15" hidden="false" customHeight="false" outlineLevel="0" collapsed="false">
      <c r="A1513" s="4" t="s">
        <v>283</v>
      </c>
      <c r="B1513" s="5" t="s">
        <v>292</v>
      </c>
      <c r="C1513" s="5" t="s">
        <v>293</v>
      </c>
      <c r="D1513" s="4" t="s">
        <v>22</v>
      </c>
      <c r="E1513" s="4" t="s">
        <v>2455</v>
      </c>
      <c r="F1513" s="4" t="s">
        <v>470</v>
      </c>
      <c r="G1513" s="4" t="s">
        <v>2456</v>
      </c>
      <c r="H1513" s="12" t="n">
        <v>1</v>
      </c>
      <c r="I1513" s="4" t="s">
        <v>408</v>
      </c>
      <c r="J1513" s="4" t="s">
        <v>409</v>
      </c>
      <c r="K1513" s="13" t="n">
        <v>25000</v>
      </c>
      <c r="L1513" s="6" t="n">
        <f aca="false">H1513*K1513</f>
        <v>25000</v>
      </c>
      <c r="M1513" s="4" t="s">
        <v>371</v>
      </c>
    </row>
    <row r="1514" customFormat="false" ht="15" hidden="false" customHeight="false" outlineLevel="0" collapsed="false">
      <c r="A1514" s="4" t="s">
        <v>283</v>
      </c>
      <c r="B1514" s="5" t="s">
        <v>292</v>
      </c>
      <c r="C1514" s="5" t="s">
        <v>293</v>
      </c>
      <c r="D1514" s="4" t="s">
        <v>22</v>
      </c>
      <c r="E1514" s="4" t="s">
        <v>1089</v>
      </c>
      <c r="F1514" s="4" t="s">
        <v>470</v>
      </c>
      <c r="G1514" s="4" t="s">
        <v>1090</v>
      </c>
      <c r="H1514" s="12" t="n">
        <v>1</v>
      </c>
      <c r="I1514" s="4" t="s">
        <v>408</v>
      </c>
      <c r="J1514" s="4" t="s">
        <v>409</v>
      </c>
      <c r="K1514" s="13" t="n">
        <v>3500</v>
      </c>
      <c r="L1514" s="6" t="n">
        <f aca="false">H1514*K1514</f>
        <v>3500</v>
      </c>
      <c r="M1514" s="4" t="s">
        <v>371</v>
      </c>
    </row>
    <row r="1515" customFormat="false" ht="15" hidden="false" customHeight="false" outlineLevel="0" collapsed="false">
      <c r="A1515" s="4" t="s">
        <v>283</v>
      </c>
      <c r="B1515" s="5" t="s">
        <v>292</v>
      </c>
      <c r="C1515" s="5" t="s">
        <v>293</v>
      </c>
      <c r="D1515" s="4" t="s">
        <v>22</v>
      </c>
      <c r="E1515" s="4" t="s">
        <v>2289</v>
      </c>
      <c r="F1515" s="4" t="s">
        <v>470</v>
      </c>
      <c r="G1515" s="4" t="s">
        <v>2290</v>
      </c>
      <c r="H1515" s="12" t="n">
        <v>1</v>
      </c>
      <c r="I1515" s="4" t="s">
        <v>408</v>
      </c>
      <c r="J1515" s="4" t="s">
        <v>409</v>
      </c>
      <c r="K1515" s="13" t="n">
        <v>2500</v>
      </c>
      <c r="L1515" s="6" t="n">
        <f aca="false">H1515*K1515</f>
        <v>2500</v>
      </c>
      <c r="M1515" s="4" t="s">
        <v>371</v>
      </c>
    </row>
    <row r="1516" customFormat="false" ht="15" hidden="false" customHeight="false" outlineLevel="0" collapsed="false">
      <c r="A1516" s="4" t="s">
        <v>283</v>
      </c>
      <c r="B1516" s="5" t="s">
        <v>292</v>
      </c>
      <c r="C1516" s="5" t="s">
        <v>293</v>
      </c>
      <c r="D1516" s="4" t="s">
        <v>22</v>
      </c>
      <c r="E1516" s="4" t="s">
        <v>2457</v>
      </c>
      <c r="F1516" s="4" t="s">
        <v>470</v>
      </c>
      <c r="G1516" s="4" t="s">
        <v>2458</v>
      </c>
      <c r="H1516" s="12" t="n">
        <v>1</v>
      </c>
      <c r="I1516" s="4" t="s">
        <v>408</v>
      </c>
      <c r="J1516" s="4" t="s">
        <v>416</v>
      </c>
      <c r="K1516" s="13" t="n">
        <v>4500</v>
      </c>
      <c r="L1516" s="6" t="n">
        <f aca="false">H1516*K1516</f>
        <v>4500</v>
      </c>
      <c r="M1516" s="4" t="s">
        <v>371</v>
      </c>
    </row>
    <row r="1517" customFormat="false" ht="15" hidden="false" customHeight="false" outlineLevel="0" collapsed="false">
      <c r="A1517" s="4" t="s">
        <v>283</v>
      </c>
      <c r="B1517" s="5" t="s">
        <v>292</v>
      </c>
      <c r="C1517" s="5" t="s">
        <v>293</v>
      </c>
      <c r="D1517" s="4" t="s">
        <v>22</v>
      </c>
      <c r="E1517" s="4" t="s">
        <v>2459</v>
      </c>
      <c r="F1517" s="4" t="s">
        <v>470</v>
      </c>
      <c r="G1517" s="4" t="s">
        <v>2460</v>
      </c>
      <c r="H1517" s="12" t="n">
        <v>1</v>
      </c>
      <c r="I1517" s="4" t="s">
        <v>408</v>
      </c>
      <c r="J1517" s="4" t="s">
        <v>416</v>
      </c>
      <c r="K1517" s="13" t="n">
        <v>2500</v>
      </c>
      <c r="L1517" s="6" t="n">
        <f aca="false">H1517*K1517</f>
        <v>2500</v>
      </c>
      <c r="M1517" s="4" t="s">
        <v>371</v>
      </c>
    </row>
    <row r="1518" customFormat="false" ht="15" hidden="false" customHeight="false" outlineLevel="0" collapsed="false">
      <c r="A1518" s="4" t="s">
        <v>283</v>
      </c>
      <c r="B1518" s="5" t="s">
        <v>292</v>
      </c>
      <c r="C1518" s="5" t="s">
        <v>293</v>
      </c>
      <c r="D1518" s="4" t="s">
        <v>22</v>
      </c>
      <c r="E1518" s="4" t="s">
        <v>2301</v>
      </c>
      <c r="F1518" s="4" t="s">
        <v>470</v>
      </c>
      <c r="G1518" s="4" t="s">
        <v>2302</v>
      </c>
      <c r="H1518" s="12" t="n">
        <v>1</v>
      </c>
      <c r="I1518" s="4" t="s">
        <v>408</v>
      </c>
      <c r="J1518" s="4" t="s">
        <v>409</v>
      </c>
      <c r="K1518" s="13" t="n">
        <v>8500</v>
      </c>
      <c r="L1518" s="6" t="n">
        <f aca="false">H1518*K1518</f>
        <v>8500</v>
      </c>
      <c r="M1518" s="4" t="s">
        <v>371</v>
      </c>
    </row>
    <row r="1519" customFormat="false" ht="15" hidden="false" customHeight="false" outlineLevel="0" collapsed="false">
      <c r="A1519" s="4" t="s">
        <v>283</v>
      </c>
      <c r="B1519" s="5" t="s">
        <v>292</v>
      </c>
      <c r="C1519" s="5" t="s">
        <v>293</v>
      </c>
      <c r="D1519" s="4" t="s">
        <v>22</v>
      </c>
      <c r="E1519" s="4" t="s">
        <v>2303</v>
      </c>
      <c r="F1519" s="4" t="s">
        <v>470</v>
      </c>
      <c r="G1519" s="4" t="s">
        <v>2304</v>
      </c>
      <c r="H1519" s="12" t="n">
        <v>1</v>
      </c>
      <c r="I1519" s="4" t="s">
        <v>408</v>
      </c>
      <c r="J1519" s="4" t="s">
        <v>409</v>
      </c>
      <c r="K1519" s="13" t="n">
        <v>3500</v>
      </c>
      <c r="L1519" s="6" t="n">
        <f aca="false">H1519*K1519</f>
        <v>3500</v>
      </c>
      <c r="M1519" s="4" t="s">
        <v>371</v>
      </c>
    </row>
    <row r="1520" customFormat="false" ht="15" hidden="false" customHeight="false" outlineLevel="0" collapsed="false">
      <c r="A1520" s="4" t="s">
        <v>283</v>
      </c>
      <c r="B1520" s="5" t="s">
        <v>292</v>
      </c>
      <c r="C1520" s="5" t="s">
        <v>293</v>
      </c>
      <c r="D1520" s="4" t="s">
        <v>22</v>
      </c>
      <c r="E1520" s="4" t="s">
        <v>2305</v>
      </c>
      <c r="F1520" s="4" t="s">
        <v>470</v>
      </c>
      <c r="G1520" s="4" t="s">
        <v>2306</v>
      </c>
      <c r="H1520" s="12" t="n">
        <v>1</v>
      </c>
      <c r="I1520" s="4" t="s">
        <v>408</v>
      </c>
      <c r="J1520" s="4" t="s">
        <v>409</v>
      </c>
      <c r="K1520" s="13" t="n">
        <v>850</v>
      </c>
      <c r="L1520" s="6" t="n">
        <f aca="false">H1520*K1520</f>
        <v>850</v>
      </c>
      <c r="M1520" s="4" t="s">
        <v>371</v>
      </c>
    </row>
    <row r="1521" customFormat="false" ht="15" hidden="false" customHeight="false" outlineLevel="0" collapsed="false">
      <c r="A1521" s="4" t="s">
        <v>283</v>
      </c>
      <c r="B1521" s="5" t="s">
        <v>292</v>
      </c>
      <c r="C1521" s="5" t="s">
        <v>293</v>
      </c>
      <c r="D1521" s="4" t="s">
        <v>22</v>
      </c>
      <c r="E1521" s="4" t="s">
        <v>2461</v>
      </c>
      <c r="F1521" s="4" t="s">
        <v>488</v>
      </c>
      <c r="G1521" s="4" t="s">
        <v>2462</v>
      </c>
      <c r="H1521" s="12" t="n">
        <v>1</v>
      </c>
      <c r="I1521" s="4" t="s">
        <v>408</v>
      </c>
      <c r="J1521" s="4" t="s">
        <v>409</v>
      </c>
      <c r="K1521" s="13" t="n">
        <v>450</v>
      </c>
      <c r="L1521" s="6" t="n">
        <f aca="false">H1521*K1521</f>
        <v>450</v>
      </c>
      <c r="M1521" s="4" t="s">
        <v>371</v>
      </c>
    </row>
    <row r="1522" customFormat="false" ht="15" hidden="false" customHeight="false" outlineLevel="0" collapsed="false">
      <c r="A1522" s="4" t="s">
        <v>283</v>
      </c>
      <c r="B1522" s="5" t="s">
        <v>292</v>
      </c>
      <c r="C1522" s="5" t="s">
        <v>293</v>
      </c>
      <c r="D1522" s="4" t="s">
        <v>22</v>
      </c>
      <c r="E1522" s="4" t="s">
        <v>2463</v>
      </c>
      <c r="F1522" s="4" t="s">
        <v>488</v>
      </c>
      <c r="G1522" s="4" t="s">
        <v>2464</v>
      </c>
      <c r="H1522" s="12" t="n">
        <v>1</v>
      </c>
      <c r="I1522" s="4" t="s">
        <v>408</v>
      </c>
      <c r="J1522" s="4" t="s">
        <v>409</v>
      </c>
      <c r="K1522" s="13" t="n">
        <v>35</v>
      </c>
      <c r="L1522" s="6" t="n">
        <f aca="false">H1522*K1522</f>
        <v>35</v>
      </c>
      <c r="M1522" s="4" t="s">
        <v>371</v>
      </c>
    </row>
    <row r="1523" customFormat="false" ht="15" hidden="false" customHeight="false" outlineLevel="0" collapsed="false">
      <c r="A1523" s="4" t="s">
        <v>283</v>
      </c>
      <c r="B1523" s="5" t="s">
        <v>292</v>
      </c>
      <c r="C1523" s="5" t="s">
        <v>293</v>
      </c>
      <c r="D1523" s="4" t="s">
        <v>22</v>
      </c>
      <c r="E1523" s="4" t="s">
        <v>2465</v>
      </c>
      <c r="F1523" s="4" t="s">
        <v>488</v>
      </c>
      <c r="G1523" s="4" t="s">
        <v>2466</v>
      </c>
      <c r="H1523" s="12" t="n">
        <v>1</v>
      </c>
      <c r="I1523" s="4" t="s">
        <v>408</v>
      </c>
      <c r="J1523" s="4" t="s">
        <v>506</v>
      </c>
      <c r="K1523" s="13" t="n">
        <v>100</v>
      </c>
      <c r="L1523" s="6" t="n">
        <f aca="false">H1523*K1523</f>
        <v>100</v>
      </c>
      <c r="M1523" s="4" t="s">
        <v>371</v>
      </c>
    </row>
    <row r="1524" customFormat="false" ht="15" hidden="false" customHeight="false" outlineLevel="0" collapsed="false">
      <c r="A1524" s="4" t="s">
        <v>283</v>
      </c>
      <c r="B1524" s="5" t="s">
        <v>292</v>
      </c>
      <c r="C1524" s="5" t="s">
        <v>293</v>
      </c>
      <c r="D1524" s="4" t="s">
        <v>22</v>
      </c>
      <c r="E1524" s="4" t="s">
        <v>2467</v>
      </c>
      <c r="F1524" s="4" t="s">
        <v>488</v>
      </c>
      <c r="G1524" s="4" t="s">
        <v>2468</v>
      </c>
      <c r="H1524" s="12" t="n">
        <v>1</v>
      </c>
      <c r="I1524" s="4" t="s">
        <v>408</v>
      </c>
      <c r="J1524" s="4" t="s">
        <v>409</v>
      </c>
      <c r="K1524" s="13" t="n">
        <v>15</v>
      </c>
      <c r="L1524" s="6" t="n">
        <f aca="false">H1524*K1524</f>
        <v>15</v>
      </c>
      <c r="M1524" s="4" t="s">
        <v>371</v>
      </c>
    </row>
    <row r="1525" customFormat="false" ht="15" hidden="false" customHeight="false" outlineLevel="0" collapsed="false">
      <c r="A1525" s="4" t="s">
        <v>283</v>
      </c>
      <c r="B1525" s="5" t="s">
        <v>292</v>
      </c>
      <c r="C1525" s="5" t="s">
        <v>293</v>
      </c>
      <c r="D1525" s="4" t="s">
        <v>22</v>
      </c>
      <c r="E1525" s="4" t="s">
        <v>2469</v>
      </c>
      <c r="F1525" s="4" t="s">
        <v>488</v>
      </c>
      <c r="G1525" s="4" t="s">
        <v>2470</v>
      </c>
      <c r="H1525" s="12" t="n">
        <v>1</v>
      </c>
      <c r="I1525" s="4" t="s">
        <v>408</v>
      </c>
      <c r="J1525" s="4" t="s">
        <v>409</v>
      </c>
      <c r="K1525" s="13" t="n">
        <v>10</v>
      </c>
      <c r="L1525" s="6" t="n">
        <f aca="false">H1525*K1525</f>
        <v>10</v>
      </c>
      <c r="M1525" s="4" t="s">
        <v>371</v>
      </c>
    </row>
    <row r="1526" customFormat="false" ht="15" hidden="false" customHeight="false" outlineLevel="0" collapsed="false">
      <c r="A1526" s="4" t="s">
        <v>283</v>
      </c>
      <c r="B1526" s="5" t="s">
        <v>292</v>
      </c>
      <c r="C1526" s="5" t="s">
        <v>293</v>
      </c>
      <c r="D1526" s="4" t="s">
        <v>22</v>
      </c>
      <c r="E1526" s="4" t="s">
        <v>2471</v>
      </c>
      <c r="F1526" s="4" t="s">
        <v>488</v>
      </c>
      <c r="G1526" s="4" t="s">
        <v>2472</v>
      </c>
      <c r="H1526" s="12" t="n">
        <v>1</v>
      </c>
      <c r="I1526" s="4" t="s">
        <v>408</v>
      </c>
      <c r="J1526" s="4" t="s">
        <v>506</v>
      </c>
      <c r="K1526" s="13" t="n">
        <v>120</v>
      </c>
      <c r="L1526" s="6" t="n">
        <f aca="false">H1526*K1526</f>
        <v>120</v>
      </c>
      <c r="M1526" s="4" t="s">
        <v>371</v>
      </c>
    </row>
    <row r="1527" customFormat="false" ht="15" hidden="false" customHeight="false" outlineLevel="0" collapsed="false">
      <c r="A1527" s="4" t="s">
        <v>283</v>
      </c>
      <c r="B1527" s="5" t="s">
        <v>292</v>
      </c>
      <c r="C1527" s="5" t="s">
        <v>293</v>
      </c>
      <c r="D1527" s="4" t="s">
        <v>22</v>
      </c>
      <c r="E1527" s="4" t="s">
        <v>2325</v>
      </c>
      <c r="F1527" s="4" t="s">
        <v>488</v>
      </c>
      <c r="G1527" s="4" t="s">
        <v>2326</v>
      </c>
      <c r="H1527" s="12" t="n">
        <v>1</v>
      </c>
      <c r="I1527" s="4" t="s">
        <v>408</v>
      </c>
      <c r="J1527" s="4" t="s">
        <v>416</v>
      </c>
      <c r="K1527" s="13" t="n">
        <v>650</v>
      </c>
      <c r="L1527" s="6" t="n">
        <f aca="false">H1527*K1527</f>
        <v>650</v>
      </c>
      <c r="M1527" s="4" t="s">
        <v>371</v>
      </c>
    </row>
    <row r="1528" customFormat="false" ht="15" hidden="false" customHeight="false" outlineLevel="0" collapsed="false">
      <c r="A1528" s="4" t="s">
        <v>283</v>
      </c>
      <c r="B1528" s="5" t="s">
        <v>292</v>
      </c>
      <c r="C1528" s="5" t="s">
        <v>293</v>
      </c>
      <c r="D1528" s="4" t="s">
        <v>22</v>
      </c>
      <c r="E1528" s="4" t="s">
        <v>2327</v>
      </c>
      <c r="F1528" s="4" t="s">
        <v>488</v>
      </c>
      <c r="G1528" s="4" t="s">
        <v>2328</v>
      </c>
      <c r="H1528" s="12" t="n">
        <v>1</v>
      </c>
      <c r="I1528" s="4" t="s">
        <v>408</v>
      </c>
      <c r="J1528" s="4" t="s">
        <v>506</v>
      </c>
      <c r="K1528" s="13" t="n">
        <v>450</v>
      </c>
      <c r="L1528" s="6" t="n">
        <f aca="false">H1528*K1528</f>
        <v>450</v>
      </c>
      <c r="M1528" s="4" t="s">
        <v>371</v>
      </c>
    </row>
    <row r="1529" customFormat="false" ht="15" hidden="false" customHeight="false" outlineLevel="0" collapsed="false">
      <c r="A1529" s="4" t="s">
        <v>283</v>
      </c>
      <c r="B1529" s="5" t="s">
        <v>292</v>
      </c>
      <c r="C1529" s="5" t="s">
        <v>293</v>
      </c>
      <c r="D1529" s="4" t="s">
        <v>22</v>
      </c>
      <c r="E1529" s="4" t="s">
        <v>2473</v>
      </c>
      <c r="F1529" s="4" t="s">
        <v>470</v>
      </c>
      <c r="G1529" s="4" t="s">
        <v>2474</v>
      </c>
      <c r="H1529" s="12" t="n">
        <v>1</v>
      </c>
      <c r="I1529" s="4" t="s">
        <v>408</v>
      </c>
      <c r="J1529" s="4" t="s">
        <v>409</v>
      </c>
      <c r="K1529" s="13" t="n">
        <v>3500</v>
      </c>
      <c r="L1529" s="6" t="n">
        <f aca="false">H1529*K1529</f>
        <v>3500</v>
      </c>
      <c r="M1529" s="4" t="s">
        <v>371</v>
      </c>
    </row>
    <row r="1530" customFormat="false" ht="15" hidden="false" customHeight="false" outlineLevel="0" collapsed="false">
      <c r="A1530" s="4" t="s">
        <v>283</v>
      </c>
      <c r="B1530" s="5" t="s">
        <v>292</v>
      </c>
      <c r="C1530" s="5" t="s">
        <v>293</v>
      </c>
      <c r="D1530" s="4" t="s">
        <v>22</v>
      </c>
      <c r="E1530" s="4" t="s">
        <v>2475</v>
      </c>
      <c r="F1530" s="4" t="s">
        <v>470</v>
      </c>
      <c r="G1530" s="4" t="s">
        <v>2476</v>
      </c>
      <c r="H1530" s="12" t="n">
        <v>1</v>
      </c>
      <c r="I1530" s="4" t="s">
        <v>408</v>
      </c>
      <c r="J1530" s="4" t="s">
        <v>409</v>
      </c>
      <c r="K1530" s="13" t="n">
        <v>850</v>
      </c>
      <c r="L1530" s="6" t="n">
        <f aca="false">H1530*K1530</f>
        <v>850</v>
      </c>
      <c r="M1530" s="4" t="s">
        <v>371</v>
      </c>
    </row>
    <row r="1531" customFormat="false" ht="15" hidden="false" customHeight="false" outlineLevel="0" collapsed="false">
      <c r="A1531" s="4" t="s">
        <v>283</v>
      </c>
      <c r="B1531" s="5" t="s">
        <v>298</v>
      </c>
      <c r="C1531" s="5" t="s">
        <v>299</v>
      </c>
      <c r="D1531" s="4" t="s">
        <v>22</v>
      </c>
      <c r="E1531" s="4" t="s">
        <v>2225</v>
      </c>
      <c r="F1531" s="4" t="s">
        <v>406</v>
      </c>
      <c r="G1531" s="4" t="s">
        <v>2226</v>
      </c>
      <c r="H1531" s="12" t="n">
        <v>1</v>
      </c>
      <c r="I1531" s="4" t="s">
        <v>408</v>
      </c>
      <c r="J1531" s="4" t="s">
        <v>409</v>
      </c>
      <c r="K1531" s="13" t="n">
        <v>350</v>
      </c>
      <c r="L1531" s="6" t="n">
        <f aca="false">H1531*K1531</f>
        <v>350</v>
      </c>
      <c r="M1531" s="14" t="s">
        <v>410</v>
      </c>
    </row>
    <row r="1532" customFormat="false" ht="15" hidden="false" customHeight="false" outlineLevel="0" collapsed="false">
      <c r="A1532" s="4" t="s">
        <v>283</v>
      </c>
      <c r="B1532" s="5" t="s">
        <v>298</v>
      </c>
      <c r="C1532" s="5" t="s">
        <v>299</v>
      </c>
      <c r="D1532" s="4" t="s">
        <v>22</v>
      </c>
      <c r="E1532" s="4" t="s">
        <v>2449</v>
      </c>
      <c r="F1532" s="4" t="s">
        <v>406</v>
      </c>
      <c r="G1532" s="4" t="s">
        <v>2450</v>
      </c>
      <c r="H1532" s="12" t="n">
        <v>1</v>
      </c>
      <c r="I1532" s="4" t="s">
        <v>408</v>
      </c>
      <c r="J1532" s="4" t="s">
        <v>409</v>
      </c>
      <c r="K1532" s="13" t="n">
        <v>8500</v>
      </c>
      <c r="L1532" s="6" t="n">
        <f aca="false">H1532*K1532</f>
        <v>8500</v>
      </c>
      <c r="M1532" s="4" t="s">
        <v>371</v>
      </c>
    </row>
    <row r="1533" customFormat="false" ht="15" hidden="false" customHeight="false" outlineLevel="0" collapsed="false">
      <c r="A1533" s="4" t="s">
        <v>283</v>
      </c>
      <c r="B1533" s="5" t="s">
        <v>298</v>
      </c>
      <c r="C1533" s="5" t="s">
        <v>299</v>
      </c>
      <c r="D1533" s="4" t="s">
        <v>22</v>
      </c>
      <c r="E1533" s="4" t="s">
        <v>2339</v>
      </c>
      <c r="F1533" s="4" t="s">
        <v>406</v>
      </c>
      <c r="G1533" s="4" t="s">
        <v>2340</v>
      </c>
      <c r="H1533" s="12" t="n">
        <v>1</v>
      </c>
      <c r="I1533" s="4" t="s">
        <v>408</v>
      </c>
      <c r="J1533" s="4" t="s">
        <v>416</v>
      </c>
      <c r="K1533" s="13" t="n">
        <v>8500</v>
      </c>
      <c r="L1533" s="6" t="n">
        <f aca="false">H1533*K1533</f>
        <v>8500</v>
      </c>
      <c r="M1533" s="14" t="s">
        <v>410</v>
      </c>
    </row>
    <row r="1534" customFormat="false" ht="15" hidden="false" customHeight="false" outlineLevel="0" collapsed="false">
      <c r="A1534" s="4" t="s">
        <v>283</v>
      </c>
      <c r="B1534" s="5" t="s">
        <v>298</v>
      </c>
      <c r="C1534" s="5" t="s">
        <v>299</v>
      </c>
      <c r="D1534" s="4" t="s">
        <v>22</v>
      </c>
      <c r="E1534" s="4" t="s">
        <v>2257</v>
      </c>
      <c r="F1534" s="4" t="s">
        <v>406</v>
      </c>
      <c r="G1534" s="4" t="s">
        <v>2258</v>
      </c>
      <c r="H1534" s="12" t="n">
        <v>1</v>
      </c>
      <c r="I1534" s="4" t="s">
        <v>408</v>
      </c>
      <c r="J1534" s="4" t="s">
        <v>409</v>
      </c>
      <c r="K1534" s="13" t="n">
        <v>6500</v>
      </c>
      <c r="L1534" s="6" t="n">
        <f aca="false">H1534*K1534</f>
        <v>6500</v>
      </c>
      <c r="M1534" s="14" t="s">
        <v>410</v>
      </c>
    </row>
    <row r="1535" customFormat="false" ht="15" hidden="false" customHeight="false" outlineLevel="0" collapsed="false">
      <c r="A1535" s="4" t="s">
        <v>283</v>
      </c>
      <c r="B1535" s="5" t="s">
        <v>298</v>
      </c>
      <c r="C1535" s="5" t="s">
        <v>299</v>
      </c>
      <c r="D1535" s="4" t="s">
        <v>22</v>
      </c>
      <c r="E1535" s="4" t="s">
        <v>2259</v>
      </c>
      <c r="F1535" s="4" t="s">
        <v>406</v>
      </c>
      <c r="G1535" s="4" t="s">
        <v>2260</v>
      </c>
      <c r="H1535" s="12" t="n">
        <v>1</v>
      </c>
      <c r="I1535" s="4" t="s">
        <v>408</v>
      </c>
      <c r="J1535" s="4" t="s">
        <v>409</v>
      </c>
      <c r="K1535" s="13" t="n">
        <v>85000</v>
      </c>
      <c r="L1535" s="6" t="n">
        <f aca="false">H1535*K1535</f>
        <v>85000</v>
      </c>
      <c r="M1535" s="14" t="s">
        <v>410</v>
      </c>
    </row>
    <row r="1536" customFormat="false" ht="15" hidden="false" customHeight="false" outlineLevel="0" collapsed="false">
      <c r="A1536" s="4" t="s">
        <v>283</v>
      </c>
      <c r="B1536" s="5" t="s">
        <v>298</v>
      </c>
      <c r="C1536" s="5" t="s">
        <v>299</v>
      </c>
      <c r="D1536" s="4" t="s">
        <v>22</v>
      </c>
      <c r="E1536" s="4" t="s">
        <v>2261</v>
      </c>
      <c r="F1536" s="4" t="s">
        <v>406</v>
      </c>
      <c r="G1536" s="4" t="s">
        <v>2262</v>
      </c>
      <c r="H1536" s="12" t="n">
        <v>1</v>
      </c>
      <c r="I1536" s="4" t="s">
        <v>408</v>
      </c>
      <c r="J1536" s="4" t="s">
        <v>409</v>
      </c>
      <c r="K1536" s="13" t="n">
        <v>18000</v>
      </c>
      <c r="L1536" s="6" t="n">
        <f aca="false">H1536*K1536</f>
        <v>18000</v>
      </c>
      <c r="M1536" s="14" t="s">
        <v>410</v>
      </c>
    </row>
    <row r="1537" customFormat="false" ht="15" hidden="false" customHeight="false" outlineLevel="0" collapsed="false">
      <c r="A1537" s="4" t="s">
        <v>283</v>
      </c>
      <c r="B1537" s="5" t="s">
        <v>298</v>
      </c>
      <c r="C1537" s="5" t="s">
        <v>299</v>
      </c>
      <c r="D1537" s="4" t="s">
        <v>22</v>
      </c>
      <c r="E1537" s="4" t="s">
        <v>2263</v>
      </c>
      <c r="F1537" s="4" t="s">
        <v>406</v>
      </c>
      <c r="G1537" s="4" t="s">
        <v>2264</v>
      </c>
      <c r="H1537" s="12" t="n">
        <v>1</v>
      </c>
      <c r="I1537" s="4" t="s">
        <v>408</v>
      </c>
      <c r="J1537" s="4" t="s">
        <v>409</v>
      </c>
      <c r="K1537" s="13" t="n">
        <v>25000</v>
      </c>
      <c r="L1537" s="6" t="n">
        <f aca="false">H1537*K1537</f>
        <v>25000</v>
      </c>
      <c r="M1537" s="4" t="s">
        <v>371</v>
      </c>
    </row>
    <row r="1538" customFormat="false" ht="15" hidden="false" customHeight="false" outlineLevel="0" collapsed="false">
      <c r="A1538" s="4" t="s">
        <v>283</v>
      </c>
      <c r="B1538" s="5" t="s">
        <v>298</v>
      </c>
      <c r="C1538" s="5" t="s">
        <v>299</v>
      </c>
      <c r="D1538" s="4" t="s">
        <v>22</v>
      </c>
      <c r="E1538" s="4" t="s">
        <v>2271</v>
      </c>
      <c r="F1538" s="4" t="s">
        <v>470</v>
      </c>
      <c r="G1538" s="4" t="s">
        <v>2272</v>
      </c>
      <c r="H1538" s="12" t="n">
        <v>1</v>
      </c>
      <c r="I1538" s="4" t="s">
        <v>408</v>
      </c>
      <c r="J1538" s="4" t="s">
        <v>409</v>
      </c>
      <c r="K1538" s="13" t="n">
        <v>4500</v>
      </c>
      <c r="L1538" s="6" t="n">
        <f aca="false">H1538*K1538</f>
        <v>4500</v>
      </c>
      <c r="M1538" s="14" t="s">
        <v>410</v>
      </c>
    </row>
    <row r="1539" customFormat="false" ht="15" hidden="false" customHeight="false" outlineLevel="0" collapsed="false">
      <c r="A1539" s="4" t="s">
        <v>283</v>
      </c>
      <c r="B1539" s="5" t="s">
        <v>298</v>
      </c>
      <c r="C1539" s="5" t="s">
        <v>299</v>
      </c>
      <c r="D1539" s="4" t="s">
        <v>22</v>
      </c>
      <c r="E1539" s="4" t="s">
        <v>2273</v>
      </c>
      <c r="F1539" s="4" t="s">
        <v>470</v>
      </c>
      <c r="G1539" s="4" t="s">
        <v>2274</v>
      </c>
      <c r="H1539" s="12" t="n">
        <v>1</v>
      </c>
      <c r="I1539" s="4" t="s">
        <v>408</v>
      </c>
      <c r="J1539" s="4" t="s">
        <v>409</v>
      </c>
      <c r="K1539" s="13" t="n">
        <v>25000</v>
      </c>
      <c r="L1539" s="6" t="n">
        <f aca="false">H1539*K1539</f>
        <v>25000</v>
      </c>
      <c r="M1539" s="14" t="s">
        <v>410</v>
      </c>
    </row>
    <row r="1540" customFormat="false" ht="15" hidden="false" customHeight="false" outlineLevel="0" collapsed="false">
      <c r="A1540" s="4" t="s">
        <v>283</v>
      </c>
      <c r="B1540" s="5" t="s">
        <v>298</v>
      </c>
      <c r="C1540" s="5" t="s">
        <v>299</v>
      </c>
      <c r="D1540" s="4" t="s">
        <v>22</v>
      </c>
      <c r="E1540" s="4" t="s">
        <v>2163</v>
      </c>
      <c r="F1540" s="4" t="s">
        <v>470</v>
      </c>
      <c r="G1540" s="4" t="s">
        <v>2164</v>
      </c>
      <c r="H1540" s="12" t="n">
        <v>1</v>
      </c>
      <c r="I1540" s="4" t="s">
        <v>408</v>
      </c>
      <c r="J1540" s="4" t="s">
        <v>409</v>
      </c>
      <c r="K1540" s="13" t="n">
        <v>35000</v>
      </c>
      <c r="L1540" s="6" t="n">
        <f aca="false">H1540*K1540</f>
        <v>35000</v>
      </c>
      <c r="M1540" s="14" t="s">
        <v>410</v>
      </c>
    </row>
    <row r="1541" customFormat="false" ht="15" hidden="false" customHeight="false" outlineLevel="0" collapsed="false">
      <c r="A1541" s="4" t="s">
        <v>283</v>
      </c>
      <c r="B1541" s="5" t="s">
        <v>298</v>
      </c>
      <c r="C1541" s="5" t="s">
        <v>299</v>
      </c>
      <c r="D1541" s="4" t="s">
        <v>22</v>
      </c>
      <c r="E1541" s="4" t="s">
        <v>1058</v>
      </c>
      <c r="F1541" s="4" t="s">
        <v>470</v>
      </c>
      <c r="G1541" s="4" t="s">
        <v>1059</v>
      </c>
      <c r="H1541" s="12" t="n">
        <v>1</v>
      </c>
      <c r="I1541" s="4" t="s">
        <v>408</v>
      </c>
      <c r="J1541" s="4" t="s">
        <v>409</v>
      </c>
      <c r="K1541" s="13" t="n">
        <v>45000</v>
      </c>
      <c r="L1541" s="6" t="n">
        <f aca="false">H1541*K1541</f>
        <v>45000</v>
      </c>
      <c r="M1541" s="14" t="s">
        <v>410</v>
      </c>
    </row>
    <row r="1542" customFormat="false" ht="15" hidden="false" customHeight="false" outlineLevel="0" collapsed="false">
      <c r="A1542" s="4" t="s">
        <v>283</v>
      </c>
      <c r="B1542" s="5" t="s">
        <v>298</v>
      </c>
      <c r="C1542" s="5" t="s">
        <v>299</v>
      </c>
      <c r="D1542" s="4" t="s">
        <v>22</v>
      </c>
      <c r="E1542" s="4" t="s">
        <v>2477</v>
      </c>
      <c r="F1542" s="4" t="s">
        <v>470</v>
      </c>
      <c r="G1542" s="4" t="s">
        <v>2478</v>
      </c>
      <c r="H1542" s="12" t="n">
        <v>1</v>
      </c>
      <c r="I1542" s="4" t="s">
        <v>408</v>
      </c>
      <c r="J1542" s="4" t="s">
        <v>416</v>
      </c>
      <c r="K1542" s="13" t="n">
        <v>12000</v>
      </c>
      <c r="L1542" s="6" t="n">
        <f aca="false">H1542*K1542</f>
        <v>12000</v>
      </c>
      <c r="M1542" s="14" t="s">
        <v>410</v>
      </c>
    </row>
    <row r="1543" customFormat="false" ht="15" hidden="false" customHeight="false" outlineLevel="0" collapsed="false">
      <c r="A1543" s="4" t="s">
        <v>283</v>
      </c>
      <c r="B1543" s="5" t="s">
        <v>298</v>
      </c>
      <c r="C1543" s="5" t="s">
        <v>299</v>
      </c>
      <c r="D1543" s="4" t="s">
        <v>22</v>
      </c>
      <c r="E1543" s="4" t="s">
        <v>2451</v>
      </c>
      <c r="F1543" s="4" t="s">
        <v>470</v>
      </c>
      <c r="G1543" s="4" t="s">
        <v>2452</v>
      </c>
      <c r="H1543" s="12" t="n">
        <v>1</v>
      </c>
      <c r="I1543" s="4" t="s">
        <v>408</v>
      </c>
      <c r="J1543" s="4" t="s">
        <v>409</v>
      </c>
      <c r="K1543" s="13" t="n">
        <v>8500</v>
      </c>
      <c r="L1543" s="6" t="n">
        <f aca="false">H1543*K1543</f>
        <v>8500</v>
      </c>
      <c r="M1543" s="4" t="s">
        <v>371</v>
      </c>
    </row>
    <row r="1544" customFormat="false" ht="15" hidden="false" customHeight="false" outlineLevel="0" collapsed="false">
      <c r="A1544" s="4" t="s">
        <v>283</v>
      </c>
      <c r="B1544" s="5" t="s">
        <v>298</v>
      </c>
      <c r="C1544" s="5" t="s">
        <v>299</v>
      </c>
      <c r="D1544" s="4" t="s">
        <v>22</v>
      </c>
      <c r="E1544" s="4" t="s">
        <v>2453</v>
      </c>
      <c r="F1544" s="4" t="s">
        <v>470</v>
      </c>
      <c r="G1544" s="4" t="s">
        <v>2454</v>
      </c>
      <c r="H1544" s="12" t="n">
        <v>1</v>
      </c>
      <c r="I1544" s="4" t="s">
        <v>408</v>
      </c>
      <c r="J1544" s="4" t="s">
        <v>409</v>
      </c>
      <c r="K1544" s="13" t="n">
        <v>18000</v>
      </c>
      <c r="L1544" s="6" t="n">
        <f aca="false">H1544*K1544</f>
        <v>18000</v>
      </c>
      <c r="M1544" s="4" t="s">
        <v>371</v>
      </c>
    </row>
    <row r="1545" customFormat="false" ht="15" hidden="false" customHeight="false" outlineLevel="0" collapsed="false">
      <c r="A1545" s="4" t="s">
        <v>283</v>
      </c>
      <c r="B1545" s="5" t="s">
        <v>298</v>
      </c>
      <c r="C1545" s="5" t="s">
        <v>299</v>
      </c>
      <c r="D1545" s="4" t="s">
        <v>22</v>
      </c>
      <c r="E1545" s="4" t="s">
        <v>2455</v>
      </c>
      <c r="F1545" s="4" t="s">
        <v>470</v>
      </c>
      <c r="G1545" s="4" t="s">
        <v>2456</v>
      </c>
      <c r="H1545" s="12" t="n">
        <v>1</v>
      </c>
      <c r="I1545" s="4" t="s">
        <v>408</v>
      </c>
      <c r="J1545" s="4" t="s">
        <v>409</v>
      </c>
      <c r="K1545" s="13" t="n">
        <v>25000</v>
      </c>
      <c r="L1545" s="6" t="n">
        <f aca="false">H1545*K1545</f>
        <v>25000</v>
      </c>
      <c r="M1545" s="4" t="s">
        <v>371</v>
      </c>
    </row>
    <row r="1546" customFormat="false" ht="15" hidden="false" customHeight="false" outlineLevel="0" collapsed="false">
      <c r="A1546" s="4" t="s">
        <v>283</v>
      </c>
      <c r="B1546" s="5" t="s">
        <v>298</v>
      </c>
      <c r="C1546" s="5" t="s">
        <v>299</v>
      </c>
      <c r="D1546" s="4" t="s">
        <v>22</v>
      </c>
      <c r="E1546" s="4" t="s">
        <v>1089</v>
      </c>
      <c r="F1546" s="4" t="s">
        <v>470</v>
      </c>
      <c r="G1546" s="4" t="s">
        <v>1090</v>
      </c>
      <c r="H1546" s="12" t="n">
        <v>1</v>
      </c>
      <c r="I1546" s="4" t="s">
        <v>408</v>
      </c>
      <c r="J1546" s="4" t="s">
        <v>409</v>
      </c>
      <c r="K1546" s="13" t="n">
        <v>3500</v>
      </c>
      <c r="L1546" s="6" t="n">
        <f aca="false">H1546*K1546</f>
        <v>3500</v>
      </c>
      <c r="M1546" s="4" t="s">
        <v>371</v>
      </c>
    </row>
    <row r="1547" customFormat="false" ht="15" hidden="false" customHeight="false" outlineLevel="0" collapsed="false">
      <c r="A1547" s="4" t="s">
        <v>283</v>
      </c>
      <c r="B1547" s="5" t="s">
        <v>298</v>
      </c>
      <c r="C1547" s="5" t="s">
        <v>299</v>
      </c>
      <c r="D1547" s="4" t="s">
        <v>22</v>
      </c>
      <c r="E1547" s="4" t="s">
        <v>2289</v>
      </c>
      <c r="F1547" s="4" t="s">
        <v>470</v>
      </c>
      <c r="G1547" s="4" t="s">
        <v>2290</v>
      </c>
      <c r="H1547" s="12" t="n">
        <v>1</v>
      </c>
      <c r="I1547" s="4" t="s">
        <v>408</v>
      </c>
      <c r="J1547" s="4" t="s">
        <v>409</v>
      </c>
      <c r="K1547" s="13" t="n">
        <v>2500</v>
      </c>
      <c r="L1547" s="6" t="n">
        <f aca="false">H1547*K1547</f>
        <v>2500</v>
      </c>
      <c r="M1547" s="4" t="s">
        <v>371</v>
      </c>
    </row>
    <row r="1548" customFormat="false" ht="15" hidden="false" customHeight="false" outlineLevel="0" collapsed="false">
      <c r="A1548" s="4" t="s">
        <v>283</v>
      </c>
      <c r="B1548" s="5" t="s">
        <v>298</v>
      </c>
      <c r="C1548" s="5" t="s">
        <v>299</v>
      </c>
      <c r="D1548" s="4" t="s">
        <v>22</v>
      </c>
      <c r="E1548" s="4" t="s">
        <v>2457</v>
      </c>
      <c r="F1548" s="4" t="s">
        <v>470</v>
      </c>
      <c r="G1548" s="4" t="s">
        <v>2458</v>
      </c>
      <c r="H1548" s="12" t="n">
        <v>1</v>
      </c>
      <c r="I1548" s="4" t="s">
        <v>408</v>
      </c>
      <c r="J1548" s="4" t="s">
        <v>416</v>
      </c>
      <c r="K1548" s="13" t="n">
        <v>4500</v>
      </c>
      <c r="L1548" s="6" t="n">
        <f aca="false">H1548*K1548</f>
        <v>4500</v>
      </c>
      <c r="M1548" s="4" t="s">
        <v>371</v>
      </c>
    </row>
    <row r="1549" customFormat="false" ht="15" hidden="false" customHeight="false" outlineLevel="0" collapsed="false">
      <c r="A1549" s="4" t="s">
        <v>283</v>
      </c>
      <c r="B1549" s="5" t="s">
        <v>298</v>
      </c>
      <c r="C1549" s="5" t="s">
        <v>299</v>
      </c>
      <c r="D1549" s="4" t="s">
        <v>22</v>
      </c>
      <c r="E1549" s="4" t="s">
        <v>2479</v>
      </c>
      <c r="F1549" s="4" t="s">
        <v>470</v>
      </c>
      <c r="G1549" s="4" t="s">
        <v>2480</v>
      </c>
      <c r="H1549" s="12" t="n">
        <v>1</v>
      </c>
      <c r="I1549" s="4" t="s">
        <v>408</v>
      </c>
      <c r="J1549" s="4" t="s">
        <v>416</v>
      </c>
      <c r="K1549" s="13" t="n">
        <v>2500</v>
      </c>
      <c r="L1549" s="6" t="n">
        <f aca="false">H1549*K1549</f>
        <v>2500</v>
      </c>
      <c r="M1549" s="4" t="s">
        <v>371</v>
      </c>
    </row>
    <row r="1550" customFormat="false" ht="15" hidden="false" customHeight="false" outlineLevel="0" collapsed="false">
      <c r="A1550" s="4" t="s">
        <v>283</v>
      </c>
      <c r="B1550" s="5" t="s">
        <v>298</v>
      </c>
      <c r="C1550" s="5" t="s">
        <v>299</v>
      </c>
      <c r="D1550" s="4" t="s">
        <v>22</v>
      </c>
      <c r="E1550" s="4" t="s">
        <v>2301</v>
      </c>
      <c r="F1550" s="4" t="s">
        <v>470</v>
      </c>
      <c r="G1550" s="4" t="s">
        <v>2302</v>
      </c>
      <c r="H1550" s="12" t="n">
        <v>1</v>
      </c>
      <c r="I1550" s="4" t="s">
        <v>408</v>
      </c>
      <c r="J1550" s="4" t="s">
        <v>409</v>
      </c>
      <c r="K1550" s="13" t="n">
        <v>8500</v>
      </c>
      <c r="L1550" s="6" t="n">
        <f aca="false">H1550*K1550</f>
        <v>8500</v>
      </c>
      <c r="M1550" s="4" t="s">
        <v>371</v>
      </c>
    </row>
    <row r="1551" customFormat="false" ht="15" hidden="false" customHeight="false" outlineLevel="0" collapsed="false">
      <c r="A1551" s="4" t="s">
        <v>283</v>
      </c>
      <c r="B1551" s="5" t="s">
        <v>298</v>
      </c>
      <c r="C1551" s="5" t="s">
        <v>299</v>
      </c>
      <c r="D1551" s="4" t="s">
        <v>22</v>
      </c>
      <c r="E1551" s="4" t="s">
        <v>2303</v>
      </c>
      <c r="F1551" s="4" t="s">
        <v>470</v>
      </c>
      <c r="G1551" s="4" t="s">
        <v>2304</v>
      </c>
      <c r="H1551" s="12" t="n">
        <v>1</v>
      </c>
      <c r="I1551" s="4" t="s">
        <v>408</v>
      </c>
      <c r="J1551" s="4" t="s">
        <v>409</v>
      </c>
      <c r="K1551" s="13" t="n">
        <v>3500</v>
      </c>
      <c r="L1551" s="6" t="n">
        <f aca="false">H1551*K1551</f>
        <v>3500</v>
      </c>
      <c r="M1551" s="4" t="s">
        <v>371</v>
      </c>
    </row>
    <row r="1552" customFormat="false" ht="15" hidden="false" customHeight="false" outlineLevel="0" collapsed="false">
      <c r="A1552" s="4" t="s">
        <v>283</v>
      </c>
      <c r="B1552" s="5" t="s">
        <v>298</v>
      </c>
      <c r="C1552" s="5" t="s">
        <v>299</v>
      </c>
      <c r="D1552" s="4" t="s">
        <v>22</v>
      </c>
      <c r="E1552" s="4" t="s">
        <v>2305</v>
      </c>
      <c r="F1552" s="4" t="s">
        <v>470</v>
      </c>
      <c r="G1552" s="4" t="s">
        <v>2306</v>
      </c>
      <c r="H1552" s="12" t="n">
        <v>1</v>
      </c>
      <c r="I1552" s="4" t="s">
        <v>408</v>
      </c>
      <c r="J1552" s="4" t="s">
        <v>409</v>
      </c>
      <c r="K1552" s="13" t="n">
        <v>850</v>
      </c>
      <c r="L1552" s="6" t="n">
        <f aca="false">H1552*K1552</f>
        <v>850</v>
      </c>
      <c r="M1552" s="4" t="s">
        <v>371</v>
      </c>
    </row>
    <row r="1553" customFormat="false" ht="15" hidden="false" customHeight="false" outlineLevel="0" collapsed="false">
      <c r="A1553" s="4" t="s">
        <v>283</v>
      </c>
      <c r="B1553" s="5" t="s">
        <v>298</v>
      </c>
      <c r="C1553" s="5" t="s">
        <v>299</v>
      </c>
      <c r="D1553" s="4" t="s">
        <v>22</v>
      </c>
      <c r="E1553" s="4" t="s">
        <v>2481</v>
      </c>
      <c r="F1553" s="4" t="s">
        <v>488</v>
      </c>
      <c r="G1553" s="4" t="s">
        <v>2482</v>
      </c>
      <c r="H1553" s="12" t="n">
        <v>1</v>
      </c>
      <c r="I1553" s="4" t="s">
        <v>408</v>
      </c>
      <c r="J1553" s="4" t="s">
        <v>409</v>
      </c>
      <c r="K1553" s="13" t="n">
        <v>450</v>
      </c>
      <c r="L1553" s="6" t="n">
        <f aca="false">H1553*K1553</f>
        <v>450</v>
      </c>
      <c r="M1553" s="4" t="s">
        <v>371</v>
      </c>
    </row>
    <row r="1554" customFormat="false" ht="15" hidden="false" customHeight="false" outlineLevel="0" collapsed="false">
      <c r="A1554" s="4" t="s">
        <v>283</v>
      </c>
      <c r="B1554" s="5" t="s">
        <v>298</v>
      </c>
      <c r="C1554" s="5" t="s">
        <v>299</v>
      </c>
      <c r="D1554" s="4" t="s">
        <v>22</v>
      </c>
      <c r="E1554" s="4" t="s">
        <v>2463</v>
      </c>
      <c r="F1554" s="4" t="s">
        <v>488</v>
      </c>
      <c r="G1554" s="4" t="s">
        <v>2464</v>
      </c>
      <c r="H1554" s="12" t="n">
        <v>1</v>
      </c>
      <c r="I1554" s="4" t="s">
        <v>408</v>
      </c>
      <c r="J1554" s="4" t="s">
        <v>409</v>
      </c>
      <c r="K1554" s="13" t="n">
        <v>35</v>
      </c>
      <c r="L1554" s="6" t="n">
        <f aca="false">H1554*K1554</f>
        <v>35</v>
      </c>
      <c r="M1554" s="4" t="s">
        <v>371</v>
      </c>
    </row>
    <row r="1555" customFormat="false" ht="15" hidden="false" customHeight="false" outlineLevel="0" collapsed="false">
      <c r="A1555" s="4" t="s">
        <v>283</v>
      </c>
      <c r="B1555" s="5" t="s">
        <v>298</v>
      </c>
      <c r="C1555" s="5" t="s">
        <v>299</v>
      </c>
      <c r="D1555" s="4" t="s">
        <v>22</v>
      </c>
      <c r="E1555" s="4" t="s">
        <v>2465</v>
      </c>
      <c r="F1555" s="4" t="s">
        <v>488</v>
      </c>
      <c r="G1555" s="4" t="s">
        <v>2466</v>
      </c>
      <c r="H1555" s="12" t="n">
        <v>1</v>
      </c>
      <c r="I1555" s="4" t="s">
        <v>408</v>
      </c>
      <c r="J1555" s="4" t="s">
        <v>506</v>
      </c>
      <c r="K1555" s="13" t="n">
        <v>100</v>
      </c>
      <c r="L1555" s="6" t="n">
        <f aca="false">H1555*K1555</f>
        <v>100</v>
      </c>
      <c r="M1555" s="4" t="s">
        <v>371</v>
      </c>
    </row>
    <row r="1556" customFormat="false" ht="15" hidden="false" customHeight="false" outlineLevel="0" collapsed="false">
      <c r="A1556" s="4" t="s">
        <v>283</v>
      </c>
      <c r="B1556" s="5" t="s">
        <v>298</v>
      </c>
      <c r="C1556" s="5" t="s">
        <v>299</v>
      </c>
      <c r="D1556" s="4" t="s">
        <v>22</v>
      </c>
      <c r="E1556" s="4" t="s">
        <v>2467</v>
      </c>
      <c r="F1556" s="4" t="s">
        <v>488</v>
      </c>
      <c r="G1556" s="4" t="s">
        <v>2468</v>
      </c>
      <c r="H1556" s="12" t="n">
        <v>1</v>
      </c>
      <c r="I1556" s="4" t="s">
        <v>408</v>
      </c>
      <c r="J1556" s="4" t="s">
        <v>409</v>
      </c>
      <c r="K1556" s="13" t="n">
        <v>15</v>
      </c>
      <c r="L1556" s="6" t="n">
        <f aca="false">H1556*K1556</f>
        <v>15</v>
      </c>
      <c r="M1556" s="4" t="s">
        <v>371</v>
      </c>
    </row>
    <row r="1557" customFormat="false" ht="15" hidden="false" customHeight="false" outlineLevel="0" collapsed="false">
      <c r="A1557" s="4" t="s">
        <v>283</v>
      </c>
      <c r="B1557" s="5" t="s">
        <v>298</v>
      </c>
      <c r="C1557" s="5" t="s">
        <v>299</v>
      </c>
      <c r="D1557" s="4" t="s">
        <v>22</v>
      </c>
      <c r="E1557" s="4" t="s">
        <v>2469</v>
      </c>
      <c r="F1557" s="4" t="s">
        <v>488</v>
      </c>
      <c r="G1557" s="4" t="s">
        <v>2470</v>
      </c>
      <c r="H1557" s="12" t="n">
        <v>1</v>
      </c>
      <c r="I1557" s="4" t="s">
        <v>408</v>
      </c>
      <c r="J1557" s="4" t="s">
        <v>409</v>
      </c>
      <c r="K1557" s="13" t="n">
        <v>10</v>
      </c>
      <c r="L1557" s="6" t="n">
        <f aca="false">H1557*K1557</f>
        <v>10</v>
      </c>
      <c r="M1557" s="4" t="s">
        <v>371</v>
      </c>
    </row>
    <row r="1558" customFormat="false" ht="15" hidden="false" customHeight="false" outlineLevel="0" collapsed="false">
      <c r="A1558" s="4" t="s">
        <v>283</v>
      </c>
      <c r="B1558" s="5" t="s">
        <v>298</v>
      </c>
      <c r="C1558" s="5" t="s">
        <v>299</v>
      </c>
      <c r="D1558" s="4" t="s">
        <v>22</v>
      </c>
      <c r="E1558" s="4" t="s">
        <v>2471</v>
      </c>
      <c r="F1558" s="4" t="s">
        <v>488</v>
      </c>
      <c r="G1558" s="4" t="s">
        <v>2472</v>
      </c>
      <c r="H1558" s="12" t="n">
        <v>1</v>
      </c>
      <c r="I1558" s="4" t="s">
        <v>408</v>
      </c>
      <c r="J1558" s="4" t="s">
        <v>506</v>
      </c>
      <c r="K1558" s="13" t="n">
        <v>120</v>
      </c>
      <c r="L1558" s="6" t="n">
        <f aca="false">H1558*K1558</f>
        <v>120</v>
      </c>
      <c r="M1558" s="4" t="s">
        <v>371</v>
      </c>
    </row>
    <row r="1559" customFormat="false" ht="15" hidden="false" customHeight="false" outlineLevel="0" collapsed="false">
      <c r="A1559" s="4" t="s">
        <v>283</v>
      </c>
      <c r="B1559" s="5" t="s">
        <v>298</v>
      </c>
      <c r="C1559" s="5" t="s">
        <v>299</v>
      </c>
      <c r="D1559" s="4" t="s">
        <v>22</v>
      </c>
      <c r="E1559" s="4" t="s">
        <v>2325</v>
      </c>
      <c r="F1559" s="4" t="s">
        <v>488</v>
      </c>
      <c r="G1559" s="4" t="s">
        <v>2326</v>
      </c>
      <c r="H1559" s="12" t="n">
        <v>1</v>
      </c>
      <c r="I1559" s="4" t="s">
        <v>408</v>
      </c>
      <c r="J1559" s="4" t="s">
        <v>416</v>
      </c>
      <c r="K1559" s="13" t="n">
        <v>650</v>
      </c>
      <c r="L1559" s="6" t="n">
        <f aca="false">H1559*K1559</f>
        <v>650</v>
      </c>
      <c r="M1559" s="4" t="s">
        <v>371</v>
      </c>
    </row>
    <row r="1560" customFormat="false" ht="15" hidden="false" customHeight="false" outlineLevel="0" collapsed="false">
      <c r="A1560" s="4" t="s">
        <v>283</v>
      </c>
      <c r="B1560" s="5" t="s">
        <v>298</v>
      </c>
      <c r="C1560" s="5" t="s">
        <v>299</v>
      </c>
      <c r="D1560" s="4" t="s">
        <v>22</v>
      </c>
      <c r="E1560" s="4" t="s">
        <v>2327</v>
      </c>
      <c r="F1560" s="4" t="s">
        <v>488</v>
      </c>
      <c r="G1560" s="4" t="s">
        <v>2328</v>
      </c>
      <c r="H1560" s="12" t="n">
        <v>1</v>
      </c>
      <c r="I1560" s="4" t="s">
        <v>408</v>
      </c>
      <c r="J1560" s="4" t="s">
        <v>506</v>
      </c>
      <c r="K1560" s="13" t="n">
        <v>450</v>
      </c>
      <c r="L1560" s="6" t="n">
        <f aca="false">H1560*K1560</f>
        <v>450</v>
      </c>
      <c r="M1560" s="4" t="s">
        <v>371</v>
      </c>
    </row>
    <row r="1561" customFormat="false" ht="15" hidden="false" customHeight="false" outlineLevel="0" collapsed="false">
      <c r="A1561" s="4" t="s">
        <v>283</v>
      </c>
      <c r="B1561" s="5" t="s">
        <v>298</v>
      </c>
      <c r="C1561" s="5" t="s">
        <v>299</v>
      </c>
      <c r="D1561" s="4" t="s">
        <v>22</v>
      </c>
      <c r="E1561" s="4" t="s">
        <v>2483</v>
      </c>
      <c r="F1561" s="4" t="s">
        <v>488</v>
      </c>
      <c r="G1561" s="4" t="s">
        <v>2484</v>
      </c>
      <c r="H1561" s="12" t="n">
        <v>1</v>
      </c>
      <c r="I1561" s="4" t="s">
        <v>408</v>
      </c>
      <c r="J1561" s="4" t="s">
        <v>543</v>
      </c>
      <c r="K1561" s="13" t="n">
        <v>2500</v>
      </c>
      <c r="L1561" s="6" t="n">
        <f aca="false">H1561*K1561</f>
        <v>2500</v>
      </c>
      <c r="M1561" s="4" t="s">
        <v>371</v>
      </c>
    </row>
    <row r="1562" customFormat="false" ht="15" hidden="false" customHeight="false" outlineLevel="0" collapsed="false">
      <c r="A1562" s="4" t="s">
        <v>283</v>
      </c>
      <c r="B1562" s="5" t="s">
        <v>298</v>
      </c>
      <c r="C1562" s="5" t="s">
        <v>299</v>
      </c>
      <c r="D1562" s="4" t="s">
        <v>22</v>
      </c>
      <c r="E1562" s="4" t="s">
        <v>2473</v>
      </c>
      <c r="F1562" s="4" t="s">
        <v>470</v>
      </c>
      <c r="G1562" s="4" t="s">
        <v>2474</v>
      </c>
      <c r="H1562" s="12" t="n">
        <v>1</v>
      </c>
      <c r="I1562" s="4" t="s">
        <v>408</v>
      </c>
      <c r="J1562" s="4" t="s">
        <v>409</v>
      </c>
      <c r="K1562" s="13" t="n">
        <v>3500</v>
      </c>
      <c r="L1562" s="6" t="n">
        <f aca="false">H1562*K1562</f>
        <v>3500</v>
      </c>
      <c r="M1562" s="4" t="s">
        <v>371</v>
      </c>
    </row>
    <row r="1563" customFormat="false" ht="15" hidden="false" customHeight="false" outlineLevel="0" collapsed="false">
      <c r="A1563" s="4" t="s">
        <v>283</v>
      </c>
      <c r="B1563" s="5" t="s">
        <v>298</v>
      </c>
      <c r="C1563" s="5" t="s">
        <v>299</v>
      </c>
      <c r="D1563" s="4" t="s">
        <v>22</v>
      </c>
      <c r="E1563" s="4" t="s">
        <v>2475</v>
      </c>
      <c r="F1563" s="4" t="s">
        <v>470</v>
      </c>
      <c r="G1563" s="4" t="s">
        <v>2476</v>
      </c>
      <c r="H1563" s="12" t="n">
        <v>1</v>
      </c>
      <c r="I1563" s="4" t="s">
        <v>408</v>
      </c>
      <c r="J1563" s="4" t="s">
        <v>409</v>
      </c>
      <c r="K1563" s="13" t="n">
        <v>850</v>
      </c>
      <c r="L1563" s="6" t="n">
        <f aca="false">H1563*K1563</f>
        <v>850</v>
      </c>
      <c r="M1563" s="4" t="s">
        <v>371</v>
      </c>
    </row>
    <row r="1564" customFormat="false" ht="23.85" hidden="false" customHeight="false" outlineLevel="0" collapsed="false">
      <c r="A1564" s="4" t="s">
        <v>304</v>
      </c>
      <c r="B1564" s="5" t="s">
        <v>309</v>
      </c>
      <c r="C1564" s="5" t="s">
        <v>310</v>
      </c>
      <c r="D1564" s="4" t="s">
        <v>22</v>
      </c>
      <c r="E1564" s="4" t="s">
        <v>2485</v>
      </c>
      <c r="F1564" s="4" t="s">
        <v>406</v>
      </c>
      <c r="G1564" s="4" t="s">
        <v>2486</v>
      </c>
      <c r="H1564" s="12" t="n">
        <v>30</v>
      </c>
      <c r="I1564" s="4" t="s">
        <v>474</v>
      </c>
      <c r="J1564" s="4" t="s">
        <v>409</v>
      </c>
      <c r="K1564" s="13" t="n">
        <v>180</v>
      </c>
      <c r="L1564" s="6" t="n">
        <f aca="false">H1564*K1564</f>
        <v>5400</v>
      </c>
      <c r="M1564" s="14" t="s">
        <v>410</v>
      </c>
    </row>
    <row r="1565" customFormat="false" ht="23.85" hidden="false" customHeight="false" outlineLevel="0" collapsed="false">
      <c r="A1565" s="4" t="s">
        <v>304</v>
      </c>
      <c r="B1565" s="5" t="s">
        <v>309</v>
      </c>
      <c r="C1565" s="5" t="s">
        <v>310</v>
      </c>
      <c r="D1565" s="4" t="s">
        <v>22</v>
      </c>
      <c r="E1565" s="4" t="s">
        <v>2487</v>
      </c>
      <c r="F1565" s="4" t="s">
        <v>406</v>
      </c>
      <c r="G1565" s="4" t="s">
        <v>2488</v>
      </c>
      <c r="H1565" s="12" t="n">
        <v>6</v>
      </c>
      <c r="I1565" s="4" t="s">
        <v>474</v>
      </c>
      <c r="J1565" s="4" t="s">
        <v>409</v>
      </c>
      <c r="K1565" s="13" t="n">
        <v>6500</v>
      </c>
      <c r="L1565" s="6" t="n">
        <f aca="false">H1565*K1565</f>
        <v>39000</v>
      </c>
      <c r="M1565" s="14" t="s">
        <v>410</v>
      </c>
    </row>
    <row r="1566" customFormat="false" ht="23.85" hidden="false" customHeight="false" outlineLevel="0" collapsed="false">
      <c r="A1566" s="4" t="s">
        <v>304</v>
      </c>
      <c r="B1566" s="5" t="s">
        <v>309</v>
      </c>
      <c r="C1566" s="5" t="s">
        <v>310</v>
      </c>
      <c r="D1566" s="4" t="s">
        <v>22</v>
      </c>
      <c r="E1566" s="4" t="s">
        <v>2489</v>
      </c>
      <c r="F1566" s="4" t="s">
        <v>406</v>
      </c>
      <c r="G1566" s="4" t="s">
        <v>2490</v>
      </c>
      <c r="H1566" s="12" t="n">
        <v>40</v>
      </c>
      <c r="I1566" s="4" t="s">
        <v>474</v>
      </c>
      <c r="J1566" s="4" t="s">
        <v>409</v>
      </c>
      <c r="K1566" s="13" t="n">
        <v>150</v>
      </c>
      <c r="L1566" s="6" t="n">
        <f aca="false">H1566*K1566</f>
        <v>6000</v>
      </c>
      <c r="M1566" s="14" t="s">
        <v>410</v>
      </c>
    </row>
    <row r="1567" customFormat="false" ht="23.85" hidden="false" customHeight="false" outlineLevel="0" collapsed="false">
      <c r="A1567" s="4" t="s">
        <v>304</v>
      </c>
      <c r="B1567" s="5" t="s">
        <v>309</v>
      </c>
      <c r="C1567" s="5" t="s">
        <v>310</v>
      </c>
      <c r="D1567" s="4" t="s">
        <v>22</v>
      </c>
      <c r="E1567" s="4" t="s">
        <v>2491</v>
      </c>
      <c r="F1567" s="4" t="s">
        <v>406</v>
      </c>
      <c r="G1567" s="4" t="s">
        <v>2492</v>
      </c>
      <c r="H1567" s="12" t="n">
        <v>30</v>
      </c>
      <c r="I1567" s="4" t="s">
        <v>474</v>
      </c>
      <c r="J1567" s="4" t="s">
        <v>409</v>
      </c>
      <c r="K1567" s="13" t="n">
        <v>350</v>
      </c>
      <c r="L1567" s="6" t="n">
        <f aca="false">H1567*K1567</f>
        <v>10500</v>
      </c>
      <c r="M1567" s="14" t="s">
        <v>410</v>
      </c>
    </row>
    <row r="1568" customFormat="false" ht="23.85" hidden="false" customHeight="false" outlineLevel="0" collapsed="false">
      <c r="A1568" s="4" t="s">
        <v>304</v>
      </c>
      <c r="B1568" s="5" t="s">
        <v>309</v>
      </c>
      <c r="C1568" s="5" t="s">
        <v>310</v>
      </c>
      <c r="D1568" s="4" t="s">
        <v>22</v>
      </c>
      <c r="E1568" s="4" t="s">
        <v>2493</v>
      </c>
      <c r="F1568" s="4" t="s">
        <v>406</v>
      </c>
      <c r="G1568" s="4" t="s">
        <v>2494</v>
      </c>
      <c r="H1568" s="12" t="n">
        <v>8</v>
      </c>
      <c r="I1568" s="4" t="s">
        <v>474</v>
      </c>
      <c r="J1568" s="4" t="s">
        <v>416</v>
      </c>
      <c r="K1568" s="13" t="n">
        <v>250</v>
      </c>
      <c r="L1568" s="6" t="n">
        <f aca="false">H1568*K1568</f>
        <v>2000</v>
      </c>
      <c r="M1568" s="14" t="s">
        <v>410</v>
      </c>
    </row>
    <row r="1569" customFormat="false" ht="23.85" hidden="false" customHeight="false" outlineLevel="0" collapsed="false">
      <c r="A1569" s="4" t="s">
        <v>304</v>
      </c>
      <c r="B1569" s="5" t="s">
        <v>309</v>
      </c>
      <c r="C1569" s="5" t="s">
        <v>310</v>
      </c>
      <c r="D1569" s="4" t="s">
        <v>22</v>
      </c>
      <c r="E1569" s="4" t="s">
        <v>2495</v>
      </c>
      <c r="F1569" s="4" t="s">
        <v>406</v>
      </c>
      <c r="G1569" s="4" t="s">
        <v>2496</v>
      </c>
      <c r="H1569" s="12" t="n">
        <v>15</v>
      </c>
      <c r="I1569" s="4" t="s">
        <v>474</v>
      </c>
      <c r="J1569" s="4" t="s">
        <v>409</v>
      </c>
      <c r="K1569" s="13" t="n">
        <v>250</v>
      </c>
      <c r="L1569" s="6" t="n">
        <f aca="false">H1569*K1569</f>
        <v>3750</v>
      </c>
      <c r="M1569" s="14" t="s">
        <v>410</v>
      </c>
    </row>
    <row r="1570" customFormat="false" ht="23.85" hidden="false" customHeight="false" outlineLevel="0" collapsed="false">
      <c r="A1570" s="4" t="s">
        <v>304</v>
      </c>
      <c r="B1570" s="5" t="s">
        <v>309</v>
      </c>
      <c r="C1570" s="5" t="s">
        <v>310</v>
      </c>
      <c r="D1570" s="4" t="s">
        <v>22</v>
      </c>
      <c r="E1570" s="4" t="s">
        <v>2497</v>
      </c>
      <c r="F1570" s="4" t="s">
        <v>406</v>
      </c>
      <c r="G1570" s="4" t="s">
        <v>2498</v>
      </c>
      <c r="H1570" s="12" t="n">
        <v>30</v>
      </c>
      <c r="I1570" s="4" t="s">
        <v>474</v>
      </c>
      <c r="J1570" s="4" t="s">
        <v>409</v>
      </c>
      <c r="K1570" s="13" t="n">
        <v>250</v>
      </c>
      <c r="L1570" s="6" t="n">
        <f aca="false">H1570*K1570</f>
        <v>7500</v>
      </c>
      <c r="M1570" s="14" t="s">
        <v>410</v>
      </c>
    </row>
    <row r="1571" customFormat="false" ht="23.85" hidden="false" customHeight="false" outlineLevel="0" collapsed="false">
      <c r="A1571" s="4" t="s">
        <v>304</v>
      </c>
      <c r="B1571" s="5" t="s">
        <v>309</v>
      </c>
      <c r="C1571" s="5" t="s">
        <v>310</v>
      </c>
      <c r="D1571" s="4" t="s">
        <v>22</v>
      </c>
      <c r="E1571" s="4" t="s">
        <v>2499</v>
      </c>
      <c r="F1571" s="4" t="s">
        <v>406</v>
      </c>
      <c r="G1571" s="4" t="s">
        <v>2500</v>
      </c>
      <c r="H1571" s="12" t="n">
        <v>20</v>
      </c>
      <c r="I1571" s="4" t="s">
        <v>474</v>
      </c>
      <c r="J1571" s="4" t="s">
        <v>409</v>
      </c>
      <c r="K1571" s="13" t="n">
        <v>350</v>
      </c>
      <c r="L1571" s="6" t="n">
        <f aca="false">H1571*K1571</f>
        <v>7000</v>
      </c>
      <c r="M1571" s="4" t="s">
        <v>371</v>
      </c>
    </row>
    <row r="1572" customFormat="false" ht="23.85" hidden="false" customHeight="false" outlineLevel="0" collapsed="false">
      <c r="A1572" s="4" t="s">
        <v>304</v>
      </c>
      <c r="B1572" s="5" t="s">
        <v>309</v>
      </c>
      <c r="C1572" s="5" t="s">
        <v>310</v>
      </c>
      <c r="D1572" s="4" t="s">
        <v>22</v>
      </c>
      <c r="E1572" s="4" t="s">
        <v>2501</v>
      </c>
      <c r="F1572" s="4" t="s">
        <v>406</v>
      </c>
      <c r="G1572" s="4" t="s">
        <v>2502</v>
      </c>
      <c r="H1572" s="12" t="n">
        <v>15</v>
      </c>
      <c r="I1572" s="4" t="s">
        <v>474</v>
      </c>
      <c r="J1572" s="4" t="s">
        <v>416</v>
      </c>
      <c r="K1572" s="13" t="n">
        <v>1200</v>
      </c>
      <c r="L1572" s="6" t="n">
        <f aca="false">H1572*K1572</f>
        <v>18000</v>
      </c>
      <c r="M1572" s="4" t="s">
        <v>371</v>
      </c>
    </row>
    <row r="1573" customFormat="false" ht="23.85" hidden="false" customHeight="false" outlineLevel="0" collapsed="false">
      <c r="A1573" s="4" t="s">
        <v>304</v>
      </c>
      <c r="B1573" s="5" t="s">
        <v>309</v>
      </c>
      <c r="C1573" s="5" t="s">
        <v>310</v>
      </c>
      <c r="D1573" s="4" t="s">
        <v>22</v>
      </c>
      <c r="E1573" s="4" t="s">
        <v>2503</v>
      </c>
      <c r="F1573" s="4" t="s">
        <v>406</v>
      </c>
      <c r="G1573" s="4" t="s">
        <v>2504</v>
      </c>
      <c r="H1573" s="12" t="n">
        <v>20</v>
      </c>
      <c r="I1573" s="4" t="s">
        <v>474</v>
      </c>
      <c r="J1573" s="4" t="s">
        <v>409</v>
      </c>
      <c r="K1573" s="13" t="n">
        <v>350</v>
      </c>
      <c r="L1573" s="6" t="n">
        <f aca="false">H1573*K1573</f>
        <v>7000</v>
      </c>
      <c r="M1573" s="14" t="s">
        <v>410</v>
      </c>
    </row>
    <row r="1574" customFormat="false" ht="23.85" hidden="false" customHeight="false" outlineLevel="0" collapsed="false">
      <c r="A1574" s="4" t="s">
        <v>304</v>
      </c>
      <c r="B1574" s="5" t="s">
        <v>309</v>
      </c>
      <c r="C1574" s="5" t="s">
        <v>310</v>
      </c>
      <c r="D1574" s="4" t="s">
        <v>22</v>
      </c>
      <c r="E1574" s="4" t="s">
        <v>2505</v>
      </c>
      <c r="F1574" s="4" t="s">
        <v>406</v>
      </c>
      <c r="G1574" s="4" t="s">
        <v>2506</v>
      </c>
      <c r="H1574" s="12" t="n">
        <v>15</v>
      </c>
      <c r="I1574" s="4" t="s">
        <v>474</v>
      </c>
      <c r="J1574" s="4" t="s">
        <v>416</v>
      </c>
      <c r="K1574" s="13" t="n">
        <v>25000</v>
      </c>
      <c r="L1574" s="6" t="n">
        <f aca="false">H1574*K1574</f>
        <v>375000</v>
      </c>
      <c r="M1574" s="14" t="s">
        <v>410</v>
      </c>
    </row>
    <row r="1575" customFormat="false" ht="23.85" hidden="false" customHeight="false" outlineLevel="0" collapsed="false">
      <c r="A1575" s="4" t="s">
        <v>304</v>
      </c>
      <c r="B1575" s="5" t="s">
        <v>309</v>
      </c>
      <c r="C1575" s="5" t="s">
        <v>310</v>
      </c>
      <c r="D1575" s="4" t="s">
        <v>22</v>
      </c>
      <c r="E1575" s="4" t="s">
        <v>2507</v>
      </c>
      <c r="F1575" s="4" t="s">
        <v>406</v>
      </c>
      <c r="G1575" s="4" t="s">
        <v>2508</v>
      </c>
      <c r="H1575" s="12" t="n">
        <v>40</v>
      </c>
      <c r="I1575" s="4" t="s">
        <v>474</v>
      </c>
      <c r="J1575" s="4" t="s">
        <v>409</v>
      </c>
      <c r="K1575" s="13" t="n">
        <v>80</v>
      </c>
      <c r="L1575" s="6" t="n">
        <f aca="false">H1575*K1575</f>
        <v>3200</v>
      </c>
      <c r="M1575" s="14" t="s">
        <v>410</v>
      </c>
    </row>
    <row r="1576" customFormat="false" ht="23.85" hidden="false" customHeight="false" outlineLevel="0" collapsed="false">
      <c r="A1576" s="4" t="s">
        <v>304</v>
      </c>
      <c r="B1576" s="5" t="s">
        <v>309</v>
      </c>
      <c r="C1576" s="5" t="s">
        <v>310</v>
      </c>
      <c r="D1576" s="4" t="s">
        <v>22</v>
      </c>
      <c r="E1576" s="4" t="s">
        <v>2509</v>
      </c>
      <c r="F1576" s="4" t="s">
        <v>406</v>
      </c>
      <c r="G1576" s="4" t="s">
        <v>2510</v>
      </c>
      <c r="H1576" s="12" t="n">
        <v>8</v>
      </c>
      <c r="I1576" s="4" t="s">
        <v>474</v>
      </c>
      <c r="J1576" s="4" t="s">
        <v>416</v>
      </c>
      <c r="K1576" s="13" t="n">
        <v>1800</v>
      </c>
      <c r="L1576" s="6" t="n">
        <f aca="false">H1576*K1576</f>
        <v>14400</v>
      </c>
      <c r="M1576" s="4" t="s">
        <v>371</v>
      </c>
    </row>
    <row r="1577" customFormat="false" ht="23.85" hidden="false" customHeight="false" outlineLevel="0" collapsed="false">
      <c r="A1577" s="4" t="s">
        <v>304</v>
      </c>
      <c r="B1577" s="5" t="s">
        <v>309</v>
      </c>
      <c r="C1577" s="5" t="s">
        <v>310</v>
      </c>
      <c r="D1577" s="4" t="s">
        <v>22</v>
      </c>
      <c r="E1577" s="4" t="s">
        <v>2511</v>
      </c>
      <c r="F1577" s="4" t="s">
        <v>406</v>
      </c>
      <c r="G1577" s="4" t="s">
        <v>2512</v>
      </c>
      <c r="H1577" s="12" t="n">
        <v>6</v>
      </c>
      <c r="I1577" s="4" t="s">
        <v>474</v>
      </c>
      <c r="J1577" s="4" t="s">
        <v>409</v>
      </c>
      <c r="K1577" s="13" t="n">
        <v>3500</v>
      </c>
      <c r="L1577" s="6" t="n">
        <f aca="false">H1577*K1577</f>
        <v>21000</v>
      </c>
      <c r="M1577" s="14" t="s">
        <v>410</v>
      </c>
    </row>
    <row r="1578" customFormat="false" ht="23.85" hidden="false" customHeight="false" outlineLevel="0" collapsed="false">
      <c r="A1578" s="4" t="s">
        <v>304</v>
      </c>
      <c r="B1578" s="5" t="s">
        <v>309</v>
      </c>
      <c r="C1578" s="5" t="s">
        <v>310</v>
      </c>
      <c r="D1578" s="4" t="s">
        <v>22</v>
      </c>
      <c r="E1578" s="4" t="s">
        <v>2513</v>
      </c>
      <c r="F1578" s="4" t="s">
        <v>470</v>
      </c>
      <c r="G1578" s="4" t="s">
        <v>2514</v>
      </c>
      <c r="H1578" s="12" t="n">
        <v>2</v>
      </c>
      <c r="I1578" s="4" t="s">
        <v>474</v>
      </c>
      <c r="J1578" s="4" t="s">
        <v>416</v>
      </c>
      <c r="K1578" s="13" t="n">
        <v>180</v>
      </c>
      <c r="L1578" s="6" t="n">
        <f aca="false">H1578*K1578</f>
        <v>360</v>
      </c>
      <c r="M1578" s="4" t="s">
        <v>371</v>
      </c>
    </row>
    <row r="1579" customFormat="false" ht="15" hidden="false" customHeight="false" outlineLevel="0" collapsed="false">
      <c r="A1579" s="4" t="s">
        <v>315</v>
      </c>
      <c r="B1579" s="5" t="s">
        <v>318</v>
      </c>
      <c r="C1579" s="5" t="s">
        <v>319</v>
      </c>
      <c r="D1579" s="4" t="s">
        <v>22</v>
      </c>
      <c r="E1579" s="4" t="s">
        <v>2515</v>
      </c>
      <c r="F1579" s="4" t="s">
        <v>406</v>
      </c>
      <c r="G1579" s="4" t="s">
        <v>2516</v>
      </c>
      <c r="H1579" s="12" t="n">
        <v>1</v>
      </c>
      <c r="I1579" s="4" t="s">
        <v>408</v>
      </c>
      <c r="J1579" s="4" t="s">
        <v>409</v>
      </c>
      <c r="K1579" s="13" t="n">
        <v>1800</v>
      </c>
      <c r="L1579" s="6" t="n">
        <f aca="false">H1579*K1579</f>
        <v>1800</v>
      </c>
      <c r="M1579" s="14" t="s">
        <v>410</v>
      </c>
    </row>
    <row r="1580" customFormat="false" ht="15" hidden="false" customHeight="false" outlineLevel="0" collapsed="false">
      <c r="A1580" s="4" t="s">
        <v>315</v>
      </c>
      <c r="B1580" s="5" t="s">
        <v>318</v>
      </c>
      <c r="C1580" s="5" t="s">
        <v>319</v>
      </c>
      <c r="D1580" s="4" t="s">
        <v>22</v>
      </c>
      <c r="E1580" s="4" t="s">
        <v>2517</v>
      </c>
      <c r="F1580" s="4" t="s">
        <v>406</v>
      </c>
      <c r="G1580" s="4" t="s">
        <v>2518</v>
      </c>
      <c r="H1580" s="12" t="n">
        <v>1</v>
      </c>
      <c r="I1580" s="4" t="s">
        <v>408</v>
      </c>
      <c r="J1580" s="4" t="s">
        <v>409</v>
      </c>
      <c r="K1580" s="13" t="n">
        <v>450</v>
      </c>
      <c r="L1580" s="6" t="n">
        <f aca="false">H1580*K1580</f>
        <v>450</v>
      </c>
      <c r="M1580" s="14" t="s">
        <v>410</v>
      </c>
    </row>
    <row r="1581" customFormat="false" ht="15" hidden="false" customHeight="false" outlineLevel="0" collapsed="false">
      <c r="A1581" s="4" t="s">
        <v>315</v>
      </c>
      <c r="B1581" s="5" t="s">
        <v>318</v>
      </c>
      <c r="C1581" s="5" t="s">
        <v>319</v>
      </c>
      <c r="D1581" s="4" t="s">
        <v>22</v>
      </c>
      <c r="E1581" s="4" t="s">
        <v>2519</v>
      </c>
      <c r="F1581" s="4" t="s">
        <v>406</v>
      </c>
      <c r="G1581" s="4" t="s">
        <v>2520</v>
      </c>
      <c r="H1581" s="12" t="n">
        <v>1</v>
      </c>
      <c r="I1581" s="4" t="s">
        <v>408</v>
      </c>
      <c r="J1581" s="4" t="s">
        <v>409</v>
      </c>
      <c r="K1581" s="13" t="n">
        <v>850</v>
      </c>
      <c r="L1581" s="6" t="n">
        <f aca="false">H1581*K1581</f>
        <v>850</v>
      </c>
      <c r="M1581" s="14" t="s">
        <v>410</v>
      </c>
    </row>
    <row r="1582" customFormat="false" ht="15" hidden="false" customHeight="false" outlineLevel="0" collapsed="false">
      <c r="A1582" s="4" t="s">
        <v>315</v>
      </c>
      <c r="B1582" s="5" t="s">
        <v>318</v>
      </c>
      <c r="C1582" s="5" t="s">
        <v>319</v>
      </c>
      <c r="D1582" s="4" t="s">
        <v>22</v>
      </c>
      <c r="E1582" s="4" t="s">
        <v>2521</v>
      </c>
      <c r="F1582" s="4" t="s">
        <v>406</v>
      </c>
      <c r="G1582" s="4" t="s">
        <v>2522</v>
      </c>
      <c r="H1582" s="12" t="n">
        <v>1</v>
      </c>
      <c r="I1582" s="4" t="s">
        <v>408</v>
      </c>
      <c r="J1582" s="4" t="s">
        <v>416</v>
      </c>
      <c r="K1582" s="13" t="n">
        <v>4500</v>
      </c>
      <c r="L1582" s="6" t="n">
        <f aca="false">H1582*K1582</f>
        <v>4500</v>
      </c>
      <c r="M1582" s="14" t="s">
        <v>410</v>
      </c>
    </row>
    <row r="1583" customFormat="false" ht="15" hidden="false" customHeight="false" outlineLevel="0" collapsed="false">
      <c r="A1583" s="4" t="s">
        <v>315</v>
      </c>
      <c r="B1583" s="5" t="s">
        <v>318</v>
      </c>
      <c r="C1583" s="5" t="s">
        <v>319</v>
      </c>
      <c r="D1583" s="4" t="s">
        <v>22</v>
      </c>
      <c r="E1583" s="4" t="s">
        <v>1675</v>
      </c>
      <c r="F1583" s="4" t="s">
        <v>406</v>
      </c>
      <c r="G1583" s="4" t="s">
        <v>1676</v>
      </c>
      <c r="H1583" s="12" t="n">
        <v>1</v>
      </c>
      <c r="I1583" s="4" t="s">
        <v>408</v>
      </c>
      <c r="J1583" s="4" t="s">
        <v>409</v>
      </c>
      <c r="K1583" s="13" t="n">
        <v>450</v>
      </c>
      <c r="L1583" s="6" t="n">
        <f aca="false">H1583*K1583</f>
        <v>450</v>
      </c>
      <c r="M1583" s="14" t="s">
        <v>410</v>
      </c>
    </row>
    <row r="1584" customFormat="false" ht="15" hidden="false" customHeight="false" outlineLevel="0" collapsed="false">
      <c r="A1584" s="4" t="s">
        <v>315</v>
      </c>
      <c r="B1584" s="5" t="s">
        <v>318</v>
      </c>
      <c r="C1584" s="5" t="s">
        <v>319</v>
      </c>
      <c r="D1584" s="4" t="s">
        <v>22</v>
      </c>
      <c r="E1584" s="4" t="s">
        <v>2523</v>
      </c>
      <c r="F1584" s="4" t="s">
        <v>406</v>
      </c>
      <c r="G1584" s="4" t="s">
        <v>2524</v>
      </c>
      <c r="H1584" s="12" t="n">
        <v>1</v>
      </c>
      <c r="I1584" s="4" t="s">
        <v>408</v>
      </c>
      <c r="J1584" s="4" t="s">
        <v>409</v>
      </c>
      <c r="K1584" s="13" t="n">
        <v>3500</v>
      </c>
      <c r="L1584" s="6" t="n">
        <f aca="false">H1584*K1584</f>
        <v>3500</v>
      </c>
      <c r="M1584" s="14" t="s">
        <v>410</v>
      </c>
    </row>
    <row r="1585" customFormat="false" ht="15" hidden="false" customHeight="false" outlineLevel="0" collapsed="false">
      <c r="A1585" s="4" t="s">
        <v>315</v>
      </c>
      <c r="B1585" s="5" t="s">
        <v>318</v>
      </c>
      <c r="C1585" s="5" t="s">
        <v>319</v>
      </c>
      <c r="D1585" s="4" t="s">
        <v>22</v>
      </c>
      <c r="E1585" s="4" t="s">
        <v>2525</v>
      </c>
      <c r="F1585" s="4" t="s">
        <v>406</v>
      </c>
      <c r="G1585" s="4" t="s">
        <v>2526</v>
      </c>
      <c r="H1585" s="12" t="n">
        <v>1</v>
      </c>
      <c r="I1585" s="4" t="s">
        <v>408</v>
      </c>
      <c r="J1585" s="4" t="s">
        <v>416</v>
      </c>
      <c r="K1585" s="13" t="n">
        <v>1200</v>
      </c>
      <c r="L1585" s="6" t="n">
        <f aca="false">H1585*K1585</f>
        <v>1200</v>
      </c>
      <c r="M1585" s="14" t="s">
        <v>410</v>
      </c>
    </row>
    <row r="1586" customFormat="false" ht="15" hidden="false" customHeight="false" outlineLevel="0" collapsed="false">
      <c r="A1586" s="4" t="s">
        <v>315</v>
      </c>
      <c r="B1586" s="5" t="s">
        <v>318</v>
      </c>
      <c r="C1586" s="5" t="s">
        <v>319</v>
      </c>
      <c r="D1586" s="4" t="s">
        <v>22</v>
      </c>
      <c r="E1586" s="4" t="s">
        <v>2527</v>
      </c>
      <c r="F1586" s="4" t="s">
        <v>406</v>
      </c>
      <c r="G1586" s="4" t="s">
        <v>2528</v>
      </c>
      <c r="H1586" s="12" t="n">
        <v>1</v>
      </c>
      <c r="I1586" s="4" t="s">
        <v>408</v>
      </c>
      <c r="J1586" s="4" t="s">
        <v>416</v>
      </c>
      <c r="K1586" s="13" t="n">
        <v>1800</v>
      </c>
      <c r="L1586" s="6" t="n">
        <f aca="false">H1586*K1586</f>
        <v>1800</v>
      </c>
      <c r="M1586" s="14" t="s">
        <v>410</v>
      </c>
    </row>
    <row r="1587" customFormat="false" ht="15" hidden="false" customHeight="false" outlineLevel="0" collapsed="false">
      <c r="A1587" s="4" t="s">
        <v>315</v>
      </c>
      <c r="B1587" s="5" t="s">
        <v>318</v>
      </c>
      <c r="C1587" s="5" t="s">
        <v>319</v>
      </c>
      <c r="D1587" s="4" t="s">
        <v>22</v>
      </c>
      <c r="E1587" s="4" t="s">
        <v>2529</v>
      </c>
      <c r="F1587" s="4" t="s">
        <v>406</v>
      </c>
      <c r="G1587" s="4" t="s">
        <v>1193</v>
      </c>
      <c r="H1587" s="12" t="n">
        <v>1</v>
      </c>
      <c r="I1587" s="4" t="s">
        <v>408</v>
      </c>
      <c r="J1587" s="4" t="s">
        <v>416</v>
      </c>
      <c r="K1587" s="13" t="n">
        <v>450</v>
      </c>
      <c r="L1587" s="6" t="n">
        <f aca="false">H1587*K1587</f>
        <v>450</v>
      </c>
      <c r="M1587" s="14" t="s">
        <v>410</v>
      </c>
    </row>
    <row r="1588" customFormat="false" ht="15" hidden="false" customHeight="false" outlineLevel="0" collapsed="false">
      <c r="A1588" s="4" t="s">
        <v>315</v>
      </c>
      <c r="B1588" s="5" t="s">
        <v>318</v>
      </c>
      <c r="C1588" s="5" t="s">
        <v>319</v>
      </c>
      <c r="D1588" s="4" t="s">
        <v>22</v>
      </c>
      <c r="E1588" s="4" t="s">
        <v>2530</v>
      </c>
      <c r="F1588" s="4" t="s">
        <v>406</v>
      </c>
      <c r="G1588" s="4" t="s">
        <v>2531</v>
      </c>
      <c r="H1588" s="12" t="n">
        <v>1</v>
      </c>
      <c r="I1588" s="4" t="s">
        <v>408</v>
      </c>
      <c r="J1588" s="4" t="s">
        <v>416</v>
      </c>
      <c r="K1588" s="13" t="n">
        <v>850</v>
      </c>
      <c r="L1588" s="6" t="n">
        <f aca="false">H1588*K1588</f>
        <v>850</v>
      </c>
      <c r="M1588" s="14" t="s">
        <v>410</v>
      </c>
    </row>
    <row r="1589" customFormat="false" ht="15" hidden="false" customHeight="false" outlineLevel="0" collapsed="false">
      <c r="A1589" s="4" t="s">
        <v>315</v>
      </c>
      <c r="B1589" s="5" t="s">
        <v>318</v>
      </c>
      <c r="C1589" s="5" t="s">
        <v>319</v>
      </c>
      <c r="D1589" s="4" t="s">
        <v>22</v>
      </c>
      <c r="E1589" s="4" t="s">
        <v>2532</v>
      </c>
      <c r="F1589" s="4" t="s">
        <v>406</v>
      </c>
      <c r="G1589" s="4" t="s">
        <v>2533</v>
      </c>
      <c r="H1589" s="12" t="n">
        <v>1</v>
      </c>
      <c r="I1589" s="4" t="s">
        <v>408</v>
      </c>
      <c r="J1589" s="4" t="s">
        <v>416</v>
      </c>
      <c r="K1589" s="13" t="n">
        <v>1800</v>
      </c>
      <c r="L1589" s="6" t="n">
        <f aca="false">H1589*K1589</f>
        <v>1800</v>
      </c>
      <c r="M1589" s="14" t="s">
        <v>410</v>
      </c>
    </row>
    <row r="1590" customFormat="false" ht="15" hidden="false" customHeight="false" outlineLevel="0" collapsed="false">
      <c r="A1590" s="4" t="s">
        <v>315</v>
      </c>
      <c r="B1590" s="5" t="s">
        <v>318</v>
      </c>
      <c r="C1590" s="5" t="s">
        <v>319</v>
      </c>
      <c r="D1590" s="4" t="s">
        <v>22</v>
      </c>
      <c r="E1590" s="4" t="s">
        <v>2534</v>
      </c>
      <c r="F1590" s="4" t="s">
        <v>406</v>
      </c>
      <c r="G1590" s="4" t="s">
        <v>2535</v>
      </c>
      <c r="H1590" s="12" t="n">
        <v>1</v>
      </c>
      <c r="I1590" s="4" t="s">
        <v>408</v>
      </c>
      <c r="J1590" s="4" t="s">
        <v>409</v>
      </c>
      <c r="K1590" s="13" t="n">
        <v>450</v>
      </c>
      <c r="L1590" s="6" t="n">
        <f aca="false">H1590*K1590</f>
        <v>450</v>
      </c>
      <c r="M1590" s="14" t="s">
        <v>410</v>
      </c>
    </row>
    <row r="1591" customFormat="false" ht="15" hidden="false" customHeight="false" outlineLevel="0" collapsed="false">
      <c r="A1591" s="4" t="s">
        <v>315</v>
      </c>
      <c r="B1591" s="5" t="s">
        <v>318</v>
      </c>
      <c r="C1591" s="5" t="s">
        <v>319</v>
      </c>
      <c r="D1591" s="4" t="s">
        <v>22</v>
      </c>
      <c r="E1591" s="4" t="s">
        <v>2536</v>
      </c>
      <c r="F1591" s="4" t="s">
        <v>406</v>
      </c>
      <c r="G1591" s="4" t="s">
        <v>2537</v>
      </c>
      <c r="H1591" s="12" t="n">
        <v>1</v>
      </c>
      <c r="I1591" s="4" t="s">
        <v>408</v>
      </c>
      <c r="J1591" s="4" t="s">
        <v>416</v>
      </c>
      <c r="K1591" s="13" t="n">
        <v>350</v>
      </c>
      <c r="L1591" s="6" t="n">
        <f aca="false">H1591*K1591</f>
        <v>350</v>
      </c>
      <c r="M1591" s="4" t="s">
        <v>371</v>
      </c>
    </row>
    <row r="1592" customFormat="false" ht="15" hidden="false" customHeight="false" outlineLevel="0" collapsed="false">
      <c r="A1592" s="4" t="s">
        <v>315</v>
      </c>
      <c r="B1592" s="5" t="s">
        <v>318</v>
      </c>
      <c r="C1592" s="5" t="s">
        <v>319</v>
      </c>
      <c r="D1592" s="4" t="s">
        <v>22</v>
      </c>
      <c r="E1592" s="4" t="s">
        <v>2538</v>
      </c>
      <c r="F1592" s="4" t="s">
        <v>406</v>
      </c>
      <c r="G1592" s="4" t="s">
        <v>2539</v>
      </c>
      <c r="H1592" s="12" t="n">
        <v>1</v>
      </c>
      <c r="I1592" s="4" t="s">
        <v>408</v>
      </c>
      <c r="J1592" s="4" t="s">
        <v>409</v>
      </c>
      <c r="K1592" s="13" t="n">
        <v>450</v>
      </c>
      <c r="L1592" s="6" t="n">
        <f aca="false">H1592*K1592</f>
        <v>450</v>
      </c>
      <c r="M1592" s="14" t="s">
        <v>410</v>
      </c>
    </row>
    <row r="1593" customFormat="false" ht="15" hidden="false" customHeight="false" outlineLevel="0" collapsed="false">
      <c r="A1593" s="4" t="s">
        <v>315</v>
      </c>
      <c r="B1593" s="5" t="s">
        <v>318</v>
      </c>
      <c r="C1593" s="5" t="s">
        <v>319</v>
      </c>
      <c r="D1593" s="4" t="s">
        <v>22</v>
      </c>
      <c r="E1593" s="4" t="s">
        <v>2540</v>
      </c>
      <c r="F1593" s="4" t="s">
        <v>406</v>
      </c>
      <c r="G1593" s="4" t="s">
        <v>1547</v>
      </c>
      <c r="H1593" s="12" t="n">
        <v>1</v>
      </c>
      <c r="I1593" s="4" t="s">
        <v>408</v>
      </c>
      <c r="J1593" s="4" t="s">
        <v>409</v>
      </c>
      <c r="K1593" s="13" t="n">
        <v>650</v>
      </c>
      <c r="L1593" s="6" t="n">
        <f aca="false">H1593*K1593</f>
        <v>650</v>
      </c>
      <c r="M1593" s="14" t="s">
        <v>410</v>
      </c>
    </row>
    <row r="1594" customFormat="false" ht="15" hidden="false" customHeight="false" outlineLevel="0" collapsed="false">
      <c r="A1594" s="4" t="s">
        <v>315</v>
      </c>
      <c r="B1594" s="5" t="s">
        <v>318</v>
      </c>
      <c r="C1594" s="5" t="s">
        <v>319</v>
      </c>
      <c r="D1594" s="4" t="s">
        <v>22</v>
      </c>
      <c r="E1594" s="4" t="s">
        <v>2541</v>
      </c>
      <c r="F1594" s="4" t="s">
        <v>406</v>
      </c>
      <c r="G1594" s="4" t="s">
        <v>2542</v>
      </c>
      <c r="H1594" s="12" t="n">
        <v>1</v>
      </c>
      <c r="I1594" s="4" t="s">
        <v>408</v>
      </c>
      <c r="J1594" s="4" t="s">
        <v>409</v>
      </c>
      <c r="K1594" s="13" t="n">
        <v>8500</v>
      </c>
      <c r="L1594" s="6" t="n">
        <f aca="false">H1594*K1594</f>
        <v>8500</v>
      </c>
      <c r="M1594" s="14" t="s">
        <v>410</v>
      </c>
    </row>
    <row r="1595" customFormat="false" ht="15" hidden="false" customHeight="false" outlineLevel="0" collapsed="false">
      <c r="A1595" s="4" t="s">
        <v>315</v>
      </c>
      <c r="B1595" s="5" t="s">
        <v>318</v>
      </c>
      <c r="C1595" s="5" t="s">
        <v>319</v>
      </c>
      <c r="D1595" s="4" t="s">
        <v>22</v>
      </c>
      <c r="E1595" s="4" t="s">
        <v>2543</v>
      </c>
      <c r="F1595" s="4" t="s">
        <v>406</v>
      </c>
      <c r="G1595" s="4" t="s">
        <v>2544</v>
      </c>
      <c r="H1595" s="12" t="n">
        <v>1</v>
      </c>
      <c r="I1595" s="4" t="s">
        <v>408</v>
      </c>
      <c r="J1595" s="4" t="s">
        <v>409</v>
      </c>
      <c r="K1595" s="13" t="n">
        <v>85000</v>
      </c>
      <c r="L1595" s="6" t="n">
        <f aca="false">H1595*K1595</f>
        <v>85000</v>
      </c>
      <c r="M1595" s="4" t="s">
        <v>371</v>
      </c>
    </row>
    <row r="1596" customFormat="false" ht="15" hidden="false" customHeight="false" outlineLevel="0" collapsed="false">
      <c r="A1596" s="4" t="s">
        <v>315</v>
      </c>
      <c r="B1596" s="5" t="s">
        <v>318</v>
      </c>
      <c r="C1596" s="5" t="s">
        <v>319</v>
      </c>
      <c r="D1596" s="4" t="s">
        <v>22</v>
      </c>
      <c r="E1596" s="4" t="s">
        <v>2545</v>
      </c>
      <c r="F1596" s="4" t="s">
        <v>406</v>
      </c>
      <c r="G1596" s="4" t="s">
        <v>2546</v>
      </c>
      <c r="H1596" s="12" t="n">
        <v>1</v>
      </c>
      <c r="I1596" s="4" t="s">
        <v>408</v>
      </c>
      <c r="J1596" s="4" t="s">
        <v>409</v>
      </c>
      <c r="K1596" s="13" t="n">
        <v>18000</v>
      </c>
      <c r="L1596" s="6" t="n">
        <f aca="false">H1596*K1596</f>
        <v>18000</v>
      </c>
      <c r="M1596" s="4" t="s">
        <v>371</v>
      </c>
    </row>
    <row r="1597" customFormat="false" ht="15" hidden="false" customHeight="false" outlineLevel="0" collapsed="false">
      <c r="A1597" s="4" t="s">
        <v>315</v>
      </c>
      <c r="B1597" s="5" t="s">
        <v>318</v>
      </c>
      <c r="C1597" s="5" t="s">
        <v>319</v>
      </c>
      <c r="D1597" s="4" t="s">
        <v>22</v>
      </c>
      <c r="E1597" s="4" t="s">
        <v>2547</v>
      </c>
      <c r="F1597" s="4" t="s">
        <v>406</v>
      </c>
      <c r="G1597" s="4" t="s">
        <v>2548</v>
      </c>
      <c r="H1597" s="12" t="n">
        <v>1</v>
      </c>
      <c r="I1597" s="4" t="s">
        <v>408</v>
      </c>
      <c r="J1597" s="4" t="s">
        <v>409</v>
      </c>
      <c r="K1597" s="13" t="n">
        <v>1800</v>
      </c>
      <c r="L1597" s="6" t="n">
        <f aca="false">H1597*K1597</f>
        <v>1800</v>
      </c>
      <c r="M1597" s="14" t="s">
        <v>410</v>
      </c>
    </row>
    <row r="1598" customFormat="false" ht="15" hidden="false" customHeight="false" outlineLevel="0" collapsed="false">
      <c r="A1598" s="4" t="s">
        <v>315</v>
      </c>
      <c r="B1598" s="5" t="s">
        <v>318</v>
      </c>
      <c r="C1598" s="5" t="s">
        <v>319</v>
      </c>
      <c r="D1598" s="4" t="s">
        <v>22</v>
      </c>
      <c r="E1598" s="4" t="s">
        <v>2549</v>
      </c>
      <c r="F1598" s="4" t="s">
        <v>406</v>
      </c>
      <c r="G1598" s="4" t="s">
        <v>2550</v>
      </c>
      <c r="H1598" s="12" t="n">
        <v>1</v>
      </c>
      <c r="I1598" s="4" t="s">
        <v>408</v>
      </c>
      <c r="J1598" s="4" t="s">
        <v>409</v>
      </c>
      <c r="K1598" s="13" t="n">
        <v>8500</v>
      </c>
      <c r="L1598" s="6" t="n">
        <f aca="false">H1598*K1598</f>
        <v>8500</v>
      </c>
      <c r="M1598" s="4" t="s">
        <v>371</v>
      </c>
    </row>
    <row r="1599" customFormat="false" ht="15" hidden="false" customHeight="false" outlineLevel="0" collapsed="false">
      <c r="A1599" s="4" t="s">
        <v>315</v>
      </c>
      <c r="B1599" s="5" t="s">
        <v>318</v>
      </c>
      <c r="C1599" s="5" t="s">
        <v>319</v>
      </c>
      <c r="D1599" s="4" t="s">
        <v>22</v>
      </c>
      <c r="E1599" s="4" t="s">
        <v>2551</v>
      </c>
      <c r="F1599" s="4" t="s">
        <v>406</v>
      </c>
      <c r="G1599" s="4" t="s">
        <v>2552</v>
      </c>
      <c r="H1599" s="12" t="n">
        <v>1</v>
      </c>
      <c r="I1599" s="4" t="s">
        <v>408</v>
      </c>
      <c r="J1599" s="4" t="s">
        <v>409</v>
      </c>
      <c r="K1599" s="13" t="n">
        <v>85000</v>
      </c>
      <c r="L1599" s="6" t="n">
        <f aca="false">H1599*K1599</f>
        <v>85000</v>
      </c>
      <c r="M1599" s="14" t="s">
        <v>410</v>
      </c>
    </row>
    <row r="1600" customFormat="false" ht="15" hidden="false" customHeight="false" outlineLevel="0" collapsed="false">
      <c r="A1600" s="4" t="s">
        <v>315</v>
      </c>
      <c r="B1600" s="5" t="s">
        <v>318</v>
      </c>
      <c r="C1600" s="5" t="s">
        <v>319</v>
      </c>
      <c r="D1600" s="4" t="s">
        <v>22</v>
      </c>
      <c r="E1600" s="4" t="s">
        <v>2553</v>
      </c>
      <c r="F1600" s="4" t="s">
        <v>488</v>
      </c>
      <c r="G1600" s="4" t="s">
        <v>2554</v>
      </c>
      <c r="H1600" s="12" t="n">
        <v>1</v>
      </c>
      <c r="I1600" s="4" t="s">
        <v>408</v>
      </c>
      <c r="J1600" s="4" t="s">
        <v>416</v>
      </c>
      <c r="K1600" s="13" t="n">
        <v>450</v>
      </c>
      <c r="L1600" s="6" t="n">
        <f aca="false">H1600*K1600</f>
        <v>450</v>
      </c>
      <c r="M1600" s="4" t="s">
        <v>371</v>
      </c>
    </row>
    <row r="1601" customFormat="false" ht="15" hidden="false" customHeight="false" outlineLevel="0" collapsed="false">
      <c r="A1601" s="4" t="s">
        <v>315</v>
      </c>
      <c r="B1601" s="5" t="s">
        <v>318</v>
      </c>
      <c r="C1601" s="5" t="s">
        <v>319</v>
      </c>
      <c r="D1601" s="4" t="s">
        <v>22</v>
      </c>
      <c r="E1601" s="4" t="s">
        <v>2555</v>
      </c>
      <c r="F1601" s="4" t="s">
        <v>488</v>
      </c>
      <c r="G1601" s="4" t="s">
        <v>2556</v>
      </c>
      <c r="H1601" s="12" t="n">
        <v>1</v>
      </c>
      <c r="I1601" s="4" t="s">
        <v>408</v>
      </c>
      <c r="J1601" s="4" t="s">
        <v>429</v>
      </c>
      <c r="K1601" s="13" t="n">
        <v>180</v>
      </c>
      <c r="L1601" s="6" t="n">
        <f aca="false">H1601*K1601</f>
        <v>180</v>
      </c>
      <c r="M1601" s="4" t="s">
        <v>371</v>
      </c>
    </row>
    <row r="1602" customFormat="false" ht="15" hidden="false" customHeight="false" outlineLevel="0" collapsed="false">
      <c r="A1602" s="4" t="s">
        <v>315</v>
      </c>
      <c r="B1602" s="5" t="s">
        <v>318</v>
      </c>
      <c r="C1602" s="5" t="s">
        <v>319</v>
      </c>
      <c r="D1602" s="4" t="s">
        <v>22</v>
      </c>
      <c r="E1602" s="4" t="s">
        <v>2557</v>
      </c>
      <c r="F1602" s="4" t="s">
        <v>488</v>
      </c>
      <c r="G1602" s="4" t="s">
        <v>2558</v>
      </c>
      <c r="H1602" s="12" t="n">
        <v>1</v>
      </c>
      <c r="I1602" s="4" t="s">
        <v>408</v>
      </c>
      <c r="J1602" s="4" t="s">
        <v>416</v>
      </c>
      <c r="K1602" s="13" t="n">
        <v>850</v>
      </c>
      <c r="L1602" s="6" t="n">
        <f aca="false">H1602*K1602</f>
        <v>850</v>
      </c>
      <c r="M1602" s="4" t="s">
        <v>371</v>
      </c>
    </row>
    <row r="1603" customFormat="false" ht="15" hidden="false" customHeight="false" outlineLevel="0" collapsed="false">
      <c r="A1603" s="4" t="s">
        <v>315</v>
      </c>
      <c r="B1603" s="5" t="s">
        <v>318</v>
      </c>
      <c r="C1603" s="5" t="s">
        <v>319</v>
      </c>
      <c r="D1603" s="4" t="s">
        <v>22</v>
      </c>
      <c r="E1603" s="4" t="s">
        <v>2559</v>
      </c>
      <c r="F1603" s="4" t="s">
        <v>470</v>
      </c>
      <c r="G1603" s="4" t="s">
        <v>2560</v>
      </c>
      <c r="H1603" s="12" t="n">
        <v>1</v>
      </c>
      <c r="I1603" s="4" t="s">
        <v>408</v>
      </c>
      <c r="J1603" s="4" t="s">
        <v>409</v>
      </c>
      <c r="K1603" s="13" t="n">
        <v>850</v>
      </c>
      <c r="L1603" s="6" t="n">
        <f aca="false">H1603*K1603</f>
        <v>850</v>
      </c>
      <c r="M1603" s="4" t="s">
        <v>371</v>
      </c>
    </row>
    <row r="1604" customFormat="false" ht="15" hidden="false" customHeight="false" outlineLevel="0" collapsed="false">
      <c r="A1604" s="4" t="s">
        <v>315</v>
      </c>
      <c r="B1604" s="5" t="s">
        <v>318</v>
      </c>
      <c r="C1604" s="5" t="s">
        <v>319</v>
      </c>
      <c r="D1604" s="4" t="s">
        <v>22</v>
      </c>
      <c r="E1604" s="4" t="s">
        <v>2561</v>
      </c>
      <c r="F1604" s="4" t="s">
        <v>470</v>
      </c>
      <c r="G1604" s="4" t="s">
        <v>2562</v>
      </c>
      <c r="H1604" s="12" t="n">
        <v>1</v>
      </c>
      <c r="I1604" s="4" t="s">
        <v>408</v>
      </c>
      <c r="J1604" s="4" t="s">
        <v>409</v>
      </c>
      <c r="K1604" s="13" t="n">
        <v>850</v>
      </c>
      <c r="L1604" s="6" t="n">
        <f aca="false">H1604*K1604</f>
        <v>850</v>
      </c>
      <c r="M1604" s="4" t="s">
        <v>371</v>
      </c>
    </row>
    <row r="1605" customFormat="false" ht="15" hidden="false" customHeight="false" outlineLevel="0" collapsed="false">
      <c r="A1605" s="4" t="s">
        <v>315</v>
      </c>
      <c r="B1605" s="5" t="s">
        <v>318</v>
      </c>
      <c r="C1605" s="5" t="s">
        <v>319</v>
      </c>
      <c r="D1605" s="4" t="s">
        <v>22</v>
      </c>
      <c r="E1605" s="4" t="s">
        <v>2563</v>
      </c>
      <c r="F1605" s="4" t="s">
        <v>470</v>
      </c>
      <c r="G1605" s="4" t="s">
        <v>2564</v>
      </c>
      <c r="H1605" s="12" t="n">
        <v>1</v>
      </c>
      <c r="I1605" s="4" t="s">
        <v>408</v>
      </c>
      <c r="J1605" s="4" t="s">
        <v>409</v>
      </c>
      <c r="K1605" s="13" t="n">
        <v>8500</v>
      </c>
      <c r="L1605" s="6" t="n">
        <f aca="false">H1605*K1605</f>
        <v>8500</v>
      </c>
      <c r="M1605" s="4" t="s">
        <v>371</v>
      </c>
    </row>
    <row r="1606" customFormat="false" ht="15" hidden="false" customHeight="false" outlineLevel="0" collapsed="false">
      <c r="A1606" s="4" t="s">
        <v>315</v>
      </c>
      <c r="B1606" s="5" t="s">
        <v>318</v>
      </c>
      <c r="C1606" s="5" t="s">
        <v>319</v>
      </c>
      <c r="D1606" s="4" t="s">
        <v>22</v>
      </c>
      <c r="E1606" s="4" t="s">
        <v>2565</v>
      </c>
      <c r="F1606" s="4" t="s">
        <v>470</v>
      </c>
      <c r="G1606" s="4" t="s">
        <v>2566</v>
      </c>
      <c r="H1606" s="12" t="n">
        <v>1</v>
      </c>
      <c r="I1606" s="4" t="s">
        <v>408</v>
      </c>
      <c r="J1606" s="4" t="s">
        <v>409</v>
      </c>
      <c r="K1606" s="13" t="n">
        <v>4500</v>
      </c>
      <c r="L1606" s="6" t="n">
        <f aca="false">H1606*K1606</f>
        <v>4500</v>
      </c>
      <c r="M1606" s="4" t="s">
        <v>371</v>
      </c>
    </row>
    <row r="1607" customFormat="false" ht="15" hidden="false" customHeight="false" outlineLevel="0" collapsed="false">
      <c r="A1607" s="4" t="s">
        <v>315</v>
      </c>
      <c r="B1607" s="5" t="s">
        <v>318</v>
      </c>
      <c r="C1607" s="5" t="s">
        <v>319</v>
      </c>
      <c r="D1607" s="4" t="s">
        <v>22</v>
      </c>
      <c r="E1607" s="4" t="s">
        <v>2567</v>
      </c>
      <c r="F1607" s="4" t="s">
        <v>470</v>
      </c>
      <c r="G1607" s="4" t="s">
        <v>2568</v>
      </c>
      <c r="H1607" s="12" t="n">
        <v>1</v>
      </c>
      <c r="I1607" s="4" t="s">
        <v>408</v>
      </c>
      <c r="J1607" s="4" t="s">
        <v>409</v>
      </c>
      <c r="K1607" s="13" t="n">
        <v>4500</v>
      </c>
      <c r="L1607" s="6" t="n">
        <f aca="false">H1607*K1607</f>
        <v>4500</v>
      </c>
      <c r="M1607" s="4" t="s">
        <v>371</v>
      </c>
    </row>
    <row r="1608" customFormat="false" ht="15" hidden="false" customHeight="false" outlineLevel="0" collapsed="false">
      <c r="A1608" s="4" t="s">
        <v>315</v>
      </c>
      <c r="B1608" s="5" t="s">
        <v>318</v>
      </c>
      <c r="C1608" s="5" t="s">
        <v>319</v>
      </c>
      <c r="D1608" s="4" t="s">
        <v>22</v>
      </c>
      <c r="E1608" s="4" t="s">
        <v>2569</v>
      </c>
      <c r="F1608" s="4" t="s">
        <v>470</v>
      </c>
      <c r="G1608" s="4" t="s">
        <v>2570</v>
      </c>
      <c r="H1608" s="12" t="n">
        <v>1</v>
      </c>
      <c r="I1608" s="4" t="s">
        <v>408</v>
      </c>
      <c r="J1608" s="4" t="s">
        <v>409</v>
      </c>
      <c r="K1608" s="13" t="n">
        <v>850</v>
      </c>
      <c r="L1608" s="6" t="n">
        <f aca="false">H1608*K1608</f>
        <v>850</v>
      </c>
      <c r="M1608" s="4" t="s">
        <v>371</v>
      </c>
    </row>
    <row r="1609" customFormat="false" ht="15" hidden="false" customHeight="false" outlineLevel="0" collapsed="false">
      <c r="A1609" s="4" t="s">
        <v>315</v>
      </c>
      <c r="B1609" s="5" t="s">
        <v>318</v>
      </c>
      <c r="C1609" s="5" t="s">
        <v>319</v>
      </c>
      <c r="D1609" s="4" t="s">
        <v>22</v>
      </c>
      <c r="E1609" s="4" t="s">
        <v>2571</v>
      </c>
      <c r="F1609" s="4" t="s">
        <v>470</v>
      </c>
      <c r="G1609" s="4" t="s">
        <v>2572</v>
      </c>
      <c r="H1609" s="12" t="n">
        <v>1</v>
      </c>
      <c r="I1609" s="4" t="s">
        <v>408</v>
      </c>
      <c r="J1609" s="4" t="s">
        <v>409</v>
      </c>
      <c r="K1609" s="13" t="n">
        <v>8500</v>
      </c>
      <c r="L1609" s="6" t="n">
        <f aca="false">H1609*K1609</f>
        <v>8500</v>
      </c>
      <c r="M1609" s="4" t="s">
        <v>371</v>
      </c>
    </row>
    <row r="1610" customFormat="false" ht="15" hidden="false" customHeight="false" outlineLevel="0" collapsed="false">
      <c r="A1610" s="4" t="s">
        <v>315</v>
      </c>
      <c r="B1610" s="5" t="s">
        <v>318</v>
      </c>
      <c r="C1610" s="5" t="s">
        <v>319</v>
      </c>
      <c r="D1610" s="4" t="s">
        <v>22</v>
      </c>
      <c r="E1610" s="4" t="s">
        <v>2573</v>
      </c>
      <c r="F1610" s="4" t="s">
        <v>470</v>
      </c>
      <c r="G1610" s="4" t="s">
        <v>2114</v>
      </c>
      <c r="H1610" s="12" t="n">
        <v>1</v>
      </c>
      <c r="I1610" s="4" t="s">
        <v>408</v>
      </c>
      <c r="J1610" s="4" t="s">
        <v>409</v>
      </c>
      <c r="K1610" s="13" t="n">
        <v>18000</v>
      </c>
      <c r="L1610" s="6" t="n">
        <f aca="false">H1610*K1610</f>
        <v>18000</v>
      </c>
      <c r="M1610" s="14" t="s">
        <v>410</v>
      </c>
    </row>
    <row r="1611" customFormat="false" ht="15" hidden="false" customHeight="false" outlineLevel="0" collapsed="false">
      <c r="A1611" s="4" t="s">
        <v>315</v>
      </c>
      <c r="B1611" s="5" t="s">
        <v>320</v>
      </c>
      <c r="C1611" s="5" t="s">
        <v>321</v>
      </c>
      <c r="D1611" s="4" t="s">
        <v>22</v>
      </c>
      <c r="E1611" s="4" t="s">
        <v>2515</v>
      </c>
      <c r="F1611" s="4" t="s">
        <v>406</v>
      </c>
      <c r="G1611" s="4" t="s">
        <v>2516</v>
      </c>
      <c r="H1611" s="12" t="n">
        <v>1</v>
      </c>
      <c r="I1611" s="4" t="s">
        <v>408</v>
      </c>
      <c r="J1611" s="4" t="s">
        <v>409</v>
      </c>
      <c r="K1611" s="13" t="n">
        <v>1800</v>
      </c>
      <c r="L1611" s="6" t="n">
        <f aca="false">H1611*K1611</f>
        <v>1800</v>
      </c>
      <c r="M1611" s="14" t="s">
        <v>410</v>
      </c>
    </row>
    <row r="1612" customFormat="false" ht="15" hidden="false" customHeight="false" outlineLevel="0" collapsed="false">
      <c r="A1612" s="4" t="s">
        <v>315</v>
      </c>
      <c r="B1612" s="5" t="s">
        <v>320</v>
      </c>
      <c r="C1612" s="5" t="s">
        <v>321</v>
      </c>
      <c r="D1612" s="4" t="s">
        <v>22</v>
      </c>
      <c r="E1612" s="4" t="s">
        <v>2517</v>
      </c>
      <c r="F1612" s="4" t="s">
        <v>406</v>
      </c>
      <c r="G1612" s="4" t="s">
        <v>2518</v>
      </c>
      <c r="H1612" s="12" t="n">
        <v>1</v>
      </c>
      <c r="I1612" s="4" t="s">
        <v>408</v>
      </c>
      <c r="J1612" s="4" t="s">
        <v>409</v>
      </c>
      <c r="K1612" s="13" t="n">
        <v>450</v>
      </c>
      <c r="L1612" s="6" t="n">
        <f aca="false">H1612*K1612</f>
        <v>450</v>
      </c>
      <c r="M1612" s="14" t="s">
        <v>410</v>
      </c>
    </row>
    <row r="1613" customFormat="false" ht="15" hidden="false" customHeight="false" outlineLevel="0" collapsed="false">
      <c r="A1613" s="4" t="s">
        <v>315</v>
      </c>
      <c r="B1613" s="5" t="s">
        <v>320</v>
      </c>
      <c r="C1613" s="5" t="s">
        <v>321</v>
      </c>
      <c r="D1613" s="4" t="s">
        <v>22</v>
      </c>
      <c r="E1613" s="4" t="s">
        <v>2519</v>
      </c>
      <c r="F1613" s="4" t="s">
        <v>406</v>
      </c>
      <c r="G1613" s="4" t="s">
        <v>2520</v>
      </c>
      <c r="H1613" s="12" t="n">
        <v>1</v>
      </c>
      <c r="I1613" s="4" t="s">
        <v>408</v>
      </c>
      <c r="J1613" s="4" t="s">
        <v>409</v>
      </c>
      <c r="K1613" s="13" t="n">
        <v>850</v>
      </c>
      <c r="L1613" s="6" t="n">
        <f aca="false">H1613*K1613</f>
        <v>850</v>
      </c>
      <c r="M1613" s="14" t="s">
        <v>410</v>
      </c>
    </row>
    <row r="1614" customFormat="false" ht="15" hidden="false" customHeight="false" outlineLevel="0" collapsed="false">
      <c r="A1614" s="4" t="s">
        <v>315</v>
      </c>
      <c r="B1614" s="5" t="s">
        <v>320</v>
      </c>
      <c r="C1614" s="5" t="s">
        <v>321</v>
      </c>
      <c r="D1614" s="4" t="s">
        <v>22</v>
      </c>
      <c r="E1614" s="4" t="s">
        <v>2521</v>
      </c>
      <c r="F1614" s="4" t="s">
        <v>406</v>
      </c>
      <c r="G1614" s="4" t="s">
        <v>2522</v>
      </c>
      <c r="H1614" s="12" t="n">
        <v>1</v>
      </c>
      <c r="I1614" s="4" t="s">
        <v>408</v>
      </c>
      <c r="J1614" s="4" t="s">
        <v>416</v>
      </c>
      <c r="K1614" s="13" t="n">
        <v>4500</v>
      </c>
      <c r="L1614" s="6" t="n">
        <f aca="false">H1614*K1614</f>
        <v>4500</v>
      </c>
      <c r="M1614" s="14" t="s">
        <v>410</v>
      </c>
    </row>
    <row r="1615" customFormat="false" ht="15" hidden="false" customHeight="false" outlineLevel="0" collapsed="false">
      <c r="A1615" s="4" t="s">
        <v>315</v>
      </c>
      <c r="B1615" s="5" t="s">
        <v>320</v>
      </c>
      <c r="C1615" s="5" t="s">
        <v>321</v>
      </c>
      <c r="D1615" s="4" t="s">
        <v>22</v>
      </c>
      <c r="E1615" s="4" t="s">
        <v>1675</v>
      </c>
      <c r="F1615" s="4" t="s">
        <v>406</v>
      </c>
      <c r="G1615" s="4" t="s">
        <v>1676</v>
      </c>
      <c r="H1615" s="12" t="n">
        <v>1</v>
      </c>
      <c r="I1615" s="4" t="s">
        <v>408</v>
      </c>
      <c r="J1615" s="4" t="s">
        <v>409</v>
      </c>
      <c r="K1615" s="13" t="n">
        <v>450</v>
      </c>
      <c r="L1615" s="6" t="n">
        <f aca="false">H1615*K1615</f>
        <v>450</v>
      </c>
      <c r="M1615" s="14" t="s">
        <v>410</v>
      </c>
    </row>
    <row r="1616" customFormat="false" ht="15" hidden="false" customHeight="false" outlineLevel="0" collapsed="false">
      <c r="A1616" s="4" t="s">
        <v>315</v>
      </c>
      <c r="B1616" s="5" t="s">
        <v>320</v>
      </c>
      <c r="C1616" s="5" t="s">
        <v>321</v>
      </c>
      <c r="D1616" s="4" t="s">
        <v>22</v>
      </c>
      <c r="E1616" s="4" t="s">
        <v>2523</v>
      </c>
      <c r="F1616" s="4" t="s">
        <v>406</v>
      </c>
      <c r="G1616" s="4" t="s">
        <v>2524</v>
      </c>
      <c r="H1616" s="12" t="n">
        <v>1</v>
      </c>
      <c r="I1616" s="4" t="s">
        <v>408</v>
      </c>
      <c r="J1616" s="4" t="s">
        <v>409</v>
      </c>
      <c r="K1616" s="13" t="n">
        <v>3500</v>
      </c>
      <c r="L1616" s="6" t="n">
        <f aca="false">H1616*K1616</f>
        <v>3500</v>
      </c>
      <c r="M1616" s="14" t="s">
        <v>410</v>
      </c>
    </row>
    <row r="1617" customFormat="false" ht="15" hidden="false" customHeight="false" outlineLevel="0" collapsed="false">
      <c r="A1617" s="4" t="s">
        <v>315</v>
      </c>
      <c r="B1617" s="5" t="s">
        <v>320</v>
      </c>
      <c r="C1617" s="5" t="s">
        <v>321</v>
      </c>
      <c r="D1617" s="4" t="s">
        <v>22</v>
      </c>
      <c r="E1617" s="4" t="s">
        <v>2525</v>
      </c>
      <c r="F1617" s="4" t="s">
        <v>406</v>
      </c>
      <c r="G1617" s="4" t="s">
        <v>2526</v>
      </c>
      <c r="H1617" s="12" t="n">
        <v>1</v>
      </c>
      <c r="I1617" s="4" t="s">
        <v>408</v>
      </c>
      <c r="J1617" s="4" t="s">
        <v>416</v>
      </c>
      <c r="K1617" s="13" t="n">
        <v>1200</v>
      </c>
      <c r="L1617" s="6" t="n">
        <f aca="false">H1617*K1617</f>
        <v>1200</v>
      </c>
      <c r="M1617" s="14" t="s">
        <v>410</v>
      </c>
    </row>
    <row r="1618" customFormat="false" ht="15" hidden="false" customHeight="false" outlineLevel="0" collapsed="false">
      <c r="A1618" s="4" t="s">
        <v>315</v>
      </c>
      <c r="B1618" s="5" t="s">
        <v>320</v>
      </c>
      <c r="C1618" s="5" t="s">
        <v>321</v>
      </c>
      <c r="D1618" s="4" t="s">
        <v>22</v>
      </c>
      <c r="E1618" s="4" t="s">
        <v>2527</v>
      </c>
      <c r="F1618" s="4" t="s">
        <v>406</v>
      </c>
      <c r="G1618" s="4" t="s">
        <v>2528</v>
      </c>
      <c r="H1618" s="12" t="n">
        <v>1</v>
      </c>
      <c r="I1618" s="4" t="s">
        <v>408</v>
      </c>
      <c r="J1618" s="4" t="s">
        <v>416</v>
      </c>
      <c r="K1618" s="13" t="n">
        <v>1800</v>
      </c>
      <c r="L1618" s="6" t="n">
        <f aca="false">H1618*K1618</f>
        <v>1800</v>
      </c>
      <c r="M1618" s="14" t="s">
        <v>410</v>
      </c>
    </row>
    <row r="1619" customFormat="false" ht="15" hidden="false" customHeight="false" outlineLevel="0" collapsed="false">
      <c r="A1619" s="4" t="s">
        <v>315</v>
      </c>
      <c r="B1619" s="5" t="s">
        <v>320</v>
      </c>
      <c r="C1619" s="5" t="s">
        <v>321</v>
      </c>
      <c r="D1619" s="4" t="s">
        <v>22</v>
      </c>
      <c r="E1619" s="4" t="s">
        <v>2529</v>
      </c>
      <c r="F1619" s="4" t="s">
        <v>406</v>
      </c>
      <c r="G1619" s="4" t="s">
        <v>1193</v>
      </c>
      <c r="H1619" s="12" t="n">
        <v>1</v>
      </c>
      <c r="I1619" s="4" t="s">
        <v>408</v>
      </c>
      <c r="J1619" s="4" t="s">
        <v>416</v>
      </c>
      <c r="K1619" s="13" t="n">
        <v>450</v>
      </c>
      <c r="L1619" s="6" t="n">
        <f aca="false">H1619*K1619</f>
        <v>450</v>
      </c>
      <c r="M1619" s="14" t="s">
        <v>410</v>
      </c>
    </row>
    <row r="1620" customFormat="false" ht="15" hidden="false" customHeight="false" outlineLevel="0" collapsed="false">
      <c r="A1620" s="4" t="s">
        <v>315</v>
      </c>
      <c r="B1620" s="5" t="s">
        <v>320</v>
      </c>
      <c r="C1620" s="5" t="s">
        <v>321</v>
      </c>
      <c r="D1620" s="4" t="s">
        <v>22</v>
      </c>
      <c r="E1620" s="4" t="s">
        <v>2530</v>
      </c>
      <c r="F1620" s="4" t="s">
        <v>406</v>
      </c>
      <c r="G1620" s="4" t="s">
        <v>2531</v>
      </c>
      <c r="H1620" s="12" t="n">
        <v>1</v>
      </c>
      <c r="I1620" s="4" t="s">
        <v>408</v>
      </c>
      <c r="J1620" s="4" t="s">
        <v>416</v>
      </c>
      <c r="K1620" s="13" t="n">
        <v>850</v>
      </c>
      <c r="L1620" s="6" t="n">
        <f aca="false">H1620*K1620</f>
        <v>850</v>
      </c>
      <c r="M1620" s="14" t="s">
        <v>410</v>
      </c>
    </row>
    <row r="1621" customFormat="false" ht="15" hidden="false" customHeight="false" outlineLevel="0" collapsed="false">
      <c r="A1621" s="4" t="s">
        <v>315</v>
      </c>
      <c r="B1621" s="5" t="s">
        <v>320</v>
      </c>
      <c r="C1621" s="5" t="s">
        <v>321</v>
      </c>
      <c r="D1621" s="4" t="s">
        <v>22</v>
      </c>
      <c r="E1621" s="4" t="s">
        <v>2532</v>
      </c>
      <c r="F1621" s="4" t="s">
        <v>406</v>
      </c>
      <c r="G1621" s="4" t="s">
        <v>2533</v>
      </c>
      <c r="H1621" s="12" t="n">
        <v>1</v>
      </c>
      <c r="I1621" s="4" t="s">
        <v>408</v>
      </c>
      <c r="J1621" s="4" t="s">
        <v>416</v>
      </c>
      <c r="K1621" s="13" t="n">
        <v>1800</v>
      </c>
      <c r="L1621" s="6" t="n">
        <f aca="false">H1621*K1621</f>
        <v>1800</v>
      </c>
      <c r="M1621" s="14" t="s">
        <v>410</v>
      </c>
    </row>
    <row r="1622" customFormat="false" ht="15" hidden="false" customHeight="false" outlineLevel="0" collapsed="false">
      <c r="A1622" s="4" t="s">
        <v>315</v>
      </c>
      <c r="B1622" s="5" t="s">
        <v>320</v>
      </c>
      <c r="C1622" s="5" t="s">
        <v>321</v>
      </c>
      <c r="D1622" s="4" t="s">
        <v>22</v>
      </c>
      <c r="E1622" s="4" t="s">
        <v>2534</v>
      </c>
      <c r="F1622" s="4" t="s">
        <v>406</v>
      </c>
      <c r="G1622" s="4" t="s">
        <v>2535</v>
      </c>
      <c r="H1622" s="12" t="n">
        <v>1</v>
      </c>
      <c r="I1622" s="4" t="s">
        <v>408</v>
      </c>
      <c r="J1622" s="4" t="s">
        <v>409</v>
      </c>
      <c r="K1622" s="13" t="n">
        <v>450</v>
      </c>
      <c r="L1622" s="6" t="n">
        <f aca="false">H1622*K1622</f>
        <v>450</v>
      </c>
      <c r="M1622" s="14" t="s">
        <v>410</v>
      </c>
    </row>
    <row r="1623" customFormat="false" ht="15" hidden="false" customHeight="false" outlineLevel="0" collapsed="false">
      <c r="A1623" s="4" t="s">
        <v>315</v>
      </c>
      <c r="B1623" s="5" t="s">
        <v>320</v>
      </c>
      <c r="C1623" s="5" t="s">
        <v>321</v>
      </c>
      <c r="D1623" s="4" t="s">
        <v>22</v>
      </c>
      <c r="E1623" s="4" t="s">
        <v>2536</v>
      </c>
      <c r="F1623" s="4" t="s">
        <v>406</v>
      </c>
      <c r="G1623" s="4" t="s">
        <v>2537</v>
      </c>
      <c r="H1623" s="12" t="n">
        <v>1</v>
      </c>
      <c r="I1623" s="4" t="s">
        <v>408</v>
      </c>
      <c r="J1623" s="4" t="s">
        <v>416</v>
      </c>
      <c r="K1623" s="13" t="n">
        <v>350</v>
      </c>
      <c r="L1623" s="6" t="n">
        <f aca="false">H1623*K1623</f>
        <v>350</v>
      </c>
      <c r="M1623" s="4" t="s">
        <v>371</v>
      </c>
    </row>
    <row r="1624" customFormat="false" ht="15" hidden="false" customHeight="false" outlineLevel="0" collapsed="false">
      <c r="A1624" s="4" t="s">
        <v>315</v>
      </c>
      <c r="B1624" s="5" t="s">
        <v>320</v>
      </c>
      <c r="C1624" s="5" t="s">
        <v>321</v>
      </c>
      <c r="D1624" s="4" t="s">
        <v>22</v>
      </c>
      <c r="E1624" s="4" t="s">
        <v>2538</v>
      </c>
      <c r="F1624" s="4" t="s">
        <v>406</v>
      </c>
      <c r="G1624" s="4" t="s">
        <v>2539</v>
      </c>
      <c r="H1624" s="12" t="n">
        <v>1</v>
      </c>
      <c r="I1624" s="4" t="s">
        <v>408</v>
      </c>
      <c r="J1624" s="4" t="s">
        <v>409</v>
      </c>
      <c r="K1624" s="13" t="n">
        <v>450</v>
      </c>
      <c r="L1624" s="6" t="n">
        <f aca="false">H1624*K1624</f>
        <v>450</v>
      </c>
      <c r="M1624" s="14" t="s">
        <v>410</v>
      </c>
    </row>
    <row r="1625" customFormat="false" ht="15" hidden="false" customHeight="false" outlineLevel="0" collapsed="false">
      <c r="A1625" s="4" t="s">
        <v>315</v>
      </c>
      <c r="B1625" s="5" t="s">
        <v>320</v>
      </c>
      <c r="C1625" s="5" t="s">
        <v>321</v>
      </c>
      <c r="D1625" s="4" t="s">
        <v>22</v>
      </c>
      <c r="E1625" s="4" t="s">
        <v>2540</v>
      </c>
      <c r="F1625" s="4" t="s">
        <v>406</v>
      </c>
      <c r="G1625" s="4" t="s">
        <v>1547</v>
      </c>
      <c r="H1625" s="12" t="n">
        <v>1</v>
      </c>
      <c r="I1625" s="4" t="s">
        <v>408</v>
      </c>
      <c r="J1625" s="4" t="s">
        <v>409</v>
      </c>
      <c r="K1625" s="13" t="n">
        <v>650</v>
      </c>
      <c r="L1625" s="6" t="n">
        <f aca="false">H1625*K1625</f>
        <v>650</v>
      </c>
      <c r="M1625" s="14" t="s">
        <v>410</v>
      </c>
    </row>
    <row r="1626" customFormat="false" ht="15" hidden="false" customHeight="false" outlineLevel="0" collapsed="false">
      <c r="A1626" s="4" t="s">
        <v>315</v>
      </c>
      <c r="B1626" s="5" t="s">
        <v>320</v>
      </c>
      <c r="C1626" s="5" t="s">
        <v>321</v>
      </c>
      <c r="D1626" s="4" t="s">
        <v>22</v>
      </c>
      <c r="E1626" s="4" t="s">
        <v>2574</v>
      </c>
      <c r="F1626" s="4" t="s">
        <v>406</v>
      </c>
      <c r="G1626" s="4" t="s">
        <v>2575</v>
      </c>
      <c r="H1626" s="12" t="n">
        <v>1</v>
      </c>
      <c r="I1626" s="4" t="s">
        <v>408</v>
      </c>
      <c r="J1626" s="4" t="s">
        <v>416</v>
      </c>
      <c r="K1626" s="13" t="n">
        <v>8500</v>
      </c>
      <c r="L1626" s="6" t="n">
        <f aca="false">H1626*K1626</f>
        <v>8500</v>
      </c>
      <c r="M1626" s="4" t="s">
        <v>371</v>
      </c>
    </row>
    <row r="1627" customFormat="false" ht="15" hidden="false" customHeight="false" outlineLevel="0" collapsed="false">
      <c r="A1627" s="4" t="s">
        <v>315</v>
      </c>
      <c r="B1627" s="5" t="s">
        <v>320</v>
      </c>
      <c r="C1627" s="5" t="s">
        <v>321</v>
      </c>
      <c r="D1627" s="4" t="s">
        <v>22</v>
      </c>
      <c r="E1627" s="4" t="s">
        <v>2541</v>
      </c>
      <c r="F1627" s="4" t="s">
        <v>406</v>
      </c>
      <c r="G1627" s="4" t="s">
        <v>2542</v>
      </c>
      <c r="H1627" s="12" t="n">
        <v>1</v>
      </c>
      <c r="I1627" s="4" t="s">
        <v>408</v>
      </c>
      <c r="J1627" s="4" t="s">
        <v>409</v>
      </c>
      <c r="K1627" s="13" t="n">
        <v>8500</v>
      </c>
      <c r="L1627" s="6" t="n">
        <f aca="false">H1627*K1627</f>
        <v>8500</v>
      </c>
      <c r="M1627" s="14" t="s">
        <v>410</v>
      </c>
    </row>
    <row r="1628" customFormat="false" ht="15" hidden="false" customHeight="false" outlineLevel="0" collapsed="false">
      <c r="A1628" s="4" t="s">
        <v>315</v>
      </c>
      <c r="B1628" s="5" t="s">
        <v>320</v>
      </c>
      <c r="C1628" s="5" t="s">
        <v>321</v>
      </c>
      <c r="D1628" s="4" t="s">
        <v>22</v>
      </c>
      <c r="E1628" s="4" t="s">
        <v>2543</v>
      </c>
      <c r="F1628" s="4" t="s">
        <v>406</v>
      </c>
      <c r="G1628" s="4" t="s">
        <v>2544</v>
      </c>
      <c r="H1628" s="12" t="n">
        <v>1</v>
      </c>
      <c r="I1628" s="4" t="s">
        <v>408</v>
      </c>
      <c r="J1628" s="4" t="s">
        <v>409</v>
      </c>
      <c r="K1628" s="13" t="n">
        <v>85000</v>
      </c>
      <c r="L1628" s="6" t="n">
        <f aca="false">H1628*K1628</f>
        <v>85000</v>
      </c>
      <c r="M1628" s="4" t="s">
        <v>371</v>
      </c>
    </row>
    <row r="1629" customFormat="false" ht="15" hidden="false" customHeight="false" outlineLevel="0" collapsed="false">
      <c r="A1629" s="4" t="s">
        <v>315</v>
      </c>
      <c r="B1629" s="5" t="s">
        <v>320</v>
      </c>
      <c r="C1629" s="5" t="s">
        <v>321</v>
      </c>
      <c r="D1629" s="4" t="s">
        <v>22</v>
      </c>
      <c r="E1629" s="4" t="s">
        <v>2545</v>
      </c>
      <c r="F1629" s="4" t="s">
        <v>406</v>
      </c>
      <c r="G1629" s="4" t="s">
        <v>2546</v>
      </c>
      <c r="H1629" s="12" t="n">
        <v>1</v>
      </c>
      <c r="I1629" s="4" t="s">
        <v>408</v>
      </c>
      <c r="J1629" s="4" t="s">
        <v>409</v>
      </c>
      <c r="K1629" s="13" t="n">
        <v>18000</v>
      </c>
      <c r="L1629" s="6" t="n">
        <f aca="false">H1629*K1629</f>
        <v>18000</v>
      </c>
      <c r="M1629" s="4" t="s">
        <v>371</v>
      </c>
    </row>
    <row r="1630" customFormat="false" ht="15" hidden="false" customHeight="false" outlineLevel="0" collapsed="false">
      <c r="A1630" s="4" t="s">
        <v>315</v>
      </c>
      <c r="B1630" s="5" t="s">
        <v>320</v>
      </c>
      <c r="C1630" s="5" t="s">
        <v>321</v>
      </c>
      <c r="D1630" s="4" t="s">
        <v>22</v>
      </c>
      <c r="E1630" s="4" t="s">
        <v>2547</v>
      </c>
      <c r="F1630" s="4" t="s">
        <v>406</v>
      </c>
      <c r="G1630" s="4" t="s">
        <v>2548</v>
      </c>
      <c r="H1630" s="12" t="n">
        <v>1</v>
      </c>
      <c r="I1630" s="4" t="s">
        <v>408</v>
      </c>
      <c r="J1630" s="4" t="s">
        <v>409</v>
      </c>
      <c r="K1630" s="13" t="n">
        <v>1800</v>
      </c>
      <c r="L1630" s="6" t="n">
        <f aca="false">H1630*K1630</f>
        <v>1800</v>
      </c>
      <c r="M1630" s="14" t="s">
        <v>410</v>
      </c>
    </row>
    <row r="1631" customFormat="false" ht="15" hidden="false" customHeight="false" outlineLevel="0" collapsed="false">
      <c r="A1631" s="4" t="s">
        <v>315</v>
      </c>
      <c r="B1631" s="5" t="s">
        <v>320</v>
      </c>
      <c r="C1631" s="5" t="s">
        <v>321</v>
      </c>
      <c r="D1631" s="4" t="s">
        <v>22</v>
      </c>
      <c r="E1631" s="4" t="s">
        <v>2549</v>
      </c>
      <c r="F1631" s="4" t="s">
        <v>406</v>
      </c>
      <c r="G1631" s="4" t="s">
        <v>2550</v>
      </c>
      <c r="H1631" s="12" t="n">
        <v>1</v>
      </c>
      <c r="I1631" s="4" t="s">
        <v>408</v>
      </c>
      <c r="J1631" s="4" t="s">
        <v>409</v>
      </c>
      <c r="K1631" s="13" t="n">
        <v>8500</v>
      </c>
      <c r="L1631" s="6" t="n">
        <f aca="false">H1631*K1631</f>
        <v>8500</v>
      </c>
      <c r="M1631" s="4" t="s">
        <v>371</v>
      </c>
    </row>
    <row r="1632" customFormat="false" ht="15" hidden="false" customHeight="false" outlineLevel="0" collapsed="false">
      <c r="A1632" s="4" t="s">
        <v>315</v>
      </c>
      <c r="B1632" s="5" t="s">
        <v>320</v>
      </c>
      <c r="C1632" s="5" t="s">
        <v>321</v>
      </c>
      <c r="D1632" s="4" t="s">
        <v>22</v>
      </c>
      <c r="E1632" s="4" t="s">
        <v>2551</v>
      </c>
      <c r="F1632" s="4" t="s">
        <v>406</v>
      </c>
      <c r="G1632" s="4" t="s">
        <v>2552</v>
      </c>
      <c r="H1632" s="12" t="n">
        <v>1</v>
      </c>
      <c r="I1632" s="4" t="s">
        <v>408</v>
      </c>
      <c r="J1632" s="4" t="s">
        <v>409</v>
      </c>
      <c r="K1632" s="13" t="n">
        <v>85000</v>
      </c>
      <c r="L1632" s="6" t="n">
        <f aca="false">H1632*K1632</f>
        <v>85000</v>
      </c>
      <c r="M1632" s="14" t="s">
        <v>410</v>
      </c>
    </row>
    <row r="1633" customFormat="false" ht="15" hidden="false" customHeight="false" outlineLevel="0" collapsed="false">
      <c r="A1633" s="4" t="s">
        <v>315</v>
      </c>
      <c r="B1633" s="5" t="s">
        <v>320</v>
      </c>
      <c r="C1633" s="5" t="s">
        <v>321</v>
      </c>
      <c r="D1633" s="4" t="s">
        <v>22</v>
      </c>
      <c r="E1633" s="4" t="s">
        <v>2553</v>
      </c>
      <c r="F1633" s="4" t="s">
        <v>488</v>
      </c>
      <c r="G1633" s="4" t="s">
        <v>2554</v>
      </c>
      <c r="H1633" s="12" t="n">
        <v>1</v>
      </c>
      <c r="I1633" s="4" t="s">
        <v>408</v>
      </c>
      <c r="J1633" s="4" t="s">
        <v>416</v>
      </c>
      <c r="K1633" s="13" t="n">
        <v>450</v>
      </c>
      <c r="L1633" s="6" t="n">
        <f aca="false">H1633*K1633</f>
        <v>450</v>
      </c>
      <c r="M1633" s="4" t="s">
        <v>371</v>
      </c>
    </row>
    <row r="1634" customFormat="false" ht="15" hidden="false" customHeight="false" outlineLevel="0" collapsed="false">
      <c r="A1634" s="4" t="s">
        <v>315</v>
      </c>
      <c r="B1634" s="5" t="s">
        <v>320</v>
      </c>
      <c r="C1634" s="5" t="s">
        <v>321</v>
      </c>
      <c r="D1634" s="4" t="s">
        <v>22</v>
      </c>
      <c r="E1634" s="4" t="s">
        <v>2555</v>
      </c>
      <c r="F1634" s="4" t="s">
        <v>488</v>
      </c>
      <c r="G1634" s="4" t="s">
        <v>2556</v>
      </c>
      <c r="H1634" s="12" t="n">
        <v>1</v>
      </c>
      <c r="I1634" s="4" t="s">
        <v>408</v>
      </c>
      <c r="J1634" s="4" t="s">
        <v>429</v>
      </c>
      <c r="K1634" s="13" t="n">
        <v>180</v>
      </c>
      <c r="L1634" s="6" t="n">
        <f aca="false">H1634*K1634</f>
        <v>180</v>
      </c>
      <c r="M1634" s="4" t="s">
        <v>371</v>
      </c>
    </row>
    <row r="1635" customFormat="false" ht="15" hidden="false" customHeight="false" outlineLevel="0" collapsed="false">
      <c r="A1635" s="4" t="s">
        <v>315</v>
      </c>
      <c r="B1635" s="5" t="s">
        <v>320</v>
      </c>
      <c r="C1635" s="5" t="s">
        <v>321</v>
      </c>
      <c r="D1635" s="4" t="s">
        <v>22</v>
      </c>
      <c r="E1635" s="4" t="s">
        <v>2557</v>
      </c>
      <c r="F1635" s="4" t="s">
        <v>488</v>
      </c>
      <c r="G1635" s="4" t="s">
        <v>2558</v>
      </c>
      <c r="H1635" s="12" t="n">
        <v>1</v>
      </c>
      <c r="I1635" s="4" t="s">
        <v>408</v>
      </c>
      <c r="J1635" s="4" t="s">
        <v>416</v>
      </c>
      <c r="K1635" s="13" t="n">
        <v>850</v>
      </c>
      <c r="L1635" s="6" t="n">
        <f aca="false">H1635*K1635</f>
        <v>850</v>
      </c>
      <c r="M1635" s="4" t="s">
        <v>371</v>
      </c>
    </row>
    <row r="1636" customFormat="false" ht="15" hidden="false" customHeight="false" outlineLevel="0" collapsed="false">
      <c r="A1636" s="4" t="s">
        <v>315</v>
      </c>
      <c r="B1636" s="5" t="s">
        <v>320</v>
      </c>
      <c r="C1636" s="5" t="s">
        <v>321</v>
      </c>
      <c r="D1636" s="4" t="s">
        <v>22</v>
      </c>
      <c r="E1636" s="4" t="s">
        <v>2559</v>
      </c>
      <c r="F1636" s="4" t="s">
        <v>470</v>
      </c>
      <c r="G1636" s="4" t="s">
        <v>2560</v>
      </c>
      <c r="H1636" s="12" t="n">
        <v>1</v>
      </c>
      <c r="I1636" s="4" t="s">
        <v>408</v>
      </c>
      <c r="J1636" s="4" t="s">
        <v>409</v>
      </c>
      <c r="K1636" s="13" t="n">
        <v>850</v>
      </c>
      <c r="L1636" s="6" t="n">
        <f aca="false">H1636*K1636</f>
        <v>850</v>
      </c>
      <c r="M1636" s="4" t="s">
        <v>371</v>
      </c>
    </row>
    <row r="1637" customFormat="false" ht="15" hidden="false" customHeight="false" outlineLevel="0" collapsed="false">
      <c r="A1637" s="4" t="s">
        <v>315</v>
      </c>
      <c r="B1637" s="5" t="s">
        <v>320</v>
      </c>
      <c r="C1637" s="5" t="s">
        <v>321</v>
      </c>
      <c r="D1637" s="4" t="s">
        <v>22</v>
      </c>
      <c r="E1637" s="4" t="s">
        <v>2561</v>
      </c>
      <c r="F1637" s="4" t="s">
        <v>470</v>
      </c>
      <c r="G1637" s="4" t="s">
        <v>2562</v>
      </c>
      <c r="H1637" s="12" t="n">
        <v>1</v>
      </c>
      <c r="I1637" s="4" t="s">
        <v>408</v>
      </c>
      <c r="J1637" s="4" t="s">
        <v>409</v>
      </c>
      <c r="K1637" s="13" t="n">
        <v>850</v>
      </c>
      <c r="L1637" s="6" t="n">
        <f aca="false">H1637*K1637</f>
        <v>850</v>
      </c>
      <c r="M1637" s="4" t="s">
        <v>371</v>
      </c>
    </row>
    <row r="1638" customFormat="false" ht="15" hidden="false" customHeight="false" outlineLevel="0" collapsed="false">
      <c r="A1638" s="4" t="s">
        <v>315</v>
      </c>
      <c r="B1638" s="5" t="s">
        <v>320</v>
      </c>
      <c r="C1638" s="5" t="s">
        <v>321</v>
      </c>
      <c r="D1638" s="4" t="s">
        <v>22</v>
      </c>
      <c r="E1638" s="4" t="s">
        <v>2563</v>
      </c>
      <c r="F1638" s="4" t="s">
        <v>470</v>
      </c>
      <c r="G1638" s="4" t="s">
        <v>2564</v>
      </c>
      <c r="H1638" s="12" t="n">
        <v>1</v>
      </c>
      <c r="I1638" s="4" t="s">
        <v>408</v>
      </c>
      <c r="J1638" s="4" t="s">
        <v>409</v>
      </c>
      <c r="K1638" s="13" t="n">
        <v>8500</v>
      </c>
      <c r="L1638" s="6" t="n">
        <f aca="false">H1638*K1638</f>
        <v>8500</v>
      </c>
      <c r="M1638" s="4" t="s">
        <v>371</v>
      </c>
    </row>
    <row r="1639" customFormat="false" ht="15" hidden="false" customHeight="false" outlineLevel="0" collapsed="false">
      <c r="A1639" s="4" t="s">
        <v>315</v>
      </c>
      <c r="B1639" s="5" t="s">
        <v>320</v>
      </c>
      <c r="C1639" s="5" t="s">
        <v>321</v>
      </c>
      <c r="D1639" s="4" t="s">
        <v>22</v>
      </c>
      <c r="E1639" s="4" t="s">
        <v>2565</v>
      </c>
      <c r="F1639" s="4" t="s">
        <v>470</v>
      </c>
      <c r="G1639" s="4" t="s">
        <v>2566</v>
      </c>
      <c r="H1639" s="12" t="n">
        <v>1</v>
      </c>
      <c r="I1639" s="4" t="s">
        <v>408</v>
      </c>
      <c r="J1639" s="4" t="s">
        <v>409</v>
      </c>
      <c r="K1639" s="13" t="n">
        <v>4500</v>
      </c>
      <c r="L1639" s="6" t="n">
        <f aca="false">H1639*K1639</f>
        <v>4500</v>
      </c>
      <c r="M1639" s="4" t="s">
        <v>371</v>
      </c>
    </row>
    <row r="1640" customFormat="false" ht="15" hidden="false" customHeight="false" outlineLevel="0" collapsed="false">
      <c r="A1640" s="4" t="s">
        <v>315</v>
      </c>
      <c r="B1640" s="5" t="s">
        <v>320</v>
      </c>
      <c r="C1640" s="5" t="s">
        <v>321</v>
      </c>
      <c r="D1640" s="4" t="s">
        <v>22</v>
      </c>
      <c r="E1640" s="4" t="s">
        <v>2567</v>
      </c>
      <c r="F1640" s="4" t="s">
        <v>470</v>
      </c>
      <c r="G1640" s="4" t="s">
        <v>2568</v>
      </c>
      <c r="H1640" s="12" t="n">
        <v>1</v>
      </c>
      <c r="I1640" s="4" t="s">
        <v>408</v>
      </c>
      <c r="J1640" s="4" t="s">
        <v>409</v>
      </c>
      <c r="K1640" s="13" t="n">
        <v>4500</v>
      </c>
      <c r="L1640" s="6" t="n">
        <f aca="false">H1640*K1640</f>
        <v>4500</v>
      </c>
      <c r="M1640" s="4" t="s">
        <v>371</v>
      </c>
    </row>
    <row r="1641" customFormat="false" ht="15" hidden="false" customHeight="false" outlineLevel="0" collapsed="false">
      <c r="A1641" s="4" t="s">
        <v>315</v>
      </c>
      <c r="B1641" s="5" t="s">
        <v>320</v>
      </c>
      <c r="C1641" s="5" t="s">
        <v>321</v>
      </c>
      <c r="D1641" s="4" t="s">
        <v>22</v>
      </c>
      <c r="E1641" s="4" t="s">
        <v>2569</v>
      </c>
      <c r="F1641" s="4" t="s">
        <v>470</v>
      </c>
      <c r="G1641" s="4" t="s">
        <v>2570</v>
      </c>
      <c r="H1641" s="12" t="n">
        <v>1</v>
      </c>
      <c r="I1641" s="4" t="s">
        <v>408</v>
      </c>
      <c r="J1641" s="4" t="s">
        <v>409</v>
      </c>
      <c r="K1641" s="13" t="n">
        <v>850</v>
      </c>
      <c r="L1641" s="6" t="n">
        <f aca="false">H1641*K1641</f>
        <v>850</v>
      </c>
      <c r="M1641" s="4" t="s">
        <v>371</v>
      </c>
    </row>
    <row r="1642" customFormat="false" ht="15" hidden="false" customHeight="false" outlineLevel="0" collapsed="false">
      <c r="A1642" s="4" t="s">
        <v>315</v>
      </c>
      <c r="B1642" s="5" t="s">
        <v>320</v>
      </c>
      <c r="C1642" s="5" t="s">
        <v>321</v>
      </c>
      <c r="D1642" s="4" t="s">
        <v>22</v>
      </c>
      <c r="E1642" s="4" t="s">
        <v>2571</v>
      </c>
      <c r="F1642" s="4" t="s">
        <v>470</v>
      </c>
      <c r="G1642" s="4" t="s">
        <v>2572</v>
      </c>
      <c r="H1642" s="12" t="n">
        <v>1</v>
      </c>
      <c r="I1642" s="4" t="s">
        <v>408</v>
      </c>
      <c r="J1642" s="4" t="s">
        <v>409</v>
      </c>
      <c r="K1642" s="13" t="n">
        <v>8500</v>
      </c>
      <c r="L1642" s="6" t="n">
        <f aca="false">H1642*K1642</f>
        <v>8500</v>
      </c>
      <c r="M1642" s="4" t="s">
        <v>371</v>
      </c>
    </row>
    <row r="1643" customFormat="false" ht="15" hidden="false" customHeight="false" outlineLevel="0" collapsed="false">
      <c r="A1643" s="4" t="s">
        <v>315</v>
      </c>
      <c r="B1643" s="5" t="s">
        <v>320</v>
      </c>
      <c r="C1643" s="5" t="s">
        <v>321</v>
      </c>
      <c r="D1643" s="4" t="s">
        <v>22</v>
      </c>
      <c r="E1643" s="4" t="s">
        <v>2573</v>
      </c>
      <c r="F1643" s="4" t="s">
        <v>470</v>
      </c>
      <c r="G1643" s="4" t="s">
        <v>2114</v>
      </c>
      <c r="H1643" s="12" t="n">
        <v>1</v>
      </c>
      <c r="I1643" s="4" t="s">
        <v>408</v>
      </c>
      <c r="J1643" s="4" t="s">
        <v>409</v>
      </c>
      <c r="K1643" s="13" t="n">
        <v>18000</v>
      </c>
      <c r="L1643" s="6" t="n">
        <f aca="false">H1643*K1643</f>
        <v>18000</v>
      </c>
      <c r="M1643" s="14" t="s">
        <v>410</v>
      </c>
    </row>
    <row r="1644" customFormat="false" ht="15" hidden="false" customHeight="false" outlineLevel="0" collapsed="false">
      <c r="A1644" s="4" t="s">
        <v>315</v>
      </c>
      <c r="B1644" s="5" t="s">
        <v>320</v>
      </c>
      <c r="C1644" s="5" t="s">
        <v>321</v>
      </c>
      <c r="D1644" s="4" t="s">
        <v>22</v>
      </c>
      <c r="E1644" s="4" t="s">
        <v>2576</v>
      </c>
      <c r="F1644" s="4" t="s">
        <v>470</v>
      </c>
      <c r="G1644" s="4" t="s">
        <v>2577</v>
      </c>
      <c r="H1644" s="12" t="n">
        <v>1</v>
      </c>
      <c r="I1644" s="4" t="s">
        <v>408</v>
      </c>
      <c r="J1644" s="4" t="s">
        <v>416</v>
      </c>
      <c r="K1644" s="13" t="n">
        <v>4500</v>
      </c>
      <c r="L1644" s="6" t="n">
        <f aca="false">H1644*K1644</f>
        <v>4500</v>
      </c>
      <c r="M1644" s="4" t="s">
        <v>371</v>
      </c>
    </row>
    <row r="1645" customFormat="false" ht="15" hidden="false" customHeight="false" outlineLevel="0" collapsed="false">
      <c r="A1645" s="4" t="s">
        <v>322</v>
      </c>
      <c r="B1645" s="5" t="s">
        <v>323</v>
      </c>
      <c r="C1645" s="5" t="s">
        <v>324</v>
      </c>
      <c r="D1645" s="4" t="s">
        <v>22</v>
      </c>
      <c r="E1645" s="4" t="s">
        <v>2578</v>
      </c>
      <c r="F1645" s="4" t="s">
        <v>406</v>
      </c>
      <c r="G1645" s="4" t="s">
        <v>2579</v>
      </c>
      <c r="H1645" s="12" t="n">
        <v>1</v>
      </c>
      <c r="I1645" s="4" t="s">
        <v>408</v>
      </c>
      <c r="J1645" s="4" t="s">
        <v>409</v>
      </c>
      <c r="K1645" s="13" t="n">
        <v>350</v>
      </c>
      <c r="L1645" s="6" t="n">
        <f aca="false">H1645*K1645</f>
        <v>350</v>
      </c>
      <c r="M1645" s="14" t="s">
        <v>410</v>
      </c>
    </row>
    <row r="1646" customFormat="false" ht="15" hidden="false" customHeight="false" outlineLevel="0" collapsed="false">
      <c r="A1646" s="4" t="s">
        <v>322</v>
      </c>
      <c r="B1646" s="5" t="s">
        <v>323</v>
      </c>
      <c r="C1646" s="5" t="s">
        <v>324</v>
      </c>
      <c r="D1646" s="4" t="s">
        <v>22</v>
      </c>
      <c r="E1646" s="4" t="s">
        <v>2580</v>
      </c>
      <c r="F1646" s="4" t="s">
        <v>406</v>
      </c>
      <c r="G1646" s="4" t="s">
        <v>2581</v>
      </c>
      <c r="H1646" s="12" t="n">
        <v>1</v>
      </c>
      <c r="I1646" s="4" t="s">
        <v>408</v>
      </c>
      <c r="J1646" s="4" t="s">
        <v>416</v>
      </c>
      <c r="K1646" s="13" t="n">
        <v>1800</v>
      </c>
      <c r="L1646" s="6" t="n">
        <f aca="false">H1646*K1646</f>
        <v>1800</v>
      </c>
      <c r="M1646" s="14" t="s">
        <v>410</v>
      </c>
    </row>
    <row r="1647" customFormat="false" ht="15" hidden="false" customHeight="false" outlineLevel="0" collapsed="false">
      <c r="A1647" s="4" t="s">
        <v>322</v>
      </c>
      <c r="B1647" s="5" t="s">
        <v>323</v>
      </c>
      <c r="C1647" s="5" t="s">
        <v>324</v>
      </c>
      <c r="D1647" s="4" t="s">
        <v>22</v>
      </c>
      <c r="E1647" s="4" t="s">
        <v>2582</v>
      </c>
      <c r="F1647" s="4" t="s">
        <v>406</v>
      </c>
      <c r="G1647" s="4" t="s">
        <v>2583</v>
      </c>
      <c r="H1647" s="12" t="n">
        <v>1</v>
      </c>
      <c r="I1647" s="4" t="s">
        <v>408</v>
      </c>
      <c r="J1647" s="4" t="s">
        <v>409</v>
      </c>
      <c r="K1647" s="13" t="n">
        <v>650</v>
      </c>
      <c r="L1647" s="6" t="n">
        <f aca="false">H1647*K1647</f>
        <v>650</v>
      </c>
      <c r="M1647" s="14" t="s">
        <v>410</v>
      </c>
    </row>
    <row r="1648" customFormat="false" ht="15" hidden="false" customHeight="false" outlineLevel="0" collapsed="false">
      <c r="A1648" s="4" t="s">
        <v>322</v>
      </c>
      <c r="B1648" s="5" t="s">
        <v>323</v>
      </c>
      <c r="C1648" s="5" t="s">
        <v>324</v>
      </c>
      <c r="D1648" s="4" t="s">
        <v>22</v>
      </c>
      <c r="E1648" s="4" t="s">
        <v>2584</v>
      </c>
      <c r="F1648" s="4" t="s">
        <v>406</v>
      </c>
      <c r="G1648" s="4" t="s">
        <v>2585</v>
      </c>
      <c r="H1648" s="12" t="n">
        <v>1</v>
      </c>
      <c r="I1648" s="4" t="s">
        <v>408</v>
      </c>
      <c r="J1648" s="4" t="s">
        <v>416</v>
      </c>
      <c r="K1648" s="13" t="n">
        <v>2500</v>
      </c>
      <c r="L1648" s="6" t="n">
        <f aca="false">H1648*K1648</f>
        <v>2500</v>
      </c>
      <c r="M1648" s="14" t="s">
        <v>410</v>
      </c>
    </row>
    <row r="1649" customFormat="false" ht="15" hidden="false" customHeight="false" outlineLevel="0" collapsed="false">
      <c r="A1649" s="4" t="s">
        <v>322</v>
      </c>
      <c r="B1649" s="5" t="s">
        <v>323</v>
      </c>
      <c r="C1649" s="5" t="s">
        <v>324</v>
      </c>
      <c r="D1649" s="4" t="s">
        <v>22</v>
      </c>
      <c r="E1649" s="4" t="s">
        <v>2586</v>
      </c>
      <c r="F1649" s="4" t="s">
        <v>406</v>
      </c>
      <c r="G1649" s="4" t="s">
        <v>2587</v>
      </c>
      <c r="H1649" s="12" t="n">
        <v>1</v>
      </c>
      <c r="I1649" s="4" t="s">
        <v>408</v>
      </c>
      <c r="J1649" s="4" t="s">
        <v>416</v>
      </c>
      <c r="K1649" s="13" t="n">
        <v>4500</v>
      </c>
      <c r="L1649" s="6" t="n">
        <f aca="false">H1649*K1649</f>
        <v>4500</v>
      </c>
      <c r="M1649" s="14" t="s">
        <v>410</v>
      </c>
    </row>
    <row r="1650" customFormat="false" ht="15" hidden="false" customHeight="false" outlineLevel="0" collapsed="false">
      <c r="A1650" s="4" t="s">
        <v>322</v>
      </c>
      <c r="B1650" s="5" t="s">
        <v>323</v>
      </c>
      <c r="C1650" s="5" t="s">
        <v>324</v>
      </c>
      <c r="D1650" s="4" t="s">
        <v>22</v>
      </c>
      <c r="E1650" s="4" t="s">
        <v>2588</v>
      </c>
      <c r="F1650" s="4" t="s">
        <v>406</v>
      </c>
      <c r="G1650" s="4" t="s">
        <v>2589</v>
      </c>
      <c r="H1650" s="12" t="n">
        <v>1</v>
      </c>
      <c r="I1650" s="4" t="s">
        <v>408</v>
      </c>
      <c r="J1650" s="4" t="s">
        <v>409</v>
      </c>
      <c r="K1650" s="13" t="n">
        <v>850</v>
      </c>
      <c r="L1650" s="6" t="n">
        <f aca="false">H1650*K1650</f>
        <v>850</v>
      </c>
      <c r="M1650" s="14" t="s">
        <v>410</v>
      </c>
    </row>
    <row r="1651" customFormat="false" ht="15" hidden="false" customHeight="false" outlineLevel="0" collapsed="false">
      <c r="A1651" s="4" t="s">
        <v>322</v>
      </c>
      <c r="B1651" s="5" t="s">
        <v>323</v>
      </c>
      <c r="C1651" s="5" t="s">
        <v>324</v>
      </c>
      <c r="D1651" s="4" t="s">
        <v>22</v>
      </c>
      <c r="E1651" s="4" t="s">
        <v>2590</v>
      </c>
      <c r="F1651" s="4" t="s">
        <v>406</v>
      </c>
      <c r="G1651" s="4" t="s">
        <v>2591</v>
      </c>
      <c r="H1651" s="12" t="n">
        <v>1</v>
      </c>
      <c r="I1651" s="4" t="s">
        <v>408</v>
      </c>
      <c r="J1651" s="4" t="s">
        <v>409</v>
      </c>
      <c r="K1651" s="13" t="n">
        <v>250</v>
      </c>
      <c r="L1651" s="6" t="n">
        <f aca="false">H1651*K1651</f>
        <v>250</v>
      </c>
      <c r="M1651" s="4" t="s">
        <v>371</v>
      </c>
    </row>
    <row r="1652" customFormat="false" ht="15" hidden="false" customHeight="false" outlineLevel="0" collapsed="false">
      <c r="A1652" s="4" t="s">
        <v>322</v>
      </c>
      <c r="B1652" s="5" t="s">
        <v>323</v>
      </c>
      <c r="C1652" s="5" t="s">
        <v>324</v>
      </c>
      <c r="D1652" s="4" t="s">
        <v>22</v>
      </c>
      <c r="E1652" s="4" t="s">
        <v>2592</v>
      </c>
      <c r="F1652" s="4" t="s">
        <v>406</v>
      </c>
      <c r="G1652" s="4" t="s">
        <v>2593</v>
      </c>
      <c r="H1652" s="12" t="n">
        <v>1</v>
      </c>
      <c r="I1652" s="4" t="s">
        <v>408</v>
      </c>
      <c r="J1652" s="4" t="s">
        <v>409</v>
      </c>
      <c r="K1652" s="13" t="n">
        <v>450</v>
      </c>
      <c r="L1652" s="6" t="n">
        <f aca="false">H1652*K1652</f>
        <v>450</v>
      </c>
      <c r="M1652" s="14" t="s">
        <v>410</v>
      </c>
    </row>
    <row r="1653" customFormat="false" ht="15" hidden="false" customHeight="false" outlineLevel="0" collapsed="false">
      <c r="A1653" s="4" t="s">
        <v>322</v>
      </c>
      <c r="B1653" s="5" t="s">
        <v>323</v>
      </c>
      <c r="C1653" s="5" t="s">
        <v>324</v>
      </c>
      <c r="D1653" s="4" t="s">
        <v>22</v>
      </c>
      <c r="E1653" s="4" t="s">
        <v>2594</v>
      </c>
      <c r="F1653" s="4" t="s">
        <v>406</v>
      </c>
      <c r="G1653" s="4" t="s">
        <v>2595</v>
      </c>
      <c r="H1653" s="12" t="n">
        <v>1</v>
      </c>
      <c r="I1653" s="4" t="s">
        <v>408</v>
      </c>
      <c r="J1653" s="4" t="s">
        <v>416</v>
      </c>
      <c r="K1653" s="13" t="n">
        <v>4500</v>
      </c>
      <c r="L1653" s="6" t="n">
        <f aca="false">H1653*K1653</f>
        <v>4500</v>
      </c>
      <c r="M1653" s="14" t="s">
        <v>410</v>
      </c>
    </row>
    <row r="1654" customFormat="false" ht="15" hidden="false" customHeight="false" outlineLevel="0" collapsed="false">
      <c r="A1654" s="4" t="s">
        <v>322</v>
      </c>
      <c r="B1654" s="5" t="s">
        <v>323</v>
      </c>
      <c r="C1654" s="5" t="s">
        <v>324</v>
      </c>
      <c r="D1654" s="4" t="s">
        <v>22</v>
      </c>
      <c r="E1654" s="4" t="s">
        <v>2596</v>
      </c>
      <c r="F1654" s="4" t="s">
        <v>406</v>
      </c>
      <c r="G1654" s="4" t="s">
        <v>2597</v>
      </c>
      <c r="H1654" s="12" t="n">
        <v>1</v>
      </c>
      <c r="I1654" s="4" t="s">
        <v>408</v>
      </c>
      <c r="J1654" s="4" t="s">
        <v>416</v>
      </c>
      <c r="K1654" s="13" t="n">
        <v>850</v>
      </c>
      <c r="L1654" s="6" t="n">
        <f aca="false">H1654*K1654</f>
        <v>850</v>
      </c>
      <c r="M1654" s="14" t="s">
        <v>410</v>
      </c>
    </row>
    <row r="1655" customFormat="false" ht="15" hidden="false" customHeight="false" outlineLevel="0" collapsed="false">
      <c r="A1655" s="4" t="s">
        <v>322</v>
      </c>
      <c r="B1655" s="5" t="s">
        <v>323</v>
      </c>
      <c r="C1655" s="5" t="s">
        <v>324</v>
      </c>
      <c r="D1655" s="4" t="s">
        <v>22</v>
      </c>
      <c r="E1655" s="4" t="s">
        <v>2598</v>
      </c>
      <c r="F1655" s="4" t="s">
        <v>406</v>
      </c>
      <c r="G1655" s="4" t="s">
        <v>2599</v>
      </c>
      <c r="H1655" s="12" t="n">
        <v>1</v>
      </c>
      <c r="I1655" s="4" t="s">
        <v>408</v>
      </c>
      <c r="J1655" s="4" t="s">
        <v>409</v>
      </c>
      <c r="K1655" s="13" t="n">
        <v>850</v>
      </c>
      <c r="L1655" s="6" t="n">
        <f aca="false">H1655*K1655</f>
        <v>850</v>
      </c>
      <c r="M1655" s="14" t="s">
        <v>410</v>
      </c>
    </row>
    <row r="1656" customFormat="false" ht="15" hidden="false" customHeight="false" outlineLevel="0" collapsed="false">
      <c r="A1656" s="4" t="s">
        <v>322</v>
      </c>
      <c r="B1656" s="5" t="s">
        <v>323</v>
      </c>
      <c r="C1656" s="5" t="s">
        <v>324</v>
      </c>
      <c r="D1656" s="4" t="s">
        <v>22</v>
      </c>
      <c r="E1656" s="4" t="s">
        <v>2600</v>
      </c>
      <c r="F1656" s="4" t="s">
        <v>406</v>
      </c>
      <c r="G1656" s="4" t="s">
        <v>2601</v>
      </c>
      <c r="H1656" s="12" t="n">
        <v>1</v>
      </c>
      <c r="I1656" s="4" t="s">
        <v>408</v>
      </c>
      <c r="J1656" s="4" t="s">
        <v>409</v>
      </c>
      <c r="K1656" s="13" t="n">
        <v>350</v>
      </c>
      <c r="L1656" s="6" t="n">
        <f aca="false">H1656*K1656</f>
        <v>350</v>
      </c>
      <c r="M1656" s="4" t="s">
        <v>371</v>
      </c>
    </row>
    <row r="1657" customFormat="false" ht="15" hidden="false" customHeight="false" outlineLevel="0" collapsed="false">
      <c r="A1657" s="4" t="s">
        <v>322</v>
      </c>
      <c r="B1657" s="5" t="s">
        <v>323</v>
      </c>
      <c r="C1657" s="5" t="s">
        <v>324</v>
      </c>
      <c r="D1657" s="4" t="s">
        <v>22</v>
      </c>
      <c r="E1657" s="4" t="s">
        <v>2602</v>
      </c>
      <c r="F1657" s="4" t="s">
        <v>406</v>
      </c>
      <c r="G1657" s="4" t="s">
        <v>2603</v>
      </c>
      <c r="H1657" s="12" t="n">
        <v>1</v>
      </c>
      <c r="I1657" s="4" t="s">
        <v>408</v>
      </c>
      <c r="J1657" s="4" t="s">
        <v>409</v>
      </c>
      <c r="K1657" s="13" t="n">
        <v>650</v>
      </c>
      <c r="L1657" s="6" t="n">
        <f aca="false">H1657*K1657</f>
        <v>650</v>
      </c>
      <c r="M1657" s="14" t="s">
        <v>410</v>
      </c>
    </row>
    <row r="1658" customFormat="false" ht="15" hidden="false" customHeight="false" outlineLevel="0" collapsed="false">
      <c r="A1658" s="4" t="s">
        <v>322</v>
      </c>
      <c r="B1658" s="5" t="s">
        <v>323</v>
      </c>
      <c r="C1658" s="5" t="s">
        <v>324</v>
      </c>
      <c r="D1658" s="4" t="s">
        <v>22</v>
      </c>
      <c r="E1658" s="4" t="s">
        <v>2604</v>
      </c>
      <c r="F1658" s="4" t="s">
        <v>406</v>
      </c>
      <c r="G1658" s="4" t="s">
        <v>2605</v>
      </c>
      <c r="H1658" s="12" t="n">
        <v>1</v>
      </c>
      <c r="I1658" s="4" t="s">
        <v>408</v>
      </c>
      <c r="J1658" s="4" t="s">
        <v>409</v>
      </c>
      <c r="K1658" s="13" t="n">
        <v>1800</v>
      </c>
      <c r="L1658" s="6" t="n">
        <f aca="false">H1658*K1658</f>
        <v>1800</v>
      </c>
      <c r="M1658" s="14" t="s">
        <v>410</v>
      </c>
    </row>
    <row r="1659" customFormat="false" ht="15" hidden="false" customHeight="false" outlineLevel="0" collapsed="false">
      <c r="A1659" s="4" t="s">
        <v>322</v>
      </c>
      <c r="B1659" s="5" t="s">
        <v>323</v>
      </c>
      <c r="C1659" s="5" t="s">
        <v>324</v>
      </c>
      <c r="D1659" s="4" t="s">
        <v>22</v>
      </c>
      <c r="E1659" s="4" t="s">
        <v>2606</v>
      </c>
      <c r="F1659" s="4" t="s">
        <v>406</v>
      </c>
      <c r="G1659" s="4" t="s">
        <v>2607</v>
      </c>
      <c r="H1659" s="12" t="n">
        <v>1</v>
      </c>
      <c r="I1659" s="4" t="s">
        <v>408</v>
      </c>
      <c r="J1659" s="4" t="s">
        <v>409</v>
      </c>
      <c r="K1659" s="13" t="n">
        <v>25000</v>
      </c>
      <c r="L1659" s="6" t="n">
        <f aca="false">H1659*K1659</f>
        <v>25000</v>
      </c>
      <c r="M1659" s="14" t="s">
        <v>410</v>
      </c>
    </row>
    <row r="1660" customFormat="false" ht="15" hidden="false" customHeight="false" outlineLevel="0" collapsed="false">
      <c r="A1660" s="4" t="s">
        <v>322</v>
      </c>
      <c r="B1660" s="5" t="s">
        <v>323</v>
      </c>
      <c r="C1660" s="5" t="s">
        <v>324</v>
      </c>
      <c r="D1660" s="4" t="s">
        <v>22</v>
      </c>
      <c r="E1660" s="4" t="s">
        <v>2608</v>
      </c>
      <c r="F1660" s="4" t="s">
        <v>406</v>
      </c>
      <c r="G1660" s="4" t="s">
        <v>2609</v>
      </c>
      <c r="H1660" s="12" t="n">
        <v>1</v>
      </c>
      <c r="I1660" s="4" t="s">
        <v>408</v>
      </c>
      <c r="J1660" s="4" t="s">
        <v>416</v>
      </c>
      <c r="K1660" s="13" t="n">
        <v>6500</v>
      </c>
      <c r="L1660" s="6" t="n">
        <f aca="false">H1660*K1660</f>
        <v>6500</v>
      </c>
      <c r="M1660" s="14" t="s">
        <v>410</v>
      </c>
    </row>
    <row r="1661" customFormat="false" ht="15" hidden="false" customHeight="false" outlineLevel="0" collapsed="false">
      <c r="A1661" s="4" t="s">
        <v>322</v>
      </c>
      <c r="B1661" s="5" t="s">
        <v>323</v>
      </c>
      <c r="C1661" s="5" t="s">
        <v>324</v>
      </c>
      <c r="D1661" s="4" t="s">
        <v>22</v>
      </c>
      <c r="E1661" s="4" t="s">
        <v>2610</v>
      </c>
      <c r="F1661" s="4" t="s">
        <v>406</v>
      </c>
      <c r="G1661" s="4" t="s">
        <v>2611</v>
      </c>
      <c r="H1661" s="12" t="n">
        <v>1</v>
      </c>
      <c r="I1661" s="4" t="s">
        <v>408</v>
      </c>
      <c r="J1661" s="4" t="s">
        <v>409</v>
      </c>
      <c r="K1661" s="13" t="n">
        <v>650</v>
      </c>
      <c r="L1661" s="6" t="n">
        <f aca="false">H1661*K1661</f>
        <v>650</v>
      </c>
      <c r="M1661" s="14" t="s">
        <v>410</v>
      </c>
    </row>
    <row r="1662" customFormat="false" ht="15" hidden="false" customHeight="false" outlineLevel="0" collapsed="false">
      <c r="A1662" s="4" t="s">
        <v>322</v>
      </c>
      <c r="B1662" s="5" t="s">
        <v>323</v>
      </c>
      <c r="C1662" s="5" t="s">
        <v>324</v>
      </c>
      <c r="D1662" s="4" t="s">
        <v>22</v>
      </c>
      <c r="E1662" s="4" t="s">
        <v>2612</v>
      </c>
      <c r="F1662" s="4" t="s">
        <v>488</v>
      </c>
      <c r="G1662" s="4" t="s">
        <v>1716</v>
      </c>
      <c r="H1662" s="12" t="n">
        <v>1</v>
      </c>
      <c r="I1662" s="4" t="s">
        <v>408</v>
      </c>
      <c r="J1662" s="4" t="s">
        <v>807</v>
      </c>
      <c r="K1662" s="13" t="n">
        <v>45</v>
      </c>
      <c r="L1662" s="6" t="n">
        <f aca="false">H1662*K1662</f>
        <v>45</v>
      </c>
      <c r="M1662" s="4" t="s">
        <v>371</v>
      </c>
    </row>
    <row r="1663" customFormat="false" ht="15" hidden="false" customHeight="false" outlineLevel="0" collapsed="false">
      <c r="A1663" s="4" t="s">
        <v>322</v>
      </c>
      <c r="B1663" s="5" t="s">
        <v>323</v>
      </c>
      <c r="C1663" s="5" t="s">
        <v>324</v>
      </c>
      <c r="D1663" s="4" t="s">
        <v>22</v>
      </c>
      <c r="E1663" s="4" t="s">
        <v>2613</v>
      </c>
      <c r="F1663" s="4" t="s">
        <v>488</v>
      </c>
      <c r="G1663" s="4" t="s">
        <v>2614</v>
      </c>
      <c r="H1663" s="12" t="n">
        <v>1</v>
      </c>
      <c r="I1663" s="4" t="s">
        <v>408</v>
      </c>
      <c r="J1663" s="4" t="s">
        <v>807</v>
      </c>
      <c r="K1663" s="13" t="n">
        <v>150</v>
      </c>
      <c r="L1663" s="6" t="n">
        <f aca="false">H1663*K1663</f>
        <v>150</v>
      </c>
      <c r="M1663" s="4" t="s">
        <v>371</v>
      </c>
    </row>
    <row r="1664" customFormat="false" ht="15" hidden="false" customHeight="false" outlineLevel="0" collapsed="false">
      <c r="A1664" s="4" t="s">
        <v>327</v>
      </c>
      <c r="B1664" s="5" t="s">
        <v>332</v>
      </c>
      <c r="C1664" s="5" t="s">
        <v>333</v>
      </c>
      <c r="D1664" s="4" t="s">
        <v>22</v>
      </c>
      <c r="E1664" s="4" t="s">
        <v>2615</v>
      </c>
      <c r="F1664" s="4" t="s">
        <v>406</v>
      </c>
      <c r="G1664" s="4" t="s">
        <v>2616</v>
      </c>
      <c r="H1664" s="12" t="n">
        <v>1</v>
      </c>
      <c r="I1664" s="4" t="s">
        <v>408</v>
      </c>
      <c r="J1664" s="4" t="s">
        <v>475</v>
      </c>
      <c r="K1664" s="13" t="n">
        <v>1800</v>
      </c>
      <c r="L1664" s="6" t="n">
        <f aca="false">H1664*K1664</f>
        <v>1800</v>
      </c>
      <c r="M1664" s="14" t="s">
        <v>410</v>
      </c>
    </row>
    <row r="1665" customFormat="false" ht="15" hidden="false" customHeight="false" outlineLevel="0" collapsed="false">
      <c r="A1665" s="4" t="s">
        <v>327</v>
      </c>
      <c r="B1665" s="5" t="s">
        <v>332</v>
      </c>
      <c r="C1665" s="5" t="s">
        <v>333</v>
      </c>
      <c r="D1665" s="4" t="s">
        <v>22</v>
      </c>
      <c r="E1665" s="4" t="s">
        <v>2617</v>
      </c>
      <c r="F1665" s="4" t="s">
        <v>406</v>
      </c>
      <c r="G1665" s="4" t="s">
        <v>2618</v>
      </c>
      <c r="H1665" s="12" t="n">
        <v>1</v>
      </c>
      <c r="I1665" s="4" t="s">
        <v>408</v>
      </c>
      <c r="J1665" s="4" t="s">
        <v>416</v>
      </c>
      <c r="K1665" s="13" t="n">
        <v>650</v>
      </c>
      <c r="L1665" s="6" t="n">
        <f aca="false">H1665*K1665</f>
        <v>650</v>
      </c>
      <c r="M1665" s="14" t="s">
        <v>410</v>
      </c>
    </row>
    <row r="1666" customFormat="false" ht="15" hidden="false" customHeight="false" outlineLevel="0" collapsed="false">
      <c r="A1666" s="4" t="s">
        <v>327</v>
      </c>
      <c r="B1666" s="5" t="s">
        <v>332</v>
      </c>
      <c r="C1666" s="5" t="s">
        <v>333</v>
      </c>
      <c r="D1666" s="4" t="s">
        <v>22</v>
      </c>
      <c r="E1666" s="4" t="s">
        <v>2619</v>
      </c>
      <c r="F1666" s="4" t="s">
        <v>406</v>
      </c>
      <c r="G1666" s="4" t="s">
        <v>2620</v>
      </c>
      <c r="H1666" s="12" t="n">
        <v>1</v>
      </c>
      <c r="I1666" s="4" t="s">
        <v>408</v>
      </c>
      <c r="J1666" s="4" t="s">
        <v>409</v>
      </c>
      <c r="K1666" s="13" t="n">
        <v>1800</v>
      </c>
      <c r="L1666" s="6" t="n">
        <f aca="false">H1666*K1666</f>
        <v>1800</v>
      </c>
      <c r="M1666" s="14" t="s">
        <v>410</v>
      </c>
    </row>
    <row r="1667" customFormat="false" ht="15" hidden="false" customHeight="false" outlineLevel="0" collapsed="false">
      <c r="A1667" s="4" t="s">
        <v>327</v>
      </c>
      <c r="B1667" s="5" t="s">
        <v>332</v>
      </c>
      <c r="C1667" s="5" t="s">
        <v>333</v>
      </c>
      <c r="D1667" s="4" t="s">
        <v>22</v>
      </c>
      <c r="E1667" s="4" t="s">
        <v>2621</v>
      </c>
      <c r="F1667" s="4" t="s">
        <v>406</v>
      </c>
      <c r="G1667" s="4" t="s">
        <v>2622</v>
      </c>
      <c r="H1667" s="12" t="n">
        <v>1</v>
      </c>
      <c r="I1667" s="4" t="s">
        <v>408</v>
      </c>
      <c r="J1667" s="4" t="s">
        <v>409</v>
      </c>
      <c r="K1667" s="13" t="n">
        <v>25000</v>
      </c>
      <c r="L1667" s="6" t="n">
        <f aca="false">H1667*K1667</f>
        <v>25000</v>
      </c>
      <c r="M1667" s="14" t="s">
        <v>410</v>
      </c>
    </row>
    <row r="1668" customFormat="false" ht="15" hidden="false" customHeight="false" outlineLevel="0" collapsed="false">
      <c r="A1668" s="4" t="s">
        <v>327</v>
      </c>
      <c r="B1668" s="5" t="s">
        <v>332</v>
      </c>
      <c r="C1668" s="5" t="s">
        <v>333</v>
      </c>
      <c r="D1668" s="4" t="s">
        <v>22</v>
      </c>
      <c r="E1668" s="4" t="s">
        <v>2623</v>
      </c>
      <c r="F1668" s="4" t="s">
        <v>406</v>
      </c>
      <c r="G1668" s="4" t="s">
        <v>2624</v>
      </c>
      <c r="H1668" s="12" t="n">
        <v>1</v>
      </c>
      <c r="I1668" s="4" t="s">
        <v>408</v>
      </c>
      <c r="J1668" s="4" t="s">
        <v>409</v>
      </c>
      <c r="K1668" s="13" t="n">
        <v>180000</v>
      </c>
      <c r="L1668" s="6" t="n">
        <f aca="false">H1668*K1668</f>
        <v>180000</v>
      </c>
      <c r="M1668" s="14" t="s">
        <v>410</v>
      </c>
    </row>
    <row r="1669" customFormat="false" ht="15" hidden="false" customHeight="false" outlineLevel="0" collapsed="false">
      <c r="A1669" s="4" t="s">
        <v>327</v>
      </c>
      <c r="B1669" s="5" t="s">
        <v>332</v>
      </c>
      <c r="C1669" s="5" t="s">
        <v>333</v>
      </c>
      <c r="D1669" s="4" t="s">
        <v>22</v>
      </c>
      <c r="E1669" s="4" t="s">
        <v>2625</v>
      </c>
      <c r="F1669" s="4" t="s">
        <v>406</v>
      </c>
      <c r="G1669" s="4" t="s">
        <v>2626</v>
      </c>
      <c r="H1669" s="12" t="n">
        <v>1</v>
      </c>
      <c r="I1669" s="4" t="s">
        <v>408</v>
      </c>
      <c r="J1669" s="4" t="s">
        <v>409</v>
      </c>
      <c r="K1669" s="13" t="n">
        <v>4500</v>
      </c>
      <c r="L1669" s="6" t="n">
        <f aca="false">H1669*K1669</f>
        <v>4500</v>
      </c>
      <c r="M1669" s="14" t="s">
        <v>410</v>
      </c>
    </row>
    <row r="1670" customFormat="false" ht="15" hidden="false" customHeight="false" outlineLevel="0" collapsed="false">
      <c r="A1670" s="4" t="s">
        <v>327</v>
      </c>
      <c r="B1670" s="5" t="s">
        <v>332</v>
      </c>
      <c r="C1670" s="5" t="s">
        <v>333</v>
      </c>
      <c r="D1670" s="4" t="s">
        <v>22</v>
      </c>
      <c r="E1670" s="4" t="s">
        <v>2627</v>
      </c>
      <c r="F1670" s="4" t="s">
        <v>406</v>
      </c>
      <c r="G1670" s="4" t="s">
        <v>2628</v>
      </c>
      <c r="H1670" s="12" t="n">
        <v>1</v>
      </c>
      <c r="I1670" s="4" t="s">
        <v>408</v>
      </c>
      <c r="J1670" s="4" t="s">
        <v>409</v>
      </c>
      <c r="K1670" s="13" t="n">
        <v>1800</v>
      </c>
      <c r="L1670" s="6" t="n">
        <f aca="false">H1670*K1670</f>
        <v>1800</v>
      </c>
      <c r="M1670" s="14" t="s">
        <v>410</v>
      </c>
    </row>
    <row r="1671" customFormat="false" ht="15" hidden="false" customHeight="false" outlineLevel="0" collapsed="false">
      <c r="A1671" s="4" t="s">
        <v>327</v>
      </c>
      <c r="B1671" s="5" t="s">
        <v>332</v>
      </c>
      <c r="C1671" s="5" t="s">
        <v>333</v>
      </c>
      <c r="D1671" s="4" t="s">
        <v>22</v>
      </c>
      <c r="E1671" s="4" t="s">
        <v>2629</v>
      </c>
      <c r="F1671" s="4" t="s">
        <v>406</v>
      </c>
      <c r="G1671" s="4" t="s">
        <v>2630</v>
      </c>
      <c r="H1671" s="12" t="n">
        <v>1</v>
      </c>
      <c r="I1671" s="4" t="s">
        <v>408</v>
      </c>
      <c r="J1671" s="4" t="s">
        <v>409</v>
      </c>
      <c r="K1671" s="13" t="n">
        <v>180000</v>
      </c>
      <c r="L1671" s="6" t="n">
        <f aca="false">H1671*K1671</f>
        <v>180000</v>
      </c>
      <c r="M1671" s="14" t="s">
        <v>410</v>
      </c>
    </row>
    <row r="1672" customFormat="false" ht="15" hidden="false" customHeight="false" outlineLevel="0" collapsed="false">
      <c r="A1672" s="4" t="s">
        <v>327</v>
      </c>
      <c r="B1672" s="5" t="s">
        <v>332</v>
      </c>
      <c r="C1672" s="5" t="s">
        <v>333</v>
      </c>
      <c r="D1672" s="4" t="s">
        <v>22</v>
      </c>
      <c r="E1672" s="4" t="s">
        <v>2631</v>
      </c>
      <c r="F1672" s="4" t="s">
        <v>406</v>
      </c>
      <c r="G1672" s="4" t="s">
        <v>2632</v>
      </c>
      <c r="H1672" s="12" t="n">
        <v>1</v>
      </c>
      <c r="I1672" s="4" t="s">
        <v>408</v>
      </c>
      <c r="J1672" s="4" t="s">
        <v>409</v>
      </c>
      <c r="K1672" s="13" t="n">
        <v>3500</v>
      </c>
      <c r="L1672" s="6" t="n">
        <f aca="false">H1672*K1672</f>
        <v>3500</v>
      </c>
      <c r="M1672" s="14" t="s">
        <v>410</v>
      </c>
    </row>
    <row r="1673" customFormat="false" ht="15" hidden="false" customHeight="false" outlineLevel="0" collapsed="false">
      <c r="A1673" s="4" t="s">
        <v>327</v>
      </c>
      <c r="B1673" s="5" t="s">
        <v>332</v>
      </c>
      <c r="C1673" s="5" t="s">
        <v>333</v>
      </c>
      <c r="D1673" s="4" t="s">
        <v>22</v>
      </c>
      <c r="E1673" s="4" t="s">
        <v>2633</v>
      </c>
      <c r="F1673" s="4" t="s">
        <v>406</v>
      </c>
      <c r="G1673" s="4" t="s">
        <v>2634</v>
      </c>
      <c r="H1673" s="12" t="n">
        <v>1</v>
      </c>
      <c r="I1673" s="4" t="s">
        <v>408</v>
      </c>
      <c r="J1673" s="4" t="s">
        <v>416</v>
      </c>
      <c r="K1673" s="13" t="n">
        <v>35000</v>
      </c>
      <c r="L1673" s="6" t="n">
        <f aca="false">H1673*K1673</f>
        <v>35000</v>
      </c>
      <c r="M1673" s="14" t="s">
        <v>410</v>
      </c>
    </row>
    <row r="1674" customFormat="false" ht="15" hidden="false" customHeight="false" outlineLevel="0" collapsed="false">
      <c r="A1674" s="4" t="s">
        <v>327</v>
      </c>
      <c r="B1674" s="5" t="s">
        <v>332</v>
      </c>
      <c r="C1674" s="5" t="s">
        <v>333</v>
      </c>
      <c r="D1674" s="4" t="s">
        <v>22</v>
      </c>
      <c r="E1674" s="4" t="s">
        <v>2635</v>
      </c>
      <c r="F1674" s="4" t="s">
        <v>406</v>
      </c>
      <c r="G1674" s="4" t="s">
        <v>2636</v>
      </c>
      <c r="H1674" s="12" t="n">
        <v>1</v>
      </c>
      <c r="I1674" s="4" t="s">
        <v>408</v>
      </c>
      <c r="J1674" s="4" t="s">
        <v>409</v>
      </c>
      <c r="K1674" s="13" t="n">
        <v>850</v>
      </c>
      <c r="L1674" s="6" t="n">
        <f aca="false">H1674*K1674</f>
        <v>850</v>
      </c>
      <c r="M1674" s="14" t="s">
        <v>410</v>
      </c>
    </row>
    <row r="1675" customFormat="false" ht="15" hidden="false" customHeight="false" outlineLevel="0" collapsed="false">
      <c r="A1675" s="4" t="s">
        <v>327</v>
      </c>
      <c r="B1675" s="5" t="s">
        <v>332</v>
      </c>
      <c r="C1675" s="5" t="s">
        <v>333</v>
      </c>
      <c r="D1675" s="4" t="s">
        <v>22</v>
      </c>
      <c r="E1675" s="4" t="s">
        <v>2637</v>
      </c>
      <c r="F1675" s="4" t="s">
        <v>406</v>
      </c>
      <c r="G1675" s="4" t="s">
        <v>2638</v>
      </c>
      <c r="H1675" s="12" t="n">
        <v>1</v>
      </c>
      <c r="I1675" s="4" t="s">
        <v>408</v>
      </c>
      <c r="J1675" s="4" t="s">
        <v>416</v>
      </c>
      <c r="K1675" s="13" t="n">
        <v>18000</v>
      </c>
      <c r="L1675" s="6" t="n">
        <f aca="false">H1675*K1675</f>
        <v>18000</v>
      </c>
      <c r="M1675" s="14" t="s">
        <v>410</v>
      </c>
    </row>
    <row r="1676" customFormat="false" ht="15" hidden="false" customHeight="false" outlineLevel="0" collapsed="false">
      <c r="A1676" s="4" t="s">
        <v>327</v>
      </c>
      <c r="B1676" s="5" t="s">
        <v>332</v>
      </c>
      <c r="C1676" s="5" t="s">
        <v>333</v>
      </c>
      <c r="D1676" s="4" t="s">
        <v>22</v>
      </c>
      <c r="E1676" s="4" t="s">
        <v>2639</v>
      </c>
      <c r="F1676" s="4" t="s">
        <v>470</v>
      </c>
      <c r="G1676" s="4" t="s">
        <v>2640</v>
      </c>
      <c r="H1676" s="12" t="n">
        <v>1</v>
      </c>
      <c r="I1676" s="4" t="s">
        <v>408</v>
      </c>
      <c r="J1676" s="4" t="s">
        <v>409</v>
      </c>
      <c r="K1676" s="13" t="n">
        <v>3500</v>
      </c>
      <c r="L1676" s="6" t="n">
        <f aca="false">H1676*K1676</f>
        <v>3500</v>
      </c>
      <c r="M1676" s="14" t="s">
        <v>410</v>
      </c>
    </row>
    <row r="1677" customFormat="false" ht="15" hidden="false" customHeight="false" outlineLevel="0" collapsed="false">
      <c r="A1677" s="4" t="s">
        <v>327</v>
      </c>
      <c r="B1677" s="5" t="s">
        <v>332</v>
      </c>
      <c r="C1677" s="5" t="s">
        <v>333</v>
      </c>
      <c r="D1677" s="4" t="s">
        <v>22</v>
      </c>
      <c r="E1677" s="4" t="s">
        <v>2641</v>
      </c>
      <c r="F1677" s="4" t="s">
        <v>470</v>
      </c>
      <c r="G1677" s="4" t="s">
        <v>2642</v>
      </c>
      <c r="H1677" s="12" t="n">
        <v>1</v>
      </c>
      <c r="I1677" s="4" t="s">
        <v>408</v>
      </c>
      <c r="J1677" s="4" t="s">
        <v>409</v>
      </c>
      <c r="K1677" s="13" t="n">
        <v>8500</v>
      </c>
      <c r="L1677" s="6" t="n">
        <f aca="false">H1677*K1677</f>
        <v>8500</v>
      </c>
      <c r="M1677" s="14" t="s">
        <v>410</v>
      </c>
    </row>
    <row r="1678" customFormat="false" ht="15" hidden="false" customHeight="false" outlineLevel="0" collapsed="false">
      <c r="A1678" s="4" t="s">
        <v>327</v>
      </c>
      <c r="B1678" s="5" t="s">
        <v>332</v>
      </c>
      <c r="C1678" s="5" t="s">
        <v>333</v>
      </c>
      <c r="D1678" s="4" t="s">
        <v>22</v>
      </c>
      <c r="E1678" s="4" t="s">
        <v>2643</v>
      </c>
      <c r="F1678" s="4" t="s">
        <v>470</v>
      </c>
      <c r="G1678" s="4" t="s">
        <v>2644</v>
      </c>
      <c r="H1678" s="12" t="n">
        <v>1</v>
      </c>
      <c r="I1678" s="4" t="s">
        <v>408</v>
      </c>
      <c r="J1678" s="4" t="s">
        <v>409</v>
      </c>
      <c r="K1678" s="13" t="n">
        <v>3500</v>
      </c>
      <c r="L1678" s="6" t="n">
        <f aca="false">H1678*K1678</f>
        <v>3500</v>
      </c>
      <c r="M1678" s="14" t="s">
        <v>410</v>
      </c>
    </row>
    <row r="1679" customFormat="false" ht="15" hidden="false" customHeight="false" outlineLevel="0" collapsed="false">
      <c r="A1679" s="4" t="s">
        <v>327</v>
      </c>
      <c r="B1679" s="5" t="s">
        <v>332</v>
      </c>
      <c r="C1679" s="5" t="s">
        <v>333</v>
      </c>
      <c r="D1679" s="4" t="s">
        <v>22</v>
      </c>
      <c r="E1679" s="4" t="s">
        <v>2645</v>
      </c>
      <c r="F1679" s="4" t="s">
        <v>470</v>
      </c>
      <c r="G1679" s="4" t="s">
        <v>2646</v>
      </c>
      <c r="H1679" s="12" t="n">
        <v>1</v>
      </c>
      <c r="I1679" s="4" t="s">
        <v>408</v>
      </c>
      <c r="J1679" s="4" t="s">
        <v>409</v>
      </c>
      <c r="K1679" s="13" t="n">
        <v>8500</v>
      </c>
      <c r="L1679" s="6" t="n">
        <f aca="false">H1679*K1679</f>
        <v>8500</v>
      </c>
      <c r="M1679" s="14" t="s">
        <v>410</v>
      </c>
    </row>
    <row r="1680" customFormat="false" ht="15" hidden="false" customHeight="false" outlineLevel="0" collapsed="false">
      <c r="A1680" s="4" t="s">
        <v>327</v>
      </c>
      <c r="B1680" s="5" t="s">
        <v>332</v>
      </c>
      <c r="C1680" s="5" t="s">
        <v>333</v>
      </c>
      <c r="D1680" s="4" t="s">
        <v>22</v>
      </c>
      <c r="E1680" s="4" t="s">
        <v>2647</v>
      </c>
      <c r="F1680" s="4" t="s">
        <v>470</v>
      </c>
      <c r="G1680" s="4" t="s">
        <v>2648</v>
      </c>
      <c r="H1680" s="12" t="n">
        <v>1</v>
      </c>
      <c r="I1680" s="4" t="s">
        <v>408</v>
      </c>
      <c r="J1680" s="4" t="s">
        <v>409</v>
      </c>
      <c r="K1680" s="13" t="n">
        <v>25000</v>
      </c>
      <c r="L1680" s="6" t="n">
        <f aca="false">H1680*K1680</f>
        <v>25000</v>
      </c>
      <c r="M1680" s="14" t="s">
        <v>410</v>
      </c>
    </row>
    <row r="1681" customFormat="false" ht="15" hidden="false" customHeight="false" outlineLevel="0" collapsed="false">
      <c r="A1681" s="4" t="s">
        <v>327</v>
      </c>
      <c r="B1681" s="5" t="s">
        <v>332</v>
      </c>
      <c r="C1681" s="5" t="s">
        <v>333</v>
      </c>
      <c r="D1681" s="4" t="s">
        <v>22</v>
      </c>
      <c r="E1681" s="4" t="s">
        <v>2649</v>
      </c>
      <c r="F1681" s="4" t="s">
        <v>470</v>
      </c>
      <c r="G1681" s="4" t="s">
        <v>2650</v>
      </c>
      <c r="H1681" s="12" t="n">
        <v>1</v>
      </c>
      <c r="I1681" s="4" t="s">
        <v>408</v>
      </c>
      <c r="J1681" s="4" t="s">
        <v>409</v>
      </c>
      <c r="K1681" s="13" t="n">
        <v>450</v>
      </c>
      <c r="L1681" s="6" t="n">
        <f aca="false">H1681*K1681</f>
        <v>450</v>
      </c>
      <c r="M1681" s="4" t="s">
        <v>371</v>
      </c>
    </row>
    <row r="1682" customFormat="false" ht="15" hidden="false" customHeight="false" outlineLevel="0" collapsed="false">
      <c r="A1682" s="4" t="s">
        <v>327</v>
      </c>
      <c r="B1682" s="5" t="s">
        <v>332</v>
      </c>
      <c r="C1682" s="5" t="s">
        <v>333</v>
      </c>
      <c r="D1682" s="4" t="s">
        <v>22</v>
      </c>
      <c r="E1682" s="4" t="s">
        <v>2651</v>
      </c>
      <c r="F1682" s="4" t="s">
        <v>470</v>
      </c>
      <c r="G1682" s="4" t="s">
        <v>2652</v>
      </c>
      <c r="H1682" s="12" t="n">
        <v>1</v>
      </c>
      <c r="I1682" s="4" t="s">
        <v>408</v>
      </c>
      <c r="J1682" s="4" t="s">
        <v>475</v>
      </c>
      <c r="K1682" s="13" t="n">
        <v>1800</v>
      </c>
      <c r="L1682" s="6" t="n">
        <f aca="false">H1682*K1682</f>
        <v>1800</v>
      </c>
      <c r="M1682" s="4" t="s">
        <v>371</v>
      </c>
    </row>
    <row r="1683" customFormat="false" ht="15" hidden="false" customHeight="false" outlineLevel="0" collapsed="false">
      <c r="A1683" s="4" t="s">
        <v>327</v>
      </c>
      <c r="B1683" s="5" t="s">
        <v>332</v>
      </c>
      <c r="C1683" s="5" t="s">
        <v>333</v>
      </c>
      <c r="D1683" s="4" t="s">
        <v>22</v>
      </c>
      <c r="E1683" s="4" t="s">
        <v>2653</v>
      </c>
      <c r="F1683" s="4" t="s">
        <v>470</v>
      </c>
      <c r="G1683" s="4" t="s">
        <v>2654</v>
      </c>
      <c r="H1683" s="12" t="n">
        <v>1</v>
      </c>
      <c r="I1683" s="4" t="s">
        <v>408</v>
      </c>
      <c r="J1683" s="4" t="s">
        <v>416</v>
      </c>
      <c r="K1683" s="13" t="n">
        <v>1800</v>
      </c>
      <c r="L1683" s="6" t="n">
        <f aca="false">H1683*K1683</f>
        <v>1800</v>
      </c>
      <c r="M1683" s="4" t="s">
        <v>371</v>
      </c>
    </row>
    <row r="1684" customFormat="false" ht="15" hidden="false" customHeight="false" outlineLevel="0" collapsed="false">
      <c r="A1684" s="4" t="s">
        <v>327</v>
      </c>
      <c r="B1684" s="5" t="s">
        <v>332</v>
      </c>
      <c r="C1684" s="5" t="s">
        <v>333</v>
      </c>
      <c r="D1684" s="4" t="s">
        <v>22</v>
      </c>
      <c r="E1684" s="4" t="s">
        <v>2655</v>
      </c>
      <c r="F1684" s="4" t="s">
        <v>470</v>
      </c>
      <c r="G1684" s="4" t="s">
        <v>1105</v>
      </c>
      <c r="H1684" s="12" t="n">
        <v>1</v>
      </c>
      <c r="I1684" s="4" t="s">
        <v>408</v>
      </c>
      <c r="J1684" s="4" t="s">
        <v>409</v>
      </c>
      <c r="K1684" s="13" t="n">
        <v>3500</v>
      </c>
      <c r="L1684" s="6" t="n">
        <f aca="false">H1684*K1684</f>
        <v>3500</v>
      </c>
      <c r="M1684" s="4" t="s">
        <v>371</v>
      </c>
    </row>
    <row r="1685" customFormat="false" ht="15" hidden="false" customHeight="false" outlineLevel="0" collapsed="false">
      <c r="A1685" s="4" t="s">
        <v>327</v>
      </c>
      <c r="B1685" s="5" t="s">
        <v>332</v>
      </c>
      <c r="C1685" s="5" t="s">
        <v>333</v>
      </c>
      <c r="D1685" s="4" t="s">
        <v>22</v>
      </c>
      <c r="E1685" s="4" t="s">
        <v>2656</v>
      </c>
      <c r="F1685" s="4" t="s">
        <v>470</v>
      </c>
      <c r="G1685" s="4" t="s">
        <v>2657</v>
      </c>
      <c r="H1685" s="12" t="n">
        <v>1</v>
      </c>
      <c r="I1685" s="4" t="s">
        <v>408</v>
      </c>
      <c r="J1685" s="4" t="s">
        <v>416</v>
      </c>
      <c r="K1685" s="13" t="n">
        <v>1800</v>
      </c>
      <c r="L1685" s="6" t="n">
        <f aca="false">H1685*K1685</f>
        <v>1800</v>
      </c>
      <c r="M1685" s="4" t="s">
        <v>371</v>
      </c>
    </row>
    <row r="1686" customFormat="false" ht="15" hidden="false" customHeight="false" outlineLevel="0" collapsed="false">
      <c r="A1686" s="4" t="s">
        <v>327</v>
      </c>
      <c r="B1686" s="5" t="s">
        <v>332</v>
      </c>
      <c r="C1686" s="5" t="s">
        <v>333</v>
      </c>
      <c r="D1686" s="4" t="s">
        <v>22</v>
      </c>
      <c r="E1686" s="4" t="s">
        <v>2288</v>
      </c>
      <c r="F1686" s="4" t="s">
        <v>470</v>
      </c>
      <c r="G1686" s="4" t="s">
        <v>1452</v>
      </c>
      <c r="H1686" s="12" t="n">
        <v>1</v>
      </c>
      <c r="I1686" s="4" t="s">
        <v>408</v>
      </c>
      <c r="J1686" s="4" t="s">
        <v>413</v>
      </c>
      <c r="K1686" s="13" t="n">
        <v>450</v>
      </c>
      <c r="L1686" s="6" t="n">
        <f aca="false">H1686*K1686</f>
        <v>450</v>
      </c>
      <c r="M1686" s="4" t="s">
        <v>371</v>
      </c>
    </row>
    <row r="1687" customFormat="false" ht="15" hidden="false" customHeight="false" outlineLevel="0" collapsed="false">
      <c r="A1687" s="4" t="s">
        <v>327</v>
      </c>
      <c r="B1687" s="5" t="s">
        <v>332</v>
      </c>
      <c r="C1687" s="5" t="s">
        <v>333</v>
      </c>
      <c r="D1687" s="4" t="s">
        <v>22</v>
      </c>
      <c r="E1687" s="4" t="s">
        <v>2658</v>
      </c>
      <c r="F1687" s="4" t="s">
        <v>470</v>
      </c>
      <c r="G1687" s="4" t="s">
        <v>2659</v>
      </c>
      <c r="H1687" s="12" t="n">
        <v>1</v>
      </c>
      <c r="I1687" s="4" t="s">
        <v>408</v>
      </c>
      <c r="J1687" s="4" t="s">
        <v>416</v>
      </c>
      <c r="K1687" s="13" t="n">
        <v>2500</v>
      </c>
      <c r="L1687" s="6" t="n">
        <f aca="false">H1687*K1687</f>
        <v>2500</v>
      </c>
      <c r="M1687" s="4" t="s">
        <v>371</v>
      </c>
    </row>
    <row r="1688" customFormat="false" ht="15" hidden="false" customHeight="false" outlineLevel="0" collapsed="false">
      <c r="A1688" s="4" t="s">
        <v>327</v>
      </c>
      <c r="B1688" s="5" t="s">
        <v>332</v>
      </c>
      <c r="C1688" s="5" t="s">
        <v>333</v>
      </c>
      <c r="D1688" s="4" t="s">
        <v>22</v>
      </c>
      <c r="E1688" s="4" t="s">
        <v>2660</v>
      </c>
      <c r="F1688" s="4" t="s">
        <v>470</v>
      </c>
      <c r="G1688" s="4" t="s">
        <v>2661</v>
      </c>
      <c r="H1688" s="12" t="n">
        <v>1</v>
      </c>
      <c r="I1688" s="4" t="s">
        <v>408</v>
      </c>
      <c r="J1688" s="4" t="s">
        <v>409</v>
      </c>
      <c r="K1688" s="13" t="n">
        <v>850</v>
      </c>
      <c r="L1688" s="6" t="n">
        <f aca="false">H1688*K1688</f>
        <v>850</v>
      </c>
      <c r="M1688" s="4" t="s">
        <v>371</v>
      </c>
    </row>
    <row r="1689" customFormat="false" ht="15" hidden="false" customHeight="false" outlineLevel="0" collapsed="false">
      <c r="A1689" s="4" t="s">
        <v>327</v>
      </c>
      <c r="B1689" s="5" t="s">
        <v>332</v>
      </c>
      <c r="C1689" s="5" t="s">
        <v>333</v>
      </c>
      <c r="D1689" s="4" t="s">
        <v>22</v>
      </c>
      <c r="E1689" s="4" t="s">
        <v>2662</v>
      </c>
      <c r="F1689" s="4" t="s">
        <v>470</v>
      </c>
      <c r="G1689" s="4" t="s">
        <v>2663</v>
      </c>
      <c r="H1689" s="12" t="n">
        <v>1</v>
      </c>
      <c r="I1689" s="4" t="s">
        <v>408</v>
      </c>
      <c r="J1689" s="4" t="s">
        <v>409</v>
      </c>
      <c r="K1689" s="13" t="n">
        <v>850</v>
      </c>
      <c r="L1689" s="6" t="n">
        <f aca="false">H1689*K1689</f>
        <v>850</v>
      </c>
      <c r="M1689" s="4" t="s">
        <v>371</v>
      </c>
    </row>
    <row r="1690" customFormat="false" ht="15" hidden="false" customHeight="false" outlineLevel="0" collapsed="false">
      <c r="A1690" s="4" t="s">
        <v>327</v>
      </c>
      <c r="B1690" s="5" t="s">
        <v>332</v>
      </c>
      <c r="C1690" s="5" t="s">
        <v>333</v>
      </c>
      <c r="D1690" s="4" t="s">
        <v>22</v>
      </c>
      <c r="E1690" s="4" t="s">
        <v>2664</v>
      </c>
      <c r="F1690" s="4" t="s">
        <v>470</v>
      </c>
      <c r="G1690" s="4" t="s">
        <v>2665</v>
      </c>
      <c r="H1690" s="12" t="n">
        <v>1</v>
      </c>
      <c r="I1690" s="4" t="s">
        <v>408</v>
      </c>
      <c r="J1690" s="4" t="s">
        <v>409</v>
      </c>
      <c r="K1690" s="13" t="n">
        <v>2500</v>
      </c>
      <c r="L1690" s="6" t="n">
        <f aca="false">H1690*K1690</f>
        <v>2500</v>
      </c>
      <c r="M1690" s="4" t="s">
        <v>371</v>
      </c>
    </row>
    <row r="1691" customFormat="false" ht="15" hidden="false" customHeight="false" outlineLevel="0" collapsed="false">
      <c r="A1691" s="4" t="s">
        <v>327</v>
      </c>
      <c r="B1691" s="5" t="s">
        <v>332</v>
      </c>
      <c r="C1691" s="5" t="s">
        <v>333</v>
      </c>
      <c r="D1691" s="4" t="s">
        <v>22</v>
      </c>
      <c r="E1691" s="4" t="s">
        <v>2666</v>
      </c>
      <c r="F1691" s="4" t="s">
        <v>470</v>
      </c>
      <c r="G1691" s="4" t="s">
        <v>2667</v>
      </c>
      <c r="H1691" s="12" t="n">
        <v>1</v>
      </c>
      <c r="I1691" s="4" t="s">
        <v>408</v>
      </c>
      <c r="J1691" s="4" t="s">
        <v>506</v>
      </c>
      <c r="K1691" s="13" t="n">
        <v>250</v>
      </c>
      <c r="L1691" s="6" t="n">
        <f aca="false">H1691*K1691</f>
        <v>250</v>
      </c>
      <c r="M1691" s="4" t="s">
        <v>371</v>
      </c>
    </row>
    <row r="1692" customFormat="false" ht="15" hidden="false" customHeight="false" outlineLevel="0" collapsed="false">
      <c r="A1692" s="4" t="s">
        <v>327</v>
      </c>
      <c r="B1692" s="5" t="s">
        <v>332</v>
      </c>
      <c r="C1692" s="5" t="s">
        <v>333</v>
      </c>
      <c r="D1692" s="4" t="s">
        <v>22</v>
      </c>
      <c r="E1692" s="4" t="s">
        <v>2668</v>
      </c>
      <c r="F1692" s="4" t="s">
        <v>470</v>
      </c>
      <c r="G1692" s="4" t="s">
        <v>2669</v>
      </c>
      <c r="H1692" s="12" t="n">
        <v>1</v>
      </c>
      <c r="I1692" s="4" t="s">
        <v>408</v>
      </c>
      <c r="J1692" s="4" t="s">
        <v>409</v>
      </c>
      <c r="K1692" s="13" t="n">
        <v>50</v>
      </c>
      <c r="L1692" s="6" t="n">
        <f aca="false">H1692*K1692</f>
        <v>50</v>
      </c>
      <c r="M1692" s="4" t="s">
        <v>371</v>
      </c>
    </row>
    <row r="1693" customFormat="false" ht="15" hidden="false" customHeight="false" outlineLevel="0" collapsed="false">
      <c r="A1693" s="4" t="s">
        <v>327</v>
      </c>
      <c r="B1693" s="5" t="s">
        <v>332</v>
      </c>
      <c r="C1693" s="5" t="s">
        <v>333</v>
      </c>
      <c r="D1693" s="4" t="s">
        <v>22</v>
      </c>
      <c r="E1693" s="4" t="s">
        <v>2670</v>
      </c>
      <c r="F1693" s="4" t="s">
        <v>470</v>
      </c>
      <c r="G1693" s="4" t="s">
        <v>2671</v>
      </c>
      <c r="H1693" s="12" t="n">
        <v>1</v>
      </c>
      <c r="I1693" s="4" t="s">
        <v>408</v>
      </c>
      <c r="J1693" s="4" t="s">
        <v>506</v>
      </c>
      <c r="K1693" s="13" t="n">
        <v>250</v>
      </c>
      <c r="L1693" s="6" t="n">
        <f aca="false">H1693*K1693</f>
        <v>250</v>
      </c>
      <c r="M1693" s="4" t="s">
        <v>371</v>
      </c>
    </row>
    <row r="1694" customFormat="false" ht="15" hidden="false" customHeight="false" outlineLevel="0" collapsed="false">
      <c r="A1694" s="4" t="s">
        <v>327</v>
      </c>
      <c r="B1694" s="5" t="s">
        <v>332</v>
      </c>
      <c r="C1694" s="5" t="s">
        <v>333</v>
      </c>
      <c r="D1694" s="4" t="s">
        <v>22</v>
      </c>
      <c r="E1694" s="4" t="s">
        <v>2672</v>
      </c>
      <c r="F1694" s="4" t="s">
        <v>488</v>
      </c>
      <c r="G1694" s="4" t="s">
        <v>2673</v>
      </c>
      <c r="H1694" s="12" t="n">
        <v>1</v>
      </c>
      <c r="I1694" s="4" t="s">
        <v>408</v>
      </c>
      <c r="J1694" s="4" t="s">
        <v>409</v>
      </c>
      <c r="K1694" s="13" t="n">
        <v>60</v>
      </c>
      <c r="L1694" s="6" t="n">
        <f aca="false">H1694*K1694</f>
        <v>60</v>
      </c>
      <c r="M1694" s="4" t="s">
        <v>371</v>
      </c>
    </row>
    <row r="1695" customFormat="false" ht="15" hidden="false" customHeight="false" outlineLevel="0" collapsed="false">
      <c r="A1695" s="4" t="s">
        <v>327</v>
      </c>
      <c r="B1695" s="5" t="s">
        <v>332</v>
      </c>
      <c r="C1695" s="5" t="s">
        <v>333</v>
      </c>
      <c r="D1695" s="4" t="s">
        <v>22</v>
      </c>
      <c r="E1695" s="4" t="s">
        <v>2674</v>
      </c>
      <c r="F1695" s="4" t="s">
        <v>488</v>
      </c>
      <c r="G1695" s="4" t="s">
        <v>2675</v>
      </c>
      <c r="H1695" s="12" t="n">
        <v>1</v>
      </c>
      <c r="I1695" s="4" t="s">
        <v>408</v>
      </c>
      <c r="J1695" s="4" t="s">
        <v>409</v>
      </c>
      <c r="K1695" s="13" t="n">
        <v>10</v>
      </c>
      <c r="L1695" s="6" t="n">
        <f aca="false">H1695*K1695</f>
        <v>10</v>
      </c>
      <c r="M1695" s="4" t="s">
        <v>371</v>
      </c>
    </row>
    <row r="1696" customFormat="false" ht="15" hidden="false" customHeight="false" outlineLevel="0" collapsed="false">
      <c r="A1696" s="4" t="s">
        <v>327</v>
      </c>
      <c r="B1696" s="5" t="s">
        <v>332</v>
      </c>
      <c r="C1696" s="5" t="s">
        <v>333</v>
      </c>
      <c r="D1696" s="4" t="s">
        <v>22</v>
      </c>
      <c r="E1696" s="4" t="s">
        <v>2676</v>
      </c>
      <c r="F1696" s="4" t="s">
        <v>488</v>
      </c>
      <c r="G1696" s="4" t="s">
        <v>2677</v>
      </c>
      <c r="H1696" s="12" t="n">
        <v>1</v>
      </c>
      <c r="I1696" s="4" t="s">
        <v>408</v>
      </c>
      <c r="J1696" s="4" t="s">
        <v>429</v>
      </c>
      <c r="K1696" s="13" t="n">
        <v>80</v>
      </c>
      <c r="L1696" s="6" t="n">
        <f aca="false">H1696*K1696</f>
        <v>80</v>
      </c>
      <c r="M1696" s="14" t="s">
        <v>410</v>
      </c>
    </row>
    <row r="1697" customFormat="false" ht="15" hidden="false" customHeight="false" outlineLevel="0" collapsed="false">
      <c r="A1697" s="4" t="s">
        <v>327</v>
      </c>
      <c r="B1697" s="5" t="s">
        <v>332</v>
      </c>
      <c r="C1697" s="5" t="s">
        <v>333</v>
      </c>
      <c r="D1697" s="4" t="s">
        <v>22</v>
      </c>
      <c r="E1697" s="4" t="s">
        <v>2678</v>
      </c>
      <c r="F1697" s="4" t="s">
        <v>488</v>
      </c>
      <c r="G1697" s="4" t="s">
        <v>2679</v>
      </c>
      <c r="H1697" s="12" t="n">
        <v>1</v>
      </c>
      <c r="I1697" s="4" t="s">
        <v>408</v>
      </c>
      <c r="J1697" s="4" t="s">
        <v>416</v>
      </c>
      <c r="K1697" s="13" t="n">
        <v>250</v>
      </c>
      <c r="L1697" s="6" t="n">
        <f aca="false">H1697*K1697</f>
        <v>250</v>
      </c>
      <c r="M1697" s="4" t="s">
        <v>371</v>
      </c>
    </row>
    <row r="1698" customFormat="false" ht="15" hidden="false" customHeight="false" outlineLevel="0" collapsed="false">
      <c r="A1698" s="4" t="s">
        <v>327</v>
      </c>
      <c r="B1698" s="5" t="s">
        <v>332</v>
      </c>
      <c r="C1698" s="5" t="s">
        <v>333</v>
      </c>
      <c r="D1698" s="4" t="s">
        <v>22</v>
      </c>
      <c r="E1698" s="4" t="s">
        <v>2680</v>
      </c>
      <c r="F1698" s="4" t="s">
        <v>488</v>
      </c>
      <c r="G1698" s="4" t="s">
        <v>2681</v>
      </c>
      <c r="H1698" s="12" t="n">
        <v>1</v>
      </c>
      <c r="I1698" s="4" t="s">
        <v>408</v>
      </c>
      <c r="J1698" s="4" t="s">
        <v>409</v>
      </c>
      <c r="K1698" s="13" t="n">
        <v>25</v>
      </c>
      <c r="L1698" s="6" t="n">
        <f aca="false">H1698*K1698</f>
        <v>25</v>
      </c>
      <c r="M1698" s="4" t="s">
        <v>371</v>
      </c>
    </row>
    <row r="1699" customFormat="false" ht="15" hidden="false" customHeight="false" outlineLevel="0" collapsed="false">
      <c r="A1699" s="4" t="s">
        <v>327</v>
      </c>
      <c r="B1699" s="5" t="s">
        <v>332</v>
      </c>
      <c r="C1699" s="5" t="s">
        <v>333</v>
      </c>
      <c r="D1699" s="4" t="s">
        <v>22</v>
      </c>
      <c r="E1699" s="4" t="s">
        <v>2682</v>
      </c>
      <c r="F1699" s="4" t="s">
        <v>470</v>
      </c>
      <c r="G1699" s="4" t="s">
        <v>2683</v>
      </c>
      <c r="H1699" s="12" t="n">
        <v>1</v>
      </c>
      <c r="I1699" s="4" t="s">
        <v>408</v>
      </c>
      <c r="J1699" s="4" t="s">
        <v>409</v>
      </c>
      <c r="K1699" s="13" t="n">
        <v>350</v>
      </c>
      <c r="L1699" s="6" t="n">
        <f aca="false">H1699*K1699</f>
        <v>350</v>
      </c>
      <c r="M1699" s="4" t="s">
        <v>371</v>
      </c>
    </row>
    <row r="1700" customFormat="false" ht="15" hidden="false" customHeight="false" outlineLevel="0" collapsed="false">
      <c r="A1700" s="4" t="s">
        <v>327</v>
      </c>
      <c r="B1700" s="5" t="s">
        <v>332</v>
      </c>
      <c r="C1700" s="5" t="s">
        <v>333</v>
      </c>
      <c r="D1700" s="4" t="s">
        <v>22</v>
      </c>
      <c r="E1700" s="4" t="s">
        <v>2684</v>
      </c>
      <c r="F1700" s="4" t="s">
        <v>470</v>
      </c>
      <c r="G1700" s="4" t="s">
        <v>2685</v>
      </c>
      <c r="H1700" s="12" t="n">
        <v>1</v>
      </c>
      <c r="I1700" s="4" t="s">
        <v>408</v>
      </c>
      <c r="J1700" s="4" t="s">
        <v>409</v>
      </c>
      <c r="K1700" s="13" t="n">
        <v>850</v>
      </c>
      <c r="L1700" s="6" t="n">
        <f aca="false">H1700*K1700</f>
        <v>850</v>
      </c>
      <c r="M1700" s="4" t="s">
        <v>371</v>
      </c>
    </row>
    <row r="1701" customFormat="false" ht="15" hidden="false" customHeight="false" outlineLevel="0" collapsed="false">
      <c r="A1701" s="4" t="s">
        <v>337</v>
      </c>
      <c r="B1701" s="5" t="s">
        <v>338</v>
      </c>
      <c r="C1701" s="5" t="s">
        <v>339</v>
      </c>
      <c r="D1701" s="4" t="s">
        <v>22</v>
      </c>
      <c r="E1701" s="4" t="s">
        <v>2686</v>
      </c>
      <c r="F1701" s="4" t="s">
        <v>406</v>
      </c>
      <c r="G1701" s="4" t="s">
        <v>2687</v>
      </c>
      <c r="H1701" s="12" t="n">
        <v>1</v>
      </c>
      <c r="I1701" s="4" t="s">
        <v>408</v>
      </c>
      <c r="J1701" s="4" t="s">
        <v>416</v>
      </c>
      <c r="K1701" s="13" t="n">
        <v>18000</v>
      </c>
      <c r="L1701" s="6" t="n">
        <f aca="false">H1701*K1701</f>
        <v>18000</v>
      </c>
      <c r="M1701" s="4" t="s">
        <v>371</v>
      </c>
    </row>
    <row r="1702" customFormat="false" ht="15" hidden="false" customHeight="false" outlineLevel="0" collapsed="false">
      <c r="A1702" s="4" t="s">
        <v>337</v>
      </c>
      <c r="B1702" s="5" t="s">
        <v>338</v>
      </c>
      <c r="C1702" s="5" t="s">
        <v>339</v>
      </c>
      <c r="D1702" s="4" t="s">
        <v>22</v>
      </c>
      <c r="E1702" s="4" t="s">
        <v>2688</v>
      </c>
      <c r="F1702" s="4" t="s">
        <v>406</v>
      </c>
      <c r="G1702" s="4" t="s">
        <v>2689</v>
      </c>
      <c r="H1702" s="12" t="n">
        <v>1</v>
      </c>
      <c r="I1702" s="4" t="s">
        <v>408</v>
      </c>
      <c r="J1702" s="4" t="s">
        <v>416</v>
      </c>
      <c r="K1702" s="13" t="n">
        <v>25000</v>
      </c>
      <c r="L1702" s="6" t="n">
        <f aca="false">H1702*K1702</f>
        <v>25000</v>
      </c>
      <c r="M1702" s="4" t="s">
        <v>371</v>
      </c>
    </row>
    <row r="1703" customFormat="false" ht="15" hidden="false" customHeight="false" outlineLevel="0" collapsed="false">
      <c r="A1703" s="4" t="s">
        <v>337</v>
      </c>
      <c r="B1703" s="5" t="s">
        <v>338</v>
      </c>
      <c r="C1703" s="5" t="s">
        <v>339</v>
      </c>
      <c r="D1703" s="4" t="s">
        <v>22</v>
      </c>
      <c r="E1703" s="4" t="s">
        <v>2690</v>
      </c>
      <c r="F1703" s="4" t="s">
        <v>406</v>
      </c>
      <c r="G1703" s="4" t="s">
        <v>2691</v>
      </c>
      <c r="H1703" s="12" t="n">
        <v>1</v>
      </c>
      <c r="I1703" s="4" t="s">
        <v>408</v>
      </c>
      <c r="J1703" s="4" t="s">
        <v>416</v>
      </c>
      <c r="K1703" s="13" t="n">
        <v>18000</v>
      </c>
      <c r="L1703" s="6" t="n">
        <f aca="false">H1703*K1703</f>
        <v>18000</v>
      </c>
      <c r="M1703" s="4" t="s">
        <v>371</v>
      </c>
    </row>
    <row r="1704" customFormat="false" ht="15" hidden="false" customHeight="false" outlineLevel="0" collapsed="false">
      <c r="A1704" s="4" t="s">
        <v>337</v>
      </c>
      <c r="B1704" s="5" t="s">
        <v>338</v>
      </c>
      <c r="C1704" s="5" t="s">
        <v>339</v>
      </c>
      <c r="D1704" s="4" t="s">
        <v>22</v>
      </c>
      <c r="E1704" s="4" t="s">
        <v>2692</v>
      </c>
      <c r="F1704" s="4" t="s">
        <v>406</v>
      </c>
      <c r="G1704" s="4" t="s">
        <v>2693</v>
      </c>
      <c r="H1704" s="12" t="n">
        <v>1</v>
      </c>
      <c r="I1704" s="4" t="s">
        <v>408</v>
      </c>
      <c r="J1704" s="4" t="s">
        <v>416</v>
      </c>
      <c r="K1704" s="13" t="n">
        <v>8500</v>
      </c>
      <c r="L1704" s="6" t="n">
        <f aca="false">H1704*K1704</f>
        <v>8500</v>
      </c>
      <c r="M1704" s="14" t="s">
        <v>410</v>
      </c>
    </row>
    <row r="1705" customFormat="false" ht="15" hidden="false" customHeight="false" outlineLevel="0" collapsed="false">
      <c r="A1705" s="4" t="s">
        <v>337</v>
      </c>
      <c r="B1705" s="5" t="s">
        <v>338</v>
      </c>
      <c r="C1705" s="5" t="s">
        <v>339</v>
      </c>
      <c r="D1705" s="4" t="s">
        <v>22</v>
      </c>
      <c r="E1705" s="4" t="s">
        <v>2694</v>
      </c>
      <c r="F1705" s="4" t="s">
        <v>406</v>
      </c>
      <c r="G1705" s="4" t="s">
        <v>2695</v>
      </c>
      <c r="H1705" s="12" t="n">
        <v>1</v>
      </c>
      <c r="I1705" s="4" t="s">
        <v>408</v>
      </c>
      <c r="J1705" s="4" t="s">
        <v>416</v>
      </c>
      <c r="K1705" s="13" t="n">
        <v>18000</v>
      </c>
      <c r="L1705" s="6" t="n">
        <f aca="false">H1705*K1705</f>
        <v>18000</v>
      </c>
      <c r="M1705" s="4" t="s">
        <v>371</v>
      </c>
    </row>
    <row r="1706" customFormat="false" ht="15" hidden="false" customHeight="false" outlineLevel="0" collapsed="false">
      <c r="A1706" s="4" t="s">
        <v>337</v>
      </c>
      <c r="B1706" s="5" t="s">
        <v>338</v>
      </c>
      <c r="C1706" s="5" t="s">
        <v>339</v>
      </c>
      <c r="D1706" s="4" t="s">
        <v>22</v>
      </c>
      <c r="E1706" s="4" t="s">
        <v>1630</v>
      </c>
      <c r="F1706" s="4" t="s">
        <v>470</v>
      </c>
      <c r="G1706" s="4" t="s">
        <v>1631</v>
      </c>
      <c r="H1706" s="12" t="n">
        <v>1</v>
      </c>
      <c r="I1706" s="4" t="s">
        <v>408</v>
      </c>
      <c r="J1706" s="4" t="s">
        <v>416</v>
      </c>
      <c r="K1706" s="13" t="n">
        <v>65000</v>
      </c>
      <c r="L1706" s="6" t="n">
        <f aca="false">H1706*K1706</f>
        <v>65000</v>
      </c>
      <c r="M1706" s="4" t="s">
        <v>371</v>
      </c>
    </row>
    <row r="1707" customFormat="false" ht="15" hidden="false" customHeight="false" outlineLevel="0" collapsed="false">
      <c r="A1707" s="4" t="s">
        <v>337</v>
      </c>
      <c r="B1707" s="5" t="s">
        <v>338</v>
      </c>
      <c r="C1707" s="5" t="s">
        <v>339</v>
      </c>
      <c r="D1707" s="4" t="s">
        <v>22</v>
      </c>
      <c r="E1707" s="4" t="s">
        <v>1253</v>
      </c>
      <c r="F1707" s="4" t="s">
        <v>470</v>
      </c>
      <c r="G1707" s="4" t="s">
        <v>1254</v>
      </c>
      <c r="H1707" s="12" t="n">
        <v>1</v>
      </c>
      <c r="I1707" s="4" t="s">
        <v>408</v>
      </c>
      <c r="J1707" s="4" t="s">
        <v>409</v>
      </c>
      <c r="K1707" s="13" t="n">
        <v>8500</v>
      </c>
      <c r="L1707" s="6" t="n">
        <f aca="false">H1707*K1707</f>
        <v>8500</v>
      </c>
      <c r="M1707" s="14" t="s">
        <v>410</v>
      </c>
    </row>
    <row r="1708" customFormat="false" ht="15" hidden="false" customHeight="false" outlineLevel="0" collapsed="false">
      <c r="A1708" s="4" t="s">
        <v>337</v>
      </c>
      <c r="B1708" s="5" t="s">
        <v>338</v>
      </c>
      <c r="C1708" s="5" t="s">
        <v>339</v>
      </c>
      <c r="D1708" s="4" t="s">
        <v>22</v>
      </c>
      <c r="E1708" s="4" t="s">
        <v>1632</v>
      </c>
      <c r="F1708" s="4" t="s">
        <v>470</v>
      </c>
      <c r="G1708" s="4" t="s">
        <v>1633</v>
      </c>
      <c r="H1708" s="12" t="n">
        <v>1</v>
      </c>
      <c r="I1708" s="4" t="s">
        <v>408</v>
      </c>
      <c r="J1708" s="4" t="s">
        <v>416</v>
      </c>
      <c r="K1708" s="13" t="n">
        <v>1200</v>
      </c>
      <c r="L1708" s="6" t="n">
        <f aca="false">H1708*K1708</f>
        <v>1200</v>
      </c>
      <c r="M1708" s="14" t="s">
        <v>410</v>
      </c>
    </row>
    <row r="1709" customFormat="false" ht="15" hidden="false" customHeight="false" outlineLevel="0" collapsed="false">
      <c r="A1709" s="4" t="s">
        <v>337</v>
      </c>
      <c r="B1709" s="5" t="s">
        <v>338</v>
      </c>
      <c r="C1709" s="5" t="s">
        <v>339</v>
      </c>
      <c r="D1709" s="4" t="s">
        <v>22</v>
      </c>
      <c r="E1709" s="4" t="s">
        <v>1224</v>
      </c>
      <c r="F1709" s="4" t="s">
        <v>470</v>
      </c>
      <c r="G1709" s="4" t="s">
        <v>1225</v>
      </c>
      <c r="H1709" s="12" t="n">
        <v>1</v>
      </c>
      <c r="I1709" s="4" t="s">
        <v>408</v>
      </c>
      <c r="J1709" s="4" t="s">
        <v>416</v>
      </c>
      <c r="K1709" s="13" t="n">
        <v>4500</v>
      </c>
      <c r="L1709" s="6" t="n">
        <f aca="false">H1709*K1709</f>
        <v>4500</v>
      </c>
      <c r="M1709" s="4" t="s">
        <v>371</v>
      </c>
    </row>
    <row r="1710" customFormat="false" ht="15" hidden="false" customHeight="false" outlineLevel="0" collapsed="false">
      <c r="A1710" s="4" t="s">
        <v>337</v>
      </c>
      <c r="B1710" s="5" t="s">
        <v>338</v>
      </c>
      <c r="C1710" s="5" t="s">
        <v>339</v>
      </c>
      <c r="D1710" s="4" t="s">
        <v>22</v>
      </c>
      <c r="E1710" s="4" t="s">
        <v>2696</v>
      </c>
      <c r="F1710" s="4" t="s">
        <v>470</v>
      </c>
      <c r="G1710" s="4" t="s">
        <v>2697</v>
      </c>
      <c r="H1710" s="12" t="n">
        <v>1</v>
      </c>
      <c r="I1710" s="4" t="s">
        <v>408</v>
      </c>
      <c r="J1710" s="4" t="s">
        <v>416</v>
      </c>
      <c r="K1710" s="13" t="n">
        <v>850</v>
      </c>
      <c r="L1710" s="6" t="n">
        <f aca="false">H1710*K1710</f>
        <v>850</v>
      </c>
      <c r="M1710" s="4" t="s">
        <v>371</v>
      </c>
    </row>
    <row r="1711" customFormat="false" ht="15" hidden="false" customHeight="false" outlineLevel="0" collapsed="false">
      <c r="A1711" s="4" t="s">
        <v>337</v>
      </c>
      <c r="B1711" s="5" t="s">
        <v>338</v>
      </c>
      <c r="C1711" s="5" t="s">
        <v>339</v>
      </c>
      <c r="D1711" s="4" t="s">
        <v>22</v>
      </c>
      <c r="E1711" s="4" t="s">
        <v>2698</v>
      </c>
      <c r="F1711" s="4" t="s">
        <v>470</v>
      </c>
      <c r="G1711" s="4" t="s">
        <v>2699</v>
      </c>
      <c r="H1711" s="12" t="n">
        <v>1</v>
      </c>
      <c r="I1711" s="4" t="s">
        <v>408</v>
      </c>
      <c r="J1711" s="4" t="s">
        <v>416</v>
      </c>
      <c r="K1711" s="13" t="n">
        <v>850</v>
      </c>
      <c r="L1711" s="6" t="n">
        <f aca="false">H1711*K1711</f>
        <v>850</v>
      </c>
      <c r="M1711" s="4" t="s">
        <v>371</v>
      </c>
    </row>
    <row r="1712" customFormat="false" ht="15" hidden="false" customHeight="false" outlineLevel="0" collapsed="false">
      <c r="A1712" s="4" t="s">
        <v>337</v>
      </c>
      <c r="B1712" s="5" t="s">
        <v>338</v>
      </c>
      <c r="C1712" s="5" t="s">
        <v>339</v>
      </c>
      <c r="D1712" s="4" t="s">
        <v>22</v>
      </c>
      <c r="E1712" s="4" t="s">
        <v>1648</v>
      </c>
      <c r="F1712" s="4" t="s">
        <v>470</v>
      </c>
      <c r="G1712" s="4" t="s">
        <v>1424</v>
      </c>
      <c r="H1712" s="12" t="n">
        <v>1</v>
      </c>
      <c r="I1712" s="4" t="s">
        <v>408</v>
      </c>
      <c r="J1712" s="4" t="s">
        <v>409</v>
      </c>
      <c r="K1712" s="13" t="n">
        <v>3500</v>
      </c>
      <c r="L1712" s="6" t="n">
        <f aca="false">H1712*K1712</f>
        <v>3500</v>
      </c>
      <c r="M1712" s="4" t="s">
        <v>371</v>
      </c>
    </row>
    <row r="1713" customFormat="false" ht="15" hidden="false" customHeight="false" outlineLevel="0" collapsed="false">
      <c r="A1713" s="4" t="s">
        <v>337</v>
      </c>
      <c r="B1713" s="5" t="s">
        <v>338</v>
      </c>
      <c r="C1713" s="5" t="s">
        <v>339</v>
      </c>
      <c r="D1713" s="4" t="s">
        <v>22</v>
      </c>
      <c r="E1713" s="4" t="s">
        <v>1659</v>
      </c>
      <c r="F1713" s="4" t="s">
        <v>488</v>
      </c>
      <c r="G1713" s="4" t="s">
        <v>1660</v>
      </c>
      <c r="H1713" s="12" t="n">
        <v>1</v>
      </c>
      <c r="I1713" s="4" t="s">
        <v>408</v>
      </c>
      <c r="J1713" s="4" t="s">
        <v>409</v>
      </c>
      <c r="K1713" s="13" t="n">
        <v>25</v>
      </c>
      <c r="L1713" s="6" t="n">
        <f aca="false">H1713*K1713</f>
        <v>25</v>
      </c>
      <c r="M1713" s="4" t="s">
        <v>371</v>
      </c>
    </row>
    <row r="1714" customFormat="false" ht="15" hidden="false" customHeight="false" outlineLevel="0" collapsed="false">
      <c r="A1714" s="4" t="s">
        <v>337</v>
      </c>
      <c r="B1714" s="5" t="s">
        <v>340</v>
      </c>
      <c r="C1714" s="5" t="s">
        <v>341</v>
      </c>
      <c r="D1714" s="4" t="s">
        <v>22</v>
      </c>
      <c r="E1714" s="4" t="s">
        <v>2578</v>
      </c>
      <c r="F1714" s="4" t="s">
        <v>406</v>
      </c>
      <c r="G1714" s="4" t="s">
        <v>2579</v>
      </c>
      <c r="H1714" s="12" t="n">
        <v>1</v>
      </c>
      <c r="I1714" s="4" t="s">
        <v>408</v>
      </c>
      <c r="J1714" s="4" t="s">
        <v>409</v>
      </c>
      <c r="K1714" s="13" t="n">
        <v>350</v>
      </c>
      <c r="L1714" s="6" t="n">
        <f aca="false">H1714*K1714</f>
        <v>350</v>
      </c>
      <c r="M1714" s="14" t="s">
        <v>410</v>
      </c>
    </row>
    <row r="1715" customFormat="false" ht="15" hidden="false" customHeight="false" outlineLevel="0" collapsed="false">
      <c r="A1715" s="4" t="s">
        <v>337</v>
      </c>
      <c r="B1715" s="5" t="s">
        <v>340</v>
      </c>
      <c r="C1715" s="5" t="s">
        <v>341</v>
      </c>
      <c r="D1715" s="4" t="s">
        <v>22</v>
      </c>
      <c r="E1715" s="4" t="s">
        <v>2580</v>
      </c>
      <c r="F1715" s="4" t="s">
        <v>406</v>
      </c>
      <c r="G1715" s="4" t="s">
        <v>2581</v>
      </c>
      <c r="H1715" s="12" t="n">
        <v>1</v>
      </c>
      <c r="I1715" s="4" t="s">
        <v>408</v>
      </c>
      <c r="J1715" s="4" t="s">
        <v>416</v>
      </c>
      <c r="K1715" s="13" t="n">
        <v>1800</v>
      </c>
      <c r="L1715" s="6" t="n">
        <f aca="false">H1715*K1715</f>
        <v>1800</v>
      </c>
      <c r="M1715" s="14" t="s">
        <v>410</v>
      </c>
    </row>
    <row r="1716" customFormat="false" ht="15" hidden="false" customHeight="false" outlineLevel="0" collapsed="false">
      <c r="A1716" s="4" t="s">
        <v>337</v>
      </c>
      <c r="B1716" s="5" t="s">
        <v>340</v>
      </c>
      <c r="C1716" s="5" t="s">
        <v>341</v>
      </c>
      <c r="D1716" s="4" t="s">
        <v>22</v>
      </c>
      <c r="E1716" s="4" t="s">
        <v>2582</v>
      </c>
      <c r="F1716" s="4" t="s">
        <v>406</v>
      </c>
      <c r="G1716" s="4" t="s">
        <v>2583</v>
      </c>
      <c r="H1716" s="12" t="n">
        <v>1</v>
      </c>
      <c r="I1716" s="4" t="s">
        <v>408</v>
      </c>
      <c r="J1716" s="4" t="s">
        <v>409</v>
      </c>
      <c r="K1716" s="13" t="n">
        <v>650</v>
      </c>
      <c r="L1716" s="6" t="n">
        <f aca="false">H1716*K1716</f>
        <v>650</v>
      </c>
      <c r="M1716" s="14" t="s">
        <v>410</v>
      </c>
    </row>
    <row r="1717" customFormat="false" ht="15" hidden="false" customHeight="false" outlineLevel="0" collapsed="false">
      <c r="A1717" s="4" t="s">
        <v>337</v>
      </c>
      <c r="B1717" s="5" t="s">
        <v>340</v>
      </c>
      <c r="C1717" s="5" t="s">
        <v>341</v>
      </c>
      <c r="D1717" s="4" t="s">
        <v>22</v>
      </c>
      <c r="E1717" s="4" t="s">
        <v>2584</v>
      </c>
      <c r="F1717" s="4" t="s">
        <v>406</v>
      </c>
      <c r="G1717" s="4" t="s">
        <v>2585</v>
      </c>
      <c r="H1717" s="12" t="n">
        <v>1</v>
      </c>
      <c r="I1717" s="4" t="s">
        <v>408</v>
      </c>
      <c r="J1717" s="4" t="s">
        <v>416</v>
      </c>
      <c r="K1717" s="13" t="n">
        <v>2500</v>
      </c>
      <c r="L1717" s="6" t="n">
        <f aca="false">H1717*K1717</f>
        <v>2500</v>
      </c>
      <c r="M1717" s="14" t="s">
        <v>410</v>
      </c>
    </row>
    <row r="1718" customFormat="false" ht="15" hidden="false" customHeight="false" outlineLevel="0" collapsed="false">
      <c r="A1718" s="4" t="s">
        <v>337</v>
      </c>
      <c r="B1718" s="5" t="s">
        <v>340</v>
      </c>
      <c r="C1718" s="5" t="s">
        <v>341</v>
      </c>
      <c r="D1718" s="4" t="s">
        <v>22</v>
      </c>
      <c r="E1718" s="4" t="s">
        <v>2586</v>
      </c>
      <c r="F1718" s="4" t="s">
        <v>406</v>
      </c>
      <c r="G1718" s="4" t="s">
        <v>2587</v>
      </c>
      <c r="H1718" s="12" t="n">
        <v>1</v>
      </c>
      <c r="I1718" s="4" t="s">
        <v>408</v>
      </c>
      <c r="J1718" s="4" t="s">
        <v>416</v>
      </c>
      <c r="K1718" s="13" t="n">
        <v>4500</v>
      </c>
      <c r="L1718" s="6" t="n">
        <f aca="false">H1718*K1718</f>
        <v>4500</v>
      </c>
      <c r="M1718" s="14" t="s">
        <v>410</v>
      </c>
    </row>
    <row r="1719" customFormat="false" ht="15" hidden="false" customHeight="false" outlineLevel="0" collapsed="false">
      <c r="A1719" s="4" t="s">
        <v>337</v>
      </c>
      <c r="B1719" s="5" t="s">
        <v>340</v>
      </c>
      <c r="C1719" s="5" t="s">
        <v>341</v>
      </c>
      <c r="D1719" s="4" t="s">
        <v>22</v>
      </c>
      <c r="E1719" s="4" t="s">
        <v>2590</v>
      </c>
      <c r="F1719" s="4" t="s">
        <v>406</v>
      </c>
      <c r="G1719" s="4" t="s">
        <v>2591</v>
      </c>
      <c r="H1719" s="12" t="n">
        <v>1</v>
      </c>
      <c r="I1719" s="4" t="s">
        <v>408</v>
      </c>
      <c r="J1719" s="4" t="s">
        <v>409</v>
      </c>
      <c r="K1719" s="13" t="n">
        <v>250</v>
      </c>
      <c r="L1719" s="6" t="n">
        <f aca="false">H1719*K1719</f>
        <v>250</v>
      </c>
      <c r="M1719" s="4" t="s">
        <v>371</v>
      </c>
    </row>
    <row r="1720" customFormat="false" ht="15" hidden="false" customHeight="false" outlineLevel="0" collapsed="false">
      <c r="A1720" s="4" t="s">
        <v>337</v>
      </c>
      <c r="B1720" s="5" t="s">
        <v>340</v>
      </c>
      <c r="C1720" s="5" t="s">
        <v>341</v>
      </c>
      <c r="D1720" s="4" t="s">
        <v>22</v>
      </c>
      <c r="E1720" s="4" t="s">
        <v>2592</v>
      </c>
      <c r="F1720" s="4" t="s">
        <v>406</v>
      </c>
      <c r="G1720" s="4" t="s">
        <v>2593</v>
      </c>
      <c r="H1720" s="12" t="n">
        <v>1</v>
      </c>
      <c r="I1720" s="4" t="s">
        <v>408</v>
      </c>
      <c r="J1720" s="4" t="s">
        <v>409</v>
      </c>
      <c r="K1720" s="13" t="n">
        <v>450</v>
      </c>
      <c r="L1720" s="6" t="n">
        <f aca="false">H1720*K1720</f>
        <v>450</v>
      </c>
      <c r="M1720" s="14" t="s">
        <v>410</v>
      </c>
    </row>
    <row r="1721" customFormat="false" ht="15" hidden="false" customHeight="false" outlineLevel="0" collapsed="false">
      <c r="A1721" s="4" t="s">
        <v>337</v>
      </c>
      <c r="B1721" s="5" t="s">
        <v>340</v>
      </c>
      <c r="C1721" s="5" t="s">
        <v>341</v>
      </c>
      <c r="D1721" s="4" t="s">
        <v>22</v>
      </c>
      <c r="E1721" s="4" t="s">
        <v>2596</v>
      </c>
      <c r="F1721" s="4" t="s">
        <v>406</v>
      </c>
      <c r="G1721" s="4" t="s">
        <v>2597</v>
      </c>
      <c r="H1721" s="12" t="n">
        <v>1</v>
      </c>
      <c r="I1721" s="4" t="s">
        <v>408</v>
      </c>
      <c r="J1721" s="4" t="s">
        <v>416</v>
      </c>
      <c r="K1721" s="13" t="n">
        <v>850</v>
      </c>
      <c r="L1721" s="6" t="n">
        <f aca="false">H1721*K1721</f>
        <v>850</v>
      </c>
      <c r="M1721" s="14" t="s">
        <v>410</v>
      </c>
    </row>
    <row r="1722" customFormat="false" ht="15" hidden="false" customHeight="false" outlineLevel="0" collapsed="false">
      <c r="A1722" s="4" t="s">
        <v>337</v>
      </c>
      <c r="B1722" s="5" t="s">
        <v>340</v>
      </c>
      <c r="C1722" s="5" t="s">
        <v>341</v>
      </c>
      <c r="D1722" s="4" t="s">
        <v>22</v>
      </c>
      <c r="E1722" s="4" t="s">
        <v>2598</v>
      </c>
      <c r="F1722" s="4" t="s">
        <v>406</v>
      </c>
      <c r="G1722" s="4" t="s">
        <v>2599</v>
      </c>
      <c r="H1722" s="12" t="n">
        <v>1</v>
      </c>
      <c r="I1722" s="4" t="s">
        <v>408</v>
      </c>
      <c r="J1722" s="4" t="s">
        <v>409</v>
      </c>
      <c r="K1722" s="13" t="n">
        <v>850</v>
      </c>
      <c r="L1722" s="6" t="n">
        <f aca="false">H1722*K1722</f>
        <v>850</v>
      </c>
      <c r="M1722" s="14" t="s">
        <v>410</v>
      </c>
    </row>
    <row r="1723" customFormat="false" ht="15" hidden="false" customHeight="false" outlineLevel="0" collapsed="false">
      <c r="A1723" s="4" t="s">
        <v>337</v>
      </c>
      <c r="B1723" s="5" t="s">
        <v>340</v>
      </c>
      <c r="C1723" s="5" t="s">
        <v>341</v>
      </c>
      <c r="D1723" s="4" t="s">
        <v>22</v>
      </c>
      <c r="E1723" s="4" t="s">
        <v>2602</v>
      </c>
      <c r="F1723" s="4" t="s">
        <v>406</v>
      </c>
      <c r="G1723" s="4" t="s">
        <v>2603</v>
      </c>
      <c r="H1723" s="12" t="n">
        <v>1</v>
      </c>
      <c r="I1723" s="4" t="s">
        <v>408</v>
      </c>
      <c r="J1723" s="4" t="s">
        <v>409</v>
      </c>
      <c r="K1723" s="13" t="n">
        <v>650</v>
      </c>
      <c r="L1723" s="6" t="n">
        <f aca="false">H1723*K1723</f>
        <v>650</v>
      </c>
      <c r="M1723" s="14" t="s">
        <v>410</v>
      </c>
    </row>
    <row r="1724" customFormat="false" ht="15" hidden="false" customHeight="false" outlineLevel="0" collapsed="false">
      <c r="A1724" s="4" t="s">
        <v>337</v>
      </c>
      <c r="B1724" s="5" t="s">
        <v>340</v>
      </c>
      <c r="C1724" s="5" t="s">
        <v>341</v>
      </c>
      <c r="D1724" s="4" t="s">
        <v>22</v>
      </c>
      <c r="E1724" s="4" t="s">
        <v>2604</v>
      </c>
      <c r="F1724" s="4" t="s">
        <v>406</v>
      </c>
      <c r="G1724" s="4" t="s">
        <v>2605</v>
      </c>
      <c r="H1724" s="12" t="n">
        <v>1</v>
      </c>
      <c r="I1724" s="4" t="s">
        <v>408</v>
      </c>
      <c r="J1724" s="4" t="s">
        <v>409</v>
      </c>
      <c r="K1724" s="13" t="n">
        <v>1800</v>
      </c>
      <c r="L1724" s="6" t="n">
        <f aca="false">H1724*K1724</f>
        <v>1800</v>
      </c>
      <c r="M1724" s="14" t="s">
        <v>410</v>
      </c>
    </row>
    <row r="1725" customFormat="false" ht="15" hidden="false" customHeight="false" outlineLevel="0" collapsed="false">
      <c r="A1725" s="4" t="s">
        <v>337</v>
      </c>
      <c r="B1725" s="5" t="s">
        <v>340</v>
      </c>
      <c r="C1725" s="5" t="s">
        <v>341</v>
      </c>
      <c r="D1725" s="4" t="s">
        <v>22</v>
      </c>
      <c r="E1725" s="4" t="s">
        <v>2606</v>
      </c>
      <c r="F1725" s="4" t="s">
        <v>406</v>
      </c>
      <c r="G1725" s="4" t="s">
        <v>2607</v>
      </c>
      <c r="H1725" s="12" t="n">
        <v>1</v>
      </c>
      <c r="I1725" s="4" t="s">
        <v>408</v>
      </c>
      <c r="J1725" s="4" t="s">
        <v>409</v>
      </c>
      <c r="K1725" s="13" t="n">
        <v>25000</v>
      </c>
      <c r="L1725" s="6" t="n">
        <f aca="false">H1725*K1725</f>
        <v>25000</v>
      </c>
      <c r="M1725" s="14" t="s">
        <v>410</v>
      </c>
    </row>
    <row r="1726" customFormat="false" ht="15" hidden="false" customHeight="false" outlineLevel="0" collapsed="false">
      <c r="A1726" s="4" t="s">
        <v>337</v>
      </c>
      <c r="B1726" s="5" t="s">
        <v>340</v>
      </c>
      <c r="C1726" s="5" t="s">
        <v>341</v>
      </c>
      <c r="D1726" s="4" t="s">
        <v>22</v>
      </c>
      <c r="E1726" s="4" t="s">
        <v>2608</v>
      </c>
      <c r="F1726" s="4" t="s">
        <v>406</v>
      </c>
      <c r="G1726" s="4" t="s">
        <v>2609</v>
      </c>
      <c r="H1726" s="12" t="n">
        <v>1</v>
      </c>
      <c r="I1726" s="4" t="s">
        <v>408</v>
      </c>
      <c r="J1726" s="4" t="s">
        <v>416</v>
      </c>
      <c r="K1726" s="13" t="n">
        <v>6500</v>
      </c>
      <c r="L1726" s="6" t="n">
        <f aca="false">H1726*K1726</f>
        <v>6500</v>
      </c>
      <c r="M1726" s="14" t="s">
        <v>410</v>
      </c>
    </row>
    <row r="1727" customFormat="false" ht="15" hidden="false" customHeight="false" outlineLevel="0" collapsed="false">
      <c r="A1727" s="4" t="s">
        <v>337</v>
      </c>
      <c r="B1727" s="5" t="s">
        <v>340</v>
      </c>
      <c r="C1727" s="5" t="s">
        <v>341</v>
      </c>
      <c r="D1727" s="4" t="s">
        <v>22</v>
      </c>
      <c r="E1727" s="4" t="s">
        <v>2588</v>
      </c>
      <c r="F1727" s="4" t="s">
        <v>406</v>
      </c>
      <c r="G1727" s="4" t="s">
        <v>2589</v>
      </c>
      <c r="H1727" s="12" t="n">
        <v>1</v>
      </c>
      <c r="I1727" s="4" t="s">
        <v>408</v>
      </c>
      <c r="J1727" s="4" t="s">
        <v>409</v>
      </c>
      <c r="K1727" s="13" t="n">
        <v>850</v>
      </c>
      <c r="L1727" s="6" t="n">
        <f aca="false">H1727*K1727</f>
        <v>850</v>
      </c>
      <c r="M1727" s="14" t="s">
        <v>410</v>
      </c>
    </row>
    <row r="1728" customFormat="false" ht="15" hidden="false" customHeight="false" outlineLevel="0" collapsed="false">
      <c r="A1728" s="4" t="s">
        <v>337</v>
      </c>
      <c r="B1728" s="5" t="s">
        <v>340</v>
      </c>
      <c r="C1728" s="5" t="s">
        <v>341</v>
      </c>
      <c r="D1728" s="4" t="s">
        <v>22</v>
      </c>
      <c r="E1728" s="4" t="s">
        <v>2610</v>
      </c>
      <c r="F1728" s="4" t="s">
        <v>406</v>
      </c>
      <c r="G1728" s="4" t="s">
        <v>2611</v>
      </c>
      <c r="H1728" s="12" t="n">
        <v>1</v>
      </c>
      <c r="I1728" s="4" t="s">
        <v>408</v>
      </c>
      <c r="J1728" s="4" t="s">
        <v>409</v>
      </c>
      <c r="K1728" s="13" t="n">
        <v>650</v>
      </c>
      <c r="L1728" s="6" t="n">
        <f aca="false">H1728*K1728</f>
        <v>650</v>
      </c>
      <c r="M1728" s="14" t="s">
        <v>410</v>
      </c>
    </row>
    <row r="1729" customFormat="false" ht="15" hidden="false" customHeight="false" outlineLevel="0" collapsed="false">
      <c r="A1729" s="4" t="s">
        <v>337</v>
      </c>
      <c r="B1729" s="5" t="s">
        <v>340</v>
      </c>
      <c r="C1729" s="5" t="s">
        <v>341</v>
      </c>
      <c r="D1729" s="4" t="s">
        <v>22</v>
      </c>
      <c r="E1729" s="4" t="s">
        <v>2600</v>
      </c>
      <c r="F1729" s="4" t="s">
        <v>406</v>
      </c>
      <c r="G1729" s="4" t="s">
        <v>2601</v>
      </c>
      <c r="H1729" s="12" t="n">
        <v>1</v>
      </c>
      <c r="I1729" s="4" t="s">
        <v>408</v>
      </c>
      <c r="J1729" s="4" t="s">
        <v>409</v>
      </c>
      <c r="K1729" s="13" t="n">
        <v>350</v>
      </c>
      <c r="L1729" s="6" t="n">
        <f aca="false">H1729*K1729</f>
        <v>350</v>
      </c>
      <c r="M1729" s="4" t="s">
        <v>371</v>
      </c>
    </row>
    <row r="1730" customFormat="false" ht="15" hidden="false" customHeight="false" outlineLevel="0" collapsed="false">
      <c r="A1730" s="4" t="s">
        <v>337</v>
      </c>
      <c r="B1730" s="5" t="s">
        <v>340</v>
      </c>
      <c r="C1730" s="5" t="s">
        <v>341</v>
      </c>
      <c r="D1730" s="4" t="s">
        <v>22</v>
      </c>
      <c r="E1730" s="4" t="s">
        <v>2700</v>
      </c>
      <c r="F1730" s="4" t="s">
        <v>406</v>
      </c>
      <c r="G1730" s="4" t="s">
        <v>2701</v>
      </c>
      <c r="H1730" s="12" t="n">
        <v>1</v>
      </c>
      <c r="I1730" s="4" t="s">
        <v>408</v>
      </c>
      <c r="J1730" s="4" t="s">
        <v>409</v>
      </c>
      <c r="K1730" s="13" t="n">
        <v>250000</v>
      </c>
      <c r="L1730" s="6" t="n">
        <f aca="false">H1730*K1730</f>
        <v>250000</v>
      </c>
      <c r="M1730" s="14" t="s">
        <v>410</v>
      </c>
    </row>
    <row r="1731" customFormat="false" ht="15" hidden="false" customHeight="false" outlineLevel="0" collapsed="false">
      <c r="A1731" s="4" t="s">
        <v>337</v>
      </c>
      <c r="B1731" s="5" t="s">
        <v>340</v>
      </c>
      <c r="C1731" s="5" t="s">
        <v>341</v>
      </c>
      <c r="D1731" s="4" t="s">
        <v>22</v>
      </c>
      <c r="E1731" s="4" t="s">
        <v>2702</v>
      </c>
      <c r="F1731" s="4" t="s">
        <v>406</v>
      </c>
      <c r="G1731" s="4" t="s">
        <v>2703</v>
      </c>
      <c r="H1731" s="12" t="n">
        <v>1</v>
      </c>
      <c r="I1731" s="4" t="s">
        <v>408</v>
      </c>
      <c r="J1731" s="4" t="s">
        <v>409</v>
      </c>
      <c r="K1731" s="13" t="n">
        <v>8500</v>
      </c>
      <c r="L1731" s="6" t="n">
        <f aca="false">H1731*K1731</f>
        <v>8500</v>
      </c>
      <c r="M1731" s="14" t="s">
        <v>410</v>
      </c>
    </row>
    <row r="1732" customFormat="false" ht="15" hidden="false" customHeight="false" outlineLevel="0" collapsed="false">
      <c r="A1732" s="4" t="s">
        <v>337</v>
      </c>
      <c r="B1732" s="5" t="s">
        <v>340</v>
      </c>
      <c r="C1732" s="5" t="s">
        <v>341</v>
      </c>
      <c r="D1732" s="4" t="s">
        <v>22</v>
      </c>
      <c r="E1732" s="4" t="s">
        <v>2594</v>
      </c>
      <c r="F1732" s="4" t="s">
        <v>470</v>
      </c>
      <c r="G1732" s="4" t="s">
        <v>2595</v>
      </c>
      <c r="H1732" s="12" t="n">
        <v>1</v>
      </c>
      <c r="I1732" s="4" t="s">
        <v>408</v>
      </c>
      <c r="J1732" s="4" t="s">
        <v>416</v>
      </c>
      <c r="K1732" s="13" t="n">
        <v>4500</v>
      </c>
      <c r="L1732" s="6" t="n">
        <f aca="false">H1732*K1732</f>
        <v>4500</v>
      </c>
      <c r="M1732" s="14" t="s">
        <v>410</v>
      </c>
    </row>
    <row r="1733" customFormat="false" ht="15" hidden="false" customHeight="false" outlineLevel="0" collapsed="false">
      <c r="A1733" s="4" t="s">
        <v>337</v>
      </c>
      <c r="B1733" s="5" t="s">
        <v>340</v>
      </c>
      <c r="C1733" s="5" t="s">
        <v>341</v>
      </c>
      <c r="D1733" s="4" t="s">
        <v>22</v>
      </c>
      <c r="E1733" s="4" t="s">
        <v>2612</v>
      </c>
      <c r="F1733" s="4" t="s">
        <v>488</v>
      </c>
      <c r="G1733" s="4" t="s">
        <v>1716</v>
      </c>
      <c r="H1733" s="12" t="n">
        <v>1</v>
      </c>
      <c r="I1733" s="4" t="s">
        <v>408</v>
      </c>
      <c r="J1733" s="4" t="s">
        <v>807</v>
      </c>
      <c r="K1733" s="13" t="n">
        <v>45</v>
      </c>
      <c r="L1733" s="6" t="n">
        <f aca="false">H1733*K1733</f>
        <v>45</v>
      </c>
      <c r="M1733" s="4" t="s">
        <v>371</v>
      </c>
    </row>
    <row r="1734" customFormat="false" ht="15" hidden="false" customHeight="false" outlineLevel="0" collapsed="false">
      <c r="A1734" s="4" t="s">
        <v>337</v>
      </c>
      <c r="B1734" s="5" t="s">
        <v>340</v>
      </c>
      <c r="C1734" s="5" t="s">
        <v>341</v>
      </c>
      <c r="D1734" s="4" t="s">
        <v>22</v>
      </c>
      <c r="E1734" s="4" t="s">
        <v>2613</v>
      </c>
      <c r="F1734" s="4" t="s">
        <v>488</v>
      </c>
      <c r="G1734" s="4" t="s">
        <v>2614</v>
      </c>
      <c r="H1734" s="12" t="n">
        <v>1</v>
      </c>
      <c r="I1734" s="4" t="s">
        <v>408</v>
      </c>
      <c r="J1734" s="4" t="s">
        <v>807</v>
      </c>
      <c r="K1734" s="13" t="n">
        <v>150</v>
      </c>
      <c r="L1734" s="6" t="n">
        <f aca="false">H1734*K1734</f>
        <v>150</v>
      </c>
      <c r="M1734" s="4" t="s">
        <v>371</v>
      </c>
    </row>
    <row r="1735" customFormat="false" ht="15" hidden="false" customHeight="false" outlineLevel="0" collapsed="false">
      <c r="A1735" s="4" t="s">
        <v>346</v>
      </c>
      <c r="B1735" s="5" t="s">
        <v>353</v>
      </c>
      <c r="C1735" s="5" t="s">
        <v>354</v>
      </c>
      <c r="D1735" s="4" t="s">
        <v>22</v>
      </c>
      <c r="E1735" s="4" t="s">
        <v>2704</v>
      </c>
      <c r="F1735" s="4" t="s">
        <v>406</v>
      </c>
      <c r="G1735" s="4" t="s">
        <v>2705</v>
      </c>
      <c r="H1735" s="12" t="n">
        <v>3</v>
      </c>
      <c r="I1735" s="4" t="s">
        <v>474</v>
      </c>
      <c r="J1735" s="4" t="s">
        <v>409</v>
      </c>
      <c r="K1735" s="13" t="n">
        <v>120</v>
      </c>
      <c r="L1735" s="6" t="n">
        <f aca="false">H1735*K1735</f>
        <v>360</v>
      </c>
      <c r="M1735" s="14" t="s">
        <v>410</v>
      </c>
    </row>
    <row r="1736" customFormat="false" ht="15" hidden="false" customHeight="false" outlineLevel="0" collapsed="false">
      <c r="A1736" s="4" t="s">
        <v>346</v>
      </c>
      <c r="B1736" s="5" t="s">
        <v>353</v>
      </c>
      <c r="C1736" s="5" t="s">
        <v>354</v>
      </c>
      <c r="D1736" s="4" t="s">
        <v>22</v>
      </c>
      <c r="E1736" s="4" t="s">
        <v>2706</v>
      </c>
      <c r="F1736" s="4" t="s">
        <v>406</v>
      </c>
      <c r="G1736" s="4" t="s">
        <v>2707</v>
      </c>
      <c r="H1736" s="12" t="n">
        <v>1</v>
      </c>
      <c r="I1736" s="4" t="s">
        <v>474</v>
      </c>
      <c r="J1736" s="4" t="s">
        <v>416</v>
      </c>
      <c r="K1736" s="13" t="n">
        <v>4500</v>
      </c>
      <c r="L1736" s="6" t="n">
        <f aca="false">H1736*K1736</f>
        <v>4500</v>
      </c>
      <c r="M1736" s="14" t="s">
        <v>410</v>
      </c>
    </row>
    <row r="1737" customFormat="false" ht="15" hidden="false" customHeight="false" outlineLevel="0" collapsed="false">
      <c r="A1737" s="4" t="s">
        <v>346</v>
      </c>
      <c r="B1737" s="5" t="s">
        <v>353</v>
      </c>
      <c r="C1737" s="5" t="s">
        <v>354</v>
      </c>
      <c r="D1737" s="4" t="s">
        <v>22</v>
      </c>
      <c r="E1737" s="4" t="s">
        <v>2708</v>
      </c>
      <c r="F1737" s="4" t="s">
        <v>406</v>
      </c>
      <c r="G1737" s="4" t="s">
        <v>2709</v>
      </c>
      <c r="H1737" s="12" t="n">
        <v>2</v>
      </c>
      <c r="I1737" s="4" t="s">
        <v>474</v>
      </c>
      <c r="J1737" s="4" t="s">
        <v>409</v>
      </c>
      <c r="K1737" s="13" t="n">
        <v>850</v>
      </c>
      <c r="L1737" s="6" t="n">
        <f aca="false">H1737*K1737</f>
        <v>1700</v>
      </c>
      <c r="M1737" s="14" t="s">
        <v>410</v>
      </c>
    </row>
    <row r="1738" customFormat="false" ht="15" hidden="false" customHeight="false" outlineLevel="0" collapsed="false">
      <c r="A1738" s="4" t="s">
        <v>346</v>
      </c>
      <c r="B1738" s="5" t="s">
        <v>353</v>
      </c>
      <c r="C1738" s="5" t="s">
        <v>354</v>
      </c>
      <c r="D1738" s="4" t="s">
        <v>22</v>
      </c>
      <c r="E1738" s="4" t="s">
        <v>2710</v>
      </c>
      <c r="F1738" s="4" t="s">
        <v>406</v>
      </c>
      <c r="G1738" s="4" t="s">
        <v>2711</v>
      </c>
      <c r="H1738" s="12" t="n">
        <v>12</v>
      </c>
      <c r="I1738" s="4" t="s">
        <v>474</v>
      </c>
      <c r="J1738" s="4" t="s">
        <v>409</v>
      </c>
      <c r="K1738" s="13" t="n">
        <v>350</v>
      </c>
      <c r="L1738" s="6" t="n">
        <f aca="false">H1738*K1738</f>
        <v>4200</v>
      </c>
      <c r="M1738" s="14" t="s">
        <v>410</v>
      </c>
    </row>
    <row r="1739" customFormat="false" ht="15" hidden="false" customHeight="false" outlineLevel="0" collapsed="false">
      <c r="A1739" s="4" t="s">
        <v>346</v>
      </c>
      <c r="B1739" s="5" t="s">
        <v>353</v>
      </c>
      <c r="C1739" s="5" t="s">
        <v>354</v>
      </c>
      <c r="D1739" s="4" t="s">
        <v>22</v>
      </c>
      <c r="E1739" s="4" t="s">
        <v>2712</v>
      </c>
      <c r="F1739" s="4" t="s">
        <v>406</v>
      </c>
      <c r="G1739" s="4" t="s">
        <v>2713</v>
      </c>
      <c r="H1739" s="12" t="n">
        <v>12</v>
      </c>
      <c r="I1739" s="4" t="s">
        <v>474</v>
      </c>
      <c r="J1739" s="4" t="s">
        <v>409</v>
      </c>
      <c r="K1739" s="13" t="n">
        <v>250</v>
      </c>
      <c r="L1739" s="6" t="n">
        <f aca="false">H1739*K1739</f>
        <v>3000</v>
      </c>
      <c r="M1739" s="14" t="s">
        <v>410</v>
      </c>
    </row>
    <row r="1740" customFormat="false" ht="15" hidden="false" customHeight="false" outlineLevel="0" collapsed="false">
      <c r="A1740" s="4" t="s">
        <v>346</v>
      </c>
      <c r="B1740" s="5" t="s">
        <v>353</v>
      </c>
      <c r="C1740" s="5" t="s">
        <v>354</v>
      </c>
      <c r="D1740" s="4" t="s">
        <v>22</v>
      </c>
      <c r="E1740" s="4" t="s">
        <v>2714</v>
      </c>
      <c r="F1740" s="4" t="s">
        <v>406</v>
      </c>
      <c r="G1740" s="4" t="s">
        <v>2715</v>
      </c>
      <c r="H1740" s="12" t="n">
        <v>12</v>
      </c>
      <c r="I1740" s="4" t="s">
        <v>474</v>
      </c>
      <c r="J1740" s="4" t="s">
        <v>416</v>
      </c>
      <c r="K1740" s="13" t="n">
        <v>1800</v>
      </c>
      <c r="L1740" s="6" t="n">
        <f aca="false">H1740*K1740</f>
        <v>21600</v>
      </c>
      <c r="M1740" s="14" t="s">
        <v>410</v>
      </c>
    </row>
    <row r="1741" customFormat="false" ht="15" hidden="false" customHeight="false" outlineLevel="0" collapsed="false">
      <c r="A1741" s="4" t="s">
        <v>346</v>
      </c>
      <c r="B1741" s="5" t="s">
        <v>353</v>
      </c>
      <c r="C1741" s="5" t="s">
        <v>354</v>
      </c>
      <c r="D1741" s="4" t="s">
        <v>22</v>
      </c>
      <c r="E1741" s="4" t="s">
        <v>2716</v>
      </c>
      <c r="F1741" s="4" t="s">
        <v>406</v>
      </c>
      <c r="G1741" s="4" t="s">
        <v>2717</v>
      </c>
      <c r="H1741" s="12" t="n">
        <v>12</v>
      </c>
      <c r="I1741" s="4" t="s">
        <v>474</v>
      </c>
      <c r="J1741" s="4" t="s">
        <v>409</v>
      </c>
      <c r="K1741" s="13" t="n">
        <v>180</v>
      </c>
      <c r="L1741" s="6" t="n">
        <f aca="false">H1741*K1741</f>
        <v>2160</v>
      </c>
      <c r="M1741" s="14" t="s">
        <v>410</v>
      </c>
    </row>
    <row r="1742" customFormat="false" ht="15" hidden="false" customHeight="false" outlineLevel="0" collapsed="false">
      <c r="A1742" s="4" t="s">
        <v>346</v>
      </c>
      <c r="B1742" s="5" t="s">
        <v>353</v>
      </c>
      <c r="C1742" s="5" t="s">
        <v>354</v>
      </c>
      <c r="D1742" s="4" t="s">
        <v>22</v>
      </c>
      <c r="E1742" s="4" t="s">
        <v>2718</v>
      </c>
      <c r="F1742" s="4" t="s">
        <v>406</v>
      </c>
      <c r="G1742" s="4" t="s">
        <v>2719</v>
      </c>
      <c r="H1742" s="12" t="n">
        <v>12</v>
      </c>
      <c r="I1742" s="4" t="s">
        <v>474</v>
      </c>
      <c r="J1742" s="4" t="s">
        <v>409</v>
      </c>
      <c r="K1742" s="13" t="n">
        <v>150</v>
      </c>
      <c r="L1742" s="6" t="n">
        <f aca="false">H1742*K1742</f>
        <v>1800</v>
      </c>
      <c r="M1742" s="14" t="s">
        <v>410</v>
      </c>
    </row>
    <row r="1743" customFormat="false" ht="15" hidden="false" customHeight="false" outlineLevel="0" collapsed="false">
      <c r="A1743" s="4" t="s">
        <v>346</v>
      </c>
      <c r="B1743" s="5" t="s">
        <v>353</v>
      </c>
      <c r="C1743" s="5" t="s">
        <v>354</v>
      </c>
      <c r="D1743" s="4" t="s">
        <v>22</v>
      </c>
      <c r="E1743" s="4" t="s">
        <v>2720</v>
      </c>
      <c r="F1743" s="4" t="s">
        <v>406</v>
      </c>
      <c r="G1743" s="4" t="s">
        <v>2721</v>
      </c>
      <c r="H1743" s="12" t="n">
        <v>12</v>
      </c>
      <c r="I1743" s="4" t="s">
        <v>474</v>
      </c>
      <c r="J1743" s="4" t="s">
        <v>409</v>
      </c>
      <c r="K1743" s="13" t="n">
        <v>250</v>
      </c>
      <c r="L1743" s="6" t="n">
        <f aca="false">H1743*K1743</f>
        <v>3000</v>
      </c>
      <c r="M1743" s="14" t="s">
        <v>410</v>
      </c>
    </row>
    <row r="1744" customFormat="false" ht="15" hidden="false" customHeight="false" outlineLevel="0" collapsed="false">
      <c r="A1744" s="4" t="s">
        <v>346</v>
      </c>
      <c r="B1744" s="5" t="s">
        <v>353</v>
      </c>
      <c r="C1744" s="5" t="s">
        <v>354</v>
      </c>
      <c r="D1744" s="4" t="s">
        <v>22</v>
      </c>
      <c r="E1744" s="4" t="s">
        <v>2722</v>
      </c>
      <c r="F1744" s="4" t="s">
        <v>406</v>
      </c>
      <c r="G1744" s="4" t="s">
        <v>2723</v>
      </c>
      <c r="H1744" s="12" t="n">
        <v>12</v>
      </c>
      <c r="I1744" s="4" t="s">
        <v>474</v>
      </c>
      <c r="J1744" s="4" t="s">
        <v>409</v>
      </c>
      <c r="K1744" s="13" t="n">
        <v>350</v>
      </c>
      <c r="L1744" s="6" t="n">
        <f aca="false">H1744*K1744</f>
        <v>4200</v>
      </c>
      <c r="M1744" s="4" t="s">
        <v>371</v>
      </c>
    </row>
    <row r="1745" customFormat="false" ht="15" hidden="false" customHeight="false" outlineLevel="0" collapsed="false">
      <c r="A1745" s="4" t="s">
        <v>346</v>
      </c>
      <c r="B1745" s="5" t="s">
        <v>353</v>
      </c>
      <c r="C1745" s="5" t="s">
        <v>354</v>
      </c>
      <c r="D1745" s="4" t="s">
        <v>22</v>
      </c>
      <c r="E1745" s="4" t="s">
        <v>2724</v>
      </c>
      <c r="F1745" s="4" t="s">
        <v>406</v>
      </c>
      <c r="G1745" s="4" t="s">
        <v>2725</v>
      </c>
      <c r="H1745" s="12" t="n">
        <v>12</v>
      </c>
      <c r="I1745" s="4" t="s">
        <v>474</v>
      </c>
      <c r="J1745" s="4" t="s">
        <v>409</v>
      </c>
      <c r="K1745" s="13" t="n">
        <v>180</v>
      </c>
      <c r="L1745" s="6" t="n">
        <f aca="false">H1745*K1745</f>
        <v>2160</v>
      </c>
      <c r="M1745" s="4" t="s">
        <v>371</v>
      </c>
    </row>
    <row r="1746" customFormat="false" ht="15" hidden="false" customHeight="false" outlineLevel="0" collapsed="false">
      <c r="A1746" s="4" t="s">
        <v>346</v>
      </c>
      <c r="B1746" s="5" t="s">
        <v>353</v>
      </c>
      <c r="C1746" s="5" t="s">
        <v>354</v>
      </c>
      <c r="D1746" s="4" t="s">
        <v>22</v>
      </c>
      <c r="E1746" s="4" t="s">
        <v>2726</v>
      </c>
      <c r="F1746" s="4" t="s">
        <v>406</v>
      </c>
      <c r="G1746" s="4" t="s">
        <v>2727</v>
      </c>
      <c r="H1746" s="12" t="n">
        <v>6</v>
      </c>
      <c r="I1746" s="4" t="s">
        <v>474</v>
      </c>
      <c r="J1746" s="4" t="s">
        <v>409</v>
      </c>
      <c r="K1746" s="13" t="n">
        <v>450</v>
      </c>
      <c r="L1746" s="6" t="n">
        <f aca="false">H1746*K1746</f>
        <v>2700</v>
      </c>
      <c r="M1746" s="4" t="s">
        <v>371</v>
      </c>
    </row>
    <row r="1747" customFormat="false" ht="15" hidden="false" customHeight="false" outlineLevel="0" collapsed="false">
      <c r="A1747" s="4" t="s">
        <v>346</v>
      </c>
      <c r="B1747" s="5" t="s">
        <v>353</v>
      </c>
      <c r="C1747" s="5" t="s">
        <v>354</v>
      </c>
      <c r="D1747" s="4" t="s">
        <v>22</v>
      </c>
      <c r="E1747" s="4" t="s">
        <v>2728</v>
      </c>
      <c r="F1747" s="4" t="s">
        <v>406</v>
      </c>
      <c r="G1747" s="4" t="s">
        <v>2729</v>
      </c>
      <c r="H1747" s="12" t="n">
        <v>6</v>
      </c>
      <c r="I1747" s="4" t="s">
        <v>474</v>
      </c>
      <c r="J1747" s="4" t="s">
        <v>409</v>
      </c>
      <c r="K1747" s="13" t="n">
        <v>550</v>
      </c>
      <c r="L1747" s="6" t="n">
        <f aca="false">H1747*K1747</f>
        <v>3300</v>
      </c>
      <c r="M1747" s="4" t="s">
        <v>371</v>
      </c>
    </row>
    <row r="1748" customFormat="false" ht="15" hidden="false" customHeight="false" outlineLevel="0" collapsed="false">
      <c r="A1748" s="4" t="s">
        <v>346</v>
      </c>
      <c r="B1748" s="5" t="s">
        <v>353</v>
      </c>
      <c r="C1748" s="5" t="s">
        <v>354</v>
      </c>
      <c r="D1748" s="4" t="s">
        <v>22</v>
      </c>
      <c r="E1748" s="4" t="s">
        <v>2730</v>
      </c>
      <c r="F1748" s="4" t="s">
        <v>406</v>
      </c>
      <c r="G1748" s="4" t="s">
        <v>2731</v>
      </c>
      <c r="H1748" s="12" t="n">
        <v>6</v>
      </c>
      <c r="I1748" s="4" t="s">
        <v>474</v>
      </c>
      <c r="J1748" s="4" t="s">
        <v>409</v>
      </c>
      <c r="K1748" s="13" t="n">
        <v>650</v>
      </c>
      <c r="L1748" s="6" t="n">
        <f aca="false">H1748*K1748</f>
        <v>3900</v>
      </c>
      <c r="M1748" s="4" t="s">
        <v>371</v>
      </c>
    </row>
    <row r="1749" customFormat="false" ht="15" hidden="false" customHeight="false" outlineLevel="0" collapsed="false">
      <c r="A1749" s="4" t="s">
        <v>346</v>
      </c>
      <c r="B1749" s="5" t="s">
        <v>353</v>
      </c>
      <c r="C1749" s="5" t="s">
        <v>354</v>
      </c>
      <c r="D1749" s="4" t="s">
        <v>22</v>
      </c>
      <c r="E1749" s="4" t="s">
        <v>2732</v>
      </c>
      <c r="F1749" s="4" t="s">
        <v>406</v>
      </c>
      <c r="G1749" s="4" t="s">
        <v>2733</v>
      </c>
      <c r="H1749" s="12" t="n">
        <v>6</v>
      </c>
      <c r="I1749" s="4" t="s">
        <v>474</v>
      </c>
      <c r="J1749" s="4" t="s">
        <v>409</v>
      </c>
      <c r="K1749" s="13" t="n">
        <v>650</v>
      </c>
      <c r="L1749" s="6" t="n">
        <f aca="false">H1749*K1749</f>
        <v>3900</v>
      </c>
      <c r="M1749" s="4" t="s">
        <v>371</v>
      </c>
    </row>
    <row r="1750" customFormat="false" ht="15" hidden="false" customHeight="false" outlineLevel="0" collapsed="false">
      <c r="A1750" s="4" t="s">
        <v>346</v>
      </c>
      <c r="B1750" s="5" t="s">
        <v>353</v>
      </c>
      <c r="C1750" s="5" t="s">
        <v>354</v>
      </c>
      <c r="D1750" s="4" t="s">
        <v>22</v>
      </c>
      <c r="E1750" s="4" t="s">
        <v>2734</v>
      </c>
      <c r="F1750" s="4" t="s">
        <v>406</v>
      </c>
      <c r="G1750" s="4" t="s">
        <v>2735</v>
      </c>
      <c r="H1750" s="12" t="n">
        <v>6</v>
      </c>
      <c r="I1750" s="4" t="s">
        <v>474</v>
      </c>
      <c r="J1750" s="4" t="s">
        <v>409</v>
      </c>
      <c r="K1750" s="13" t="n">
        <v>350</v>
      </c>
      <c r="L1750" s="6" t="n">
        <f aca="false">H1750*K1750</f>
        <v>2100</v>
      </c>
      <c r="M1750" s="14" t="s">
        <v>410</v>
      </c>
    </row>
    <row r="1751" customFormat="false" ht="15" hidden="false" customHeight="false" outlineLevel="0" collapsed="false">
      <c r="A1751" s="4" t="s">
        <v>346</v>
      </c>
      <c r="B1751" s="5" t="s">
        <v>353</v>
      </c>
      <c r="C1751" s="5" t="s">
        <v>354</v>
      </c>
      <c r="D1751" s="4" t="s">
        <v>22</v>
      </c>
      <c r="E1751" s="4" t="s">
        <v>2736</v>
      </c>
      <c r="F1751" s="4" t="s">
        <v>406</v>
      </c>
      <c r="G1751" s="4" t="s">
        <v>2737</v>
      </c>
      <c r="H1751" s="12" t="n">
        <v>6</v>
      </c>
      <c r="I1751" s="4" t="s">
        <v>474</v>
      </c>
      <c r="J1751" s="4" t="s">
        <v>409</v>
      </c>
      <c r="K1751" s="13" t="n">
        <v>250</v>
      </c>
      <c r="L1751" s="6" t="n">
        <f aca="false">H1751*K1751</f>
        <v>1500</v>
      </c>
      <c r="M1751" s="14" t="s">
        <v>410</v>
      </c>
    </row>
    <row r="1752" customFormat="false" ht="15" hidden="false" customHeight="false" outlineLevel="0" collapsed="false">
      <c r="A1752" s="4" t="s">
        <v>346</v>
      </c>
      <c r="B1752" s="5" t="s">
        <v>353</v>
      </c>
      <c r="C1752" s="5" t="s">
        <v>354</v>
      </c>
      <c r="D1752" s="4" t="s">
        <v>22</v>
      </c>
      <c r="E1752" s="4" t="s">
        <v>2738</v>
      </c>
      <c r="F1752" s="4" t="s">
        <v>406</v>
      </c>
      <c r="G1752" s="4" t="s">
        <v>2739</v>
      </c>
      <c r="H1752" s="12" t="n">
        <v>12</v>
      </c>
      <c r="I1752" s="4" t="s">
        <v>474</v>
      </c>
      <c r="J1752" s="4" t="s">
        <v>409</v>
      </c>
      <c r="K1752" s="13" t="n">
        <v>180</v>
      </c>
      <c r="L1752" s="6" t="n">
        <f aca="false">H1752*K1752</f>
        <v>2160</v>
      </c>
      <c r="M1752" s="14" t="s">
        <v>410</v>
      </c>
    </row>
    <row r="1753" customFormat="false" ht="15" hidden="false" customHeight="false" outlineLevel="0" collapsed="false">
      <c r="A1753" s="4" t="s">
        <v>346</v>
      </c>
      <c r="B1753" s="5" t="s">
        <v>353</v>
      </c>
      <c r="C1753" s="5" t="s">
        <v>354</v>
      </c>
      <c r="D1753" s="4" t="s">
        <v>22</v>
      </c>
      <c r="E1753" s="4" t="s">
        <v>2740</v>
      </c>
      <c r="F1753" s="4" t="s">
        <v>406</v>
      </c>
      <c r="G1753" s="4" t="s">
        <v>2741</v>
      </c>
      <c r="H1753" s="12" t="n">
        <v>12</v>
      </c>
      <c r="I1753" s="4" t="s">
        <v>474</v>
      </c>
      <c r="J1753" s="4" t="s">
        <v>409</v>
      </c>
      <c r="K1753" s="13" t="n">
        <v>80</v>
      </c>
      <c r="L1753" s="6" t="n">
        <f aca="false">H1753*K1753</f>
        <v>960</v>
      </c>
      <c r="M1753" s="14" t="s">
        <v>410</v>
      </c>
    </row>
    <row r="1754" customFormat="false" ht="15" hidden="false" customHeight="false" outlineLevel="0" collapsed="false">
      <c r="A1754" s="4" t="s">
        <v>346</v>
      </c>
      <c r="B1754" s="5" t="s">
        <v>353</v>
      </c>
      <c r="C1754" s="5" t="s">
        <v>354</v>
      </c>
      <c r="D1754" s="4" t="s">
        <v>22</v>
      </c>
      <c r="E1754" s="4" t="s">
        <v>2742</v>
      </c>
      <c r="F1754" s="4" t="s">
        <v>406</v>
      </c>
      <c r="G1754" s="4" t="s">
        <v>2743</v>
      </c>
      <c r="H1754" s="12" t="n">
        <v>12</v>
      </c>
      <c r="I1754" s="4" t="s">
        <v>474</v>
      </c>
      <c r="J1754" s="4" t="s">
        <v>409</v>
      </c>
      <c r="K1754" s="13" t="n">
        <v>150</v>
      </c>
      <c r="L1754" s="6" t="n">
        <f aca="false">H1754*K1754</f>
        <v>1800</v>
      </c>
      <c r="M1754" s="14" t="s">
        <v>410</v>
      </c>
    </row>
    <row r="1755" customFormat="false" ht="15" hidden="false" customHeight="false" outlineLevel="0" collapsed="false">
      <c r="A1755" s="4" t="s">
        <v>346</v>
      </c>
      <c r="B1755" s="5" t="s">
        <v>353</v>
      </c>
      <c r="C1755" s="5" t="s">
        <v>354</v>
      </c>
      <c r="D1755" s="4" t="s">
        <v>22</v>
      </c>
      <c r="E1755" s="4" t="s">
        <v>2744</v>
      </c>
      <c r="F1755" s="4" t="s">
        <v>406</v>
      </c>
      <c r="G1755" s="4" t="s">
        <v>2745</v>
      </c>
      <c r="H1755" s="12" t="n">
        <v>12</v>
      </c>
      <c r="I1755" s="4" t="s">
        <v>474</v>
      </c>
      <c r="J1755" s="4" t="s">
        <v>409</v>
      </c>
      <c r="K1755" s="13" t="n">
        <v>180</v>
      </c>
      <c r="L1755" s="6" t="n">
        <f aca="false">H1755*K1755</f>
        <v>2160</v>
      </c>
      <c r="M1755" s="14" t="s">
        <v>410</v>
      </c>
    </row>
    <row r="1756" customFormat="false" ht="15" hidden="false" customHeight="false" outlineLevel="0" collapsed="false">
      <c r="A1756" s="4" t="s">
        <v>346</v>
      </c>
      <c r="B1756" s="5" t="s">
        <v>353</v>
      </c>
      <c r="C1756" s="5" t="s">
        <v>354</v>
      </c>
      <c r="D1756" s="4" t="s">
        <v>22</v>
      </c>
      <c r="E1756" s="4" t="s">
        <v>2746</v>
      </c>
      <c r="F1756" s="4" t="s">
        <v>406</v>
      </c>
      <c r="G1756" s="4" t="s">
        <v>2747</v>
      </c>
      <c r="H1756" s="12" t="n">
        <v>12</v>
      </c>
      <c r="I1756" s="4" t="s">
        <v>474</v>
      </c>
      <c r="J1756" s="4" t="s">
        <v>409</v>
      </c>
      <c r="K1756" s="13" t="n">
        <v>120</v>
      </c>
      <c r="L1756" s="6" t="n">
        <f aca="false">H1756*K1756</f>
        <v>1440</v>
      </c>
      <c r="M1756" s="14" t="s">
        <v>410</v>
      </c>
    </row>
    <row r="1757" customFormat="false" ht="15" hidden="false" customHeight="false" outlineLevel="0" collapsed="false">
      <c r="A1757" s="4" t="s">
        <v>346</v>
      </c>
      <c r="B1757" s="5" t="s">
        <v>353</v>
      </c>
      <c r="C1757" s="5" t="s">
        <v>354</v>
      </c>
      <c r="D1757" s="4" t="s">
        <v>22</v>
      </c>
      <c r="E1757" s="4" t="s">
        <v>2748</v>
      </c>
      <c r="F1757" s="4" t="s">
        <v>406</v>
      </c>
      <c r="G1757" s="4" t="s">
        <v>2749</v>
      </c>
      <c r="H1757" s="12" t="n">
        <v>12</v>
      </c>
      <c r="I1757" s="4" t="s">
        <v>474</v>
      </c>
      <c r="J1757" s="4" t="s">
        <v>409</v>
      </c>
      <c r="K1757" s="13" t="n">
        <v>180</v>
      </c>
      <c r="L1757" s="6" t="n">
        <f aca="false">H1757*K1757</f>
        <v>2160</v>
      </c>
      <c r="M1757" s="14" t="s">
        <v>410</v>
      </c>
    </row>
    <row r="1758" customFormat="false" ht="15" hidden="false" customHeight="false" outlineLevel="0" collapsed="false">
      <c r="A1758" s="4" t="s">
        <v>346</v>
      </c>
      <c r="B1758" s="5" t="s">
        <v>353</v>
      </c>
      <c r="C1758" s="5" t="s">
        <v>354</v>
      </c>
      <c r="D1758" s="4" t="s">
        <v>22</v>
      </c>
      <c r="E1758" s="4" t="s">
        <v>2750</v>
      </c>
      <c r="F1758" s="4" t="s">
        <v>406</v>
      </c>
      <c r="G1758" s="4" t="s">
        <v>2751</v>
      </c>
      <c r="H1758" s="12" t="n">
        <v>6</v>
      </c>
      <c r="I1758" s="4" t="s">
        <v>474</v>
      </c>
      <c r="J1758" s="4" t="s">
        <v>409</v>
      </c>
      <c r="K1758" s="13" t="n">
        <v>180</v>
      </c>
      <c r="L1758" s="6" t="n">
        <f aca="false">H1758*K1758</f>
        <v>1080</v>
      </c>
      <c r="M1758" s="14" t="s">
        <v>410</v>
      </c>
    </row>
    <row r="1759" customFormat="false" ht="15" hidden="false" customHeight="false" outlineLevel="0" collapsed="false">
      <c r="A1759" s="4" t="s">
        <v>346</v>
      </c>
      <c r="B1759" s="5" t="s">
        <v>353</v>
      </c>
      <c r="C1759" s="5" t="s">
        <v>354</v>
      </c>
      <c r="D1759" s="4" t="s">
        <v>22</v>
      </c>
      <c r="E1759" s="4" t="s">
        <v>2752</v>
      </c>
      <c r="F1759" s="4" t="s">
        <v>406</v>
      </c>
      <c r="G1759" s="4" t="s">
        <v>2753</v>
      </c>
      <c r="H1759" s="12" t="n">
        <v>6</v>
      </c>
      <c r="I1759" s="4" t="s">
        <v>474</v>
      </c>
      <c r="J1759" s="4" t="s">
        <v>409</v>
      </c>
      <c r="K1759" s="13" t="n">
        <v>180</v>
      </c>
      <c r="L1759" s="6" t="n">
        <f aca="false">H1759*K1759</f>
        <v>1080</v>
      </c>
      <c r="M1759" s="14" t="s">
        <v>410</v>
      </c>
    </row>
    <row r="1760" customFormat="false" ht="15" hidden="false" customHeight="false" outlineLevel="0" collapsed="false">
      <c r="A1760" s="4" t="s">
        <v>346</v>
      </c>
      <c r="B1760" s="5" t="s">
        <v>353</v>
      </c>
      <c r="C1760" s="5" t="s">
        <v>354</v>
      </c>
      <c r="D1760" s="4" t="s">
        <v>22</v>
      </c>
      <c r="E1760" s="4" t="s">
        <v>2754</v>
      </c>
      <c r="F1760" s="4" t="s">
        <v>406</v>
      </c>
      <c r="G1760" s="4" t="s">
        <v>2755</v>
      </c>
      <c r="H1760" s="12" t="n">
        <v>1</v>
      </c>
      <c r="I1760" s="4" t="s">
        <v>474</v>
      </c>
      <c r="J1760" s="4" t="s">
        <v>416</v>
      </c>
      <c r="K1760" s="13" t="n">
        <v>1800</v>
      </c>
      <c r="L1760" s="6" t="n">
        <f aca="false">H1760*K1760</f>
        <v>1800</v>
      </c>
      <c r="M1760" s="14" t="s">
        <v>410</v>
      </c>
    </row>
    <row r="1761" customFormat="false" ht="15" hidden="false" customHeight="false" outlineLevel="0" collapsed="false">
      <c r="A1761" s="4" t="s">
        <v>346</v>
      </c>
      <c r="B1761" s="5" t="s">
        <v>353</v>
      </c>
      <c r="C1761" s="5" t="s">
        <v>354</v>
      </c>
      <c r="D1761" s="4" t="s">
        <v>22</v>
      </c>
      <c r="E1761" s="4" t="s">
        <v>2756</v>
      </c>
      <c r="F1761" s="4" t="s">
        <v>406</v>
      </c>
      <c r="G1761" s="4" t="s">
        <v>2757</v>
      </c>
      <c r="H1761" s="12" t="n">
        <v>6</v>
      </c>
      <c r="I1761" s="4" t="s">
        <v>474</v>
      </c>
      <c r="J1761" s="4" t="s">
        <v>409</v>
      </c>
      <c r="K1761" s="13" t="n">
        <v>350</v>
      </c>
      <c r="L1761" s="6" t="n">
        <f aca="false">H1761*K1761</f>
        <v>2100</v>
      </c>
      <c r="M1761" s="14" t="s">
        <v>410</v>
      </c>
    </row>
    <row r="1762" customFormat="false" ht="15" hidden="false" customHeight="false" outlineLevel="0" collapsed="false">
      <c r="A1762" s="4" t="s">
        <v>346</v>
      </c>
      <c r="B1762" s="5" t="s">
        <v>353</v>
      </c>
      <c r="C1762" s="5" t="s">
        <v>354</v>
      </c>
      <c r="D1762" s="4" t="s">
        <v>22</v>
      </c>
      <c r="E1762" s="4" t="s">
        <v>2758</v>
      </c>
      <c r="F1762" s="4" t="s">
        <v>406</v>
      </c>
      <c r="G1762" s="4" t="s">
        <v>2759</v>
      </c>
      <c r="H1762" s="12" t="n">
        <v>4</v>
      </c>
      <c r="I1762" s="4" t="s">
        <v>474</v>
      </c>
      <c r="J1762" s="4" t="s">
        <v>416</v>
      </c>
      <c r="K1762" s="13" t="n">
        <v>450</v>
      </c>
      <c r="L1762" s="6" t="n">
        <f aca="false">H1762*K1762</f>
        <v>1800</v>
      </c>
      <c r="M1762" s="14" t="s">
        <v>410</v>
      </c>
    </row>
    <row r="1763" customFormat="false" ht="15" hidden="false" customHeight="false" outlineLevel="0" collapsed="false">
      <c r="A1763" s="4" t="s">
        <v>346</v>
      </c>
      <c r="B1763" s="5" t="s">
        <v>353</v>
      </c>
      <c r="C1763" s="5" t="s">
        <v>354</v>
      </c>
      <c r="D1763" s="4" t="s">
        <v>22</v>
      </c>
      <c r="E1763" s="4" t="s">
        <v>2760</v>
      </c>
      <c r="F1763" s="4" t="s">
        <v>406</v>
      </c>
      <c r="G1763" s="4" t="s">
        <v>2761</v>
      </c>
      <c r="H1763" s="12" t="n">
        <v>2</v>
      </c>
      <c r="I1763" s="4" t="s">
        <v>474</v>
      </c>
      <c r="J1763" s="4" t="s">
        <v>409</v>
      </c>
      <c r="K1763" s="13" t="n">
        <v>150</v>
      </c>
      <c r="L1763" s="6" t="n">
        <f aca="false">H1763*K1763</f>
        <v>300</v>
      </c>
      <c r="M1763" s="14" t="s">
        <v>410</v>
      </c>
    </row>
    <row r="1764" customFormat="false" ht="15" hidden="false" customHeight="false" outlineLevel="0" collapsed="false">
      <c r="A1764" s="4" t="s">
        <v>346</v>
      </c>
      <c r="B1764" s="5" t="s">
        <v>353</v>
      </c>
      <c r="C1764" s="5" t="s">
        <v>354</v>
      </c>
      <c r="D1764" s="4" t="s">
        <v>22</v>
      </c>
      <c r="E1764" s="4" t="s">
        <v>2762</v>
      </c>
      <c r="F1764" s="4" t="s">
        <v>406</v>
      </c>
      <c r="G1764" s="4" t="s">
        <v>2763</v>
      </c>
      <c r="H1764" s="12" t="n">
        <v>2</v>
      </c>
      <c r="I1764" s="4" t="s">
        <v>474</v>
      </c>
      <c r="J1764" s="4" t="s">
        <v>409</v>
      </c>
      <c r="K1764" s="13" t="n">
        <v>120</v>
      </c>
      <c r="L1764" s="6" t="n">
        <f aca="false">H1764*K1764</f>
        <v>240</v>
      </c>
      <c r="M1764" s="14" t="s">
        <v>410</v>
      </c>
    </row>
    <row r="1765" customFormat="false" ht="15" hidden="false" customHeight="false" outlineLevel="0" collapsed="false">
      <c r="A1765" s="4" t="s">
        <v>346</v>
      </c>
      <c r="B1765" s="5" t="s">
        <v>353</v>
      </c>
      <c r="C1765" s="5" t="s">
        <v>354</v>
      </c>
      <c r="D1765" s="4" t="s">
        <v>22</v>
      </c>
      <c r="E1765" s="4" t="s">
        <v>2764</v>
      </c>
      <c r="F1765" s="4" t="s">
        <v>406</v>
      </c>
      <c r="G1765" s="4" t="s">
        <v>2765</v>
      </c>
      <c r="H1765" s="12" t="n">
        <v>2</v>
      </c>
      <c r="I1765" s="4" t="s">
        <v>474</v>
      </c>
      <c r="J1765" s="4" t="s">
        <v>409</v>
      </c>
      <c r="K1765" s="13" t="n">
        <v>250</v>
      </c>
      <c r="L1765" s="6" t="n">
        <f aca="false">H1765*K1765</f>
        <v>500</v>
      </c>
      <c r="M1765" s="14" t="s">
        <v>410</v>
      </c>
    </row>
    <row r="1766" customFormat="false" ht="15" hidden="false" customHeight="false" outlineLevel="0" collapsed="false">
      <c r="A1766" s="4" t="s">
        <v>346</v>
      </c>
      <c r="B1766" s="5" t="s">
        <v>353</v>
      </c>
      <c r="C1766" s="5" t="s">
        <v>354</v>
      </c>
      <c r="D1766" s="4" t="s">
        <v>22</v>
      </c>
      <c r="E1766" s="4" t="s">
        <v>2766</v>
      </c>
      <c r="F1766" s="4" t="s">
        <v>406</v>
      </c>
      <c r="G1766" s="4" t="s">
        <v>2767</v>
      </c>
      <c r="H1766" s="12" t="n">
        <v>2</v>
      </c>
      <c r="I1766" s="4" t="s">
        <v>474</v>
      </c>
      <c r="J1766" s="4" t="s">
        <v>409</v>
      </c>
      <c r="K1766" s="13" t="n">
        <v>350</v>
      </c>
      <c r="L1766" s="6" t="n">
        <f aca="false">H1766*K1766</f>
        <v>700</v>
      </c>
      <c r="M1766" s="14" t="s">
        <v>410</v>
      </c>
    </row>
    <row r="1767" customFormat="false" ht="15" hidden="false" customHeight="false" outlineLevel="0" collapsed="false">
      <c r="A1767" s="4" t="s">
        <v>346</v>
      </c>
      <c r="B1767" s="5" t="s">
        <v>353</v>
      </c>
      <c r="C1767" s="5" t="s">
        <v>354</v>
      </c>
      <c r="D1767" s="4" t="s">
        <v>22</v>
      </c>
      <c r="E1767" s="4" t="s">
        <v>2768</v>
      </c>
      <c r="F1767" s="4" t="s">
        <v>406</v>
      </c>
      <c r="G1767" s="4" t="s">
        <v>2769</v>
      </c>
      <c r="H1767" s="12" t="n">
        <v>6</v>
      </c>
      <c r="I1767" s="4" t="s">
        <v>474</v>
      </c>
      <c r="J1767" s="4" t="s">
        <v>409</v>
      </c>
      <c r="K1767" s="13" t="n">
        <v>450</v>
      </c>
      <c r="L1767" s="6" t="n">
        <f aca="false">H1767*K1767</f>
        <v>2700</v>
      </c>
      <c r="M1767" s="4" t="s">
        <v>371</v>
      </c>
    </row>
    <row r="1768" customFormat="false" ht="15" hidden="false" customHeight="false" outlineLevel="0" collapsed="false">
      <c r="A1768" s="4" t="s">
        <v>346</v>
      </c>
      <c r="B1768" s="5" t="s">
        <v>353</v>
      </c>
      <c r="C1768" s="5" t="s">
        <v>354</v>
      </c>
      <c r="D1768" s="4" t="s">
        <v>22</v>
      </c>
      <c r="E1768" s="4" t="s">
        <v>2770</v>
      </c>
      <c r="F1768" s="4" t="s">
        <v>406</v>
      </c>
      <c r="G1768" s="4" t="s">
        <v>2771</v>
      </c>
      <c r="H1768" s="12" t="n">
        <v>2</v>
      </c>
      <c r="I1768" s="4" t="s">
        <v>474</v>
      </c>
      <c r="J1768" s="4" t="s">
        <v>409</v>
      </c>
      <c r="K1768" s="13" t="n">
        <v>850</v>
      </c>
      <c r="L1768" s="6" t="n">
        <f aca="false">H1768*K1768</f>
        <v>1700</v>
      </c>
      <c r="M1768" s="4" t="s">
        <v>371</v>
      </c>
    </row>
    <row r="1769" customFormat="false" ht="15" hidden="false" customHeight="false" outlineLevel="0" collapsed="false">
      <c r="A1769" s="4" t="s">
        <v>346</v>
      </c>
      <c r="B1769" s="5" t="s">
        <v>353</v>
      </c>
      <c r="C1769" s="5" t="s">
        <v>354</v>
      </c>
      <c r="D1769" s="4" t="s">
        <v>22</v>
      </c>
      <c r="E1769" s="4" t="s">
        <v>2772</v>
      </c>
      <c r="F1769" s="4" t="s">
        <v>406</v>
      </c>
      <c r="G1769" s="4" t="s">
        <v>2773</v>
      </c>
      <c r="H1769" s="12" t="n">
        <v>1</v>
      </c>
      <c r="I1769" s="4" t="s">
        <v>474</v>
      </c>
      <c r="J1769" s="4" t="s">
        <v>409</v>
      </c>
      <c r="K1769" s="13" t="n">
        <v>1200</v>
      </c>
      <c r="L1769" s="6" t="n">
        <f aca="false">H1769*K1769</f>
        <v>1200</v>
      </c>
      <c r="M1769" s="4" t="s">
        <v>371</v>
      </c>
    </row>
    <row r="1770" customFormat="false" ht="15" hidden="false" customHeight="false" outlineLevel="0" collapsed="false">
      <c r="A1770" s="4" t="s">
        <v>346</v>
      </c>
      <c r="B1770" s="5" t="s">
        <v>353</v>
      </c>
      <c r="C1770" s="5" t="s">
        <v>354</v>
      </c>
      <c r="D1770" s="4" t="s">
        <v>22</v>
      </c>
      <c r="E1770" s="4" t="s">
        <v>2774</v>
      </c>
      <c r="F1770" s="4" t="s">
        <v>406</v>
      </c>
      <c r="G1770" s="4" t="s">
        <v>2775</v>
      </c>
      <c r="H1770" s="12" t="n">
        <v>1</v>
      </c>
      <c r="I1770" s="4" t="s">
        <v>474</v>
      </c>
      <c r="J1770" s="4" t="s">
        <v>409</v>
      </c>
      <c r="K1770" s="13" t="n">
        <v>450</v>
      </c>
      <c r="L1770" s="6" t="n">
        <f aca="false">H1770*K1770</f>
        <v>450</v>
      </c>
      <c r="M1770" s="14" t="s">
        <v>410</v>
      </c>
    </row>
    <row r="1771" customFormat="false" ht="15" hidden="false" customHeight="false" outlineLevel="0" collapsed="false">
      <c r="A1771" s="4" t="s">
        <v>346</v>
      </c>
      <c r="B1771" s="5" t="s">
        <v>353</v>
      </c>
      <c r="C1771" s="5" t="s">
        <v>354</v>
      </c>
      <c r="D1771" s="4" t="s">
        <v>22</v>
      </c>
      <c r="E1771" s="4" t="s">
        <v>2776</v>
      </c>
      <c r="F1771" s="4" t="s">
        <v>406</v>
      </c>
      <c r="G1771" s="4" t="s">
        <v>2777</v>
      </c>
      <c r="H1771" s="12" t="n">
        <v>10</v>
      </c>
      <c r="I1771" s="4" t="s">
        <v>474</v>
      </c>
      <c r="J1771" s="4" t="s">
        <v>409</v>
      </c>
      <c r="K1771" s="13" t="n">
        <v>450</v>
      </c>
      <c r="L1771" s="6" t="n">
        <f aca="false">H1771*K1771</f>
        <v>4500</v>
      </c>
      <c r="M1771" s="14" t="s">
        <v>410</v>
      </c>
    </row>
    <row r="1772" customFormat="false" ht="15" hidden="false" customHeight="false" outlineLevel="0" collapsed="false">
      <c r="A1772" s="4" t="s">
        <v>346</v>
      </c>
      <c r="B1772" s="5" t="s">
        <v>353</v>
      </c>
      <c r="C1772" s="5" t="s">
        <v>354</v>
      </c>
      <c r="D1772" s="4" t="s">
        <v>22</v>
      </c>
      <c r="E1772" s="4" t="s">
        <v>2778</v>
      </c>
      <c r="F1772" s="4" t="s">
        <v>406</v>
      </c>
      <c r="G1772" s="4" t="s">
        <v>2779</v>
      </c>
      <c r="H1772" s="12" t="n">
        <v>10</v>
      </c>
      <c r="I1772" s="4" t="s">
        <v>474</v>
      </c>
      <c r="J1772" s="4" t="s">
        <v>409</v>
      </c>
      <c r="K1772" s="13" t="n">
        <v>450</v>
      </c>
      <c r="L1772" s="6" t="n">
        <f aca="false">H1772*K1772</f>
        <v>4500</v>
      </c>
      <c r="M1772" s="14" t="s">
        <v>410</v>
      </c>
    </row>
    <row r="1773" customFormat="false" ht="15" hidden="false" customHeight="false" outlineLevel="0" collapsed="false">
      <c r="A1773" s="4" t="s">
        <v>346</v>
      </c>
      <c r="B1773" s="5" t="s">
        <v>353</v>
      </c>
      <c r="C1773" s="5" t="s">
        <v>354</v>
      </c>
      <c r="D1773" s="4" t="s">
        <v>22</v>
      </c>
      <c r="E1773" s="4" t="s">
        <v>2780</v>
      </c>
      <c r="F1773" s="4" t="s">
        <v>406</v>
      </c>
      <c r="G1773" s="4" t="s">
        <v>2781</v>
      </c>
      <c r="H1773" s="12" t="n">
        <v>4</v>
      </c>
      <c r="I1773" s="4" t="s">
        <v>474</v>
      </c>
      <c r="J1773" s="4" t="s">
        <v>409</v>
      </c>
      <c r="K1773" s="13" t="n">
        <v>250</v>
      </c>
      <c r="L1773" s="6" t="n">
        <f aca="false">H1773*K1773</f>
        <v>1000</v>
      </c>
      <c r="M1773" s="14" t="s">
        <v>410</v>
      </c>
    </row>
    <row r="1774" customFormat="false" ht="15" hidden="false" customHeight="false" outlineLevel="0" collapsed="false">
      <c r="A1774" s="4" t="s">
        <v>346</v>
      </c>
      <c r="B1774" s="5" t="s">
        <v>353</v>
      </c>
      <c r="C1774" s="5" t="s">
        <v>354</v>
      </c>
      <c r="D1774" s="4" t="s">
        <v>22</v>
      </c>
      <c r="E1774" s="4" t="s">
        <v>2782</v>
      </c>
      <c r="F1774" s="4" t="s">
        <v>406</v>
      </c>
      <c r="G1774" s="4" t="s">
        <v>2783</v>
      </c>
      <c r="H1774" s="12" t="n">
        <v>12</v>
      </c>
      <c r="I1774" s="4" t="s">
        <v>474</v>
      </c>
      <c r="J1774" s="4" t="s">
        <v>409</v>
      </c>
      <c r="K1774" s="13" t="n">
        <v>450</v>
      </c>
      <c r="L1774" s="6" t="n">
        <f aca="false">H1774*K1774</f>
        <v>5400</v>
      </c>
      <c r="M1774" s="4" t="s">
        <v>371</v>
      </c>
    </row>
    <row r="1775" customFormat="false" ht="15" hidden="false" customHeight="false" outlineLevel="0" collapsed="false">
      <c r="A1775" s="4" t="s">
        <v>346</v>
      </c>
      <c r="B1775" s="5" t="s">
        <v>353</v>
      </c>
      <c r="C1775" s="5" t="s">
        <v>354</v>
      </c>
      <c r="D1775" s="4" t="s">
        <v>22</v>
      </c>
      <c r="E1775" s="4" t="s">
        <v>2784</v>
      </c>
      <c r="F1775" s="4" t="s">
        <v>406</v>
      </c>
      <c r="G1775" s="4" t="s">
        <v>2785</v>
      </c>
      <c r="H1775" s="12" t="n">
        <v>12</v>
      </c>
      <c r="I1775" s="4" t="s">
        <v>474</v>
      </c>
      <c r="J1775" s="4" t="s">
        <v>409</v>
      </c>
      <c r="K1775" s="13" t="n">
        <v>350</v>
      </c>
      <c r="L1775" s="6" t="n">
        <f aca="false">H1775*K1775</f>
        <v>4200</v>
      </c>
      <c r="M1775" s="4" t="s">
        <v>371</v>
      </c>
    </row>
    <row r="1776" customFormat="false" ht="15" hidden="false" customHeight="false" outlineLevel="0" collapsed="false">
      <c r="A1776" s="4" t="s">
        <v>346</v>
      </c>
      <c r="B1776" s="5" t="s">
        <v>353</v>
      </c>
      <c r="C1776" s="5" t="s">
        <v>354</v>
      </c>
      <c r="D1776" s="4" t="s">
        <v>22</v>
      </c>
      <c r="E1776" s="4" t="s">
        <v>2786</v>
      </c>
      <c r="F1776" s="4" t="s">
        <v>406</v>
      </c>
      <c r="G1776" s="4" t="s">
        <v>2787</v>
      </c>
      <c r="H1776" s="12" t="n">
        <v>6</v>
      </c>
      <c r="I1776" s="4" t="s">
        <v>474</v>
      </c>
      <c r="J1776" s="4" t="s">
        <v>409</v>
      </c>
      <c r="K1776" s="13" t="n">
        <v>450</v>
      </c>
      <c r="L1776" s="6" t="n">
        <f aca="false">H1776*K1776</f>
        <v>2700</v>
      </c>
      <c r="M1776" s="4" t="s">
        <v>371</v>
      </c>
    </row>
    <row r="1777" customFormat="false" ht="15" hidden="false" customHeight="false" outlineLevel="0" collapsed="false">
      <c r="A1777" s="4" t="s">
        <v>346</v>
      </c>
      <c r="B1777" s="5" t="s">
        <v>353</v>
      </c>
      <c r="C1777" s="5" t="s">
        <v>354</v>
      </c>
      <c r="D1777" s="4" t="s">
        <v>22</v>
      </c>
      <c r="E1777" s="4" t="s">
        <v>2788</v>
      </c>
      <c r="F1777" s="4" t="s">
        <v>406</v>
      </c>
      <c r="G1777" s="4" t="s">
        <v>2789</v>
      </c>
      <c r="H1777" s="12" t="n">
        <v>6</v>
      </c>
      <c r="I1777" s="4" t="s">
        <v>474</v>
      </c>
      <c r="J1777" s="4" t="s">
        <v>409</v>
      </c>
      <c r="K1777" s="13" t="n">
        <v>450</v>
      </c>
      <c r="L1777" s="6" t="n">
        <f aca="false">H1777*K1777</f>
        <v>2700</v>
      </c>
      <c r="M1777" s="14" t="s">
        <v>410</v>
      </c>
    </row>
    <row r="1778" customFormat="false" ht="15" hidden="false" customHeight="false" outlineLevel="0" collapsed="false">
      <c r="A1778" s="4" t="s">
        <v>346</v>
      </c>
      <c r="B1778" s="5" t="s">
        <v>353</v>
      </c>
      <c r="C1778" s="5" t="s">
        <v>354</v>
      </c>
      <c r="D1778" s="4" t="s">
        <v>22</v>
      </c>
      <c r="E1778" s="4" t="s">
        <v>2790</v>
      </c>
      <c r="F1778" s="4" t="s">
        <v>406</v>
      </c>
      <c r="G1778" s="4" t="s">
        <v>2791</v>
      </c>
      <c r="H1778" s="12" t="n">
        <v>6</v>
      </c>
      <c r="I1778" s="4" t="s">
        <v>474</v>
      </c>
      <c r="J1778" s="4" t="s">
        <v>409</v>
      </c>
      <c r="K1778" s="13" t="n">
        <v>850</v>
      </c>
      <c r="L1778" s="6" t="n">
        <f aca="false">H1778*K1778</f>
        <v>5100</v>
      </c>
      <c r="M1778" s="14" t="s">
        <v>410</v>
      </c>
    </row>
    <row r="1779" customFormat="false" ht="15" hidden="false" customHeight="false" outlineLevel="0" collapsed="false">
      <c r="A1779" s="4" t="s">
        <v>346</v>
      </c>
      <c r="B1779" s="5" t="s">
        <v>353</v>
      </c>
      <c r="C1779" s="5" t="s">
        <v>354</v>
      </c>
      <c r="D1779" s="4" t="s">
        <v>22</v>
      </c>
      <c r="E1779" s="4" t="s">
        <v>2792</v>
      </c>
      <c r="F1779" s="4" t="s">
        <v>406</v>
      </c>
      <c r="G1779" s="4" t="s">
        <v>2793</v>
      </c>
      <c r="H1779" s="12" t="n">
        <v>12</v>
      </c>
      <c r="I1779" s="4" t="s">
        <v>474</v>
      </c>
      <c r="J1779" s="4" t="s">
        <v>409</v>
      </c>
      <c r="K1779" s="13" t="n">
        <v>350</v>
      </c>
      <c r="L1779" s="6" t="n">
        <f aca="false">H1779*K1779</f>
        <v>4200</v>
      </c>
      <c r="M1779" s="14" t="s">
        <v>410</v>
      </c>
    </row>
    <row r="1780" customFormat="false" ht="15" hidden="false" customHeight="false" outlineLevel="0" collapsed="false">
      <c r="A1780" s="4" t="s">
        <v>346</v>
      </c>
      <c r="B1780" s="5" t="s">
        <v>353</v>
      </c>
      <c r="C1780" s="5" t="s">
        <v>354</v>
      </c>
      <c r="D1780" s="4" t="s">
        <v>22</v>
      </c>
      <c r="E1780" s="4" t="s">
        <v>2794</v>
      </c>
      <c r="F1780" s="4" t="s">
        <v>470</v>
      </c>
      <c r="G1780" s="4" t="s">
        <v>2795</v>
      </c>
      <c r="H1780" s="12" t="n">
        <v>1</v>
      </c>
      <c r="I1780" s="4" t="s">
        <v>474</v>
      </c>
      <c r="J1780" s="4" t="s">
        <v>416</v>
      </c>
      <c r="K1780" s="13" t="n">
        <v>65000</v>
      </c>
      <c r="L1780" s="6" t="n">
        <f aca="false">H1780*K1780</f>
        <v>65000</v>
      </c>
      <c r="M1780" s="4" t="s">
        <v>371</v>
      </c>
    </row>
    <row r="1781" customFormat="false" ht="15" hidden="false" customHeight="false" outlineLevel="0" collapsed="false">
      <c r="A1781" s="4" t="s">
        <v>346</v>
      </c>
      <c r="B1781" s="5" t="s">
        <v>353</v>
      </c>
      <c r="C1781" s="5" t="s">
        <v>354</v>
      </c>
      <c r="D1781" s="4" t="s">
        <v>22</v>
      </c>
      <c r="E1781" s="4" t="s">
        <v>2796</v>
      </c>
      <c r="F1781" s="4" t="s">
        <v>470</v>
      </c>
      <c r="G1781" s="4" t="s">
        <v>2797</v>
      </c>
      <c r="H1781" s="12" t="n">
        <v>3</v>
      </c>
      <c r="I1781" s="4" t="s">
        <v>474</v>
      </c>
      <c r="J1781" s="4" t="s">
        <v>409</v>
      </c>
      <c r="K1781" s="13" t="n">
        <v>8500</v>
      </c>
      <c r="L1781" s="6" t="n">
        <f aca="false">H1781*K1781</f>
        <v>25500</v>
      </c>
      <c r="M1781" s="4" t="s">
        <v>371</v>
      </c>
    </row>
    <row r="1782" customFormat="false" ht="15" hidden="false" customHeight="false" outlineLevel="0" collapsed="false">
      <c r="A1782" s="4" t="s">
        <v>346</v>
      </c>
      <c r="B1782" s="5" t="s">
        <v>353</v>
      </c>
      <c r="C1782" s="5" t="s">
        <v>354</v>
      </c>
      <c r="D1782" s="4" t="s">
        <v>22</v>
      </c>
      <c r="E1782" s="4" t="s">
        <v>2798</v>
      </c>
      <c r="F1782" s="4" t="s">
        <v>470</v>
      </c>
      <c r="G1782" s="4" t="s">
        <v>2799</v>
      </c>
      <c r="H1782" s="12" t="n">
        <v>12</v>
      </c>
      <c r="I1782" s="4" t="s">
        <v>474</v>
      </c>
      <c r="J1782" s="4" t="s">
        <v>409</v>
      </c>
      <c r="K1782" s="13" t="n">
        <v>2500</v>
      </c>
      <c r="L1782" s="6" t="n">
        <f aca="false">H1782*K1782</f>
        <v>30000</v>
      </c>
      <c r="M1782" s="4" t="s">
        <v>371</v>
      </c>
    </row>
    <row r="1783" customFormat="false" ht="15" hidden="false" customHeight="false" outlineLevel="0" collapsed="false">
      <c r="A1783" s="4" t="s">
        <v>346</v>
      </c>
      <c r="B1783" s="5" t="s">
        <v>353</v>
      </c>
      <c r="C1783" s="5" t="s">
        <v>354</v>
      </c>
      <c r="D1783" s="4" t="s">
        <v>22</v>
      </c>
      <c r="E1783" s="4" t="s">
        <v>2800</v>
      </c>
      <c r="F1783" s="4" t="s">
        <v>470</v>
      </c>
      <c r="G1783" s="4" t="s">
        <v>2801</v>
      </c>
      <c r="H1783" s="12" t="n">
        <v>1</v>
      </c>
      <c r="I1783" s="4" t="s">
        <v>474</v>
      </c>
      <c r="J1783" s="4" t="s">
        <v>409</v>
      </c>
      <c r="K1783" s="13" t="n">
        <v>8500</v>
      </c>
      <c r="L1783" s="6" t="n">
        <f aca="false">H1783*K1783</f>
        <v>8500</v>
      </c>
      <c r="M1783" s="4" t="s">
        <v>371</v>
      </c>
    </row>
    <row r="1784" customFormat="false" ht="15" hidden="false" customHeight="false" outlineLevel="0" collapsed="false">
      <c r="A1784" s="4" t="s">
        <v>346</v>
      </c>
      <c r="B1784" s="5" t="s">
        <v>353</v>
      </c>
      <c r="C1784" s="5" t="s">
        <v>354</v>
      </c>
      <c r="D1784" s="4" t="s">
        <v>22</v>
      </c>
      <c r="E1784" s="4" t="s">
        <v>2802</v>
      </c>
      <c r="F1784" s="4" t="s">
        <v>470</v>
      </c>
      <c r="G1784" s="4" t="s">
        <v>2803</v>
      </c>
      <c r="H1784" s="12" t="n">
        <v>1</v>
      </c>
      <c r="I1784" s="4" t="s">
        <v>474</v>
      </c>
      <c r="J1784" s="4" t="s">
        <v>409</v>
      </c>
      <c r="K1784" s="13" t="n">
        <v>35000</v>
      </c>
      <c r="L1784" s="6" t="n">
        <f aca="false">H1784*K1784</f>
        <v>35000</v>
      </c>
      <c r="M1784" s="4" t="s">
        <v>371</v>
      </c>
    </row>
    <row r="1785" customFormat="false" ht="15" hidden="false" customHeight="false" outlineLevel="0" collapsed="false">
      <c r="A1785" s="4" t="s">
        <v>346</v>
      </c>
      <c r="B1785" s="5" t="s">
        <v>353</v>
      </c>
      <c r="C1785" s="5" t="s">
        <v>354</v>
      </c>
      <c r="D1785" s="4" t="s">
        <v>22</v>
      </c>
      <c r="E1785" s="4" t="s">
        <v>2804</v>
      </c>
      <c r="F1785" s="4" t="s">
        <v>470</v>
      </c>
      <c r="G1785" s="4" t="s">
        <v>2805</v>
      </c>
      <c r="H1785" s="12" t="n">
        <v>1</v>
      </c>
      <c r="I1785" s="4" t="s">
        <v>474</v>
      </c>
      <c r="J1785" s="4" t="s">
        <v>409</v>
      </c>
      <c r="K1785" s="13" t="n">
        <v>25000</v>
      </c>
      <c r="L1785" s="6" t="n">
        <f aca="false">H1785*K1785</f>
        <v>25000</v>
      </c>
      <c r="M1785" s="4" t="s">
        <v>371</v>
      </c>
    </row>
    <row r="1786" customFormat="false" ht="15" hidden="false" customHeight="false" outlineLevel="0" collapsed="false">
      <c r="A1786" s="4" t="s">
        <v>346</v>
      </c>
      <c r="B1786" s="5" t="s">
        <v>353</v>
      </c>
      <c r="C1786" s="5" t="s">
        <v>354</v>
      </c>
      <c r="D1786" s="4" t="s">
        <v>22</v>
      </c>
      <c r="E1786" s="4" t="s">
        <v>2806</v>
      </c>
      <c r="F1786" s="4" t="s">
        <v>470</v>
      </c>
      <c r="G1786" s="4" t="s">
        <v>2807</v>
      </c>
      <c r="H1786" s="12" t="n">
        <v>1</v>
      </c>
      <c r="I1786" s="4" t="s">
        <v>474</v>
      </c>
      <c r="J1786" s="4" t="s">
        <v>409</v>
      </c>
      <c r="K1786" s="13" t="n">
        <v>12000</v>
      </c>
      <c r="L1786" s="6" t="n">
        <f aca="false">H1786*K1786</f>
        <v>12000</v>
      </c>
      <c r="M1786" s="4" t="s">
        <v>371</v>
      </c>
    </row>
    <row r="1787" customFormat="false" ht="15" hidden="false" customHeight="false" outlineLevel="0" collapsed="false">
      <c r="A1787" s="4" t="s">
        <v>346</v>
      </c>
      <c r="B1787" s="5" t="s">
        <v>353</v>
      </c>
      <c r="C1787" s="5" t="s">
        <v>354</v>
      </c>
      <c r="D1787" s="4" t="s">
        <v>22</v>
      </c>
      <c r="E1787" s="4" t="s">
        <v>2808</v>
      </c>
      <c r="F1787" s="4" t="s">
        <v>470</v>
      </c>
      <c r="G1787" s="4" t="s">
        <v>2809</v>
      </c>
      <c r="H1787" s="12" t="n">
        <v>1</v>
      </c>
      <c r="I1787" s="4" t="s">
        <v>474</v>
      </c>
      <c r="J1787" s="4" t="s">
        <v>2810</v>
      </c>
      <c r="K1787" s="13" t="n">
        <v>0</v>
      </c>
      <c r="L1787" s="6" t="n">
        <f aca="false">H1787*K1787</f>
        <v>0</v>
      </c>
      <c r="M1787" s="4" t="s">
        <v>371</v>
      </c>
    </row>
    <row r="1788" customFormat="false" ht="15" hidden="false" customHeight="false" outlineLevel="0" collapsed="false">
      <c r="A1788" s="4" t="s">
        <v>346</v>
      </c>
      <c r="B1788" s="5" t="s">
        <v>353</v>
      </c>
      <c r="C1788" s="5" t="s">
        <v>354</v>
      </c>
      <c r="D1788" s="4" t="s">
        <v>22</v>
      </c>
      <c r="E1788" s="4" t="s">
        <v>2811</v>
      </c>
      <c r="F1788" s="4" t="s">
        <v>470</v>
      </c>
      <c r="G1788" s="4" t="s">
        <v>2812</v>
      </c>
      <c r="H1788" s="12" t="n">
        <v>6</v>
      </c>
      <c r="I1788" s="4" t="s">
        <v>474</v>
      </c>
      <c r="J1788" s="4" t="s">
        <v>409</v>
      </c>
      <c r="K1788" s="13" t="n">
        <v>450</v>
      </c>
      <c r="L1788" s="6" t="n">
        <f aca="false">H1788*K1788</f>
        <v>2700</v>
      </c>
      <c r="M1788" s="4" t="s">
        <v>371</v>
      </c>
    </row>
    <row r="1789" customFormat="false" ht="15" hidden="false" customHeight="false" outlineLevel="0" collapsed="false">
      <c r="A1789" s="4" t="s">
        <v>346</v>
      </c>
      <c r="B1789" s="5" t="s">
        <v>353</v>
      </c>
      <c r="C1789" s="5" t="s">
        <v>354</v>
      </c>
      <c r="D1789" s="4" t="s">
        <v>22</v>
      </c>
      <c r="E1789" s="4" t="s">
        <v>2813</v>
      </c>
      <c r="F1789" s="4" t="s">
        <v>470</v>
      </c>
      <c r="G1789" s="4" t="s">
        <v>2814</v>
      </c>
      <c r="H1789" s="12" t="n">
        <v>36</v>
      </c>
      <c r="I1789" s="4" t="s">
        <v>474</v>
      </c>
      <c r="J1789" s="4" t="s">
        <v>2815</v>
      </c>
      <c r="K1789" s="13" t="n">
        <v>350</v>
      </c>
      <c r="L1789" s="6" t="n">
        <f aca="false">H1789*K1789</f>
        <v>12600</v>
      </c>
      <c r="M1789" s="4" t="s">
        <v>371</v>
      </c>
    </row>
    <row r="1790" customFormat="false" ht="15" hidden="false" customHeight="false" outlineLevel="0" collapsed="false">
      <c r="A1790" s="4" t="s">
        <v>66</v>
      </c>
      <c r="B1790" s="5" t="s">
        <v>67</v>
      </c>
      <c r="C1790" s="5" t="s">
        <v>68</v>
      </c>
      <c r="D1790" s="4" t="s">
        <v>16</v>
      </c>
      <c r="E1790" s="4" t="s">
        <v>2816</v>
      </c>
      <c r="F1790" s="4" t="s">
        <v>406</v>
      </c>
      <c r="G1790" s="4" t="s">
        <v>2817</v>
      </c>
      <c r="H1790" s="12" t="n">
        <v>3</v>
      </c>
      <c r="I1790" s="4" t="s">
        <v>474</v>
      </c>
      <c r="J1790" s="4" t="s">
        <v>409</v>
      </c>
      <c r="K1790" s="13" t="n">
        <v>1800</v>
      </c>
      <c r="L1790" s="6" t="n">
        <f aca="false">H1790*K1790</f>
        <v>5400</v>
      </c>
      <c r="M1790" s="14" t="s">
        <v>410</v>
      </c>
    </row>
    <row r="1791" customFormat="false" ht="15" hidden="false" customHeight="false" outlineLevel="0" collapsed="false">
      <c r="A1791" s="4" t="s">
        <v>66</v>
      </c>
      <c r="B1791" s="5" t="s">
        <v>67</v>
      </c>
      <c r="C1791" s="5" t="s">
        <v>68</v>
      </c>
      <c r="D1791" s="4" t="s">
        <v>16</v>
      </c>
      <c r="E1791" s="4" t="s">
        <v>2818</v>
      </c>
      <c r="F1791" s="4" t="s">
        <v>406</v>
      </c>
      <c r="G1791" s="4" t="s">
        <v>2819</v>
      </c>
      <c r="H1791" s="12" t="n">
        <v>3</v>
      </c>
      <c r="I1791" s="4" t="s">
        <v>474</v>
      </c>
      <c r="J1791" s="4" t="s">
        <v>409</v>
      </c>
      <c r="K1791" s="13" t="n">
        <v>3500</v>
      </c>
      <c r="L1791" s="6" t="n">
        <f aca="false">H1791*K1791</f>
        <v>10500</v>
      </c>
      <c r="M1791" s="14" t="s">
        <v>410</v>
      </c>
    </row>
    <row r="1792" customFormat="false" ht="15" hidden="false" customHeight="false" outlineLevel="0" collapsed="false">
      <c r="A1792" s="4" t="s">
        <v>66</v>
      </c>
      <c r="B1792" s="5" t="s">
        <v>67</v>
      </c>
      <c r="C1792" s="5" t="s">
        <v>68</v>
      </c>
      <c r="D1792" s="4" t="s">
        <v>16</v>
      </c>
      <c r="E1792" s="4" t="s">
        <v>2820</v>
      </c>
      <c r="F1792" s="4" t="s">
        <v>406</v>
      </c>
      <c r="G1792" s="4" t="s">
        <v>2821</v>
      </c>
      <c r="H1792" s="12" t="n">
        <v>1</v>
      </c>
      <c r="I1792" s="4" t="s">
        <v>474</v>
      </c>
      <c r="J1792" s="4" t="s">
        <v>409</v>
      </c>
      <c r="K1792" s="13" t="n">
        <v>450</v>
      </c>
      <c r="L1792" s="6" t="n">
        <f aca="false">H1792*K1792</f>
        <v>450</v>
      </c>
      <c r="M1792" s="14" t="s">
        <v>410</v>
      </c>
    </row>
    <row r="1793" customFormat="false" ht="15" hidden="false" customHeight="false" outlineLevel="0" collapsed="false">
      <c r="A1793" s="4" t="s">
        <v>66</v>
      </c>
      <c r="B1793" s="5" t="s">
        <v>67</v>
      </c>
      <c r="C1793" s="5" t="s">
        <v>68</v>
      </c>
      <c r="D1793" s="4" t="s">
        <v>16</v>
      </c>
      <c r="E1793" s="4" t="s">
        <v>2822</v>
      </c>
      <c r="F1793" s="4" t="s">
        <v>406</v>
      </c>
      <c r="G1793" s="4" t="s">
        <v>2823</v>
      </c>
      <c r="H1793" s="12" t="n">
        <v>1</v>
      </c>
      <c r="I1793" s="4" t="s">
        <v>474</v>
      </c>
      <c r="J1793" s="4" t="s">
        <v>413</v>
      </c>
      <c r="K1793" s="13" t="n">
        <v>2500</v>
      </c>
      <c r="L1793" s="6" t="n">
        <f aca="false">H1793*K1793</f>
        <v>2500</v>
      </c>
      <c r="M1793" s="14" t="s">
        <v>410</v>
      </c>
    </row>
    <row r="1794" customFormat="false" ht="15" hidden="false" customHeight="false" outlineLevel="0" collapsed="false">
      <c r="A1794" s="4" t="s">
        <v>66</v>
      </c>
      <c r="B1794" s="5" t="s">
        <v>67</v>
      </c>
      <c r="C1794" s="5" t="s">
        <v>68</v>
      </c>
      <c r="D1794" s="4" t="s">
        <v>16</v>
      </c>
      <c r="E1794" s="4" t="s">
        <v>2824</v>
      </c>
      <c r="F1794" s="4" t="s">
        <v>406</v>
      </c>
      <c r="G1794" s="4" t="s">
        <v>2825</v>
      </c>
      <c r="H1794" s="12" t="n">
        <v>1</v>
      </c>
      <c r="I1794" s="4" t="s">
        <v>474</v>
      </c>
      <c r="J1794" s="4" t="s">
        <v>416</v>
      </c>
      <c r="K1794" s="13" t="n">
        <v>4500</v>
      </c>
      <c r="L1794" s="6" t="n">
        <f aca="false">H1794*K1794</f>
        <v>4500</v>
      </c>
      <c r="M1794" s="14" t="s">
        <v>410</v>
      </c>
    </row>
    <row r="1795" customFormat="false" ht="15" hidden="false" customHeight="false" outlineLevel="0" collapsed="false">
      <c r="A1795" s="4" t="s">
        <v>66</v>
      </c>
      <c r="B1795" s="5" t="s">
        <v>67</v>
      </c>
      <c r="C1795" s="5" t="s">
        <v>68</v>
      </c>
      <c r="D1795" s="4" t="s">
        <v>16</v>
      </c>
      <c r="E1795" s="4" t="s">
        <v>2826</v>
      </c>
      <c r="F1795" s="4" t="s">
        <v>406</v>
      </c>
      <c r="G1795" s="4" t="s">
        <v>2827</v>
      </c>
      <c r="H1795" s="12" t="n">
        <v>2</v>
      </c>
      <c r="I1795" s="4" t="s">
        <v>474</v>
      </c>
      <c r="J1795" s="4" t="s">
        <v>409</v>
      </c>
      <c r="K1795" s="13" t="n">
        <v>450</v>
      </c>
      <c r="L1795" s="6" t="n">
        <f aca="false">H1795*K1795</f>
        <v>900</v>
      </c>
      <c r="M1795" s="14" t="s">
        <v>410</v>
      </c>
    </row>
    <row r="1796" customFormat="false" ht="15" hidden="false" customHeight="false" outlineLevel="0" collapsed="false">
      <c r="A1796" s="4" t="s">
        <v>66</v>
      </c>
      <c r="B1796" s="5" t="s">
        <v>67</v>
      </c>
      <c r="C1796" s="5" t="s">
        <v>68</v>
      </c>
      <c r="D1796" s="4" t="s">
        <v>16</v>
      </c>
      <c r="E1796" s="4" t="s">
        <v>2828</v>
      </c>
      <c r="F1796" s="4" t="s">
        <v>406</v>
      </c>
      <c r="G1796" s="4" t="s">
        <v>2829</v>
      </c>
      <c r="H1796" s="12" t="n">
        <v>1</v>
      </c>
      <c r="I1796" s="4" t="s">
        <v>474</v>
      </c>
      <c r="J1796" s="4" t="s">
        <v>409</v>
      </c>
      <c r="K1796" s="13" t="n">
        <v>450</v>
      </c>
      <c r="L1796" s="6" t="n">
        <f aca="false">H1796*K1796</f>
        <v>450</v>
      </c>
      <c r="M1796" s="14" t="s">
        <v>410</v>
      </c>
    </row>
    <row r="1797" customFormat="false" ht="15" hidden="false" customHeight="false" outlineLevel="0" collapsed="false">
      <c r="A1797" s="4" t="s">
        <v>66</v>
      </c>
      <c r="B1797" s="5" t="s">
        <v>67</v>
      </c>
      <c r="C1797" s="5" t="s">
        <v>68</v>
      </c>
      <c r="D1797" s="4" t="s">
        <v>16</v>
      </c>
      <c r="E1797" s="4" t="s">
        <v>2830</v>
      </c>
      <c r="F1797" s="4" t="s">
        <v>406</v>
      </c>
      <c r="G1797" s="4" t="s">
        <v>1193</v>
      </c>
      <c r="H1797" s="12" t="n">
        <v>1</v>
      </c>
      <c r="I1797" s="4" t="s">
        <v>474</v>
      </c>
      <c r="J1797" s="4" t="s">
        <v>416</v>
      </c>
      <c r="K1797" s="13" t="n">
        <v>450</v>
      </c>
      <c r="L1797" s="6" t="n">
        <f aca="false">H1797*K1797</f>
        <v>450</v>
      </c>
      <c r="M1797" s="14" t="s">
        <v>410</v>
      </c>
    </row>
    <row r="1798" customFormat="false" ht="15" hidden="false" customHeight="false" outlineLevel="0" collapsed="false">
      <c r="A1798" s="4" t="s">
        <v>66</v>
      </c>
      <c r="B1798" s="5" t="s">
        <v>67</v>
      </c>
      <c r="C1798" s="5" t="s">
        <v>68</v>
      </c>
      <c r="D1798" s="4" t="s">
        <v>16</v>
      </c>
      <c r="E1798" s="4" t="s">
        <v>2831</v>
      </c>
      <c r="F1798" s="4" t="s">
        <v>406</v>
      </c>
      <c r="G1798" s="4" t="s">
        <v>2832</v>
      </c>
      <c r="H1798" s="12" t="n">
        <v>1</v>
      </c>
      <c r="I1798" s="4" t="s">
        <v>474</v>
      </c>
      <c r="J1798" s="4" t="s">
        <v>416</v>
      </c>
      <c r="K1798" s="13" t="n">
        <v>850</v>
      </c>
      <c r="L1798" s="6" t="n">
        <f aca="false">H1798*K1798</f>
        <v>850</v>
      </c>
      <c r="M1798" s="14" t="s">
        <v>410</v>
      </c>
    </row>
    <row r="1799" customFormat="false" ht="15" hidden="false" customHeight="false" outlineLevel="0" collapsed="false">
      <c r="A1799" s="4" t="s">
        <v>66</v>
      </c>
      <c r="B1799" s="5" t="s">
        <v>67</v>
      </c>
      <c r="C1799" s="5" t="s">
        <v>68</v>
      </c>
      <c r="D1799" s="4" t="s">
        <v>16</v>
      </c>
      <c r="E1799" s="4" t="s">
        <v>1603</v>
      </c>
      <c r="F1799" s="4" t="s">
        <v>406</v>
      </c>
      <c r="G1799" s="4" t="s">
        <v>1604</v>
      </c>
      <c r="H1799" s="12" t="n">
        <v>1</v>
      </c>
      <c r="I1799" s="4" t="s">
        <v>474</v>
      </c>
      <c r="J1799" s="4" t="s">
        <v>416</v>
      </c>
      <c r="K1799" s="13" t="n">
        <v>1200</v>
      </c>
      <c r="L1799" s="6" t="n">
        <f aca="false">H1799*K1799</f>
        <v>1200</v>
      </c>
      <c r="M1799" s="14" t="s">
        <v>410</v>
      </c>
    </row>
    <row r="1800" customFormat="false" ht="15" hidden="false" customHeight="false" outlineLevel="0" collapsed="false">
      <c r="A1800" s="4" t="s">
        <v>66</v>
      </c>
      <c r="B1800" s="5" t="s">
        <v>67</v>
      </c>
      <c r="C1800" s="5" t="s">
        <v>68</v>
      </c>
      <c r="D1800" s="4" t="s">
        <v>16</v>
      </c>
      <c r="E1800" s="4" t="s">
        <v>2833</v>
      </c>
      <c r="F1800" s="4" t="s">
        <v>406</v>
      </c>
      <c r="G1800" s="4" t="s">
        <v>2834</v>
      </c>
      <c r="H1800" s="12" t="n">
        <v>1</v>
      </c>
      <c r="I1800" s="4" t="s">
        <v>474</v>
      </c>
      <c r="J1800" s="4" t="s">
        <v>416</v>
      </c>
      <c r="K1800" s="13" t="n">
        <v>1800</v>
      </c>
      <c r="L1800" s="6" t="n">
        <f aca="false">H1800*K1800</f>
        <v>1800</v>
      </c>
      <c r="M1800" s="14" t="s">
        <v>410</v>
      </c>
    </row>
    <row r="1801" customFormat="false" ht="15" hidden="false" customHeight="false" outlineLevel="0" collapsed="false">
      <c r="A1801" s="4" t="s">
        <v>66</v>
      </c>
      <c r="B1801" s="5" t="s">
        <v>67</v>
      </c>
      <c r="C1801" s="5" t="s">
        <v>68</v>
      </c>
      <c r="D1801" s="4" t="s">
        <v>16</v>
      </c>
      <c r="E1801" s="4" t="s">
        <v>2534</v>
      </c>
      <c r="F1801" s="4" t="s">
        <v>406</v>
      </c>
      <c r="G1801" s="4" t="s">
        <v>2535</v>
      </c>
      <c r="H1801" s="12" t="n">
        <v>1</v>
      </c>
      <c r="I1801" s="4" t="s">
        <v>474</v>
      </c>
      <c r="J1801" s="4" t="s">
        <v>409</v>
      </c>
      <c r="K1801" s="13" t="n">
        <v>450</v>
      </c>
      <c r="L1801" s="6" t="n">
        <f aca="false">H1801*K1801</f>
        <v>450</v>
      </c>
      <c r="M1801" s="14" t="s">
        <v>410</v>
      </c>
    </row>
    <row r="1802" customFormat="false" ht="15" hidden="false" customHeight="false" outlineLevel="0" collapsed="false">
      <c r="A1802" s="4" t="s">
        <v>66</v>
      </c>
      <c r="B1802" s="5" t="s">
        <v>67</v>
      </c>
      <c r="C1802" s="5" t="s">
        <v>68</v>
      </c>
      <c r="D1802" s="4" t="s">
        <v>16</v>
      </c>
      <c r="E1802" s="4" t="s">
        <v>1675</v>
      </c>
      <c r="F1802" s="4" t="s">
        <v>406</v>
      </c>
      <c r="G1802" s="4" t="s">
        <v>1676</v>
      </c>
      <c r="H1802" s="12" t="n">
        <v>1</v>
      </c>
      <c r="I1802" s="4" t="s">
        <v>474</v>
      </c>
      <c r="J1802" s="4" t="s">
        <v>409</v>
      </c>
      <c r="K1802" s="13" t="n">
        <v>450</v>
      </c>
      <c r="L1802" s="6" t="n">
        <f aca="false">H1802*K1802</f>
        <v>450</v>
      </c>
      <c r="M1802" s="14" t="s">
        <v>410</v>
      </c>
    </row>
    <row r="1803" customFormat="false" ht="15" hidden="false" customHeight="false" outlineLevel="0" collapsed="false">
      <c r="A1803" s="4" t="s">
        <v>66</v>
      </c>
      <c r="B1803" s="5" t="s">
        <v>67</v>
      </c>
      <c r="C1803" s="5" t="s">
        <v>68</v>
      </c>
      <c r="D1803" s="4" t="s">
        <v>16</v>
      </c>
      <c r="E1803" s="4" t="s">
        <v>2835</v>
      </c>
      <c r="F1803" s="4" t="s">
        <v>406</v>
      </c>
      <c r="G1803" s="4" t="s">
        <v>2836</v>
      </c>
      <c r="H1803" s="12" t="n">
        <v>1</v>
      </c>
      <c r="I1803" s="4" t="s">
        <v>474</v>
      </c>
      <c r="J1803" s="4" t="s">
        <v>409</v>
      </c>
      <c r="K1803" s="13" t="n">
        <v>12000</v>
      </c>
      <c r="L1803" s="6" t="n">
        <f aca="false">H1803*K1803</f>
        <v>12000</v>
      </c>
      <c r="M1803" s="14" t="s">
        <v>410</v>
      </c>
    </row>
    <row r="1804" customFormat="false" ht="15" hidden="false" customHeight="false" outlineLevel="0" collapsed="false">
      <c r="A1804" s="4" t="s">
        <v>66</v>
      </c>
      <c r="B1804" s="5" t="s">
        <v>67</v>
      </c>
      <c r="C1804" s="5" t="s">
        <v>68</v>
      </c>
      <c r="D1804" s="4" t="s">
        <v>16</v>
      </c>
      <c r="E1804" s="4" t="s">
        <v>2837</v>
      </c>
      <c r="F1804" s="4" t="s">
        <v>406</v>
      </c>
      <c r="G1804" s="4" t="s">
        <v>2838</v>
      </c>
      <c r="H1804" s="12" t="n">
        <v>1</v>
      </c>
      <c r="I1804" s="4" t="s">
        <v>474</v>
      </c>
      <c r="J1804" s="4" t="s">
        <v>409</v>
      </c>
      <c r="K1804" s="13" t="n">
        <v>250000</v>
      </c>
      <c r="L1804" s="6" t="n">
        <f aca="false">H1804*K1804</f>
        <v>250000</v>
      </c>
      <c r="M1804" s="14" t="s">
        <v>410</v>
      </c>
    </row>
    <row r="1805" customFormat="false" ht="15" hidden="false" customHeight="false" outlineLevel="0" collapsed="false">
      <c r="A1805" s="4" t="s">
        <v>66</v>
      </c>
      <c r="B1805" s="5" t="s">
        <v>67</v>
      </c>
      <c r="C1805" s="5" t="s">
        <v>68</v>
      </c>
      <c r="D1805" s="4" t="s">
        <v>16</v>
      </c>
      <c r="E1805" s="4" t="s">
        <v>2839</v>
      </c>
      <c r="F1805" s="4" t="s">
        <v>406</v>
      </c>
      <c r="G1805" s="4" t="s">
        <v>2840</v>
      </c>
      <c r="H1805" s="12" t="n">
        <v>1</v>
      </c>
      <c r="I1805" s="4" t="s">
        <v>474</v>
      </c>
      <c r="J1805" s="4" t="s">
        <v>413</v>
      </c>
      <c r="K1805" s="13" t="n">
        <v>45000</v>
      </c>
      <c r="L1805" s="6" t="n">
        <f aca="false">H1805*K1805</f>
        <v>45000</v>
      </c>
      <c r="M1805" s="14" t="s">
        <v>410</v>
      </c>
    </row>
    <row r="1806" customFormat="false" ht="15" hidden="false" customHeight="false" outlineLevel="0" collapsed="false">
      <c r="A1806" s="4" t="s">
        <v>66</v>
      </c>
      <c r="B1806" s="5" t="s">
        <v>67</v>
      </c>
      <c r="C1806" s="5" t="s">
        <v>68</v>
      </c>
      <c r="D1806" s="4" t="s">
        <v>16</v>
      </c>
      <c r="E1806" s="4" t="s">
        <v>2841</v>
      </c>
      <c r="F1806" s="4" t="s">
        <v>406</v>
      </c>
      <c r="G1806" s="4" t="s">
        <v>2842</v>
      </c>
      <c r="H1806" s="12" t="n">
        <v>4</v>
      </c>
      <c r="I1806" s="4" t="s">
        <v>474</v>
      </c>
      <c r="J1806" s="4" t="s">
        <v>413</v>
      </c>
      <c r="K1806" s="13" t="n">
        <v>85000</v>
      </c>
      <c r="L1806" s="6" t="n">
        <f aca="false">H1806*K1806</f>
        <v>340000</v>
      </c>
      <c r="M1806" s="14" t="s">
        <v>410</v>
      </c>
    </row>
    <row r="1807" customFormat="false" ht="15" hidden="false" customHeight="false" outlineLevel="0" collapsed="false">
      <c r="A1807" s="4" t="s">
        <v>66</v>
      </c>
      <c r="B1807" s="5" t="s">
        <v>67</v>
      </c>
      <c r="C1807" s="5" t="s">
        <v>68</v>
      </c>
      <c r="D1807" s="4" t="s">
        <v>16</v>
      </c>
      <c r="E1807" s="4" t="s">
        <v>2843</v>
      </c>
      <c r="F1807" s="4" t="s">
        <v>406</v>
      </c>
      <c r="G1807" s="4" t="s">
        <v>2844</v>
      </c>
      <c r="H1807" s="12" t="n">
        <v>1</v>
      </c>
      <c r="I1807" s="4" t="s">
        <v>474</v>
      </c>
      <c r="J1807" s="4" t="s">
        <v>413</v>
      </c>
      <c r="K1807" s="13" t="n">
        <v>8500</v>
      </c>
      <c r="L1807" s="6" t="n">
        <f aca="false">H1807*K1807</f>
        <v>8500</v>
      </c>
      <c r="M1807" s="14" t="s">
        <v>410</v>
      </c>
    </row>
    <row r="1808" customFormat="false" ht="15" hidden="false" customHeight="false" outlineLevel="0" collapsed="false">
      <c r="A1808" s="4" t="s">
        <v>66</v>
      </c>
      <c r="B1808" s="5" t="s">
        <v>67</v>
      </c>
      <c r="C1808" s="5" t="s">
        <v>68</v>
      </c>
      <c r="D1808" s="4" t="s">
        <v>16</v>
      </c>
      <c r="E1808" s="4" t="s">
        <v>2845</v>
      </c>
      <c r="F1808" s="4" t="s">
        <v>406</v>
      </c>
      <c r="G1808" s="4" t="s">
        <v>2846</v>
      </c>
      <c r="H1808" s="12" t="n">
        <v>1</v>
      </c>
      <c r="I1808" s="4" t="s">
        <v>474</v>
      </c>
      <c r="J1808" s="4" t="s">
        <v>409</v>
      </c>
      <c r="K1808" s="13" t="n">
        <v>180000</v>
      </c>
      <c r="L1808" s="6" t="n">
        <f aca="false">H1808*K1808</f>
        <v>180000</v>
      </c>
      <c r="M1808" s="14" t="s">
        <v>410</v>
      </c>
    </row>
    <row r="1809" customFormat="false" ht="15" hidden="false" customHeight="false" outlineLevel="0" collapsed="false">
      <c r="A1809" s="4" t="s">
        <v>66</v>
      </c>
      <c r="B1809" s="5" t="s">
        <v>67</v>
      </c>
      <c r="C1809" s="5" t="s">
        <v>68</v>
      </c>
      <c r="D1809" s="4" t="s">
        <v>16</v>
      </c>
      <c r="E1809" s="4" t="s">
        <v>2847</v>
      </c>
      <c r="F1809" s="4" t="s">
        <v>406</v>
      </c>
      <c r="G1809" s="4" t="s">
        <v>2848</v>
      </c>
      <c r="H1809" s="12" t="n">
        <v>1</v>
      </c>
      <c r="I1809" s="4" t="s">
        <v>474</v>
      </c>
      <c r="J1809" s="4" t="s">
        <v>409</v>
      </c>
      <c r="K1809" s="13" t="n">
        <v>18000</v>
      </c>
      <c r="L1809" s="6" t="n">
        <f aca="false">H1809*K1809</f>
        <v>18000</v>
      </c>
      <c r="M1809" s="14" t="s">
        <v>410</v>
      </c>
    </row>
    <row r="1810" customFormat="false" ht="15" hidden="false" customHeight="false" outlineLevel="0" collapsed="false">
      <c r="A1810" s="4" t="s">
        <v>66</v>
      </c>
      <c r="B1810" s="5" t="s">
        <v>67</v>
      </c>
      <c r="C1810" s="5" t="s">
        <v>68</v>
      </c>
      <c r="D1810" s="4" t="s">
        <v>16</v>
      </c>
      <c r="E1810" s="4" t="s">
        <v>2849</v>
      </c>
      <c r="F1810" s="4" t="s">
        <v>406</v>
      </c>
      <c r="G1810" s="4" t="s">
        <v>2850</v>
      </c>
      <c r="H1810" s="12" t="n">
        <v>1</v>
      </c>
      <c r="I1810" s="4" t="s">
        <v>474</v>
      </c>
      <c r="J1810" s="4" t="s">
        <v>409</v>
      </c>
      <c r="K1810" s="13" t="n">
        <v>4500</v>
      </c>
      <c r="L1810" s="6" t="n">
        <f aca="false">H1810*K1810</f>
        <v>4500</v>
      </c>
      <c r="M1810" s="14" t="s">
        <v>410</v>
      </c>
    </row>
    <row r="1811" customFormat="false" ht="15" hidden="false" customHeight="false" outlineLevel="0" collapsed="false">
      <c r="A1811" s="4" t="s">
        <v>66</v>
      </c>
      <c r="B1811" s="5" t="s">
        <v>67</v>
      </c>
      <c r="C1811" s="5" t="s">
        <v>68</v>
      </c>
      <c r="D1811" s="4" t="s">
        <v>16</v>
      </c>
      <c r="E1811" s="4" t="s">
        <v>2851</v>
      </c>
      <c r="F1811" s="4" t="s">
        <v>406</v>
      </c>
      <c r="G1811" s="4" t="s">
        <v>2852</v>
      </c>
      <c r="H1811" s="12" t="n">
        <v>1</v>
      </c>
      <c r="I1811" s="4" t="s">
        <v>474</v>
      </c>
      <c r="J1811" s="4" t="s">
        <v>409</v>
      </c>
      <c r="K1811" s="13" t="n">
        <v>8500</v>
      </c>
      <c r="L1811" s="6" t="n">
        <f aca="false">H1811*K1811</f>
        <v>8500</v>
      </c>
      <c r="M1811" s="14" t="s">
        <v>410</v>
      </c>
    </row>
    <row r="1812" customFormat="false" ht="15" hidden="false" customHeight="false" outlineLevel="0" collapsed="false">
      <c r="A1812" s="4" t="s">
        <v>66</v>
      </c>
      <c r="B1812" s="5" t="s">
        <v>67</v>
      </c>
      <c r="C1812" s="5" t="s">
        <v>68</v>
      </c>
      <c r="D1812" s="4" t="s">
        <v>16</v>
      </c>
      <c r="E1812" s="4" t="s">
        <v>2853</v>
      </c>
      <c r="F1812" s="4" t="s">
        <v>406</v>
      </c>
      <c r="G1812" s="4" t="s">
        <v>1209</v>
      </c>
      <c r="H1812" s="12" t="n">
        <v>2</v>
      </c>
      <c r="I1812" s="4" t="s">
        <v>474</v>
      </c>
      <c r="J1812" s="4" t="s">
        <v>409</v>
      </c>
      <c r="K1812" s="13" t="n">
        <v>850</v>
      </c>
      <c r="L1812" s="6" t="n">
        <f aca="false">H1812*K1812</f>
        <v>1700</v>
      </c>
      <c r="M1812" s="14" t="s">
        <v>410</v>
      </c>
    </row>
    <row r="1813" customFormat="false" ht="15" hidden="false" customHeight="false" outlineLevel="0" collapsed="false">
      <c r="A1813" s="4" t="s">
        <v>66</v>
      </c>
      <c r="B1813" s="5" t="s">
        <v>67</v>
      </c>
      <c r="C1813" s="5" t="s">
        <v>68</v>
      </c>
      <c r="D1813" s="4" t="s">
        <v>16</v>
      </c>
      <c r="E1813" s="4" t="s">
        <v>2854</v>
      </c>
      <c r="F1813" s="4" t="s">
        <v>406</v>
      </c>
      <c r="G1813" s="4" t="s">
        <v>2855</v>
      </c>
      <c r="H1813" s="12" t="n">
        <v>1</v>
      </c>
      <c r="I1813" s="4" t="s">
        <v>474</v>
      </c>
      <c r="J1813" s="4" t="s">
        <v>409</v>
      </c>
      <c r="K1813" s="13" t="n">
        <v>4500</v>
      </c>
      <c r="L1813" s="6" t="n">
        <f aca="false">H1813*K1813</f>
        <v>4500</v>
      </c>
      <c r="M1813" s="14" t="s">
        <v>410</v>
      </c>
    </row>
    <row r="1814" customFormat="false" ht="15" hidden="false" customHeight="false" outlineLevel="0" collapsed="false">
      <c r="A1814" s="4" t="s">
        <v>66</v>
      </c>
      <c r="B1814" s="5" t="s">
        <v>67</v>
      </c>
      <c r="C1814" s="5" t="s">
        <v>68</v>
      </c>
      <c r="D1814" s="4" t="s">
        <v>16</v>
      </c>
      <c r="E1814" s="4" t="s">
        <v>2856</v>
      </c>
      <c r="F1814" s="4" t="s">
        <v>406</v>
      </c>
      <c r="G1814" s="4" t="s">
        <v>2857</v>
      </c>
      <c r="H1814" s="12" t="n">
        <v>1</v>
      </c>
      <c r="I1814" s="4" t="s">
        <v>474</v>
      </c>
      <c r="J1814" s="4" t="s">
        <v>409</v>
      </c>
      <c r="K1814" s="13" t="n">
        <v>3500</v>
      </c>
      <c r="L1814" s="6" t="n">
        <f aca="false">H1814*K1814</f>
        <v>3500</v>
      </c>
      <c r="M1814" s="14" t="s">
        <v>410</v>
      </c>
    </row>
    <row r="1815" customFormat="false" ht="15" hidden="false" customHeight="false" outlineLevel="0" collapsed="false">
      <c r="A1815" s="4" t="s">
        <v>66</v>
      </c>
      <c r="B1815" s="5" t="s">
        <v>67</v>
      </c>
      <c r="C1815" s="5" t="s">
        <v>68</v>
      </c>
      <c r="D1815" s="4" t="s">
        <v>16</v>
      </c>
      <c r="E1815" s="4" t="s">
        <v>2858</v>
      </c>
      <c r="F1815" s="4" t="s">
        <v>406</v>
      </c>
      <c r="G1815" s="4" t="s">
        <v>2859</v>
      </c>
      <c r="H1815" s="12" t="n">
        <v>1</v>
      </c>
      <c r="I1815" s="4" t="s">
        <v>474</v>
      </c>
      <c r="J1815" s="4" t="s">
        <v>409</v>
      </c>
      <c r="K1815" s="13" t="n">
        <v>2500</v>
      </c>
      <c r="L1815" s="6" t="n">
        <f aca="false">H1815*K1815</f>
        <v>2500</v>
      </c>
      <c r="M1815" s="14" t="s">
        <v>410</v>
      </c>
    </row>
    <row r="1816" customFormat="false" ht="15" hidden="false" customHeight="false" outlineLevel="0" collapsed="false">
      <c r="A1816" s="4" t="s">
        <v>66</v>
      </c>
      <c r="B1816" s="5" t="s">
        <v>67</v>
      </c>
      <c r="C1816" s="5" t="s">
        <v>68</v>
      </c>
      <c r="D1816" s="4" t="s">
        <v>16</v>
      </c>
      <c r="E1816" s="4" t="s">
        <v>2860</v>
      </c>
      <c r="F1816" s="4" t="s">
        <v>406</v>
      </c>
      <c r="G1816" s="4" t="s">
        <v>2861</v>
      </c>
      <c r="H1816" s="12" t="n">
        <v>1</v>
      </c>
      <c r="I1816" s="4" t="s">
        <v>474</v>
      </c>
      <c r="J1816" s="4" t="s">
        <v>409</v>
      </c>
      <c r="K1816" s="13" t="n">
        <v>2500</v>
      </c>
      <c r="L1816" s="6" t="n">
        <f aca="false">H1816*K1816</f>
        <v>2500</v>
      </c>
      <c r="M1816" s="14" t="s">
        <v>410</v>
      </c>
    </row>
    <row r="1817" customFormat="false" ht="15" hidden="false" customHeight="false" outlineLevel="0" collapsed="false">
      <c r="A1817" s="4" t="s">
        <v>66</v>
      </c>
      <c r="B1817" s="5" t="s">
        <v>67</v>
      </c>
      <c r="C1817" s="5" t="s">
        <v>68</v>
      </c>
      <c r="D1817" s="4" t="s">
        <v>16</v>
      </c>
      <c r="E1817" s="4" t="s">
        <v>2862</v>
      </c>
      <c r="F1817" s="4" t="s">
        <v>406</v>
      </c>
      <c r="G1817" s="4" t="s">
        <v>2863</v>
      </c>
      <c r="H1817" s="12" t="n">
        <v>1</v>
      </c>
      <c r="I1817" s="4" t="s">
        <v>474</v>
      </c>
      <c r="J1817" s="4" t="s">
        <v>409</v>
      </c>
      <c r="K1817" s="13" t="n">
        <v>2500</v>
      </c>
      <c r="L1817" s="6" t="n">
        <f aca="false">H1817*K1817</f>
        <v>2500</v>
      </c>
      <c r="M1817" s="14" t="s">
        <v>410</v>
      </c>
    </row>
    <row r="1818" customFormat="false" ht="15" hidden="false" customHeight="false" outlineLevel="0" collapsed="false">
      <c r="A1818" s="4" t="s">
        <v>66</v>
      </c>
      <c r="B1818" s="5" t="s">
        <v>67</v>
      </c>
      <c r="C1818" s="5" t="s">
        <v>68</v>
      </c>
      <c r="D1818" s="4" t="s">
        <v>16</v>
      </c>
      <c r="E1818" s="4" t="s">
        <v>2864</v>
      </c>
      <c r="F1818" s="4" t="s">
        <v>406</v>
      </c>
      <c r="G1818" s="4" t="s">
        <v>2865</v>
      </c>
      <c r="H1818" s="12" t="n">
        <v>1</v>
      </c>
      <c r="I1818" s="4" t="s">
        <v>474</v>
      </c>
      <c r="J1818" s="4" t="s">
        <v>409</v>
      </c>
      <c r="K1818" s="13" t="n">
        <v>850</v>
      </c>
      <c r="L1818" s="6" t="n">
        <f aca="false">H1818*K1818</f>
        <v>850</v>
      </c>
      <c r="M1818" s="14" t="s">
        <v>410</v>
      </c>
    </row>
    <row r="1819" customFormat="false" ht="15" hidden="false" customHeight="false" outlineLevel="0" collapsed="false">
      <c r="A1819" s="4" t="s">
        <v>66</v>
      </c>
      <c r="B1819" s="5" t="s">
        <v>67</v>
      </c>
      <c r="C1819" s="5" t="s">
        <v>68</v>
      </c>
      <c r="D1819" s="4" t="s">
        <v>16</v>
      </c>
      <c r="E1819" s="4" t="s">
        <v>2866</v>
      </c>
      <c r="F1819" s="4" t="s">
        <v>406</v>
      </c>
      <c r="G1819" s="4" t="s">
        <v>2867</v>
      </c>
      <c r="H1819" s="12" t="n">
        <v>1</v>
      </c>
      <c r="I1819" s="4" t="s">
        <v>474</v>
      </c>
      <c r="J1819" s="4" t="s">
        <v>409</v>
      </c>
      <c r="K1819" s="13" t="n">
        <v>18000</v>
      </c>
      <c r="L1819" s="6" t="n">
        <f aca="false">H1819*K1819</f>
        <v>18000</v>
      </c>
      <c r="M1819" s="14" t="s">
        <v>410</v>
      </c>
    </row>
    <row r="1820" customFormat="false" ht="15" hidden="false" customHeight="false" outlineLevel="0" collapsed="false">
      <c r="A1820" s="4" t="s">
        <v>66</v>
      </c>
      <c r="B1820" s="5" t="s">
        <v>67</v>
      </c>
      <c r="C1820" s="5" t="s">
        <v>68</v>
      </c>
      <c r="D1820" s="4" t="s">
        <v>16</v>
      </c>
      <c r="E1820" s="4" t="s">
        <v>2868</v>
      </c>
      <c r="F1820" s="4" t="s">
        <v>406</v>
      </c>
      <c r="G1820" s="4" t="s">
        <v>2869</v>
      </c>
      <c r="H1820" s="12" t="n">
        <v>1</v>
      </c>
      <c r="I1820" s="4" t="s">
        <v>474</v>
      </c>
      <c r="J1820" s="4" t="s">
        <v>409</v>
      </c>
      <c r="K1820" s="13" t="n">
        <v>1200</v>
      </c>
      <c r="L1820" s="6" t="n">
        <f aca="false">H1820*K1820</f>
        <v>1200</v>
      </c>
      <c r="M1820" s="14" t="s">
        <v>410</v>
      </c>
    </row>
    <row r="1821" customFormat="false" ht="15" hidden="false" customHeight="false" outlineLevel="0" collapsed="false">
      <c r="A1821" s="4" t="s">
        <v>66</v>
      </c>
      <c r="B1821" s="5" t="s">
        <v>67</v>
      </c>
      <c r="C1821" s="5" t="s">
        <v>68</v>
      </c>
      <c r="D1821" s="4" t="s">
        <v>16</v>
      </c>
      <c r="E1821" s="4" t="s">
        <v>2870</v>
      </c>
      <c r="F1821" s="4" t="s">
        <v>406</v>
      </c>
      <c r="G1821" s="4" t="s">
        <v>2871</v>
      </c>
      <c r="H1821" s="12" t="n">
        <v>1</v>
      </c>
      <c r="I1821" s="4" t="s">
        <v>474</v>
      </c>
      <c r="J1821" s="4" t="s">
        <v>409</v>
      </c>
      <c r="K1821" s="13" t="n">
        <v>850</v>
      </c>
      <c r="L1821" s="6" t="n">
        <f aca="false">H1821*K1821</f>
        <v>850</v>
      </c>
      <c r="M1821" s="14" t="s">
        <v>410</v>
      </c>
    </row>
    <row r="1822" customFormat="false" ht="15" hidden="false" customHeight="false" outlineLevel="0" collapsed="false">
      <c r="A1822" s="4" t="s">
        <v>66</v>
      </c>
      <c r="B1822" s="5" t="s">
        <v>67</v>
      </c>
      <c r="C1822" s="5" t="s">
        <v>68</v>
      </c>
      <c r="D1822" s="4" t="s">
        <v>16</v>
      </c>
      <c r="E1822" s="4" t="s">
        <v>2872</v>
      </c>
      <c r="F1822" s="4" t="s">
        <v>406</v>
      </c>
      <c r="G1822" s="4" t="s">
        <v>2873</v>
      </c>
      <c r="H1822" s="12" t="n">
        <v>1</v>
      </c>
      <c r="I1822" s="4" t="s">
        <v>474</v>
      </c>
      <c r="J1822" s="4" t="s">
        <v>409</v>
      </c>
      <c r="K1822" s="13" t="n">
        <v>4500</v>
      </c>
      <c r="L1822" s="6" t="n">
        <f aca="false">H1822*K1822</f>
        <v>4500</v>
      </c>
      <c r="M1822" s="14" t="s">
        <v>410</v>
      </c>
    </row>
    <row r="1823" customFormat="false" ht="15" hidden="false" customHeight="false" outlineLevel="0" collapsed="false">
      <c r="A1823" s="4" t="s">
        <v>66</v>
      </c>
      <c r="B1823" s="5" t="s">
        <v>67</v>
      </c>
      <c r="C1823" s="5" t="s">
        <v>68</v>
      </c>
      <c r="D1823" s="4" t="s">
        <v>16</v>
      </c>
      <c r="E1823" s="4" t="s">
        <v>2874</v>
      </c>
      <c r="F1823" s="4" t="s">
        <v>406</v>
      </c>
      <c r="G1823" s="4" t="s">
        <v>2875</v>
      </c>
      <c r="H1823" s="12" t="n">
        <v>1</v>
      </c>
      <c r="I1823" s="4" t="s">
        <v>474</v>
      </c>
      <c r="J1823" s="4" t="s">
        <v>416</v>
      </c>
      <c r="K1823" s="13" t="n">
        <v>2500</v>
      </c>
      <c r="L1823" s="6" t="n">
        <f aca="false">H1823*K1823</f>
        <v>2500</v>
      </c>
      <c r="M1823" s="14" t="s">
        <v>410</v>
      </c>
    </row>
    <row r="1824" customFormat="false" ht="15" hidden="false" customHeight="false" outlineLevel="0" collapsed="false">
      <c r="A1824" s="4" t="s">
        <v>66</v>
      </c>
      <c r="B1824" s="5" t="s">
        <v>67</v>
      </c>
      <c r="C1824" s="5" t="s">
        <v>68</v>
      </c>
      <c r="D1824" s="4" t="s">
        <v>16</v>
      </c>
      <c r="E1824" s="4" t="s">
        <v>2876</v>
      </c>
      <c r="F1824" s="4" t="s">
        <v>406</v>
      </c>
      <c r="G1824" s="4" t="s">
        <v>2877</v>
      </c>
      <c r="H1824" s="12" t="n">
        <v>1</v>
      </c>
      <c r="I1824" s="4" t="s">
        <v>474</v>
      </c>
      <c r="J1824" s="4" t="s">
        <v>409</v>
      </c>
      <c r="K1824" s="13" t="n">
        <v>1800</v>
      </c>
      <c r="L1824" s="6" t="n">
        <f aca="false">H1824*K1824</f>
        <v>1800</v>
      </c>
      <c r="M1824" s="14" t="s">
        <v>410</v>
      </c>
    </row>
    <row r="1825" customFormat="false" ht="15" hidden="false" customHeight="false" outlineLevel="0" collapsed="false">
      <c r="A1825" s="4" t="s">
        <v>66</v>
      </c>
      <c r="B1825" s="5" t="s">
        <v>67</v>
      </c>
      <c r="C1825" s="5" t="s">
        <v>68</v>
      </c>
      <c r="D1825" s="4" t="s">
        <v>16</v>
      </c>
      <c r="E1825" s="4" t="s">
        <v>2878</v>
      </c>
      <c r="F1825" s="4" t="s">
        <v>406</v>
      </c>
      <c r="G1825" s="4" t="s">
        <v>2879</v>
      </c>
      <c r="H1825" s="12" t="n">
        <v>1</v>
      </c>
      <c r="I1825" s="4" t="s">
        <v>474</v>
      </c>
      <c r="J1825" s="4" t="s">
        <v>413</v>
      </c>
      <c r="K1825" s="13" t="n">
        <v>8500</v>
      </c>
      <c r="L1825" s="6" t="n">
        <f aca="false">H1825*K1825</f>
        <v>8500</v>
      </c>
      <c r="M1825" s="14" t="s">
        <v>410</v>
      </c>
    </row>
    <row r="1826" customFormat="false" ht="15" hidden="false" customHeight="false" outlineLevel="0" collapsed="false">
      <c r="A1826" s="4" t="s">
        <v>66</v>
      </c>
      <c r="B1826" s="5" t="s">
        <v>67</v>
      </c>
      <c r="C1826" s="5" t="s">
        <v>68</v>
      </c>
      <c r="D1826" s="4" t="s">
        <v>16</v>
      </c>
      <c r="E1826" s="4" t="s">
        <v>2880</v>
      </c>
      <c r="F1826" s="4" t="s">
        <v>406</v>
      </c>
      <c r="G1826" s="4" t="s">
        <v>2881</v>
      </c>
      <c r="H1826" s="12" t="n">
        <v>5</v>
      </c>
      <c r="I1826" s="4" t="s">
        <v>474</v>
      </c>
      <c r="J1826" s="4" t="s">
        <v>409</v>
      </c>
      <c r="K1826" s="13" t="n">
        <v>850</v>
      </c>
      <c r="L1826" s="6" t="n">
        <f aca="false">H1826*K1826</f>
        <v>4250</v>
      </c>
      <c r="M1826" s="14" t="s">
        <v>410</v>
      </c>
    </row>
    <row r="1827" customFormat="false" ht="15" hidden="false" customHeight="false" outlineLevel="0" collapsed="false">
      <c r="A1827" s="4" t="s">
        <v>66</v>
      </c>
      <c r="B1827" s="5" t="s">
        <v>67</v>
      </c>
      <c r="C1827" s="5" t="s">
        <v>68</v>
      </c>
      <c r="D1827" s="4" t="s">
        <v>16</v>
      </c>
      <c r="E1827" s="4" t="s">
        <v>2882</v>
      </c>
      <c r="F1827" s="4" t="s">
        <v>406</v>
      </c>
      <c r="G1827" s="4" t="s">
        <v>2883</v>
      </c>
      <c r="H1827" s="12" t="n">
        <v>1</v>
      </c>
      <c r="I1827" s="4" t="s">
        <v>474</v>
      </c>
      <c r="J1827" s="4" t="s">
        <v>409</v>
      </c>
      <c r="K1827" s="13" t="n">
        <v>1800</v>
      </c>
      <c r="L1827" s="6" t="n">
        <f aca="false">H1827*K1827</f>
        <v>1800</v>
      </c>
      <c r="M1827" s="14" t="s">
        <v>410</v>
      </c>
    </row>
    <row r="1828" customFormat="false" ht="15" hidden="false" customHeight="false" outlineLevel="0" collapsed="false">
      <c r="A1828" s="4" t="s">
        <v>66</v>
      </c>
      <c r="B1828" s="5" t="s">
        <v>67</v>
      </c>
      <c r="C1828" s="5" t="s">
        <v>68</v>
      </c>
      <c r="D1828" s="4" t="s">
        <v>16</v>
      </c>
      <c r="E1828" s="4" t="s">
        <v>2884</v>
      </c>
      <c r="F1828" s="4" t="s">
        <v>406</v>
      </c>
      <c r="G1828" s="4" t="s">
        <v>2885</v>
      </c>
      <c r="H1828" s="12" t="n">
        <v>1</v>
      </c>
      <c r="I1828" s="4" t="s">
        <v>474</v>
      </c>
      <c r="J1828" s="4" t="s">
        <v>416</v>
      </c>
      <c r="K1828" s="13" t="n">
        <v>18000</v>
      </c>
      <c r="L1828" s="6" t="n">
        <f aca="false">H1828*K1828</f>
        <v>18000</v>
      </c>
      <c r="M1828" s="14" t="s">
        <v>410</v>
      </c>
    </row>
    <row r="1829" customFormat="false" ht="15" hidden="false" customHeight="false" outlineLevel="0" collapsed="false">
      <c r="A1829" s="4" t="s">
        <v>66</v>
      </c>
      <c r="B1829" s="5" t="s">
        <v>67</v>
      </c>
      <c r="C1829" s="5" t="s">
        <v>68</v>
      </c>
      <c r="D1829" s="4" t="s">
        <v>16</v>
      </c>
      <c r="E1829" s="4" t="s">
        <v>2886</v>
      </c>
      <c r="F1829" s="4" t="s">
        <v>470</v>
      </c>
      <c r="G1829" s="4" t="s">
        <v>2887</v>
      </c>
      <c r="H1829" s="12" t="n">
        <v>1</v>
      </c>
      <c r="I1829" s="4" t="s">
        <v>474</v>
      </c>
      <c r="J1829" s="4" t="s">
        <v>543</v>
      </c>
      <c r="K1829" s="13" t="n">
        <v>85000</v>
      </c>
      <c r="L1829" s="6" t="n">
        <f aca="false">H1829*K1829</f>
        <v>85000</v>
      </c>
      <c r="M1829" s="14" t="s">
        <v>410</v>
      </c>
    </row>
    <row r="1830" customFormat="false" ht="15" hidden="false" customHeight="false" outlineLevel="0" collapsed="false">
      <c r="A1830" s="4" t="s">
        <v>66</v>
      </c>
      <c r="B1830" s="5" t="s">
        <v>67</v>
      </c>
      <c r="C1830" s="5" t="s">
        <v>68</v>
      </c>
      <c r="D1830" s="4" t="s">
        <v>16</v>
      </c>
      <c r="E1830" s="4" t="s">
        <v>2888</v>
      </c>
      <c r="F1830" s="4" t="s">
        <v>470</v>
      </c>
      <c r="G1830" s="4" t="s">
        <v>2889</v>
      </c>
      <c r="H1830" s="12" t="n">
        <v>1</v>
      </c>
      <c r="I1830" s="4" t="s">
        <v>474</v>
      </c>
      <c r="J1830" s="4" t="s">
        <v>416</v>
      </c>
      <c r="K1830" s="13" t="n">
        <v>35000</v>
      </c>
      <c r="L1830" s="6" t="n">
        <f aca="false">H1830*K1830</f>
        <v>35000</v>
      </c>
      <c r="M1830" s="4" t="s">
        <v>371</v>
      </c>
    </row>
    <row r="1831" customFormat="false" ht="15" hidden="false" customHeight="false" outlineLevel="0" collapsed="false">
      <c r="A1831" s="4" t="s">
        <v>66</v>
      </c>
      <c r="B1831" s="5" t="s">
        <v>67</v>
      </c>
      <c r="C1831" s="5" t="s">
        <v>68</v>
      </c>
      <c r="D1831" s="4" t="s">
        <v>16</v>
      </c>
      <c r="E1831" s="4" t="s">
        <v>2890</v>
      </c>
      <c r="F1831" s="4" t="s">
        <v>470</v>
      </c>
      <c r="G1831" s="4" t="s">
        <v>2891</v>
      </c>
      <c r="H1831" s="12" t="n">
        <v>1</v>
      </c>
      <c r="I1831" s="4" t="s">
        <v>474</v>
      </c>
      <c r="J1831" s="4" t="s">
        <v>409</v>
      </c>
      <c r="K1831" s="13" t="n">
        <v>25000</v>
      </c>
      <c r="L1831" s="6" t="n">
        <f aca="false">H1831*K1831</f>
        <v>25000</v>
      </c>
      <c r="M1831" s="4" t="s">
        <v>371</v>
      </c>
    </row>
    <row r="1832" customFormat="false" ht="15" hidden="false" customHeight="false" outlineLevel="0" collapsed="false">
      <c r="A1832" s="4" t="s">
        <v>66</v>
      </c>
      <c r="B1832" s="5" t="s">
        <v>67</v>
      </c>
      <c r="C1832" s="5" t="s">
        <v>68</v>
      </c>
      <c r="D1832" s="4" t="s">
        <v>16</v>
      </c>
      <c r="E1832" s="4" t="s">
        <v>2892</v>
      </c>
      <c r="F1832" s="4" t="s">
        <v>488</v>
      </c>
      <c r="G1832" s="4" t="s">
        <v>2893</v>
      </c>
      <c r="H1832" s="12" t="n">
        <v>4</v>
      </c>
      <c r="I1832" s="4" t="s">
        <v>474</v>
      </c>
      <c r="J1832" s="4" t="s">
        <v>409</v>
      </c>
      <c r="K1832" s="13" t="n">
        <v>250</v>
      </c>
      <c r="L1832" s="6" t="n">
        <f aca="false">H1832*K1832</f>
        <v>1000</v>
      </c>
      <c r="M1832" s="14" t="s">
        <v>410</v>
      </c>
    </row>
    <row r="1833" customFormat="false" ht="15" hidden="false" customHeight="false" outlineLevel="0" collapsed="false">
      <c r="A1833" s="4" t="s">
        <v>66</v>
      </c>
      <c r="B1833" s="5" t="s">
        <v>67</v>
      </c>
      <c r="C1833" s="5" t="s">
        <v>68</v>
      </c>
      <c r="D1833" s="4" t="s">
        <v>16</v>
      </c>
      <c r="E1833" s="4" t="s">
        <v>2894</v>
      </c>
      <c r="F1833" s="4" t="s">
        <v>488</v>
      </c>
      <c r="G1833" s="4" t="s">
        <v>2895</v>
      </c>
      <c r="H1833" s="12" t="n">
        <v>10</v>
      </c>
      <c r="I1833" s="4" t="s">
        <v>474</v>
      </c>
      <c r="J1833" s="4" t="s">
        <v>409</v>
      </c>
      <c r="K1833" s="13" t="n">
        <v>25000</v>
      </c>
      <c r="L1833" s="6" t="n">
        <f aca="false">H1833*K1833</f>
        <v>250000</v>
      </c>
      <c r="M1833" s="4" t="s">
        <v>371</v>
      </c>
    </row>
    <row r="1834" customFormat="false" ht="23.85" hidden="false" customHeight="false" outlineLevel="0" collapsed="false">
      <c r="A1834" s="4" t="s">
        <v>13</v>
      </c>
      <c r="B1834" s="5" t="s">
        <v>14</v>
      </c>
      <c r="C1834" s="5" t="s">
        <v>15</v>
      </c>
      <c r="D1834" s="4" t="s">
        <v>16</v>
      </c>
      <c r="E1834" s="4" t="s">
        <v>2163</v>
      </c>
      <c r="F1834" s="4" t="s">
        <v>470</v>
      </c>
      <c r="G1834" s="4" t="s">
        <v>2164</v>
      </c>
      <c r="H1834" s="12" t="n">
        <v>1</v>
      </c>
      <c r="I1834" s="4" t="s">
        <v>408</v>
      </c>
      <c r="J1834" s="4" t="s">
        <v>409</v>
      </c>
      <c r="K1834" s="13" t="n">
        <v>35000</v>
      </c>
      <c r="L1834" s="6" t="n">
        <f aca="false">H1834*K1834</f>
        <v>35000</v>
      </c>
      <c r="M1834" s="14" t="s">
        <v>410</v>
      </c>
    </row>
    <row r="1835" customFormat="false" ht="23.85" hidden="false" customHeight="false" outlineLevel="0" collapsed="false">
      <c r="A1835" s="4" t="s">
        <v>13</v>
      </c>
      <c r="B1835" s="5" t="s">
        <v>14</v>
      </c>
      <c r="C1835" s="5" t="s">
        <v>15</v>
      </c>
      <c r="D1835" s="4" t="s">
        <v>16</v>
      </c>
      <c r="E1835" s="4" t="s">
        <v>2896</v>
      </c>
      <c r="F1835" s="4" t="s">
        <v>470</v>
      </c>
      <c r="G1835" s="4" t="s">
        <v>2897</v>
      </c>
      <c r="H1835" s="12" t="n">
        <v>1</v>
      </c>
      <c r="I1835" s="4" t="s">
        <v>408</v>
      </c>
      <c r="J1835" s="4" t="s">
        <v>416</v>
      </c>
      <c r="K1835" s="13" t="n">
        <v>45000</v>
      </c>
      <c r="L1835" s="6" t="n">
        <f aca="false">H1835*K1835</f>
        <v>45000</v>
      </c>
      <c r="M1835" s="4" t="s">
        <v>371</v>
      </c>
    </row>
    <row r="1836" customFormat="false" ht="23.85" hidden="false" customHeight="false" outlineLevel="0" collapsed="false">
      <c r="A1836" s="4" t="s">
        <v>13</v>
      </c>
      <c r="B1836" s="5" t="s">
        <v>14</v>
      </c>
      <c r="C1836" s="5" t="s">
        <v>15</v>
      </c>
      <c r="D1836" s="4" t="s">
        <v>16</v>
      </c>
      <c r="E1836" s="4" t="s">
        <v>2898</v>
      </c>
      <c r="F1836" s="4" t="s">
        <v>470</v>
      </c>
      <c r="G1836" s="4" t="s">
        <v>2899</v>
      </c>
      <c r="H1836" s="12" t="n">
        <v>1</v>
      </c>
      <c r="I1836" s="4" t="s">
        <v>408</v>
      </c>
      <c r="J1836" s="4" t="s">
        <v>543</v>
      </c>
      <c r="K1836" s="13" t="n">
        <v>12000</v>
      </c>
      <c r="L1836" s="6" t="n">
        <f aca="false">H1836*K1836</f>
        <v>12000</v>
      </c>
      <c r="M1836" s="4" t="s">
        <v>371</v>
      </c>
    </row>
    <row r="1837" customFormat="false" ht="23.85" hidden="false" customHeight="false" outlineLevel="0" collapsed="false">
      <c r="A1837" s="4" t="s">
        <v>13</v>
      </c>
      <c r="B1837" s="5" t="s">
        <v>14</v>
      </c>
      <c r="C1837" s="5" t="s">
        <v>15</v>
      </c>
      <c r="D1837" s="4" t="s">
        <v>16</v>
      </c>
      <c r="E1837" s="4" t="s">
        <v>1701</v>
      </c>
      <c r="F1837" s="4" t="s">
        <v>470</v>
      </c>
      <c r="G1837" s="4" t="s">
        <v>1702</v>
      </c>
      <c r="H1837" s="12" t="n">
        <v>1</v>
      </c>
      <c r="I1837" s="4" t="s">
        <v>408</v>
      </c>
      <c r="J1837" s="4" t="s">
        <v>416</v>
      </c>
      <c r="K1837" s="13" t="n">
        <v>2500</v>
      </c>
      <c r="L1837" s="6" t="n">
        <f aca="false">H1837*K1837</f>
        <v>2500</v>
      </c>
      <c r="M1837" s="4" t="s">
        <v>371</v>
      </c>
    </row>
    <row r="1838" customFormat="false" ht="15" hidden="false" customHeight="false" outlineLevel="0" collapsed="false">
      <c r="A1838" s="4" t="s">
        <v>13</v>
      </c>
      <c r="B1838" s="5" t="s">
        <v>18</v>
      </c>
      <c r="C1838" s="5" t="s">
        <v>19</v>
      </c>
      <c r="D1838" s="4" t="s">
        <v>16</v>
      </c>
      <c r="E1838" s="4" t="s">
        <v>2900</v>
      </c>
      <c r="F1838" s="4" t="s">
        <v>406</v>
      </c>
      <c r="G1838" s="4" t="s">
        <v>2901</v>
      </c>
      <c r="H1838" s="12" t="n">
        <v>1</v>
      </c>
      <c r="I1838" s="4" t="s">
        <v>408</v>
      </c>
      <c r="J1838" s="4" t="s">
        <v>416</v>
      </c>
      <c r="K1838" s="13" t="n">
        <v>1800</v>
      </c>
      <c r="L1838" s="6" t="n">
        <f aca="false">H1838*K1838</f>
        <v>1800</v>
      </c>
      <c r="M1838" s="14" t="s">
        <v>410</v>
      </c>
    </row>
    <row r="1839" customFormat="false" ht="15" hidden="false" customHeight="false" outlineLevel="0" collapsed="false">
      <c r="A1839" s="4" t="s">
        <v>13</v>
      </c>
      <c r="B1839" s="5" t="s">
        <v>18</v>
      </c>
      <c r="C1839" s="5" t="s">
        <v>19</v>
      </c>
      <c r="D1839" s="4" t="s">
        <v>16</v>
      </c>
      <c r="E1839" s="4" t="s">
        <v>2902</v>
      </c>
      <c r="F1839" s="4" t="s">
        <v>406</v>
      </c>
      <c r="G1839" s="4" t="s">
        <v>2903</v>
      </c>
      <c r="H1839" s="12" t="n">
        <v>1</v>
      </c>
      <c r="I1839" s="4" t="s">
        <v>408</v>
      </c>
      <c r="J1839" s="4" t="s">
        <v>416</v>
      </c>
      <c r="K1839" s="13" t="n">
        <v>1800</v>
      </c>
      <c r="L1839" s="6" t="n">
        <f aca="false">H1839*K1839</f>
        <v>1800</v>
      </c>
      <c r="M1839" s="14" t="s">
        <v>410</v>
      </c>
    </row>
    <row r="1840" customFormat="false" ht="15" hidden="false" customHeight="false" outlineLevel="0" collapsed="false">
      <c r="A1840" s="4" t="s">
        <v>13</v>
      </c>
      <c r="B1840" s="5" t="s">
        <v>18</v>
      </c>
      <c r="C1840" s="5" t="s">
        <v>19</v>
      </c>
      <c r="D1840" s="4" t="s">
        <v>16</v>
      </c>
      <c r="E1840" s="4" t="s">
        <v>2904</v>
      </c>
      <c r="F1840" s="4" t="s">
        <v>406</v>
      </c>
      <c r="G1840" s="4" t="s">
        <v>2905</v>
      </c>
      <c r="H1840" s="12" t="n">
        <v>1</v>
      </c>
      <c r="I1840" s="4" t="s">
        <v>408</v>
      </c>
      <c r="J1840" s="4" t="s">
        <v>416</v>
      </c>
      <c r="K1840" s="13" t="n">
        <v>1800</v>
      </c>
      <c r="L1840" s="6" t="n">
        <f aca="false">H1840*K1840</f>
        <v>1800</v>
      </c>
      <c r="M1840" s="14" t="s">
        <v>410</v>
      </c>
    </row>
    <row r="1841" customFormat="false" ht="15" hidden="false" customHeight="false" outlineLevel="0" collapsed="false">
      <c r="A1841" s="4" t="s">
        <v>13</v>
      </c>
      <c r="B1841" s="5" t="s">
        <v>18</v>
      </c>
      <c r="C1841" s="5" t="s">
        <v>19</v>
      </c>
      <c r="D1841" s="4" t="s">
        <v>16</v>
      </c>
      <c r="E1841" s="4" t="s">
        <v>1192</v>
      </c>
      <c r="F1841" s="4" t="s">
        <v>406</v>
      </c>
      <c r="G1841" s="4" t="s">
        <v>1193</v>
      </c>
      <c r="H1841" s="12" t="n">
        <v>1</v>
      </c>
      <c r="I1841" s="4" t="s">
        <v>408</v>
      </c>
      <c r="J1841" s="4" t="s">
        <v>416</v>
      </c>
      <c r="K1841" s="13" t="n">
        <v>450</v>
      </c>
      <c r="L1841" s="6" t="n">
        <f aca="false">H1841*K1841</f>
        <v>450</v>
      </c>
      <c r="M1841" s="14" t="s">
        <v>410</v>
      </c>
    </row>
    <row r="1842" customFormat="false" ht="15" hidden="false" customHeight="false" outlineLevel="0" collapsed="false">
      <c r="A1842" s="4" t="s">
        <v>13</v>
      </c>
      <c r="B1842" s="5" t="s">
        <v>18</v>
      </c>
      <c r="C1842" s="5" t="s">
        <v>19</v>
      </c>
      <c r="D1842" s="4" t="s">
        <v>16</v>
      </c>
      <c r="E1842" s="4" t="s">
        <v>2906</v>
      </c>
      <c r="F1842" s="4" t="s">
        <v>406</v>
      </c>
      <c r="G1842" s="4" t="s">
        <v>2907</v>
      </c>
      <c r="H1842" s="12" t="n">
        <v>1</v>
      </c>
      <c r="I1842" s="4" t="s">
        <v>408</v>
      </c>
      <c r="J1842" s="4" t="s">
        <v>409</v>
      </c>
      <c r="K1842" s="13" t="n">
        <v>450</v>
      </c>
      <c r="L1842" s="6" t="n">
        <f aca="false">H1842*K1842</f>
        <v>450</v>
      </c>
      <c r="M1842" s="14" t="s">
        <v>410</v>
      </c>
    </row>
    <row r="1843" customFormat="false" ht="15" hidden="false" customHeight="false" outlineLevel="0" collapsed="false">
      <c r="A1843" s="4" t="s">
        <v>13</v>
      </c>
      <c r="B1843" s="5" t="s">
        <v>18</v>
      </c>
      <c r="C1843" s="5" t="s">
        <v>19</v>
      </c>
      <c r="D1843" s="4" t="s">
        <v>16</v>
      </c>
      <c r="E1843" s="4" t="s">
        <v>1182</v>
      </c>
      <c r="F1843" s="4" t="s">
        <v>406</v>
      </c>
      <c r="G1843" s="4" t="s">
        <v>1183</v>
      </c>
      <c r="H1843" s="12" t="n">
        <v>1</v>
      </c>
      <c r="I1843" s="4" t="s">
        <v>408</v>
      </c>
      <c r="J1843" s="4" t="s">
        <v>409</v>
      </c>
      <c r="K1843" s="13" t="n">
        <v>350</v>
      </c>
      <c r="L1843" s="6" t="n">
        <f aca="false">H1843*K1843</f>
        <v>350</v>
      </c>
      <c r="M1843" s="14" t="s">
        <v>410</v>
      </c>
    </row>
    <row r="1844" customFormat="false" ht="15" hidden="false" customHeight="false" outlineLevel="0" collapsed="false">
      <c r="A1844" s="4" t="s">
        <v>13</v>
      </c>
      <c r="B1844" s="5" t="s">
        <v>18</v>
      </c>
      <c r="C1844" s="5" t="s">
        <v>19</v>
      </c>
      <c r="D1844" s="4" t="s">
        <v>16</v>
      </c>
      <c r="E1844" s="4" t="s">
        <v>1884</v>
      </c>
      <c r="F1844" s="4" t="s">
        <v>406</v>
      </c>
      <c r="G1844" s="4" t="s">
        <v>1604</v>
      </c>
      <c r="H1844" s="12" t="n">
        <v>1</v>
      </c>
      <c r="I1844" s="4" t="s">
        <v>408</v>
      </c>
      <c r="J1844" s="4" t="s">
        <v>416</v>
      </c>
      <c r="K1844" s="13" t="n">
        <v>1200</v>
      </c>
      <c r="L1844" s="6" t="n">
        <f aca="false">H1844*K1844</f>
        <v>1200</v>
      </c>
      <c r="M1844" s="14" t="s">
        <v>410</v>
      </c>
    </row>
    <row r="1845" customFormat="false" ht="15" hidden="false" customHeight="false" outlineLevel="0" collapsed="false">
      <c r="A1845" s="4" t="s">
        <v>13</v>
      </c>
      <c r="B1845" s="5" t="s">
        <v>18</v>
      </c>
      <c r="C1845" s="5" t="s">
        <v>19</v>
      </c>
      <c r="D1845" s="4" t="s">
        <v>16</v>
      </c>
      <c r="E1845" s="4" t="s">
        <v>1194</v>
      </c>
      <c r="F1845" s="4" t="s">
        <v>406</v>
      </c>
      <c r="G1845" s="4" t="s">
        <v>1195</v>
      </c>
      <c r="H1845" s="12" t="n">
        <v>1</v>
      </c>
      <c r="I1845" s="4" t="s">
        <v>408</v>
      </c>
      <c r="J1845" s="4" t="s">
        <v>409</v>
      </c>
      <c r="K1845" s="13" t="n">
        <v>450</v>
      </c>
      <c r="L1845" s="6" t="n">
        <f aca="false">H1845*K1845</f>
        <v>450</v>
      </c>
      <c r="M1845" s="14" t="s">
        <v>410</v>
      </c>
    </row>
    <row r="1846" customFormat="false" ht="15" hidden="false" customHeight="false" outlineLevel="0" collapsed="false">
      <c r="A1846" s="4" t="s">
        <v>13</v>
      </c>
      <c r="B1846" s="5" t="s">
        <v>18</v>
      </c>
      <c r="C1846" s="5" t="s">
        <v>19</v>
      </c>
      <c r="D1846" s="4" t="s">
        <v>16</v>
      </c>
      <c r="E1846" s="4" t="s">
        <v>2908</v>
      </c>
      <c r="F1846" s="4" t="s">
        <v>406</v>
      </c>
      <c r="G1846" s="4" t="s">
        <v>2909</v>
      </c>
      <c r="H1846" s="12" t="n">
        <v>1</v>
      </c>
      <c r="I1846" s="4" t="s">
        <v>408</v>
      </c>
      <c r="J1846" s="4" t="s">
        <v>416</v>
      </c>
      <c r="K1846" s="13" t="n">
        <v>650</v>
      </c>
      <c r="L1846" s="6" t="n">
        <f aca="false">H1846*K1846</f>
        <v>650</v>
      </c>
      <c r="M1846" s="14" t="s">
        <v>410</v>
      </c>
    </row>
    <row r="1847" customFormat="false" ht="15" hidden="false" customHeight="false" outlineLevel="0" collapsed="false">
      <c r="A1847" s="4" t="s">
        <v>13</v>
      </c>
      <c r="B1847" s="5" t="s">
        <v>18</v>
      </c>
      <c r="C1847" s="5" t="s">
        <v>19</v>
      </c>
      <c r="D1847" s="4" t="s">
        <v>16</v>
      </c>
      <c r="E1847" s="4" t="s">
        <v>2910</v>
      </c>
      <c r="F1847" s="4" t="s">
        <v>406</v>
      </c>
      <c r="G1847" s="4" t="s">
        <v>2911</v>
      </c>
      <c r="H1847" s="12" t="n">
        <v>1</v>
      </c>
      <c r="I1847" s="4" t="s">
        <v>408</v>
      </c>
      <c r="J1847" s="4" t="s">
        <v>416</v>
      </c>
      <c r="K1847" s="13" t="n">
        <v>1800</v>
      </c>
      <c r="L1847" s="6" t="n">
        <f aca="false">H1847*K1847</f>
        <v>1800</v>
      </c>
      <c r="M1847" s="14" t="s">
        <v>410</v>
      </c>
    </row>
    <row r="1848" customFormat="false" ht="15" hidden="false" customHeight="false" outlineLevel="0" collapsed="false">
      <c r="A1848" s="4" t="s">
        <v>13</v>
      </c>
      <c r="B1848" s="5" t="s">
        <v>18</v>
      </c>
      <c r="C1848" s="5" t="s">
        <v>19</v>
      </c>
      <c r="D1848" s="4" t="s">
        <v>16</v>
      </c>
      <c r="E1848" s="4" t="s">
        <v>2912</v>
      </c>
      <c r="F1848" s="4" t="s">
        <v>406</v>
      </c>
      <c r="G1848" s="4" t="s">
        <v>2913</v>
      </c>
      <c r="H1848" s="12" t="n">
        <v>1</v>
      </c>
      <c r="I1848" s="4" t="s">
        <v>408</v>
      </c>
      <c r="J1848" s="4" t="s">
        <v>416</v>
      </c>
      <c r="K1848" s="13" t="n">
        <v>1800</v>
      </c>
      <c r="L1848" s="6" t="n">
        <f aca="false">H1848*K1848</f>
        <v>1800</v>
      </c>
      <c r="M1848" s="14" t="s">
        <v>410</v>
      </c>
    </row>
    <row r="1849" customFormat="false" ht="15" hidden="false" customHeight="false" outlineLevel="0" collapsed="false">
      <c r="A1849" s="4" t="s">
        <v>13</v>
      </c>
      <c r="B1849" s="5" t="s">
        <v>18</v>
      </c>
      <c r="C1849" s="5" t="s">
        <v>19</v>
      </c>
      <c r="D1849" s="4" t="s">
        <v>16</v>
      </c>
      <c r="E1849" s="4" t="s">
        <v>2914</v>
      </c>
      <c r="F1849" s="4" t="s">
        <v>406</v>
      </c>
      <c r="G1849" s="4" t="s">
        <v>2915</v>
      </c>
      <c r="H1849" s="12" t="n">
        <v>1</v>
      </c>
      <c r="I1849" s="4" t="s">
        <v>408</v>
      </c>
      <c r="J1849" s="4" t="s">
        <v>409</v>
      </c>
      <c r="K1849" s="13" t="n">
        <v>120</v>
      </c>
      <c r="L1849" s="6" t="n">
        <f aca="false">H1849*K1849</f>
        <v>120</v>
      </c>
      <c r="M1849" s="14" t="s">
        <v>410</v>
      </c>
    </row>
    <row r="1850" customFormat="false" ht="15" hidden="false" customHeight="false" outlineLevel="0" collapsed="false">
      <c r="A1850" s="4" t="s">
        <v>13</v>
      </c>
      <c r="B1850" s="5" t="s">
        <v>18</v>
      </c>
      <c r="C1850" s="5" t="s">
        <v>19</v>
      </c>
      <c r="D1850" s="4" t="s">
        <v>16</v>
      </c>
      <c r="E1850" s="4" t="s">
        <v>1674</v>
      </c>
      <c r="F1850" s="4" t="s">
        <v>406</v>
      </c>
      <c r="G1850" s="4" t="s">
        <v>778</v>
      </c>
      <c r="H1850" s="12" t="n">
        <v>1</v>
      </c>
      <c r="I1850" s="4" t="s">
        <v>408</v>
      </c>
      <c r="J1850" s="4" t="s">
        <v>409</v>
      </c>
      <c r="K1850" s="13" t="n">
        <v>120</v>
      </c>
      <c r="L1850" s="6" t="n">
        <f aca="false">H1850*K1850</f>
        <v>120</v>
      </c>
      <c r="M1850" s="14" t="s">
        <v>410</v>
      </c>
    </row>
    <row r="1851" customFormat="false" ht="15" hidden="false" customHeight="false" outlineLevel="0" collapsed="false">
      <c r="A1851" s="4" t="s">
        <v>13</v>
      </c>
      <c r="B1851" s="5" t="s">
        <v>18</v>
      </c>
      <c r="C1851" s="5" t="s">
        <v>19</v>
      </c>
      <c r="D1851" s="4" t="s">
        <v>16</v>
      </c>
      <c r="E1851" s="4" t="s">
        <v>960</v>
      </c>
      <c r="F1851" s="4" t="s">
        <v>406</v>
      </c>
      <c r="G1851" s="4" t="s">
        <v>961</v>
      </c>
      <c r="H1851" s="12" t="n">
        <v>1</v>
      </c>
      <c r="I1851" s="4" t="s">
        <v>408</v>
      </c>
      <c r="J1851" s="4" t="s">
        <v>409</v>
      </c>
      <c r="K1851" s="13" t="n">
        <v>3500</v>
      </c>
      <c r="L1851" s="6" t="n">
        <f aca="false">H1851*K1851</f>
        <v>3500</v>
      </c>
      <c r="M1851" s="14" t="s">
        <v>410</v>
      </c>
    </row>
    <row r="1852" customFormat="false" ht="15" hidden="false" customHeight="false" outlineLevel="0" collapsed="false">
      <c r="A1852" s="4" t="s">
        <v>13</v>
      </c>
      <c r="B1852" s="5" t="s">
        <v>18</v>
      </c>
      <c r="C1852" s="5" t="s">
        <v>19</v>
      </c>
      <c r="D1852" s="4" t="s">
        <v>16</v>
      </c>
      <c r="E1852" s="4" t="s">
        <v>2916</v>
      </c>
      <c r="F1852" s="4" t="s">
        <v>406</v>
      </c>
      <c r="G1852" s="4" t="s">
        <v>2917</v>
      </c>
      <c r="H1852" s="12" t="n">
        <v>1</v>
      </c>
      <c r="I1852" s="4" t="s">
        <v>408</v>
      </c>
      <c r="J1852" s="4" t="s">
        <v>409</v>
      </c>
      <c r="K1852" s="13" t="n">
        <v>2500</v>
      </c>
      <c r="L1852" s="6" t="n">
        <f aca="false">H1852*K1852</f>
        <v>2500</v>
      </c>
      <c r="M1852" s="14" t="s">
        <v>410</v>
      </c>
    </row>
    <row r="1853" customFormat="false" ht="15" hidden="false" customHeight="false" outlineLevel="0" collapsed="false">
      <c r="A1853" s="4" t="s">
        <v>13</v>
      </c>
      <c r="B1853" s="5" t="s">
        <v>18</v>
      </c>
      <c r="C1853" s="5" t="s">
        <v>19</v>
      </c>
      <c r="D1853" s="4" t="s">
        <v>16</v>
      </c>
      <c r="E1853" s="4" t="s">
        <v>2918</v>
      </c>
      <c r="F1853" s="4" t="s">
        <v>406</v>
      </c>
      <c r="G1853" s="4" t="s">
        <v>2919</v>
      </c>
      <c r="H1853" s="12" t="n">
        <v>1</v>
      </c>
      <c r="I1853" s="4" t="s">
        <v>408</v>
      </c>
      <c r="J1853" s="4" t="s">
        <v>409</v>
      </c>
      <c r="K1853" s="13" t="n">
        <v>180</v>
      </c>
      <c r="L1853" s="6" t="n">
        <f aca="false">H1853*K1853</f>
        <v>180</v>
      </c>
      <c r="M1853" s="14" t="s">
        <v>410</v>
      </c>
    </row>
    <row r="1854" customFormat="false" ht="15" hidden="false" customHeight="false" outlineLevel="0" collapsed="false">
      <c r="A1854" s="4" t="s">
        <v>13</v>
      </c>
      <c r="B1854" s="5" t="s">
        <v>18</v>
      </c>
      <c r="C1854" s="5" t="s">
        <v>19</v>
      </c>
      <c r="D1854" s="4" t="s">
        <v>16</v>
      </c>
      <c r="E1854" s="4" t="s">
        <v>2920</v>
      </c>
      <c r="F1854" s="4" t="s">
        <v>406</v>
      </c>
      <c r="G1854" s="4" t="s">
        <v>2921</v>
      </c>
      <c r="H1854" s="12" t="n">
        <v>1</v>
      </c>
      <c r="I1854" s="4" t="s">
        <v>408</v>
      </c>
      <c r="J1854" s="4" t="s">
        <v>409</v>
      </c>
      <c r="K1854" s="13" t="n">
        <v>850</v>
      </c>
      <c r="L1854" s="6" t="n">
        <f aca="false">H1854*K1854</f>
        <v>850</v>
      </c>
      <c r="M1854" s="14" t="s">
        <v>410</v>
      </c>
    </row>
    <row r="1855" customFormat="false" ht="15" hidden="false" customHeight="false" outlineLevel="0" collapsed="false">
      <c r="A1855" s="4" t="s">
        <v>13</v>
      </c>
      <c r="B1855" s="5" t="s">
        <v>18</v>
      </c>
      <c r="C1855" s="5" t="s">
        <v>19</v>
      </c>
      <c r="D1855" s="4" t="s">
        <v>16</v>
      </c>
      <c r="E1855" s="4" t="s">
        <v>2922</v>
      </c>
      <c r="F1855" s="4" t="s">
        <v>406</v>
      </c>
      <c r="G1855" s="4" t="s">
        <v>2923</v>
      </c>
      <c r="H1855" s="12" t="n">
        <v>1</v>
      </c>
      <c r="I1855" s="4" t="s">
        <v>408</v>
      </c>
      <c r="J1855" s="4" t="s">
        <v>409</v>
      </c>
      <c r="K1855" s="13" t="n">
        <v>180</v>
      </c>
      <c r="L1855" s="6" t="n">
        <f aca="false">H1855*K1855</f>
        <v>180</v>
      </c>
      <c r="M1855" s="14" t="s">
        <v>410</v>
      </c>
    </row>
    <row r="1856" customFormat="false" ht="15" hidden="false" customHeight="false" outlineLevel="0" collapsed="false">
      <c r="A1856" s="4" t="s">
        <v>13</v>
      </c>
      <c r="B1856" s="5" t="s">
        <v>18</v>
      </c>
      <c r="C1856" s="5" t="s">
        <v>19</v>
      </c>
      <c r="D1856" s="4" t="s">
        <v>16</v>
      </c>
      <c r="E1856" s="4" t="s">
        <v>1670</v>
      </c>
      <c r="F1856" s="4" t="s">
        <v>406</v>
      </c>
      <c r="G1856" s="4" t="s">
        <v>1671</v>
      </c>
      <c r="H1856" s="12" t="n">
        <v>1</v>
      </c>
      <c r="I1856" s="4" t="s">
        <v>408</v>
      </c>
      <c r="J1856" s="4" t="s">
        <v>413</v>
      </c>
      <c r="K1856" s="13" t="n">
        <v>1200</v>
      </c>
      <c r="L1856" s="6" t="n">
        <f aca="false">H1856*K1856</f>
        <v>1200</v>
      </c>
      <c r="M1856" s="14" t="s">
        <v>410</v>
      </c>
    </row>
    <row r="1857" customFormat="false" ht="15" hidden="false" customHeight="false" outlineLevel="0" collapsed="false">
      <c r="A1857" s="4" t="s">
        <v>13</v>
      </c>
      <c r="B1857" s="5" t="s">
        <v>18</v>
      </c>
      <c r="C1857" s="5" t="s">
        <v>19</v>
      </c>
      <c r="D1857" s="4" t="s">
        <v>16</v>
      </c>
      <c r="E1857" s="4" t="s">
        <v>2924</v>
      </c>
      <c r="F1857" s="4" t="s">
        <v>406</v>
      </c>
      <c r="G1857" s="4" t="s">
        <v>2925</v>
      </c>
      <c r="H1857" s="12" t="n">
        <v>1</v>
      </c>
      <c r="I1857" s="4" t="s">
        <v>408</v>
      </c>
      <c r="J1857" s="4" t="s">
        <v>416</v>
      </c>
      <c r="K1857" s="13" t="n">
        <v>850</v>
      </c>
      <c r="L1857" s="6" t="n">
        <f aca="false">H1857*K1857</f>
        <v>850</v>
      </c>
      <c r="M1857" s="14" t="s">
        <v>410</v>
      </c>
    </row>
    <row r="1858" customFormat="false" ht="15" hidden="false" customHeight="false" outlineLevel="0" collapsed="false">
      <c r="A1858" s="4" t="s">
        <v>13</v>
      </c>
      <c r="B1858" s="5" t="s">
        <v>18</v>
      </c>
      <c r="C1858" s="5" t="s">
        <v>19</v>
      </c>
      <c r="D1858" s="4" t="s">
        <v>16</v>
      </c>
      <c r="E1858" s="4" t="s">
        <v>2926</v>
      </c>
      <c r="F1858" s="4" t="s">
        <v>406</v>
      </c>
      <c r="G1858" s="4" t="s">
        <v>2927</v>
      </c>
      <c r="H1858" s="12" t="n">
        <v>1</v>
      </c>
      <c r="I1858" s="4" t="s">
        <v>408</v>
      </c>
      <c r="J1858" s="4" t="s">
        <v>409</v>
      </c>
      <c r="K1858" s="13" t="n">
        <v>850</v>
      </c>
      <c r="L1858" s="6" t="n">
        <f aca="false">H1858*K1858</f>
        <v>850</v>
      </c>
      <c r="M1858" s="14" t="s">
        <v>410</v>
      </c>
    </row>
    <row r="1859" customFormat="false" ht="15" hidden="false" customHeight="false" outlineLevel="0" collapsed="false">
      <c r="A1859" s="4" t="s">
        <v>13</v>
      </c>
      <c r="B1859" s="5" t="s">
        <v>18</v>
      </c>
      <c r="C1859" s="5" t="s">
        <v>19</v>
      </c>
      <c r="D1859" s="4" t="s">
        <v>16</v>
      </c>
      <c r="E1859" s="4" t="s">
        <v>2515</v>
      </c>
      <c r="F1859" s="4" t="s">
        <v>406</v>
      </c>
      <c r="G1859" s="4" t="s">
        <v>2516</v>
      </c>
      <c r="H1859" s="12" t="n">
        <v>1</v>
      </c>
      <c r="I1859" s="4" t="s">
        <v>408</v>
      </c>
      <c r="J1859" s="4" t="s">
        <v>409</v>
      </c>
      <c r="K1859" s="13" t="n">
        <v>1800</v>
      </c>
      <c r="L1859" s="6" t="n">
        <f aca="false">H1859*K1859</f>
        <v>1800</v>
      </c>
      <c r="M1859" s="14" t="s">
        <v>410</v>
      </c>
    </row>
    <row r="1860" customFormat="false" ht="15" hidden="false" customHeight="false" outlineLevel="0" collapsed="false">
      <c r="A1860" s="4" t="s">
        <v>13</v>
      </c>
      <c r="B1860" s="5" t="s">
        <v>18</v>
      </c>
      <c r="C1860" s="5" t="s">
        <v>19</v>
      </c>
      <c r="D1860" s="4" t="s">
        <v>16</v>
      </c>
      <c r="E1860" s="4" t="s">
        <v>2928</v>
      </c>
      <c r="F1860" s="4" t="s">
        <v>406</v>
      </c>
      <c r="G1860" s="4" t="s">
        <v>2929</v>
      </c>
      <c r="H1860" s="12" t="n">
        <v>1</v>
      </c>
      <c r="I1860" s="4" t="s">
        <v>408</v>
      </c>
      <c r="J1860" s="4" t="s">
        <v>416</v>
      </c>
      <c r="K1860" s="13" t="n">
        <v>1200</v>
      </c>
      <c r="L1860" s="6" t="n">
        <f aca="false">H1860*K1860</f>
        <v>1200</v>
      </c>
      <c r="M1860" s="14" t="s">
        <v>410</v>
      </c>
    </row>
    <row r="1861" customFormat="false" ht="15" hidden="false" customHeight="false" outlineLevel="0" collapsed="false">
      <c r="A1861" s="4" t="s">
        <v>13</v>
      </c>
      <c r="B1861" s="5" t="s">
        <v>18</v>
      </c>
      <c r="C1861" s="5" t="s">
        <v>19</v>
      </c>
      <c r="D1861" s="4" t="s">
        <v>16</v>
      </c>
      <c r="E1861" s="4" t="s">
        <v>2930</v>
      </c>
      <c r="F1861" s="4" t="s">
        <v>406</v>
      </c>
      <c r="G1861" s="4" t="s">
        <v>2931</v>
      </c>
      <c r="H1861" s="12" t="n">
        <v>1</v>
      </c>
      <c r="I1861" s="4" t="s">
        <v>408</v>
      </c>
      <c r="J1861" s="4" t="s">
        <v>409</v>
      </c>
      <c r="K1861" s="13" t="n">
        <v>450</v>
      </c>
      <c r="L1861" s="6" t="n">
        <f aca="false">H1861*K1861</f>
        <v>450</v>
      </c>
      <c r="M1861" s="14" t="s">
        <v>410</v>
      </c>
    </row>
    <row r="1862" customFormat="false" ht="15" hidden="false" customHeight="false" outlineLevel="0" collapsed="false">
      <c r="A1862" s="4" t="s">
        <v>13</v>
      </c>
      <c r="B1862" s="5" t="s">
        <v>18</v>
      </c>
      <c r="C1862" s="5" t="s">
        <v>19</v>
      </c>
      <c r="D1862" s="4" t="s">
        <v>16</v>
      </c>
      <c r="E1862" s="4" t="s">
        <v>2932</v>
      </c>
      <c r="F1862" s="4" t="s">
        <v>406</v>
      </c>
      <c r="G1862" s="4" t="s">
        <v>2933</v>
      </c>
      <c r="H1862" s="12" t="n">
        <v>1</v>
      </c>
      <c r="I1862" s="4" t="s">
        <v>408</v>
      </c>
      <c r="J1862" s="4" t="s">
        <v>409</v>
      </c>
      <c r="K1862" s="13" t="n">
        <v>8500</v>
      </c>
      <c r="L1862" s="6" t="n">
        <f aca="false">H1862*K1862</f>
        <v>8500</v>
      </c>
      <c r="M1862" s="14" t="s">
        <v>410</v>
      </c>
    </row>
    <row r="1863" customFormat="false" ht="15" hidden="false" customHeight="false" outlineLevel="0" collapsed="false">
      <c r="A1863" s="4" t="s">
        <v>13</v>
      </c>
      <c r="B1863" s="5" t="s">
        <v>18</v>
      </c>
      <c r="C1863" s="5" t="s">
        <v>19</v>
      </c>
      <c r="D1863" s="4" t="s">
        <v>16</v>
      </c>
      <c r="E1863" s="4" t="s">
        <v>648</v>
      </c>
      <c r="F1863" s="4" t="s">
        <v>406</v>
      </c>
      <c r="G1863" s="4" t="s">
        <v>649</v>
      </c>
      <c r="H1863" s="12" t="n">
        <v>1</v>
      </c>
      <c r="I1863" s="4" t="s">
        <v>408</v>
      </c>
      <c r="J1863" s="4" t="s">
        <v>409</v>
      </c>
      <c r="K1863" s="13" t="n">
        <v>180</v>
      </c>
      <c r="L1863" s="6" t="n">
        <f aca="false">H1863*K1863</f>
        <v>180</v>
      </c>
      <c r="M1863" s="14" t="s">
        <v>410</v>
      </c>
    </row>
    <row r="1864" customFormat="false" ht="15" hidden="false" customHeight="false" outlineLevel="0" collapsed="false">
      <c r="A1864" s="4" t="s">
        <v>13</v>
      </c>
      <c r="B1864" s="5" t="s">
        <v>18</v>
      </c>
      <c r="C1864" s="5" t="s">
        <v>19</v>
      </c>
      <c r="D1864" s="4" t="s">
        <v>16</v>
      </c>
      <c r="E1864" s="4" t="s">
        <v>604</v>
      </c>
      <c r="F1864" s="4" t="s">
        <v>406</v>
      </c>
      <c r="G1864" s="4" t="s">
        <v>605</v>
      </c>
      <c r="H1864" s="12" t="n">
        <v>1</v>
      </c>
      <c r="I1864" s="4" t="s">
        <v>408</v>
      </c>
      <c r="J1864" s="4" t="s">
        <v>409</v>
      </c>
      <c r="K1864" s="13" t="n">
        <v>650</v>
      </c>
      <c r="L1864" s="6" t="n">
        <f aca="false">H1864*K1864</f>
        <v>650</v>
      </c>
      <c r="M1864" s="14" t="s">
        <v>410</v>
      </c>
    </row>
    <row r="1865" customFormat="false" ht="15" hidden="false" customHeight="false" outlineLevel="0" collapsed="false">
      <c r="A1865" s="4" t="s">
        <v>13</v>
      </c>
      <c r="B1865" s="5" t="s">
        <v>18</v>
      </c>
      <c r="C1865" s="5" t="s">
        <v>19</v>
      </c>
      <c r="D1865" s="4" t="s">
        <v>16</v>
      </c>
      <c r="E1865" s="4" t="s">
        <v>2934</v>
      </c>
      <c r="F1865" s="4" t="s">
        <v>406</v>
      </c>
      <c r="G1865" s="4" t="s">
        <v>2935</v>
      </c>
      <c r="H1865" s="12" t="n">
        <v>1</v>
      </c>
      <c r="I1865" s="4" t="s">
        <v>408</v>
      </c>
      <c r="J1865" s="4" t="s">
        <v>409</v>
      </c>
      <c r="K1865" s="13" t="n">
        <v>180</v>
      </c>
      <c r="L1865" s="6" t="n">
        <f aca="false">H1865*K1865</f>
        <v>180</v>
      </c>
      <c r="M1865" s="14" t="s">
        <v>410</v>
      </c>
    </row>
    <row r="1866" customFormat="false" ht="15" hidden="false" customHeight="false" outlineLevel="0" collapsed="false">
      <c r="A1866" s="4" t="s">
        <v>13</v>
      </c>
      <c r="B1866" s="5" t="s">
        <v>18</v>
      </c>
      <c r="C1866" s="5" t="s">
        <v>19</v>
      </c>
      <c r="D1866" s="4" t="s">
        <v>16</v>
      </c>
      <c r="E1866" s="4" t="s">
        <v>618</v>
      </c>
      <c r="F1866" s="4" t="s">
        <v>406</v>
      </c>
      <c r="G1866" s="4" t="s">
        <v>619</v>
      </c>
      <c r="H1866" s="12" t="n">
        <v>1</v>
      </c>
      <c r="I1866" s="4" t="s">
        <v>408</v>
      </c>
      <c r="J1866" s="4" t="s">
        <v>409</v>
      </c>
      <c r="K1866" s="13" t="n">
        <v>850</v>
      </c>
      <c r="L1866" s="6" t="n">
        <f aca="false">H1866*K1866</f>
        <v>850</v>
      </c>
      <c r="M1866" s="14" t="s">
        <v>410</v>
      </c>
    </row>
    <row r="1867" customFormat="false" ht="15" hidden="false" customHeight="false" outlineLevel="0" collapsed="false">
      <c r="A1867" s="4" t="s">
        <v>13</v>
      </c>
      <c r="B1867" s="5" t="s">
        <v>18</v>
      </c>
      <c r="C1867" s="5" t="s">
        <v>19</v>
      </c>
      <c r="D1867" s="4" t="s">
        <v>16</v>
      </c>
      <c r="E1867" s="4" t="s">
        <v>1542</v>
      </c>
      <c r="F1867" s="4" t="s">
        <v>406</v>
      </c>
      <c r="G1867" s="4" t="s">
        <v>1543</v>
      </c>
      <c r="H1867" s="12" t="n">
        <v>1</v>
      </c>
      <c r="I1867" s="4" t="s">
        <v>408</v>
      </c>
      <c r="J1867" s="4" t="s">
        <v>409</v>
      </c>
      <c r="K1867" s="13" t="n">
        <v>250</v>
      </c>
      <c r="L1867" s="6" t="n">
        <f aca="false">H1867*K1867</f>
        <v>250</v>
      </c>
      <c r="M1867" s="4" t="s">
        <v>371</v>
      </c>
    </row>
    <row r="1868" customFormat="false" ht="15" hidden="false" customHeight="false" outlineLevel="0" collapsed="false">
      <c r="A1868" s="4" t="s">
        <v>13</v>
      </c>
      <c r="B1868" s="5" t="s">
        <v>18</v>
      </c>
      <c r="C1868" s="5" t="s">
        <v>19</v>
      </c>
      <c r="D1868" s="4" t="s">
        <v>16</v>
      </c>
      <c r="E1868" s="4" t="s">
        <v>2936</v>
      </c>
      <c r="F1868" s="4" t="s">
        <v>406</v>
      </c>
      <c r="G1868" s="4" t="s">
        <v>1559</v>
      </c>
      <c r="H1868" s="12" t="n">
        <v>1</v>
      </c>
      <c r="I1868" s="4" t="s">
        <v>408</v>
      </c>
      <c r="J1868" s="4" t="s">
        <v>409</v>
      </c>
      <c r="K1868" s="13" t="n">
        <v>850</v>
      </c>
      <c r="L1868" s="6" t="n">
        <f aca="false">H1868*K1868</f>
        <v>850</v>
      </c>
      <c r="M1868" s="14" t="s">
        <v>410</v>
      </c>
    </row>
    <row r="1869" customFormat="false" ht="15" hidden="false" customHeight="false" outlineLevel="0" collapsed="false">
      <c r="A1869" s="4" t="s">
        <v>13</v>
      </c>
      <c r="B1869" s="5" t="s">
        <v>18</v>
      </c>
      <c r="C1869" s="5" t="s">
        <v>19</v>
      </c>
      <c r="D1869" s="4" t="s">
        <v>16</v>
      </c>
      <c r="E1869" s="4" t="s">
        <v>2937</v>
      </c>
      <c r="F1869" s="4" t="s">
        <v>406</v>
      </c>
      <c r="G1869" s="4" t="s">
        <v>2938</v>
      </c>
      <c r="H1869" s="12" t="n">
        <v>1</v>
      </c>
      <c r="I1869" s="4" t="s">
        <v>408</v>
      </c>
      <c r="J1869" s="4" t="s">
        <v>409</v>
      </c>
      <c r="K1869" s="13" t="n">
        <v>850</v>
      </c>
      <c r="L1869" s="6" t="n">
        <f aca="false">H1869*K1869</f>
        <v>850</v>
      </c>
      <c r="M1869" s="14" t="s">
        <v>410</v>
      </c>
    </row>
    <row r="1870" customFormat="false" ht="15" hidden="false" customHeight="false" outlineLevel="0" collapsed="false">
      <c r="A1870" s="4" t="s">
        <v>13</v>
      </c>
      <c r="B1870" s="5" t="s">
        <v>18</v>
      </c>
      <c r="C1870" s="5" t="s">
        <v>19</v>
      </c>
      <c r="D1870" s="4" t="s">
        <v>16</v>
      </c>
      <c r="E1870" s="4" t="s">
        <v>1210</v>
      </c>
      <c r="F1870" s="4" t="s">
        <v>406</v>
      </c>
      <c r="G1870" s="4" t="s">
        <v>1211</v>
      </c>
      <c r="H1870" s="12" t="n">
        <v>1</v>
      </c>
      <c r="I1870" s="4" t="s">
        <v>408</v>
      </c>
      <c r="J1870" s="4" t="s">
        <v>409</v>
      </c>
      <c r="K1870" s="13" t="n">
        <v>3500</v>
      </c>
      <c r="L1870" s="6" t="n">
        <f aca="false">H1870*K1870</f>
        <v>3500</v>
      </c>
      <c r="M1870" s="14" t="s">
        <v>410</v>
      </c>
    </row>
    <row r="1871" customFormat="false" ht="15" hidden="false" customHeight="false" outlineLevel="0" collapsed="false">
      <c r="A1871" s="4" t="s">
        <v>13</v>
      </c>
      <c r="B1871" s="5" t="s">
        <v>18</v>
      </c>
      <c r="C1871" s="5" t="s">
        <v>19</v>
      </c>
      <c r="D1871" s="4" t="s">
        <v>16</v>
      </c>
      <c r="E1871" s="4" t="s">
        <v>1208</v>
      </c>
      <c r="F1871" s="4" t="s">
        <v>406</v>
      </c>
      <c r="G1871" s="4" t="s">
        <v>1209</v>
      </c>
      <c r="H1871" s="12" t="n">
        <v>1</v>
      </c>
      <c r="I1871" s="4" t="s">
        <v>408</v>
      </c>
      <c r="J1871" s="4" t="s">
        <v>409</v>
      </c>
      <c r="K1871" s="13" t="n">
        <v>850</v>
      </c>
      <c r="L1871" s="6" t="n">
        <f aca="false">H1871*K1871</f>
        <v>850</v>
      </c>
      <c r="M1871" s="14" t="s">
        <v>410</v>
      </c>
    </row>
    <row r="1872" customFormat="false" ht="15" hidden="false" customHeight="false" outlineLevel="0" collapsed="false">
      <c r="A1872" s="4" t="s">
        <v>13</v>
      </c>
      <c r="B1872" s="5" t="s">
        <v>18</v>
      </c>
      <c r="C1872" s="5" t="s">
        <v>19</v>
      </c>
      <c r="D1872" s="4" t="s">
        <v>16</v>
      </c>
      <c r="E1872" s="4" t="s">
        <v>2939</v>
      </c>
      <c r="F1872" s="4" t="s">
        <v>406</v>
      </c>
      <c r="G1872" s="4" t="s">
        <v>1967</v>
      </c>
      <c r="H1872" s="12" t="n">
        <v>1</v>
      </c>
      <c r="I1872" s="4" t="s">
        <v>408</v>
      </c>
      <c r="J1872" s="4" t="s">
        <v>409</v>
      </c>
      <c r="K1872" s="13" t="n">
        <v>650</v>
      </c>
      <c r="L1872" s="6" t="n">
        <f aca="false">H1872*K1872</f>
        <v>650</v>
      </c>
      <c r="M1872" s="14" t="s">
        <v>410</v>
      </c>
    </row>
    <row r="1873" customFormat="false" ht="15" hidden="false" customHeight="false" outlineLevel="0" collapsed="false">
      <c r="A1873" s="4" t="s">
        <v>13</v>
      </c>
      <c r="B1873" s="5" t="s">
        <v>18</v>
      </c>
      <c r="C1873" s="5" t="s">
        <v>19</v>
      </c>
      <c r="D1873" s="4" t="s">
        <v>16</v>
      </c>
      <c r="E1873" s="4" t="s">
        <v>2940</v>
      </c>
      <c r="F1873" s="4" t="s">
        <v>406</v>
      </c>
      <c r="G1873" s="4" t="s">
        <v>2863</v>
      </c>
      <c r="H1873" s="12" t="n">
        <v>1</v>
      </c>
      <c r="I1873" s="4" t="s">
        <v>408</v>
      </c>
      <c r="J1873" s="4" t="s">
        <v>409</v>
      </c>
      <c r="K1873" s="13" t="n">
        <v>2500</v>
      </c>
      <c r="L1873" s="6" t="n">
        <f aca="false">H1873*K1873</f>
        <v>2500</v>
      </c>
      <c r="M1873" s="14" t="s">
        <v>410</v>
      </c>
    </row>
    <row r="1874" customFormat="false" ht="15" hidden="false" customHeight="false" outlineLevel="0" collapsed="false">
      <c r="A1874" s="4" t="s">
        <v>13</v>
      </c>
      <c r="B1874" s="5" t="s">
        <v>18</v>
      </c>
      <c r="C1874" s="5" t="s">
        <v>19</v>
      </c>
      <c r="D1874" s="4" t="s">
        <v>16</v>
      </c>
      <c r="E1874" s="4" t="s">
        <v>672</v>
      </c>
      <c r="F1874" s="4" t="s">
        <v>406</v>
      </c>
      <c r="G1874" s="4" t="s">
        <v>673</v>
      </c>
      <c r="H1874" s="12" t="n">
        <v>1</v>
      </c>
      <c r="I1874" s="4" t="s">
        <v>408</v>
      </c>
      <c r="J1874" s="4" t="s">
        <v>409</v>
      </c>
      <c r="K1874" s="13" t="n">
        <v>450</v>
      </c>
      <c r="L1874" s="6" t="n">
        <f aca="false">H1874*K1874</f>
        <v>450</v>
      </c>
      <c r="M1874" s="14" t="s">
        <v>410</v>
      </c>
    </row>
    <row r="1875" customFormat="false" ht="15" hidden="false" customHeight="false" outlineLevel="0" collapsed="false">
      <c r="A1875" s="4" t="s">
        <v>13</v>
      </c>
      <c r="B1875" s="5" t="s">
        <v>18</v>
      </c>
      <c r="C1875" s="5" t="s">
        <v>19</v>
      </c>
      <c r="D1875" s="4" t="s">
        <v>16</v>
      </c>
      <c r="E1875" s="4" t="s">
        <v>1893</v>
      </c>
      <c r="F1875" s="4" t="s">
        <v>406</v>
      </c>
      <c r="G1875" s="4" t="s">
        <v>1894</v>
      </c>
      <c r="H1875" s="12" t="n">
        <v>1</v>
      </c>
      <c r="I1875" s="4" t="s">
        <v>408</v>
      </c>
      <c r="J1875" s="4" t="s">
        <v>409</v>
      </c>
      <c r="K1875" s="13" t="n">
        <v>1800</v>
      </c>
      <c r="L1875" s="6" t="n">
        <f aca="false">H1875*K1875</f>
        <v>1800</v>
      </c>
      <c r="M1875" s="14" t="s">
        <v>410</v>
      </c>
    </row>
    <row r="1876" customFormat="false" ht="15" hidden="false" customHeight="false" outlineLevel="0" collapsed="false">
      <c r="A1876" s="4" t="s">
        <v>13</v>
      </c>
      <c r="B1876" s="5" t="s">
        <v>18</v>
      </c>
      <c r="C1876" s="5" t="s">
        <v>19</v>
      </c>
      <c r="D1876" s="4" t="s">
        <v>16</v>
      </c>
      <c r="E1876" s="4" t="s">
        <v>1006</v>
      </c>
      <c r="F1876" s="4" t="s">
        <v>406</v>
      </c>
      <c r="G1876" s="4" t="s">
        <v>1007</v>
      </c>
      <c r="H1876" s="12" t="n">
        <v>1</v>
      </c>
      <c r="I1876" s="4" t="s">
        <v>408</v>
      </c>
      <c r="J1876" s="4" t="s">
        <v>409</v>
      </c>
      <c r="K1876" s="13" t="n">
        <v>450</v>
      </c>
      <c r="L1876" s="6" t="n">
        <f aca="false">H1876*K1876</f>
        <v>450</v>
      </c>
      <c r="M1876" s="14" t="s">
        <v>410</v>
      </c>
    </row>
    <row r="1877" customFormat="false" ht="15" hidden="false" customHeight="false" outlineLevel="0" collapsed="false">
      <c r="A1877" s="4" t="s">
        <v>13</v>
      </c>
      <c r="B1877" s="5" t="s">
        <v>18</v>
      </c>
      <c r="C1877" s="5" t="s">
        <v>19</v>
      </c>
      <c r="D1877" s="4" t="s">
        <v>16</v>
      </c>
      <c r="E1877" s="4" t="s">
        <v>2941</v>
      </c>
      <c r="F1877" s="4" t="s">
        <v>406</v>
      </c>
      <c r="G1877" s="4" t="s">
        <v>2942</v>
      </c>
      <c r="H1877" s="12" t="n">
        <v>1</v>
      </c>
      <c r="I1877" s="4" t="s">
        <v>408</v>
      </c>
      <c r="J1877" s="4" t="s">
        <v>409</v>
      </c>
      <c r="K1877" s="13" t="n">
        <v>4500</v>
      </c>
      <c r="L1877" s="6" t="n">
        <f aca="false">H1877*K1877</f>
        <v>4500</v>
      </c>
      <c r="M1877" s="14" t="s">
        <v>410</v>
      </c>
    </row>
    <row r="1878" customFormat="false" ht="15" hidden="false" customHeight="false" outlineLevel="0" collapsed="false">
      <c r="A1878" s="4" t="s">
        <v>13</v>
      </c>
      <c r="B1878" s="5" t="s">
        <v>18</v>
      </c>
      <c r="C1878" s="5" t="s">
        <v>19</v>
      </c>
      <c r="D1878" s="4" t="s">
        <v>16</v>
      </c>
      <c r="E1878" s="4" t="s">
        <v>2547</v>
      </c>
      <c r="F1878" s="4" t="s">
        <v>406</v>
      </c>
      <c r="G1878" s="4" t="s">
        <v>2548</v>
      </c>
      <c r="H1878" s="12" t="n">
        <v>1</v>
      </c>
      <c r="I1878" s="4" t="s">
        <v>408</v>
      </c>
      <c r="J1878" s="4" t="s">
        <v>409</v>
      </c>
      <c r="K1878" s="13" t="n">
        <v>1800</v>
      </c>
      <c r="L1878" s="6" t="n">
        <f aca="false">H1878*K1878</f>
        <v>1800</v>
      </c>
      <c r="M1878" s="14" t="s">
        <v>410</v>
      </c>
    </row>
    <row r="1879" customFormat="false" ht="15" hidden="false" customHeight="false" outlineLevel="0" collapsed="false">
      <c r="A1879" s="4" t="s">
        <v>13</v>
      </c>
      <c r="B1879" s="5" t="s">
        <v>18</v>
      </c>
      <c r="C1879" s="5" t="s">
        <v>19</v>
      </c>
      <c r="D1879" s="4" t="s">
        <v>16</v>
      </c>
      <c r="E1879" s="4" t="s">
        <v>2943</v>
      </c>
      <c r="F1879" s="4" t="s">
        <v>406</v>
      </c>
      <c r="G1879" s="4" t="s">
        <v>2944</v>
      </c>
      <c r="H1879" s="12" t="n">
        <v>1</v>
      </c>
      <c r="I1879" s="4" t="s">
        <v>408</v>
      </c>
      <c r="J1879" s="4" t="s">
        <v>409</v>
      </c>
      <c r="K1879" s="13" t="n">
        <v>3500</v>
      </c>
      <c r="L1879" s="6" t="n">
        <f aca="false">H1879*K1879</f>
        <v>3500</v>
      </c>
      <c r="M1879" s="14" t="s">
        <v>410</v>
      </c>
    </row>
    <row r="1880" customFormat="false" ht="15" hidden="false" customHeight="false" outlineLevel="0" collapsed="false">
      <c r="A1880" s="4" t="s">
        <v>13</v>
      </c>
      <c r="B1880" s="5" t="s">
        <v>18</v>
      </c>
      <c r="C1880" s="5" t="s">
        <v>19</v>
      </c>
      <c r="D1880" s="4" t="s">
        <v>16</v>
      </c>
      <c r="E1880" s="4" t="s">
        <v>2945</v>
      </c>
      <c r="F1880" s="4" t="s">
        <v>406</v>
      </c>
      <c r="G1880" s="4" t="s">
        <v>2946</v>
      </c>
      <c r="H1880" s="12" t="n">
        <v>1</v>
      </c>
      <c r="I1880" s="4" t="s">
        <v>408</v>
      </c>
      <c r="J1880" s="4" t="s">
        <v>409</v>
      </c>
      <c r="K1880" s="13" t="n">
        <v>1800</v>
      </c>
      <c r="L1880" s="6" t="n">
        <f aca="false">H1880*K1880</f>
        <v>1800</v>
      </c>
      <c r="M1880" s="14" t="s">
        <v>410</v>
      </c>
    </row>
    <row r="1881" customFormat="false" ht="15" hidden="false" customHeight="false" outlineLevel="0" collapsed="false">
      <c r="A1881" s="4" t="s">
        <v>13</v>
      </c>
      <c r="B1881" s="5" t="s">
        <v>18</v>
      </c>
      <c r="C1881" s="5" t="s">
        <v>19</v>
      </c>
      <c r="D1881" s="4" t="s">
        <v>16</v>
      </c>
      <c r="E1881" s="4" t="s">
        <v>590</v>
      </c>
      <c r="F1881" s="4" t="s">
        <v>406</v>
      </c>
      <c r="G1881" s="4" t="s">
        <v>591</v>
      </c>
      <c r="H1881" s="12" t="n">
        <v>1</v>
      </c>
      <c r="I1881" s="4" t="s">
        <v>408</v>
      </c>
      <c r="J1881" s="4" t="s">
        <v>543</v>
      </c>
      <c r="K1881" s="13" t="n">
        <v>4500</v>
      </c>
      <c r="L1881" s="6" t="n">
        <f aca="false">H1881*K1881</f>
        <v>4500</v>
      </c>
      <c r="M1881" s="14" t="s">
        <v>410</v>
      </c>
    </row>
    <row r="1882" customFormat="false" ht="15" hidden="false" customHeight="false" outlineLevel="0" collapsed="false">
      <c r="A1882" s="4" t="s">
        <v>13</v>
      </c>
      <c r="B1882" s="5" t="s">
        <v>18</v>
      </c>
      <c r="C1882" s="5" t="s">
        <v>19</v>
      </c>
      <c r="D1882" s="4" t="s">
        <v>16</v>
      </c>
      <c r="E1882" s="4" t="s">
        <v>2947</v>
      </c>
      <c r="F1882" s="4" t="s">
        <v>406</v>
      </c>
      <c r="G1882" s="4" t="s">
        <v>2948</v>
      </c>
      <c r="H1882" s="12" t="n">
        <v>1</v>
      </c>
      <c r="I1882" s="4" t="s">
        <v>408</v>
      </c>
      <c r="J1882" s="4" t="s">
        <v>409</v>
      </c>
      <c r="K1882" s="13" t="n">
        <v>85000</v>
      </c>
      <c r="L1882" s="6" t="n">
        <f aca="false">H1882*K1882</f>
        <v>85000</v>
      </c>
      <c r="M1882" s="14" t="s">
        <v>410</v>
      </c>
    </row>
    <row r="1883" customFormat="false" ht="15" hidden="false" customHeight="false" outlineLevel="0" collapsed="false">
      <c r="A1883" s="4" t="s">
        <v>13</v>
      </c>
      <c r="B1883" s="5" t="s">
        <v>18</v>
      </c>
      <c r="C1883" s="5" t="s">
        <v>19</v>
      </c>
      <c r="D1883" s="4" t="s">
        <v>16</v>
      </c>
      <c r="E1883" s="4" t="s">
        <v>2949</v>
      </c>
      <c r="F1883" s="4" t="s">
        <v>406</v>
      </c>
      <c r="G1883" s="4" t="s">
        <v>2950</v>
      </c>
      <c r="H1883" s="12" t="n">
        <v>1</v>
      </c>
      <c r="I1883" s="4" t="s">
        <v>408</v>
      </c>
      <c r="J1883" s="4" t="s">
        <v>409</v>
      </c>
      <c r="K1883" s="13" t="n">
        <v>85000</v>
      </c>
      <c r="L1883" s="6" t="n">
        <f aca="false">H1883*K1883</f>
        <v>85000</v>
      </c>
      <c r="M1883" s="14" t="s">
        <v>410</v>
      </c>
    </row>
    <row r="1884" customFormat="false" ht="15" hidden="false" customHeight="false" outlineLevel="0" collapsed="false">
      <c r="A1884" s="4" t="s">
        <v>13</v>
      </c>
      <c r="B1884" s="5" t="s">
        <v>18</v>
      </c>
      <c r="C1884" s="5" t="s">
        <v>19</v>
      </c>
      <c r="D1884" s="4" t="s">
        <v>16</v>
      </c>
      <c r="E1884" s="4" t="s">
        <v>688</v>
      </c>
      <c r="F1884" s="4" t="s">
        <v>406</v>
      </c>
      <c r="G1884" s="4" t="s">
        <v>689</v>
      </c>
      <c r="H1884" s="12" t="n">
        <v>1</v>
      </c>
      <c r="I1884" s="4" t="s">
        <v>408</v>
      </c>
      <c r="J1884" s="4" t="s">
        <v>409</v>
      </c>
      <c r="K1884" s="13" t="n">
        <v>18000</v>
      </c>
      <c r="L1884" s="6" t="n">
        <f aca="false">H1884*K1884</f>
        <v>18000</v>
      </c>
      <c r="M1884" s="14" t="s">
        <v>410</v>
      </c>
    </row>
    <row r="1885" customFormat="false" ht="15" hidden="false" customHeight="false" outlineLevel="0" collapsed="false">
      <c r="A1885" s="4" t="s">
        <v>13</v>
      </c>
      <c r="B1885" s="5" t="s">
        <v>18</v>
      </c>
      <c r="C1885" s="5" t="s">
        <v>19</v>
      </c>
      <c r="D1885" s="4" t="s">
        <v>16</v>
      </c>
      <c r="E1885" s="4" t="s">
        <v>2951</v>
      </c>
      <c r="F1885" s="4" t="s">
        <v>406</v>
      </c>
      <c r="G1885" s="4" t="s">
        <v>577</v>
      </c>
      <c r="H1885" s="12" t="n">
        <v>1</v>
      </c>
      <c r="I1885" s="4" t="s">
        <v>408</v>
      </c>
      <c r="J1885" s="4" t="s">
        <v>543</v>
      </c>
      <c r="K1885" s="13" t="n">
        <v>8500</v>
      </c>
      <c r="L1885" s="6" t="n">
        <f aca="false">H1885*K1885</f>
        <v>8500</v>
      </c>
      <c r="M1885" s="14" t="s">
        <v>410</v>
      </c>
    </row>
    <row r="1886" customFormat="false" ht="15" hidden="false" customHeight="false" outlineLevel="0" collapsed="false">
      <c r="A1886" s="4" t="s">
        <v>13</v>
      </c>
      <c r="B1886" s="5" t="s">
        <v>18</v>
      </c>
      <c r="C1886" s="5" t="s">
        <v>19</v>
      </c>
      <c r="D1886" s="4" t="s">
        <v>16</v>
      </c>
      <c r="E1886" s="4" t="s">
        <v>2952</v>
      </c>
      <c r="F1886" s="4" t="s">
        <v>406</v>
      </c>
      <c r="G1886" s="4" t="s">
        <v>2953</v>
      </c>
      <c r="H1886" s="12" t="n">
        <v>1</v>
      </c>
      <c r="I1886" s="4" t="s">
        <v>408</v>
      </c>
      <c r="J1886" s="4" t="s">
        <v>409</v>
      </c>
      <c r="K1886" s="13" t="n">
        <v>85000</v>
      </c>
      <c r="L1886" s="6" t="n">
        <f aca="false">H1886*K1886</f>
        <v>85000</v>
      </c>
      <c r="M1886" s="14" t="s">
        <v>410</v>
      </c>
    </row>
    <row r="1887" customFormat="false" ht="15" hidden="false" customHeight="false" outlineLevel="0" collapsed="false">
      <c r="A1887" s="4" t="s">
        <v>13</v>
      </c>
      <c r="B1887" s="5" t="s">
        <v>18</v>
      </c>
      <c r="C1887" s="5" t="s">
        <v>19</v>
      </c>
      <c r="D1887" s="4" t="s">
        <v>16</v>
      </c>
      <c r="E1887" s="4" t="s">
        <v>2954</v>
      </c>
      <c r="F1887" s="4" t="s">
        <v>406</v>
      </c>
      <c r="G1887" s="4" t="s">
        <v>2955</v>
      </c>
      <c r="H1887" s="12" t="n">
        <v>1</v>
      </c>
      <c r="I1887" s="4" t="s">
        <v>408</v>
      </c>
      <c r="J1887" s="4" t="s">
        <v>409</v>
      </c>
      <c r="K1887" s="13" t="n">
        <v>85000</v>
      </c>
      <c r="L1887" s="6" t="n">
        <f aca="false">H1887*K1887</f>
        <v>85000</v>
      </c>
      <c r="M1887" s="14" t="s">
        <v>410</v>
      </c>
    </row>
    <row r="1888" customFormat="false" ht="15" hidden="false" customHeight="false" outlineLevel="0" collapsed="false">
      <c r="A1888" s="4" t="s">
        <v>13</v>
      </c>
      <c r="B1888" s="5" t="s">
        <v>18</v>
      </c>
      <c r="C1888" s="5" t="s">
        <v>19</v>
      </c>
      <c r="D1888" s="4" t="s">
        <v>16</v>
      </c>
      <c r="E1888" s="4" t="s">
        <v>694</v>
      </c>
      <c r="F1888" s="4" t="s">
        <v>406</v>
      </c>
      <c r="G1888" s="4" t="s">
        <v>695</v>
      </c>
      <c r="H1888" s="12" t="n">
        <v>1</v>
      </c>
      <c r="I1888" s="4" t="s">
        <v>408</v>
      </c>
      <c r="J1888" s="4" t="s">
        <v>409</v>
      </c>
      <c r="K1888" s="13" t="n">
        <v>180000</v>
      </c>
      <c r="L1888" s="6" t="n">
        <f aca="false">H1888*K1888</f>
        <v>180000</v>
      </c>
      <c r="M1888" s="14" t="s">
        <v>410</v>
      </c>
    </row>
    <row r="1889" customFormat="false" ht="15" hidden="false" customHeight="false" outlineLevel="0" collapsed="false">
      <c r="A1889" s="4" t="s">
        <v>13</v>
      </c>
      <c r="B1889" s="5" t="s">
        <v>18</v>
      </c>
      <c r="C1889" s="5" t="s">
        <v>19</v>
      </c>
      <c r="D1889" s="4" t="s">
        <v>16</v>
      </c>
      <c r="E1889" s="4" t="s">
        <v>2956</v>
      </c>
      <c r="F1889" s="4" t="s">
        <v>406</v>
      </c>
      <c r="G1889" s="4" t="s">
        <v>2957</v>
      </c>
      <c r="H1889" s="12" t="n">
        <v>1</v>
      </c>
      <c r="I1889" s="4" t="s">
        <v>408</v>
      </c>
      <c r="J1889" s="4" t="s">
        <v>409</v>
      </c>
      <c r="K1889" s="13" t="n">
        <v>2500</v>
      </c>
      <c r="L1889" s="6" t="n">
        <f aca="false">H1889*K1889</f>
        <v>2500</v>
      </c>
      <c r="M1889" s="14" t="s">
        <v>410</v>
      </c>
    </row>
    <row r="1890" customFormat="false" ht="15" hidden="false" customHeight="false" outlineLevel="0" collapsed="false">
      <c r="A1890" s="4" t="s">
        <v>13</v>
      </c>
      <c r="B1890" s="5" t="s">
        <v>29</v>
      </c>
      <c r="C1890" s="5" t="s">
        <v>30</v>
      </c>
      <c r="D1890" s="4" t="s">
        <v>16</v>
      </c>
      <c r="E1890" s="4" t="s">
        <v>405</v>
      </c>
      <c r="F1890" s="4" t="s">
        <v>406</v>
      </c>
      <c r="G1890" s="4" t="s">
        <v>407</v>
      </c>
      <c r="H1890" s="12" t="n">
        <v>1</v>
      </c>
      <c r="I1890" s="4" t="s">
        <v>408</v>
      </c>
      <c r="J1890" s="4" t="s">
        <v>409</v>
      </c>
      <c r="K1890" s="13" t="n">
        <v>8500</v>
      </c>
      <c r="L1890" s="6" t="n">
        <f aca="false">H1890*K1890</f>
        <v>8500</v>
      </c>
      <c r="M1890" s="14" t="s">
        <v>410</v>
      </c>
    </row>
    <row r="1891" customFormat="false" ht="15" hidden="false" customHeight="false" outlineLevel="0" collapsed="false">
      <c r="A1891" s="4" t="s">
        <v>13</v>
      </c>
      <c r="B1891" s="5" t="s">
        <v>29</v>
      </c>
      <c r="C1891" s="5" t="s">
        <v>30</v>
      </c>
      <c r="D1891" s="4" t="s">
        <v>16</v>
      </c>
      <c r="E1891" s="4" t="s">
        <v>411</v>
      </c>
      <c r="F1891" s="4" t="s">
        <v>406</v>
      </c>
      <c r="G1891" s="4" t="s">
        <v>412</v>
      </c>
      <c r="H1891" s="12" t="n">
        <v>1</v>
      </c>
      <c r="I1891" s="4" t="s">
        <v>408</v>
      </c>
      <c r="J1891" s="4" t="s">
        <v>413</v>
      </c>
      <c r="K1891" s="13" t="n">
        <v>1200</v>
      </c>
      <c r="L1891" s="6" t="n">
        <f aca="false">H1891*K1891</f>
        <v>1200</v>
      </c>
      <c r="M1891" s="14" t="s">
        <v>410</v>
      </c>
    </row>
    <row r="1892" customFormat="false" ht="15" hidden="false" customHeight="false" outlineLevel="0" collapsed="false">
      <c r="A1892" s="4" t="s">
        <v>13</v>
      </c>
      <c r="B1892" s="5" t="s">
        <v>29</v>
      </c>
      <c r="C1892" s="5" t="s">
        <v>30</v>
      </c>
      <c r="D1892" s="4" t="s">
        <v>16</v>
      </c>
      <c r="E1892" s="4" t="s">
        <v>414</v>
      </c>
      <c r="F1892" s="4" t="s">
        <v>406</v>
      </c>
      <c r="G1892" s="4" t="s">
        <v>415</v>
      </c>
      <c r="H1892" s="12" t="n">
        <v>1</v>
      </c>
      <c r="I1892" s="4" t="s">
        <v>408</v>
      </c>
      <c r="J1892" s="4" t="s">
        <v>416</v>
      </c>
      <c r="K1892" s="13" t="n">
        <v>1800</v>
      </c>
      <c r="L1892" s="6" t="n">
        <f aca="false">H1892*K1892</f>
        <v>1800</v>
      </c>
      <c r="M1892" s="14" t="s">
        <v>410</v>
      </c>
    </row>
    <row r="1893" customFormat="false" ht="15" hidden="false" customHeight="false" outlineLevel="0" collapsed="false">
      <c r="A1893" s="4" t="s">
        <v>13</v>
      </c>
      <c r="B1893" s="5" t="s">
        <v>29</v>
      </c>
      <c r="C1893" s="5" t="s">
        <v>30</v>
      </c>
      <c r="D1893" s="4" t="s">
        <v>16</v>
      </c>
      <c r="E1893" s="4" t="s">
        <v>417</v>
      </c>
      <c r="F1893" s="4" t="s">
        <v>406</v>
      </c>
      <c r="G1893" s="4" t="s">
        <v>418</v>
      </c>
      <c r="H1893" s="12" t="n">
        <v>1</v>
      </c>
      <c r="I1893" s="4" t="s">
        <v>408</v>
      </c>
      <c r="J1893" s="4" t="s">
        <v>409</v>
      </c>
      <c r="K1893" s="13" t="n">
        <v>850</v>
      </c>
      <c r="L1893" s="6" t="n">
        <f aca="false">H1893*K1893</f>
        <v>850</v>
      </c>
      <c r="M1893" s="14" t="s">
        <v>410</v>
      </c>
    </row>
    <row r="1894" customFormat="false" ht="15" hidden="false" customHeight="false" outlineLevel="0" collapsed="false">
      <c r="A1894" s="4" t="s">
        <v>13</v>
      </c>
      <c r="B1894" s="5" t="s">
        <v>29</v>
      </c>
      <c r="C1894" s="5" t="s">
        <v>30</v>
      </c>
      <c r="D1894" s="4" t="s">
        <v>16</v>
      </c>
      <c r="E1894" s="4" t="s">
        <v>419</v>
      </c>
      <c r="F1894" s="4" t="s">
        <v>406</v>
      </c>
      <c r="G1894" s="4" t="s">
        <v>420</v>
      </c>
      <c r="H1894" s="12" t="n">
        <v>1</v>
      </c>
      <c r="I1894" s="4" t="s">
        <v>408</v>
      </c>
      <c r="J1894" s="4" t="s">
        <v>409</v>
      </c>
      <c r="K1894" s="13" t="n">
        <v>450</v>
      </c>
      <c r="L1894" s="6" t="n">
        <f aca="false">H1894*K1894</f>
        <v>450</v>
      </c>
      <c r="M1894" s="14" t="s">
        <v>410</v>
      </c>
    </row>
    <row r="1895" customFormat="false" ht="15" hidden="false" customHeight="false" outlineLevel="0" collapsed="false">
      <c r="A1895" s="4" t="s">
        <v>13</v>
      </c>
      <c r="B1895" s="5" t="s">
        <v>29</v>
      </c>
      <c r="C1895" s="5" t="s">
        <v>30</v>
      </c>
      <c r="D1895" s="4" t="s">
        <v>16</v>
      </c>
      <c r="E1895" s="4" t="s">
        <v>421</v>
      </c>
      <c r="F1895" s="4" t="s">
        <v>406</v>
      </c>
      <c r="G1895" s="4" t="s">
        <v>422</v>
      </c>
      <c r="H1895" s="12" t="n">
        <v>1</v>
      </c>
      <c r="I1895" s="4" t="s">
        <v>408</v>
      </c>
      <c r="J1895" s="4" t="s">
        <v>409</v>
      </c>
      <c r="K1895" s="13" t="n">
        <v>850</v>
      </c>
      <c r="L1895" s="6" t="n">
        <f aca="false">H1895*K1895</f>
        <v>850</v>
      </c>
      <c r="M1895" s="14" t="s">
        <v>410</v>
      </c>
    </row>
    <row r="1896" customFormat="false" ht="15" hidden="false" customHeight="false" outlineLevel="0" collapsed="false">
      <c r="A1896" s="4" t="s">
        <v>13</v>
      </c>
      <c r="B1896" s="5" t="s">
        <v>29</v>
      </c>
      <c r="C1896" s="5" t="s">
        <v>30</v>
      </c>
      <c r="D1896" s="4" t="s">
        <v>16</v>
      </c>
      <c r="E1896" s="4" t="s">
        <v>423</v>
      </c>
      <c r="F1896" s="4" t="s">
        <v>406</v>
      </c>
      <c r="G1896" s="4" t="s">
        <v>424</v>
      </c>
      <c r="H1896" s="12" t="n">
        <v>1</v>
      </c>
      <c r="I1896" s="4" t="s">
        <v>408</v>
      </c>
      <c r="J1896" s="4" t="s">
        <v>409</v>
      </c>
      <c r="K1896" s="13" t="n">
        <v>650</v>
      </c>
      <c r="L1896" s="6" t="n">
        <f aca="false">H1896*K1896</f>
        <v>650</v>
      </c>
      <c r="M1896" s="14" t="s">
        <v>410</v>
      </c>
    </row>
    <row r="1897" customFormat="false" ht="15" hidden="false" customHeight="false" outlineLevel="0" collapsed="false">
      <c r="A1897" s="4" t="s">
        <v>13</v>
      </c>
      <c r="B1897" s="5" t="s">
        <v>29</v>
      </c>
      <c r="C1897" s="5" t="s">
        <v>30</v>
      </c>
      <c r="D1897" s="4" t="s">
        <v>16</v>
      </c>
      <c r="E1897" s="4" t="s">
        <v>425</v>
      </c>
      <c r="F1897" s="4" t="s">
        <v>406</v>
      </c>
      <c r="G1897" s="4" t="s">
        <v>426</v>
      </c>
      <c r="H1897" s="12" t="n">
        <v>1</v>
      </c>
      <c r="I1897" s="4" t="s">
        <v>408</v>
      </c>
      <c r="J1897" s="4" t="s">
        <v>409</v>
      </c>
      <c r="K1897" s="13" t="n">
        <v>4500</v>
      </c>
      <c r="L1897" s="6" t="n">
        <f aca="false">H1897*K1897</f>
        <v>4500</v>
      </c>
      <c r="M1897" s="14" t="s">
        <v>410</v>
      </c>
    </row>
    <row r="1898" customFormat="false" ht="15" hidden="false" customHeight="false" outlineLevel="0" collapsed="false">
      <c r="A1898" s="4" t="s">
        <v>13</v>
      </c>
      <c r="B1898" s="5" t="s">
        <v>29</v>
      </c>
      <c r="C1898" s="5" t="s">
        <v>30</v>
      </c>
      <c r="D1898" s="4" t="s">
        <v>16</v>
      </c>
      <c r="E1898" s="4" t="s">
        <v>427</v>
      </c>
      <c r="F1898" s="4" t="s">
        <v>406</v>
      </c>
      <c r="G1898" s="4" t="s">
        <v>428</v>
      </c>
      <c r="H1898" s="12" t="n">
        <v>1</v>
      </c>
      <c r="I1898" s="4" t="s">
        <v>408</v>
      </c>
      <c r="J1898" s="4" t="s">
        <v>429</v>
      </c>
      <c r="K1898" s="13" t="n">
        <v>120</v>
      </c>
      <c r="L1898" s="6" t="n">
        <f aca="false">H1898*K1898</f>
        <v>120</v>
      </c>
      <c r="M1898" s="14" t="s">
        <v>410</v>
      </c>
    </row>
    <row r="1899" customFormat="false" ht="15" hidden="false" customHeight="false" outlineLevel="0" collapsed="false">
      <c r="A1899" s="4" t="s">
        <v>13</v>
      </c>
      <c r="B1899" s="5" t="s">
        <v>29</v>
      </c>
      <c r="C1899" s="5" t="s">
        <v>30</v>
      </c>
      <c r="D1899" s="4" t="s">
        <v>16</v>
      </c>
      <c r="E1899" s="4" t="s">
        <v>430</v>
      </c>
      <c r="F1899" s="4" t="s">
        <v>406</v>
      </c>
      <c r="G1899" s="4" t="s">
        <v>431</v>
      </c>
      <c r="H1899" s="12" t="n">
        <v>1</v>
      </c>
      <c r="I1899" s="4" t="s">
        <v>408</v>
      </c>
      <c r="J1899" s="4" t="s">
        <v>432</v>
      </c>
      <c r="K1899" s="13" t="n">
        <v>250</v>
      </c>
      <c r="L1899" s="6" t="n">
        <f aca="false">H1899*K1899</f>
        <v>250</v>
      </c>
      <c r="M1899" s="14" t="s">
        <v>410</v>
      </c>
    </row>
    <row r="1900" customFormat="false" ht="15" hidden="false" customHeight="false" outlineLevel="0" collapsed="false">
      <c r="A1900" s="4" t="s">
        <v>13</v>
      </c>
      <c r="B1900" s="5" t="s">
        <v>29</v>
      </c>
      <c r="C1900" s="5" t="s">
        <v>30</v>
      </c>
      <c r="D1900" s="4" t="s">
        <v>16</v>
      </c>
      <c r="E1900" s="4" t="s">
        <v>433</v>
      </c>
      <c r="F1900" s="4" t="s">
        <v>406</v>
      </c>
      <c r="G1900" s="4" t="s">
        <v>434</v>
      </c>
      <c r="H1900" s="12" t="n">
        <v>1</v>
      </c>
      <c r="I1900" s="4" t="s">
        <v>408</v>
      </c>
      <c r="J1900" s="4" t="s">
        <v>409</v>
      </c>
      <c r="K1900" s="13" t="n">
        <v>450</v>
      </c>
      <c r="L1900" s="6" t="n">
        <f aca="false">H1900*K1900</f>
        <v>450</v>
      </c>
      <c r="M1900" s="14" t="s">
        <v>410</v>
      </c>
    </row>
    <row r="1901" customFormat="false" ht="15" hidden="false" customHeight="false" outlineLevel="0" collapsed="false">
      <c r="A1901" s="4" t="s">
        <v>13</v>
      </c>
      <c r="B1901" s="5" t="s">
        <v>29</v>
      </c>
      <c r="C1901" s="5" t="s">
        <v>30</v>
      </c>
      <c r="D1901" s="4" t="s">
        <v>16</v>
      </c>
      <c r="E1901" s="4" t="s">
        <v>435</v>
      </c>
      <c r="F1901" s="4" t="s">
        <v>406</v>
      </c>
      <c r="G1901" s="4" t="s">
        <v>436</v>
      </c>
      <c r="H1901" s="12" t="n">
        <v>1</v>
      </c>
      <c r="I1901" s="4" t="s">
        <v>408</v>
      </c>
      <c r="J1901" s="4" t="s">
        <v>409</v>
      </c>
      <c r="K1901" s="13" t="n">
        <v>450</v>
      </c>
      <c r="L1901" s="6" t="n">
        <f aca="false">H1901*K1901</f>
        <v>450</v>
      </c>
      <c r="M1901" s="14" t="s">
        <v>410</v>
      </c>
    </row>
    <row r="1902" customFormat="false" ht="15" hidden="false" customHeight="false" outlineLevel="0" collapsed="false">
      <c r="A1902" s="4" t="s">
        <v>13</v>
      </c>
      <c r="B1902" s="5" t="s">
        <v>29</v>
      </c>
      <c r="C1902" s="5" t="s">
        <v>30</v>
      </c>
      <c r="D1902" s="4" t="s">
        <v>16</v>
      </c>
      <c r="E1902" s="4" t="s">
        <v>437</v>
      </c>
      <c r="F1902" s="4" t="s">
        <v>406</v>
      </c>
      <c r="G1902" s="4" t="s">
        <v>438</v>
      </c>
      <c r="H1902" s="12" t="n">
        <v>1</v>
      </c>
      <c r="I1902" s="4" t="s">
        <v>408</v>
      </c>
      <c r="J1902" s="4" t="s">
        <v>409</v>
      </c>
      <c r="K1902" s="13" t="n">
        <v>850</v>
      </c>
      <c r="L1902" s="6" t="n">
        <f aca="false">H1902*K1902</f>
        <v>850</v>
      </c>
      <c r="M1902" s="14" t="s">
        <v>410</v>
      </c>
    </row>
    <row r="1903" customFormat="false" ht="15" hidden="false" customHeight="false" outlineLevel="0" collapsed="false">
      <c r="A1903" s="4" t="s">
        <v>13</v>
      </c>
      <c r="B1903" s="5" t="s">
        <v>29</v>
      </c>
      <c r="C1903" s="5" t="s">
        <v>30</v>
      </c>
      <c r="D1903" s="4" t="s">
        <v>16</v>
      </c>
      <c r="E1903" s="4" t="s">
        <v>455</v>
      </c>
      <c r="F1903" s="4" t="s">
        <v>406</v>
      </c>
      <c r="G1903" s="4" t="s">
        <v>456</v>
      </c>
      <c r="H1903" s="12" t="n">
        <v>1</v>
      </c>
      <c r="I1903" s="4" t="s">
        <v>408</v>
      </c>
      <c r="J1903" s="4" t="s">
        <v>409</v>
      </c>
      <c r="K1903" s="13" t="n">
        <v>850</v>
      </c>
      <c r="L1903" s="6" t="n">
        <f aca="false">H1903*K1903</f>
        <v>850</v>
      </c>
      <c r="M1903" s="14" t="s">
        <v>410</v>
      </c>
    </row>
    <row r="1904" customFormat="false" ht="15" hidden="false" customHeight="false" outlineLevel="0" collapsed="false">
      <c r="A1904" s="4" t="s">
        <v>13</v>
      </c>
      <c r="B1904" s="5" t="s">
        <v>29</v>
      </c>
      <c r="C1904" s="5" t="s">
        <v>30</v>
      </c>
      <c r="D1904" s="4" t="s">
        <v>16</v>
      </c>
      <c r="E1904" s="4" t="s">
        <v>459</v>
      </c>
      <c r="F1904" s="4" t="s">
        <v>406</v>
      </c>
      <c r="G1904" s="4" t="s">
        <v>460</v>
      </c>
      <c r="H1904" s="12" t="n">
        <v>1</v>
      </c>
      <c r="I1904" s="4" t="s">
        <v>408</v>
      </c>
      <c r="J1904" s="4" t="s">
        <v>409</v>
      </c>
      <c r="K1904" s="13" t="n">
        <v>4500</v>
      </c>
      <c r="L1904" s="6" t="n">
        <f aca="false">H1904*K1904</f>
        <v>4500</v>
      </c>
      <c r="M1904" s="14" t="s">
        <v>410</v>
      </c>
    </row>
    <row r="1905" customFormat="false" ht="15" hidden="false" customHeight="false" outlineLevel="0" collapsed="false">
      <c r="A1905" s="4" t="s">
        <v>13</v>
      </c>
      <c r="B1905" s="5" t="s">
        <v>29</v>
      </c>
      <c r="C1905" s="5" t="s">
        <v>30</v>
      </c>
      <c r="D1905" s="4" t="s">
        <v>16</v>
      </c>
      <c r="E1905" s="4" t="s">
        <v>2958</v>
      </c>
      <c r="F1905" s="4" t="s">
        <v>406</v>
      </c>
      <c r="G1905" s="4" t="s">
        <v>440</v>
      </c>
      <c r="H1905" s="12" t="n">
        <v>1</v>
      </c>
      <c r="I1905" s="4" t="s">
        <v>408</v>
      </c>
      <c r="J1905" s="4" t="s">
        <v>429</v>
      </c>
      <c r="K1905" s="13" t="n">
        <v>80</v>
      </c>
      <c r="L1905" s="6" t="n">
        <f aca="false">H1905*K1905</f>
        <v>80</v>
      </c>
      <c r="M1905" s="14" t="s">
        <v>410</v>
      </c>
    </row>
    <row r="1906" customFormat="false" ht="15" hidden="false" customHeight="false" outlineLevel="0" collapsed="false">
      <c r="A1906" s="4" t="s">
        <v>13</v>
      </c>
      <c r="B1906" s="5" t="s">
        <v>29</v>
      </c>
      <c r="C1906" s="5" t="s">
        <v>30</v>
      </c>
      <c r="D1906" s="4" t="s">
        <v>16</v>
      </c>
      <c r="E1906" s="4" t="s">
        <v>441</v>
      </c>
      <c r="F1906" s="4" t="s">
        <v>406</v>
      </c>
      <c r="G1906" s="4" t="s">
        <v>442</v>
      </c>
      <c r="H1906" s="12" t="n">
        <v>1</v>
      </c>
      <c r="I1906" s="4" t="s">
        <v>408</v>
      </c>
      <c r="J1906" s="4" t="s">
        <v>409</v>
      </c>
      <c r="K1906" s="13" t="n">
        <v>350</v>
      </c>
      <c r="L1906" s="6" t="n">
        <f aca="false">H1906*K1906</f>
        <v>350</v>
      </c>
      <c r="M1906" s="14" t="s">
        <v>410</v>
      </c>
    </row>
    <row r="1907" customFormat="false" ht="15" hidden="false" customHeight="false" outlineLevel="0" collapsed="false">
      <c r="A1907" s="4" t="s">
        <v>13</v>
      </c>
      <c r="B1907" s="5" t="s">
        <v>29</v>
      </c>
      <c r="C1907" s="5" t="s">
        <v>30</v>
      </c>
      <c r="D1907" s="4" t="s">
        <v>16</v>
      </c>
      <c r="E1907" s="4" t="s">
        <v>443</v>
      </c>
      <c r="F1907" s="4" t="s">
        <v>406</v>
      </c>
      <c r="G1907" s="4" t="s">
        <v>444</v>
      </c>
      <c r="H1907" s="12" t="n">
        <v>1</v>
      </c>
      <c r="I1907" s="4" t="s">
        <v>408</v>
      </c>
      <c r="J1907" s="4" t="s">
        <v>409</v>
      </c>
      <c r="K1907" s="13" t="n">
        <v>1200</v>
      </c>
      <c r="L1907" s="6" t="n">
        <f aca="false">H1907*K1907</f>
        <v>1200</v>
      </c>
      <c r="M1907" s="14" t="s">
        <v>410</v>
      </c>
    </row>
    <row r="1908" customFormat="false" ht="15" hidden="false" customHeight="false" outlineLevel="0" collapsed="false">
      <c r="A1908" s="4" t="s">
        <v>13</v>
      </c>
      <c r="B1908" s="5" t="s">
        <v>29</v>
      </c>
      <c r="C1908" s="5" t="s">
        <v>30</v>
      </c>
      <c r="D1908" s="4" t="s">
        <v>16</v>
      </c>
      <c r="E1908" s="4" t="s">
        <v>463</v>
      </c>
      <c r="F1908" s="4" t="s">
        <v>406</v>
      </c>
      <c r="G1908" s="4" t="s">
        <v>464</v>
      </c>
      <c r="H1908" s="12" t="n">
        <v>1</v>
      </c>
      <c r="I1908" s="4" t="s">
        <v>408</v>
      </c>
      <c r="J1908" s="4" t="s">
        <v>409</v>
      </c>
      <c r="K1908" s="13" t="n">
        <v>1800</v>
      </c>
      <c r="L1908" s="6" t="n">
        <f aca="false">H1908*K1908</f>
        <v>1800</v>
      </c>
      <c r="M1908" s="14" t="s">
        <v>410</v>
      </c>
    </row>
    <row r="1909" customFormat="false" ht="15" hidden="false" customHeight="false" outlineLevel="0" collapsed="false">
      <c r="A1909" s="4" t="s">
        <v>13</v>
      </c>
      <c r="B1909" s="5" t="s">
        <v>29</v>
      </c>
      <c r="C1909" s="5" t="s">
        <v>30</v>
      </c>
      <c r="D1909" s="4" t="s">
        <v>16</v>
      </c>
      <c r="E1909" s="4" t="s">
        <v>445</v>
      </c>
      <c r="F1909" s="4" t="s">
        <v>406</v>
      </c>
      <c r="G1909" s="4" t="s">
        <v>446</v>
      </c>
      <c r="H1909" s="12" t="n">
        <v>1</v>
      </c>
      <c r="I1909" s="4" t="s">
        <v>408</v>
      </c>
      <c r="J1909" s="4" t="s">
        <v>409</v>
      </c>
      <c r="K1909" s="13" t="n">
        <v>250</v>
      </c>
      <c r="L1909" s="6" t="n">
        <f aca="false">H1909*K1909</f>
        <v>250</v>
      </c>
      <c r="M1909" s="14" t="s">
        <v>410</v>
      </c>
    </row>
    <row r="1910" customFormat="false" ht="15" hidden="false" customHeight="false" outlineLevel="0" collapsed="false">
      <c r="A1910" s="4" t="s">
        <v>13</v>
      </c>
      <c r="B1910" s="5" t="s">
        <v>29</v>
      </c>
      <c r="C1910" s="5" t="s">
        <v>30</v>
      </c>
      <c r="D1910" s="4" t="s">
        <v>16</v>
      </c>
      <c r="E1910" s="4" t="s">
        <v>447</v>
      </c>
      <c r="F1910" s="4" t="s">
        <v>406</v>
      </c>
      <c r="G1910" s="4" t="s">
        <v>448</v>
      </c>
      <c r="H1910" s="12" t="n">
        <v>1</v>
      </c>
      <c r="I1910" s="4" t="s">
        <v>408</v>
      </c>
      <c r="J1910" s="4" t="s">
        <v>409</v>
      </c>
      <c r="K1910" s="13" t="n">
        <v>180</v>
      </c>
      <c r="L1910" s="6" t="n">
        <f aca="false">H1910*K1910</f>
        <v>180</v>
      </c>
      <c r="M1910" s="14" t="s">
        <v>410</v>
      </c>
    </row>
    <row r="1911" customFormat="false" ht="15" hidden="false" customHeight="false" outlineLevel="0" collapsed="false">
      <c r="A1911" s="4" t="s">
        <v>13</v>
      </c>
      <c r="B1911" s="5" t="s">
        <v>29</v>
      </c>
      <c r="C1911" s="5" t="s">
        <v>30</v>
      </c>
      <c r="D1911" s="4" t="s">
        <v>16</v>
      </c>
      <c r="E1911" s="4" t="s">
        <v>449</v>
      </c>
      <c r="F1911" s="4" t="s">
        <v>406</v>
      </c>
      <c r="G1911" s="4" t="s">
        <v>450</v>
      </c>
      <c r="H1911" s="12" t="n">
        <v>1</v>
      </c>
      <c r="I1911" s="4" t="s">
        <v>408</v>
      </c>
      <c r="J1911" s="4" t="s">
        <v>416</v>
      </c>
      <c r="K1911" s="13" t="n">
        <v>1800</v>
      </c>
      <c r="L1911" s="6" t="n">
        <f aca="false">H1911*K1911</f>
        <v>1800</v>
      </c>
      <c r="M1911" s="14" t="s">
        <v>410</v>
      </c>
    </row>
    <row r="1912" customFormat="false" ht="15" hidden="false" customHeight="false" outlineLevel="0" collapsed="false">
      <c r="A1912" s="4" t="s">
        <v>13</v>
      </c>
      <c r="B1912" s="5" t="s">
        <v>29</v>
      </c>
      <c r="C1912" s="5" t="s">
        <v>30</v>
      </c>
      <c r="D1912" s="4" t="s">
        <v>16</v>
      </c>
      <c r="E1912" s="4" t="s">
        <v>696</v>
      </c>
      <c r="F1912" s="4" t="s">
        <v>406</v>
      </c>
      <c r="G1912" s="4" t="s">
        <v>697</v>
      </c>
      <c r="H1912" s="12" t="n">
        <v>1</v>
      </c>
      <c r="I1912" s="4" t="s">
        <v>408</v>
      </c>
      <c r="J1912" s="4" t="s">
        <v>409</v>
      </c>
      <c r="K1912" s="13" t="n">
        <v>1200</v>
      </c>
      <c r="L1912" s="6" t="n">
        <f aca="false">H1912*K1912</f>
        <v>1200</v>
      </c>
      <c r="M1912" s="14" t="s">
        <v>410</v>
      </c>
    </row>
    <row r="1913" customFormat="false" ht="15" hidden="false" customHeight="false" outlineLevel="0" collapsed="false">
      <c r="A1913" s="4" t="s">
        <v>13</v>
      </c>
      <c r="B1913" s="5" t="s">
        <v>29</v>
      </c>
      <c r="C1913" s="5" t="s">
        <v>30</v>
      </c>
      <c r="D1913" s="4" t="s">
        <v>16</v>
      </c>
      <c r="E1913" s="4" t="s">
        <v>453</v>
      </c>
      <c r="F1913" s="4" t="s">
        <v>406</v>
      </c>
      <c r="G1913" s="4" t="s">
        <v>454</v>
      </c>
      <c r="H1913" s="12" t="n">
        <v>1</v>
      </c>
      <c r="I1913" s="4" t="s">
        <v>408</v>
      </c>
      <c r="J1913" s="4" t="s">
        <v>409</v>
      </c>
      <c r="K1913" s="13" t="n">
        <v>4500</v>
      </c>
      <c r="L1913" s="6" t="n">
        <f aca="false">H1913*K1913</f>
        <v>4500</v>
      </c>
      <c r="M1913" s="14" t="s">
        <v>410</v>
      </c>
    </row>
    <row r="1914" customFormat="false" ht="15" hidden="false" customHeight="false" outlineLevel="0" collapsed="false">
      <c r="A1914" s="4" t="s">
        <v>13</v>
      </c>
      <c r="B1914" s="5" t="s">
        <v>29</v>
      </c>
      <c r="C1914" s="5" t="s">
        <v>30</v>
      </c>
      <c r="D1914" s="4" t="s">
        <v>16</v>
      </c>
      <c r="E1914" s="4" t="s">
        <v>457</v>
      </c>
      <c r="F1914" s="4" t="s">
        <v>406</v>
      </c>
      <c r="G1914" s="4" t="s">
        <v>458</v>
      </c>
      <c r="H1914" s="12" t="n">
        <v>1</v>
      </c>
      <c r="I1914" s="4" t="s">
        <v>408</v>
      </c>
      <c r="J1914" s="4" t="s">
        <v>409</v>
      </c>
      <c r="K1914" s="13" t="n">
        <v>18000</v>
      </c>
      <c r="L1914" s="6" t="n">
        <f aca="false">H1914*K1914</f>
        <v>18000</v>
      </c>
      <c r="M1914" s="14" t="s">
        <v>410</v>
      </c>
    </row>
    <row r="1915" customFormat="false" ht="15" hidden="false" customHeight="false" outlineLevel="0" collapsed="false">
      <c r="A1915" s="4" t="s">
        <v>13</v>
      </c>
      <c r="B1915" s="5" t="s">
        <v>29</v>
      </c>
      <c r="C1915" s="5" t="s">
        <v>30</v>
      </c>
      <c r="D1915" s="4" t="s">
        <v>16</v>
      </c>
      <c r="E1915" s="4" t="s">
        <v>461</v>
      </c>
      <c r="F1915" s="4" t="s">
        <v>406</v>
      </c>
      <c r="G1915" s="4" t="s">
        <v>462</v>
      </c>
      <c r="H1915" s="12" t="n">
        <v>1</v>
      </c>
      <c r="I1915" s="4" t="s">
        <v>408</v>
      </c>
      <c r="J1915" s="4" t="s">
        <v>416</v>
      </c>
      <c r="K1915" s="13" t="n">
        <v>3500</v>
      </c>
      <c r="L1915" s="6" t="n">
        <f aca="false">H1915*K1915</f>
        <v>3500</v>
      </c>
      <c r="M1915" s="14" t="s">
        <v>410</v>
      </c>
    </row>
    <row r="1916" customFormat="false" ht="15" hidden="false" customHeight="false" outlineLevel="0" collapsed="false">
      <c r="A1916" s="4" t="s">
        <v>13</v>
      </c>
      <c r="B1916" s="5" t="s">
        <v>29</v>
      </c>
      <c r="C1916" s="5" t="s">
        <v>30</v>
      </c>
      <c r="D1916" s="4" t="s">
        <v>16</v>
      </c>
      <c r="E1916" s="4" t="s">
        <v>465</v>
      </c>
      <c r="F1916" s="4" t="s">
        <v>406</v>
      </c>
      <c r="G1916" s="4" t="s">
        <v>466</v>
      </c>
      <c r="H1916" s="12" t="n">
        <v>1</v>
      </c>
      <c r="I1916" s="4" t="s">
        <v>408</v>
      </c>
      <c r="J1916" s="4" t="s">
        <v>409</v>
      </c>
      <c r="K1916" s="13" t="n">
        <v>18000</v>
      </c>
      <c r="L1916" s="6" t="n">
        <f aca="false">H1916*K1916</f>
        <v>18000</v>
      </c>
      <c r="M1916" s="14" t="s">
        <v>410</v>
      </c>
    </row>
    <row r="1917" customFormat="false" ht="15" hidden="false" customHeight="false" outlineLevel="0" collapsed="false">
      <c r="A1917" s="4" t="s">
        <v>13</v>
      </c>
      <c r="B1917" s="5" t="s">
        <v>29</v>
      </c>
      <c r="C1917" s="5" t="s">
        <v>30</v>
      </c>
      <c r="D1917" s="4" t="s">
        <v>16</v>
      </c>
      <c r="E1917" s="4" t="s">
        <v>467</v>
      </c>
      <c r="F1917" s="4" t="s">
        <v>406</v>
      </c>
      <c r="G1917" s="4" t="s">
        <v>468</v>
      </c>
      <c r="H1917" s="12" t="n">
        <v>1</v>
      </c>
      <c r="I1917" s="4" t="s">
        <v>408</v>
      </c>
      <c r="J1917" s="4" t="s">
        <v>409</v>
      </c>
      <c r="K1917" s="13" t="n">
        <v>250</v>
      </c>
      <c r="L1917" s="6" t="n">
        <f aca="false">H1917*K1917</f>
        <v>250</v>
      </c>
      <c r="M1917" s="14" t="s">
        <v>410</v>
      </c>
    </row>
    <row r="1918" customFormat="false" ht="15" hidden="false" customHeight="false" outlineLevel="0" collapsed="false">
      <c r="A1918" s="4" t="s">
        <v>13</v>
      </c>
      <c r="B1918" s="5" t="s">
        <v>29</v>
      </c>
      <c r="C1918" s="5" t="s">
        <v>30</v>
      </c>
      <c r="D1918" s="4" t="s">
        <v>16</v>
      </c>
      <c r="E1918" s="4" t="s">
        <v>469</v>
      </c>
      <c r="F1918" s="4" t="s">
        <v>470</v>
      </c>
      <c r="G1918" s="4" t="s">
        <v>471</v>
      </c>
      <c r="H1918" s="12" t="n">
        <v>1</v>
      </c>
      <c r="I1918" s="4" t="s">
        <v>408</v>
      </c>
      <c r="J1918" s="4" t="s">
        <v>409</v>
      </c>
      <c r="K1918" s="13" t="n">
        <v>350</v>
      </c>
      <c r="L1918" s="6" t="n">
        <f aca="false">H1918*K1918</f>
        <v>350</v>
      </c>
      <c r="M1918" s="4" t="s">
        <v>371</v>
      </c>
    </row>
    <row r="1919" customFormat="false" ht="15" hidden="false" customHeight="false" outlineLevel="0" collapsed="false">
      <c r="A1919" s="4" t="s">
        <v>13</v>
      </c>
      <c r="B1919" s="5" t="s">
        <v>29</v>
      </c>
      <c r="C1919" s="5" t="s">
        <v>30</v>
      </c>
      <c r="D1919" s="4" t="s">
        <v>16</v>
      </c>
      <c r="E1919" s="4" t="s">
        <v>472</v>
      </c>
      <c r="F1919" s="4" t="s">
        <v>470</v>
      </c>
      <c r="G1919" s="4" t="s">
        <v>473</v>
      </c>
      <c r="H1919" s="12" t="n">
        <v>25</v>
      </c>
      <c r="I1919" s="4" t="s">
        <v>474</v>
      </c>
      <c r="J1919" s="4" t="s">
        <v>475</v>
      </c>
      <c r="K1919" s="13" t="n">
        <v>180</v>
      </c>
      <c r="L1919" s="6" t="n">
        <f aca="false">H1919*K1919</f>
        <v>4500</v>
      </c>
      <c r="M1919" s="4" t="s">
        <v>371</v>
      </c>
    </row>
    <row r="1920" customFormat="false" ht="15" hidden="false" customHeight="false" outlineLevel="0" collapsed="false">
      <c r="A1920" s="4" t="s">
        <v>13</v>
      </c>
      <c r="B1920" s="5" t="s">
        <v>29</v>
      </c>
      <c r="C1920" s="5" t="s">
        <v>30</v>
      </c>
      <c r="D1920" s="4" t="s">
        <v>16</v>
      </c>
      <c r="E1920" s="4" t="s">
        <v>476</v>
      </c>
      <c r="F1920" s="4" t="s">
        <v>470</v>
      </c>
      <c r="G1920" s="4" t="s">
        <v>477</v>
      </c>
      <c r="H1920" s="12" t="n">
        <v>25</v>
      </c>
      <c r="I1920" s="4" t="s">
        <v>474</v>
      </c>
      <c r="J1920" s="4" t="s">
        <v>475</v>
      </c>
      <c r="K1920" s="13" t="n">
        <v>850</v>
      </c>
      <c r="L1920" s="6" t="n">
        <f aca="false">H1920*K1920</f>
        <v>21250</v>
      </c>
      <c r="M1920" s="4" t="s">
        <v>371</v>
      </c>
    </row>
    <row r="1921" customFormat="false" ht="15" hidden="false" customHeight="false" outlineLevel="0" collapsed="false">
      <c r="A1921" s="4" t="s">
        <v>13</v>
      </c>
      <c r="B1921" s="5" t="s">
        <v>29</v>
      </c>
      <c r="C1921" s="5" t="s">
        <v>30</v>
      </c>
      <c r="D1921" s="4" t="s">
        <v>16</v>
      </c>
      <c r="E1921" s="4" t="s">
        <v>478</v>
      </c>
      <c r="F1921" s="4" t="s">
        <v>470</v>
      </c>
      <c r="G1921" s="4" t="s">
        <v>479</v>
      </c>
      <c r="H1921" s="12" t="n">
        <v>100</v>
      </c>
      <c r="I1921" s="4" t="s">
        <v>474</v>
      </c>
      <c r="J1921" s="4" t="s">
        <v>480</v>
      </c>
      <c r="K1921" s="13" t="n">
        <v>180</v>
      </c>
      <c r="L1921" s="6" t="n">
        <f aca="false">H1921*K1921</f>
        <v>18000</v>
      </c>
      <c r="M1921" s="4" t="s">
        <v>371</v>
      </c>
    </row>
    <row r="1922" customFormat="false" ht="15" hidden="false" customHeight="false" outlineLevel="0" collapsed="false">
      <c r="A1922" s="4" t="s">
        <v>13</v>
      </c>
      <c r="B1922" s="5" t="s">
        <v>29</v>
      </c>
      <c r="C1922" s="5" t="s">
        <v>30</v>
      </c>
      <c r="D1922" s="4" t="s">
        <v>16</v>
      </c>
      <c r="E1922" s="4" t="s">
        <v>481</v>
      </c>
      <c r="F1922" s="4" t="s">
        <v>470</v>
      </c>
      <c r="G1922" s="4" t="s">
        <v>482</v>
      </c>
      <c r="H1922" s="12" t="n">
        <v>25</v>
      </c>
      <c r="I1922" s="4" t="s">
        <v>474</v>
      </c>
      <c r="J1922" s="4" t="s">
        <v>409</v>
      </c>
      <c r="K1922" s="13" t="n">
        <v>1800</v>
      </c>
      <c r="L1922" s="6" t="n">
        <f aca="false">H1922*K1922</f>
        <v>45000</v>
      </c>
      <c r="M1922" s="4" t="s">
        <v>371</v>
      </c>
    </row>
    <row r="1923" customFormat="false" ht="15" hidden="false" customHeight="false" outlineLevel="0" collapsed="false">
      <c r="A1923" s="4" t="s">
        <v>13</v>
      </c>
      <c r="B1923" s="5" t="s">
        <v>29</v>
      </c>
      <c r="C1923" s="5" t="s">
        <v>30</v>
      </c>
      <c r="D1923" s="4" t="s">
        <v>16</v>
      </c>
      <c r="E1923" s="4" t="s">
        <v>483</v>
      </c>
      <c r="F1923" s="4" t="s">
        <v>470</v>
      </c>
      <c r="G1923" s="4" t="s">
        <v>484</v>
      </c>
      <c r="H1923" s="12" t="n">
        <v>1</v>
      </c>
      <c r="I1923" s="4" t="s">
        <v>408</v>
      </c>
      <c r="J1923" s="4" t="s">
        <v>416</v>
      </c>
      <c r="K1923" s="13" t="n">
        <v>4500</v>
      </c>
      <c r="L1923" s="6" t="n">
        <f aca="false">H1923*K1923</f>
        <v>4500</v>
      </c>
      <c r="M1923" s="4" t="s">
        <v>371</v>
      </c>
    </row>
    <row r="1924" customFormat="false" ht="15" hidden="false" customHeight="false" outlineLevel="0" collapsed="false">
      <c r="A1924" s="4" t="s">
        <v>13</v>
      </c>
      <c r="B1924" s="5" t="s">
        <v>29</v>
      </c>
      <c r="C1924" s="5" t="s">
        <v>30</v>
      </c>
      <c r="D1924" s="4" t="s">
        <v>16</v>
      </c>
      <c r="E1924" s="4" t="s">
        <v>485</v>
      </c>
      <c r="F1924" s="4" t="s">
        <v>470</v>
      </c>
      <c r="G1924" s="4" t="s">
        <v>486</v>
      </c>
      <c r="H1924" s="12" t="n">
        <v>1</v>
      </c>
      <c r="I1924" s="4" t="s">
        <v>408</v>
      </c>
      <c r="J1924" s="4" t="s">
        <v>416</v>
      </c>
      <c r="K1924" s="13" t="n">
        <v>8500</v>
      </c>
      <c r="L1924" s="6" t="n">
        <f aca="false">H1924*K1924</f>
        <v>8500</v>
      </c>
      <c r="M1924" s="4" t="s">
        <v>371</v>
      </c>
    </row>
    <row r="1925" customFormat="false" ht="15" hidden="false" customHeight="false" outlineLevel="0" collapsed="false">
      <c r="A1925" s="4" t="s">
        <v>13</v>
      </c>
      <c r="B1925" s="5" t="s">
        <v>29</v>
      </c>
      <c r="C1925" s="5" t="s">
        <v>30</v>
      </c>
      <c r="D1925" s="4" t="s">
        <v>16</v>
      </c>
      <c r="E1925" s="4" t="s">
        <v>487</v>
      </c>
      <c r="F1925" s="4" t="s">
        <v>488</v>
      </c>
      <c r="G1925" s="4" t="s">
        <v>489</v>
      </c>
      <c r="H1925" s="12" t="n">
        <v>1</v>
      </c>
      <c r="I1925" s="4" t="s">
        <v>408</v>
      </c>
      <c r="J1925" s="4" t="s">
        <v>490</v>
      </c>
      <c r="K1925" s="13" t="n">
        <v>250</v>
      </c>
      <c r="L1925" s="6" t="n">
        <f aca="false">H1925*K1925</f>
        <v>250</v>
      </c>
      <c r="M1925" s="4" t="s">
        <v>371</v>
      </c>
    </row>
    <row r="1926" customFormat="false" ht="15" hidden="false" customHeight="false" outlineLevel="0" collapsed="false">
      <c r="A1926" s="4" t="s">
        <v>13</v>
      </c>
      <c r="B1926" s="5" t="s">
        <v>29</v>
      </c>
      <c r="C1926" s="5" t="s">
        <v>30</v>
      </c>
      <c r="D1926" s="4" t="s">
        <v>16</v>
      </c>
      <c r="E1926" s="4" t="s">
        <v>491</v>
      </c>
      <c r="F1926" s="4" t="s">
        <v>488</v>
      </c>
      <c r="G1926" s="4" t="s">
        <v>492</v>
      </c>
      <c r="H1926" s="12" t="n">
        <v>1</v>
      </c>
      <c r="I1926" s="4" t="s">
        <v>408</v>
      </c>
      <c r="J1926" s="4" t="s">
        <v>409</v>
      </c>
      <c r="K1926" s="13" t="n">
        <v>80</v>
      </c>
      <c r="L1926" s="6" t="n">
        <f aca="false">H1926*K1926</f>
        <v>80</v>
      </c>
      <c r="M1926" s="4" t="s">
        <v>371</v>
      </c>
    </row>
    <row r="1927" customFormat="false" ht="15" hidden="false" customHeight="false" outlineLevel="0" collapsed="false">
      <c r="A1927" s="4" t="s">
        <v>13</v>
      </c>
      <c r="B1927" s="5" t="s">
        <v>29</v>
      </c>
      <c r="C1927" s="5" t="s">
        <v>30</v>
      </c>
      <c r="D1927" s="4" t="s">
        <v>16</v>
      </c>
      <c r="E1927" s="4" t="s">
        <v>493</v>
      </c>
      <c r="F1927" s="4" t="s">
        <v>488</v>
      </c>
      <c r="G1927" s="4" t="s">
        <v>494</v>
      </c>
      <c r="H1927" s="12" t="n">
        <v>1</v>
      </c>
      <c r="I1927" s="4" t="s">
        <v>408</v>
      </c>
      <c r="J1927" s="4" t="s">
        <v>432</v>
      </c>
      <c r="K1927" s="13" t="n">
        <v>60</v>
      </c>
      <c r="L1927" s="6" t="n">
        <f aca="false">H1927*K1927</f>
        <v>60</v>
      </c>
      <c r="M1927" s="4" t="s">
        <v>371</v>
      </c>
    </row>
    <row r="1928" customFormat="false" ht="15" hidden="false" customHeight="false" outlineLevel="0" collapsed="false">
      <c r="A1928" s="4" t="s">
        <v>13</v>
      </c>
      <c r="B1928" s="5" t="s">
        <v>29</v>
      </c>
      <c r="C1928" s="5" t="s">
        <v>30</v>
      </c>
      <c r="D1928" s="4" t="s">
        <v>16</v>
      </c>
      <c r="E1928" s="4" t="s">
        <v>495</v>
      </c>
      <c r="F1928" s="4" t="s">
        <v>488</v>
      </c>
      <c r="G1928" s="4" t="s">
        <v>496</v>
      </c>
      <c r="H1928" s="12" t="n">
        <v>1</v>
      </c>
      <c r="I1928" s="4" t="s">
        <v>408</v>
      </c>
      <c r="J1928" s="4" t="s">
        <v>490</v>
      </c>
      <c r="K1928" s="13" t="n">
        <v>250</v>
      </c>
      <c r="L1928" s="6" t="n">
        <f aca="false">H1928*K1928</f>
        <v>250</v>
      </c>
      <c r="M1928" s="4" t="s">
        <v>371</v>
      </c>
    </row>
    <row r="1929" customFormat="false" ht="15" hidden="false" customHeight="false" outlineLevel="0" collapsed="false">
      <c r="A1929" s="4" t="s">
        <v>13</v>
      </c>
      <c r="B1929" s="5" t="s">
        <v>29</v>
      </c>
      <c r="C1929" s="5" t="s">
        <v>30</v>
      </c>
      <c r="D1929" s="4" t="s">
        <v>16</v>
      </c>
      <c r="E1929" s="4" t="s">
        <v>497</v>
      </c>
      <c r="F1929" s="4" t="s">
        <v>488</v>
      </c>
      <c r="G1929" s="4" t="s">
        <v>498</v>
      </c>
      <c r="H1929" s="12" t="n">
        <v>1</v>
      </c>
      <c r="I1929" s="4" t="s">
        <v>408</v>
      </c>
      <c r="J1929" s="4" t="s">
        <v>490</v>
      </c>
      <c r="K1929" s="13" t="n">
        <v>150</v>
      </c>
      <c r="L1929" s="6" t="n">
        <f aca="false">H1929*K1929</f>
        <v>150</v>
      </c>
      <c r="M1929" s="4" t="s">
        <v>371</v>
      </c>
    </row>
    <row r="1930" customFormat="false" ht="15" hidden="false" customHeight="false" outlineLevel="0" collapsed="false">
      <c r="A1930" s="4" t="s">
        <v>13</v>
      </c>
      <c r="B1930" s="5" t="s">
        <v>29</v>
      </c>
      <c r="C1930" s="5" t="s">
        <v>30</v>
      </c>
      <c r="D1930" s="4" t="s">
        <v>16</v>
      </c>
      <c r="E1930" s="4" t="s">
        <v>499</v>
      </c>
      <c r="F1930" s="4" t="s">
        <v>488</v>
      </c>
      <c r="G1930" s="4" t="s">
        <v>500</v>
      </c>
      <c r="H1930" s="12" t="n">
        <v>1</v>
      </c>
      <c r="I1930" s="4" t="s">
        <v>408</v>
      </c>
      <c r="J1930" s="4" t="s">
        <v>416</v>
      </c>
      <c r="K1930" s="13" t="n">
        <v>500</v>
      </c>
      <c r="L1930" s="6" t="n">
        <f aca="false">H1930*K1930</f>
        <v>500</v>
      </c>
      <c r="M1930" s="4" t="s">
        <v>371</v>
      </c>
    </row>
    <row r="1931" customFormat="false" ht="15" hidden="false" customHeight="false" outlineLevel="0" collapsed="false">
      <c r="A1931" s="4" t="s">
        <v>13</v>
      </c>
      <c r="B1931" s="5" t="s">
        <v>29</v>
      </c>
      <c r="C1931" s="5" t="s">
        <v>30</v>
      </c>
      <c r="D1931" s="4" t="s">
        <v>16</v>
      </c>
      <c r="E1931" s="4" t="s">
        <v>702</v>
      </c>
      <c r="F1931" s="4" t="s">
        <v>488</v>
      </c>
      <c r="G1931" s="4" t="s">
        <v>703</v>
      </c>
      <c r="H1931" s="12" t="n">
        <v>1</v>
      </c>
      <c r="I1931" s="4" t="s">
        <v>408</v>
      </c>
      <c r="J1931" s="4" t="s">
        <v>503</v>
      </c>
      <c r="K1931" s="13" t="n">
        <v>350</v>
      </c>
      <c r="L1931" s="6" t="n">
        <f aca="false">H1931*K1931</f>
        <v>350</v>
      </c>
      <c r="M1931" s="4" t="s">
        <v>371</v>
      </c>
    </row>
    <row r="1932" customFormat="false" ht="15" hidden="false" customHeight="false" outlineLevel="0" collapsed="false">
      <c r="A1932" s="4" t="s">
        <v>13</v>
      </c>
      <c r="B1932" s="5" t="s">
        <v>29</v>
      </c>
      <c r="C1932" s="5" t="s">
        <v>30</v>
      </c>
      <c r="D1932" s="4" t="s">
        <v>16</v>
      </c>
      <c r="E1932" s="4" t="s">
        <v>2959</v>
      </c>
      <c r="F1932" s="4" t="s">
        <v>488</v>
      </c>
      <c r="G1932" s="4" t="s">
        <v>2960</v>
      </c>
      <c r="H1932" s="12" t="n">
        <v>1</v>
      </c>
      <c r="I1932" s="4" t="s">
        <v>408</v>
      </c>
      <c r="J1932" s="4" t="s">
        <v>506</v>
      </c>
      <c r="K1932" s="13" t="n">
        <v>180</v>
      </c>
      <c r="L1932" s="6" t="n">
        <f aca="false">H1932*K1932</f>
        <v>180</v>
      </c>
      <c r="M1932" s="4" t="s">
        <v>371</v>
      </c>
    </row>
    <row r="1933" customFormat="false" ht="15" hidden="false" customHeight="false" outlineLevel="0" collapsed="false">
      <c r="A1933" s="4" t="s">
        <v>13</v>
      </c>
      <c r="B1933" s="5" t="s">
        <v>34</v>
      </c>
      <c r="C1933" s="5" t="s">
        <v>35</v>
      </c>
      <c r="D1933" s="4" t="s">
        <v>16</v>
      </c>
      <c r="E1933" s="4" t="s">
        <v>2961</v>
      </c>
      <c r="F1933" s="4" t="s">
        <v>406</v>
      </c>
      <c r="G1933" s="4" t="s">
        <v>2962</v>
      </c>
      <c r="H1933" s="12" t="n">
        <v>1</v>
      </c>
      <c r="I1933" s="4" t="s">
        <v>408</v>
      </c>
      <c r="J1933" s="4" t="s">
        <v>409</v>
      </c>
      <c r="K1933" s="13" t="n">
        <v>850</v>
      </c>
      <c r="L1933" s="6" t="n">
        <f aca="false">H1933*K1933</f>
        <v>850</v>
      </c>
      <c r="M1933" s="14" t="s">
        <v>410</v>
      </c>
    </row>
    <row r="1934" customFormat="false" ht="15" hidden="false" customHeight="false" outlineLevel="0" collapsed="false">
      <c r="A1934" s="4" t="s">
        <v>13</v>
      </c>
      <c r="B1934" s="5" t="s">
        <v>34</v>
      </c>
      <c r="C1934" s="5" t="s">
        <v>35</v>
      </c>
      <c r="D1934" s="4" t="s">
        <v>16</v>
      </c>
      <c r="E1934" s="4" t="s">
        <v>2963</v>
      </c>
      <c r="F1934" s="4" t="s">
        <v>406</v>
      </c>
      <c r="G1934" s="4" t="s">
        <v>2964</v>
      </c>
      <c r="H1934" s="12" t="n">
        <v>1</v>
      </c>
      <c r="I1934" s="4" t="s">
        <v>408</v>
      </c>
      <c r="J1934" s="4" t="s">
        <v>409</v>
      </c>
      <c r="K1934" s="13" t="n">
        <v>850</v>
      </c>
      <c r="L1934" s="6" t="n">
        <f aca="false">H1934*K1934</f>
        <v>850</v>
      </c>
      <c r="M1934" s="14" t="s">
        <v>410</v>
      </c>
    </row>
    <row r="1935" customFormat="false" ht="15" hidden="false" customHeight="false" outlineLevel="0" collapsed="false">
      <c r="A1935" s="4" t="s">
        <v>13</v>
      </c>
      <c r="B1935" s="5" t="s">
        <v>34</v>
      </c>
      <c r="C1935" s="5" t="s">
        <v>35</v>
      </c>
      <c r="D1935" s="4" t="s">
        <v>16</v>
      </c>
      <c r="E1935" s="4" t="s">
        <v>2965</v>
      </c>
      <c r="F1935" s="4" t="s">
        <v>406</v>
      </c>
      <c r="G1935" s="4" t="s">
        <v>2966</v>
      </c>
      <c r="H1935" s="12" t="n">
        <v>1</v>
      </c>
      <c r="I1935" s="4" t="s">
        <v>408</v>
      </c>
      <c r="J1935" s="4" t="s">
        <v>409</v>
      </c>
      <c r="K1935" s="13" t="n">
        <v>450</v>
      </c>
      <c r="L1935" s="6" t="n">
        <f aca="false">H1935*K1935</f>
        <v>450</v>
      </c>
      <c r="M1935" s="14" t="s">
        <v>410</v>
      </c>
    </row>
    <row r="1936" customFormat="false" ht="15" hidden="false" customHeight="false" outlineLevel="0" collapsed="false">
      <c r="A1936" s="4" t="s">
        <v>13</v>
      </c>
      <c r="B1936" s="5" t="s">
        <v>34</v>
      </c>
      <c r="C1936" s="5" t="s">
        <v>35</v>
      </c>
      <c r="D1936" s="4" t="s">
        <v>16</v>
      </c>
      <c r="E1936" s="4" t="s">
        <v>2967</v>
      </c>
      <c r="F1936" s="4" t="s">
        <v>406</v>
      </c>
      <c r="G1936" s="4" t="s">
        <v>2968</v>
      </c>
      <c r="H1936" s="12" t="n">
        <v>1</v>
      </c>
      <c r="I1936" s="4" t="s">
        <v>408</v>
      </c>
      <c r="J1936" s="4" t="s">
        <v>416</v>
      </c>
      <c r="K1936" s="13" t="n">
        <v>350</v>
      </c>
      <c r="L1936" s="6" t="n">
        <f aca="false">H1936*K1936</f>
        <v>350</v>
      </c>
      <c r="M1936" s="14" t="s">
        <v>410</v>
      </c>
    </row>
    <row r="1937" customFormat="false" ht="15" hidden="false" customHeight="false" outlineLevel="0" collapsed="false">
      <c r="A1937" s="4" t="s">
        <v>13</v>
      </c>
      <c r="B1937" s="5" t="s">
        <v>34</v>
      </c>
      <c r="C1937" s="5" t="s">
        <v>35</v>
      </c>
      <c r="D1937" s="4" t="s">
        <v>16</v>
      </c>
      <c r="E1937" s="4" t="s">
        <v>2969</v>
      </c>
      <c r="F1937" s="4" t="s">
        <v>406</v>
      </c>
      <c r="G1937" s="4" t="s">
        <v>1308</v>
      </c>
      <c r="H1937" s="12" t="n">
        <v>1</v>
      </c>
      <c r="I1937" s="4" t="s">
        <v>408</v>
      </c>
      <c r="J1937" s="4" t="s">
        <v>409</v>
      </c>
      <c r="K1937" s="13" t="n">
        <v>350</v>
      </c>
      <c r="L1937" s="6" t="n">
        <f aca="false">H1937*K1937</f>
        <v>350</v>
      </c>
      <c r="M1937" s="14" t="s">
        <v>410</v>
      </c>
    </row>
    <row r="1938" customFormat="false" ht="15" hidden="false" customHeight="false" outlineLevel="0" collapsed="false">
      <c r="A1938" s="4" t="s">
        <v>13</v>
      </c>
      <c r="B1938" s="5" t="s">
        <v>34</v>
      </c>
      <c r="C1938" s="5" t="s">
        <v>35</v>
      </c>
      <c r="D1938" s="4" t="s">
        <v>16</v>
      </c>
      <c r="E1938" s="4" t="s">
        <v>2970</v>
      </c>
      <c r="F1938" s="4" t="s">
        <v>406</v>
      </c>
      <c r="G1938" s="4" t="s">
        <v>2971</v>
      </c>
      <c r="H1938" s="12" t="n">
        <v>1</v>
      </c>
      <c r="I1938" s="4" t="s">
        <v>408</v>
      </c>
      <c r="J1938" s="4" t="s">
        <v>416</v>
      </c>
      <c r="K1938" s="13" t="n">
        <v>450</v>
      </c>
      <c r="L1938" s="6" t="n">
        <f aca="false">H1938*K1938</f>
        <v>450</v>
      </c>
      <c r="M1938" s="14" t="s">
        <v>410</v>
      </c>
    </row>
    <row r="1939" customFormat="false" ht="15" hidden="false" customHeight="false" outlineLevel="0" collapsed="false">
      <c r="A1939" s="4" t="s">
        <v>13</v>
      </c>
      <c r="B1939" s="5" t="s">
        <v>34</v>
      </c>
      <c r="C1939" s="5" t="s">
        <v>35</v>
      </c>
      <c r="D1939" s="4" t="s">
        <v>16</v>
      </c>
      <c r="E1939" s="4" t="s">
        <v>2972</v>
      </c>
      <c r="F1939" s="4" t="s">
        <v>406</v>
      </c>
      <c r="G1939" s="4" t="s">
        <v>2973</v>
      </c>
      <c r="H1939" s="12" t="n">
        <v>1</v>
      </c>
      <c r="I1939" s="4" t="s">
        <v>408</v>
      </c>
      <c r="J1939" s="4" t="s">
        <v>416</v>
      </c>
      <c r="K1939" s="13" t="n">
        <v>2500</v>
      </c>
      <c r="L1939" s="6" t="n">
        <f aca="false">H1939*K1939</f>
        <v>2500</v>
      </c>
      <c r="M1939" s="14" t="s">
        <v>410</v>
      </c>
    </row>
    <row r="1940" customFormat="false" ht="15" hidden="false" customHeight="false" outlineLevel="0" collapsed="false">
      <c r="A1940" s="4" t="s">
        <v>13</v>
      </c>
      <c r="B1940" s="5" t="s">
        <v>34</v>
      </c>
      <c r="C1940" s="5" t="s">
        <v>35</v>
      </c>
      <c r="D1940" s="4" t="s">
        <v>16</v>
      </c>
      <c r="E1940" s="4" t="s">
        <v>2974</v>
      </c>
      <c r="F1940" s="4" t="s">
        <v>406</v>
      </c>
      <c r="G1940" s="4" t="s">
        <v>2975</v>
      </c>
      <c r="H1940" s="12" t="n">
        <v>1</v>
      </c>
      <c r="I1940" s="4" t="s">
        <v>408</v>
      </c>
      <c r="J1940" s="4" t="s">
        <v>409</v>
      </c>
      <c r="K1940" s="13" t="n">
        <v>4500</v>
      </c>
      <c r="L1940" s="6" t="n">
        <f aca="false">H1940*K1940</f>
        <v>4500</v>
      </c>
      <c r="M1940" s="14" t="s">
        <v>410</v>
      </c>
    </row>
    <row r="1941" customFormat="false" ht="15" hidden="false" customHeight="false" outlineLevel="0" collapsed="false">
      <c r="A1941" s="4" t="s">
        <v>13</v>
      </c>
      <c r="B1941" s="5" t="s">
        <v>34</v>
      </c>
      <c r="C1941" s="5" t="s">
        <v>35</v>
      </c>
      <c r="D1941" s="4" t="s">
        <v>16</v>
      </c>
      <c r="E1941" s="4" t="s">
        <v>2976</v>
      </c>
      <c r="F1941" s="4" t="s">
        <v>406</v>
      </c>
      <c r="G1941" s="4" t="s">
        <v>2977</v>
      </c>
      <c r="H1941" s="12" t="n">
        <v>1</v>
      </c>
      <c r="I1941" s="4" t="s">
        <v>408</v>
      </c>
      <c r="J1941" s="4" t="s">
        <v>409</v>
      </c>
      <c r="K1941" s="13" t="n">
        <v>1800</v>
      </c>
      <c r="L1941" s="6" t="n">
        <f aca="false">H1941*K1941</f>
        <v>1800</v>
      </c>
      <c r="M1941" s="14" t="s">
        <v>410</v>
      </c>
    </row>
    <row r="1942" customFormat="false" ht="15" hidden="false" customHeight="false" outlineLevel="0" collapsed="false">
      <c r="A1942" s="4" t="s">
        <v>13</v>
      </c>
      <c r="B1942" s="5" t="s">
        <v>34</v>
      </c>
      <c r="C1942" s="5" t="s">
        <v>35</v>
      </c>
      <c r="D1942" s="4" t="s">
        <v>16</v>
      </c>
      <c r="E1942" s="4" t="s">
        <v>2978</v>
      </c>
      <c r="F1942" s="4" t="s">
        <v>406</v>
      </c>
      <c r="G1942" s="4" t="s">
        <v>2979</v>
      </c>
      <c r="H1942" s="12" t="n">
        <v>1</v>
      </c>
      <c r="I1942" s="4" t="s">
        <v>408</v>
      </c>
      <c r="J1942" s="4" t="s">
        <v>409</v>
      </c>
      <c r="K1942" s="13" t="n">
        <v>8500</v>
      </c>
      <c r="L1942" s="6" t="n">
        <f aca="false">H1942*K1942</f>
        <v>8500</v>
      </c>
      <c r="M1942" s="14" t="s">
        <v>410</v>
      </c>
    </row>
    <row r="1943" customFormat="false" ht="15" hidden="false" customHeight="false" outlineLevel="0" collapsed="false">
      <c r="A1943" s="4" t="s">
        <v>13</v>
      </c>
      <c r="B1943" s="5" t="s">
        <v>34</v>
      </c>
      <c r="C1943" s="5" t="s">
        <v>35</v>
      </c>
      <c r="D1943" s="4" t="s">
        <v>16</v>
      </c>
      <c r="E1943" s="4" t="s">
        <v>2980</v>
      </c>
      <c r="F1943" s="4" t="s">
        <v>406</v>
      </c>
      <c r="G1943" s="4" t="s">
        <v>2981</v>
      </c>
      <c r="H1943" s="12" t="n">
        <v>1</v>
      </c>
      <c r="I1943" s="4" t="s">
        <v>408</v>
      </c>
      <c r="J1943" s="4" t="s">
        <v>413</v>
      </c>
      <c r="K1943" s="13" t="n">
        <v>4500</v>
      </c>
      <c r="L1943" s="6" t="n">
        <f aca="false">H1943*K1943</f>
        <v>4500</v>
      </c>
      <c r="M1943" s="14" t="s">
        <v>410</v>
      </c>
    </row>
    <row r="1944" customFormat="false" ht="15" hidden="false" customHeight="false" outlineLevel="0" collapsed="false">
      <c r="A1944" s="4" t="s">
        <v>13</v>
      </c>
      <c r="B1944" s="5" t="s">
        <v>34</v>
      </c>
      <c r="C1944" s="5" t="s">
        <v>35</v>
      </c>
      <c r="D1944" s="4" t="s">
        <v>16</v>
      </c>
      <c r="E1944" s="4" t="s">
        <v>467</v>
      </c>
      <c r="F1944" s="4" t="s">
        <v>406</v>
      </c>
      <c r="G1944" s="4" t="s">
        <v>468</v>
      </c>
      <c r="H1944" s="12" t="n">
        <v>1</v>
      </c>
      <c r="I1944" s="4" t="s">
        <v>408</v>
      </c>
      <c r="J1944" s="4" t="s">
        <v>409</v>
      </c>
      <c r="K1944" s="13" t="n">
        <v>250</v>
      </c>
      <c r="L1944" s="6" t="n">
        <f aca="false">H1944*K1944</f>
        <v>250</v>
      </c>
      <c r="M1944" s="14" t="s">
        <v>410</v>
      </c>
    </row>
    <row r="1945" customFormat="false" ht="15" hidden="false" customHeight="false" outlineLevel="0" collapsed="false">
      <c r="A1945" s="4" t="s">
        <v>13</v>
      </c>
      <c r="B1945" s="5" t="s">
        <v>34</v>
      </c>
      <c r="C1945" s="5" t="s">
        <v>35</v>
      </c>
      <c r="D1945" s="4" t="s">
        <v>16</v>
      </c>
      <c r="E1945" s="4" t="s">
        <v>2982</v>
      </c>
      <c r="F1945" s="4" t="s">
        <v>406</v>
      </c>
      <c r="G1945" s="4" t="s">
        <v>2983</v>
      </c>
      <c r="H1945" s="12" t="n">
        <v>1</v>
      </c>
      <c r="I1945" s="4" t="s">
        <v>408</v>
      </c>
      <c r="J1945" s="4" t="s">
        <v>409</v>
      </c>
      <c r="K1945" s="13" t="n">
        <v>12000</v>
      </c>
      <c r="L1945" s="6" t="n">
        <f aca="false">H1945*K1945</f>
        <v>12000</v>
      </c>
      <c r="M1945" s="14" t="s">
        <v>410</v>
      </c>
    </row>
    <row r="1946" customFormat="false" ht="15" hidden="false" customHeight="false" outlineLevel="0" collapsed="false">
      <c r="A1946" s="4" t="s">
        <v>13</v>
      </c>
      <c r="B1946" s="5" t="s">
        <v>34</v>
      </c>
      <c r="C1946" s="5" t="s">
        <v>35</v>
      </c>
      <c r="D1946" s="4" t="s">
        <v>16</v>
      </c>
      <c r="E1946" s="4" t="s">
        <v>2984</v>
      </c>
      <c r="F1946" s="4" t="s">
        <v>406</v>
      </c>
      <c r="G1946" s="4" t="s">
        <v>2985</v>
      </c>
      <c r="H1946" s="12" t="n">
        <v>1</v>
      </c>
      <c r="I1946" s="4" t="s">
        <v>408</v>
      </c>
      <c r="J1946" s="4" t="s">
        <v>409</v>
      </c>
      <c r="K1946" s="13" t="n">
        <v>6500</v>
      </c>
      <c r="L1946" s="6" t="n">
        <f aca="false">H1946*K1946</f>
        <v>6500</v>
      </c>
      <c r="M1946" s="14" t="s">
        <v>410</v>
      </c>
    </row>
    <row r="1947" customFormat="false" ht="15" hidden="false" customHeight="false" outlineLevel="0" collapsed="false">
      <c r="A1947" s="4" t="s">
        <v>13</v>
      </c>
      <c r="B1947" s="5" t="s">
        <v>34</v>
      </c>
      <c r="C1947" s="5" t="s">
        <v>35</v>
      </c>
      <c r="D1947" s="4" t="s">
        <v>16</v>
      </c>
      <c r="E1947" s="4" t="s">
        <v>2986</v>
      </c>
      <c r="F1947" s="4" t="s">
        <v>406</v>
      </c>
      <c r="G1947" s="4" t="s">
        <v>2987</v>
      </c>
      <c r="H1947" s="12" t="n">
        <v>1</v>
      </c>
      <c r="I1947" s="4" t="s">
        <v>408</v>
      </c>
      <c r="J1947" s="4" t="s">
        <v>416</v>
      </c>
      <c r="K1947" s="13" t="n">
        <v>1800</v>
      </c>
      <c r="L1947" s="6" t="n">
        <f aca="false">H1947*K1947</f>
        <v>1800</v>
      </c>
      <c r="M1947" s="14" t="s">
        <v>410</v>
      </c>
    </row>
    <row r="1948" customFormat="false" ht="15" hidden="false" customHeight="false" outlineLevel="0" collapsed="false">
      <c r="A1948" s="4" t="s">
        <v>13</v>
      </c>
      <c r="B1948" s="5" t="s">
        <v>34</v>
      </c>
      <c r="C1948" s="5" t="s">
        <v>35</v>
      </c>
      <c r="D1948" s="4" t="s">
        <v>16</v>
      </c>
      <c r="E1948" s="4" t="s">
        <v>2988</v>
      </c>
      <c r="F1948" s="4" t="s">
        <v>406</v>
      </c>
      <c r="G1948" s="4" t="s">
        <v>2989</v>
      </c>
      <c r="H1948" s="12" t="n">
        <v>1</v>
      </c>
      <c r="I1948" s="4" t="s">
        <v>408</v>
      </c>
      <c r="J1948" s="4" t="s">
        <v>409</v>
      </c>
      <c r="K1948" s="13" t="n">
        <v>1800</v>
      </c>
      <c r="L1948" s="6" t="n">
        <f aca="false">H1948*K1948</f>
        <v>1800</v>
      </c>
      <c r="M1948" s="14" t="s">
        <v>410</v>
      </c>
    </row>
    <row r="1949" customFormat="false" ht="15" hidden="false" customHeight="false" outlineLevel="0" collapsed="false">
      <c r="A1949" s="4" t="s">
        <v>13</v>
      </c>
      <c r="B1949" s="5" t="s">
        <v>34</v>
      </c>
      <c r="C1949" s="5" t="s">
        <v>35</v>
      </c>
      <c r="D1949" s="4" t="s">
        <v>16</v>
      </c>
      <c r="E1949" s="4" t="s">
        <v>2990</v>
      </c>
      <c r="F1949" s="4" t="s">
        <v>406</v>
      </c>
      <c r="G1949" s="4" t="s">
        <v>2991</v>
      </c>
      <c r="H1949" s="12" t="n">
        <v>1</v>
      </c>
      <c r="I1949" s="4" t="s">
        <v>408</v>
      </c>
      <c r="J1949" s="4" t="s">
        <v>409</v>
      </c>
      <c r="K1949" s="13" t="n">
        <v>850</v>
      </c>
      <c r="L1949" s="6" t="n">
        <f aca="false">H1949*K1949</f>
        <v>850</v>
      </c>
      <c r="M1949" s="14" t="s">
        <v>410</v>
      </c>
    </row>
    <row r="1950" customFormat="false" ht="15" hidden="false" customHeight="false" outlineLevel="0" collapsed="false">
      <c r="A1950" s="4" t="s">
        <v>13</v>
      </c>
      <c r="B1950" s="5" t="s">
        <v>34</v>
      </c>
      <c r="C1950" s="5" t="s">
        <v>35</v>
      </c>
      <c r="D1950" s="4" t="s">
        <v>16</v>
      </c>
      <c r="E1950" s="4" t="s">
        <v>2992</v>
      </c>
      <c r="F1950" s="4" t="s">
        <v>406</v>
      </c>
      <c r="G1950" s="4" t="s">
        <v>2993</v>
      </c>
      <c r="H1950" s="12" t="n">
        <v>1</v>
      </c>
      <c r="I1950" s="4" t="s">
        <v>408</v>
      </c>
      <c r="J1950" s="4" t="s">
        <v>409</v>
      </c>
      <c r="K1950" s="13" t="n">
        <v>8500</v>
      </c>
      <c r="L1950" s="6" t="n">
        <f aca="false">H1950*K1950</f>
        <v>8500</v>
      </c>
      <c r="M1950" s="14" t="s">
        <v>410</v>
      </c>
    </row>
    <row r="1951" customFormat="false" ht="15" hidden="false" customHeight="false" outlineLevel="0" collapsed="false">
      <c r="A1951" s="4" t="s">
        <v>13</v>
      </c>
      <c r="B1951" s="5" t="s">
        <v>34</v>
      </c>
      <c r="C1951" s="5" t="s">
        <v>35</v>
      </c>
      <c r="D1951" s="4" t="s">
        <v>16</v>
      </c>
      <c r="E1951" s="4" t="s">
        <v>2994</v>
      </c>
      <c r="F1951" s="4" t="s">
        <v>406</v>
      </c>
      <c r="G1951" s="4" t="s">
        <v>2995</v>
      </c>
      <c r="H1951" s="12" t="n">
        <v>1</v>
      </c>
      <c r="I1951" s="4" t="s">
        <v>408</v>
      </c>
      <c r="J1951" s="4" t="s">
        <v>409</v>
      </c>
      <c r="K1951" s="13" t="n">
        <v>4500</v>
      </c>
      <c r="L1951" s="6" t="n">
        <f aca="false">H1951*K1951</f>
        <v>4500</v>
      </c>
      <c r="M1951" s="14" t="s">
        <v>410</v>
      </c>
    </row>
    <row r="1952" customFormat="false" ht="15" hidden="false" customHeight="false" outlineLevel="0" collapsed="false">
      <c r="A1952" s="4" t="s">
        <v>13</v>
      </c>
      <c r="B1952" s="5" t="s">
        <v>34</v>
      </c>
      <c r="C1952" s="5" t="s">
        <v>35</v>
      </c>
      <c r="D1952" s="4" t="s">
        <v>16</v>
      </c>
      <c r="E1952" s="4" t="s">
        <v>2996</v>
      </c>
      <c r="F1952" s="4" t="s">
        <v>406</v>
      </c>
      <c r="G1952" s="4" t="s">
        <v>2997</v>
      </c>
      <c r="H1952" s="12" t="n">
        <v>1</v>
      </c>
      <c r="I1952" s="4" t="s">
        <v>408</v>
      </c>
      <c r="J1952" s="4" t="s">
        <v>409</v>
      </c>
      <c r="K1952" s="13" t="n">
        <v>850</v>
      </c>
      <c r="L1952" s="6" t="n">
        <f aca="false">H1952*K1952</f>
        <v>850</v>
      </c>
      <c r="M1952" s="14" t="s">
        <v>410</v>
      </c>
    </row>
    <row r="1953" customFormat="false" ht="15" hidden="false" customHeight="false" outlineLevel="0" collapsed="false">
      <c r="A1953" s="4" t="s">
        <v>13</v>
      </c>
      <c r="B1953" s="5" t="s">
        <v>34</v>
      </c>
      <c r="C1953" s="5" t="s">
        <v>35</v>
      </c>
      <c r="D1953" s="4" t="s">
        <v>16</v>
      </c>
      <c r="E1953" s="4" t="s">
        <v>2998</v>
      </c>
      <c r="F1953" s="4" t="s">
        <v>406</v>
      </c>
      <c r="G1953" s="4" t="s">
        <v>2999</v>
      </c>
      <c r="H1953" s="12" t="n">
        <v>1</v>
      </c>
      <c r="I1953" s="4" t="s">
        <v>408</v>
      </c>
      <c r="J1953" s="4" t="s">
        <v>409</v>
      </c>
      <c r="K1953" s="13" t="n">
        <v>1800</v>
      </c>
      <c r="L1953" s="6" t="n">
        <f aca="false">H1953*K1953</f>
        <v>1800</v>
      </c>
      <c r="M1953" s="14" t="s">
        <v>410</v>
      </c>
    </row>
    <row r="1954" customFormat="false" ht="15" hidden="false" customHeight="false" outlineLevel="0" collapsed="false">
      <c r="A1954" s="4" t="s">
        <v>13</v>
      </c>
      <c r="B1954" s="5" t="s">
        <v>34</v>
      </c>
      <c r="C1954" s="5" t="s">
        <v>35</v>
      </c>
      <c r="D1954" s="4" t="s">
        <v>16</v>
      </c>
      <c r="E1954" s="4" t="s">
        <v>3000</v>
      </c>
      <c r="F1954" s="4" t="s">
        <v>406</v>
      </c>
      <c r="G1954" s="4" t="s">
        <v>3001</v>
      </c>
      <c r="H1954" s="12" t="n">
        <v>1</v>
      </c>
      <c r="I1954" s="4" t="s">
        <v>408</v>
      </c>
      <c r="J1954" s="4" t="s">
        <v>409</v>
      </c>
      <c r="K1954" s="13" t="n">
        <v>1200</v>
      </c>
      <c r="L1954" s="6" t="n">
        <f aca="false">H1954*K1954</f>
        <v>1200</v>
      </c>
      <c r="M1954" s="14" t="s">
        <v>410</v>
      </c>
    </row>
    <row r="1955" customFormat="false" ht="15" hidden="false" customHeight="false" outlineLevel="0" collapsed="false">
      <c r="A1955" s="4" t="s">
        <v>13</v>
      </c>
      <c r="B1955" s="5" t="s">
        <v>34</v>
      </c>
      <c r="C1955" s="5" t="s">
        <v>35</v>
      </c>
      <c r="D1955" s="4" t="s">
        <v>16</v>
      </c>
      <c r="E1955" s="4" t="s">
        <v>3002</v>
      </c>
      <c r="F1955" s="4" t="s">
        <v>406</v>
      </c>
      <c r="G1955" s="4" t="s">
        <v>3003</v>
      </c>
      <c r="H1955" s="12" t="n">
        <v>1</v>
      </c>
      <c r="I1955" s="4" t="s">
        <v>408</v>
      </c>
      <c r="J1955" s="4" t="s">
        <v>543</v>
      </c>
      <c r="K1955" s="13" t="n">
        <v>18000</v>
      </c>
      <c r="L1955" s="6" t="n">
        <f aca="false">H1955*K1955</f>
        <v>18000</v>
      </c>
      <c r="M1955" s="14" t="s">
        <v>410</v>
      </c>
    </row>
    <row r="1956" customFormat="false" ht="15" hidden="false" customHeight="false" outlineLevel="0" collapsed="false">
      <c r="A1956" s="4" t="s">
        <v>13</v>
      </c>
      <c r="B1956" s="5" t="s">
        <v>34</v>
      </c>
      <c r="C1956" s="5" t="s">
        <v>35</v>
      </c>
      <c r="D1956" s="4" t="s">
        <v>16</v>
      </c>
      <c r="E1956" s="4" t="s">
        <v>1451</v>
      </c>
      <c r="F1956" s="4" t="s">
        <v>470</v>
      </c>
      <c r="G1956" s="4" t="s">
        <v>1452</v>
      </c>
      <c r="H1956" s="12" t="n">
        <v>1</v>
      </c>
      <c r="I1956" s="4" t="s">
        <v>408</v>
      </c>
      <c r="J1956" s="4" t="s">
        <v>413</v>
      </c>
      <c r="K1956" s="13" t="n">
        <v>450</v>
      </c>
      <c r="L1956" s="6" t="n">
        <f aca="false">H1956*K1956</f>
        <v>450</v>
      </c>
      <c r="M1956" s="4" t="s">
        <v>371</v>
      </c>
    </row>
    <row r="1957" customFormat="false" ht="15" hidden="false" customHeight="false" outlineLevel="0" collapsed="false">
      <c r="A1957" s="4" t="s">
        <v>13</v>
      </c>
      <c r="B1957" s="5" t="s">
        <v>34</v>
      </c>
      <c r="C1957" s="5" t="s">
        <v>35</v>
      </c>
      <c r="D1957" s="4" t="s">
        <v>16</v>
      </c>
      <c r="E1957" s="4" t="s">
        <v>3004</v>
      </c>
      <c r="F1957" s="4" t="s">
        <v>470</v>
      </c>
      <c r="G1957" s="4" t="s">
        <v>3005</v>
      </c>
      <c r="H1957" s="12" t="n">
        <v>1</v>
      </c>
      <c r="I1957" s="4" t="s">
        <v>408</v>
      </c>
      <c r="J1957" s="4" t="s">
        <v>416</v>
      </c>
      <c r="K1957" s="13" t="n">
        <v>450</v>
      </c>
      <c r="L1957" s="6" t="n">
        <f aca="false">H1957*K1957</f>
        <v>450</v>
      </c>
      <c r="M1957" s="4" t="s">
        <v>371</v>
      </c>
    </row>
    <row r="1958" customFormat="false" ht="15" hidden="false" customHeight="false" outlineLevel="0" collapsed="false">
      <c r="A1958" s="4" t="s">
        <v>13</v>
      </c>
      <c r="B1958" s="5" t="s">
        <v>34</v>
      </c>
      <c r="C1958" s="5" t="s">
        <v>35</v>
      </c>
      <c r="D1958" s="4" t="s">
        <v>16</v>
      </c>
      <c r="E1958" s="4" t="s">
        <v>3006</v>
      </c>
      <c r="F1958" s="4" t="s">
        <v>488</v>
      </c>
      <c r="G1958" s="4" t="s">
        <v>3007</v>
      </c>
      <c r="H1958" s="12" t="n">
        <v>1</v>
      </c>
      <c r="I1958" s="4" t="s">
        <v>408</v>
      </c>
      <c r="J1958" s="4" t="s">
        <v>416</v>
      </c>
      <c r="K1958" s="13" t="n">
        <v>800</v>
      </c>
      <c r="L1958" s="6" t="n">
        <f aca="false">H1958*K1958</f>
        <v>800</v>
      </c>
      <c r="M1958" s="4" t="s">
        <v>371</v>
      </c>
    </row>
    <row r="1959" customFormat="false" ht="15" hidden="false" customHeight="false" outlineLevel="0" collapsed="false">
      <c r="A1959" s="4" t="s">
        <v>13</v>
      </c>
      <c r="B1959" s="5" t="s">
        <v>34</v>
      </c>
      <c r="C1959" s="5" t="s">
        <v>35</v>
      </c>
      <c r="D1959" s="4" t="s">
        <v>16</v>
      </c>
      <c r="E1959" s="4" t="s">
        <v>3008</v>
      </c>
      <c r="F1959" s="4" t="s">
        <v>488</v>
      </c>
      <c r="G1959" s="4" t="s">
        <v>3009</v>
      </c>
      <c r="H1959" s="12" t="n">
        <v>1</v>
      </c>
      <c r="I1959" s="4" t="s">
        <v>408</v>
      </c>
      <c r="J1959" s="4" t="s">
        <v>506</v>
      </c>
      <c r="K1959" s="13" t="n">
        <v>250</v>
      </c>
      <c r="L1959" s="6" t="n">
        <f aca="false">H1959*K1959</f>
        <v>250</v>
      </c>
      <c r="M1959" s="4" t="s">
        <v>371</v>
      </c>
    </row>
    <row r="1960" customFormat="false" ht="15" hidden="false" customHeight="false" outlineLevel="0" collapsed="false">
      <c r="A1960" s="4" t="s">
        <v>13</v>
      </c>
      <c r="B1960" s="5" t="s">
        <v>34</v>
      </c>
      <c r="C1960" s="5" t="s">
        <v>35</v>
      </c>
      <c r="D1960" s="4" t="s">
        <v>16</v>
      </c>
      <c r="E1960" s="4" t="s">
        <v>3010</v>
      </c>
      <c r="F1960" s="4" t="s">
        <v>470</v>
      </c>
      <c r="G1960" s="4" t="s">
        <v>3011</v>
      </c>
      <c r="H1960" s="12" t="n">
        <v>1</v>
      </c>
      <c r="I1960" s="4" t="s">
        <v>408</v>
      </c>
      <c r="J1960" s="4" t="s">
        <v>416</v>
      </c>
      <c r="K1960" s="13" t="n">
        <v>850</v>
      </c>
      <c r="L1960" s="6" t="n">
        <f aca="false">H1960*K1960</f>
        <v>850</v>
      </c>
      <c r="M1960" s="4" t="s">
        <v>371</v>
      </c>
    </row>
    <row r="1961" customFormat="false" ht="15" hidden="false" customHeight="false" outlineLevel="0" collapsed="false">
      <c r="A1961" s="4" t="s">
        <v>13</v>
      </c>
      <c r="B1961" s="5" t="s">
        <v>36</v>
      </c>
      <c r="C1961" s="5" t="s">
        <v>37</v>
      </c>
      <c r="D1961" s="4" t="s">
        <v>16</v>
      </c>
      <c r="E1961" s="4" t="s">
        <v>3012</v>
      </c>
      <c r="F1961" s="4" t="s">
        <v>406</v>
      </c>
      <c r="G1961" s="4" t="s">
        <v>3013</v>
      </c>
      <c r="H1961" s="12" t="n">
        <v>1</v>
      </c>
      <c r="I1961" s="4" t="s">
        <v>408</v>
      </c>
      <c r="J1961" s="4" t="s">
        <v>409</v>
      </c>
      <c r="K1961" s="13" t="n">
        <v>850</v>
      </c>
      <c r="L1961" s="6" t="n">
        <f aca="false">H1961*K1961</f>
        <v>850</v>
      </c>
      <c r="M1961" s="14" t="s">
        <v>410</v>
      </c>
    </row>
    <row r="1962" customFormat="false" ht="15" hidden="false" customHeight="false" outlineLevel="0" collapsed="false">
      <c r="A1962" s="4" t="s">
        <v>13</v>
      </c>
      <c r="B1962" s="5" t="s">
        <v>36</v>
      </c>
      <c r="C1962" s="5" t="s">
        <v>37</v>
      </c>
      <c r="D1962" s="4" t="s">
        <v>16</v>
      </c>
      <c r="E1962" s="4" t="s">
        <v>3014</v>
      </c>
      <c r="F1962" s="4" t="s">
        <v>406</v>
      </c>
      <c r="G1962" s="4" t="s">
        <v>3015</v>
      </c>
      <c r="H1962" s="12" t="n">
        <v>1</v>
      </c>
      <c r="I1962" s="4" t="s">
        <v>408</v>
      </c>
      <c r="J1962" s="4" t="s">
        <v>807</v>
      </c>
      <c r="K1962" s="13" t="n">
        <v>120</v>
      </c>
      <c r="L1962" s="6" t="n">
        <f aca="false">H1962*K1962</f>
        <v>120</v>
      </c>
      <c r="M1962" s="14" t="s">
        <v>410</v>
      </c>
    </row>
    <row r="1963" customFormat="false" ht="15" hidden="false" customHeight="false" outlineLevel="0" collapsed="false">
      <c r="A1963" s="4" t="s">
        <v>13</v>
      </c>
      <c r="B1963" s="5" t="s">
        <v>36</v>
      </c>
      <c r="C1963" s="5" t="s">
        <v>37</v>
      </c>
      <c r="D1963" s="4" t="s">
        <v>16</v>
      </c>
      <c r="E1963" s="4" t="s">
        <v>3016</v>
      </c>
      <c r="F1963" s="4" t="s">
        <v>406</v>
      </c>
      <c r="G1963" s="4" t="s">
        <v>617</v>
      </c>
      <c r="H1963" s="12" t="n">
        <v>1</v>
      </c>
      <c r="I1963" s="4" t="s">
        <v>408</v>
      </c>
      <c r="J1963" s="4" t="s">
        <v>409</v>
      </c>
      <c r="K1963" s="13" t="n">
        <v>850</v>
      </c>
      <c r="L1963" s="6" t="n">
        <f aca="false">H1963*K1963</f>
        <v>850</v>
      </c>
      <c r="M1963" s="14" t="s">
        <v>410</v>
      </c>
    </row>
    <row r="1964" customFormat="false" ht="15" hidden="false" customHeight="false" outlineLevel="0" collapsed="false">
      <c r="A1964" s="4" t="s">
        <v>13</v>
      </c>
      <c r="B1964" s="5" t="s">
        <v>36</v>
      </c>
      <c r="C1964" s="5" t="s">
        <v>37</v>
      </c>
      <c r="D1964" s="4" t="s">
        <v>16</v>
      </c>
      <c r="E1964" s="4" t="s">
        <v>2676</v>
      </c>
      <c r="F1964" s="4" t="s">
        <v>406</v>
      </c>
      <c r="G1964" s="4" t="s">
        <v>2677</v>
      </c>
      <c r="H1964" s="12" t="n">
        <v>1</v>
      </c>
      <c r="I1964" s="4" t="s">
        <v>408</v>
      </c>
      <c r="J1964" s="4" t="s">
        <v>429</v>
      </c>
      <c r="K1964" s="13" t="n">
        <v>80</v>
      </c>
      <c r="L1964" s="6" t="n">
        <f aca="false">H1964*K1964</f>
        <v>80</v>
      </c>
      <c r="M1964" s="14" t="s">
        <v>410</v>
      </c>
    </row>
    <row r="1965" customFormat="false" ht="15" hidden="false" customHeight="false" outlineLevel="0" collapsed="false">
      <c r="A1965" s="4" t="s">
        <v>13</v>
      </c>
      <c r="B1965" s="5" t="s">
        <v>36</v>
      </c>
      <c r="C1965" s="5" t="s">
        <v>37</v>
      </c>
      <c r="D1965" s="4" t="s">
        <v>16</v>
      </c>
      <c r="E1965" s="4" t="s">
        <v>3017</v>
      </c>
      <c r="F1965" s="4" t="s">
        <v>406</v>
      </c>
      <c r="G1965" s="4" t="s">
        <v>1559</v>
      </c>
      <c r="H1965" s="12" t="n">
        <v>1</v>
      </c>
      <c r="I1965" s="4" t="s">
        <v>408</v>
      </c>
      <c r="J1965" s="4" t="s">
        <v>409</v>
      </c>
      <c r="K1965" s="13" t="n">
        <v>850</v>
      </c>
      <c r="L1965" s="6" t="n">
        <f aca="false">H1965*K1965</f>
        <v>850</v>
      </c>
      <c r="M1965" s="14" t="s">
        <v>410</v>
      </c>
    </row>
    <row r="1966" customFormat="false" ht="15" hidden="false" customHeight="false" outlineLevel="0" collapsed="false">
      <c r="A1966" s="4" t="s">
        <v>13</v>
      </c>
      <c r="B1966" s="5" t="s">
        <v>36</v>
      </c>
      <c r="C1966" s="5" t="s">
        <v>37</v>
      </c>
      <c r="D1966" s="4" t="s">
        <v>16</v>
      </c>
      <c r="E1966" s="4" t="s">
        <v>3018</v>
      </c>
      <c r="F1966" s="4" t="s">
        <v>406</v>
      </c>
      <c r="G1966" s="4" t="s">
        <v>3019</v>
      </c>
      <c r="H1966" s="12" t="n">
        <v>1</v>
      </c>
      <c r="I1966" s="4" t="s">
        <v>408</v>
      </c>
      <c r="J1966" s="4" t="s">
        <v>409</v>
      </c>
      <c r="K1966" s="13" t="n">
        <v>450</v>
      </c>
      <c r="L1966" s="6" t="n">
        <f aca="false">H1966*K1966</f>
        <v>450</v>
      </c>
      <c r="M1966" s="14" t="s">
        <v>410</v>
      </c>
    </row>
    <row r="1967" customFormat="false" ht="15" hidden="false" customHeight="false" outlineLevel="0" collapsed="false">
      <c r="A1967" s="4" t="s">
        <v>13</v>
      </c>
      <c r="B1967" s="5" t="s">
        <v>36</v>
      </c>
      <c r="C1967" s="5" t="s">
        <v>37</v>
      </c>
      <c r="D1967" s="4" t="s">
        <v>16</v>
      </c>
      <c r="E1967" s="4" t="s">
        <v>640</v>
      </c>
      <c r="F1967" s="4" t="s">
        <v>406</v>
      </c>
      <c r="G1967" s="4" t="s">
        <v>641</v>
      </c>
      <c r="H1967" s="12" t="n">
        <v>1</v>
      </c>
      <c r="I1967" s="4" t="s">
        <v>408</v>
      </c>
      <c r="J1967" s="4" t="s">
        <v>409</v>
      </c>
      <c r="K1967" s="13" t="n">
        <v>180</v>
      </c>
      <c r="L1967" s="6" t="n">
        <f aca="false">H1967*K1967</f>
        <v>180</v>
      </c>
      <c r="M1967" s="14" t="s">
        <v>410</v>
      </c>
    </row>
    <row r="1968" customFormat="false" ht="15" hidden="false" customHeight="false" outlineLevel="0" collapsed="false">
      <c r="A1968" s="4" t="s">
        <v>13</v>
      </c>
      <c r="B1968" s="5" t="s">
        <v>36</v>
      </c>
      <c r="C1968" s="5" t="s">
        <v>37</v>
      </c>
      <c r="D1968" s="4" t="s">
        <v>16</v>
      </c>
      <c r="E1968" s="4" t="s">
        <v>3020</v>
      </c>
      <c r="F1968" s="4" t="s">
        <v>406</v>
      </c>
      <c r="G1968" s="4" t="s">
        <v>3021</v>
      </c>
      <c r="H1968" s="12" t="n">
        <v>1</v>
      </c>
      <c r="I1968" s="4" t="s">
        <v>408</v>
      </c>
      <c r="J1968" s="4" t="s">
        <v>409</v>
      </c>
      <c r="K1968" s="13" t="n">
        <v>4500</v>
      </c>
      <c r="L1968" s="6" t="n">
        <f aca="false">H1968*K1968</f>
        <v>4500</v>
      </c>
      <c r="M1968" s="14" t="s">
        <v>410</v>
      </c>
    </row>
    <row r="1969" customFormat="false" ht="15" hidden="false" customHeight="false" outlineLevel="0" collapsed="false">
      <c r="A1969" s="4" t="s">
        <v>13</v>
      </c>
      <c r="B1969" s="5" t="s">
        <v>36</v>
      </c>
      <c r="C1969" s="5" t="s">
        <v>37</v>
      </c>
      <c r="D1969" s="4" t="s">
        <v>16</v>
      </c>
      <c r="E1969" s="4" t="s">
        <v>3022</v>
      </c>
      <c r="F1969" s="4" t="s">
        <v>406</v>
      </c>
      <c r="G1969" s="4" t="s">
        <v>3023</v>
      </c>
      <c r="H1969" s="12" t="n">
        <v>1</v>
      </c>
      <c r="I1969" s="4" t="s">
        <v>408</v>
      </c>
      <c r="J1969" s="4" t="s">
        <v>409</v>
      </c>
      <c r="K1969" s="13" t="n">
        <v>450</v>
      </c>
      <c r="L1969" s="6" t="n">
        <f aca="false">H1969*K1969</f>
        <v>450</v>
      </c>
      <c r="M1969" s="14" t="s">
        <v>410</v>
      </c>
    </row>
    <row r="1970" customFormat="false" ht="15" hidden="false" customHeight="false" outlineLevel="0" collapsed="false">
      <c r="A1970" s="4" t="s">
        <v>13</v>
      </c>
      <c r="B1970" s="5" t="s">
        <v>36</v>
      </c>
      <c r="C1970" s="5" t="s">
        <v>37</v>
      </c>
      <c r="D1970" s="4" t="s">
        <v>16</v>
      </c>
      <c r="E1970" s="4" t="s">
        <v>3024</v>
      </c>
      <c r="F1970" s="4" t="s">
        <v>406</v>
      </c>
      <c r="G1970" s="4" t="s">
        <v>3025</v>
      </c>
      <c r="H1970" s="12" t="n">
        <v>1</v>
      </c>
      <c r="I1970" s="4" t="s">
        <v>408</v>
      </c>
      <c r="J1970" s="4" t="s">
        <v>409</v>
      </c>
      <c r="K1970" s="13" t="n">
        <v>180</v>
      </c>
      <c r="L1970" s="6" t="n">
        <f aca="false">H1970*K1970</f>
        <v>180</v>
      </c>
      <c r="M1970" s="14" t="s">
        <v>410</v>
      </c>
    </row>
    <row r="1971" customFormat="false" ht="15" hidden="false" customHeight="false" outlineLevel="0" collapsed="false">
      <c r="A1971" s="4" t="s">
        <v>13</v>
      </c>
      <c r="B1971" s="5" t="s">
        <v>36</v>
      </c>
      <c r="C1971" s="5" t="s">
        <v>37</v>
      </c>
      <c r="D1971" s="4" t="s">
        <v>16</v>
      </c>
      <c r="E1971" s="4" t="s">
        <v>3026</v>
      </c>
      <c r="F1971" s="4" t="s">
        <v>406</v>
      </c>
      <c r="G1971" s="4" t="s">
        <v>3027</v>
      </c>
      <c r="H1971" s="12" t="n">
        <v>1</v>
      </c>
      <c r="I1971" s="4" t="s">
        <v>408</v>
      </c>
      <c r="J1971" s="4" t="s">
        <v>409</v>
      </c>
      <c r="K1971" s="13" t="n">
        <v>180</v>
      </c>
      <c r="L1971" s="6" t="n">
        <f aca="false">H1971*K1971</f>
        <v>180</v>
      </c>
      <c r="M1971" s="14" t="s">
        <v>410</v>
      </c>
    </row>
    <row r="1972" customFormat="false" ht="15" hidden="false" customHeight="false" outlineLevel="0" collapsed="false">
      <c r="A1972" s="4" t="s">
        <v>13</v>
      </c>
      <c r="B1972" s="5" t="s">
        <v>36</v>
      </c>
      <c r="C1972" s="5" t="s">
        <v>37</v>
      </c>
      <c r="D1972" s="4" t="s">
        <v>16</v>
      </c>
      <c r="E1972" s="4" t="s">
        <v>3028</v>
      </c>
      <c r="F1972" s="4" t="s">
        <v>406</v>
      </c>
      <c r="G1972" s="4" t="s">
        <v>3029</v>
      </c>
      <c r="H1972" s="12" t="n">
        <v>1</v>
      </c>
      <c r="I1972" s="4" t="s">
        <v>408</v>
      </c>
      <c r="J1972" s="4" t="s">
        <v>409</v>
      </c>
      <c r="K1972" s="13" t="n">
        <v>650</v>
      </c>
      <c r="L1972" s="6" t="n">
        <f aca="false">H1972*K1972</f>
        <v>650</v>
      </c>
      <c r="M1972" s="14" t="s">
        <v>410</v>
      </c>
    </row>
    <row r="1973" customFormat="false" ht="15" hidden="false" customHeight="false" outlineLevel="0" collapsed="false">
      <c r="A1973" s="4" t="s">
        <v>13</v>
      </c>
      <c r="B1973" s="5" t="s">
        <v>36</v>
      </c>
      <c r="C1973" s="5" t="s">
        <v>37</v>
      </c>
      <c r="D1973" s="4" t="s">
        <v>16</v>
      </c>
      <c r="E1973" s="4" t="s">
        <v>622</v>
      </c>
      <c r="F1973" s="4" t="s">
        <v>406</v>
      </c>
      <c r="G1973" s="4" t="s">
        <v>623</v>
      </c>
      <c r="H1973" s="12" t="n">
        <v>1</v>
      </c>
      <c r="I1973" s="4" t="s">
        <v>408</v>
      </c>
      <c r="J1973" s="4" t="s">
        <v>409</v>
      </c>
      <c r="K1973" s="13" t="n">
        <v>450</v>
      </c>
      <c r="L1973" s="6" t="n">
        <f aca="false">H1973*K1973</f>
        <v>450</v>
      </c>
      <c r="M1973" s="14" t="s">
        <v>410</v>
      </c>
    </row>
    <row r="1974" customFormat="false" ht="15" hidden="false" customHeight="false" outlineLevel="0" collapsed="false">
      <c r="A1974" s="4" t="s">
        <v>13</v>
      </c>
      <c r="B1974" s="5" t="s">
        <v>36</v>
      </c>
      <c r="C1974" s="5" t="s">
        <v>37</v>
      </c>
      <c r="D1974" s="4" t="s">
        <v>16</v>
      </c>
      <c r="E1974" s="4" t="s">
        <v>3030</v>
      </c>
      <c r="F1974" s="4" t="s">
        <v>406</v>
      </c>
      <c r="G1974" s="4" t="s">
        <v>3031</v>
      </c>
      <c r="H1974" s="12" t="n">
        <v>1</v>
      </c>
      <c r="I1974" s="4" t="s">
        <v>408</v>
      </c>
      <c r="J1974" s="4" t="s">
        <v>409</v>
      </c>
      <c r="K1974" s="13" t="n">
        <v>350</v>
      </c>
      <c r="L1974" s="6" t="n">
        <f aca="false">H1974*K1974</f>
        <v>350</v>
      </c>
      <c r="M1974" s="14" t="s">
        <v>410</v>
      </c>
    </row>
    <row r="1975" customFormat="false" ht="15" hidden="false" customHeight="false" outlineLevel="0" collapsed="false">
      <c r="A1975" s="4" t="s">
        <v>13</v>
      </c>
      <c r="B1975" s="5" t="s">
        <v>36</v>
      </c>
      <c r="C1975" s="5" t="s">
        <v>37</v>
      </c>
      <c r="D1975" s="4" t="s">
        <v>16</v>
      </c>
      <c r="E1975" s="4" t="s">
        <v>628</v>
      </c>
      <c r="F1975" s="4" t="s">
        <v>406</v>
      </c>
      <c r="G1975" s="4" t="s">
        <v>629</v>
      </c>
      <c r="H1975" s="12" t="n">
        <v>1</v>
      </c>
      <c r="I1975" s="4" t="s">
        <v>408</v>
      </c>
      <c r="J1975" s="4" t="s">
        <v>409</v>
      </c>
      <c r="K1975" s="13" t="n">
        <v>350</v>
      </c>
      <c r="L1975" s="6" t="n">
        <f aca="false">H1975*K1975</f>
        <v>350</v>
      </c>
      <c r="M1975" s="14" t="s">
        <v>410</v>
      </c>
    </row>
    <row r="1976" customFormat="false" ht="15" hidden="false" customHeight="false" outlineLevel="0" collapsed="false">
      <c r="A1976" s="4" t="s">
        <v>13</v>
      </c>
      <c r="B1976" s="5" t="s">
        <v>36</v>
      </c>
      <c r="C1976" s="5" t="s">
        <v>37</v>
      </c>
      <c r="D1976" s="4" t="s">
        <v>16</v>
      </c>
      <c r="E1976" s="4" t="s">
        <v>3032</v>
      </c>
      <c r="F1976" s="4" t="s">
        <v>406</v>
      </c>
      <c r="G1976" s="4" t="s">
        <v>3033</v>
      </c>
      <c r="H1976" s="12" t="n">
        <v>1</v>
      </c>
      <c r="I1976" s="4" t="s">
        <v>408</v>
      </c>
      <c r="J1976" s="4" t="s">
        <v>409</v>
      </c>
      <c r="K1976" s="13" t="n">
        <v>850</v>
      </c>
      <c r="L1976" s="6" t="n">
        <f aca="false">H1976*K1976</f>
        <v>850</v>
      </c>
      <c r="M1976" s="14" t="s">
        <v>410</v>
      </c>
    </row>
    <row r="1977" customFormat="false" ht="15" hidden="false" customHeight="false" outlineLevel="0" collapsed="false">
      <c r="A1977" s="4" t="s">
        <v>13</v>
      </c>
      <c r="B1977" s="5" t="s">
        <v>36</v>
      </c>
      <c r="C1977" s="5" t="s">
        <v>37</v>
      </c>
      <c r="D1977" s="4" t="s">
        <v>16</v>
      </c>
      <c r="E1977" s="4" t="s">
        <v>648</v>
      </c>
      <c r="F1977" s="4" t="s">
        <v>406</v>
      </c>
      <c r="G1977" s="4" t="s">
        <v>649</v>
      </c>
      <c r="H1977" s="12" t="n">
        <v>1</v>
      </c>
      <c r="I1977" s="4" t="s">
        <v>408</v>
      </c>
      <c r="J1977" s="4" t="s">
        <v>409</v>
      </c>
      <c r="K1977" s="13" t="n">
        <v>180</v>
      </c>
      <c r="L1977" s="6" t="n">
        <f aca="false">H1977*K1977</f>
        <v>180</v>
      </c>
      <c r="M1977" s="14" t="s">
        <v>410</v>
      </c>
    </row>
    <row r="1978" customFormat="false" ht="15" hidden="false" customHeight="false" outlineLevel="0" collapsed="false">
      <c r="A1978" s="4" t="s">
        <v>13</v>
      </c>
      <c r="B1978" s="5" t="s">
        <v>36</v>
      </c>
      <c r="C1978" s="5" t="s">
        <v>37</v>
      </c>
      <c r="D1978" s="4" t="s">
        <v>16</v>
      </c>
      <c r="E1978" s="4" t="s">
        <v>3034</v>
      </c>
      <c r="F1978" s="4" t="s">
        <v>406</v>
      </c>
      <c r="G1978" s="4" t="s">
        <v>3035</v>
      </c>
      <c r="H1978" s="12" t="n">
        <v>1</v>
      </c>
      <c r="I1978" s="4" t="s">
        <v>408</v>
      </c>
      <c r="J1978" s="4" t="s">
        <v>409</v>
      </c>
      <c r="K1978" s="13" t="n">
        <v>850</v>
      </c>
      <c r="L1978" s="6" t="n">
        <f aca="false">H1978*K1978</f>
        <v>850</v>
      </c>
      <c r="M1978" s="14" t="s">
        <v>410</v>
      </c>
    </row>
    <row r="1979" customFormat="false" ht="15" hidden="false" customHeight="false" outlineLevel="0" collapsed="false">
      <c r="A1979" s="4" t="s">
        <v>13</v>
      </c>
      <c r="B1979" s="5" t="s">
        <v>36</v>
      </c>
      <c r="C1979" s="5" t="s">
        <v>37</v>
      </c>
      <c r="D1979" s="4" t="s">
        <v>16</v>
      </c>
      <c r="E1979" s="4" t="s">
        <v>3036</v>
      </c>
      <c r="F1979" s="4" t="s">
        <v>406</v>
      </c>
      <c r="G1979" s="4" t="s">
        <v>3037</v>
      </c>
      <c r="H1979" s="12" t="n">
        <v>1</v>
      </c>
      <c r="I1979" s="4" t="s">
        <v>408</v>
      </c>
      <c r="J1979" s="4" t="s">
        <v>409</v>
      </c>
      <c r="K1979" s="13" t="n">
        <v>450</v>
      </c>
      <c r="L1979" s="6" t="n">
        <f aca="false">H1979*K1979</f>
        <v>450</v>
      </c>
      <c r="M1979" s="14" t="s">
        <v>410</v>
      </c>
    </row>
    <row r="1980" customFormat="false" ht="15" hidden="false" customHeight="false" outlineLevel="0" collapsed="false">
      <c r="A1980" s="4" t="s">
        <v>13</v>
      </c>
      <c r="B1980" s="5" t="s">
        <v>36</v>
      </c>
      <c r="C1980" s="5" t="s">
        <v>37</v>
      </c>
      <c r="D1980" s="4" t="s">
        <v>16</v>
      </c>
      <c r="E1980" s="4" t="s">
        <v>3038</v>
      </c>
      <c r="F1980" s="4" t="s">
        <v>406</v>
      </c>
      <c r="G1980" s="4" t="s">
        <v>3039</v>
      </c>
      <c r="H1980" s="12" t="n">
        <v>1</v>
      </c>
      <c r="I1980" s="4" t="s">
        <v>408</v>
      </c>
      <c r="J1980" s="4" t="s">
        <v>506</v>
      </c>
      <c r="K1980" s="13" t="n">
        <v>150</v>
      </c>
      <c r="L1980" s="6" t="n">
        <f aca="false">H1980*K1980</f>
        <v>150</v>
      </c>
      <c r="M1980" s="14" t="s">
        <v>410</v>
      </c>
    </row>
    <row r="1981" customFormat="false" ht="15" hidden="false" customHeight="false" outlineLevel="0" collapsed="false">
      <c r="A1981" s="4" t="s">
        <v>13</v>
      </c>
      <c r="B1981" s="5" t="s">
        <v>36</v>
      </c>
      <c r="C1981" s="5" t="s">
        <v>37</v>
      </c>
      <c r="D1981" s="4" t="s">
        <v>16</v>
      </c>
      <c r="E1981" s="4" t="s">
        <v>3040</v>
      </c>
      <c r="F1981" s="4" t="s">
        <v>406</v>
      </c>
      <c r="G1981" s="4" t="s">
        <v>3041</v>
      </c>
      <c r="H1981" s="12" t="n">
        <v>1</v>
      </c>
      <c r="I1981" s="4" t="s">
        <v>408</v>
      </c>
      <c r="J1981" s="4" t="s">
        <v>409</v>
      </c>
      <c r="K1981" s="13" t="n">
        <v>650</v>
      </c>
      <c r="L1981" s="6" t="n">
        <f aca="false">H1981*K1981</f>
        <v>650</v>
      </c>
      <c r="M1981" s="14" t="s">
        <v>410</v>
      </c>
    </row>
    <row r="1982" customFormat="false" ht="15" hidden="false" customHeight="false" outlineLevel="0" collapsed="false">
      <c r="A1982" s="4" t="s">
        <v>13</v>
      </c>
      <c r="B1982" s="5" t="s">
        <v>36</v>
      </c>
      <c r="C1982" s="5" t="s">
        <v>37</v>
      </c>
      <c r="D1982" s="4" t="s">
        <v>16</v>
      </c>
      <c r="E1982" s="4" t="s">
        <v>626</v>
      </c>
      <c r="F1982" s="4" t="s">
        <v>406</v>
      </c>
      <c r="G1982" s="4" t="s">
        <v>627</v>
      </c>
      <c r="H1982" s="12" t="n">
        <v>1</v>
      </c>
      <c r="I1982" s="4" t="s">
        <v>408</v>
      </c>
      <c r="J1982" s="4" t="s">
        <v>409</v>
      </c>
      <c r="K1982" s="13" t="n">
        <v>250</v>
      </c>
      <c r="L1982" s="6" t="n">
        <f aca="false">H1982*K1982</f>
        <v>250</v>
      </c>
      <c r="M1982" s="14" t="s">
        <v>410</v>
      </c>
    </row>
    <row r="1983" customFormat="false" ht="15" hidden="false" customHeight="false" outlineLevel="0" collapsed="false">
      <c r="A1983" s="4" t="s">
        <v>13</v>
      </c>
      <c r="B1983" s="5" t="s">
        <v>36</v>
      </c>
      <c r="C1983" s="5" t="s">
        <v>37</v>
      </c>
      <c r="D1983" s="4" t="s">
        <v>16</v>
      </c>
      <c r="E1983" s="4" t="s">
        <v>3042</v>
      </c>
      <c r="F1983" s="4" t="s">
        <v>406</v>
      </c>
      <c r="G1983" s="4" t="s">
        <v>621</v>
      </c>
      <c r="H1983" s="12" t="n">
        <v>1</v>
      </c>
      <c r="I1983" s="4" t="s">
        <v>408</v>
      </c>
      <c r="J1983" s="4" t="s">
        <v>409</v>
      </c>
      <c r="K1983" s="13" t="n">
        <v>650</v>
      </c>
      <c r="L1983" s="6" t="n">
        <f aca="false">H1983*K1983</f>
        <v>650</v>
      </c>
      <c r="M1983" s="14" t="s">
        <v>410</v>
      </c>
    </row>
    <row r="1984" customFormat="false" ht="15" hidden="false" customHeight="false" outlineLevel="0" collapsed="false">
      <c r="A1984" s="4" t="s">
        <v>13</v>
      </c>
      <c r="B1984" s="5" t="s">
        <v>36</v>
      </c>
      <c r="C1984" s="5" t="s">
        <v>37</v>
      </c>
      <c r="D1984" s="4" t="s">
        <v>16</v>
      </c>
      <c r="E1984" s="4" t="s">
        <v>3043</v>
      </c>
      <c r="F1984" s="4" t="s">
        <v>406</v>
      </c>
      <c r="G1984" s="4" t="s">
        <v>647</v>
      </c>
      <c r="H1984" s="12" t="n">
        <v>1</v>
      </c>
      <c r="I1984" s="4" t="s">
        <v>408</v>
      </c>
      <c r="J1984" s="4" t="s">
        <v>409</v>
      </c>
      <c r="K1984" s="13" t="n">
        <v>450</v>
      </c>
      <c r="L1984" s="6" t="n">
        <f aca="false">H1984*K1984</f>
        <v>450</v>
      </c>
      <c r="M1984" s="14" t="s">
        <v>410</v>
      </c>
    </row>
    <row r="1985" customFormat="false" ht="15" hidden="false" customHeight="false" outlineLevel="0" collapsed="false">
      <c r="A1985" s="4" t="s">
        <v>13</v>
      </c>
      <c r="B1985" s="5" t="s">
        <v>36</v>
      </c>
      <c r="C1985" s="5" t="s">
        <v>37</v>
      </c>
      <c r="D1985" s="4" t="s">
        <v>16</v>
      </c>
      <c r="E1985" s="4" t="s">
        <v>3044</v>
      </c>
      <c r="F1985" s="4" t="s">
        <v>406</v>
      </c>
      <c r="G1985" s="4" t="s">
        <v>3045</v>
      </c>
      <c r="H1985" s="12" t="n">
        <v>1</v>
      </c>
      <c r="I1985" s="4" t="s">
        <v>408</v>
      </c>
      <c r="J1985" s="4" t="s">
        <v>409</v>
      </c>
      <c r="K1985" s="13" t="n">
        <v>350</v>
      </c>
      <c r="L1985" s="6" t="n">
        <f aca="false">H1985*K1985</f>
        <v>350</v>
      </c>
      <c r="M1985" s="14" t="s">
        <v>410</v>
      </c>
    </row>
    <row r="1986" customFormat="false" ht="15" hidden="false" customHeight="false" outlineLevel="0" collapsed="false">
      <c r="A1986" s="4" t="s">
        <v>13</v>
      </c>
      <c r="B1986" s="5" t="s">
        <v>36</v>
      </c>
      <c r="C1986" s="5" t="s">
        <v>37</v>
      </c>
      <c r="D1986" s="4" t="s">
        <v>16</v>
      </c>
      <c r="E1986" s="4" t="s">
        <v>3046</v>
      </c>
      <c r="F1986" s="4" t="s">
        <v>406</v>
      </c>
      <c r="G1986" s="4" t="s">
        <v>3047</v>
      </c>
      <c r="H1986" s="12" t="n">
        <v>1</v>
      </c>
      <c r="I1986" s="4" t="s">
        <v>408</v>
      </c>
      <c r="J1986" s="4" t="s">
        <v>409</v>
      </c>
      <c r="K1986" s="13" t="n">
        <v>180</v>
      </c>
      <c r="L1986" s="6" t="n">
        <f aca="false">H1986*K1986</f>
        <v>180</v>
      </c>
      <c r="M1986" s="14" t="s">
        <v>410</v>
      </c>
    </row>
    <row r="1987" customFormat="false" ht="15" hidden="false" customHeight="false" outlineLevel="0" collapsed="false">
      <c r="A1987" s="4" t="s">
        <v>13</v>
      </c>
      <c r="B1987" s="5" t="s">
        <v>36</v>
      </c>
      <c r="C1987" s="5" t="s">
        <v>37</v>
      </c>
      <c r="D1987" s="4" t="s">
        <v>16</v>
      </c>
      <c r="E1987" s="4" t="s">
        <v>3048</v>
      </c>
      <c r="F1987" s="4" t="s">
        <v>406</v>
      </c>
      <c r="G1987" s="4" t="s">
        <v>3049</v>
      </c>
      <c r="H1987" s="12" t="n">
        <v>1</v>
      </c>
      <c r="I1987" s="4" t="s">
        <v>408</v>
      </c>
      <c r="J1987" s="4" t="s">
        <v>409</v>
      </c>
      <c r="K1987" s="13" t="n">
        <v>450</v>
      </c>
      <c r="L1987" s="6" t="n">
        <f aca="false">H1987*K1987</f>
        <v>450</v>
      </c>
      <c r="M1987" s="14" t="s">
        <v>410</v>
      </c>
    </row>
    <row r="1988" customFormat="false" ht="15" hidden="false" customHeight="false" outlineLevel="0" collapsed="false">
      <c r="A1988" s="4" t="s">
        <v>13</v>
      </c>
      <c r="B1988" s="5" t="s">
        <v>36</v>
      </c>
      <c r="C1988" s="5" t="s">
        <v>37</v>
      </c>
      <c r="D1988" s="4" t="s">
        <v>16</v>
      </c>
      <c r="E1988" s="4" t="s">
        <v>610</v>
      </c>
      <c r="F1988" s="4" t="s">
        <v>406</v>
      </c>
      <c r="G1988" s="4" t="s">
        <v>611</v>
      </c>
      <c r="H1988" s="12" t="n">
        <v>1</v>
      </c>
      <c r="I1988" s="4" t="s">
        <v>408</v>
      </c>
      <c r="J1988" s="4" t="s">
        <v>409</v>
      </c>
      <c r="K1988" s="13" t="n">
        <v>650</v>
      </c>
      <c r="L1988" s="6" t="n">
        <f aca="false">H1988*K1988</f>
        <v>650</v>
      </c>
      <c r="M1988" s="14" t="s">
        <v>410</v>
      </c>
    </row>
    <row r="1989" customFormat="false" ht="15" hidden="false" customHeight="false" outlineLevel="0" collapsed="false">
      <c r="A1989" s="4" t="s">
        <v>13</v>
      </c>
      <c r="B1989" s="5" t="s">
        <v>36</v>
      </c>
      <c r="C1989" s="5" t="s">
        <v>37</v>
      </c>
      <c r="D1989" s="4" t="s">
        <v>16</v>
      </c>
      <c r="E1989" s="4" t="s">
        <v>3050</v>
      </c>
      <c r="F1989" s="4" t="s">
        <v>406</v>
      </c>
      <c r="G1989" s="4" t="s">
        <v>3051</v>
      </c>
      <c r="H1989" s="12" t="n">
        <v>1</v>
      </c>
      <c r="I1989" s="4" t="s">
        <v>408</v>
      </c>
      <c r="J1989" s="4" t="s">
        <v>409</v>
      </c>
      <c r="K1989" s="13" t="n">
        <v>850</v>
      </c>
      <c r="L1989" s="6" t="n">
        <f aca="false">H1989*K1989</f>
        <v>850</v>
      </c>
      <c r="M1989" s="14" t="s">
        <v>410</v>
      </c>
    </row>
    <row r="1990" customFormat="false" ht="15" hidden="false" customHeight="false" outlineLevel="0" collapsed="false">
      <c r="A1990" s="4" t="s">
        <v>13</v>
      </c>
      <c r="B1990" s="5" t="s">
        <v>36</v>
      </c>
      <c r="C1990" s="5" t="s">
        <v>37</v>
      </c>
      <c r="D1990" s="4" t="s">
        <v>16</v>
      </c>
      <c r="E1990" s="4" t="s">
        <v>3052</v>
      </c>
      <c r="F1990" s="4" t="s">
        <v>406</v>
      </c>
      <c r="G1990" s="4" t="s">
        <v>613</v>
      </c>
      <c r="H1990" s="12" t="n">
        <v>1</v>
      </c>
      <c r="I1990" s="4" t="s">
        <v>408</v>
      </c>
      <c r="J1990" s="4" t="s">
        <v>409</v>
      </c>
      <c r="K1990" s="13" t="n">
        <v>450</v>
      </c>
      <c r="L1990" s="6" t="n">
        <f aca="false">H1990*K1990</f>
        <v>450</v>
      </c>
      <c r="M1990" s="14" t="s">
        <v>410</v>
      </c>
    </row>
    <row r="1991" customFormat="false" ht="15" hidden="false" customHeight="false" outlineLevel="0" collapsed="false">
      <c r="A1991" s="4" t="s">
        <v>13</v>
      </c>
      <c r="B1991" s="5" t="s">
        <v>36</v>
      </c>
      <c r="C1991" s="5" t="s">
        <v>37</v>
      </c>
      <c r="D1991" s="4" t="s">
        <v>16</v>
      </c>
      <c r="E1991" s="4" t="s">
        <v>3043</v>
      </c>
      <c r="F1991" s="4" t="s">
        <v>406</v>
      </c>
      <c r="G1991" s="4" t="s">
        <v>647</v>
      </c>
      <c r="H1991" s="12" t="n">
        <v>1</v>
      </c>
      <c r="I1991" s="4" t="s">
        <v>408</v>
      </c>
      <c r="J1991" s="4" t="s">
        <v>409</v>
      </c>
      <c r="K1991" s="13" t="n">
        <v>450</v>
      </c>
      <c r="L1991" s="6" t="n">
        <f aca="false">H1991*K1991</f>
        <v>450</v>
      </c>
      <c r="M1991" s="14" t="s">
        <v>410</v>
      </c>
    </row>
    <row r="1992" customFormat="false" ht="15" hidden="false" customHeight="false" outlineLevel="0" collapsed="false">
      <c r="A1992" s="4" t="s">
        <v>13</v>
      </c>
      <c r="B1992" s="5" t="s">
        <v>36</v>
      </c>
      <c r="C1992" s="5" t="s">
        <v>37</v>
      </c>
      <c r="D1992" s="4" t="s">
        <v>16</v>
      </c>
      <c r="E1992" s="4" t="s">
        <v>3053</v>
      </c>
      <c r="F1992" s="4" t="s">
        <v>406</v>
      </c>
      <c r="G1992" s="4" t="s">
        <v>639</v>
      </c>
      <c r="H1992" s="12" t="n">
        <v>1</v>
      </c>
      <c r="I1992" s="4" t="s">
        <v>408</v>
      </c>
      <c r="J1992" s="4" t="s">
        <v>409</v>
      </c>
      <c r="K1992" s="13" t="n">
        <v>850</v>
      </c>
      <c r="L1992" s="6" t="n">
        <f aca="false">H1992*K1992</f>
        <v>850</v>
      </c>
      <c r="M1992" s="14" t="s">
        <v>410</v>
      </c>
    </row>
    <row r="1993" customFormat="false" ht="15" hidden="false" customHeight="false" outlineLevel="0" collapsed="false">
      <c r="A1993" s="4" t="s">
        <v>13</v>
      </c>
      <c r="B1993" s="5" t="s">
        <v>36</v>
      </c>
      <c r="C1993" s="5" t="s">
        <v>37</v>
      </c>
      <c r="D1993" s="4" t="s">
        <v>16</v>
      </c>
      <c r="E1993" s="4" t="s">
        <v>3054</v>
      </c>
      <c r="F1993" s="4" t="s">
        <v>406</v>
      </c>
      <c r="G1993" s="4" t="s">
        <v>633</v>
      </c>
      <c r="H1993" s="12" t="n">
        <v>1</v>
      </c>
      <c r="I1993" s="4" t="s">
        <v>408</v>
      </c>
      <c r="J1993" s="4" t="s">
        <v>409</v>
      </c>
      <c r="K1993" s="13" t="n">
        <v>850</v>
      </c>
      <c r="L1993" s="6" t="n">
        <f aca="false">H1993*K1993</f>
        <v>850</v>
      </c>
      <c r="M1993" s="14" t="s">
        <v>410</v>
      </c>
    </row>
    <row r="1994" customFormat="false" ht="15" hidden="false" customHeight="false" outlineLevel="0" collapsed="false">
      <c r="A1994" s="4" t="s">
        <v>13</v>
      </c>
      <c r="B1994" s="5" t="s">
        <v>36</v>
      </c>
      <c r="C1994" s="5" t="s">
        <v>37</v>
      </c>
      <c r="D1994" s="4" t="s">
        <v>16</v>
      </c>
      <c r="E1994" s="4" t="s">
        <v>3055</v>
      </c>
      <c r="F1994" s="4" t="s">
        <v>406</v>
      </c>
      <c r="G1994" s="4" t="s">
        <v>635</v>
      </c>
      <c r="H1994" s="12" t="n">
        <v>1</v>
      </c>
      <c r="I1994" s="4" t="s">
        <v>408</v>
      </c>
      <c r="J1994" s="4" t="s">
        <v>409</v>
      </c>
      <c r="K1994" s="13" t="n">
        <v>850</v>
      </c>
      <c r="L1994" s="6" t="n">
        <f aca="false">H1994*K1994</f>
        <v>850</v>
      </c>
      <c r="M1994" s="14" t="s">
        <v>410</v>
      </c>
    </row>
    <row r="1995" customFormat="false" ht="15" hidden="false" customHeight="false" outlineLevel="0" collapsed="false">
      <c r="A1995" s="4" t="s">
        <v>13</v>
      </c>
      <c r="B1995" s="5" t="s">
        <v>36</v>
      </c>
      <c r="C1995" s="5" t="s">
        <v>37</v>
      </c>
      <c r="D1995" s="4" t="s">
        <v>16</v>
      </c>
      <c r="E1995" s="4" t="s">
        <v>3056</v>
      </c>
      <c r="F1995" s="4" t="s">
        <v>406</v>
      </c>
      <c r="G1995" s="4" t="s">
        <v>631</v>
      </c>
      <c r="H1995" s="12" t="n">
        <v>1</v>
      </c>
      <c r="I1995" s="4" t="s">
        <v>408</v>
      </c>
      <c r="J1995" s="4" t="s">
        <v>409</v>
      </c>
      <c r="K1995" s="13" t="n">
        <v>650</v>
      </c>
      <c r="L1995" s="6" t="n">
        <f aca="false">H1995*K1995</f>
        <v>650</v>
      </c>
      <c r="M1995" s="14" t="s">
        <v>410</v>
      </c>
    </row>
    <row r="1996" customFormat="false" ht="15" hidden="false" customHeight="false" outlineLevel="0" collapsed="false">
      <c r="A1996" s="4" t="s">
        <v>13</v>
      </c>
      <c r="B1996" s="5" t="s">
        <v>36</v>
      </c>
      <c r="C1996" s="5" t="s">
        <v>37</v>
      </c>
      <c r="D1996" s="4" t="s">
        <v>16</v>
      </c>
      <c r="E1996" s="4" t="s">
        <v>3057</v>
      </c>
      <c r="F1996" s="4" t="s">
        <v>406</v>
      </c>
      <c r="G1996" s="4" t="s">
        <v>3058</v>
      </c>
      <c r="H1996" s="12" t="n">
        <v>1</v>
      </c>
      <c r="I1996" s="4" t="s">
        <v>408</v>
      </c>
      <c r="J1996" s="4" t="s">
        <v>409</v>
      </c>
      <c r="K1996" s="13" t="n">
        <v>450</v>
      </c>
      <c r="L1996" s="6" t="n">
        <f aca="false">H1996*K1996</f>
        <v>450</v>
      </c>
      <c r="M1996" s="14" t="s">
        <v>410</v>
      </c>
    </row>
    <row r="1997" customFormat="false" ht="15" hidden="false" customHeight="false" outlineLevel="0" collapsed="false">
      <c r="A1997" s="4" t="s">
        <v>13</v>
      </c>
      <c r="B1997" s="5" t="s">
        <v>36</v>
      </c>
      <c r="C1997" s="5" t="s">
        <v>37</v>
      </c>
      <c r="D1997" s="4" t="s">
        <v>16</v>
      </c>
      <c r="E1997" s="4" t="s">
        <v>604</v>
      </c>
      <c r="F1997" s="4" t="s">
        <v>406</v>
      </c>
      <c r="G1997" s="4" t="s">
        <v>605</v>
      </c>
      <c r="H1997" s="12" t="n">
        <v>1</v>
      </c>
      <c r="I1997" s="4" t="s">
        <v>408</v>
      </c>
      <c r="J1997" s="4" t="s">
        <v>409</v>
      </c>
      <c r="K1997" s="13" t="n">
        <v>650</v>
      </c>
      <c r="L1997" s="6" t="n">
        <f aca="false">H1997*K1997</f>
        <v>650</v>
      </c>
      <c r="M1997" s="14" t="s">
        <v>410</v>
      </c>
    </row>
    <row r="1998" customFormat="false" ht="15" hidden="false" customHeight="false" outlineLevel="0" collapsed="false">
      <c r="A1998" s="4" t="s">
        <v>13</v>
      </c>
      <c r="B1998" s="5" t="s">
        <v>36</v>
      </c>
      <c r="C1998" s="5" t="s">
        <v>37</v>
      </c>
      <c r="D1998" s="4" t="s">
        <v>16</v>
      </c>
      <c r="E1998" s="4" t="s">
        <v>3059</v>
      </c>
      <c r="F1998" s="4" t="s">
        <v>406</v>
      </c>
      <c r="G1998" s="4" t="s">
        <v>3060</v>
      </c>
      <c r="H1998" s="12" t="n">
        <v>1</v>
      </c>
      <c r="I1998" s="4" t="s">
        <v>408</v>
      </c>
      <c r="J1998" s="4" t="s">
        <v>409</v>
      </c>
      <c r="K1998" s="13" t="n">
        <v>450</v>
      </c>
      <c r="L1998" s="6" t="n">
        <f aca="false">H1998*K1998</f>
        <v>450</v>
      </c>
      <c r="M1998" s="14" t="s">
        <v>410</v>
      </c>
    </row>
    <row r="1999" customFormat="false" ht="15" hidden="false" customHeight="false" outlineLevel="0" collapsed="false">
      <c r="A1999" s="4" t="s">
        <v>13</v>
      </c>
      <c r="B1999" s="5" t="s">
        <v>36</v>
      </c>
      <c r="C1999" s="5" t="s">
        <v>37</v>
      </c>
      <c r="D1999" s="4" t="s">
        <v>16</v>
      </c>
      <c r="E1999" s="4" t="s">
        <v>3061</v>
      </c>
      <c r="F1999" s="4" t="s">
        <v>406</v>
      </c>
      <c r="G1999" s="4" t="s">
        <v>3062</v>
      </c>
      <c r="H1999" s="12" t="n">
        <v>1</v>
      </c>
      <c r="I1999" s="4" t="s">
        <v>408</v>
      </c>
      <c r="J1999" s="4" t="s">
        <v>416</v>
      </c>
      <c r="K1999" s="13" t="n">
        <v>1800</v>
      </c>
      <c r="L1999" s="6" t="n">
        <f aca="false">H1999*K1999</f>
        <v>1800</v>
      </c>
      <c r="M1999" s="14" t="s">
        <v>410</v>
      </c>
    </row>
    <row r="2000" customFormat="false" ht="15" hidden="false" customHeight="false" outlineLevel="0" collapsed="false">
      <c r="A2000" s="4" t="s">
        <v>13</v>
      </c>
      <c r="B2000" s="5" t="s">
        <v>36</v>
      </c>
      <c r="C2000" s="5" t="s">
        <v>37</v>
      </c>
      <c r="D2000" s="4" t="s">
        <v>16</v>
      </c>
      <c r="E2000" s="4" t="s">
        <v>3063</v>
      </c>
      <c r="F2000" s="4" t="s">
        <v>406</v>
      </c>
      <c r="G2000" s="4" t="s">
        <v>3064</v>
      </c>
      <c r="H2000" s="12" t="n">
        <v>1</v>
      </c>
      <c r="I2000" s="4" t="s">
        <v>408</v>
      </c>
      <c r="J2000" s="4" t="s">
        <v>409</v>
      </c>
      <c r="K2000" s="13" t="n">
        <v>850</v>
      </c>
      <c r="L2000" s="6" t="n">
        <f aca="false">H2000*K2000</f>
        <v>850</v>
      </c>
      <c r="M2000" s="14" t="s">
        <v>410</v>
      </c>
    </row>
    <row r="2001" customFormat="false" ht="15" hidden="false" customHeight="false" outlineLevel="0" collapsed="false">
      <c r="A2001" s="4" t="s">
        <v>13</v>
      </c>
      <c r="B2001" s="5" t="s">
        <v>36</v>
      </c>
      <c r="C2001" s="5" t="s">
        <v>37</v>
      </c>
      <c r="D2001" s="4" t="s">
        <v>16</v>
      </c>
      <c r="E2001" s="4" t="s">
        <v>3065</v>
      </c>
      <c r="F2001" s="4" t="s">
        <v>406</v>
      </c>
      <c r="G2001" s="4" t="s">
        <v>3066</v>
      </c>
      <c r="H2001" s="12" t="n">
        <v>1</v>
      </c>
      <c r="I2001" s="4" t="s">
        <v>408</v>
      </c>
      <c r="J2001" s="4" t="s">
        <v>409</v>
      </c>
      <c r="K2001" s="13" t="n">
        <v>180</v>
      </c>
      <c r="L2001" s="6" t="n">
        <f aca="false">H2001*K2001</f>
        <v>180</v>
      </c>
      <c r="M2001" s="14" t="s">
        <v>410</v>
      </c>
    </row>
    <row r="2002" customFormat="false" ht="15" hidden="false" customHeight="false" outlineLevel="0" collapsed="false">
      <c r="A2002" s="4" t="s">
        <v>13</v>
      </c>
      <c r="B2002" s="5" t="s">
        <v>36</v>
      </c>
      <c r="C2002" s="5" t="s">
        <v>37</v>
      </c>
      <c r="D2002" s="4" t="s">
        <v>16</v>
      </c>
      <c r="E2002" s="4" t="s">
        <v>3067</v>
      </c>
      <c r="F2002" s="4" t="s">
        <v>406</v>
      </c>
      <c r="G2002" s="4" t="s">
        <v>3068</v>
      </c>
      <c r="H2002" s="12" t="n">
        <v>1</v>
      </c>
      <c r="I2002" s="4" t="s">
        <v>408</v>
      </c>
      <c r="J2002" s="4" t="s">
        <v>409</v>
      </c>
      <c r="K2002" s="13" t="n">
        <v>450</v>
      </c>
      <c r="L2002" s="6" t="n">
        <f aca="false">H2002*K2002</f>
        <v>450</v>
      </c>
      <c r="M2002" s="14" t="s">
        <v>410</v>
      </c>
    </row>
    <row r="2003" customFormat="false" ht="15" hidden="false" customHeight="false" outlineLevel="0" collapsed="false">
      <c r="A2003" s="4" t="s">
        <v>13</v>
      </c>
      <c r="B2003" s="5" t="s">
        <v>36</v>
      </c>
      <c r="C2003" s="5" t="s">
        <v>37</v>
      </c>
      <c r="D2003" s="4" t="s">
        <v>16</v>
      </c>
      <c r="E2003" s="4" t="s">
        <v>3069</v>
      </c>
      <c r="F2003" s="4" t="s">
        <v>406</v>
      </c>
      <c r="G2003" s="4" t="s">
        <v>3070</v>
      </c>
      <c r="H2003" s="12" t="n">
        <v>1</v>
      </c>
      <c r="I2003" s="4" t="s">
        <v>408</v>
      </c>
      <c r="J2003" s="4" t="s">
        <v>409</v>
      </c>
      <c r="K2003" s="13" t="n">
        <v>450</v>
      </c>
      <c r="L2003" s="6" t="n">
        <f aca="false">H2003*K2003</f>
        <v>450</v>
      </c>
      <c r="M2003" s="14" t="s">
        <v>410</v>
      </c>
    </row>
    <row r="2004" customFormat="false" ht="15" hidden="false" customHeight="false" outlineLevel="0" collapsed="false">
      <c r="A2004" s="4" t="s">
        <v>13</v>
      </c>
      <c r="B2004" s="5" t="s">
        <v>36</v>
      </c>
      <c r="C2004" s="5" t="s">
        <v>37</v>
      </c>
      <c r="D2004" s="4" t="s">
        <v>16</v>
      </c>
      <c r="E2004" s="4" t="s">
        <v>3071</v>
      </c>
      <c r="F2004" s="4" t="s">
        <v>406</v>
      </c>
      <c r="G2004" s="4" t="s">
        <v>3072</v>
      </c>
      <c r="H2004" s="12" t="n">
        <v>1</v>
      </c>
      <c r="I2004" s="4" t="s">
        <v>408</v>
      </c>
      <c r="J2004" s="4" t="s">
        <v>416</v>
      </c>
      <c r="K2004" s="13" t="n">
        <v>650</v>
      </c>
      <c r="L2004" s="6" t="n">
        <f aca="false">H2004*K2004</f>
        <v>650</v>
      </c>
      <c r="M2004" s="14" t="s">
        <v>410</v>
      </c>
    </row>
    <row r="2005" customFormat="false" ht="15" hidden="false" customHeight="false" outlineLevel="0" collapsed="false">
      <c r="A2005" s="4" t="s">
        <v>13</v>
      </c>
      <c r="B2005" s="5" t="s">
        <v>36</v>
      </c>
      <c r="C2005" s="5" t="s">
        <v>37</v>
      </c>
      <c r="D2005" s="4" t="s">
        <v>16</v>
      </c>
      <c r="E2005" s="4" t="s">
        <v>3073</v>
      </c>
      <c r="F2005" s="4" t="s">
        <v>406</v>
      </c>
      <c r="G2005" s="4" t="s">
        <v>3074</v>
      </c>
      <c r="H2005" s="12" t="n">
        <v>1</v>
      </c>
      <c r="I2005" s="4" t="s">
        <v>408</v>
      </c>
      <c r="J2005" s="4" t="s">
        <v>409</v>
      </c>
      <c r="K2005" s="13" t="n">
        <v>850</v>
      </c>
      <c r="L2005" s="6" t="n">
        <f aca="false">H2005*K2005</f>
        <v>850</v>
      </c>
      <c r="M2005" s="14" t="s">
        <v>410</v>
      </c>
    </row>
    <row r="2006" customFormat="false" ht="15" hidden="false" customHeight="false" outlineLevel="0" collapsed="false">
      <c r="A2006" s="4" t="s">
        <v>13</v>
      </c>
      <c r="B2006" s="5" t="s">
        <v>36</v>
      </c>
      <c r="C2006" s="5" t="s">
        <v>37</v>
      </c>
      <c r="D2006" s="4" t="s">
        <v>16</v>
      </c>
      <c r="E2006" s="4" t="s">
        <v>3075</v>
      </c>
      <c r="F2006" s="4" t="s">
        <v>406</v>
      </c>
      <c r="G2006" s="4" t="s">
        <v>3076</v>
      </c>
      <c r="H2006" s="12" t="n">
        <v>1</v>
      </c>
      <c r="I2006" s="4" t="s">
        <v>408</v>
      </c>
      <c r="J2006" s="4" t="s">
        <v>409</v>
      </c>
      <c r="K2006" s="13" t="n">
        <v>1800</v>
      </c>
      <c r="L2006" s="6" t="n">
        <f aca="false">H2006*K2006</f>
        <v>1800</v>
      </c>
      <c r="M2006" s="14" t="s">
        <v>410</v>
      </c>
    </row>
    <row r="2007" customFormat="false" ht="15" hidden="false" customHeight="false" outlineLevel="0" collapsed="false">
      <c r="A2007" s="4" t="s">
        <v>13</v>
      </c>
      <c r="B2007" s="5" t="s">
        <v>36</v>
      </c>
      <c r="C2007" s="5" t="s">
        <v>37</v>
      </c>
      <c r="D2007" s="4" t="s">
        <v>16</v>
      </c>
      <c r="E2007" s="4" t="s">
        <v>3077</v>
      </c>
      <c r="F2007" s="4" t="s">
        <v>406</v>
      </c>
      <c r="G2007" s="4" t="s">
        <v>3078</v>
      </c>
      <c r="H2007" s="12" t="n">
        <v>1</v>
      </c>
      <c r="I2007" s="4" t="s">
        <v>408</v>
      </c>
      <c r="J2007" s="4" t="s">
        <v>409</v>
      </c>
      <c r="K2007" s="13" t="n">
        <v>120</v>
      </c>
      <c r="L2007" s="6" t="n">
        <f aca="false">H2007*K2007</f>
        <v>120</v>
      </c>
      <c r="M2007" s="14" t="s">
        <v>410</v>
      </c>
    </row>
    <row r="2008" customFormat="false" ht="15" hidden="false" customHeight="false" outlineLevel="0" collapsed="false">
      <c r="A2008" s="4" t="s">
        <v>13</v>
      </c>
      <c r="B2008" s="5" t="s">
        <v>36</v>
      </c>
      <c r="C2008" s="5" t="s">
        <v>37</v>
      </c>
      <c r="D2008" s="4" t="s">
        <v>16</v>
      </c>
      <c r="E2008" s="4" t="s">
        <v>3079</v>
      </c>
      <c r="F2008" s="4" t="s">
        <v>406</v>
      </c>
      <c r="G2008" s="4" t="s">
        <v>3080</v>
      </c>
      <c r="H2008" s="12" t="n">
        <v>1</v>
      </c>
      <c r="I2008" s="4" t="s">
        <v>408</v>
      </c>
      <c r="J2008" s="4" t="s">
        <v>409</v>
      </c>
      <c r="K2008" s="13" t="n">
        <v>85000</v>
      </c>
      <c r="L2008" s="6" t="n">
        <f aca="false">H2008*K2008</f>
        <v>85000</v>
      </c>
      <c r="M2008" s="14" t="s">
        <v>410</v>
      </c>
    </row>
    <row r="2009" customFormat="false" ht="15" hidden="false" customHeight="false" outlineLevel="0" collapsed="false">
      <c r="A2009" s="4" t="s">
        <v>13</v>
      </c>
      <c r="B2009" s="5" t="s">
        <v>36</v>
      </c>
      <c r="C2009" s="5" t="s">
        <v>37</v>
      </c>
      <c r="D2009" s="4" t="s">
        <v>16</v>
      </c>
      <c r="E2009" s="4" t="s">
        <v>3081</v>
      </c>
      <c r="F2009" s="4" t="s">
        <v>488</v>
      </c>
      <c r="G2009" s="4" t="s">
        <v>3082</v>
      </c>
      <c r="H2009" s="12" t="n">
        <v>1</v>
      </c>
      <c r="I2009" s="4" t="s">
        <v>408</v>
      </c>
      <c r="J2009" s="4" t="s">
        <v>432</v>
      </c>
      <c r="K2009" s="13" t="n">
        <v>15</v>
      </c>
      <c r="L2009" s="6" t="n">
        <f aca="false">H2009*K2009</f>
        <v>15</v>
      </c>
      <c r="M2009" s="4" t="s">
        <v>371</v>
      </c>
    </row>
    <row r="2010" customFormat="false" ht="15" hidden="false" customHeight="false" outlineLevel="0" collapsed="false">
      <c r="A2010" s="4" t="s">
        <v>13</v>
      </c>
      <c r="B2010" s="5" t="s">
        <v>36</v>
      </c>
      <c r="C2010" s="5" t="s">
        <v>37</v>
      </c>
      <c r="D2010" s="4" t="s">
        <v>16</v>
      </c>
      <c r="E2010" s="4" t="s">
        <v>3083</v>
      </c>
      <c r="F2010" s="4" t="s">
        <v>488</v>
      </c>
      <c r="G2010" s="4" t="s">
        <v>593</v>
      </c>
      <c r="H2010" s="12" t="n">
        <v>1</v>
      </c>
      <c r="I2010" s="4" t="s">
        <v>408</v>
      </c>
      <c r="J2010" s="4" t="s">
        <v>432</v>
      </c>
      <c r="K2010" s="13" t="n">
        <v>8</v>
      </c>
      <c r="L2010" s="6" t="n">
        <f aca="false">H2010*K2010</f>
        <v>8</v>
      </c>
      <c r="M2010" s="4" t="s">
        <v>371</v>
      </c>
    </row>
    <row r="2011" customFormat="false" ht="15" hidden="false" customHeight="false" outlineLevel="0" collapsed="false">
      <c r="A2011" s="4" t="s">
        <v>13</v>
      </c>
      <c r="B2011" s="5" t="s">
        <v>36</v>
      </c>
      <c r="C2011" s="5" t="s">
        <v>37</v>
      </c>
      <c r="D2011" s="4" t="s">
        <v>16</v>
      </c>
      <c r="E2011" s="4" t="s">
        <v>756</v>
      </c>
      <c r="F2011" s="4" t="s">
        <v>488</v>
      </c>
      <c r="G2011" s="4" t="s">
        <v>757</v>
      </c>
      <c r="H2011" s="12" t="n">
        <v>1</v>
      </c>
      <c r="I2011" s="4" t="s">
        <v>408</v>
      </c>
      <c r="J2011" s="4" t="s">
        <v>432</v>
      </c>
      <c r="K2011" s="13" t="n">
        <v>15</v>
      </c>
      <c r="L2011" s="6" t="n">
        <f aca="false">H2011*K2011</f>
        <v>15</v>
      </c>
      <c r="M2011" s="4" t="s">
        <v>371</v>
      </c>
    </row>
    <row r="2012" customFormat="false" ht="15" hidden="false" customHeight="false" outlineLevel="0" collapsed="false">
      <c r="A2012" s="4" t="s">
        <v>13</v>
      </c>
      <c r="B2012" s="5" t="s">
        <v>36</v>
      </c>
      <c r="C2012" s="5" t="s">
        <v>37</v>
      </c>
      <c r="D2012" s="4" t="s">
        <v>16</v>
      </c>
      <c r="E2012" s="4" t="s">
        <v>3084</v>
      </c>
      <c r="F2012" s="4" t="s">
        <v>488</v>
      </c>
      <c r="G2012" s="4" t="s">
        <v>3085</v>
      </c>
      <c r="H2012" s="12" t="n">
        <v>1</v>
      </c>
      <c r="I2012" s="4" t="s">
        <v>408</v>
      </c>
      <c r="J2012" s="4" t="s">
        <v>432</v>
      </c>
      <c r="K2012" s="13" t="n">
        <v>35</v>
      </c>
      <c r="L2012" s="6" t="n">
        <f aca="false">H2012*K2012</f>
        <v>35</v>
      </c>
      <c r="M2012" s="4" t="s">
        <v>371</v>
      </c>
    </row>
    <row r="2013" customFormat="false" ht="15" hidden="false" customHeight="false" outlineLevel="0" collapsed="false">
      <c r="A2013" s="4" t="s">
        <v>13</v>
      </c>
      <c r="B2013" s="5" t="s">
        <v>36</v>
      </c>
      <c r="C2013" s="5" t="s">
        <v>37</v>
      </c>
      <c r="D2013" s="4" t="s">
        <v>16</v>
      </c>
      <c r="E2013" s="4" t="s">
        <v>3086</v>
      </c>
      <c r="F2013" s="4" t="s">
        <v>488</v>
      </c>
      <c r="G2013" s="4" t="s">
        <v>3087</v>
      </c>
      <c r="H2013" s="12" t="n">
        <v>1</v>
      </c>
      <c r="I2013" s="4" t="s">
        <v>408</v>
      </c>
      <c r="J2013" s="4" t="s">
        <v>432</v>
      </c>
      <c r="K2013" s="13" t="n">
        <v>20</v>
      </c>
      <c r="L2013" s="6" t="n">
        <f aca="false">H2013*K2013</f>
        <v>20</v>
      </c>
      <c r="M2013" s="4" t="s">
        <v>371</v>
      </c>
    </row>
    <row r="2014" customFormat="false" ht="15" hidden="false" customHeight="false" outlineLevel="0" collapsed="false">
      <c r="A2014" s="4" t="s">
        <v>13</v>
      </c>
      <c r="B2014" s="5" t="s">
        <v>36</v>
      </c>
      <c r="C2014" s="5" t="s">
        <v>37</v>
      </c>
      <c r="D2014" s="4" t="s">
        <v>16</v>
      </c>
      <c r="E2014" s="4" t="s">
        <v>3088</v>
      </c>
      <c r="F2014" s="4" t="s">
        <v>488</v>
      </c>
      <c r="G2014" s="4" t="s">
        <v>3089</v>
      </c>
      <c r="H2014" s="12" t="n">
        <v>1</v>
      </c>
      <c r="I2014" s="4" t="s">
        <v>408</v>
      </c>
      <c r="J2014" s="4" t="s">
        <v>432</v>
      </c>
      <c r="K2014" s="13" t="n">
        <v>35</v>
      </c>
      <c r="L2014" s="6" t="n">
        <f aca="false">H2014*K2014</f>
        <v>35</v>
      </c>
      <c r="M2014" s="4" t="s">
        <v>371</v>
      </c>
    </row>
    <row r="2015" customFormat="false" ht="15" hidden="false" customHeight="false" outlineLevel="0" collapsed="false">
      <c r="A2015" s="4" t="s">
        <v>13</v>
      </c>
      <c r="B2015" s="5" t="s">
        <v>36</v>
      </c>
      <c r="C2015" s="5" t="s">
        <v>37</v>
      </c>
      <c r="D2015" s="4" t="s">
        <v>16</v>
      </c>
      <c r="E2015" s="4" t="s">
        <v>3090</v>
      </c>
      <c r="F2015" s="4" t="s">
        <v>488</v>
      </c>
      <c r="G2015" s="4" t="s">
        <v>3091</v>
      </c>
      <c r="H2015" s="12" t="n">
        <v>1</v>
      </c>
      <c r="I2015" s="4" t="s">
        <v>408</v>
      </c>
      <c r="J2015" s="4" t="s">
        <v>432</v>
      </c>
      <c r="K2015" s="13" t="n">
        <v>35</v>
      </c>
      <c r="L2015" s="6" t="n">
        <f aca="false">H2015*K2015</f>
        <v>35</v>
      </c>
      <c r="M2015" s="4" t="s">
        <v>371</v>
      </c>
    </row>
    <row r="2016" customFormat="false" ht="15" hidden="false" customHeight="false" outlineLevel="0" collapsed="false">
      <c r="A2016" s="4" t="s">
        <v>13</v>
      </c>
      <c r="B2016" s="5" t="s">
        <v>36</v>
      </c>
      <c r="C2016" s="5" t="s">
        <v>37</v>
      </c>
      <c r="D2016" s="4" t="s">
        <v>16</v>
      </c>
      <c r="E2016" s="4" t="s">
        <v>3092</v>
      </c>
      <c r="F2016" s="4" t="s">
        <v>488</v>
      </c>
      <c r="G2016" s="4" t="s">
        <v>3093</v>
      </c>
      <c r="H2016" s="12" t="n">
        <v>1</v>
      </c>
      <c r="I2016" s="4" t="s">
        <v>408</v>
      </c>
      <c r="J2016" s="4" t="s">
        <v>432</v>
      </c>
      <c r="K2016" s="13" t="n">
        <v>45</v>
      </c>
      <c r="L2016" s="6" t="n">
        <f aca="false">H2016*K2016</f>
        <v>45</v>
      </c>
      <c r="M2016" s="4" t="s">
        <v>371</v>
      </c>
    </row>
    <row r="2017" customFormat="false" ht="15" hidden="false" customHeight="false" outlineLevel="0" collapsed="false">
      <c r="A2017" s="4" t="s">
        <v>13</v>
      </c>
      <c r="B2017" s="5" t="s">
        <v>36</v>
      </c>
      <c r="C2017" s="5" t="s">
        <v>37</v>
      </c>
      <c r="D2017" s="4" t="s">
        <v>16</v>
      </c>
      <c r="E2017" s="4" t="s">
        <v>3094</v>
      </c>
      <c r="F2017" s="4" t="s">
        <v>488</v>
      </c>
      <c r="G2017" s="4" t="s">
        <v>3095</v>
      </c>
      <c r="H2017" s="12" t="n">
        <v>1</v>
      </c>
      <c r="I2017" s="4" t="s">
        <v>408</v>
      </c>
      <c r="J2017" s="4" t="s">
        <v>432</v>
      </c>
      <c r="K2017" s="13" t="n">
        <v>65</v>
      </c>
      <c r="L2017" s="6" t="n">
        <f aca="false">H2017*K2017</f>
        <v>65</v>
      </c>
      <c r="M2017" s="4" t="s">
        <v>371</v>
      </c>
    </row>
    <row r="2018" customFormat="false" ht="15" hidden="false" customHeight="false" outlineLevel="0" collapsed="false">
      <c r="A2018" s="4" t="s">
        <v>13</v>
      </c>
      <c r="B2018" s="5" t="s">
        <v>36</v>
      </c>
      <c r="C2018" s="5" t="s">
        <v>37</v>
      </c>
      <c r="D2018" s="4" t="s">
        <v>16</v>
      </c>
      <c r="E2018" s="4" t="s">
        <v>3096</v>
      </c>
      <c r="F2018" s="4" t="s">
        <v>488</v>
      </c>
      <c r="G2018" s="4" t="s">
        <v>3097</v>
      </c>
      <c r="H2018" s="12" t="n">
        <v>1</v>
      </c>
      <c r="I2018" s="4" t="s">
        <v>408</v>
      </c>
      <c r="J2018" s="4" t="s">
        <v>432</v>
      </c>
      <c r="K2018" s="13" t="n">
        <v>120</v>
      </c>
      <c r="L2018" s="6" t="n">
        <f aca="false">H2018*K2018</f>
        <v>120</v>
      </c>
      <c r="M2018" s="4" t="s">
        <v>371</v>
      </c>
    </row>
    <row r="2019" customFormat="false" ht="15" hidden="false" customHeight="false" outlineLevel="0" collapsed="false">
      <c r="A2019" s="4" t="s">
        <v>13</v>
      </c>
      <c r="B2019" s="5" t="s">
        <v>36</v>
      </c>
      <c r="C2019" s="5" t="s">
        <v>37</v>
      </c>
      <c r="D2019" s="4" t="s">
        <v>16</v>
      </c>
      <c r="E2019" s="4" t="s">
        <v>3098</v>
      </c>
      <c r="F2019" s="4" t="s">
        <v>488</v>
      </c>
      <c r="G2019" s="4" t="s">
        <v>3099</v>
      </c>
      <c r="H2019" s="12" t="n">
        <v>1</v>
      </c>
      <c r="I2019" s="4" t="s">
        <v>408</v>
      </c>
      <c r="J2019" s="4" t="s">
        <v>432</v>
      </c>
      <c r="K2019" s="13" t="n">
        <v>60</v>
      </c>
      <c r="L2019" s="6" t="n">
        <f aca="false">H2019*K2019</f>
        <v>60</v>
      </c>
      <c r="M2019" s="4" t="s">
        <v>371</v>
      </c>
    </row>
    <row r="2020" customFormat="false" ht="15" hidden="false" customHeight="false" outlineLevel="0" collapsed="false">
      <c r="A2020" s="4" t="s">
        <v>13</v>
      </c>
      <c r="B2020" s="5" t="s">
        <v>36</v>
      </c>
      <c r="C2020" s="5" t="s">
        <v>37</v>
      </c>
      <c r="D2020" s="4" t="s">
        <v>16</v>
      </c>
      <c r="E2020" s="4" t="s">
        <v>3100</v>
      </c>
      <c r="F2020" s="4" t="s">
        <v>488</v>
      </c>
      <c r="G2020" s="4" t="s">
        <v>3101</v>
      </c>
      <c r="H2020" s="12" t="n">
        <v>1</v>
      </c>
      <c r="I2020" s="4" t="s">
        <v>408</v>
      </c>
      <c r="J2020" s="4" t="s">
        <v>490</v>
      </c>
      <c r="K2020" s="13" t="n">
        <v>450</v>
      </c>
      <c r="L2020" s="6" t="n">
        <f aca="false">H2020*K2020</f>
        <v>450</v>
      </c>
      <c r="M2020" s="4" t="s">
        <v>371</v>
      </c>
    </row>
    <row r="2021" customFormat="false" ht="15" hidden="false" customHeight="false" outlineLevel="0" collapsed="false">
      <c r="A2021" s="4" t="s">
        <v>13</v>
      </c>
      <c r="B2021" s="5" t="s">
        <v>36</v>
      </c>
      <c r="C2021" s="5" t="s">
        <v>37</v>
      </c>
      <c r="D2021" s="4" t="s">
        <v>16</v>
      </c>
      <c r="E2021" s="4" t="s">
        <v>3102</v>
      </c>
      <c r="F2021" s="4" t="s">
        <v>488</v>
      </c>
      <c r="G2021" s="4" t="s">
        <v>3103</v>
      </c>
      <c r="H2021" s="12" t="n">
        <v>1</v>
      </c>
      <c r="I2021" s="4" t="s">
        <v>408</v>
      </c>
      <c r="J2021" s="4" t="s">
        <v>432</v>
      </c>
      <c r="K2021" s="13" t="n">
        <v>450</v>
      </c>
      <c r="L2021" s="6" t="n">
        <f aca="false">H2021*K2021</f>
        <v>450</v>
      </c>
      <c r="M2021" s="4" t="s">
        <v>371</v>
      </c>
    </row>
    <row r="2022" customFormat="false" ht="15" hidden="false" customHeight="false" outlineLevel="0" collapsed="false">
      <c r="A2022" s="4" t="s">
        <v>13</v>
      </c>
      <c r="B2022" s="5" t="s">
        <v>36</v>
      </c>
      <c r="C2022" s="5" t="s">
        <v>37</v>
      </c>
      <c r="D2022" s="4" t="s">
        <v>16</v>
      </c>
      <c r="E2022" s="4" t="s">
        <v>3104</v>
      </c>
      <c r="F2022" s="4" t="s">
        <v>488</v>
      </c>
      <c r="G2022" s="4" t="s">
        <v>3105</v>
      </c>
      <c r="H2022" s="12" t="n">
        <v>1</v>
      </c>
      <c r="I2022" s="4" t="s">
        <v>408</v>
      </c>
      <c r="J2022" s="4" t="s">
        <v>490</v>
      </c>
      <c r="K2022" s="13" t="n">
        <v>350</v>
      </c>
      <c r="L2022" s="6" t="n">
        <f aca="false">H2022*K2022</f>
        <v>350</v>
      </c>
      <c r="M2022" s="4" t="s">
        <v>371</v>
      </c>
    </row>
    <row r="2023" customFormat="false" ht="15" hidden="false" customHeight="false" outlineLevel="0" collapsed="false">
      <c r="A2023" s="4" t="s">
        <v>13</v>
      </c>
      <c r="B2023" s="5" t="s">
        <v>36</v>
      </c>
      <c r="C2023" s="5" t="s">
        <v>37</v>
      </c>
      <c r="D2023" s="4" t="s">
        <v>16</v>
      </c>
      <c r="E2023" s="4" t="s">
        <v>3106</v>
      </c>
      <c r="F2023" s="4" t="s">
        <v>488</v>
      </c>
      <c r="G2023" s="4" t="s">
        <v>3107</v>
      </c>
      <c r="H2023" s="12" t="n">
        <v>1</v>
      </c>
      <c r="I2023" s="4" t="s">
        <v>408</v>
      </c>
      <c r="J2023" s="4" t="s">
        <v>432</v>
      </c>
      <c r="K2023" s="13" t="n">
        <v>120</v>
      </c>
      <c r="L2023" s="6" t="n">
        <f aca="false">H2023*K2023</f>
        <v>120</v>
      </c>
      <c r="M2023" s="4" t="s">
        <v>371</v>
      </c>
    </row>
    <row r="2024" customFormat="false" ht="15" hidden="false" customHeight="false" outlineLevel="0" collapsed="false">
      <c r="A2024" s="4" t="s">
        <v>13</v>
      </c>
      <c r="B2024" s="5" t="s">
        <v>36</v>
      </c>
      <c r="C2024" s="5" t="s">
        <v>37</v>
      </c>
      <c r="D2024" s="4" t="s">
        <v>16</v>
      </c>
      <c r="E2024" s="4" t="s">
        <v>3108</v>
      </c>
      <c r="F2024" s="4" t="s">
        <v>488</v>
      </c>
      <c r="G2024" s="4" t="s">
        <v>3109</v>
      </c>
      <c r="H2024" s="12" t="n">
        <v>1</v>
      </c>
      <c r="I2024" s="4" t="s">
        <v>408</v>
      </c>
      <c r="J2024" s="4" t="s">
        <v>490</v>
      </c>
      <c r="K2024" s="13" t="n">
        <v>250</v>
      </c>
      <c r="L2024" s="6" t="n">
        <f aca="false">H2024*K2024</f>
        <v>250</v>
      </c>
      <c r="M2024" s="4" t="s">
        <v>371</v>
      </c>
    </row>
    <row r="2025" customFormat="false" ht="15" hidden="false" customHeight="false" outlineLevel="0" collapsed="false">
      <c r="A2025" s="4" t="s">
        <v>13</v>
      </c>
      <c r="B2025" s="5" t="s">
        <v>36</v>
      </c>
      <c r="C2025" s="5" t="s">
        <v>37</v>
      </c>
      <c r="D2025" s="4" t="s">
        <v>16</v>
      </c>
      <c r="E2025" s="4" t="s">
        <v>3110</v>
      </c>
      <c r="F2025" s="4" t="s">
        <v>488</v>
      </c>
      <c r="G2025" s="4" t="s">
        <v>3111</v>
      </c>
      <c r="H2025" s="12" t="n">
        <v>1</v>
      </c>
      <c r="I2025" s="4" t="s">
        <v>408</v>
      </c>
      <c r="J2025" s="4" t="s">
        <v>503</v>
      </c>
      <c r="K2025" s="13" t="n">
        <v>250</v>
      </c>
      <c r="L2025" s="6" t="n">
        <f aca="false">H2025*K2025</f>
        <v>250</v>
      </c>
      <c r="M2025" s="4" t="s">
        <v>371</v>
      </c>
    </row>
    <row r="2026" customFormat="false" ht="15" hidden="false" customHeight="false" outlineLevel="0" collapsed="false">
      <c r="A2026" s="4" t="s">
        <v>13</v>
      </c>
      <c r="B2026" s="5" t="s">
        <v>36</v>
      </c>
      <c r="C2026" s="5" t="s">
        <v>37</v>
      </c>
      <c r="D2026" s="4" t="s">
        <v>16</v>
      </c>
      <c r="E2026" s="4" t="s">
        <v>3112</v>
      </c>
      <c r="F2026" s="4" t="s">
        <v>488</v>
      </c>
      <c r="G2026" s="4" t="s">
        <v>3113</v>
      </c>
      <c r="H2026" s="12" t="n">
        <v>1</v>
      </c>
      <c r="I2026" s="4" t="s">
        <v>408</v>
      </c>
      <c r="J2026" s="4" t="s">
        <v>432</v>
      </c>
      <c r="K2026" s="13" t="n">
        <v>80</v>
      </c>
      <c r="L2026" s="6" t="n">
        <f aca="false">H2026*K2026</f>
        <v>80</v>
      </c>
      <c r="M2026" s="4" t="s">
        <v>371</v>
      </c>
    </row>
    <row r="2027" customFormat="false" ht="15" hidden="false" customHeight="false" outlineLevel="0" collapsed="false">
      <c r="A2027" s="4" t="s">
        <v>13</v>
      </c>
      <c r="B2027" s="5" t="s">
        <v>36</v>
      </c>
      <c r="C2027" s="5" t="s">
        <v>37</v>
      </c>
      <c r="D2027" s="4" t="s">
        <v>16</v>
      </c>
      <c r="E2027" s="4" t="s">
        <v>3114</v>
      </c>
      <c r="F2027" s="4" t="s">
        <v>488</v>
      </c>
      <c r="G2027" s="4" t="s">
        <v>3115</v>
      </c>
      <c r="H2027" s="12" t="n">
        <v>1</v>
      </c>
      <c r="I2027" s="4" t="s">
        <v>408</v>
      </c>
      <c r="J2027" s="4" t="s">
        <v>490</v>
      </c>
      <c r="K2027" s="13" t="n">
        <v>450</v>
      </c>
      <c r="L2027" s="6" t="n">
        <f aca="false">H2027*K2027</f>
        <v>450</v>
      </c>
      <c r="M2027" s="4" t="s">
        <v>371</v>
      </c>
    </row>
    <row r="2028" customFormat="false" ht="15" hidden="false" customHeight="false" outlineLevel="0" collapsed="false">
      <c r="A2028" s="4" t="s">
        <v>13</v>
      </c>
      <c r="B2028" s="5" t="s">
        <v>36</v>
      </c>
      <c r="C2028" s="5" t="s">
        <v>37</v>
      </c>
      <c r="D2028" s="4" t="s">
        <v>16</v>
      </c>
      <c r="E2028" s="4" t="s">
        <v>3116</v>
      </c>
      <c r="F2028" s="4" t="s">
        <v>488</v>
      </c>
      <c r="G2028" s="4" t="s">
        <v>3117</v>
      </c>
      <c r="H2028" s="12" t="n">
        <v>1</v>
      </c>
      <c r="I2028" s="4" t="s">
        <v>408</v>
      </c>
      <c r="J2028" s="4" t="s">
        <v>762</v>
      </c>
      <c r="K2028" s="13" t="n">
        <v>350</v>
      </c>
      <c r="L2028" s="6" t="n">
        <f aca="false">H2028*K2028</f>
        <v>350</v>
      </c>
      <c r="M2028" s="4" t="s">
        <v>371</v>
      </c>
    </row>
    <row r="2029" customFormat="false" ht="15" hidden="false" customHeight="false" outlineLevel="0" collapsed="false">
      <c r="A2029" s="4" t="s">
        <v>13</v>
      </c>
      <c r="B2029" s="5" t="s">
        <v>36</v>
      </c>
      <c r="C2029" s="5" t="s">
        <v>37</v>
      </c>
      <c r="D2029" s="4" t="s">
        <v>16</v>
      </c>
      <c r="E2029" s="4" t="s">
        <v>3118</v>
      </c>
      <c r="F2029" s="4" t="s">
        <v>488</v>
      </c>
      <c r="G2029" s="4" t="s">
        <v>3119</v>
      </c>
      <c r="H2029" s="12" t="n">
        <v>1</v>
      </c>
      <c r="I2029" s="4" t="s">
        <v>408</v>
      </c>
      <c r="J2029" s="4" t="s">
        <v>432</v>
      </c>
      <c r="K2029" s="13" t="n">
        <v>45</v>
      </c>
      <c r="L2029" s="6" t="n">
        <f aca="false">H2029*K2029</f>
        <v>45</v>
      </c>
      <c r="M2029" s="4" t="s">
        <v>371</v>
      </c>
    </row>
    <row r="2030" customFormat="false" ht="15" hidden="false" customHeight="false" outlineLevel="0" collapsed="false">
      <c r="A2030" s="4" t="s">
        <v>13</v>
      </c>
      <c r="B2030" s="5" t="s">
        <v>36</v>
      </c>
      <c r="C2030" s="5" t="s">
        <v>37</v>
      </c>
      <c r="D2030" s="4" t="s">
        <v>16</v>
      </c>
      <c r="E2030" s="4" t="s">
        <v>3120</v>
      </c>
      <c r="F2030" s="4" t="s">
        <v>488</v>
      </c>
      <c r="G2030" s="4" t="s">
        <v>3121</v>
      </c>
      <c r="H2030" s="12" t="n">
        <v>1</v>
      </c>
      <c r="I2030" s="4" t="s">
        <v>408</v>
      </c>
      <c r="J2030" s="4" t="s">
        <v>503</v>
      </c>
      <c r="K2030" s="13" t="n">
        <v>350</v>
      </c>
      <c r="L2030" s="6" t="n">
        <f aca="false">H2030*K2030</f>
        <v>350</v>
      </c>
      <c r="M2030" s="4" t="s">
        <v>371</v>
      </c>
    </row>
    <row r="2031" customFormat="false" ht="15" hidden="false" customHeight="false" outlineLevel="0" collapsed="false">
      <c r="A2031" s="4" t="s">
        <v>13</v>
      </c>
      <c r="B2031" s="5" t="s">
        <v>38</v>
      </c>
      <c r="C2031" s="5" t="s">
        <v>39</v>
      </c>
      <c r="D2031" s="4" t="s">
        <v>16</v>
      </c>
      <c r="E2031" s="4" t="s">
        <v>3014</v>
      </c>
      <c r="F2031" s="4" t="s">
        <v>406</v>
      </c>
      <c r="G2031" s="4" t="s">
        <v>3015</v>
      </c>
      <c r="H2031" s="12" t="n">
        <v>1</v>
      </c>
      <c r="I2031" s="4" t="s">
        <v>408</v>
      </c>
      <c r="J2031" s="4" t="s">
        <v>807</v>
      </c>
      <c r="K2031" s="13" t="n">
        <v>120</v>
      </c>
      <c r="L2031" s="6" t="n">
        <f aca="false">H2031*K2031</f>
        <v>120</v>
      </c>
      <c r="M2031" s="14" t="s">
        <v>410</v>
      </c>
    </row>
    <row r="2032" customFormat="false" ht="15" hidden="false" customHeight="false" outlineLevel="0" collapsed="false">
      <c r="A2032" s="4" t="s">
        <v>13</v>
      </c>
      <c r="B2032" s="5" t="s">
        <v>38</v>
      </c>
      <c r="C2032" s="5" t="s">
        <v>39</v>
      </c>
      <c r="D2032" s="4" t="s">
        <v>16</v>
      </c>
      <c r="E2032" s="4" t="s">
        <v>3016</v>
      </c>
      <c r="F2032" s="4" t="s">
        <v>406</v>
      </c>
      <c r="G2032" s="4" t="s">
        <v>617</v>
      </c>
      <c r="H2032" s="12" t="n">
        <v>1</v>
      </c>
      <c r="I2032" s="4" t="s">
        <v>408</v>
      </c>
      <c r="J2032" s="4" t="s">
        <v>409</v>
      </c>
      <c r="K2032" s="13" t="n">
        <v>850</v>
      </c>
      <c r="L2032" s="6" t="n">
        <f aca="false">H2032*K2032</f>
        <v>850</v>
      </c>
      <c r="M2032" s="14" t="s">
        <v>410</v>
      </c>
    </row>
    <row r="2033" customFormat="false" ht="15" hidden="false" customHeight="false" outlineLevel="0" collapsed="false">
      <c r="A2033" s="4" t="s">
        <v>13</v>
      </c>
      <c r="B2033" s="5" t="s">
        <v>38</v>
      </c>
      <c r="C2033" s="5" t="s">
        <v>39</v>
      </c>
      <c r="D2033" s="4" t="s">
        <v>16</v>
      </c>
      <c r="E2033" s="4" t="s">
        <v>640</v>
      </c>
      <c r="F2033" s="4" t="s">
        <v>406</v>
      </c>
      <c r="G2033" s="4" t="s">
        <v>641</v>
      </c>
      <c r="H2033" s="12" t="n">
        <v>1</v>
      </c>
      <c r="I2033" s="4" t="s">
        <v>408</v>
      </c>
      <c r="J2033" s="4" t="s">
        <v>409</v>
      </c>
      <c r="K2033" s="13" t="n">
        <v>180</v>
      </c>
      <c r="L2033" s="6" t="n">
        <f aca="false">H2033*K2033</f>
        <v>180</v>
      </c>
      <c r="M2033" s="14" t="s">
        <v>410</v>
      </c>
    </row>
    <row r="2034" customFormat="false" ht="15" hidden="false" customHeight="false" outlineLevel="0" collapsed="false">
      <c r="A2034" s="4" t="s">
        <v>13</v>
      </c>
      <c r="B2034" s="5" t="s">
        <v>38</v>
      </c>
      <c r="C2034" s="5" t="s">
        <v>39</v>
      </c>
      <c r="D2034" s="4" t="s">
        <v>16</v>
      </c>
      <c r="E2034" s="4" t="s">
        <v>3020</v>
      </c>
      <c r="F2034" s="4" t="s">
        <v>406</v>
      </c>
      <c r="G2034" s="4" t="s">
        <v>3021</v>
      </c>
      <c r="H2034" s="12" t="n">
        <v>1</v>
      </c>
      <c r="I2034" s="4" t="s">
        <v>408</v>
      </c>
      <c r="J2034" s="4" t="s">
        <v>409</v>
      </c>
      <c r="K2034" s="13" t="n">
        <v>4500</v>
      </c>
      <c r="L2034" s="6" t="n">
        <f aca="false">H2034*K2034</f>
        <v>4500</v>
      </c>
      <c r="M2034" s="14" t="s">
        <v>410</v>
      </c>
    </row>
    <row r="2035" customFormat="false" ht="15" hidden="false" customHeight="false" outlineLevel="0" collapsed="false">
      <c r="A2035" s="4" t="s">
        <v>13</v>
      </c>
      <c r="B2035" s="5" t="s">
        <v>38</v>
      </c>
      <c r="C2035" s="5" t="s">
        <v>39</v>
      </c>
      <c r="D2035" s="4" t="s">
        <v>16</v>
      </c>
      <c r="E2035" s="4" t="s">
        <v>3022</v>
      </c>
      <c r="F2035" s="4" t="s">
        <v>406</v>
      </c>
      <c r="G2035" s="4" t="s">
        <v>3023</v>
      </c>
      <c r="H2035" s="12" t="n">
        <v>1</v>
      </c>
      <c r="I2035" s="4" t="s">
        <v>408</v>
      </c>
      <c r="J2035" s="4" t="s">
        <v>409</v>
      </c>
      <c r="K2035" s="13" t="n">
        <v>450</v>
      </c>
      <c r="L2035" s="6" t="n">
        <f aca="false">H2035*K2035</f>
        <v>450</v>
      </c>
      <c r="M2035" s="14" t="s">
        <v>410</v>
      </c>
    </row>
    <row r="2036" customFormat="false" ht="15" hidden="false" customHeight="false" outlineLevel="0" collapsed="false">
      <c r="A2036" s="4" t="s">
        <v>13</v>
      </c>
      <c r="B2036" s="5" t="s">
        <v>38</v>
      </c>
      <c r="C2036" s="5" t="s">
        <v>39</v>
      </c>
      <c r="D2036" s="4" t="s">
        <v>16</v>
      </c>
      <c r="E2036" s="4" t="s">
        <v>3024</v>
      </c>
      <c r="F2036" s="4" t="s">
        <v>406</v>
      </c>
      <c r="G2036" s="4" t="s">
        <v>3025</v>
      </c>
      <c r="H2036" s="12" t="n">
        <v>1</v>
      </c>
      <c r="I2036" s="4" t="s">
        <v>408</v>
      </c>
      <c r="J2036" s="4" t="s">
        <v>409</v>
      </c>
      <c r="K2036" s="13" t="n">
        <v>180</v>
      </c>
      <c r="L2036" s="6" t="n">
        <f aca="false">H2036*K2036</f>
        <v>180</v>
      </c>
      <c r="M2036" s="14" t="s">
        <v>410</v>
      </c>
    </row>
    <row r="2037" customFormat="false" ht="15" hidden="false" customHeight="false" outlineLevel="0" collapsed="false">
      <c r="A2037" s="4" t="s">
        <v>13</v>
      </c>
      <c r="B2037" s="5" t="s">
        <v>38</v>
      </c>
      <c r="C2037" s="5" t="s">
        <v>39</v>
      </c>
      <c r="D2037" s="4" t="s">
        <v>16</v>
      </c>
      <c r="E2037" s="4" t="s">
        <v>3026</v>
      </c>
      <c r="F2037" s="4" t="s">
        <v>406</v>
      </c>
      <c r="G2037" s="4" t="s">
        <v>3027</v>
      </c>
      <c r="H2037" s="12" t="n">
        <v>1</v>
      </c>
      <c r="I2037" s="4" t="s">
        <v>408</v>
      </c>
      <c r="J2037" s="4" t="s">
        <v>409</v>
      </c>
      <c r="K2037" s="13" t="n">
        <v>180</v>
      </c>
      <c r="L2037" s="6" t="n">
        <f aca="false">H2037*K2037</f>
        <v>180</v>
      </c>
      <c r="M2037" s="14" t="s">
        <v>410</v>
      </c>
    </row>
    <row r="2038" customFormat="false" ht="15" hidden="false" customHeight="false" outlineLevel="0" collapsed="false">
      <c r="A2038" s="4" t="s">
        <v>13</v>
      </c>
      <c r="B2038" s="5" t="s">
        <v>38</v>
      </c>
      <c r="C2038" s="5" t="s">
        <v>39</v>
      </c>
      <c r="D2038" s="4" t="s">
        <v>16</v>
      </c>
      <c r="E2038" s="4" t="s">
        <v>3028</v>
      </c>
      <c r="F2038" s="4" t="s">
        <v>406</v>
      </c>
      <c r="G2038" s="4" t="s">
        <v>3029</v>
      </c>
      <c r="H2038" s="12" t="n">
        <v>1</v>
      </c>
      <c r="I2038" s="4" t="s">
        <v>408</v>
      </c>
      <c r="J2038" s="4" t="s">
        <v>409</v>
      </c>
      <c r="K2038" s="13" t="n">
        <v>650</v>
      </c>
      <c r="L2038" s="6" t="n">
        <f aca="false">H2038*K2038</f>
        <v>650</v>
      </c>
      <c r="M2038" s="14" t="s">
        <v>410</v>
      </c>
    </row>
    <row r="2039" customFormat="false" ht="15" hidden="false" customHeight="false" outlineLevel="0" collapsed="false">
      <c r="A2039" s="4" t="s">
        <v>13</v>
      </c>
      <c r="B2039" s="5" t="s">
        <v>38</v>
      </c>
      <c r="C2039" s="5" t="s">
        <v>39</v>
      </c>
      <c r="D2039" s="4" t="s">
        <v>16</v>
      </c>
      <c r="E2039" s="4" t="s">
        <v>628</v>
      </c>
      <c r="F2039" s="4" t="s">
        <v>406</v>
      </c>
      <c r="G2039" s="4" t="s">
        <v>629</v>
      </c>
      <c r="H2039" s="12" t="n">
        <v>1</v>
      </c>
      <c r="I2039" s="4" t="s">
        <v>408</v>
      </c>
      <c r="J2039" s="4" t="s">
        <v>409</v>
      </c>
      <c r="K2039" s="13" t="n">
        <v>350</v>
      </c>
      <c r="L2039" s="6" t="n">
        <f aca="false">H2039*K2039</f>
        <v>350</v>
      </c>
      <c r="M2039" s="14" t="s">
        <v>410</v>
      </c>
    </row>
    <row r="2040" customFormat="false" ht="15" hidden="false" customHeight="false" outlineLevel="0" collapsed="false">
      <c r="A2040" s="4" t="s">
        <v>13</v>
      </c>
      <c r="B2040" s="5" t="s">
        <v>38</v>
      </c>
      <c r="C2040" s="5" t="s">
        <v>39</v>
      </c>
      <c r="D2040" s="4" t="s">
        <v>16</v>
      </c>
      <c r="E2040" s="4" t="s">
        <v>3032</v>
      </c>
      <c r="F2040" s="4" t="s">
        <v>406</v>
      </c>
      <c r="G2040" s="4" t="s">
        <v>3033</v>
      </c>
      <c r="H2040" s="12" t="n">
        <v>1</v>
      </c>
      <c r="I2040" s="4" t="s">
        <v>408</v>
      </c>
      <c r="J2040" s="4" t="s">
        <v>409</v>
      </c>
      <c r="K2040" s="13" t="n">
        <v>850</v>
      </c>
      <c r="L2040" s="6" t="n">
        <f aca="false">H2040*K2040</f>
        <v>850</v>
      </c>
      <c r="M2040" s="14" t="s">
        <v>410</v>
      </c>
    </row>
    <row r="2041" customFormat="false" ht="15" hidden="false" customHeight="false" outlineLevel="0" collapsed="false">
      <c r="A2041" s="4" t="s">
        <v>13</v>
      </c>
      <c r="B2041" s="5" t="s">
        <v>38</v>
      </c>
      <c r="C2041" s="5" t="s">
        <v>39</v>
      </c>
      <c r="D2041" s="4" t="s">
        <v>16</v>
      </c>
      <c r="E2041" s="4" t="s">
        <v>3036</v>
      </c>
      <c r="F2041" s="4" t="s">
        <v>406</v>
      </c>
      <c r="G2041" s="4" t="s">
        <v>3037</v>
      </c>
      <c r="H2041" s="12" t="n">
        <v>1</v>
      </c>
      <c r="I2041" s="4" t="s">
        <v>408</v>
      </c>
      <c r="J2041" s="4" t="s">
        <v>409</v>
      </c>
      <c r="K2041" s="13" t="n">
        <v>450</v>
      </c>
      <c r="L2041" s="6" t="n">
        <f aca="false">H2041*K2041</f>
        <v>450</v>
      </c>
      <c r="M2041" s="14" t="s">
        <v>410</v>
      </c>
    </row>
    <row r="2042" customFormat="false" ht="15" hidden="false" customHeight="false" outlineLevel="0" collapsed="false">
      <c r="A2042" s="4" t="s">
        <v>13</v>
      </c>
      <c r="B2042" s="5" t="s">
        <v>38</v>
      </c>
      <c r="C2042" s="5" t="s">
        <v>39</v>
      </c>
      <c r="D2042" s="4" t="s">
        <v>16</v>
      </c>
      <c r="E2042" s="4" t="s">
        <v>626</v>
      </c>
      <c r="F2042" s="4" t="s">
        <v>406</v>
      </c>
      <c r="G2042" s="4" t="s">
        <v>627</v>
      </c>
      <c r="H2042" s="12" t="n">
        <v>1</v>
      </c>
      <c r="I2042" s="4" t="s">
        <v>408</v>
      </c>
      <c r="J2042" s="4" t="s">
        <v>409</v>
      </c>
      <c r="K2042" s="13" t="n">
        <v>250</v>
      </c>
      <c r="L2042" s="6" t="n">
        <f aca="false">H2042*K2042</f>
        <v>250</v>
      </c>
      <c r="M2042" s="14" t="s">
        <v>410</v>
      </c>
    </row>
    <row r="2043" customFormat="false" ht="15" hidden="false" customHeight="false" outlineLevel="0" collapsed="false">
      <c r="A2043" s="4" t="s">
        <v>13</v>
      </c>
      <c r="B2043" s="5" t="s">
        <v>38</v>
      </c>
      <c r="C2043" s="5" t="s">
        <v>39</v>
      </c>
      <c r="D2043" s="4" t="s">
        <v>16</v>
      </c>
      <c r="E2043" s="4" t="s">
        <v>3122</v>
      </c>
      <c r="F2043" s="4" t="s">
        <v>406</v>
      </c>
      <c r="G2043" s="4" t="s">
        <v>3123</v>
      </c>
      <c r="H2043" s="12" t="n">
        <v>1</v>
      </c>
      <c r="I2043" s="4" t="s">
        <v>408</v>
      </c>
      <c r="J2043" s="4" t="s">
        <v>409</v>
      </c>
      <c r="K2043" s="13" t="n">
        <v>850</v>
      </c>
      <c r="L2043" s="6" t="n">
        <f aca="false">H2043*K2043</f>
        <v>850</v>
      </c>
      <c r="M2043" s="14" t="s">
        <v>410</v>
      </c>
    </row>
    <row r="2044" customFormat="false" ht="15" hidden="false" customHeight="false" outlineLevel="0" collapsed="false">
      <c r="A2044" s="4" t="s">
        <v>13</v>
      </c>
      <c r="B2044" s="5" t="s">
        <v>38</v>
      </c>
      <c r="C2044" s="5" t="s">
        <v>39</v>
      </c>
      <c r="D2044" s="4" t="s">
        <v>16</v>
      </c>
      <c r="E2044" s="4" t="s">
        <v>3124</v>
      </c>
      <c r="F2044" s="4" t="s">
        <v>406</v>
      </c>
      <c r="G2044" s="4" t="s">
        <v>3125</v>
      </c>
      <c r="H2044" s="12" t="n">
        <v>1</v>
      </c>
      <c r="I2044" s="4" t="s">
        <v>408</v>
      </c>
      <c r="J2044" s="4" t="s">
        <v>409</v>
      </c>
      <c r="K2044" s="13" t="n">
        <v>350</v>
      </c>
      <c r="L2044" s="6" t="n">
        <f aca="false">H2044*K2044</f>
        <v>350</v>
      </c>
      <c r="M2044" s="14" t="s">
        <v>410</v>
      </c>
    </row>
    <row r="2045" customFormat="false" ht="15" hidden="false" customHeight="false" outlineLevel="0" collapsed="false">
      <c r="A2045" s="4" t="s">
        <v>13</v>
      </c>
      <c r="B2045" s="5" t="s">
        <v>38</v>
      </c>
      <c r="C2045" s="5" t="s">
        <v>39</v>
      </c>
      <c r="D2045" s="4" t="s">
        <v>16</v>
      </c>
      <c r="E2045" s="4" t="s">
        <v>3043</v>
      </c>
      <c r="F2045" s="4" t="s">
        <v>406</v>
      </c>
      <c r="G2045" s="4" t="s">
        <v>647</v>
      </c>
      <c r="H2045" s="12" t="n">
        <v>1</v>
      </c>
      <c r="I2045" s="4" t="s">
        <v>408</v>
      </c>
      <c r="J2045" s="4" t="s">
        <v>409</v>
      </c>
      <c r="K2045" s="13" t="n">
        <v>450</v>
      </c>
      <c r="L2045" s="6" t="n">
        <f aca="false">H2045*K2045</f>
        <v>450</v>
      </c>
      <c r="M2045" s="14" t="s">
        <v>410</v>
      </c>
    </row>
    <row r="2046" customFormat="false" ht="15" hidden="false" customHeight="false" outlineLevel="0" collapsed="false">
      <c r="A2046" s="4" t="s">
        <v>13</v>
      </c>
      <c r="B2046" s="5" t="s">
        <v>38</v>
      </c>
      <c r="C2046" s="5" t="s">
        <v>39</v>
      </c>
      <c r="D2046" s="4" t="s">
        <v>16</v>
      </c>
      <c r="E2046" s="4" t="s">
        <v>3044</v>
      </c>
      <c r="F2046" s="4" t="s">
        <v>406</v>
      </c>
      <c r="G2046" s="4" t="s">
        <v>3045</v>
      </c>
      <c r="H2046" s="12" t="n">
        <v>1</v>
      </c>
      <c r="I2046" s="4" t="s">
        <v>408</v>
      </c>
      <c r="J2046" s="4" t="s">
        <v>409</v>
      </c>
      <c r="K2046" s="13" t="n">
        <v>350</v>
      </c>
      <c r="L2046" s="6" t="n">
        <f aca="false">H2046*K2046</f>
        <v>350</v>
      </c>
      <c r="M2046" s="14" t="s">
        <v>410</v>
      </c>
    </row>
    <row r="2047" customFormat="false" ht="15" hidden="false" customHeight="false" outlineLevel="0" collapsed="false">
      <c r="A2047" s="4" t="s">
        <v>13</v>
      </c>
      <c r="B2047" s="5" t="s">
        <v>38</v>
      </c>
      <c r="C2047" s="5" t="s">
        <v>39</v>
      </c>
      <c r="D2047" s="4" t="s">
        <v>16</v>
      </c>
      <c r="E2047" s="4" t="s">
        <v>3046</v>
      </c>
      <c r="F2047" s="4" t="s">
        <v>406</v>
      </c>
      <c r="G2047" s="4" t="s">
        <v>3047</v>
      </c>
      <c r="H2047" s="12" t="n">
        <v>1</v>
      </c>
      <c r="I2047" s="4" t="s">
        <v>408</v>
      </c>
      <c r="J2047" s="4" t="s">
        <v>409</v>
      </c>
      <c r="K2047" s="13" t="n">
        <v>180</v>
      </c>
      <c r="L2047" s="6" t="n">
        <f aca="false">H2047*K2047</f>
        <v>180</v>
      </c>
      <c r="M2047" s="14" t="s">
        <v>410</v>
      </c>
    </row>
    <row r="2048" customFormat="false" ht="15" hidden="false" customHeight="false" outlineLevel="0" collapsed="false">
      <c r="A2048" s="4" t="s">
        <v>13</v>
      </c>
      <c r="B2048" s="5" t="s">
        <v>38</v>
      </c>
      <c r="C2048" s="5" t="s">
        <v>39</v>
      </c>
      <c r="D2048" s="4" t="s">
        <v>16</v>
      </c>
      <c r="E2048" s="4" t="s">
        <v>3048</v>
      </c>
      <c r="F2048" s="4" t="s">
        <v>406</v>
      </c>
      <c r="G2048" s="4" t="s">
        <v>3049</v>
      </c>
      <c r="H2048" s="12" t="n">
        <v>1</v>
      </c>
      <c r="I2048" s="4" t="s">
        <v>408</v>
      </c>
      <c r="J2048" s="4" t="s">
        <v>409</v>
      </c>
      <c r="K2048" s="13" t="n">
        <v>450</v>
      </c>
      <c r="L2048" s="6" t="n">
        <f aca="false">H2048*K2048</f>
        <v>450</v>
      </c>
      <c r="M2048" s="14" t="s">
        <v>410</v>
      </c>
    </row>
    <row r="2049" customFormat="false" ht="15" hidden="false" customHeight="false" outlineLevel="0" collapsed="false">
      <c r="A2049" s="4" t="s">
        <v>13</v>
      </c>
      <c r="B2049" s="5" t="s">
        <v>38</v>
      </c>
      <c r="C2049" s="5" t="s">
        <v>39</v>
      </c>
      <c r="D2049" s="4" t="s">
        <v>16</v>
      </c>
      <c r="E2049" s="4" t="s">
        <v>610</v>
      </c>
      <c r="F2049" s="4" t="s">
        <v>406</v>
      </c>
      <c r="G2049" s="4" t="s">
        <v>611</v>
      </c>
      <c r="H2049" s="12" t="n">
        <v>1</v>
      </c>
      <c r="I2049" s="4" t="s">
        <v>408</v>
      </c>
      <c r="J2049" s="4" t="s">
        <v>409</v>
      </c>
      <c r="K2049" s="13" t="n">
        <v>650</v>
      </c>
      <c r="L2049" s="6" t="n">
        <f aca="false">H2049*K2049</f>
        <v>650</v>
      </c>
      <c r="M2049" s="14" t="s">
        <v>410</v>
      </c>
    </row>
    <row r="2050" customFormat="false" ht="15" hidden="false" customHeight="false" outlineLevel="0" collapsed="false">
      <c r="A2050" s="4" t="s">
        <v>13</v>
      </c>
      <c r="B2050" s="5" t="s">
        <v>38</v>
      </c>
      <c r="C2050" s="5" t="s">
        <v>39</v>
      </c>
      <c r="D2050" s="4" t="s">
        <v>16</v>
      </c>
      <c r="E2050" s="4" t="s">
        <v>3050</v>
      </c>
      <c r="F2050" s="4" t="s">
        <v>406</v>
      </c>
      <c r="G2050" s="4" t="s">
        <v>3051</v>
      </c>
      <c r="H2050" s="12" t="n">
        <v>1</v>
      </c>
      <c r="I2050" s="4" t="s">
        <v>408</v>
      </c>
      <c r="J2050" s="4" t="s">
        <v>409</v>
      </c>
      <c r="K2050" s="13" t="n">
        <v>850</v>
      </c>
      <c r="L2050" s="6" t="n">
        <f aca="false">H2050*K2050</f>
        <v>850</v>
      </c>
      <c r="M2050" s="14" t="s">
        <v>410</v>
      </c>
    </row>
    <row r="2051" customFormat="false" ht="15" hidden="false" customHeight="false" outlineLevel="0" collapsed="false">
      <c r="A2051" s="4" t="s">
        <v>13</v>
      </c>
      <c r="B2051" s="5" t="s">
        <v>38</v>
      </c>
      <c r="C2051" s="5" t="s">
        <v>39</v>
      </c>
      <c r="D2051" s="4" t="s">
        <v>16</v>
      </c>
      <c r="E2051" s="4" t="s">
        <v>3052</v>
      </c>
      <c r="F2051" s="4" t="s">
        <v>406</v>
      </c>
      <c r="G2051" s="4" t="s">
        <v>613</v>
      </c>
      <c r="H2051" s="12" t="n">
        <v>1</v>
      </c>
      <c r="I2051" s="4" t="s">
        <v>408</v>
      </c>
      <c r="J2051" s="4" t="s">
        <v>409</v>
      </c>
      <c r="K2051" s="13" t="n">
        <v>450</v>
      </c>
      <c r="L2051" s="6" t="n">
        <f aca="false">H2051*K2051</f>
        <v>450</v>
      </c>
      <c r="M2051" s="14" t="s">
        <v>410</v>
      </c>
    </row>
    <row r="2052" customFormat="false" ht="15" hidden="false" customHeight="false" outlineLevel="0" collapsed="false">
      <c r="A2052" s="4" t="s">
        <v>13</v>
      </c>
      <c r="B2052" s="5" t="s">
        <v>38</v>
      </c>
      <c r="C2052" s="5" t="s">
        <v>39</v>
      </c>
      <c r="D2052" s="4" t="s">
        <v>16</v>
      </c>
      <c r="E2052" s="4" t="s">
        <v>604</v>
      </c>
      <c r="F2052" s="4" t="s">
        <v>406</v>
      </c>
      <c r="G2052" s="4" t="s">
        <v>605</v>
      </c>
      <c r="H2052" s="12" t="n">
        <v>1</v>
      </c>
      <c r="I2052" s="4" t="s">
        <v>408</v>
      </c>
      <c r="J2052" s="4" t="s">
        <v>409</v>
      </c>
      <c r="K2052" s="13" t="n">
        <v>650</v>
      </c>
      <c r="L2052" s="6" t="n">
        <f aca="false">H2052*K2052</f>
        <v>650</v>
      </c>
      <c r="M2052" s="14" t="s">
        <v>410</v>
      </c>
    </row>
    <row r="2053" customFormat="false" ht="15" hidden="false" customHeight="false" outlineLevel="0" collapsed="false">
      <c r="A2053" s="4" t="s">
        <v>13</v>
      </c>
      <c r="B2053" s="5" t="s">
        <v>38</v>
      </c>
      <c r="C2053" s="5" t="s">
        <v>39</v>
      </c>
      <c r="D2053" s="4" t="s">
        <v>16</v>
      </c>
      <c r="E2053" s="4" t="s">
        <v>3065</v>
      </c>
      <c r="F2053" s="4" t="s">
        <v>406</v>
      </c>
      <c r="G2053" s="4" t="s">
        <v>3066</v>
      </c>
      <c r="H2053" s="12" t="n">
        <v>1</v>
      </c>
      <c r="I2053" s="4" t="s">
        <v>408</v>
      </c>
      <c r="J2053" s="4" t="s">
        <v>409</v>
      </c>
      <c r="K2053" s="13" t="n">
        <v>180</v>
      </c>
      <c r="L2053" s="6" t="n">
        <f aca="false">H2053*K2053</f>
        <v>180</v>
      </c>
      <c r="M2053" s="14" t="s">
        <v>410</v>
      </c>
    </row>
    <row r="2054" customFormat="false" ht="15" hidden="false" customHeight="false" outlineLevel="0" collapsed="false">
      <c r="A2054" s="4" t="s">
        <v>13</v>
      </c>
      <c r="B2054" s="5" t="s">
        <v>38</v>
      </c>
      <c r="C2054" s="5" t="s">
        <v>39</v>
      </c>
      <c r="D2054" s="4" t="s">
        <v>16</v>
      </c>
      <c r="E2054" s="4" t="s">
        <v>3069</v>
      </c>
      <c r="F2054" s="4" t="s">
        <v>406</v>
      </c>
      <c r="G2054" s="4" t="s">
        <v>3070</v>
      </c>
      <c r="H2054" s="12" t="n">
        <v>1</v>
      </c>
      <c r="I2054" s="4" t="s">
        <v>408</v>
      </c>
      <c r="J2054" s="4" t="s">
        <v>409</v>
      </c>
      <c r="K2054" s="13" t="n">
        <v>450</v>
      </c>
      <c r="L2054" s="6" t="n">
        <f aca="false">H2054*K2054</f>
        <v>450</v>
      </c>
      <c r="M2054" s="14" t="s">
        <v>410</v>
      </c>
    </row>
    <row r="2055" customFormat="false" ht="15" hidden="false" customHeight="false" outlineLevel="0" collapsed="false">
      <c r="A2055" s="4" t="s">
        <v>13</v>
      </c>
      <c r="B2055" s="5" t="s">
        <v>38</v>
      </c>
      <c r="C2055" s="5" t="s">
        <v>39</v>
      </c>
      <c r="D2055" s="4" t="s">
        <v>16</v>
      </c>
      <c r="E2055" s="4" t="s">
        <v>3073</v>
      </c>
      <c r="F2055" s="4" t="s">
        <v>406</v>
      </c>
      <c r="G2055" s="4" t="s">
        <v>3074</v>
      </c>
      <c r="H2055" s="12" t="n">
        <v>1</v>
      </c>
      <c r="I2055" s="4" t="s">
        <v>408</v>
      </c>
      <c r="J2055" s="4" t="s">
        <v>409</v>
      </c>
      <c r="K2055" s="13" t="n">
        <v>850</v>
      </c>
      <c r="L2055" s="6" t="n">
        <f aca="false">H2055*K2055</f>
        <v>850</v>
      </c>
      <c r="M2055" s="14" t="s">
        <v>410</v>
      </c>
    </row>
    <row r="2056" customFormat="false" ht="15" hidden="false" customHeight="false" outlineLevel="0" collapsed="false">
      <c r="A2056" s="4" t="s">
        <v>13</v>
      </c>
      <c r="B2056" s="5" t="s">
        <v>38</v>
      </c>
      <c r="C2056" s="5" t="s">
        <v>39</v>
      </c>
      <c r="D2056" s="4" t="s">
        <v>16</v>
      </c>
      <c r="E2056" s="4" t="s">
        <v>3075</v>
      </c>
      <c r="F2056" s="4" t="s">
        <v>406</v>
      </c>
      <c r="G2056" s="4" t="s">
        <v>3076</v>
      </c>
      <c r="H2056" s="12" t="n">
        <v>1</v>
      </c>
      <c r="I2056" s="4" t="s">
        <v>408</v>
      </c>
      <c r="J2056" s="4" t="s">
        <v>409</v>
      </c>
      <c r="K2056" s="13" t="n">
        <v>1800</v>
      </c>
      <c r="L2056" s="6" t="n">
        <f aca="false">H2056*K2056</f>
        <v>1800</v>
      </c>
      <c r="M2056" s="14" t="s">
        <v>410</v>
      </c>
    </row>
    <row r="2057" customFormat="false" ht="15" hidden="false" customHeight="false" outlineLevel="0" collapsed="false">
      <c r="A2057" s="4" t="s">
        <v>13</v>
      </c>
      <c r="B2057" s="5" t="s">
        <v>38</v>
      </c>
      <c r="C2057" s="5" t="s">
        <v>39</v>
      </c>
      <c r="D2057" s="4" t="s">
        <v>16</v>
      </c>
      <c r="E2057" s="4" t="s">
        <v>3077</v>
      </c>
      <c r="F2057" s="4" t="s">
        <v>406</v>
      </c>
      <c r="G2057" s="4" t="s">
        <v>3078</v>
      </c>
      <c r="H2057" s="12" t="n">
        <v>1</v>
      </c>
      <c r="I2057" s="4" t="s">
        <v>408</v>
      </c>
      <c r="J2057" s="4" t="s">
        <v>409</v>
      </c>
      <c r="K2057" s="13" t="n">
        <v>120</v>
      </c>
      <c r="L2057" s="6" t="n">
        <f aca="false">H2057*K2057</f>
        <v>120</v>
      </c>
      <c r="M2057" s="14" t="s">
        <v>410</v>
      </c>
    </row>
    <row r="2058" customFormat="false" ht="15" hidden="false" customHeight="false" outlineLevel="0" collapsed="false">
      <c r="A2058" s="4" t="s">
        <v>13</v>
      </c>
      <c r="B2058" s="5" t="s">
        <v>38</v>
      </c>
      <c r="C2058" s="5" t="s">
        <v>39</v>
      </c>
      <c r="D2058" s="4" t="s">
        <v>16</v>
      </c>
      <c r="E2058" s="4" t="s">
        <v>3126</v>
      </c>
      <c r="F2058" s="4" t="s">
        <v>406</v>
      </c>
      <c r="G2058" s="4" t="s">
        <v>3127</v>
      </c>
      <c r="H2058" s="12" t="n">
        <v>1</v>
      </c>
      <c r="I2058" s="4" t="s">
        <v>408</v>
      </c>
      <c r="J2058" s="4" t="s">
        <v>416</v>
      </c>
      <c r="K2058" s="13" t="n">
        <v>18000</v>
      </c>
      <c r="L2058" s="6" t="n">
        <f aca="false">H2058*K2058</f>
        <v>18000</v>
      </c>
      <c r="M2058" s="14" t="s">
        <v>410</v>
      </c>
    </row>
    <row r="2059" customFormat="false" ht="15" hidden="false" customHeight="false" outlineLevel="0" collapsed="false">
      <c r="A2059" s="4" t="s">
        <v>13</v>
      </c>
      <c r="B2059" s="5" t="s">
        <v>38</v>
      </c>
      <c r="C2059" s="5" t="s">
        <v>39</v>
      </c>
      <c r="D2059" s="4" t="s">
        <v>16</v>
      </c>
      <c r="E2059" s="4" t="s">
        <v>3128</v>
      </c>
      <c r="F2059" s="4" t="s">
        <v>406</v>
      </c>
      <c r="G2059" s="4" t="s">
        <v>3129</v>
      </c>
      <c r="H2059" s="12" t="n">
        <v>1</v>
      </c>
      <c r="I2059" s="4" t="s">
        <v>408</v>
      </c>
      <c r="J2059" s="4" t="s">
        <v>543</v>
      </c>
      <c r="K2059" s="13" t="n">
        <v>25000</v>
      </c>
      <c r="L2059" s="6" t="n">
        <f aca="false">H2059*K2059</f>
        <v>25000</v>
      </c>
      <c r="M2059" s="14" t="s">
        <v>410</v>
      </c>
    </row>
    <row r="2060" customFormat="false" ht="15" hidden="false" customHeight="false" outlineLevel="0" collapsed="false">
      <c r="A2060" s="4" t="s">
        <v>13</v>
      </c>
      <c r="B2060" s="5" t="s">
        <v>38</v>
      </c>
      <c r="C2060" s="5" t="s">
        <v>39</v>
      </c>
      <c r="D2060" s="4" t="s">
        <v>16</v>
      </c>
      <c r="E2060" s="4" t="s">
        <v>3130</v>
      </c>
      <c r="F2060" s="4" t="s">
        <v>406</v>
      </c>
      <c r="G2060" s="4" t="s">
        <v>3131</v>
      </c>
      <c r="H2060" s="12" t="n">
        <v>1</v>
      </c>
      <c r="I2060" s="4" t="s">
        <v>408</v>
      </c>
      <c r="J2060" s="4" t="s">
        <v>416</v>
      </c>
      <c r="K2060" s="13" t="n">
        <v>18000</v>
      </c>
      <c r="L2060" s="6" t="n">
        <f aca="false">H2060*K2060</f>
        <v>18000</v>
      </c>
      <c r="M2060" s="14" t="s">
        <v>410</v>
      </c>
    </row>
    <row r="2061" customFormat="false" ht="15" hidden="false" customHeight="false" outlineLevel="0" collapsed="false">
      <c r="A2061" s="4" t="s">
        <v>13</v>
      </c>
      <c r="B2061" s="5" t="s">
        <v>38</v>
      </c>
      <c r="C2061" s="5" t="s">
        <v>39</v>
      </c>
      <c r="D2061" s="4" t="s">
        <v>16</v>
      </c>
      <c r="E2061" s="4" t="s">
        <v>3132</v>
      </c>
      <c r="F2061" s="4" t="s">
        <v>406</v>
      </c>
      <c r="G2061" s="4" t="s">
        <v>3133</v>
      </c>
      <c r="H2061" s="12" t="n">
        <v>1</v>
      </c>
      <c r="I2061" s="4" t="s">
        <v>408</v>
      </c>
      <c r="J2061" s="4" t="s">
        <v>416</v>
      </c>
      <c r="K2061" s="13" t="n">
        <v>25000</v>
      </c>
      <c r="L2061" s="6" t="n">
        <f aca="false">H2061*K2061</f>
        <v>25000</v>
      </c>
      <c r="M2061" s="14" t="s">
        <v>410</v>
      </c>
    </row>
    <row r="2062" customFormat="false" ht="15" hidden="false" customHeight="false" outlineLevel="0" collapsed="false">
      <c r="A2062" s="4" t="s">
        <v>13</v>
      </c>
      <c r="B2062" s="5" t="s">
        <v>38</v>
      </c>
      <c r="C2062" s="5" t="s">
        <v>39</v>
      </c>
      <c r="D2062" s="4" t="s">
        <v>16</v>
      </c>
      <c r="E2062" s="4" t="s">
        <v>3134</v>
      </c>
      <c r="F2062" s="4" t="s">
        <v>406</v>
      </c>
      <c r="G2062" s="4" t="s">
        <v>3135</v>
      </c>
      <c r="H2062" s="12" t="n">
        <v>1</v>
      </c>
      <c r="I2062" s="4" t="s">
        <v>408</v>
      </c>
      <c r="J2062" s="4" t="s">
        <v>409</v>
      </c>
      <c r="K2062" s="13" t="n">
        <v>3500</v>
      </c>
      <c r="L2062" s="6" t="n">
        <f aca="false">H2062*K2062</f>
        <v>3500</v>
      </c>
      <c r="M2062" s="14" t="s">
        <v>410</v>
      </c>
    </row>
    <row r="2063" customFormat="false" ht="15" hidden="false" customHeight="false" outlineLevel="0" collapsed="false">
      <c r="A2063" s="4" t="s">
        <v>13</v>
      </c>
      <c r="B2063" s="5" t="s">
        <v>38</v>
      </c>
      <c r="C2063" s="5" t="s">
        <v>39</v>
      </c>
      <c r="D2063" s="4" t="s">
        <v>16</v>
      </c>
      <c r="E2063" s="4" t="s">
        <v>3136</v>
      </c>
      <c r="F2063" s="4" t="s">
        <v>406</v>
      </c>
      <c r="G2063" s="4" t="s">
        <v>3137</v>
      </c>
      <c r="H2063" s="12" t="n">
        <v>1</v>
      </c>
      <c r="I2063" s="4" t="s">
        <v>408</v>
      </c>
      <c r="J2063" s="4" t="s">
        <v>409</v>
      </c>
      <c r="K2063" s="13" t="n">
        <v>250</v>
      </c>
      <c r="L2063" s="6" t="n">
        <f aca="false">H2063*K2063</f>
        <v>250</v>
      </c>
      <c r="M2063" s="14" t="s">
        <v>410</v>
      </c>
    </row>
    <row r="2064" customFormat="false" ht="15" hidden="false" customHeight="false" outlineLevel="0" collapsed="false">
      <c r="A2064" s="4" t="s">
        <v>13</v>
      </c>
      <c r="B2064" s="5" t="s">
        <v>38</v>
      </c>
      <c r="C2064" s="5" t="s">
        <v>39</v>
      </c>
      <c r="D2064" s="4" t="s">
        <v>16</v>
      </c>
      <c r="E2064" s="4" t="s">
        <v>3138</v>
      </c>
      <c r="F2064" s="4" t="s">
        <v>406</v>
      </c>
      <c r="G2064" s="4" t="s">
        <v>3139</v>
      </c>
      <c r="H2064" s="12" t="n">
        <v>1</v>
      </c>
      <c r="I2064" s="4" t="s">
        <v>408</v>
      </c>
      <c r="J2064" s="4" t="s">
        <v>409</v>
      </c>
      <c r="K2064" s="13" t="n">
        <v>180000</v>
      </c>
      <c r="L2064" s="6" t="n">
        <f aca="false">H2064*K2064</f>
        <v>180000</v>
      </c>
      <c r="M2064" s="14" t="s">
        <v>410</v>
      </c>
    </row>
    <row r="2065" customFormat="false" ht="15" hidden="false" customHeight="false" outlineLevel="0" collapsed="false">
      <c r="A2065" s="4" t="s">
        <v>13</v>
      </c>
      <c r="B2065" s="5" t="s">
        <v>38</v>
      </c>
      <c r="C2065" s="5" t="s">
        <v>39</v>
      </c>
      <c r="D2065" s="4" t="s">
        <v>16</v>
      </c>
      <c r="E2065" s="4" t="s">
        <v>467</v>
      </c>
      <c r="F2065" s="4" t="s">
        <v>406</v>
      </c>
      <c r="G2065" s="4" t="s">
        <v>468</v>
      </c>
      <c r="H2065" s="12" t="n">
        <v>1</v>
      </c>
      <c r="I2065" s="4" t="s">
        <v>408</v>
      </c>
      <c r="J2065" s="4" t="s">
        <v>409</v>
      </c>
      <c r="K2065" s="13" t="n">
        <v>250</v>
      </c>
      <c r="L2065" s="6" t="n">
        <f aca="false">H2065*K2065</f>
        <v>250</v>
      </c>
      <c r="M2065" s="14" t="s">
        <v>410</v>
      </c>
    </row>
    <row r="2066" customFormat="false" ht="15" hidden="false" customHeight="false" outlineLevel="0" collapsed="false">
      <c r="A2066" s="4" t="s">
        <v>13</v>
      </c>
      <c r="B2066" s="5" t="s">
        <v>38</v>
      </c>
      <c r="C2066" s="5" t="s">
        <v>39</v>
      </c>
      <c r="D2066" s="4" t="s">
        <v>16</v>
      </c>
      <c r="E2066" s="4" t="s">
        <v>3140</v>
      </c>
      <c r="F2066" s="4" t="s">
        <v>406</v>
      </c>
      <c r="G2066" s="4" t="s">
        <v>3141</v>
      </c>
      <c r="H2066" s="12" t="n">
        <v>1</v>
      </c>
      <c r="I2066" s="4" t="s">
        <v>408</v>
      </c>
      <c r="J2066" s="4" t="s">
        <v>409</v>
      </c>
      <c r="K2066" s="13" t="n">
        <v>1800</v>
      </c>
      <c r="L2066" s="6" t="n">
        <f aca="false">H2066*K2066</f>
        <v>1800</v>
      </c>
      <c r="M2066" s="14" t="s">
        <v>410</v>
      </c>
    </row>
    <row r="2067" customFormat="false" ht="15" hidden="false" customHeight="false" outlineLevel="0" collapsed="false">
      <c r="A2067" s="4" t="s">
        <v>13</v>
      </c>
      <c r="B2067" s="5" t="s">
        <v>38</v>
      </c>
      <c r="C2067" s="5" t="s">
        <v>39</v>
      </c>
      <c r="D2067" s="4" t="s">
        <v>16</v>
      </c>
      <c r="E2067" s="4" t="s">
        <v>3142</v>
      </c>
      <c r="F2067" s="4" t="s">
        <v>406</v>
      </c>
      <c r="G2067" s="4" t="s">
        <v>3143</v>
      </c>
      <c r="H2067" s="12" t="n">
        <v>1</v>
      </c>
      <c r="I2067" s="4" t="s">
        <v>408</v>
      </c>
      <c r="J2067" s="4" t="s">
        <v>543</v>
      </c>
      <c r="K2067" s="13" t="n">
        <v>12000</v>
      </c>
      <c r="L2067" s="6" t="n">
        <f aca="false">H2067*K2067</f>
        <v>12000</v>
      </c>
      <c r="M2067" s="14" t="s">
        <v>410</v>
      </c>
    </row>
    <row r="2068" customFormat="false" ht="15" hidden="false" customHeight="false" outlineLevel="0" collapsed="false">
      <c r="A2068" s="4" t="s">
        <v>13</v>
      </c>
      <c r="B2068" s="5" t="s">
        <v>38</v>
      </c>
      <c r="C2068" s="5" t="s">
        <v>39</v>
      </c>
      <c r="D2068" s="4" t="s">
        <v>16</v>
      </c>
      <c r="E2068" s="4" t="s">
        <v>2994</v>
      </c>
      <c r="F2068" s="4" t="s">
        <v>406</v>
      </c>
      <c r="G2068" s="4" t="s">
        <v>2995</v>
      </c>
      <c r="H2068" s="12" t="n">
        <v>1</v>
      </c>
      <c r="I2068" s="4" t="s">
        <v>408</v>
      </c>
      <c r="J2068" s="4" t="s">
        <v>409</v>
      </c>
      <c r="K2068" s="13" t="n">
        <v>4500</v>
      </c>
      <c r="L2068" s="6" t="n">
        <f aca="false">H2068*K2068</f>
        <v>4500</v>
      </c>
      <c r="M2068" s="14" t="s">
        <v>410</v>
      </c>
    </row>
    <row r="2069" customFormat="false" ht="15" hidden="false" customHeight="false" outlineLevel="0" collapsed="false">
      <c r="A2069" s="4" t="s">
        <v>13</v>
      </c>
      <c r="B2069" s="5" t="s">
        <v>38</v>
      </c>
      <c r="C2069" s="5" t="s">
        <v>39</v>
      </c>
      <c r="D2069" s="4" t="s">
        <v>16</v>
      </c>
      <c r="E2069" s="4" t="s">
        <v>3144</v>
      </c>
      <c r="F2069" s="4" t="s">
        <v>406</v>
      </c>
      <c r="G2069" s="4" t="s">
        <v>3145</v>
      </c>
      <c r="H2069" s="12" t="n">
        <v>1</v>
      </c>
      <c r="I2069" s="4" t="s">
        <v>408</v>
      </c>
      <c r="J2069" s="4" t="s">
        <v>409</v>
      </c>
      <c r="K2069" s="13" t="n">
        <v>18000</v>
      </c>
      <c r="L2069" s="6" t="n">
        <f aca="false">H2069*K2069</f>
        <v>18000</v>
      </c>
      <c r="M2069" s="14" t="s">
        <v>410</v>
      </c>
    </row>
    <row r="2070" customFormat="false" ht="15" hidden="false" customHeight="false" outlineLevel="0" collapsed="false">
      <c r="A2070" s="4" t="s">
        <v>13</v>
      </c>
      <c r="B2070" s="5" t="s">
        <v>38</v>
      </c>
      <c r="C2070" s="5" t="s">
        <v>39</v>
      </c>
      <c r="D2070" s="4" t="s">
        <v>16</v>
      </c>
      <c r="E2070" s="4" t="s">
        <v>3075</v>
      </c>
      <c r="F2070" s="4" t="s">
        <v>406</v>
      </c>
      <c r="G2070" s="4" t="s">
        <v>3076</v>
      </c>
      <c r="H2070" s="12" t="n">
        <v>1</v>
      </c>
      <c r="I2070" s="4" t="s">
        <v>408</v>
      </c>
      <c r="J2070" s="4" t="s">
        <v>409</v>
      </c>
      <c r="K2070" s="13" t="n">
        <v>1800</v>
      </c>
      <c r="L2070" s="6" t="n">
        <f aca="false">H2070*K2070</f>
        <v>1800</v>
      </c>
      <c r="M2070" s="14" t="s">
        <v>410</v>
      </c>
    </row>
    <row r="2071" customFormat="false" ht="15" hidden="false" customHeight="false" outlineLevel="0" collapsed="false">
      <c r="A2071" s="4" t="s">
        <v>13</v>
      </c>
      <c r="B2071" s="5" t="s">
        <v>38</v>
      </c>
      <c r="C2071" s="5" t="s">
        <v>39</v>
      </c>
      <c r="D2071" s="4" t="s">
        <v>16</v>
      </c>
      <c r="E2071" s="4" t="s">
        <v>2996</v>
      </c>
      <c r="F2071" s="4" t="s">
        <v>406</v>
      </c>
      <c r="G2071" s="4" t="s">
        <v>2997</v>
      </c>
      <c r="H2071" s="12" t="n">
        <v>1</v>
      </c>
      <c r="I2071" s="4" t="s">
        <v>408</v>
      </c>
      <c r="J2071" s="4" t="s">
        <v>409</v>
      </c>
      <c r="K2071" s="13" t="n">
        <v>850</v>
      </c>
      <c r="L2071" s="6" t="n">
        <f aca="false">H2071*K2071</f>
        <v>850</v>
      </c>
      <c r="M2071" s="14" t="s">
        <v>410</v>
      </c>
    </row>
    <row r="2072" customFormat="false" ht="15" hidden="false" customHeight="false" outlineLevel="0" collapsed="false">
      <c r="A2072" s="4" t="s">
        <v>13</v>
      </c>
      <c r="B2072" s="5" t="s">
        <v>38</v>
      </c>
      <c r="C2072" s="5" t="s">
        <v>39</v>
      </c>
      <c r="D2072" s="4" t="s">
        <v>16</v>
      </c>
      <c r="E2072" s="4" t="s">
        <v>3126</v>
      </c>
      <c r="F2072" s="4" t="s">
        <v>406</v>
      </c>
      <c r="G2072" s="4" t="s">
        <v>3127</v>
      </c>
      <c r="H2072" s="12" t="n">
        <v>1</v>
      </c>
      <c r="I2072" s="4" t="s">
        <v>408</v>
      </c>
      <c r="J2072" s="4" t="s">
        <v>416</v>
      </c>
      <c r="K2072" s="13" t="n">
        <v>18000</v>
      </c>
      <c r="L2072" s="6" t="n">
        <f aca="false">H2072*K2072</f>
        <v>18000</v>
      </c>
      <c r="M2072" s="14" t="s">
        <v>410</v>
      </c>
    </row>
    <row r="2073" customFormat="false" ht="15" hidden="false" customHeight="false" outlineLevel="0" collapsed="false">
      <c r="A2073" s="4" t="s">
        <v>13</v>
      </c>
      <c r="B2073" s="5" t="s">
        <v>38</v>
      </c>
      <c r="C2073" s="5" t="s">
        <v>39</v>
      </c>
      <c r="D2073" s="4" t="s">
        <v>16</v>
      </c>
      <c r="E2073" s="4" t="s">
        <v>3128</v>
      </c>
      <c r="F2073" s="4" t="s">
        <v>406</v>
      </c>
      <c r="G2073" s="4" t="s">
        <v>3129</v>
      </c>
      <c r="H2073" s="12" t="n">
        <v>1</v>
      </c>
      <c r="I2073" s="4" t="s">
        <v>408</v>
      </c>
      <c r="J2073" s="4" t="s">
        <v>543</v>
      </c>
      <c r="K2073" s="13" t="n">
        <v>25000</v>
      </c>
      <c r="L2073" s="6" t="n">
        <f aca="false">H2073*K2073</f>
        <v>25000</v>
      </c>
      <c r="M2073" s="14" t="s">
        <v>410</v>
      </c>
    </row>
    <row r="2074" customFormat="false" ht="15" hidden="false" customHeight="false" outlineLevel="0" collapsed="false">
      <c r="A2074" s="4" t="s">
        <v>13</v>
      </c>
      <c r="B2074" s="5" t="s">
        <v>38</v>
      </c>
      <c r="C2074" s="5" t="s">
        <v>39</v>
      </c>
      <c r="D2074" s="4" t="s">
        <v>16</v>
      </c>
      <c r="E2074" s="4" t="s">
        <v>3130</v>
      </c>
      <c r="F2074" s="4" t="s">
        <v>406</v>
      </c>
      <c r="G2074" s="4" t="s">
        <v>3131</v>
      </c>
      <c r="H2074" s="12" t="n">
        <v>1</v>
      </c>
      <c r="I2074" s="4" t="s">
        <v>408</v>
      </c>
      <c r="J2074" s="4" t="s">
        <v>416</v>
      </c>
      <c r="K2074" s="13" t="n">
        <v>18000</v>
      </c>
      <c r="L2074" s="6" t="n">
        <f aca="false">H2074*K2074</f>
        <v>18000</v>
      </c>
      <c r="M2074" s="14" t="s">
        <v>410</v>
      </c>
    </row>
    <row r="2075" customFormat="false" ht="15" hidden="false" customHeight="false" outlineLevel="0" collapsed="false">
      <c r="A2075" s="4" t="s">
        <v>13</v>
      </c>
      <c r="B2075" s="5" t="s">
        <v>38</v>
      </c>
      <c r="C2075" s="5" t="s">
        <v>39</v>
      </c>
      <c r="D2075" s="4" t="s">
        <v>16</v>
      </c>
      <c r="E2075" s="4" t="s">
        <v>3132</v>
      </c>
      <c r="F2075" s="4" t="s">
        <v>406</v>
      </c>
      <c r="G2075" s="4" t="s">
        <v>3133</v>
      </c>
      <c r="H2075" s="12" t="n">
        <v>1</v>
      </c>
      <c r="I2075" s="4" t="s">
        <v>408</v>
      </c>
      <c r="J2075" s="4" t="s">
        <v>416</v>
      </c>
      <c r="K2075" s="13" t="n">
        <v>25000</v>
      </c>
      <c r="L2075" s="6" t="n">
        <f aca="false">H2075*K2075</f>
        <v>25000</v>
      </c>
      <c r="M2075" s="14" t="s">
        <v>410</v>
      </c>
    </row>
    <row r="2076" customFormat="false" ht="15" hidden="false" customHeight="false" outlineLevel="0" collapsed="false">
      <c r="A2076" s="4" t="s">
        <v>13</v>
      </c>
      <c r="B2076" s="5" t="s">
        <v>38</v>
      </c>
      <c r="C2076" s="5" t="s">
        <v>39</v>
      </c>
      <c r="D2076" s="4" t="s">
        <v>16</v>
      </c>
      <c r="E2076" s="4" t="s">
        <v>3146</v>
      </c>
      <c r="F2076" s="4" t="s">
        <v>406</v>
      </c>
      <c r="G2076" s="4" t="s">
        <v>3147</v>
      </c>
      <c r="H2076" s="12" t="n">
        <v>1</v>
      </c>
      <c r="I2076" s="4" t="s">
        <v>408</v>
      </c>
      <c r="J2076" s="4" t="s">
        <v>416</v>
      </c>
      <c r="K2076" s="13" t="n">
        <v>8500</v>
      </c>
      <c r="L2076" s="6" t="n">
        <f aca="false">H2076*K2076</f>
        <v>8500</v>
      </c>
      <c r="M2076" s="14" t="s">
        <v>410</v>
      </c>
    </row>
    <row r="2077" customFormat="false" ht="15" hidden="false" customHeight="false" outlineLevel="0" collapsed="false">
      <c r="A2077" s="4" t="s">
        <v>13</v>
      </c>
      <c r="B2077" s="5" t="s">
        <v>38</v>
      </c>
      <c r="C2077" s="5" t="s">
        <v>39</v>
      </c>
      <c r="D2077" s="4" t="s">
        <v>16</v>
      </c>
      <c r="E2077" s="4" t="s">
        <v>3134</v>
      </c>
      <c r="F2077" s="4" t="s">
        <v>406</v>
      </c>
      <c r="G2077" s="4" t="s">
        <v>3135</v>
      </c>
      <c r="H2077" s="12" t="n">
        <v>1</v>
      </c>
      <c r="I2077" s="4" t="s">
        <v>408</v>
      </c>
      <c r="J2077" s="4" t="s">
        <v>409</v>
      </c>
      <c r="K2077" s="13" t="n">
        <v>3500</v>
      </c>
      <c r="L2077" s="6" t="n">
        <f aca="false">H2077*K2077</f>
        <v>3500</v>
      </c>
      <c r="M2077" s="14" t="s">
        <v>410</v>
      </c>
    </row>
    <row r="2078" customFormat="false" ht="15" hidden="false" customHeight="false" outlineLevel="0" collapsed="false">
      <c r="A2078" s="4" t="s">
        <v>13</v>
      </c>
      <c r="B2078" s="5" t="s">
        <v>38</v>
      </c>
      <c r="C2078" s="5" t="s">
        <v>39</v>
      </c>
      <c r="D2078" s="4" t="s">
        <v>16</v>
      </c>
      <c r="E2078" s="4" t="s">
        <v>3136</v>
      </c>
      <c r="F2078" s="4" t="s">
        <v>406</v>
      </c>
      <c r="G2078" s="4" t="s">
        <v>3137</v>
      </c>
      <c r="H2078" s="12" t="n">
        <v>1</v>
      </c>
      <c r="I2078" s="4" t="s">
        <v>408</v>
      </c>
      <c r="J2078" s="4" t="s">
        <v>409</v>
      </c>
      <c r="K2078" s="13" t="n">
        <v>250</v>
      </c>
      <c r="L2078" s="6" t="n">
        <f aca="false">H2078*K2078</f>
        <v>250</v>
      </c>
      <c r="M2078" s="14" t="s">
        <v>410</v>
      </c>
    </row>
    <row r="2079" customFormat="false" ht="15" hidden="false" customHeight="false" outlineLevel="0" collapsed="false">
      <c r="A2079" s="4" t="s">
        <v>13</v>
      </c>
      <c r="B2079" s="5" t="s">
        <v>38</v>
      </c>
      <c r="C2079" s="5" t="s">
        <v>39</v>
      </c>
      <c r="D2079" s="4" t="s">
        <v>16</v>
      </c>
      <c r="E2079" s="4" t="s">
        <v>3138</v>
      </c>
      <c r="F2079" s="4" t="s">
        <v>406</v>
      </c>
      <c r="G2079" s="4" t="s">
        <v>3139</v>
      </c>
      <c r="H2079" s="12" t="n">
        <v>1</v>
      </c>
      <c r="I2079" s="4" t="s">
        <v>408</v>
      </c>
      <c r="J2079" s="4" t="s">
        <v>409</v>
      </c>
      <c r="K2079" s="13" t="n">
        <v>180000</v>
      </c>
      <c r="L2079" s="6" t="n">
        <f aca="false">H2079*K2079</f>
        <v>180000</v>
      </c>
      <c r="M2079" s="14" t="s">
        <v>410</v>
      </c>
    </row>
    <row r="2080" customFormat="false" ht="15" hidden="false" customHeight="false" outlineLevel="0" collapsed="false">
      <c r="A2080" s="4" t="s">
        <v>13</v>
      </c>
      <c r="B2080" s="5" t="s">
        <v>38</v>
      </c>
      <c r="C2080" s="5" t="s">
        <v>39</v>
      </c>
      <c r="D2080" s="4" t="s">
        <v>16</v>
      </c>
      <c r="E2080" s="4" t="s">
        <v>467</v>
      </c>
      <c r="F2080" s="4" t="s">
        <v>406</v>
      </c>
      <c r="G2080" s="4" t="s">
        <v>468</v>
      </c>
      <c r="H2080" s="12" t="n">
        <v>1</v>
      </c>
      <c r="I2080" s="4" t="s">
        <v>408</v>
      </c>
      <c r="J2080" s="4" t="s">
        <v>409</v>
      </c>
      <c r="K2080" s="13" t="n">
        <v>250</v>
      </c>
      <c r="L2080" s="6" t="n">
        <f aca="false">H2080*K2080</f>
        <v>250</v>
      </c>
      <c r="M2080" s="14" t="s">
        <v>410</v>
      </c>
    </row>
    <row r="2081" customFormat="false" ht="15" hidden="false" customHeight="false" outlineLevel="0" collapsed="false">
      <c r="A2081" s="4" t="s">
        <v>13</v>
      </c>
      <c r="B2081" s="5" t="s">
        <v>38</v>
      </c>
      <c r="C2081" s="5" t="s">
        <v>39</v>
      </c>
      <c r="D2081" s="4" t="s">
        <v>16</v>
      </c>
      <c r="E2081" s="4" t="s">
        <v>3140</v>
      </c>
      <c r="F2081" s="4" t="s">
        <v>406</v>
      </c>
      <c r="G2081" s="4" t="s">
        <v>3141</v>
      </c>
      <c r="H2081" s="12" t="n">
        <v>1</v>
      </c>
      <c r="I2081" s="4" t="s">
        <v>408</v>
      </c>
      <c r="J2081" s="4" t="s">
        <v>409</v>
      </c>
      <c r="K2081" s="13" t="n">
        <v>1800</v>
      </c>
      <c r="L2081" s="6" t="n">
        <f aca="false">H2081*K2081</f>
        <v>1800</v>
      </c>
      <c r="M2081" s="14" t="s">
        <v>410</v>
      </c>
    </row>
    <row r="2082" customFormat="false" ht="15" hidden="false" customHeight="false" outlineLevel="0" collapsed="false">
      <c r="A2082" s="4" t="s">
        <v>13</v>
      </c>
      <c r="B2082" s="5" t="s">
        <v>38</v>
      </c>
      <c r="C2082" s="5" t="s">
        <v>39</v>
      </c>
      <c r="D2082" s="4" t="s">
        <v>16</v>
      </c>
      <c r="E2082" s="4" t="s">
        <v>3142</v>
      </c>
      <c r="F2082" s="4" t="s">
        <v>406</v>
      </c>
      <c r="G2082" s="4" t="s">
        <v>3143</v>
      </c>
      <c r="H2082" s="12" t="n">
        <v>1</v>
      </c>
      <c r="I2082" s="4" t="s">
        <v>408</v>
      </c>
      <c r="J2082" s="4" t="s">
        <v>543</v>
      </c>
      <c r="K2082" s="13" t="n">
        <v>12000</v>
      </c>
      <c r="L2082" s="6" t="n">
        <f aca="false">H2082*K2082</f>
        <v>12000</v>
      </c>
      <c r="M2082" s="14" t="s">
        <v>410</v>
      </c>
    </row>
    <row r="2083" customFormat="false" ht="15" hidden="false" customHeight="false" outlineLevel="0" collapsed="false">
      <c r="A2083" s="4" t="s">
        <v>13</v>
      </c>
      <c r="B2083" s="5" t="s">
        <v>38</v>
      </c>
      <c r="C2083" s="5" t="s">
        <v>39</v>
      </c>
      <c r="D2083" s="4" t="s">
        <v>16</v>
      </c>
      <c r="E2083" s="4" t="s">
        <v>2994</v>
      </c>
      <c r="F2083" s="4" t="s">
        <v>406</v>
      </c>
      <c r="G2083" s="4" t="s">
        <v>2995</v>
      </c>
      <c r="H2083" s="12" t="n">
        <v>1</v>
      </c>
      <c r="I2083" s="4" t="s">
        <v>408</v>
      </c>
      <c r="J2083" s="4" t="s">
        <v>409</v>
      </c>
      <c r="K2083" s="13" t="n">
        <v>4500</v>
      </c>
      <c r="L2083" s="6" t="n">
        <f aca="false">H2083*K2083</f>
        <v>4500</v>
      </c>
      <c r="M2083" s="14" t="s">
        <v>410</v>
      </c>
    </row>
    <row r="2084" customFormat="false" ht="15" hidden="false" customHeight="false" outlineLevel="0" collapsed="false">
      <c r="A2084" s="4" t="s">
        <v>13</v>
      </c>
      <c r="B2084" s="5" t="s">
        <v>38</v>
      </c>
      <c r="C2084" s="5" t="s">
        <v>39</v>
      </c>
      <c r="D2084" s="4" t="s">
        <v>16</v>
      </c>
      <c r="E2084" s="4" t="s">
        <v>3144</v>
      </c>
      <c r="F2084" s="4" t="s">
        <v>406</v>
      </c>
      <c r="G2084" s="4" t="s">
        <v>3145</v>
      </c>
      <c r="H2084" s="12" t="n">
        <v>1</v>
      </c>
      <c r="I2084" s="4" t="s">
        <v>408</v>
      </c>
      <c r="J2084" s="4" t="s">
        <v>409</v>
      </c>
      <c r="K2084" s="13" t="n">
        <v>18000</v>
      </c>
      <c r="L2084" s="6" t="n">
        <f aca="false">H2084*K2084</f>
        <v>18000</v>
      </c>
      <c r="M2084" s="14" t="s">
        <v>410</v>
      </c>
    </row>
    <row r="2085" customFormat="false" ht="15" hidden="false" customHeight="false" outlineLevel="0" collapsed="false">
      <c r="A2085" s="4" t="s">
        <v>13</v>
      </c>
      <c r="B2085" s="5" t="s">
        <v>38</v>
      </c>
      <c r="C2085" s="5" t="s">
        <v>39</v>
      </c>
      <c r="D2085" s="4" t="s">
        <v>16</v>
      </c>
      <c r="E2085" s="4" t="s">
        <v>3075</v>
      </c>
      <c r="F2085" s="4" t="s">
        <v>406</v>
      </c>
      <c r="G2085" s="4" t="s">
        <v>3076</v>
      </c>
      <c r="H2085" s="12" t="n">
        <v>1</v>
      </c>
      <c r="I2085" s="4" t="s">
        <v>408</v>
      </c>
      <c r="J2085" s="4" t="s">
        <v>409</v>
      </c>
      <c r="K2085" s="13" t="n">
        <v>1800</v>
      </c>
      <c r="L2085" s="6" t="n">
        <f aca="false">H2085*K2085</f>
        <v>1800</v>
      </c>
      <c r="M2085" s="14" t="s">
        <v>410</v>
      </c>
    </row>
    <row r="2086" customFormat="false" ht="15" hidden="false" customHeight="false" outlineLevel="0" collapsed="false">
      <c r="A2086" s="4" t="s">
        <v>13</v>
      </c>
      <c r="B2086" s="5" t="s">
        <v>38</v>
      </c>
      <c r="C2086" s="5" t="s">
        <v>39</v>
      </c>
      <c r="D2086" s="4" t="s">
        <v>16</v>
      </c>
      <c r="E2086" s="4" t="s">
        <v>2996</v>
      </c>
      <c r="F2086" s="4" t="s">
        <v>406</v>
      </c>
      <c r="G2086" s="4" t="s">
        <v>2997</v>
      </c>
      <c r="H2086" s="12" t="n">
        <v>1</v>
      </c>
      <c r="I2086" s="4" t="s">
        <v>408</v>
      </c>
      <c r="J2086" s="4" t="s">
        <v>409</v>
      </c>
      <c r="K2086" s="13" t="n">
        <v>850</v>
      </c>
      <c r="L2086" s="6" t="n">
        <f aca="false">H2086*K2086</f>
        <v>850</v>
      </c>
      <c r="M2086" s="14" t="s">
        <v>410</v>
      </c>
    </row>
    <row r="2087" customFormat="false" ht="15" hidden="false" customHeight="false" outlineLevel="0" collapsed="false">
      <c r="A2087" s="4" t="s">
        <v>13</v>
      </c>
      <c r="B2087" s="5" t="s">
        <v>38</v>
      </c>
      <c r="C2087" s="5" t="s">
        <v>39</v>
      </c>
      <c r="D2087" s="4" t="s">
        <v>16</v>
      </c>
      <c r="E2087" s="4" t="s">
        <v>3148</v>
      </c>
      <c r="F2087" s="4" t="s">
        <v>470</v>
      </c>
      <c r="G2087" s="4" t="s">
        <v>3149</v>
      </c>
      <c r="H2087" s="12" t="n">
        <v>1</v>
      </c>
      <c r="I2087" s="4" t="s">
        <v>408</v>
      </c>
      <c r="J2087" s="4" t="s">
        <v>409</v>
      </c>
      <c r="K2087" s="13" t="n">
        <v>12000</v>
      </c>
      <c r="L2087" s="6" t="n">
        <f aca="false">H2087*K2087</f>
        <v>12000</v>
      </c>
      <c r="M2087" s="4" t="s">
        <v>371</v>
      </c>
    </row>
    <row r="2088" customFormat="false" ht="15" hidden="false" customHeight="false" outlineLevel="0" collapsed="false">
      <c r="A2088" s="4" t="s">
        <v>13</v>
      </c>
      <c r="B2088" s="5" t="s">
        <v>38</v>
      </c>
      <c r="C2088" s="5" t="s">
        <v>39</v>
      </c>
      <c r="D2088" s="4" t="s">
        <v>16</v>
      </c>
      <c r="E2088" s="4" t="s">
        <v>3148</v>
      </c>
      <c r="F2088" s="4" t="s">
        <v>470</v>
      </c>
      <c r="G2088" s="4" t="s">
        <v>3149</v>
      </c>
      <c r="H2088" s="12" t="n">
        <v>1</v>
      </c>
      <c r="I2088" s="4" t="s">
        <v>408</v>
      </c>
      <c r="J2088" s="4" t="s">
        <v>409</v>
      </c>
      <c r="K2088" s="13" t="n">
        <v>12000</v>
      </c>
      <c r="L2088" s="6" t="n">
        <f aca="false">H2088*K2088</f>
        <v>12000</v>
      </c>
      <c r="M2088" s="4" t="s">
        <v>371</v>
      </c>
    </row>
    <row r="2089" customFormat="false" ht="15" hidden="false" customHeight="false" outlineLevel="0" collapsed="false">
      <c r="A2089" s="4" t="s">
        <v>13</v>
      </c>
      <c r="B2089" s="5" t="s">
        <v>38</v>
      </c>
      <c r="C2089" s="5" t="s">
        <v>39</v>
      </c>
      <c r="D2089" s="4" t="s">
        <v>16</v>
      </c>
      <c r="E2089" s="4" t="s">
        <v>2676</v>
      </c>
      <c r="F2089" s="4" t="s">
        <v>488</v>
      </c>
      <c r="G2089" s="4" t="s">
        <v>2677</v>
      </c>
      <c r="H2089" s="12" t="n">
        <v>1</v>
      </c>
      <c r="I2089" s="4" t="s">
        <v>408</v>
      </c>
      <c r="J2089" s="4" t="s">
        <v>429</v>
      </c>
      <c r="K2089" s="13" t="n">
        <v>80</v>
      </c>
      <c r="L2089" s="6" t="n">
        <f aca="false">H2089*K2089</f>
        <v>80</v>
      </c>
      <c r="M2089" s="14" t="s">
        <v>410</v>
      </c>
    </row>
    <row r="2090" customFormat="false" ht="15" hidden="false" customHeight="false" outlineLevel="0" collapsed="false">
      <c r="A2090" s="4" t="s">
        <v>13</v>
      </c>
      <c r="B2090" s="5" t="s">
        <v>38</v>
      </c>
      <c r="C2090" s="5" t="s">
        <v>39</v>
      </c>
      <c r="D2090" s="4" t="s">
        <v>16</v>
      </c>
      <c r="E2090" s="4" t="s">
        <v>3150</v>
      </c>
      <c r="F2090" s="4" t="s">
        <v>488</v>
      </c>
      <c r="G2090" s="4" t="s">
        <v>3151</v>
      </c>
      <c r="H2090" s="12" t="n">
        <v>1</v>
      </c>
      <c r="I2090" s="4" t="s">
        <v>408</v>
      </c>
      <c r="J2090" s="4" t="s">
        <v>432</v>
      </c>
      <c r="K2090" s="13" t="n">
        <v>80</v>
      </c>
      <c r="L2090" s="6" t="n">
        <f aca="false">H2090*K2090</f>
        <v>80</v>
      </c>
      <c r="M2090" s="4" t="s">
        <v>371</v>
      </c>
    </row>
    <row r="2091" customFormat="false" ht="15" hidden="false" customHeight="false" outlineLevel="0" collapsed="false">
      <c r="A2091" s="4" t="s">
        <v>13</v>
      </c>
      <c r="B2091" s="5" t="s">
        <v>38</v>
      </c>
      <c r="C2091" s="5" t="s">
        <v>39</v>
      </c>
      <c r="D2091" s="4" t="s">
        <v>16</v>
      </c>
      <c r="E2091" s="4" t="s">
        <v>3106</v>
      </c>
      <c r="F2091" s="4" t="s">
        <v>488</v>
      </c>
      <c r="G2091" s="4" t="s">
        <v>3107</v>
      </c>
      <c r="H2091" s="12" t="n">
        <v>1</v>
      </c>
      <c r="I2091" s="4" t="s">
        <v>408</v>
      </c>
      <c r="J2091" s="4" t="s">
        <v>432</v>
      </c>
      <c r="K2091" s="13" t="n">
        <v>120</v>
      </c>
      <c r="L2091" s="6" t="n">
        <f aca="false">H2091*K2091</f>
        <v>120</v>
      </c>
      <c r="M2091" s="4" t="s">
        <v>371</v>
      </c>
    </row>
    <row r="2092" customFormat="false" ht="15" hidden="false" customHeight="false" outlineLevel="0" collapsed="false">
      <c r="A2092" s="4" t="s">
        <v>13</v>
      </c>
      <c r="B2092" s="5" t="s">
        <v>38</v>
      </c>
      <c r="C2092" s="5" t="s">
        <v>39</v>
      </c>
      <c r="D2092" s="4" t="s">
        <v>16</v>
      </c>
      <c r="E2092" s="4" t="s">
        <v>3108</v>
      </c>
      <c r="F2092" s="4" t="s">
        <v>488</v>
      </c>
      <c r="G2092" s="4" t="s">
        <v>3109</v>
      </c>
      <c r="H2092" s="12" t="n">
        <v>1</v>
      </c>
      <c r="I2092" s="4" t="s">
        <v>408</v>
      </c>
      <c r="J2092" s="4" t="s">
        <v>490</v>
      </c>
      <c r="K2092" s="13" t="n">
        <v>250</v>
      </c>
      <c r="L2092" s="6" t="n">
        <f aca="false">H2092*K2092</f>
        <v>250</v>
      </c>
      <c r="M2092" s="4" t="s">
        <v>371</v>
      </c>
    </row>
    <row r="2093" customFormat="false" ht="15" hidden="false" customHeight="false" outlineLevel="0" collapsed="false">
      <c r="A2093" s="4" t="s">
        <v>13</v>
      </c>
      <c r="B2093" s="5" t="s">
        <v>38</v>
      </c>
      <c r="C2093" s="5" t="s">
        <v>39</v>
      </c>
      <c r="D2093" s="4" t="s">
        <v>16</v>
      </c>
      <c r="E2093" s="4" t="s">
        <v>3110</v>
      </c>
      <c r="F2093" s="4" t="s">
        <v>488</v>
      </c>
      <c r="G2093" s="4" t="s">
        <v>3111</v>
      </c>
      <c r="H2093" s="12" t="n">
        <v>1</v>
      </c>
      <c r="I2093" s="4" t="s">
        <v>408</v>
      </c>
      <c r="J2093" s="4" t="s">
        <v>503</v>
      </c>
      <c r="K2093" s="13" t="n">
        <v>250</v>
      </c>
      <c r="L2093" s="6" t="n">
        <f aca="false">H2093*K2093</f>
        <v>250</v>
      </c>
      <c r="M2093" s="4" t="s">
        <v>371</v>
      </c>
    </row>
    <row r="2094" customFormat="false" ht="15" hidden="false" customHeight="false" outlineLevel="0" collapsed="false">
      <c r="A2094" s="4" t="s">
        <v>13</v>
      </c>
      <c r="B2094" s="5" t="s">
        <v>38</v>
      </c>
      <c r="C2094" s="5" t="s">
        <v>39</v>
      </c>
      <c r="D2094" s="4" t="s">
        <v>16</v>
      </c>
      <c r="E2094" s="4" t="s">
        <v>3112</v>
      </c>
      <c r="F2094" s="4" t="s">
        <v>488</v>
      </c>
      <c r="G2094" s="4" t="s">
        <v>3113</v>
      </c>
      <c r="H2094" s="12" t="n">
        <v>1</v>
      </c>
      <c r="I2094" s="4" t="s">
        <v>408</v>
      </c>
      <c r="J2094" s="4" t="s">
        <v>432</v>
      </c>
      <c r="K2094" s="13" t="n">
        <v>80</v>
      </c>
      <c r="L2094" s="6" t="n">
        <f aca="false">H2094*K2094</f>
        <v>80</v>
      </c>
      <c r="M2094" s="4" t="s">
        <v>371</v>
      </c>
    </row>
    <row r="2095" customFormat="false" ht="15" hidden="false" customHeight="false" outlineLevel="0" collapsed="false">
      <c r="A2095" s="4" t="s">
        <v>13</v>
      </c>
      <c r="B2095" s="5" t="s">
        <v>38</v>
      </c>
      <c r="C2095" s="5" t="s">
        <v>39</v>
      </c>
      <c r="D2095" s="4" t="s">
        <v>16</v>
      </c>
      <c r="E2095" s="4" t="s">
        <v>3114</v>
      </c>
      <c r="F2095" s="4" t="s">
        <v>488</v>
      </c>
      <c r="G2095" s="4" t="s">
        <v>3115</v>
      </c>
      <c r="H2095" s="12" t="n">
        <v>1</v>
      </c>
      <c r="I2095" s="4" t="s">
        <v>408</v>
      </c>
      <c r="J2095" s="4" t="s">
        <v>490</v>
      </c>
      <c r="K2095" s="13" t="n">
        <v>450</v>
      </c>
      <c r="L2095" s="6" t="n">
        <f aca="false">H2095*K2095</f>
        <v>450</v>
      </c>
      <c r="M2095" s="4" t="s">
        <v>371</v>
      </c>
    </row>
    <row r="2096" customFormat="false" ht="15" hidden="false" customHeight="false" outlineLevel="0" collapsed="false">
      <c r="A2096" s="4" t="s">
        <v>13</v>
      </c>
      <c r="B2096" s="5" t="s">
        <v>38</v>
      </c>
      <c r="C2096" s="5" t="s">
        <v>39</v>
      </c>
      <c r="D2096" s="4" t="s">
        <v>16</v>
      </c>
      <c r="E2096" s="4" t="s">
        <v>3116</v>
      </c>
      <c r="F2096" s="4" t="s">
        <v>488</v>
      </c>
      <c r="G2096" s="4" t="s">
        <v>3117</v>
      </c>
      <c r="H2096" s="12" t="n">
        <v>1</v>
      </c>
      <c r="I2096" s="4" t="s">
        <v>408</v>
      </c>
      <c r="J2096" s="4" t="s">
        <v>762</v>
      </c>
      <c r="K2096" s="13" t="n">
        <v>350</v>
      </c>
      <c r="L2096" s="6" t="n">
        <f aca="false">H2096*K2096</f>
        <v>350</v>
      </c>
      <c r="M2096" s="4" t="s">
        <v>371</v>
      </c>
    </row>
    <row r="2097" customFormat="false" ht="15" hidden="false" customHeight="false" outlineLevel="0" collapsed="false">
      <c r="A2097" s="4" t="s">
        <v>13</v>
      </c>
      <c r="B2097" s="5" t="s">
        <v>38</v>
      </c>
      <c r="C2097" s="5" t="s">
        <v>39</v>
      </c>
      <c r="D2097" s="4" t="s">
        <v>16</v>
      </c>
      <c r="E2097" s="4" t="s">
        <v>3118</v>
      </c>
      <c r="F2097" s="4" t="s">
        <v>488</v>
      </c>
      <c r="G2097" s="4" t="s">
        <v>3119</v>
      </c>
      <c r="H2097" s="12" t="n">
        <v>1</v>
      </c>
      <c r="I2097" s="4" t="s">
        <v>408</v>
      </c>
      <c r="J2097" s="4" t="s">
        <v>432</v>
      </c>
      <c r="K2097" s="13" t="n">
        <v>45</v>
      </c>
      <c r="L2097" s="6" t="n">
        <f aca="false">H2097*K2097</f>
        <v>45</v>
      </c>
      <c r="M2097" s="4" t="s">
        <v>371</v>
      </c>
    </row>
    <row r="2098" customFormat="false" ht="15" hidden="false" customHeight="false" outlineLevel="0" collapsed="false">
      <c r="A2098" s="4" t="s">
        <v>13</v>
      </c>
      <c r="B2098" s="5" t="s">
        <v>38</v>
      </c>
      <c r="C2098" s="5" t="s">
        <v>39</v>
      </c>
      <c r="D2098" s="4" t="s">
        <v>16</v>
      </c>
      <c r="E2098" s="4" t="s">
        <v>3152</v>
      </c>
      <c r="F2098" s="4" t="s">
        <v>488</v>
      </c>
      <c r="G2098" s="4" t="s">
        <v>3153</v>
      </c>
      <c r="H2098" s="12" t="n">
        <v>1</v>
      </c>
      <c r="I2098" s="4" t="s">
        <v>408</v>
      </c>
      <c r="J2098" s="4" t="s">
        <v>503</v>
      </c>
      <c r="K2098" s="13" t="n">
        <v>350</v>
      </c>
      <c r="L2098" s="6" t="n">
        <f aca="false">H2098*K2098</f>
        <v>350</v>
      </c>
      <c r="M2098" s="4" t="s">
        <v>371</v>
      </c>
    </row>
    <row r="2099" customFormat="false" ht="15" hidden="false" customHeight="false" outlineLevel="0" collapsed="false">
      <c r="A2099" s="4" t="s">
        <v>13</v>
      </c>
      <c r="B2099" s="5" t="s">
        <v>40</v>
      </c>
      <c r="C2099" s="5" t="s">
        <v>41</v>
      </c>
      <c r="D2099" s="4" t="s">
        <v>16</v>
      </c>
      <c r="E2099" s="4" t="s">
        <v>537</v>
      </c>
      <c r="F2099" s="4" t="s">
        <v>406</v>
      </c>
      <c r="G2099" s="4" t="s">
        <v>538</v>
      </c>
      <c r="H2099" s="12" t="n">
        <v>1</v>
      </c>
      <c r="I2099" s="4" t="s">
        <v>408</v>
      </c>
      <c r="J2099" s="4" t="s">
        <v>409</v>
      </c>
      <c r="K2099" s="13" t="n">
        <v>450</v>
      </c>
      <c r="L2099" s="6" t="n">
        <f aca="false">H2099*K2099</f>
        <v>450</v>
      </c>
      <c r="M2099" s="14" t="s">
        <v>410</v>
      </c>
    </row>
    <row r="2100" customFormat="false" ht="15" hidden="false" customHeight="false" outlineLevel="0" collapsed="false">
      <c r="A2100" s="4" t="s">
        <v>13</v>
      </c>
      <c r="B2100" s="5" t="s">
        <v>40</v>
      </c>
      <c r="C2100" s="5" t="s">
        <v>41</v>
      </c>
      <c r="D2100" s="4" t="s">
        <v>16</v>
      </c>
      <c r="E2100" s="4" t="s">
        <v>507</v>
      </c>
      <c r="F2100" s="4" t="s">
        <v>406</v>
      </c>
      <c r="G2100" s="4" t="s">
        <v>508</v>
      </c>
      <c r="H2100" s="12" t="n">
        <v>1</v>
      </c>
      <c r="I2100" s="4" t="s">
        <v>408</v>
      </c>
      <c r="J2100" s="4" t="s">
        <v>416</v>
      </c>
      <c r="K2100" s="13" t="n">
        <v>1800</v>
      </c>
      <c r="L2100" s="6" t="n">
        <f aca="false">H2100*K2100</f>
        <v>1800</v>
      </c>
      <c r="M2100" s="14" t="s">
        <v>410</v>
      </c>
    </row>
    <row r="2101" customFormat="false" ht="15" hidden="false" customHeight="false" outlineLevel="0" collapsed="false">
      <c r="A2101" s="4" t="s">
        <v>13</v>
      </c>
      <c r="B2101" s="5" t="s">
        <v>40</v>
      </c>
      <c r="C2101" s="5" t="s">
        <v>41</v>
      </c>
      <c r="D2101" s="4" t="s">
        <v>16</v>
      </c>
      <c r="E2101" s="4" t="s">
        <v>728</v>
      </c>
      <c r="F2101" s="4" t="s">
        <v>406</v>
      </c>
      <c r="G2101" s="4" t="s">
        <v>729</v>
      </c>
      <c r="H2101" s="12" t="n">
        <v>1</v>
      </c>
      <c r="I2101" s="4" t="s">
        <v>408</v>
      </c>
      <c r="J2101" s="4" t="s">
        <v>409</v>
      </c>
      <c r="K2101" s="13" t="n">
        <v>450</v>
      </c>
      <c r="L2101" s="6" t="n">
        <f aca="false">H2101*K2101</f>
        <v>450</v>
      </c>
      <c r="M2101" s="14" t="s">
        <v>410</v>
      </c>
    </row>
    <row r="2102" customFormat="false" ht="15" hidden="false" customHeight="false" outlineLevel="0" collapsed="false">
      <c r="A2102" s="4" t="s">
        <v>13</v>
      </c>
      <c r="B2102" s="5" t="s">
        <v>40</v>
      </c>
      <c r="C2102" s="5" t="s">
        <v>41</v>
      </c>
      <c r="D2102" s="4" t="s">
        <v>16</v>
      </c>
      <c r="E2102" s="4" t="s">
        <v>730</v>
      </c>
      <c r="F2102" s="4" t="s">
        <v>406</v>
      </c>
      <c r="G2102" s="4" t="s">
        <v>731</v>
      </c>
      <c r="H2102" s="12" t="n">
        <v>1</v>
      </c>
      <c r="I2102" s="4" t="s">
        <v>408</v>
      </c>
      <c r="J2102" s="4" t="s">
        <v>409</v>
      </c>
      <c r="K2102" s="13" t="n">
        <v>350</v>
      </c>
      <c r="L2102" s="6" t="n">
        <f aca="false">H2102*K2102</f>
        <v>350</v>
      </c>
      <c r="M2102" s="14" t="s">
        <v>410</v>
      </c>
    </row>
    <row r="2103" customFormat="false" ht="15" hidden="false" customHeight="false" outlineLevel="0" collapsed="false">
      <c r="A2103" s="4" t="s">
        <v>13</v>
      </c>
      <c r="B2103" s="5" t="s">
        <v>40</v>
      </c>
      <c r="C2103" s="5" t="s">
        <v>41</v>
      </c>
      <c r="D2103" s="4" t="s">
        <v>16</v>
      </c>
      <c r="E2103" s="4" t="s">
        <v>612</v>
      </c>
      <c r="F2103" s="4" t="s">
        <v>406</v>
      </c>
      <c r="G2103" s="4" t="s">
        <v>613</v>
      </c>
      <c r="H2103" s="12" t="n">
        <v>1</v>
      </c>
      <c r="I2103" s="4" t="s">
        <v>408</v>
      </c>
      <c r="J2103" s="4" t="s">
        <v>409</v>
      </c>
      <c r="K2103" s="13" t="n">
        <v>450</v>
      </c>
      <c r="L2103" s="6" t="n">
        <f aca="false">H2103*K2103</f>
        <v>450</v>
      </c>
      <c r="M2103" s="14" t="s">
        <v>410</v>
      </c>
    </row>
    <row r="2104" customFormat="false" ht="15" hidden="false" customHeight="false" outlineLevel="0" collapsed="false">
      <c r="A2104" s="4" t="s">
        <v>13</v>
      </c>
      <c r="B2104" s="5" t="s">
        <v>40</v>
      </c>
      <c r="C2104" s="5" t="s">
        <v>41</v>
      </c>
      <c r="D2104" s="4" t="s">
        <v>16</v>
      </c>
      <c r="E2104" s="4" t="s">
        <v>521</v>
      </c>
      <c r="F2104" s="4" t="s">
        <v>406</v>
      </c>
      <c r="G2104" s="4" t="s">
        <v>522</v>
      </c>
      <c r="H2104" s="12" t="n">
        <v>1</v>
      </c>
      <c r="I2104" s="4" t="s">
        <v>408</v>
      </c>
      <c r="J2104" s="4" t="s">
        <v>409</v>
      </c>
      <c r="K2104" s="13" t="n">
        <v>850</v>
      </c>
      <c r="L2104" s="6" t="n">
        <f aca="false">H2104*K2104</f>
        <v>850</v>
      </c>
      <c r="M2104" s="14" t="s">
        <v>410</v>
      </c>
    </row>
    <row r="2105" customFormat="false" ht="15" hidden="false" customHeight="false" outlineLevel="0" collapsed="false">
      <c r="A2105" s="4" t="s">
        <v>13</v>
      </c>
      <c r="B2105" s="5" t="s">
        <v>40</v>
      </c>
      <c r="C2105" s="5" t="s">
        <v>41</v>
      </c>
      <c r="D2105" s="4" t="s">
        <v>16</v>
      </c>
      <c r="E2105" s="4" t="s">
        <v>732</v>
      </c>
      <c r="F2105" s="4" t="s">
        <v>406</v>
      </c>
      <c r="G2105" s="4" t="s">
        <v>733</v>
      </c>
      <c r="H2105" s="12" t="n">
        <v>1</v>
      </c>
      <c r="I2105" s="4" t="s">
        <v>408</v>
      </c>
      <c r="J2105" s="4" t="s">
        <v>409</v>
      </c>
      <c r="K2105" s="13" t="n">
        <v>850</v>
      </c>
      <c r="L2105" s="6" t="n">
        <f aca="false">H2105*K2105</f>
        <v>850</v>
      </c>
      <c r="M2105" s="14" t="s">
        <v>410</v>
      </c>
    </row>
    <row r="2106" customFormat="false" ht="15" hidden="false" customHeight="false" outlineLevel="0" collapsed="false">
      <c r="A2106" s="4" t="s">
        <v>13</v>
      </c>
      <c r="B2106" s="5" t="s">
        <v>40</v>
      </c>
      <c r="C2106" s="5" t="s">
        <v>41</v>
      </c>
      <c r="D2106" s="4" t="s">
        <v>16</v>
      </c>
      <c r="E2106" s="4" t="s">
        <v>734</v>
      </c>
      <c r="F2106" s="4" t="s">
        <v>406</v>
      </c>
      <c r="G2106" s="4" t="s">
        <v>735</v>
      </c>
      <c r="H2106" s="12" t="n">
        <v>1</v>
      </c>
      <c r="I2106" s="4" t="s">
        <v>408</v>
      </c>
      <c r="J2106" s="4" t="s">
        <v>416</v>
      </c>
      <c r="K2106" s="13" t="n">
        <v>850</v>
      </c>
      <c r="L2106" s="6" t="n">
        <f aca="false">H2106*K2106</f>
        <v>850</v>
      </c>
      <c r="M2106" s="14" t="s">
        <v>410</v>
      </c>
    </row>
    <row r="2107" customFormat="false" ht="15" hidden="false" customHeight="false" outlineLevel="0" collapsed="false">
      <c r="A2107" s="4" t="s">
        <v>13</v>
      </c>
      <c r="B2107" s="5" t="s">
        <v>40</v>
      </c>
      <c r="C2107" s="5" t="s">
        <v>41</v>
      </c>
      <c r="D2107" s="4" t="s">
        <v>16</v>
      </c>
      <c r="E2107" s="4" t="s">
        <v>554</v>
      </c>
      <c r="F2107" s="4" t="s">
        <v>406</v>
      </c>
      <c r="G2107" s="4" t="s">
        <v>555</v>
      </c>
      <c r="H2107" s="12" t="n">
        <v>1</v>
      </c>
      <c r="I2107" s="4" t="s">
        <v>408</v>
      </c>
      <c r="J2107" s="4" t="s">
        <v>409</v>
      </c>
      <c r="K2107" s="13" t="n">
        <v>450</v>
      </c>
      <c r="L2107" s="6" t="n">
        <f aca="false">H2107*K2107</f>
        <v>450</v>
      </c>
      <c r="M2107" s="14" t="s">
        <v>410</v>
      </c>
    </row>
    <row r="2108" customFormat="false" ht="15" hidden="false" customHeight="false" outlineLevel="0" collapsed="false">
      <c r="A2108" s="4" t="s">
        <v>13</v>
      </c>
      <c r="B2108" s="5" t="s">
        <v>40</v>
      </c>
      <c r="C2108" s="5" t="s">
        <v>41</v>
      </c>
      <c r="D2108" s="4" t="s">
        <v>16</v>
      </c>
      <c r="E2108" s="4" t="s">
        <v>3154</v>
      </c>
      <c r="F2108" s="4" t="s">
        <v>406</v>
      </c>
      <c r="G2108" s="4" t="s">
        <v>3155</v>
      </c>
      <c r="H2108" s="12" t="n">
        <v>1</v>
      </c>
      <c r="I2108" s="4" t="s">
        <v>408</v>
      </c>
      <c r="J2108" s="4" t="s">
        <v>409</v>
      </c>
      <c r="K2108" s="13" t="n">
        <v>650</v>
      </c>
      <c r="L2108" s="6" t="n">
        <f aca="false">H2108*K2108</f>
        <v>650</v>
      </c>
      <c r="M2108" s="14" t="s">
        <v>410</v>
      </c>
    </row>
    <row r="2109" customFormat="false" ht="15" hidden="false" customHeight="false" outlineLevel="0" collapsed="false">
      <c r="A2109" s="4" t="s">
        <v>13</v>
      </c>
      <c r="B2109" s="5" t="s">
        <v>40</v>
      </c>
      <c r="C2109" s="5" t="s">
        <v>41</v>
      </c>
      <c r="D2109" s="4" t="s">
        <v>16</v>
      </c>
      <c r="E2109" s="4" t="s">
        <v>738</v>
      </c>
      <c r="F2109" s="4" t="s">
        <v>406</v>
      </c>
      <c r="G2109" s="4" t="s">
        <v>739</v>
      </c>
      <c r="H2109" s="12" t="n">
        <v>1</v>
      </c>
      <c r="I2109" s="4" t="s">
        <v>408</v>
      </c>
      <c r="J2109" s="4" t="s">
        <v>409</v>
      </c>
      <c r="K2109" s="13" t="n">
        <v>450</v>
      </c>
      <c r="L2109" s="6" t="n">
        <f aca="false">H2109*K2109</f>
        <v>450</v>
      </c>
      <c r="M2109" s="14" t="s">
        <v>410</v>
      </c>
    </row>
    <row r="2110" customFormat="false" ht="15" hidden="false" customHeight="false" outlineLevel="0" collapsed="false">
      <c r="A2110" s="4" t="s">
        <v>13</v>
      </c>
      <c r="B2110" s="5" t="s">
        <v>40</v>
      </c>
      <c r="C2110" s="5" t="s">
        <v>41</v>
      </c>
      <c r="D2110" s="4" t="s">
        <v>16</v>
      </c>
      <c r="E2110" s="4" t="s">
        <v>529</v>
      </c>
      <c r="F2110" s="4" t="s">
        <v>406</v>
      </c>
      <c r="G2110" s="4" t="s">
        <v>530</v>
      </c>
      <c r="H2110" s="12" t="n">
        <v>1</v>
      </c>
      <c r="I2110" s="4" t="s">
        <v>408</v>
      </c>
      <c r="J2110" s="4" t="s">
        <v>409</v>
      </c>
      <c r="K2110" s="13" t="n">
        <v>350</v>
      </c>
      <c r="L2110" s="6" t="n">
        <f aca="false">H2110*K2110</f>
        <v>350</v>
      </c>
      <c r="M2110" s="14" t="s">
        <v>410</v>
      </c>
    </row>
    <row r="2111" customFormat="false" ht="15" hidden="false" customHeight="false" outlineLevel="0" collapsed="false">
      <c r="A2111" s="4" t="s">
        <v>13</v>
      </c>
      <c r="B2111" s="5" t="s">
        <v>40</v>
      </c>
      <c r="C2111" s="5" t="s">
        <v>41</v>
      </c>
      <c r="D2111" s="4" t="s">
        <v>16</v>
      </c>
      <c r="E2111" s="4" t="s">
        <v>3156</v>
      </c>
      <c r="F2111" s="4" t="s">
        <v>406</v>
      </c>
      <c r="G2111" s="4" t="s">
        <v>627</v>
      </c>
      <c r="H2111" s="12" t="n">
        <v>1</v>
      </c>
      <c r="I2111" s="4" t="s">
        <v>408</v>
      </c>
      <c r="J2111" s="4" t="s">
        <v>409</v>
      </c>
      <c r="K2111" s="13" t="n">
        <v>250</v>
      </c>
      <c r="L2111" s="6" t="n">
        <f aca="false">H2111*K2111</f>
        <v>250</v>
      </c>
      <c r="M2111" s="14" t="s">
        <v>410</v>
      </c>
    </row>
    <row r="2112" customFormat="false" ht="15" hidden="false" customHeight="false" outlineLevel="0" collapsed="false">
      <c r="A2112" s="4" t="s">
        <v>13</v>
      </c>
      <c r="B2112" s="5" t="s">
        <v>40</v>
      </c>
      <c r="C2112" s="5" t="s">
        <v>41</v>
      </c>
      <c r="D2112" s="4" t="s">
        <v>16</v>
      </c>
      <c r="E2112" s="4" t="s">
        <v>3157</v>
      </c>
      <c r="F2112" s="4" t="s">
        <v>406</v>
      </c>
      <c r="G2112" s="4" t="s">
        <v>3158</v>
      </c>
      <c r="H2112" s="12" t="n">
        <v>1</v>
      </c>
      <c r="I2112" s="4" t="s">
        <v>408</v>
      </c>
      <c r="J2112" s="4" t="s">
        <v>409</v>
      </c>
      <c r="K2112" s="13" t="n">
        <v>450</v>
      </c>
      <c r="L2112" s="6" t="n">
        <f aca="false">H2112*K2112</f>
        <v>450</v>
      </c>
      <c r="M2112" s="14" t="s">
        <v>410</v>
      </c>
    </row>
    <row r="2113" customFormat="false" ht="15" hidden="false" customHeight="false" outlineLevel="0" collapsed="false">
      <c r="A2113" s="4" t="s">
        <v>13</v>
      </c>
      <c r="B2113" s="5" t="s">
        <v>40</v>
      </c>
      <c r="C2113" s="5" t="s">
        <v>41</v>
      </c>
      <c r="D2113" s="4" t="s">
        <v>16</v>
      </c>
      <c r="E2113" s="4" t="s">
        <v>604</v>
      </c>
      <c r="F2113" s="4" t="s">
        <v>406</v>
      </c>
      <c r="G2113" s="4" t="s">
        <v>605</v>
      </c>
      <c r="H2113" s="12" t="n">
        <v>1</v>
      </c>
      <c r="I2113" s="4" t="s">
        <v>408</v>
      </c>
      <c r="J2113" s="4" t="s">
        <v>409</v>
      </c>
      <c r="K2113" s="13" t="n">
        <v>650</v>
      </c>
      <c r="L2113" s="6" t="n">
        <f aca="false">H2113*K2113</f>
        <v>650</v>
      </c>
      <c r="M2113" s="14" t="s">
        <v>410</v>
      </c>
    </row>
    <row r="2114" customFormat="false" ht="15" hidden="false" customHeight="false" outlineLevel="0" collapsed="false">
      <c r="A2114" s="4" t="s">
        <v>13</v>
      </c>
      <c r="B2114" s="5" t="s">
        <v>40</v>
      </c>
      <c r="C2114" s="5" t="s">
        <v>41</v>
      </c>
      <c r="D2114" s="4" t="s">
        <v>16</v>
      </c>
      <c r="E2114" s="4" t="s">
        <v>533</v>
      </c>
      <c r="F2114" s="4" t="s">
        <v>406</v>
      </c>
      <c r="G2114" s="4" t="s">
        <v>534</v>
      </c>
      <c r="H2114" s="12" t="n">
        <v>1</v>
      </c>
      <c r="I2114" s="4" t="s">
        <v>408</v>
      </c>
      <c r="J2114" s="4" t="s">
        <v>409</v>
      </c>
      <c r="K2114" s="13" t="n">
        <v>350</v>
      </c>
      <c r="L2114" s="6" t="n">
        <f aca="false">H2114*K2114</f>
        <v>350</v>
      </c>
      <c r="M2114" s="4" t="s">
        <v>371</v>
      </c>
    </row>
    <row r="2115" customFormat="false" ht="15" hidden="false" customHeight="false" outlineLevel="0" collapsed="false">
      <c r="A2115" s="4" t="s">
        <v>13</v>
      </c>
      <c r="B2115" s="5" t="s">
        <v>40</v>
      </c>
      <c r="C2115" s="5" t="s">
        <v>41</v>
      </c>
      <c r="D2115" s="4" t="s">
        <v>16</v>
      </c>
      <c r="E2115" s="4" t="s">
        <v>535</v>
      </c>
      <c r="F2115" s="4" t="s">
        <v>406</v>
      </c>
      <c r="G2115" s="4" t="s">
        <v>536</v>
      </c>
      <c r="H2115" s="12" t="n">
        <v>1</v>
      </c>
      <c r="I2115" s="4" t="s">
        <v>408</v>
      </c>
      <c r="J2115" s="4" t="s">
        <v>416</v>
      </c>
      <c r="K2115" s="13" t="n">
        <v>1800</v>
      </c>
      <c r="L2115" s="6" t="n">
        <f aca="false">H2115*K2115</f>
        <v>1800</v>
      </c>
      <c r="M2115" s="14" t="s">
        <v>410</v>
      </c>
    </row>
    <row r="2116" customFormat="false" ht="15" hidden="false" customHeight="false" outlineLevel="0" collapsed="false">
      <c r="A2116" s="4" t="s">
        <v>13</v>
      </c>
      <c r="B2116" s="5" t="s">
        <v>40</v>
      </c>
      <c r="C2116" s="5" t="s">
        <v>41</v>
      </c>
      <c r="D2116" s="4" t="s">
        <v>16</v>
      </c>
      <c r="E2116" s="4" t="s">
        <v>742</v>
      </c>
      <c r="F2116" s="4" t="s">
        <v>406</v>
      </c>
      <c r="G2116" s="4" t="s">
        <v>743</v>
      </c>
      <c r="H2116" s="12" t="n">
        <v>1</v>
      </c>
      <c r="I2116" s="4" t="s">
        <v>408</v>
      </c>
      <c r="J2116" s="4" t="s">
        <v>409</v>
      </c>
      <c r="K2116" s="13" t="n">
        <v>350</v>
      </c>
      <c r="L2116" s="6" t="n">
        <f aca="false">H2116*K2116</f>
        <v>350</v>
      </c>
      <c r="M2116" s="14" t="s">
        <v>410</v>
      </c>
    </row>
    <row r="2117" customFormat="false" ht="15" hidden="false" customHeight="false" outlineLevel="0" collapsed="false">
      <c r="A2117" s="4" t="s">
        <v>13</v>
      </c>
      <c r="B2117" s="5" t="s">
        <v>40</v>
      </c>
      <c r="C2117" s="5" t="s">
        <v>41</v>
      </c>
      <c r="D2117" s="4" t="s">
        <v>16</v>
      </c>
      <c r="E2117" s="4" t="s">
        <v>539</v>
      </c>
      <c r="F2117" s="4" t="s">
        <v>406</v>
      </c>
      <c r="G2117" s="4" t="s">
        <v>540</v>
      </c>
      <c r="H2117" s="12" t="n">
        <v>1</v>
      </c>
      <c r="I2117" s="4" t="s">
        <v>408</v>
      </c>
      <c r="J2117" s="4" t="s">
        <v>409</v>
      </c>
      <c r="K2117" s="13" t="n">
        <v>250</v>
      </c>
      <c r="L2117" s="6" t="n">
        <f aca="false">H2117*K2117</f>
        <v>250</v>
      </c>
      <c r="M2117" s="14" t="s">
        <v>410</v>
      </c>
    </row>
    <row r="2118" customFormat="false" ht="15" hidden="false" customHeight="false" outlineLevel="0" collapsed="false">
      <c r="A2118" s="4" t="s">
        <v>13</v>
      </c>
      <c r="B2118" s="5" t="s">
        <v>40</v>
      </c>
      <c r="C2118" s="5" t="s">
        <v>41</v>
      </c>
      <c r="D2118" s="4" t="s">
        <v>16</v>
      </c>
      <c r="E2118" s="4" t="s">
        <v>744</v>
      </c>
      <c r="F2118" s="4" t="s">
        <v>406</v>
      </c>
      <c r="G2118" s="4" t="s">
        <v>745</v>
      </c>
      <c r="H2118" s="12" t="n">
        <v>1</v>
      </c>
      <c r="I2118" s="4" t="s">
        <v>408</v>
      </c>
      <c r="J2118" s="4" t="s">
        <v>429</v>
      </c>
      <c r="K2118" s="13" t="n">
        <v>120</v>
      </c>
      <c r="L2118" s="6" t="n">
        <f aca="false">H2118*K2118</f>
        <v>120</v>
      </c>
      <c r="M2118" s="14" t="s">
        <v>410</v>
      </c>
    </row>
    <row r="2119" customFormat="false" ht="15" hidden="false" customHeight="false" outlineLevel="0" collapsed="false">
      <c r="A2119" s="4" t="s">
        <v>13</v>
      </c>
      <c r="B2119" s="5" t="s">
        <v>40</v>
      </c>
      <c r="C2119" s="5" t="s">
        <v>41</v>
      </c>
      <c r="D2119" s="4" t="s">
        <v>16</v>
      </c>
      <c r="E2119" s="4" t="s">
        <v>746</v>
      </c>
      <c r="F2119" s="4" t="s">
        <v>406</v>
      </c>
      <c r="G2119" s="4" t="s">
        <v>747</v>
      </c>
      <c r="H2119" s="12" t="n">
        <v>1</v>
      </c>
      <c r="I2119" s="4" t="s">
        <v>408</v>
      </c>
      <c r="J2119" s="4" t="s">
        <v>409</v>
      </c>
      <c r="K2119" s="13" t="n">
        <v>350</v>
      </c>
      <c r="L2119" s="6" t="n">
        <f aca="false">H2119*K2119</f>
        <v>350</v>
      </c>
      <c r="M2119" s="14" t="s">
        <v>410</v>
      </c>
    </row>
    <row r="2120" customFormat="false" ht="15" hidden="false" customHeight="false" outlineLevel="0" collapsed="false">
      <c r="A2120" s="4" t="s">
        <v>13</v>
      </c>
      <c r="B2120" s="5" t="s">
        <v>40</v>
      </c>
      <c r="C2120" s="5" t="s">
        <v>41</v>
      </c>
      <c r="D2120" s="4" t="s">
        <v>16</v>
      </c>
      <c r="E2120" s="4" t="s">
        <v>748</v>
      </c>
      <c r="F2120" s="4" t="s">
        <v>406</v>
      </c>
      <c r="G2120" s="4" t="s">
        <v>749</v>
      </c>
      <c r="H2120" s="12" t="n">
        <v>1</v>
      </c>
      <c r="I2120" s="4" t="s">
        <v>408</v>
      </c>
      <c r="J2120" s="4" t="s">
        <v>409</v>
      </c>
      <c r="K2120" s="13" t="n">
        <v>6500</v>
      </c>
      <c r="L2120" s="6" t="n">
        <f aca="false">H2120*K2120</f>
        <v>6500</v>
      </c>
      <c r="M2120" s="14" t="s">
        <v>410</v>
      </c>
    </row>
    <row r="2121" customFormat="false" ht="15" hidden="false" customHeight="false" outlineLevel="0" collapsed="false">
      <c r="A2121" s="4" t="s">
        <v>13</v>
      </c>
      <c r="B2121" s="5" t="s">
        <v>40</v>
      </c>
      <c r="C2121" s="5" t="s">
        <v>41</v>
      </c>
      <c r="D2121" s="4" t="s">
        <v>16</v>
      </c>
      <c r="E2121" s="4" t="s">
        <v>562</v>
      </c>
      <c r="F2121" s="4" t="s">
        <v>406</v>
      </c>
      <c r="G2121" s="4" t="s">
        <v>563</v>
      </c>
      <c r="H2121" s="12" t="n">
        <v>1</v>
      </c>
      <c r="I2121" s="4" t="s">
        <v>408</v>
      </c>
      <c r="J2121" s="4" t="s">
        <v>409</v>
      </c>
      <c r="K2121" s="13" t="n">
        <v>3500</v>
      </c>
      <c r="L2121" s="6" t="n">
        <f aca="false">H2121*K2121</f>
        <v>3500</v>
      </c>
      <c r="M2121" s="14" t="s">
        <v>410</v>
      </c>
    </row>
    <row r="2122" customFormat="false" ht="15" hidden="false" customHeight="false" outlineLevel="0" collapsed="false">
      <c r="A2122" s="4" t="s">
        <v>13</v>
      </c>
      <c r="B2122" s="5" t="s">
        <v>40</v>
      </c>
      <c r="C2122" s="5" t="s">
        <v>41</v>
      </c>
      <c r="D2122" s="4" t="s">
        <v>16</v>
      </c>
      <c r="E2122" s="4" t="s">
        <v>750</v>
      </c>
      <c r="F2122" s="4" t="s">
        <v>406</v>
      </c>
      <c r="G2122" s="4" t="s">
        <v>751</v>
      </c>
      <c r="H2122" s="12" t="n">
        <v>1</v>
      </c>
      <c r="I2122" s="4" t="s">
        <v>408</v>
      </c>
      <c r="J2122" s="4" t="s">
        <v>409</v>
      </c>
      <c r="K2122" s="13" t="n">
        <v>85000</v>
      </c>
      <c r="L2122" s="6" t="n">
        <f aca="false">H2122*K2122</f>
        <v>85000</v>
      </c>
      <c r="M2122" s="14" t="s">
        <v>410</v>
      </c>
    </row>
    <row r="2123" customFormat="false" ht="15" hidden="false" customHeight="false" outlineLevel="0" collapsed="false">
      <c r="A2123" s="4" t="s">
        <v>13</v>
      </c>
      <c r="B2123" s="5" t="s">
        <v>40</v>
      </c>
      <c r="C2123" s="5" t="s">
        <v>41</v>
      </c>
      <c r="D2123" s="4" t="s">
        <v>16</v>
      </c>
      <c r="E2123" s="4" t="s">
        <v>564</v>
      </c>
      <c r="F2123" s="4" t="s">
        <v>406</v>
      </c>
      <c r="G2123" s="4" t="s">
        <v>565</v>
      </c>
      <c r="H2123" s="12" t="n">
        <v>1</v>
      </c>
      <c r="I2123" s="4" t="s">
        <v>408</v>
      </c>
      <c r="J2123" s="4" t="s">
        <v>409</v>
      </c>
      <c r="K2123" s="13" t="n">
        <v>18000</v>
      </c>
      <c r="L2123" s="6" t="n">
        <f aca="false">H2123*K2123</f>
        <v>18000</v>
      </c>
      <c r="M2123" s="14" t="s">
        <v>410</v>
      </c>
    </row>
    <row r="2124" customFormat="false" ht="15" hidden="false" customHeight="false" outlineLevel="0" collapsed="false">
      <c r="A2124" s="4" t="s">
        <v>13</v>
      </c>
      <c r="B2124" s="5" t="s">
        <v>40</v>
      </c>
      <c r="C2124" s="5" t="s">
        <v>41</v>
      </c>
      <c r="D2124" s="4" t="s">
        <v>16</v>
      </c>
      <c r="E2124" s="4" t="s">
        <v>541</v>
      </c>
      <c r="F2124" s="4" t="s">
        <v>406</v>
      </c>
      <c r="G2124" s="4" t="s">
        <v>542</v>
      </c>
      <c r="H2124" s="12" t="n">
        <v>1</v>
      </c>
      <c r="I2124" s="4" t="s">
        <v>408</v>
      </c>
      <c r="J2124" s="4" t="s">
        <v>543</v>
      </c>
      <c r="K2124" s="13" t="n">
        <v>18000</v>
      </c>
      <c r="L2124" s="6" t="n">
        <f aca="false">H2124*K2124</f>
        <v>18000</v>
      </c>
      <c r="M2124" s="14" t="s">
        <v>410</v>
      </c>
    </row>
    <row r="2125" customFormat="false" ht="15" hidden="false" customHeight="false" outlineLevel="0" collapsed="false">
      <c r="A2125" s="4" t="s">
        <v>13</v>
      </c>
      <c r="B2125" s="5" t="s">
        <v>40</v>
      </c>
      <c r="C2125" s="5" t="s">
        <v>41</v>
      </c>
      <c r="D2125" s="4" t="s">
        <v>16</v>
      </c>
      <c r="E2125" s="4" t="s">
        <v>544</v>
      </c>
      <c r="F2125" s="4" t="s">
        <v>406</v>
      </c>
      <c r="G2125" s="4" t="s">
        <v>545</v>
      </c>
      <c r="H2125" s="12" t="n">
        <v>1</v>
      </c>
      <c r="I2125" s="4" t="s">
        <v>408</v>
      </c>
      <c r="J2125" s="4" t="s">
        <v>416</v>
      </c>
      <c r="K2125" s="13" t="n">
        <v>12000</v>
      </c>
      <c r="L2125" s="6" t="n">
        <f aca="false">H2125*K2125</f>
        <v>12000</v>
      </c>
      <c r="M2125" s="14" t="s">
        <v>410</v>
      </c>
    </row>
    <row r="2126" customFormat="false" ht="15" hidden="false" customHeight="false" outlineLevel="0" collapsed="false">
      <c r="A2126" s="4" t="s">
        <v>13</v>
      </c>
      <c r="B2126" s="5" t="s">
        <v>40</v>
      </c>
      <c r="C2126" s="5" t="s">
        <v>41</v>
      </c>
      <c r="D2126" s="4" t="s">
        <v>16</v>
      </c>
      <c r="E2126" s="4" t="s">
        <v>592</v>
      </c>
      <c r="F2126" s="4" t="s">
        <v>488</v>
      </c>
      <c r="G2126" s="4" t="s">
        <v>593</v>
      </c>
      <c r="H2126" s="12" t="n">
        <v>1</v>
      </c>
      <c r="I2126" s="4" t="s">
        <v>408</v>
      </c>
      <c r="J2126" s="4" t="s">
        <v>432</v>
      </c>
      <c r="K2126" s="13" t="n">
        <v>8</v>
      </c>
      <c r="L2126" s="6" t="n">
        <f aca="false">H2126*K2126</f>
        <v>8</v>
      </c>
      <c r="M2126" s="4" t="s">
        <v>371</v>
      </c>
    </row>
    <row r="2127" customFormat="false" ht="15" hidden="false" customHeight="false" outlineLevel="0" collapsed="false">
      <c r="A2127" s="4" t="s">
        <v>13</v>
      </c>
      <c r="B2127" s="5" t="s">
        <v>40</v>
      </c>
      <c r="C2127" s="5" t="s">
        <v>41</v>
      </c>
      <c r="D2127" s="4" t="s">
        <v>16</v>
      </c>
      <c r="E2127" s="4" t="s">
        <v>726</v>
      </c>
      <c r="F2127" s="4" t="s">
        <v>488</v>
      </c>
      <c r="G2127" s="4" t="s">
        <v>727</v>
      </c>
      <c r="H2127" s="12" t="n">
        <v>1</v>
      </c>
      <c r="I2127" s="4" t="s">
        <v>408</v>
      </c>
      <c r="J2127" s="4" t="s">
        <v>432</v>
      </c>
      <c r="K2127" s="13" t="n">
        <v>65</v>
      </c>
      <c r="L2127" s="6" t="n">
        <f aca="false">H2127*K2127</f>
        <v>65</v>
      </c>
      <c r="M2127" s="4" t="s">
        <v>371</v>
      </c>
    </row>
    <row r="2128" customFormat="false" ht="15" hidden="false" customHeight="false" outlineLevel="0" collapsed="false">
      <c r="A2128" s="4" t="s">
        <v>13</v>
      </c>
      <c r="B2128" s="5" t="s">
        <v>40</v>
      </c>
      <c r="C2128" s="5" t="s">
        <v>41</v>
      </c>
      <c r="D2128" s="4" t="s">
        <v>16</v>
      </c>
      <c r="E2128" s="4" t="s">
        <v>3159</v>
      </c>
      <c r="F2128" s="4" t="s">
        <v>488</v>
      </c>
      <c r="G2128" s="4" t="s">
        <v>753</v>
      </c>
      <c r="H2128" s="12" t="n">
        <v>1</v>
      </c>
      <c r="I2128" s="4" t="s">
        <v>408</v>
      </c>
      <c r="J2128" s="4" t="s">
        <v>506</v>
      </c>
      <c r="K2128" s="13" t="n">
        <v>120</v>
      </c>
      <c r="L2128" s="6" t="n">
        <f aca="false">H2128*K2128</f>
        <v>120</v>
      </c>
      <c r="M2128" s="4" t="s">
        <v>371</v>
      </c>
    </row>
    <row r="2129" customFormat="false" ht="15" hidden="false" customHeight="false" outlineLevel="0" collapsed="false">
      <c r="A2129" s="4" t="s">
        <v>13</v>
      </c>
      <c r="B2129" s="5" t="s">
        <v>40</v>
      </c>
      <c r="C2129" s="5" t="s">
        <v>41</v>
      </c>
      <c r="D2129" s="4" t="s">
        <v>16</v>
      </c>
      <c r="E2129" s="4" t="s">
        <v>754</v>
      </c>
      <c r="F2129" s="4" t="s">
        <v>488</v>
      </c>
      <c r="G2129" s="4" t="s">
        <v>755</v>
      </c>
      <c r="H2129" s="12" t="n">
        <v>1</v>
      </c>
      <c r="I2129" s="4" t="s">
        <v>408</v>
      </c>
      <c r="J2129" s="4" t="s">
        <v>503</v>
      </c>
      <c r="K2129" s="13" t="n">
        <v>150</v>
      </c>
      <c r="L2129" s="6" t="n">
        <f aca="false">H2129*K2129</f>
        <v>150</v>
      </c>
      <c r="M2129" s="4" t="s">
        <v>371</v>
      </c>
    </row>
    <row r="2130" customFormat="false" ht="15" hidden="false" customHeight="false" outlineLevel="0" collapsed="false">
      <c r="A2130" s="4" t="s">
        <v>13</v>
      </c>
      <c r="B2130" s="5" t="s">
        <v>40</v>
      </c>
      <c r="C2130" s="5" t="s">
        <v>41</v>
      </c>
      <c r="D2130" s="4" t="s">
        <v>16</v>
      </c>
      <c r="E2130" s="4" t="s">
        <v>756</v>
      </c>
      <c r="F2130" s="4" t="s">
        <v>488</v>
      </c>
      <c r="G2130" s="4" t="s">
        <v>757</v>
      </c>
      <c r="H2130" s="12" t="n">
        <v>1</v>
      </c>
      <c r="I2130" s="4" t="s">
        <v>408</v>
      </c>
      <c r="J2130" s="4" t="s">
        <v>432</v>
      </c>
      <c r="K2130" s="13" t="n">
        <v>15</v>
      </c>
      <c r="L2130" s="6" t="n">
        <f aca="false">H2130*K2130</f>
        <v>15</v>
      </c>
      <c r="M2130" s="4" t="s">
        <v>371</v>
      </c>
    </row>
    <row r="2131" customFormat="false" ht="15" hidden="false" customHeight="false" outlineLevel="0" collapsed="false">
      <c r="A2131" s="4" t="s">
        <v>13</v>
      </c>
      <c r="B2131" s="5" t="s">
        <v>40</v>
      </c>
      <c r="C2131" s="5" t="s">
        <v>41</v>
      </c>
      <c r="D2131" s="4" t="s">
        <v>16</v>
      </c>
      <c r="E2131" s="4" t="s">
        <v>560</v>
      </c>
      <c r="F2131" s="4" t="s">
        <v>470</v>
      </c>
      <c r="G2131" s="4" t="s">
        <v>561</v>
      </c>
      <c r="H2131" s="12" t="n">
        <v>1</v>
      </c>
      <c r="I2131" s="4" t="s">
        <v>408</v>
      </c>
      <c r="J2131" s="4" t="s">
        <v>409</v>
      </c>
      <c r="K2131" s="13" t="n">
        <v>250</v>
      </c>
      <c r="L2131" s="6" t="n">
        <f aca="false">H2131*K2131</f>
        <v>250</v>
      </c>
      <c r="M2131" s="14" t="s">
        <v>410</v>
      </c>
    </row>
    <row r="2132" customFormat="false" ht="15" hidden="false" customHeight="false" outlineLevel="0" collapsed="false">
      <c r="A2132" s="4" t="s">
        <v>13</v>
      </c>
      <c r="B2132" s="5" t="s">
        <v>42</v>
      </c>
      <c r="C2132" s="5" t="s">
        <v>43</v>
      </c>
      <c r="D2132" s="4" t="s">
        <v>16</v>
      </c>
      <c r="E2132" s="4" t="s">
        <v>3024</v>
      </c>
      <c r="F2132" s="4" t="s">
        <v>406</v>
      </c>
      <c r="G2132" s="4" t="s">
        <v>3025</v>
      </c>
      <c r="H2132" s="12" t="n">
        <v>1</v>
      </c>
      <c r="I2132" s="4" t="s">
        <v>408</v>
      </c>
      <c r="J2132" s="4" t="s">
        <v>409</v>
      </c>
      <c r="K2132" s="13" t="n">
        <v>180</v>
      </c>
      <c r="L2132" s="6" t="n">
        <f aca="false">H2132*K2132</f>
        <v>180</v>
      </c>
      <c r="M2132" s="14" t="s">
        <v>410</v>
      </c>
    </row>
    <row r="2133" customFormat="false" ht="15" hidden="false" customHeight="false" outlineLevel="0" collapsed="false">
      <c r="A2133" s="4" t="s">
        <v>13</v>
      </c>
      <c r="B2133" s="5" t="s">
        <v>42</v>
      </c>
      <c r="C2133" s="5" t="s">
        <v>43</v>
      </c>
      <c r="D2133" s="4" t="s">
        <v>16</v>
      </c>
      <c r="E2133" s="4" t="s">
        <v>628</v>
      </c>
      <c r="F2133" s="4" t="s">
        <v>406</v>
      </c>
      <c r="G2133" s="4" t="s">
        <v>629</v>
      </c>
      <c r="H2133" s="12" t="n">
        <v>1</v>
      </c>
      <c r="I2133" s="4" t="s">
        <v>408</v>
      </c>
      <c r="J2133" s="4" t="s">
        <v>409</v>
      </c>
      <c r="K2133" s="13" t="n">
        <v>350</v>
      </c>
      <c r="L2133" s="6" t="n">
        <f aca="false">H2133*K2133</f>
        <v>350</v>
      </c>
      <c r="M2133" s="14" t="s">
        <v>410</v>
      </c>
    </row>
    <row r="2134" customFormat="false" ht="15" hidden="false" customHeight="false" outlineLevel="0" collapsed="false">
      <c r="A2134" s="4" t="s">
        <v>13</v>
      </c>
      <c r="B2134" s="5" t="s">
        <v>42</v>
      </c>
      <c r="C2134" s="5" t="s">
        <v>43</v>
      </c>
      <c r="D2134" s="4" t="s">
        <v>16</v>
      </c>
      <c r="E2134" s="4" t="s">
        <v>3036</v>
      </c>
      <c r="F2134" s="4" t="s">
        <v>406</v>
      </c>
      <c r="G2134" s="4" t="s">
        <v>3037</v>
      </c>
      <c r="H2134" s="12" t="n">
        <v>1</v>
      </c>
      <c r="I2134" s="4" t="s">
        <v>408</v>
      </c>
      <c r="J2134" s="4" t="s">
        <v>409</v>
      </c>
      <c r="K2134" s="13" t="n">
        <v>450</v>
      </c>
      <c r="L2134" s="6" t="n">
        <f aca="false">H2134*K2134</f>
        <v>450</v>
      </c>
      <c r="M2134" s="14" t="s">
        <v>410</v>
      </c>
    </row>
    <row r="2135" customFormat="false" ht="15" hidden="false" customHeight="false" outlineLevel="0" collapsed="false">
      <c r="A2135" s="4" t="s">
        <v>13</v>
      </c>
      <c r="B2135" s="5" t="s">
        <v>42</v>
      </c>
      <c r="C2135" s="5" t="s">
        <v>43</v>
      </c>
      <c r="D2135" s="4" t="s">
        <v>16</v>
      </c>
      <c r="E2135" s="4" t="s">
        <v>626</v>
      </c>
      <c r="F2135" s="4" t="s">
        <v>406</v>
      </c>
      <c r="G2135" s="4" t="s">
        <v>627</v>
      </c>
      <c r="H2135" s="12" t="n">
        <v>1</v>
      </c>
      <c r="I2135" s="4" t="s">
        <v>408</v>
      </c>
      <c r="J2135" s="4" t="s">
        <v>409</v>
      </c>
      <c r="K2135" s="13" t="n">
        <v>250</v>
      </c>
      <c r="L2135" s="6" t="n">
        <f aca="false">H2135*K2135</f>
        <v>250</v>
      </c>
      <c r="M2135" s="14" t="s">
        <v>410</v>
      </c>
    </row>
    <row r="2136" customFormat="false" ht="15" hidden="false" customHeight="false" outlineLevel="0" collapsed="false">
      <c r="A2136" s="4" t="s">
        <v>13</v>
      </c>
      <c r="B2136" s="5" t="s">
        <v>42</v>
      </c>
      <c r="C2136" s="5" t="s">
        <v>43</v>
      </c>
      <c r="D2136" s="4" t="s">
        <v>16</v>
      </c>
      <c r="E2136" s="4" t="s">
        <v>3122</v>
      </c>
      <c r="F2136" s="4" t="s">
        <v>406</v>
      </c>
      <c r="G2136" s="4" t="s">
        <v>3123</v>
      </c>
      <c r="H2136" s="12" t="n">
        <v>1</v>
      </c>
      <c r="I2136" s="4" t="s">
        <v>408</v>
      </c>
      <c r="J2136" s="4" t="s">
        <v>409</v>
      </c>
      <c r="K2136" s="13" t="n">
        <v>850</v>
      </c>
      <c r="L2136" s="6" t="n">
        <f aca="false">H2136*K2136</f>
        <v>850</v>
      </c>
      <c r="M2136" s="14" t="s">
        <v>410</v>
      </c>
    </row>
    <row r="2137" customFormat="false" ht="15" hidden="false" customHeight="false" outlineLevel="0" collapsed="false">
      <c r="A2137" s="4" t="s">
        <v>13</v>
      </c>
      <c r="B2137" s="5" t="s">
        <v>42</v>
      </c>
      <c r="C2137" s="5" t="s">
        <v>43</v>
      </c>
      <c r="D2137" s="4" t="s">
        <v>16</v>
      </c>
      <c r="E2137" s="4" t="s">
        <v>3160</v>
      </c>
      <c r="F2137" s="4" t="s">
        <v>406</v>
      </c>
      <c r="G2137" s="4" t="s">
        <v>3161</v>
      </c>
      <c r="H2137" s="12" t="n">
        <v>1</v>
      </c>
      <c r="I2137" s="4" t="s">
        <v>408</v>
      </c>
      <c r="J2137" s="4" t="s">
        <v>409</v>
      </c>
      <c r="K2137" s="13" t="n">
        <v>650</v>
      </c>
      <c r="L2137" s="6" t="n">
        <f aca="false">H2137*K2137</f>
        <v>650</v>
      </c>
      <c r="M2137" s="14" t="s">
        <v>410</v>
      </c>
    </row>
    <row r="2138" customFormat="false" ht="15" hidden="false" customHeight="false" outlineLevel="0" collapsed="false">
      <c r="A2138" s="4" t="s">
        <v>13</v>
      </c>
      <c r="B2138" s="5" t="s">
        <v>42</v>
      </c>
      <c r="C2138" s="5" t="s">
        <v>43</v>
      </c>
      <c r="D2138" s="4" t="s">
        <v>16</v>
      </c>
      <c r="E2138" s="4" t="s">
        <v>3124</v>
      </c>
      <c r="F2138" s="4" t="s">
        <v>406</v>
      </c>
      <c r="G2138" s="4" t="s">
        <v>3125</v>
      </c>
      <c r="H2138" s="12" t="n">
        <v>1</v>
      </c>
      <c r="I2138" s="4" t="s">
        <v>408</v>
      </c>
      <c r="J2138" s="4" t="s">
        <v>409</v>
      </c>
      <c r="K2138" s="13" t="n">
        <v>350</v>
      </c>
      <c r="L2138" s="6" t="n">
        <f aca="false">H2138*K2138</f>
        <v>350</v>
      </c>
      <c r="M2138" s="14" t="s">
        <v>410</v>
      </c>
    </row>
    <row r="2139" customFormat="false" ht="15" hidden="false" customHeight="false" outlineLevel="0" collapsed="false">
      <c r="A2139" s="4" t="s">
        <v>13</v>
      </c>
      <c r="B2139" s="5" t="s">
        <v>42</v>
      </c>
      <c r="C2139" s="5" t="s">
        <v>43</v>
      </c>
      <c r="D2139" s="4" t="s">
        <v>16</v>
      </c>
      <c r="E2139" s="4" t="s">
        <v>3043</v>
      </c>
      <c r="F2139" s="4" t="s">
        <v>406</v>
      </c>
      <c r="G2139" s="4" t="s">
        <v>647</v>
      </c>
      <c r="H2139" s="12" t="n">
        <v>1</v>
      </c>
      <c r="I2139" s="4" t="s">
        <v>408</v>
      </c>
      <c r="J2139" s="4" t="s">
        <v>409</v>
      </c>
      <c r="K2139" s="13" t="n">
        <v>450</v>
      </c>
      <c r="L2139" s="6" t="n">
        <f aca="false">H2139*K2139</f>
        <v>450</v>
      </c>
      <c r="M2139" s="14" t="s">
        <v>410</v>
      </c>
    </row>
    <row r="2140" customFormat="false" ht="15" hidden="false" customHeight="false" outlineLevel="0" collapsed="false">
      <c r="A2140" s="4" t="s">
        <v>13</v>
      </c>
      <c r="B2140" s="5" t="s">
        <v>42</v>
      </c>
      <c r="C2140" s="5" t="s">
        <v>43</v>
      </c>
      <c r="D2140" s="4" t="s">
        <v>16</v>
      </c>
      <c r="E2140" s="4" t="s">
        <v>3044</v>
      </c>
      <c r="F2140" s="4" t="s">
        <v>406</v>
      </c>
      <c r="G2140" s="4" t="s">
        <v>3045</v>
      </c>
      <c r="H2140" s="12" t="n">
        <v>1</v>
      </c>
      <c r="I2140" s="4" t="s">
        <v>408</v>
      </c>
      <c r="J2140" s="4" t="s">
        <v>409</v>
      </c>
      <c r="K2140" s="13" t="n">
        <v>350</v>
      </c>
      <c r="L2140" s="6" t="n">
        <f aca="false">H2140*K2140</f>
        <v>350</v>
      </c>
      <c r="M2140" s="14" t="s">
        <v>410</v>
      </c>
    </row>
    <row r="2141" customFormat="false" ht="15" hidden="false" customHeight="false" outlineLevel="0" collapsed="false">
      <c r="A2141" s="4" t="s">
        <v>13</v>
      </c>
      <c r="B2141" s="5" t="s">
        <v>42</v>
      </c>
      <c r="C2141" s="5" t="s">
        <v>43</v>
      </c>
      <c r="D2141" s="4" t="s">
        <v>16</v>
      </c>
      <c r="E2141" s="4" t="s">
        <v>3046</v>
      </c>
      <c r="F2141" s="4" t="s">
        <v>406</v>
      </c>
      <c r="G2141" s="4" t="s">
        <v>3047</v>
      </c>
      <c r="H2141" s="12" t="n">
        <v>1</v>
      </c>
      <c r="I2141" s="4" t="s">
        <v>408</v>
      </c>
      <c r="J2141" s="4" t="s">
        <v>409</v>
      </c>
      <c r="K2141" s="13" t="n">
        <v>180</v>
      </c>
      <c r="L2141" s="6" t="n">
        <f aca="false">H2141*K2141</f>
        <v>180</v>
      </c>
      <c r="M2141" s="14" t="s">
        <v>410</v>
      </c>
    </row>
    <row r="2142" customFormat="false" ht="15" hidden="false" customHeight="false" outlineLevel="0" collapsed="false">
      <c r="A2142" s="4" t="s">
        <v>13</v>
      </c>
      <c r="B2142" s="5" t="s">
        <v>42</v>
      </c>
      <c r="C2142" s="5" t="s">
        <v>43</v>
      </c>
      <c r="D2142" s="4" t="s">
        <v>16</v>
      </c>
      <c r="E2142" s="4" t="s">
        <v>3162</v>
      </c>
      <c r="F2142" s="4" t="s">
        <v>406</v>
      </c>
      <c r="G2142" s="4" t="s">
        <v>3163</v>
      </c>
      <c r="H2142" s="12" t="n">
        <v>1</v>
      </c>
      <c r="I2142" s="4" t="s">
        <v>408</v>
      </c>
      <c r="J2142" s="4" t="s">
        <v>409</v>
      </c>
      <c r="K2142" s="13" t="n">
        <v>180</v>
      </c>
      <c r="L2142" s="6" t="n">
        <f aca="false">H2142*K2142</f>
        <v>180</v>
      </c>
      <c r="M2142" s="14" t="s">
        <v>410</v>
      </c>
    </row>
    <row r="2143" customFormat="false" ht="15" hidden="false" customHeight="false" outlineLevel="0" collapsed="false">
      <c r="A2143" s="4" t="s">
        <v>13</v>
      </c>
      <c r="B2143" s="5" t="s">
        <v>42</v>
      </c>
      <c r="C2143" s="5" t="s">
        <v>43</v>
      </c>
      <c r="D2143" s="4" t="s">
        <v>16</v>
      </c>
      <c r="E2143" s="4" t="s">
        <v>3164</v>
      </c>
      <c r="F2143" s="4" t="s">
        <v>406</v>
      </c>
      <c r="G2143" s="4" t="s">
        <v>3165</v>
      </c>
      <c r="H2143" s="12" t="n">
        <v>1</v>
      </c>
      <c r="I2143" s="4" t="s">
        <v>408</v>
      </c>
      <c r="J2143" s="4" t="s">
        <v>409</v>
      </c>
      <c r="K2143" s="13" t="n">
        <v>250</v>
      </c>
      <c r="L2143" s="6" t="n">
        <f aca="false">H2143*K2143</f>
        <v>250</v>
      </c>
      <c r="M2143" s="14" t="s">
        <v>410</v>
      </c>
    </row>
    <row r="2144" customFormat="false" ht="15" hidden="false" customHeight="false" outlineLevel="0" collapsed="false">
      <c r="A2144" s="4" t="s">
        <v>13</v>
      </c>
      <c r="B2144" s="5" t="s">
        <v>42</v>
      </c>
      <c r="C2144" s="5" t="s">
        <v>43</v>
      </c>
      <c r="D2144" s="4" t="s">
        <v>16</v>
      </c>
      <c r="E2144" s="4" t="s">
        <v>3065</v>
      </c>
      <c r="F2144" s="4" t="s">
        <v>406</v>
      </c>
      <c r="G2144" s="4" t="s">
        <v>3066</v>
      </c>
      <c r="H2144" s="12" t="n">
        <v>1</v>
      </c>
      <c r="I2144" s="4" t="s">
        <v>408</v>
      </c>
      <c r="J2144" s="4" t="s">
        <v>409</v>
      </c>
      <c r="K2144" s="13" t="n">
        <v>180</v>
      </c>
      <c r="L2144" s="6" t="n">
        <f aca="false">H2144*K2144</f>
        <v>180</v>
      </c>
      <c r="M2144" s="14" t="s">
        <v>410</v>
      </c>
    </row>
    <row r="2145" customFormat="false" ht="15" hidden="false" customHeight="false" outlineLevel="0" collapsed="false">
      <c r="A2145" s="4" t="s">
        <v>13</v>
      </c>
      <c r="B2145" s="5" t="s">
        <v>42</v>
      </c>
      <c r="C2145" s="5" t="s">
        <v>43</v>
      </c>
      <c r="D2145" s="4" t="s">
        <v>16</v>
      </c>
      <c r="E2145" s="4" t="s">
        <v>3069</v>
      </c>
      <c r="F2145" s="4" t="s">
        <v>406</v>
      </c>
      <c r="G2145" s="4" t="s">
        <v>3070</v>
      </c>
      <c r="H2145" s="12" t="n">
        <v>1</v>
      </c>
      <c r="I2145" s="4" t="s">
        <v>408</v>
      </c>
      <c r="J2145" s="4" t="s">
        <v>409</v>
      </c>
      <c r="K2145" s="13" t="n">
        <v>450</v>
      </c>
      <c r="L2145" s="6" t="n">
        <f aca="false">H2145*K2145</f>
        <v>450</v>
      </c>
      <c r="M2145" s="14" t="s">
        <v>410</v>
      </c>
    </row>
    <row r="2146" customFormat="false" ht="15" hidden="false" customHeight="false" outlineLevel="0" collapsed="false">
      <c r="A2146" s="4" t="s">
        <v>13</v>
      </c>
      <c r="B2146" s="5" t="s">
        <v>42</v>
      </c>
      <c r="C2146" s="5" t="s">
        <v>43</v>
      </c>
      <c r="D2146" s="4" t="s">
        <v>16</v>
      </c>
      <c r="E2146" s="4" t="s">
        <v>3166</v>
      </c>
      <c r="F2146" s="4" t="s">
        <v>406</v>
      </c>
      <c r="G2146" s="4" t="s">
        <v>3167</v>
      </c>
      <c r="H2146" s="12" t="n">
        <v>1</v>
      </c>
      <c r="I2146" s="4" t="s">
        <v>408</v>
      </c>
      <c r="J2146" s="4" t="s">
        <v>409</v>
      </c>
      <c r="K2146" s="13" t="n">
        <v>18000</v>
      </c>
      <c r="L2146" s="6" t="n">
        <f aca="false">H2146*K2146</f>
        <v>18000</v>
      </c>
      <c r="M2146" s="14" t="s">
        <v>410</v>
      </c>
    </row>
    <row r="2147" customFormat="false" ht="15" hidden="false" customHeight="false" outlineLevel="0" collapsed="false">
      <c r="A2147" s="4" t="s">
        <v>13</v>
      </c>
      <c r="B2147" s="5" t="s">
        <v>42</v>
      </c>
      <c r="C2147" s="5" t="s">
        <v>43</v>
      </c>
      <c r="D2147" s="4" t="s">
        <v>16</v>
      </c>
      <c r="E2147" s="4" t="s">
        <v>3168</v>
      </c>
      <c r="F2147" s="4" t="s">
        <v>406</v>
      </c>
      <c r="G2147" s="4" t="s">
        <v>3169</v>
      </c>
      <c r="H2147" s="12" t="n">
        <v>1</v>
      </c>
      <c r="I2147" s="4" t="s">
        <v>408</v>
      </c>
      <c r="J2147" s="4" t="s">
        <v>409</v>
      </c>
      <c r="K2147" s="13" t="n">
        <v>8500</v>
      </c>
      <c r="L2147" s="6" t="n">
        <f aca="false">H2147*K2147</f>
        <v>8500</v>
      </c>
      <c r="M2147" s="14" t="s">
        <v>410</v>
      </c>
    </row>
    <row r="2148" customFormat="false" ht="15" hidden="false" customHeight="false" outlineLevel="0" collapsed="false">
      <c r="A2148" s="4" t="s">
        <v>13</v>
      </c>
      <c r="B2148" s="5" t="s">
        <v>42</v>
      </c>
      <c r="C2148" s="5" t="s">
        <v>43</v>
      </c>
      <c r="D2148" s="4" t="s">
        <v>16</v>
      </c>
      <c r="E2148" s="4" t="s">
        <v>3170</v>
      </c>
      <c r="F2148" s="4" t="s">
        <v>406</v>
      </c>
      <c r="G2148" s="4" t="s">
        <v>3171</v>
      </c>
      <c r="H2148" s="12" t="n">
        <v>1</v>
      </c>
      <c r="I2148" s="4" t="s">
        <v>408</v>
      </c>
      <c r="J2148" s="4" t="s">
        <v>409</v>
      </c>
      <c r="K2148" s="13" t="n">
        <v>1800</v>
      </c>
      <c r="L2148" s="6" t="n">
        <f aca="false">H2148*K2148</f>
        <v>1800</v>
      </c>
      <c r="M2148" s="14" t="s">
        <v>410</v>
      </c>
    </row>
    <row r="2149" customFormat="false" ht="15" hidden="false" customHeight="false" outlineLevel="0" collapsed="false">
      <c r="A2149" s="4" t="s">
        <v>13</v>
      </c>
      <c r="B2149" s="5" t="s">
        <v>42</v>
      </c>
      <c r="C2149" s="5" t="s">
        <v>43</v>
      </c>
      <c r="D2149" s="4" t="s">
        <v>16</v>
      </c>
      <c r="E2149" s="4" t="s">
        <v>2976</v>
      </c>
      <c r="F2149" s="4" t="s">
        <v>406</v>
      </c>
      <c r="G2149" s="4" t="s">
        <v>2977</v>
      </c>
      <c r="H2149" s="12" t="n">
        <v>1</v>
      </c>
      <c r="I2149" s="4" t="s">
        <v>408</v>
      </c>
      <c r="J2149" s="4" t="s">
        <v>409</v>
      </c>
      <c r="K2149" s="13" t="n">
        <v>1800</v>
      </c>
      <c r="L2149" s="6" t="n">
        <f aca="false">H2149*K2149</f>
        <v>1800</v>
      </c>
      <c r="M2149" s="14" t="s">
        <v>410</v>
      </c>
    </row>
    <row r="2150" customFormat="false" ht="15" hidden="false" customHeight="false" outlineLevel="0" collapsed="false">
      <c r="A2150" s="4" t="s">
        <v>13</v>
      </c>
      <c r="B2150" s="5" t="s">
        <v>42</v>
      </c>
      <c r="C2150" s="5" t="s">
        <v>43</v>
      </c>
      <c r="D2150" s="4" t="s">
        <v>16</v>
      </c>
      <c r="E2150" s="4" t="s">
        <v>3172</v>
      </c>
      <c r="F2150" s="4" t="s">
        <v>406</v>
      </c>
      <c r="G2150" s="4" t="s">
        <v>3173</v>
      </c>
      <c r="H2150" s="12" t="n">
        <v>1</v>
      </c>
      <c r="I2150" s="4" t="s">
        <v>408</v>
      </c>
      <c r="J2150" s="4" t="s">
        <v>409</v>
      </c>
      <c r="K2150" s="13" t="n">
        <v>6500</v>
      </c>
      <c r="L2150" s="6" t="n">
        <f aca="false">H2150*K2150</f>
        <v>6500</v>
      </c>
      <c r="M2150" s="14" t="s">
        <v>410</v>
      </c>
    </row>
    <row r="2151" customFormat="false" ht="15" hidden="false" customHeight="false" outlineLevel="0" collapsed="false">
      <c r="A2151" s="4" t="s">
        <v>13</v>
      </c>
      <c r="B2151" s="5" t="s">
        <v>42</v>
      </c>
      <c r="C2151" s="5" t="s">
        <v>43</v>
      </c>
      <c r="D2151" s="4" t="s">
        <v>16</v>
      </c>
      <c r="E2151" s="4" t="s">
        <v>3174</v>
      </c>
      <c r="F2151" s="4" t="s">
        <v>406</v>
      </c>
      <c r="G2151" s="4" t="s">
        <v>3175</v>
      </c>
      <c r="H2151" s="12" t="n">
        <v>1</v>
      </c>
      <c r="I2151" s="4" t="s">
        <v>408</v>
      </c>
      <c r="J2151" s="4" t="s">
        <v>409</v>
      </c>
      <c r="K2151" s="13" t="n">
        <v>18000</v>
      </c>
      <c r="L2151" s="6" t="n">
        <f aca="false">H2151*K2151</f>
        <v>18000</v>
      </c>
      <c r="M2151" s="14" t="s">
        <v>410</v>
      </c>
    </row>
    <row r="2152" customFormat="false" ht="15" hidden="false" customHeight="false" outlineLevel="0" collapsed="false">
      <c r="A2152" s="4" t="s">
        <v>13</v>
      </c>
      <c r="B2152" s="5" t="s">
        <v>42</v>
      </c>
      <c r="C2152" s="5" t="s">
        <v>43</v>
      </c>
      <c r="D2152" s="4" t="s">
        <v>16</v>
      </c>
      <c r="E2152" s="4" t="s">
        <v>3176</v>
      </c>
      <c r="F2152" s="4" t="s">
        <v>406</v>
      </c>
      <c r="G2152" s="4" t="s">
        <v>3177</v>
      </c>
      <c r="H2152" s="12" t="n">
        <v>1</v>
      </c>
      <c r="I2152" s="4" t="s">
        <v>408</v>
      </c>
      <c r="J2152" s="4" t="s">
        <v>409</v>
      </c>
      <c r="K2152" s="13" t="n">
        <v>450</v>
      </c>
      <c r="L2152" s="6" t="n">
        <f aca="false">H2152*K2152</f>
        <v>450</v>
      </c>
      <c r="M2152" s="14" t="s">
        <v>410</v>
      </c>
    </row>
    <row r="2153" customFormat="false" ht="15" hidden="false" customHeight="false" outlineLevel="0" collapsed="false">
      <c r="A2153" s="4" t="s">
        <v>13</v>
      </c>
      <c r="B2153" s="5" t="s">
        <v>42</v>
      </c>
      <c r="C2153" s="5" t="s">
        <v>43</v>
      </c>
      <c r="D2153" s="4" t="s">
        <v>16</v>
      </c>
      <c r="E2153" s="4" t="s">
        <v>3178</v>
      </c>
      <c r="F2153" s="4" t="s">
        <v>406</v>
      </c>
      <c r="G2153" s="4" t="s">
        <v>3179</v>
      </c>
      <c r="H2153" s="12" t="n">
        <v>1</v>
      </c>
      <c r="I2153" s="4" t="s">
        <v>408</v>
      </c>
      <c r="J2153" s="4" t="s">
        <v>409</v>
      </c>
      <c r="K2153" s="13" t="n">
        <v>18000</v>
      </c>
      <c r="L2153" s="6" t="n">
        <f aca="false">H2153*K2153</f>
        <v>18000</v>
      </c>
      <c r="M2153" s="14" t="s">
        <v>410</v>
      </c>
    </row>
    <row r="2154" customFormat="false" ht="15" hidden="false" customHeight="false" outlineLevel="0" collapsed="false">
      <c r="A2154" s="4" t="s">
        <v>13</v>
      </c>
      <c r="B2154" s="5" t="s">
        <v>42</v>
      </c>
      <c r="C2154" s="5" t="s">
        <v>43</v>
      </c>
      <c r="D2154" s="4" t="s">
        <v>16</v>
      </c>
      <c r="E2154" s="4" t="s">
        <v>3180</v>
      </c>
      <c r="F2154" s="4" t="s">
        <v>406</v>
      </c>
      <c r="G2154" s="4" t="s">
        <v>3181</v>
      </c>
      <c r="H2154" s="12" t="n">
        <v>1</v>
      </c>
      <c r="I2154" s="4" t="s">
        <v>408</v>
      </c>
      <c r="J2154" s="4" t="s">
        <v>409</v>
      </c>
      <c r="K2154" s="13" t="n">
        <v>1200</v>
      </c>
      <c r="L2154" s="6" t="n">
        <f aca="false">H2154*K2154</f>
        <v>1200</v>
      </c>
      <c r="M2154" s="14" t="s">
        <v>410</v>
      </c>
    </row>
    <row r="2155" customFormat="false" ht="15" hidden="false" customHeight="false" outlineLevel="0" collapsed="false">
      <c r="A2155" s="4" t="s">
        <v>13</v>
      </c>
      <c r="B2155" s="5" t="s">
        <v>42</v>
      </c>
      <c r="C2155" s="5" t="s">
        <v>43</v>
      </c>
      <c r="D2155" s="4" t="s">
        <v>16</v>
      </c>
      <c r="E2155" s="4" t="s">
        <v>3182</v>
      </c>
      <c r="F2155" s="4" t="s">
        <v>406</v>
      </c>
      <c r="G2155" s="4" t="s">
        <v>3183</v>
      </c>
      <c r="H2155" s="12" t="n">
        <v>1</v>
      </c>
      <c r="I2155" s="4" t="s">
        <v>408</v>
      </c>
      <c r="J2155" s="4" t="s">
        <v>409</v>
      </c>
      <c r="K2155" s="13" t="n">
        <v>2500</v>
      </c>
      <c r="L2155" s="6" t="n">
        <f aca="false">H2155*K2155</f>
        <v>2500</v>
      </c>
      <c r="M2155" s="14" t="s">
        <v>410</v>
      </c>
    </row>
    <row r="2156" customFormat="false" ht="15" hidden="false" customHeight="false" outlineLevel="0" collapsed="false">
      <c r="A2156" s="4" t="s">
        <v>13</v>
      </c>
      <c r="B2156" s="5" t="s">
        <v>42</v>
      </c>
      <c r="C2156" s="5" t="s">
        <v>43</v>
      </c>
      <c r="D2156" s="4" t="s">
        <v>16</v>
      </c>
      <c r="E2156" s="4" t="s">
        <v>3075</v>
      </c>
      <c r="F2156" s="4" t="s">
        <v>406</v>
      </c>
      <c r="G2156" s="4" t="s">
        <v>3076</v>
      </c>
      <c r="H2156" s="12" t="n">
        <v>1</v>
      </c>
      <c r="I2156" s="4" t="s">
        <v>408</v>
      </c>
      <c r="J2156" s="4" t="s">
        <v>409</v>
      </c>
      <c r="K2156" s="13" t="n">
        <v>1800</v>
      </c>
      <c r="L2156" s="6" t="n">
        <f aca="false">H2156*K2156</f>
        <v>1800</v>
      </c>
      <c r="M2156" s="14" t="s">
        <v>410</v>
      </c>
    </row>
    <row r="2157" customFormat="false" ht="15" hidden="false" customHeight="false" outlineLevel="0" collapsed="false">
      <c r="A2157" s="4" t="s">
        <v>13</v>
      </c>
      <c r="B2157" s="5" t="s">
        <v>42</v>
      </c>
      <c r="C2157" s="5" t="s">
        <v>43</v>
      </c>
      <c r="D2157" s="4" t="s">
        <v>16</v>
      </c>
      <c r="E2157" s="4" t="s">
        <v>3077</v>
      </c>
      <c r="F2157" s="4" t="s">
        <v>406</v>
      </c>
      <c r="G2157" s="4" t="s">
        <v>3078</v>
      </c>
      <c r="H2157" s="12" t="n">
        <v>1</v>
      </c>
      <c r="I2157" s="4" t="s">
        <v>408</v>
      </c>
      <c r="J2157" s="4" t="s">
        <v>409</v>
      </c>
      <c r="K2157" s="13" t="n">
        <v>120</v>
      </c>
      <c r="L2157" s="6" t="n">
        <f aca="false">H2157*K2157</f>
        <v>120</v>
      </c>
      <c r="M2157" s="14" t="s">
        <v>410</v>
      </c>
    </row>
    <row r="2158" customFormat="false" ht="15" hidden="false" customHeight="false" outlineLevel="0" collapsed="false">
      <c r="A2158" s="4" t="s">
        <v>13</v>
      </c>
      <c r="B2158" s="5" t="s">
        <v>42</v>
      </c>
      <c r="C2158" s="5" t="s">
        <v>43</v>
      </c>
      <c r="D2158" s="4" t="s">
        <v>16</v>
      </c>
      <c r="E2158" s="4" t="s">
        <v>467</v>
      </c>
      <c r="F2158" s="4" t="s">
        <v>406</v>
      </c>
      <c r="G2158" s="4" t="s">
        <v>468</v>
      </c>
      <c r="H2158" s="12" t="n">
        <v>1</v>
      </c>
      <c r="I2158" s="4" t="s">
        <v>408</v>
      </c>
      <c r="J2158" s="4" t="s">
        <v>409</v>
      </c>
      <c r="K2158" s="13" t="n">
        <v>250</v>
      </c>
      <c r="L2158" s="6" t="n">
        <f aca="false">H2158*K2158</f>
        <v>250</v>
      </c>
      <c r="M2158" s="14" t="s">
        <v>410</v>
      </c>
    </row>
    <row r="2159" customFormat="false" ht="15" hidden="false" customHeight="false" outlineLevel="0" collapsed="false">
      <c r="A2159" s="4" t="s">
        <v>13</v>
      </c>
      <c r="B2159" s="5" t="s">
        <v>42</v>
      </c>
      <c r="C2159" s="5" t="s">
        <v>43</v>
      </c>
      <c r="D2159" s="4" t="s">
        <v>16</v>
      </c>
      <c r="E2159" s="4" t="s">
        <v>3140</v>
      </c>
      <c r="F2159" s="4" t="s">
        <v>406</v>
      </c>
      <c r="G2159" s="4" t="s">
        <v>3141</v>
      </c>
      <c r="H2159" s="12" t="n">
        <v>1</v>
      </c>
      <c r="I2159" s="4" t="s">
        <v>408</v>
      </c>
      <c r="J2159" s="4" t="s">
        <v>409</v>
      </c>
      <c r="K2159" s="13" t="n">
        <v>1800</v>
      </c>
      <c r="L2159" s="6" t="n">
        <f aca="false">H2159*K2159</f>
        <v>1800</v>
      </c>
      <c r="M2159" s="14" t="s">
        <v>410</v>
      </c>
    </row>
    <row r="2160" customFormat="false" ht="15" hidden="false" customHeight="false" outlineLevel="0" collapsed="false">
      <c r="A2160" s="4" t="s">
        <v>13</v>
      </c>
      <c r="B2160" s="5" t="s">
        <v>42</v>
      </c>
      <c r="C2160" s="5" t="s">
        <v>43</v>
      </c>
      <c r="D2160" s="4" t="s">
        <v>16</v>
      </c>
      <c r="E2160" s="4" t="s">
        <v>3142</v>
      </c>
      <c r="F2160" s="4" t="s">
        <v>406</v>
      </c>
      <c r="G2160" s="4" t="s">
        <v>3143</v>
      </c>
      <c r="H2160" s="12" t="n">
        <v>1</v>
      </c>
      <c r="I2160" s="4" t="s">
        <v>408</v>
      </c>
      <c r="J2160" s="4" t="s">
        <v>543</v>
      </c>
      <c r="K2160" s="13" t="n">
        <v>12000</v>
      </c>
      <c r="L2160" s="6" t="n">
        <f aca="false">H2160*K2160</f>
        <v>12000</v>
      </c>
      <c r="M2160" s="14" t="s">
        <v>410</v>
      </c>
    </row>
    <row r="2161" customFormat="false" ht="15" hidden="false" customHeight="false" outlineLevel="0" collapsed="false">
      <c r="A2161" s="4" t="s">
        <v>13</v>
      </c>
      <c r="B2161" s="5" t="s">
        <v>42</v>
      </c>
      <c r="C2161" s="5" t="s">
        <v>43</v>
      </c>
      <c r="D2161" s="4" t="s">
        <v>16</v>
      </c>
      <c r="E2161" s="4" t="s">
        <v>2994</v>
      </c>
      <c r="F2161" s="4" t="s">
        <v>406</v>
      </c>
      <c r="G2161" s="4" t="s">
        <v>2995</v>
      </c>
      <c r="H2161" s="12" t="n">
        <v>1</v>
      </c>
      <c r="I2161" s="4" t="s">
        <v>408</v>
      </c>
      <c r="J2161" s="4" t="s">
        <v>409</v>
      </c>
      <c r="K2161" s="13" t="n">
        <v>4500</v>
      </c>
      <c r="L2161" s="6" t="n">
        <f aca="false">H2161*K2161</f>
        <v>4500</v>
      </c>
      <c r="M2161" s="14" t="s">
        <v>410</v>
      </c>
    </row>
    <row r="2162" customFormat="false" ht="15" hidden="false" customHeight="false" outlineLevel="0" collapsed="false">
      <c r="A2162" s="4" t="s">
        <v>13</v>
      </c>
      <c r="B2162" s="5" t="s">
        <v>42</v>
      </c>
      <c r="C2162" s="5" t="s">
        <v>43</v>
      </c>
      <c r="D2162" s="4" t="s">
        <v>16</v>
      </c>
      <c r="E2162" s="4" t="s">
        <v>3144</v>
      </c>
      <c r="F2162" s="4" t="s">
        <v>406</v>
      </c>
      <c r="G2162" s="4" t="s">
        <v>3145</v>
      </c>
      <c r="H2162" s="12" t="n">
        <v>1</v>
      </c>
      <c r="I2162" s="4" t="s">
        <v>408</v>
      </c>
      <c r="J2162" s="4" t="s">
        <v>409</v>
      </c>
      <c r="K2162" s="13" t="n">
        <v>18000</v>
      </c>
      <c r="L2162" s="6" t="n">
        <f aca="false">H2162*K2162</f>
        <v>18000</v>
      </c>
      <c r="M2162" s="14" t="s">
        <v>410</v>
      </c>
    </row>
    <row r="2163" customFormat="false" ht="15" hidden="false" customHeight="false" outlineLevel="0" collapsed="false">
      <c r="A2163" s="4" t="s">
        <v>13</v>
      </c>
      <c r="B2163" s="5" t="s">
        <v>42</v>
      </c>
      <c r="C2163" s="5" t="s">
        <v>43</v>
      </c>
      <c r="D2163" s="4" t="s">
        <v>16</v>
      </c>
      <c r="E2163" s="4" t="s">
        <v>3126</v>
      </c>
      <c r="F2163" s="4" t="s">
        <v>406</v>
      </c>
      <c r="G2163" s="4" t="s">
        <v>3127</v>
      </c>
      <c r="H2163" s="12" t="n">
        <v>1</v>
      </c>
      <c r="I2163" s="4" t="s">
        <v>408</v>
      </c>
      <c r="J2163" s="4" t="s">
        <v>416</v>
      </c>
      <c r="K2163" s="13" t="n">
        <v>18000</v>
      </c>
      <c r="L2163" s="6" t="n">
        <f aca="false">H2163*K2163</f>
        <v>18000</v>
      </c>
      <c r="M2163" s="14" t="s">
        <v>410</v>
      </c>
    </row>
    <row r="2164" customFormat="false" ht="15" hidden="false" customHeight="false" outlineLevel="0" collapsed="false">
      <c r="A2164" s="4" t="s">
        <v>13</v>
      </c>
      <c r="B2164" s="5" t="s">
        <v>42</v>
      </c>
      <c r="C2164" s="5" t="s">
        <v>43</v>
      </c>
      <c r="D2164" s="4" t="s">
        <v>16</v>
      </c>
      <c r="E2164" s="4" t="s">
        <v>3128</v>
      </c>
      <c r="F2164" s="4" t="s">
        <v>406</v>
      </c>
      <c r="G2164" s="4" t="s">
        <v>3129</v>
      </c>
      <c r="H2164" s="12" t="n">
        <v>1</v>
      </c>
      <c r="I2164" s="4" t="s">
        <v>408</v>
      </c>
      <c r="J2164" s="4" t="s">
        <v>543</v>
      </c>
      <c r="K2164" s="13" t="n">
        <v>25000</v>
      </c>
      <c r="L2164" s="6" t="n">
        <f aca="false">H2164*K2164</f>
        <v>25000</v>
      </c>
      <c r="M2164" s="14" t="s">
        <v>410</v>
      </c>
    </row>
    <row r="2165" customFormat="false" ht="15" hidden="false" customHeight="false" outlineLevel="0" collapsed="false">
      <c r="A2165" s="4" t="s">
        <v>13</v>
      </c>
      <c r="B2165" s="5" t="s">
        <v>42</v>
      </c>
      <c r="C2165" s="5" t="s">
        <v>43</v>
      </c>
      <c r="D2165" s="4" t="s">
        <v>16</v>
      </c>
      <c r="E2165" s="4" t="s">
        <v>3130</v>
      </c>
      <c r="F2165" s="4" t="s">
        <v>406</v>
      </c>
      <c r="G2165" s="4" t="s">
        <v>3131</v>
      </c>
      <c r="H2165" s="12" t="n">
        <v>1</v>
      </c>
      <c r="I2165" s="4" t="s">
        <v>408</v>
      </c>
      <c r="J2165" s="4" t="s">
        <v>416</v>
      </c>
      <c r="K2165" s="13" t="n">
        <v>18000</v>
      </c>
      <c r="L2165" s="6" t="n">
        <f aca="false">H2165*K2165</f>
        <v>18000</v>
      </c>
      <c r="M2165" s="14" t="s">
        <v>410</v>
      </c>
    </row>
    <row r="2166" customFormat="false" ht="15" hidden="false" customHeight="false" outlineLevel="0" collapsed="false">
      <c r="A2166" s="4" t="s">
        <v>13</v>
      </c>
      <c r="B2166" s="5" t="s">
        <v>42</v>
      </c>
      <c r="C2166" s="5" t="s">
        <v>43</v>
      </c>
      <c r="D2166" s="4" t="s">
        <v>16</v>
      </c>
      <c r="E2166" s="4" t="s">
        <v>3184</v>
      </c>
      <c r="F2166" s="4" t="s">
        <v>406</v>
      </c>
      <c r="G2166" s="4" t="s">
        <v>3185</v>
      </c>
      <c r="H2166" s="12" t="n">
        <v>1</v>
      </c>
      <c r="I2166" s="4" t="s">
        <v>408</v>
      </c>
      <c r="J2166" s="4" t="s">
        <v>416</v>
      </c>
      <c r="K2166" s="13" t="n">
        <v>18000</v>
      </c>
      <c r="L2166" s="6" t="n">
        <f aca="false">H2166*K2166</f>
        <v>18000</v>
      </c>
      <c r="M2166" s="14" t="s">
        <v>410</v>
      </c>
    </row>
    <row r="2167" customFormat="false" ht="15" hidden="false" customHeight="false" outlineLevel="0" collapsed="false">
      <c r="A2167" s="4" t="s">
        <v>13</v>
      </c>
      <c r="B2167" s="5" t="s">
        <v>42</v>
      </c>
      <c r="C2167" s="5" t="s">
        <v>43</v>
      </c>
      <c r="D2167" s="4" t="s">
        <v>16</v>
      </c>
      <c r="E2167" s="4" t="s">
        <v>3134</v>
      </c>
      <c r="F2167" s="4" t="s">
        <v>406</v>
      </c>
      <c r="G2167" s="4" t="s">
        <v>3135</v>
      </c>
      <c r="H2167" s="12" t="n">
        <v>1</v>
      </c>
      <c r="I2167" s="4" t="s">
        <v>408</v>
      </c>
      <c r="J2167" s="4" t="s">
        <v>409</v>
      </c>
      <c r="K2167" s="13" t="n">
        <v>3500</v>
      </c>
      <c r="L2167" s="6" t="n">
        <f aca="false">H2167*K2167</f>
        <v>3500</v>
      </c>
      <c r="M2167" s="14" t="s">
        <v>410</v>
      </c>
    </row>
    <row r="2168" customFormat="false" ht="15" hidden="false" customHeight="false" outlineLevel="0" collapsed="false">
      <c r="A2168" s="4" t="s">
        <v>13</v>
      </c>
      <c r="B2168" s="5" t="s">
        <v>42</v>
      </c>
      <c r="C2168" s="5" t="s">
        <v>43</v>
      </c>
      <c r="D2168" s="4" t="s">
        <v>16</v>
      </c>
      <c r="E2168" s="4" t="s">
        <v>3136</v>
      </c>
      <c r="F2168" s="4" t="s">
        <v>406</v>
      </c>
      <c r="G2168" s="4" t="s">
        <v>3137</v>
      </c>
      <c r="H2168" s="12" t="n">
        <v>1</v>
      </c>
      <c r="I2168" s="4" t="s">
        <v>408</v>
      </c>
      <c r="J2168" s="4" t="s">
        <v>409</v>
      </c>
      <c r="K2168" s="13" t="n">
        <v>250</v>
      </c>
      <c r="L2168" s="6" t="n">
        <f aca="false">H2168*K2168</f>
        <v>250</v>
      </c>
      <c r="M2168" s="14" t="s">
        <v>410</v>
      </c>
    </row>
    <row r="2169" customFormat="false" ht="15" hidden="false" customHeight="false" outlineLevel="0" collapsed="false">
      <c r="A2169" s="4" t="s">
        <v>13</v>
      </c>
      <c r="B2169" s="5" t="s">
        <v>42</v>
      </c>
      <c r="C2169" s="5" t="s">
        <v>43</v>
      </c>
      <c r="D2169" s="4" t="s">
        <v>16</v>
      </c>
      <c r="E2169" s="4" t="s">
        <v>3138</v>
      </c>
      <c r="F2169" s="4" t="s">
        <v>406</v>
      </c>
      <c r="G2169" s="4" t="s">
        <v>3139</v>
      </c>
      <c r="H2169" s="12" t="n">
        <v>1</v>
      </c>
      <c r="I2169" s="4" t="s">
        <v>408</v>
      </c>
      <c r="J2169" s="4" t="s">
        <v>409</v>
      </c>
      <c r="K2169" s="13" t="n">
        <v>180000</v>
      </c>
      <c r="L2169" s="6" t="n">
        <f aca="false">H2169*K2169</f>
        <v>180000</v>
      </c>
      <c r="M2169" s="14" t="s">
        <v>410</v>
      </c>
    </row>
    <row r="2170" customFormat="false" ht="15" hidden="false" customHeight="false" outlineLevel="0" collapsed="false">
      <c r="A2170" s="4" t="s">
        <v>13</v>
      </c>
      <c r="B2170" s="5" t="s">
        <v>42</v>
      </c>
      <c r="C2170" s="5" t="s">
        <v>43</v>
      </c>
      <c r="D2170" s="4" t="s">
        <v>16</v>
      </c>
      <c r="E2170" s="4" t="s">
        <v>2996</v>
      </c>
      <c r="F2170" s="4" t="s">
        <v>406</v>
      </c>
      <c r="G2170" s="4" t="s">
        <v>2997</v>
      </c>
      <c r="H2170" s="12" t="n">
        <v>1</v>
      </c>
      <c r="I2170" s="4" t="s">
        <v>408</v>
      </c>
      <c r="J2170" s="4" t="s">
        <v>409</v>
      </c>
      <c r="K2170" s="13" t="n">
        <v>850</v>
      </c>
      <c r="L2170" s="6" t="n">
        <f aca="false">H2170*K2170</f>
        <v>850</v>
      </c>
      <c r="M2170" s="14" t="s">
        <v>410</v>
      </c>
    </row>
    <row r="2171" customFormat="false" ht="15" hidden="false" customHeight="false" outlineLevel="0" collapsed="false">
      <c r="A2171" s="4" t="s">
        <v>13</v>
      </c>
      <c r="B2171" s="5" t="s">
        <v>42</v>
      </c>
      <c r="C2171" s="5" t="s">
        <v>43</v>
      </c>
      <c r="D2171" s="4" t="s">
        <v>16</v>
      </c>
      <c r="E2171" s="4" t="s">
        <v>3186</v>
      </c>
      <c r="F2171" s="4" t="s">
        <v>406</v>
      </c>
      <c r="G2171" s="4" t="s">
        <v>3187</v>
      </c>
      <c r="H2171" s="12" t="n">
        <v>1</v>
      </c>
      <c r="I2171" s="4" t="s">
        <v>408</v>
      </c>
      <c r="J2171" s="4" t="s">
        <v>416</v>
      </c>
      <c r="K2171" s="13" t="n">
        <v>85000</v>
      </c>
      <c r="L2171" s="6" t="n">
        <f aca="false">H2171*K2171</f>
        <v>85000</v>
      </c>
      <c r="M2171" s="14" t="s">
        <v>410</v>
      </c>
    </row>
    <row r="2172" customFormat="false" ht="15" hidden="false" customHeight="false" outlineLevel="0" collapsed="false">
      <c r="A2172" s="4" t="s">
        <v>13</v>
      </c>
      <c r="B2172" s="5" t="s">
        <v>42</v>
      </c>
      <c r="C2172" s="5" t="s">
        <v>43</v>
      </c>
      <c r="D2172" s="4" t="s">
        <v>16</v>
      </c>
      <c r="E2172" s="4" t="s">
        <v>3148</v>
      </c>
      <c r="F2172" s="4" t="s">
        <v>470</v>
      </c>
      <c r="G2172" s="4" t="s">
        <v>3149</v>
      </c>
      <c r="H2172" s="12" t="n">
        <v>1</v>
      </c>
      <c r="I2172" s="4" t="s">
        <v>408</v>
      </c>
      <c r="J2172" s="4" t="s">
        <v>409</v>
      </c>
      <c r="K2172" s="13" t="n">
        <v>12000</v>
      </c>
      <c r="L2172" s="6" t="n">
        <f aca="false">H2172*K2172</f>
        <v>12000</v>
      </c>
      <c r="M2172" s="4" t="s">
        <v>371</v>
      </c>
    </row>
    <row r="2173" customFormat="false" ht="15" hidden="false" customHeight="false" outlineLevel="0" collapsed="false">
      <c r="A2173" s="4" t="s">
        <v>13</v>
      </c>
      <c r="B2173" s="5" t="s">
        <v>42</v>
      </c>
      <c r="C2173" s="5" t="s">
        <v>43</v>
      </c>
      <c r="D2173" s="4" t="s">
        <v>16</v>
      </c>
      <c r="E2173" s="4" t="s">
        <v>3188</v>
      </c>
      <c r="F2173" s="4" t="s">
        <v>488</v>
      </c>
      <c r="G2173" s="4" t="s">
        <v>3189</v>
      </c>
      <c r="H2173" s="12" t="n">
        <v>1</v>
      </c>
      <c r="I2173" s="4" t="s">
        <v>408</v>
      </c>
      <c r="J2173" s="4" t="s">
        <v>490</v>
      </c>
      <c r="K2173" s="13" t="n">
        <v>180</v>
      </c>
      <c r="L2173" s="6" t="n">
        <f aca="false">H2173*K2173</f>
        <v>180</v>
      </c>
      <c r="M2173" s="4" t="s">
        <v>371</v>
      </c>
    </row>
    <row r="2174" customFormat="false" ht="15" hidden="false" customHeight="false" outlineLevel="0" collapsed="false">
      <c r="A2174" s="4" t="s">
        <v>13</v>
      </c>
      <c r="B2174" s="5" t="s">
        <v>42</v>
      </c>
      <c r="C2174" s="5" t="s">
        <v>43</v>
      </c>
      <c r="D2174" s="4" t="s">
        <v>16</v>
      </c>
      <c r="E2174" s="4" t="s">
        <v>3190</v>
      </c>
      <c r="F2174" s="4" t="s">
        <v>488</v>
      </c>
      <c r="G2174" s="4" t="s">
        <v>3191</v>
      </c>
      <c r="H2174" s="12" t="n">
        <v>1</v>
      </c>
      <c r="I2174" s="4" t="s">
        <v>408</v>
      </c>
      <c r="J2174" s="4" t="s">
        <v>3192</v>
      </c>
      <c r="K2174" s="13" t="n">
        <v>450</v>
      </c>
      <c r="L2174" s="6" t="n">
        <f aca="false">H2174*K2174</f>
        <v>450</v>
      </c>
      <c r="M2174" s="4" t="s">
        <v>371</v>
      </c>
    </row>
    <row r="2175" customFormat="false" ht="15" hidden="false" customHeight="false" outlineLevel="0" collapsed="false">
      <c r="A2175" s="4" t="s">
        <v>13</v>
      </c>
      <c r="B2175" s="5" t="s">
        <v>42</v>
      </c>
      <c r="C2175" s="5" t="s">
        <v>43</v>
      </c>
      <c r="D2175" s="4" t="s">
        <v>16</v>
      </c>
      <c r="E2175" s="4" t="s">
        <v>3108</v>
      </c>
      <c r="F2175" s="4" t="s">
        <v>488</v>
      </c>
      <c r="G2175" s="4" t="s">
        <v>3109</v>
      </c>
      <c r="H2175" s="12" t="n">
        <v>1</v>
      </c>
      <c r="I2175" s="4" t="s">
        <v>408</v>
      </c>
      <c r="J2175" s="4" t="s">
        <v>490</v>
      </c>
      <c r="K2175" s="13" t="n">
        <v>250</v>
      </c>
      <c r="L2175" s="6" t="n">
        <f aca="false">H2175*K2175</f>
        <v>250</v>
      </c>
      <c r="M2175" s="4" t="s">
        <v>371</v>
      </c>
    </row>
    <row r="2176" customFormat="false" ht="15" hidden="false" customHeight="false" outlineLevel="0" collapsed="false">
      <c r="A2176" s="4" t="s">
        <v>13</v>
      </c>
      <c r="B2176" s="5" t="s">
        <v>42</v>
      </c>
      <c r="C2176" s="5" t="s">
        <v>43</v>
      </c>
      <c r="D2176" s="4" t="s">
        <v>16</v>
      </c>
      <c r="E2176" s="4" t="s">
        <v>3112</v>
      </c>
      <c r="F2176" s="4" t="s">
        <v>488</v>
      </c>
      <c r="G2176" s="4" t="s">
        <v>3113</v>
      </c>
      <c r="H2176" s="12" t="n">
        <v>1</v>
      </c>
      <c r="I2176" s="4" t="s">
        <v>408</v>
      </c>
      <c r="J2176" s="4" t="s">
        <v>432</v>
      </c>
      <c r="K2176" s="13" t="n">
        <v>80</v>
      </c>
      <c r="L2176" s="6" t="n">
        <f aca="false">H2176*K2176</f>
        <v>80</v>
      </c>
      <c r="M2176" s="4" t="s">
        <v>371</v>
      </c>
    </row>
    <row r="2177" customFormat="false" ht="15" hidden="false" customHeight="false" outlineLevel="0" collapsed="false">
      <c r="A2177" s="4" t="s">
        <v>13</v>
      </c>
      <c r="B2177" s="5" t="s">
        <v>42</v>
      </c>
      <c r="C2177" s="5" t="s">
        <v>43</v>
      </c>
      <c r="D2177" s="4" t="s">
        <v>16</v>
      </c>
      <c r="E2177" s="4" t="s">
        <v>3114</v>
      </c>
      <c r="F2177" s="4" t="s">
        <v>488</v>
      </c>
      <c r="G2177" s="4" t="s">
        <v>3115</v>
      </c>
      <c r="H2177" s="12" t="n">
        <v>1</v>
      </c>
      <c r="I2177" s="4" t="s">
        <v>408</v>
      </c>
      <c r="J2177" s="4" t="s">
        <v>490</v>
      </c>
      <c r="K2177" s="13" t="n">
        <v>450</v>
      </c>
      <c r="L2177" s="6" t="n">
        <f aca="false">H2177*K2177</f>
        <v>450</v>
      </c>
      <c r="M2177" s="4" t="s">
        <v>371</v>
      </c>
    </row>
    <row r="2178" customFormat="false" ht="15" hidden="false" customHeight="false" outlineLevel="0" collapsed="false">
      <c r="A2178" s="4" t="s">
        <v>13</v>
      </c>
      <c r="B2178" s="5" t="s">
        <v>42</v>
      </c>
      <c r="C2178" s="5" t="s">
        <v>43</v>
      </c>
      <c r="D2178" s="4" t="s">
        <v>16</v>
      </c>
      <c r="E2178" s="4" t="s">
        <v>3193</v>
      </c>
      <c r="F2178" s="4" t="s">
        <v>488</v>
      </c>
      <c r="G2178" s="4" t="s">
        <v>3194</v>
      </c>
      <c r="H2178" s="12" t="n">
        <v>1</v>
      </c>
      <c r="I2178" s="4" t="s">
        <v>408</v>
      </c>
      <c r="J2178" s="4" t="s">
        <v>432</v>
      </c>
      <c r="K2178" s="13" t="n">
        <v>450</v>
      </c>
      <c r="L2178" s="6" t="n">
        <f aca="false">H2178*K2178</f>
        <v>450</v>
      </c>
      <c r="M2178" s="4" t="s">
        <v>371</v>
      </c>
    </row>
    <row r="2179" customFormat="false" ht="15" hidden="false" customHeight="false" outlineLevel="0" collapsed="false">
      <c r="A2179" s="4" t="s">
        <v>13</v>
      </c>
      <c r="B2179" s="5" t="s">
        <v>42</v>
      </c>
      <c r="C2179" s="5" t="s">
        <v>43</v>
      </c>
      <c r="D2179" s="4" t="s">
        <v>16</v>
      </c>
      <c r="E2179" s="4" t="s">
        <v>3195</v>
      </c>
      <c r="F2179" s="4" t="s">
        <v>488</v>
      </c>
      <c r="G2179" s="4" t="s">
        <v>3153</v>
      </c>
      <c r="H2179" s="12" t="n">
        <v>1</v>
      </c>
      <c r="I2179" s="4" t="s">
        <v>408</v>
      </c>
      <c r="J2179" s="4" t="s">
        <v>503</v>
      </c>
      <c r="K2179" s="13" t="n">
        <v>350</v>
      </c>
      <c r="L2179" s="6" t="n">
        <f aca="false">H2179*K2179</f>
        <v>350</v>
      </c>
      <c r="M2179" s="4" t="s">
        <v>371</v>
      </c>
    </row>
    <row r="2180" customFormat="false" ht="15" hidden="false" customHeight="false" outlineLevel="0" collapsed="false">
      <c r="A2180" s="4" t="s">
        <v>13</v>
      </c>
      <c r="B2180" s="5" t="s">
        <v>44</v>
      </c>
      <c r="C2180" s="5" t="s">
        <v>45</v>
      </c>
      <c r="D2180" s="4" t="s">
        <v>16</v>
      </c>
      <c r="E2180" s="4" t="s">
        <v>2515</v>
      </c>
      <c r="F2180" s="4" t="s">
        <v>406</v>
      </c>
      <c r="G2180" s="4" t="s">
        <v>2516</v>
      </c>
      <c r="H2180" s="12" t="n">
        <v>1</v>
      </c>
      <c r="I2180" s="4" t="s">
        <v>408</v>
      </c>
      <c r="J2180" s="4" t="s">
        <v>409</v>
      </c>
      <c r="K2180" s="13" t="n">
        <v>1800</v>
      </c>
      <c r="L2180" s="6" t="n">
        <f aca="false">H2180*K2180</f>
        <v>1800</v>
      </c>
      <c r="M2180" s="14" t="s">
        <v>410</v>
      </c>
    </row>
    <row r="2181" customFormat="false" ht="15" hidden="false" customHeight="false" outlineLevel="0" collapsed="false">
      <c r="A2181" s="4" t="s">
        <v>13</v>
      </c>
      <c r="B2181" s="5" t="s">
        <v>44</v>
      </c>
      <c r="C2181" s="5" t="s">
        <v>45</v>
      </c>
      <c r="D2181" s="4" t="s">
        <v>16</v>
      </c>
      <c r="E2181" s="4" t="s">
        <v>1668</v>
      </c>
      <c r="F2181" s="4" t="s">
        <v>406</v>
      </c>
      <c r="G2181" s="4" t="s">
        <v>1669</v>
      </c>
      <c r="H2181" s="12" t="n">
        <v>1</v>
      </c>
      <c r="I2181" s="4" t="s">
        <v>408</v>
      </c>
      <c r="J2181" s="4" t="s">
        <v>416</v>
      </c>
      <c r="K2181" s="13" t="n">
        <v>1200</v>
      </c>
      <c r="L2181" s="6" t="n">
        <f aca="false">H2181*K2181</f>
        <v>1200</v>
      </c>
      <c r="M2181" s="14" t="s">
        <v>410</v>
      </c>
    </row>
    <row r="2182" customFormat="false" ht="15" hidden="false" customHeight="false" outlineLevel="0" collapsed="false">
      <c r="A2182" s="4" t="s">
        <v>13</v>
      </c>
      <c r="B2182" s="5" t="s">
        <v>44</v>
      </c>
      <c r="C2182" s="5" t="s">
        <v>45</v>
      </c>
      <c r="D2182" s="4" t="s">
        <v>16</v>
      </c>
      <c r="E2182" s="4" t="s">
        <v>3196</v>
      </c>
      <c r="F2182" s="4" t="s">
        <v>406</v>
      </c>
      <c r="G2182" s="4" t="s">
        <v>3197</v>
      </c>
      <c r="H2182" s="12" t="n">
        <v>1</v>
      </c>
      <c r="I2182" s="4" t="s">
        <v>408</v>
      </c>
      <c r="J2182" s="4" t="s">
        <v>409</v>
      </c>
      <c r="K2182" s="13" t="n">
        <v>850</v>
      </c>
      <c r="L2182" s="6" t="n">
        <f aca="false">H2182*K2182</f>
        <v>850</v>
      </c>
      <c r="M2182" s="14" t="s">
        <v>410</v>
      </c>
    </row>
    <row r="2183" customFormat="false" ht="15" hidden="false" customHeight="false" outlineLevel="0" collapsed="false">
      <c r="A2183" s="4" t="s">
        <v>13</v>
      </c>
      <c r="B2183" s="5" t="s">
        <v>44</v>
      </c>
      <c r="C2183" s="5" t="s">
        <v>45</v>
      </c>
      <c r="D2183" s="4" t="s">
        <v>16</v>
      </c>
      <c r="E2183" s="4" t="s">
        <v>3198</v>
      </c>
      <c r="F2183" s="4" t="s">
        <v>406</v>
      </c>
      <c r="G2183" s="4" t="s">
        <v>3199</v>
      </c>
      <c r="H2183" s="12" t="n">
        <v>1</v>
      </c>
      <c r="I2183" s="4" t="s">
        <v>408</v>
      </c>
      <c r="J2183" s="4" t="s">
        <v>416</v>
      </c>
      <c r="K2183" s="13" t="n">
        <v>850</v>
      </c>
      <c r="L2183" s="6" t="n">
        <f aca="false">H2183*K2183</f>
        <v>850</v>
      </c>
      <c r="M2183" s="14" t="s">
        <v>410</v>
      </c>
    </row>
    <row r="2184" customFormat="false" ht="15" hidden="false" customHeight="false" outlineLevel="0" collapsed="false">
      <c r="A2184" s="4" t="s">
        <v>13</v>
      </c>
      <c r="B2184" s="5" t="s">
        <v>44</v>
      </c>
      <c r="C2184" s="5" t="s">
        <v>45</v>
      </c>
      <c r="D2184" s="4" t="s">
        <v>16</v>
      </c>
      <c r="E2184" s="4" t="s">
        <v>3200</v>
      </c>
      <c r="F2184" s="4" t="s">
        <v>406</v>
      </c>
      <c r="G2184" s="4" t="s">
        <v>3201</v>
      </c>
      <c r="H2184" s="12" t="n">
        <v>1</v>
      </c>
      <c r="I2184" s="4" t="s">
        <v>408</v>
      </c>
      <c r="J2184" s="4" t="s">
        <v>416</v>
      </c>
      <c r="K2184" s="13" t="n">
        <v>350</v>
      </c>
      <c r="L2184" s="6" t="n">
        <f aca="false">H2184*K2184</f>
        <v>350</v>
      </c>
      <c r="M2184" s="14" t="s">
        <v>410</v>
      </c>
    </row>
    <row r="2185" customFormat="false" ht="15" hidden="false" customHeight="false" outlineLevel="0" collapsed="false">
      <c r="A2185" s="4" t="s">
        <v>13</v>
      </c>
      <c r="B2185" s="5" t="s">
        <v>44</v>
      </c>
      <c r="C2185" s="5" t="s">
        <v>45</v>
      </c>
      <c r="D2185" s="4" t="s">
        <v>16</v>
      </c>
      <c r="E2185" s="4" t="s">
        <v>3202</v>
      </c>
      <c r="F2185" s="4" t="s">
        <v>406</v>
      </c>
      <c r="G2185" s="4" t="s">
        <v>3203</v>
      </c>
      <c r="H2185" s="12" t="n">
        <v>1</v>
      </c>
      <c r="I2185" s="4" t="s">
        <v>408</v>
      </c>
      <c r="J2185" s="4" t="s">
        <v>416</v>
      </c>
      <c r="K2185" s="13" t="n">
        <v>350</v>
      </c>
      <c r="L2185" s="6" t="n">
        <f aca="false">H2185*K2185</f>
        <v>350</v>
      </c>
      <c r="M2185" s="14" t="s">
        <v>410</v>
      </c>
    </row>
    <row r="2186" customFormat="false" ht="15" hidden="false" customHeight="false" outlineLevel="0" collapsed="false">
      <c r="A2186" s="4" t="s">
        <v>13</v>
      </c>
      <c r="B2186" s="5" t="s">
        <v>44</v>
      </c>
      <c r="C2186" s="5" t="s">
        <v>45</v>
      </c>
      <c r="D2186" s="4" t="s">
        <v>16</v>
      </c>
      <c r="E2186" s="4" t="s">
        <v>3204</v>
      </c>
      <c r="F2186" s="4" t="s">
        <v>406</v>
      </c>
      <c r="G2186" s="4" t="s">
        <v>3205</v>
      </c>
      <c r="H2186" s="12" t="n">
        <v>1</v>
      </c>
      <c r="I2186" s="4" t="s">
        <v>408</v>
      </c>
      <c r="J2186" s="4" t="s">
        <v>409</v>
      </c>
      <c r="K2186" s="13" t="n">
        <v>450</v>
      </c>
      <c r="L2186" s="6" t="n">
        <f aca="false">H2186*K2186</f>
        <v>450</v>
      </c>
      <c r="M2186" s="14" t="s">
        <v>410</v>
      </c>
    </row>
    <row r="2187" customFormat="false" ht="15" hidden="false" customHeight="false" outlineLevel="0" collapsed="false">
      <c r="A2187" s="4" t="s">
        <v>13</v>
      </c>
      <c r="B2187" s="5" t="s">
        <v>44</v>
      </c>
      <c r="C2187" s="5" t="s">
        <v>45</v>
      </c>
      <c r="D2187" s="4" t="s">
        <v>16</v>
      </c>
      <c r="E2187" s="4" t="s">
        <v>3206</v>
      </c>
      <c r="F2187" s="4" t="s">
        <v>406</v>
      </c>
      <c r="G2187" s="4" t="s">
        <v>3207</v>
      </c>
      <c r="H2187" s="12" t="n">
        <v>1</v>
      </c>
      <c r="I2187" s="4" t="s">
        <v>408</v>
      </c>
      <c r="J2187" s="4" t="s">
        <v>409</v>
      </c>
      <c r="K2187" s="13" t="n">
        <v>450</v>
      </c>
      <c r="L2187" s="6" t="n">
        <f aca="false">H2187*K2187</f>
        <v>450</v>
      </c>
      <c r="M2187" s="14" t="s">
        <v>410</v>
      </c>
    </row>
    <row r="2188" customFormat="false" ht="15" hidden="false" customHeight="false" outlineLevel="0" collapsed="false">
      <c r="A2188" s="4" t="s">
        <v>13</v>
      </c>
      <c r="B2188" s="5" t="s">
        <v>44</v>
      </c>
      <c r="C2188" s="5" t="s">
        <v>45</v>
      </c>
      <c r="D2188" s="4" t="s">
        <v>16</v>
      </c>
      <c r="E2188" s="4" t="s">
        <v>3208</v>
      </c>
      <c r="F2188" s="4" t="s">
        <v>406</v>
      </c>
      <c r="G2188" s="4" t="s">
        <v>3209</v>
      </c>
      <c r="H2188" s="12" t="n">
        <v>1</v>
      </c>
      <c r="I2188" s="4" t="s">
        <v>408</v>
      </c>
      <c r="J2188" s="4" t="s">
        <v>409</v>
      </c>
      <c r="K2188" s="13" t="n">
        <v>650</v>
      </c>
      <c r="L2188" s="6" t="n">
        <f aca="false">H2188*K2188</f>
        <v>650</v>
      </c>
      <c r="M2188" s="14" t="s">
        <v>410</v>
      </c>
    </row>
    <row r="2189" customFormat="false" ht="15" hidden="false" customHeight="false" outlineLevel="0" collapsed="false">
      <c r="A2189" s="4" t="s">
        <v>13</v>
      </c>
      <c r="B2189" s="5" t="s">
        <v>44</v>
      </c>
      <c r="C2189" s="5" t="s">
        <v>45</v>
      </c>
      <c r="D2189" s="4" t="s">
        <v>16</v>
      </c>
      <c r="E2189" s="4" t="s">
        <v>3210</v>
      </c>
      <c r="F2189" s="4" t="s">
        <v>406</v>
      </c>
      <c r="G2189" s="4" t="s">
        <v>3211</v>
      </c>
      <c r="H2189" s="12" t="n">
        <v>1</v>
      </c>
      <c r="I2189" s="4" t="s">
        <v>408</v>
      </c>
      <c r="J2189" s="4" t="s">
        <v>409</v>
      </c>
      <c r="K2189" s="13" t="n">
        <v>450</v>
      </c>
      <c r="L2189" s="6" t="n">
        <f aca="false">H2189*K2189</f>
        <v>450</v>
      </c>
      <c r="M2189" s="14" t="s">
        <v>410</v>
      </c>
    </row>
    <row r="2190" customFormat="false" ht="15" hidden="false" customHeight="false" outlineLevel="0" collapsed="false">
      <c r="A2190" s="4" t="s">
        <v>13</v>
      </c>
      <c r="B2190" s="5" t="s">
        <v>44</v>
      </c>
      <c r="C2190" s="5" t="s">
        <v>45</v>
      </c>
      <c r="D2190" s="4" t="s">
        <v>16</v>
      </c>
      <c r="E2190" s="4" t="s">
        <v>3212</v>
      </c>
      <c r="F2190" s="4" t="s">
        <v>406</v>
      </c>
      <c r="G2190" s="4" t="s">
        <v>3213</v>
      </c>
      <c r="H2190" s="12" t="n">
        <v>1</v>
      </c>
      <c r="I2190" s="4" t="s">
        <v>408</v>
      </c>
      <c r="J2190" s="4" t="s">
        <v>416</v>
      </c>
      <c r="K2190" s="13" t="n">
        <v>1200</v>
      </c>
      <c r="L2190" s="6" t="n">
        <f aca="false">H2190*K2190</f>
        <v>1200</v>
      </c>
      <c r="M2190" s="14" t="s">
        <v>410</v>
      </c>
    </row>
    <row r="2191" customFormat="false" ht="15" hidden="false" customHeight="false" outlineLevel="0" collapsed="false">
      <c r="A2191" s="4" t="s">
        <v>13</v>
      </c>
      <c r="B2191" s="5" t="s">
        <v>44</v>
      </c>
      <c r="C2191" s="5" t="s">
        <v>45</v>
      </c>
      <c r="D2191" s="4" t="s">
        <v>16</v>
      </c>
      <c r="E2191" s="4" t="s">
        <v>3214</v>
      </c>
      <c r="F2191" s="4" t="s">
        <v>406</v>
      </c>
      <c r="G2191" s="4" t="s">
        <v>3215</v>
      </c>
      <c r="H2191" s="12" t="n">
        <v>1</v>
      </c>
      <c r="I2191" s="4" t="s">
        <v>408</v>
      </c>
      <c r="J2191" s="4" t="s">
        <v>409</v>
      </c>
      <c r="K2191" s="13" t="n">
        <v>450</v>
      </c>
      <c r="L2191" s="6" t="n">
        <f aca="false">H2191*K2191</f>
        <v>450</v>
      </c>
      <c r="M2191" s="14" t="s">
        <v>410</v>
      </c>
    </row>
    <row r="2192" customFormat="false" ht="15" hidden="false" customHeight="false" outlineLevel="0" collapsed="false">
      <c r="A2192" s="4" t="s">
        <v>13</v>
      </c>
      <c r="B2192" s="5" t="s">
        <v>44</v>
      </c>
      <c r="C2192" s="5" t="s">
        <v>45</v>
      </c>
      <c r="D2192" s="4" t="s">
        <v>16</v>
      </c>
      <c r="E2192" s="4" t="s">
        <v>3216</v>
      </c>
      <c r="F2192" s="4" t="s">
        <v>406</v>
      </c>
      <c r="G2192" s="4" t="s">
        <v>3217</v>
      </c>
      <c r="H2192" s="12" t="n">
        <v>1</v>
      </c>
      <c r="I2192" s="4" t="s">
        <v>408</v>
      </c>
      <c r="J2192" s="4" t="s">
        <v>416</v>
      </c>
      <c r="K2192" s="13" t="n">
        <v>850</v>
      </c>
      <c r="L2192" s="6" t="n">
        <f aca="false">H2192*K2192</f>
        <v>850</v>
      </c>
      <c r="M2192" s="14" t="s">
        <v>410</v>
      </c>
    </row>
    <row r="2193" customFormat="false" ht="15" hidden="false" customHeight="false" outlineLevel="0" collapsed="false">
      <c r="A2193" s="4" t="s">
        <v>13</v>
      </c>
      <c r="B2193" s="5" t="s">
        <v>44</v>
      </c>
      <c r="C2193" s="5" t="s">
        <v>45</v>
      </c>
      <c r="D2193" s="4" t="s">
        <v>16</v>
      </c>
      <c r="E2193" s="4" t="s">
        <v>3218</v>
      </c>
      <c r="F2193" s="4" t="s">
        <v>406</v>
      </c>
      <c r="G2193" s="4" t="s">
        <v>3219</v>
      </c>
      <c r="H2193" s="12" t="n">
        <v>1</v>
      </c>
      <c r="I2193" s="4" t="s">
        <v>408</v>
      </c>
      <c r="J2193" s="4" t="s">
        <v>409</v>
      </c>
      <c r="K2193" s="13" t="n">
        <v>250</v>
      </c>
      <c r="L2193" s="6" t="n">
        <f aca="false">H2193*K2193</f>
        <v>250</v>
      </c>
      <c r="M2193" s="14" t="s">
        <v>410</v>
      </c>
    </row>
    <row r="2194" customFormat="false" ht="15" hidden="false" customHeight="false" outlineLevel="0" collapsed="false">
      <c r="A2194" s="4" t="s">
        <v>13</v>
      </c>
      <c r="B2194" s="5" t="s">
        <v>44</v>
      </c>
      <c r="C2194" s="5" t="s">
        <v>45</v>
      </c>
      <c r="D2194" s="4" t="s">
        <v>16</v>
      </c>
      <c r="E2194" s="4" t="s">
        <v>3220</v>
      </c>
      <c r="F2194" s="4" t="s">
        <v>406</v>
      </c>
      <c r="G2194" s="4" t="s">
        <v>3221</v>
      </c>
      <c r="H2194" s="12" t="n">
        <v>1</v>
      </c>
      <c r="I2194" s="4" t="s">
        <v>408</v>
      </c>
      <c r="J2194" s="4" t="s">
        <v>409</v>
      </c>
      <c r="K2194" s="13" t="n">
        <v>250</v>
      </c>
      <c r="L2194" s="6" t="n">
        <f aca="false">H2194*K2194</f>
        <v>250</v>
      </c>
      <c r="M2194" s="14" t="s">
        <v>410</v>
      </c>
    </row>
    <row r="2195" customFormat="false" ht="15" hidden="false" customHeight="false" outlineLevel="0" collapsed="false">
      <c r="A2195" s="4" t="s">
        <v>13</v>
      </c>
      <c r="B2195" s="5" t="s">
        <v>44</v>
      </c>
      <c r="C2195" s="5" t="s">
        <v>45</v>
      </c>
      <c r="D2195" s="4" t="s">
        <v>16</v>
      </c>
      <c r="E2195" s="4" t="s">
        <v>3222</v>
      </c>
      <c r="F2195" s="4" t="s">
        <v>406</v>
      </c>
      <c r="G2195" s="4" t="s">
        <v>3223</v>
      </c>
      <c r="H2195" s="12" t="n">
        <v>1</v>
      </c>
      <c r="I2195" s="4" t="s">
        <v>408</v>
      </c>
      <c r="J2195" s="4" t="s">
        <v>413</v>
      </c>
      <c r="K2195" s="13" t="n">
        <v>2500</v>
      </c>
      <c r="L2195" s="6" t="n">
        <f aca="false">H2195*K2195</f>
        <v>2500</v>
      </c>
      <c r="M2195" s="14" t="s">
        <v>410</v>
      </c>
    </row>
    <row r="2196" customFormat="false" ht="15" hidden="false" customHeight="false" outlineLevel="0" collapsed="false">
      <c r="A2196" s="4" t="s">
        <v>13</v>
      </c>
      <c r="B2196" s="5" t="s">
        <v>44</v>
      </c>
      <c r="C2196" s="5" t="s">
        <v>45</v>
      </c>
      <c r="D2196" s="4" t="s">
        <v>16</v>
      </c>
      <c r="E2196" s="4" t="s">
        <v>3224</v>
      </c>
      <c r="F2196" s="4" t="s">
        <v>406</v>
      </c>
      <c r="G2196" s="4" t="s">
        <v>3225</v>
      </c>
      <c r="H2196" s="12" t="n">
        <v>1</v>
      </c>
      <c r="I2196" s="4" t="s">
        <v>408</v>
      </c>
      <c r="J2196" s="4" t="s">
        <v>416</v>
      </c>
      <c r="K2196" s="13" t="n">
        <v>4500</v>
      </c>
      <c r="L2196" s="6" t="n">
        <f aca="false">H2196*K2196</f>
        <v>4500</v>
      </c>
      <c r="M2196" s="14" t="s">
        <v>410</v>
      </c>
    </row>
    <row r="2197" customFormat="false" ht="15" hidden="false" customHeight="false" outlineLevel="0" collapsed="false">
      <c r="A2197" s="4" t="s">
        <v>13</v>
      </c>
      <c r="B2197" s="5" t="s">
        <v>44</v>
      </c>
      <c r="C2197" s="5" t="s">
        <v>45</v>
      </c>
      <c r="D2197" s="4" t="s">
        <v>16</v>
      </c>
      <c r="E2197" s="4" t="s">
        <v>3226</v>
      </c>
      <c r="F2197" s="4" t="s">
        <v>406</v>
      </c>
      <c r="G2197" s="4" t="s">
        <v>3227</v>
      </c>
      <c r="H2197" s="12" t="n">
        <v>1</v>
      </c>
      <c r="I2197" s="4" t="s">
        <v>408</v>
      </c>
      <c r="J2197" s="4" t="s">
        <v>409</v>
      </c>
      <c r="K2197" s="13" t="n">
        <v>4500</v>
      </c>
      <c r="L2197" s="6" t="n">
        <f aca="false">H2197*K2197</f>
        <v>4500</v>
      </c>
      <c r="M2197" s="14" t="s">
        <v>410</v>
      </c>
    </row>
    <row r="2198" customFormat="false" ht="15" hidden="false" customHeight="false" outlineLevel="0" collapsed="false">
      <c r="A2198" s="4" t="s">
        <v>13</v>
      </c>
      <c r="B2198" s="5" t="s">
        <v>44</v>
      </c>
      <c r="C2198" s="5" t="s">
        <v>45</v>
      </c>
      <c r="D2198" s="4" t="s">
        <v>16</v>
      </c>
      <c r="E2198" s="4" t="s">
        <v>2547</v>
      </c>
      <c r="F2198" s="4" t="s">
        <v>406</v>
      </c>
      <c r="G2198" s="4" t="s">
        <v>2548</v>
      </c>
      <c r="H2198" s="12" t="n">
        <v>1</v>
      </c>
      <c r="I2198" s="4" t="s">
        <v>408</v>
      </c>
      <c r="J2198" s="4" t="s">
        <v>409</v>
      </c>
      <c r="K2198" s="13" t="n">
        <v>1800</v>
      </c>
      <c r="L2198" s="6" t="n">
        <f aca="false">H2198*K2198</f>
        <v>1800</v>
      </c>
      <c r="M2198" s="14" t="s">
        <v>410</v>
      </c>
    </row>
    <row r="2199" customFormat="false" ht="15" hidden="false" customHeight="false" outlineLevel="0" collapsed="false">
      <c r="A2199" s="4" t="s">
        <v>13</v>
      </c>
      <c r="B2199" s="5" t="s">
        <v>44</v>
      </c>
      <c r="C2199" s="5" t="s">
        <v>45</v>
      </c>
      <c r="D2199" s="4" t="s">
        <v>16</v>
      </c>
      <c r="E2199" s="4" t="s">
        <v>3228</v>
      </c>
      <c r="F2199" s="4" t="s">
        <v>406</v>
      </c>
      <c r="G2199" s="4" t="s">
        <v>3229</v>
      </c>
      <c r="H2199" s="12" t="n">
        <v>1</v>
      </c>
      <c r="I2199" s="4" t="s">
        <v>408</v>
      </c>
      <c r="J2199" s="4" t="s">
        <v>409</v>
      </c>
      <c r="K2199" s="13" t="n">
        <v>4500</v>
      </c>
      <c r="L2199" s="6" t="n">
        <f aca="false">H2199*K2199</f>
        <v>4500</v>
      </c>
      <c r="M2199" s="14" t="s">
        <v>410</v>
      </c>
    </row>
    <row r="2200" customFormat="false" ht="15" hidden="false" customHeight="false" outlineLevel="0" collapsed="false">
      <c r="A2200" s="4" t="s">
        <v>13</v>
      </c>
      <c r="B2200" s="5" t="s">
        <v>44</v>
      </c>
      <c r="C2200" s="5" t="s">
        <v>45</v>
      </c>
      <c r="D2200" s="4" t="s">
        <v>16</v>
      </c>
      <c r="E2200" s="4" t="s">
        <v>3230</v>
      </c>
      <c r="F2200" s="4" t="s">
        <v>406</v>
      </c>
      <c r="G2200" s="4" t="s">
        <v>3231</v>
      </c>
      <c r="H2200" s="12" t="n">
        <v>1</v>
      </c>
      <c r="I2200" s="4" t="s">
        <v>408</v>
      </c>
      <c r="J2200" s="4" t="s">
        <v>409</v>
      </c>
      <c r="K2200" s="13" t="n">
        <v>12000</v>
      </c>
      <c r="L2200" s="6" t="n">
        <f aca="false">H2200*K2200</f>
        <v>12000</v>
      </c>
      <c r="M2200" s="14" t="s">
        <v>410</v>
      </c>
    </row>
    <row r="2201" customFormat="false" ht="15" hidden="false" customHeight="false" outlineLevel="0" collapsed="false">
      <c r="A2201" s="4" t="s">
        <v>13</v>
      </c>
      <c r="B2201" s="5" t="s">
        <v>44</v>
      </c>
      <c r="C2201" s="5" t="s">
        <v>45</v>
      </c>
      <c r="D2201" s="4" t="s">
        <v>16</v>
      </c>
      <c r="E2201" s="4" t="s">
        <v>3232</v>
      </c>
      <c r="F2201" s="4" t="s">
        <v>406</v>
      </c>
      <c r="G2201" s="4" t="s">
        <v>3233</v>
      </c>
      <c r="H2201" s="12" t="n">
        <v>1</v>
      </c>
      <c r="I2201" s="4" t="s">
        <v>408</v>
      </c>
      <c r="J2201" s="4" t="s">
        <v>409</v>
      </c>
      <c r="K2201" s="13" t="n">
        <v>3500</v>
      </c>
      <c r="L2201" s="6" t="n">
        <f aca="false">H2201*K2201</f>
        <v>3500</v>
      </c>
      <c r="M2201" s="14" t="s">
        <v>410</v>
      </c>
    </row>
    <row r="2202" customFormat="false" ht="15" hidden="false" customHeight="false" outlineLevel="0" collapsed="false">
      <c r="A2202" s="4" t="s">
        <v>13</v>
      </c>
      <c r="B2202" s="5" t="s">
        <v>44</v>
      </c>
      <c r="C2202" s="5" t="s">
        <v>45</v>
      </c>
      <c r="D2202" s="4" t="s">
        <v>16</v>
      </c>
      <c r="E2202" s="4" t="s">
        <v>2939</v>
      </c>
      <c r="F2202" s="4" t="s">
        <v>406</v>
      </c>
      <c r="G2202" s="4" t="s">
        <v>1967</v>
      </c>
      <c r="H2202" s="12" t="n">
        <v>1</v>
      </c>
      <c r="I2202" s="4" t="s">
        <v>408</v>
      </c>
      <c r="J2202" s="4" t="s">
        <v>409</v>
      </c>
      <c r="K2202" s="13" t="n">
        <v>650</v>
      </c>
      <c r="L2202" s="6" t="n">
        <f aca="false">H2202*K2202</f>
        <v>650</v>
      </c>
      <c r="M2202" s="14" t="s">
        <v>410</v>
      </c>
    </row>
    <row r="2203" customFormat="false" ht="15" hidden="false" customHeight="false" outlineLevel="0" collapsed="false">
      <c r="A2203" s="4" t="s">
        <v>13</v>
      </c>
      <c r="B2203" s="5" t="s">
        <v>44</v>
      </c>
      <c r="C2203" s="5" t="s">
        <v>45</v>
      </c>
      <c r="D2203" s="4" t="s">
        <v>16</v>
      </c>
      <c r="E2203" s="4" t="s">
        <v>3234</v>
      </c>
      <c r="F2203" s="4" t="s">
        <v>406</v>
      </c>
      <c r="G2203" s="4" t="s">
        <v>569</v>
      </c>
      <c r="H2203" s="12" t="n">
        <v>1</v>
      </c>
      <c r="I2203" s="4" t="s">
        <v>408</v>
      </c>
      <c r="J2203" s="4" t="s">
        <v>409</v>
      </c>
      <c r="K2203" s="13" t="n">
        <v>350</v>
      </c>
      <c r="L2203" s="6" t="n">
        <f aca="false">H2203*K2203</f>
        <v>350</v>
      </c>
      <c r="M2203" s="14" t="s">
        <v>410</v>
      </c>
    </row>
    <row r="2204" customFormat="false" ht="15" hidden="false" customHeight="false" outlineLevel="0" collapsed="false">
      <c r="A2204" s="4" t="s">
        <v>13</v>
      </c>
      <c r="B2204" s="5" t="s">
        <v>44</v>
      </c>
      <c r="C2204" s="5" t="s">
        <v>45</v>
      </c>
      <c r="D2204" s="4" t="s">
        <v>16</v>
      </c>
      <c r="E2204" s="4" t="s">
        <v>3235</v>
      </c>
      <c r="F2204" s="4" t="s">
        <v>488</v>
      </c>
      <c r="G2204" s="4" t="s">
        <v>3236</v>
      </c>
      <c r="H2204" s="12" t="n">
        <v>1</v>
      </c>
      <c r="I2204" s="4" t="s">
        <v>408</v>
      </c>
      <c r="J2204" s="4" t="s">
        <v>503</v>
      </c>
      <c r="K2204" s="13" t="n">
        <v>180</v>
      </c>
      <c r="L2204" s="6" t="n">
        <f aca="false">H2204*K2204</f>
        <v>180</v>
      </c>
      <c r="M2204" s="4" t="s">
        <v>371</v>
      </c>
    </row>
    <row r="2205" customFormat="false" ht="15" hidden="false" customHeight="false" outlineLevel="0" collapsed="false">
      <c r="A2205" s="4" t="s">
        <v>13</v>
      </c>
      <c r="B2205" s="5" t="s">
        <v>44</v>
      </c>
      <c r="C2205" s="5" t="s">
        <v>45</v>
      </c>
      <c r="D2205" s="4" t="s">
        <v>16</v>
      </c>
      <c r="E2205" s="4" t="s">
        <v>3237</v>
      </c>
      <c r="F2205" s="4" t="s">
        <v>488</v>
      </c>
      <c r="G2205" s="4" t="s">
        <v>3238</v>
      </c>
      <c r="H2205" s="12" t="n">
        <v>1</v>
      </c>
      <c r="I2205" s="4" t="s">
        <v>408</v>
      </c>
      <c r="J2205" s="4" t="s">
        <v>807</v>
      </c>
      <c r="K2205" s="13" t="n">
        <v>30</v>
      </c>
      <c r="L2205" s="6" t="n">
        <f aca="false">H2205*K2205</f>
        <v>30</v>
      </c>
      <c r="M2205" s="4" t="s">
        <v>371</v>
      </c>
    </row>
    <row r="2206" customFormat="false" ht="15" hidden="false" customHeight="false" outlineLevel="0" collapsed="false">
      <c r="A2206" s="4" t="s">
        <v>13</v>
      </c>
      <c r="B2206" s="5" t="s">
        <v>44</v>
      </c>
      <c r="C2206" s="5" t="s">
        <v>45</v>
      </c>
      <c r="D2206" s="4" t="s">
        <v>16</v>
      </c>
      <c r="E2206" s="4" t="s">
        <v>3239</v>
      </c>
      <c r="F2206" s="4" t="s">
        <v>488</v>
      </c>
      <c r="G2206" s="4" t="s">
        <v>3240</v>
      </c>
      <c r="H2206" s="12" t="n">
        <v>1</v>
      </c>
      <c r="I2206" s="4" t="s">
        <v>408</v>
      </c>
      <c r="J2206" s="4" t="s">
        <v>432</v>
      </c>
      <c r="K2206" s="13" t="n">
        <v>90</v>
      </c>
      <c r="L2206" s="6" t="n">
        <f aca="false">H2206*K2206</f>
        <v>90</v>
      </c>
      <c r="M2206" s="4" t="s">
        <v>371</v>
      </c>
    </row>
    <row r="2207" customFormat="false" ht="15" hidden="false" customHeight="false" outlineLevel="0" collapsed="false">
      <c r="A2207" s="4" t="s">
        <v>13</v>
      </c>
      <c r="B2207" s="5" t="s">
        <v>44</v>
      </c>
      <c r="C2207" s="5" t="s">
        <v>45</v>
      </c>
      <c r="D2207" s="4" t="s">
        <v>16</v>
      </c>
      <c r="E2207" s="4" t="s">
        <v>3241</v>
      </c>
      <c r="F2207" s="4" t="s">
        <v>488</v>
      </c>
      <c r="G2207" s="4" t="s">
        <v>3242</v>
      </c>
      <c r="H2207" s="12" t="n">
        <v>1</v>
      </c>
      <c r="I2207" s="4" t="s">
        <v>408</v>
      </c>
      <c r="J2207" s="4" t="s">
        <v>503</v>
      </c>
      <c r="K2207" s="13" t="n">
        <v>180</v>
      </c>
      <c r="L2207" s="6" t="n">
        <f aca="false">H2207*K2207</f>
        <v>180</v>
      </c>
      <c r="M2207" s="4" t="s">
        <v>371</v>
      </c>
    </row>
    <row r="2208" customFormat="false" ht="15" hidden="false" customHeight="false" outlineLevel="0" collapsed="false">
      <c r="A2208" s="4" t="s">
        <v>13</v>
      </c>
      <c r="B2208" s="5" t="s">
        <v>44</v>
      </c>
      <c r="C2208" s="5" t="s">
        <v>45</v>
      </c>
      <c r="D2208" s="4" t="s">
        <v>16</v>
      </c>
      <c r="E2208" s="4" t="s">
        <v>3243</v>
      </c>
      <c r="F2208" s="4" t="s">
        <v>488</v>
      </c>
      <c r="G2208" s="4" t="s">
        <v>3244</v>
      </c>
      <c r="H2208" s="12" t="n">
        <v>1</v>
      </c>
      <c r="I2208" s="4" t="s">
        <v>408</v>
      </c>
      <c r="J2208" s="4" t="s">
        <v>409</v>
      </c>
      <c r="K2208" s="13" t="n">
        <v>25</v>
      </c>
      <c r="L2208" s="6" t="n">
        <f aca="false">H2208*K2208</f>
        <v>25</v>
      </c>
      <c r="M2208" s="4" t="s">
        <v>371</v>
      </c>
    </row>
    <row r="2209" customFormat="false" ht="15" hidden="false" customHeight="false" outlineLevel="0" collapsed="false">
      <c r="A2209" s="4" t="s">
        <v>13</v>
      </c>
      <c r="B2209" s="5" t="s">
        <v>46</v>
      </c>
      <c r="C2209" s="5" t="s">
        <v>47</v>
      </c>
      <c r="D2209" s="4" t="s">
        <v>16</v>
      </c>
      <c r="E2209" s="4" t="s">
        <v>2816</v>
      </c>
      <c r="F2209" s="4" t="s">
        <v>406</v>
      </c>
      <c r="G2209" s="4" t="s">
        <v>2817</v>
      </c>
      <c r="H2209" s="12" t="n">
        <v>3</v>
      </c>
      <c r="I2209" s="4" t="s">
        <v>474</v>
      </c>
      <c r="J2209" s="4" t="s">
        <v>409</v>
      </c>
      <c r="K2209" s="13" t="n">
        <v>1800</v>
      </c>
      <c r="L2209" s="6" t="n">
        <f aca="false">H2209*K2209</f>
        <v>5400</v>
      </c>
      <c r="M2209" s="14" t="s">
        <v>410</v>
      </c>
    </row>
    <row r="2210" customFormat="false" ht="15" hidden="false" customHeight="false" outlineLevel="0" collapsed="false">
      <c r="A2210" s="4" t="s">
        <v>13</v>
      </c>
      <c r="B2210" s="5" t="s">
        <v>46</v>
      </c>
      <c r="C2210" s="5" t="s">
        <v>47</v>
      </c>
      <c r="D2210" s="4" t="s">
        <v>16</v>
      </c>
      <c r="E2210" s="4" t="s">
        <v>2820</v>
      </c>
      <c r="F2210" s="4" t="s">
        <v>406</v>
      </c>
      <c r="G2210" s="4" t="s">
        <v>2821</v>
      </c>
      <c r="H2210" s="12" t="n">
        <v>1</v>
      </c>
      <c r="I2210" s="4" t="s">
        <v>474</v>
      </c>
      <c r="J2210" s="4" t="s">
        <v>409</v>
      </c>
      <c r="K2210" s="13" t="n">
        <v>450</v>
      </c>
      <c r="L2210" s="6" t="n">
        <f aca="false">H2210*K2210</f>
        <v>450</v>
      </c>
      <c r="M2210" s="14" t="s">
        <v>410</v>
      </c>
    </row>
    <row r="2211" customFormat="false" ht="15" hidden="false" customHeight="false" outlineLevel="0" collapsed="false">
      <c r="A2211" s="4" t="s">
        <v>13</v>
      </c>
      <c r="B2211" s="5" t="s">
        <v>46</v>
      </c>
      <c r="C2211" s="5" t="s">
        <v>47</v>
      </c>
      <c r="D2211" s="4" t="s">
        <v>16</v>
      </c>
      <c r="E2211" s="4" t="s">
        <v>2822</v>
      </c>
      <c r="F2211" s="4" t="s">
        <v>406</v>
      </c>
      <c r="G2211" s="4" t="s">
        <v>2823</v>
      </c>
      <c r="H2211" s="12" t="n">
        <v>1</v>
      </c>
      <c r="I2211" s="4" t="s">
        <v>474</v>
      </c>
      <c r="J2211" s="4" t="s">
        <v>413</v>
      </c>
      <c r="K2211" s="13" t="n">
        <v>2500</v>
      </c>
      <c r="L2211" s="6" t="n">
        <f aca="false">H2211*K2211</f>
        <v>2500</v>
      </c>
      <c r="M2211" s="14" t="s">
        <v>410</v>
      </c>
    </row>
    <row r="2212" customFormat="false" ht="15" hidden="false" customHeight="false" outlineLevel="0" collapsed="false">
      <c r="A2212" s="4" t="s">
        <v>13</v>
      </c>
      <c r="B2212" s="5" t="s">
        <v>46</v>
      </c>
      <c r="C2212" s="5" t="s">
        <v>47</v>
      </c>
      <c r="D2212" s="4" t="s">
        <v>16</v>
      </c>
      <c r="E2212" s="4" t="s">
        <v>2824</v>
      </c>
      <c r="F2212" s="4" t="s">
        <v>406</v>
      </c>
      <c r="G2212" s="4" t="s">
        <v>2825</v>
      </c>
      <c r="H2212" s="12" t="n">
        <v>1</v>
      </c>
      <c r="I2212" s="4" t="s">
        <v>474</v>
      </c>
      <c r="J2212" s="4" t="s">
        <v>416</v>
      </c>
      <c r="K2212" s="13" t="n">
        <v>4500</v>
      </c>
      <c r="L2212" s="6" t="n">
        <f aca="false">H2212*K2212</f>
        <v>4500</v>
      </c>
      <c r="M2212" s="14" t="s">
        <v>410</v>
      </c>
    </row>
    <row r="2213" customFormat="false" ht="15" hidden="false" customHeight="false" outlineLevel="0" collapsed="false">
      <c r="A2213" s="4" t="s">
        <v>13</v>
      </c>
      <c r="B2213" s="5" t="s">
        <v>46</v>
      </c>
      <c r="C2213" s="5" t="s">
        <v>47</v>
      </c>
      <c r="D2213" s="4" t="s">
        <v>16</v>
      </c>
      <c r="E2213" s="4" t="s">
        <v>2826</v>
      </c>
      <c r="F2213" s="4" t="s">
        <v>406</v>
      </c>
      <c r="G2213" s="4" t="s">
        <v>2827</v>
      </c>
      <c r="H2213" s="12" t="n">
        <v>2</v>
      </c>
      <c r="I2213" s="4" t="s">
        <v>474</v>
      </c>
      <c r="J2213" s="4" t="s">
        <v>409</v>
      </c>
      <c r="K2213" s="13" t="n">
        <v>450</v>
      </c>
      <c r="L2213" s="6" t="n">
        <f aca="false">H2213*K2213</f>
        <v>900</v>
      </c>
      <c r="M2213" s="14" t="s">
        <v>410</v>
      </c>
    </row>
    <row r="2214" customFormat="false" ht="15" hidden="false" customHeight="false" outlineLevel="0" collapsed="false">
      <c r="A2214" s="4" t="s">
        <v>13</v>
      </c>
      <c r="B2214" s="5" t="s">
        <v>46</v>
      </c>
      <c r="C2214" s="5" t="s">
        <v>47</v>
      </c>
      <c r="D2214" s="4" t="s">
        <v>16</v>
      </c>
      <c r="E2214" s="4" t="s">
        <v>2828</v>
      </c>
      <c r="F2214" s="4" t="s">
        <v>406</v>
      </c>
      <c r="G2214" s="4" t="s">
        <v>2829</v>
      </c>
      <c r="H2214" s="12" t="n">
        <v>1</v>
      </c>
      <c r="I2214" s="4" t="s">
        <v>474</v>
      </c>
      <c r="J2214" s="4" t="s">
        <v>409</v>
      </c>
      <c r="K2214" s="13" t="n">
        <v>450</v>
      </c>
      <c r="L2214" s="6" t="n">
        <f aca="false">H2214*K2214</f>
        <v>450</v>
      </c>
      <c r="M2214" s="14" t="s">
        <v>410</v>
      </c>
    </row>
    <row r="2215" customFormat="false" ht="15" hidden="false" customHeight="false" outlineLevel="0" collapsed="false">
      <c r="A2215" s="4" t="s">
        <v>13</v>
      </c>
      <c r="B2215" s="5" t="s">
        <v>46</v>
      </c>
      <c r="C2215" s="5" t="s">
        <v>47</v>
      </c>
      <c r="D2215" s="4" t="s">
        <v>16</v>
      </c>
      <c r="E2215" s="4" t="s">
        <v>2830</v>
      </c>
      <c r="F2215" s="4" t="s">
        <v>406</v>
      </c>
      <c r="G2215" s="4" t="s">
        <v>1193</v>
      </c>
      <c r="H2215" s="12" t="n">
        <v>1</v>
      </c>
      <c r="I2215" s="4" t="s">
        <v>474</v>
      </c>
      <c r="J2215" s="4" t="s">
        <v>416</v>
      </c>
      <c r="K2215" s="13" t="n">
        <v>450</v>
      </c>
      <c r="L2215" s="6" t="n">
        <f aca="false">H2215*K2215</f>
        <v>450</v>
      </c>
      <c r="M2215" s="14" t="s">
        <v>410</v>
      </c>
    </row>
    <row r="2216" customFormat="false" ht="15" hidden="false" customHeight="false" outlineLevel="0" collapsed="false">
      <c r="A2216" s="4" t="s">
        <v>13</v>
      </c>
      <c r="B2216" s="5" t="s">
        <v>46</v>
      </c>
      <c r="C2216" s="5" t="s">
        <v>47</v>
      </c>
      <c r="D2216" s="4" t="s">
        <v>16</v>
      </c>
      <c r="E2216" s="4" t="s">
        <v>2831</v>
      </c>
      <c r="F2216" s="4" t="s">
        <v>406</v>
      </c>
      <c r="G2216" s="4" t="s">
        <v>2832</v>
      </c>
      <c r="H2216" s="12" t="n">
        <v>1</v>
      </c>
      <c r="I2216" s="4" t="s">
        <v>474</v>
      </c>
      <c r="J2216" s="4" t="s">
        <v>416</v>
      </c>
      <c r="K2216" s="13" t="n">
        <v>850</v>
      </c>
      <c r="L2216" s="6" t="n">
        <f aca="false">H2216*K2216</f>
        <v>850</v>
      </c>
      <c r="M2216" s="14" t="s">
        <v>410</v>
      </c>
    </row>
    <row r="2217" customFormat="false" ht="15" hidden="false" customHeight="false" outlineLevel="0" collapsed="false">
      <c r="A2217" s="4" t="s">
        <v>13</v>
      </c>
      <c r="B2217" s="5" t="s">
        <v>46</v>
      </c>
      <c r="C2217" s="5" t="s">
        <v>47</v>
      </c>
      <c r="D2217" s="4" t="s">
        <v>16</v>
      </c>
      <c r="E2217" s="4" t="s">
        <v>1603</v>
      </c>
      <c r="F2217" s="4" t="s">
        <v>406</v>
      </c>
      <c r="G2217" s="4" t="s">
        <v>1604</v>
      </c>
      <c r="H2217" s="12" t="n">
        <v>1</v>
      </c>
      <c r="I2217" s="4" t="s">
        <v>474</v>
      </c>
      <c r="J2217" s="4" t="s">
        <v>416</v>
      </c>
      <c r="K2217" s="13" t="n">
        <v>1200</v>
      </c>
      <c r="L2217" s="6" t="n">
        <f aca="false">H2217*K2217</f>
        <v>1200</v>
      </c>
      <c r="M2217" s="14" t="s">
        <v>410</v>
      </c>
    </row>
    <row r="2218" customFormat="false" ht="15" hidden="false" customHeight="false" outlineLevel="0" collapsed="false">
      <c r="A2218" s="4" t="s">
        <v>13</v>
      </c>
      <c r="B2218" s="5" t="s">
        <v>46</v>
      </c>
      <c r="C2218" s="5" t="s">
        <v>47</v>
      </c>
      <c r="D2218" s="4" t="s">
        <v>16</v>
      </c>
      <c r="E2218" s="4" t="s">
        <v>2833</v>
      </c>
      <c r="F2218" s="4" t="s">
        <v>406</v>
      </c>
      <c r="G2218" s="4" t="s">
        <v>2834</v>
      </c>
      <c r="H2218" s="12" t="n">
        <v>1</v>
      </c>
      <c r="I2218" s="4" t="s">
        <v>474</v>
      </c>
      <c r="J2218" s="4" t="s">
        <v>416</v>
      </c>
      <c r="K2218" s="13" t="n">
        <v>1800</v>
      </c>
      <c r="L2218" s="6" t="n">
        <f aca="false">H2218*K2218</f>
        <v>1800</v>
      </c>
      <c r="M2218" s="14" t="s">
        <v>410</v>
      </c>
    </row>
    <row r="2219" customFormat="false" ht="15" hidden="false" customHeight="false" outlineLevel="0" collapsed="false">
      <c r="A2219" s="4" t="s">
        <v>13</v>
      </c>
      <c r="B2219" s="5" t="s">
        <v>46</v>
      </c>
      <c r="C2219" s="5" t="s">
        <v>47</v>
      </c>
      <c r="D2219" s="4" t="s">
        <v>16</v>
      </c>
      <c r="E2219" s="4" t="s">
        <v>2534</v>
      </c>
      <c r="F2219" s="4" t="s">
        <v>406</v>
      </c>
      <c r="G2219" s="4" t="s">
        <v>2535</v>
      </c>
      <c r="H2219" s="12" t="n">
        <v>1</v>
      </c>
      <c r="I2219" s="4" t="s">
        <v>474</v>
      </c>
      <c r="J2219" s="4" t="s">
        <v>409</v>
      </c>
      <c r="K2219" s="13" t="n">
        <v>450</v>
      </c>
      <c r="L2219" s="6" t="n">
        <f aca="false">H2219*K2219</f>
        <v>450</v>
      </c>
      <c r="M2219" s="14" t="s">
        <v>410</v>
      </c>
    </row>
    <row r="2220" customFormat="false" ht="15" hidden="false" customHeight="false" outlineLevel="0" collapsed="false">
      <c r="A2220" s="4" t="s">
        <v>13</v>
      </c>
      <c r="B2220" s="5" t="s">
        <v>46</v>
      </c>
      <c r="C2220" s="5" t="s">
        <v>47</v>
      </c>
      <c r="D2220" s="4" t="s">
        <v>16</v>
      </c>
      <c r="E2220" s="4" t="s">
        <v>1675</v>
      </c>
      <c r="F2220" s="4" t="s">
        <v>406</v>
      </c>
      <c r="G2220" s="4" t="s">
        <v>1676</v>
      </c>
      <c r="H2220" s="12" t="n">
        <v>1</v>
      </c>
      <c r="I2220" s="4" t="s">
        <v>474</v>
      </c>
      <c r="J2220" s="4" t="s">
        <v>409</v>
      </c>
      <c r="K2220" s="13" t="n">
        <v>450</v>
      </c>
      <c r="L2220" s="6" t="n">
        <f aca="false">H2220*K2220</f>
        <v>450</v>
      </c>
      <c r="M2220" s="14" t="s">
        <v>410</v>
      </c>
    </row>
    <row r="2221" customFormat="false" ht="15" hidden="false" customHeight="false" outlineLevel="0" collapsed="false">
      <c r="A2221" s="4" t="s">
        <v>13</v>
      </c>
      <c r="B2221" s="5" t="s">
        <v>46</v>
      </c>
      <c r="C2221" s="5" t="s">
        <v>47</v>
      </c>
      <c r="D2221" s="4" t="s">
        <v>16</v>
      </c>
      <c r="E2221" s="4" t="s">
        <v>2835</v>
      </c>
      <c r="F2221" s="4" t="s">
        <v>406</v>
      </c>
      <c r="G2221" s="4" t="s">
        <v>2836</v>
      </c>
      <c r="H2221" s="12" t="n">
        <v>1</v>
      </c>
      <c r="I2221" s="4" t="s">
        <v>474</v>
      </c>
      <c r="J2221" s="4" t="s">
        <v>409</v>
      </c>
      <c r="K2221" s="13" t="n">
        <v>12000</v>
      </c>
      <c r="L2221" s="6" t="n">
        <f aca="false">H2221*K2221</f>
        <v>12000</v>
      </c>
      <c r="M2221" s="14" t="s">
        <v>410</v>
      </c>
    </row>
    <row r="2222" customFormat="false" ht="15" hidden="false" customHeight="false" outlineLevel="0" collapsed="false">
      <c r="A2222" s="4" t="s">
        <v>13</v>
      </c>
      <c r="B2222" s="5" t="s">
        <v>46</v>
      </c>
      <c r="C2222" s="5" t="s">
        <v>47</v>
      </c>
      <c r="D2222" s="4" t="s">
        <v>16</v>
      </c>
      <c r="E2222" s="4" t="s">
        <v>2837</v>
      </c>
      <c r="F2222" s="4" t="s">
        <v>406</v>
      </c>
      <c r="G2222" s="4" t="s">
        <v>2838</v>
      </c>
      <c r="H2222" s="12" t="n">
        <v>1</v>
      </c>
      <c r="I2222" s="4" t="s">
        <v>474</v>
      </c>
      <c r="J2222" s="4" t="s">
        <v>409</v>
      </c>
      <c r="K2222" s="13" t="n">
        <v>250000</v>
      </c>
      <c r="L2222" s="6" t="n">
        <f aca="false">H2222*K2222</f>
        <v>250000</v>
      </c>
      <c r="M2222" s="14" t="s">
        <v>410</v>
      </c>
    </row>
    <row r="2223" customFormat="false" ht="15" hidden="false" customHeight="false" outlineLevel="0" collapsed="false">
      <c r="A2223" s="4" t="s">
        <v>13</v>
      </c>
      <c r="B2223" s="5" t="s">
        <v>46</v>
      </c>
      <c r="C2223" s="5" t="s">
        <v>47</v>
      </c>
      <c r="D2223" s="4" t="s">
        <v>16</v>
      </c>
      <c r="E2223" s="4" t="s">
        <v>2839</v>
      </c>
      <c r="F2223" s="4" t="s">
        <v>406</v>
      </c>
      <c r="G2223" s="4" t="s">
        <v>2840</v>
      </c>
      <c r="H2223" s="12" t="n">
        <v>1</v>
      </c>
      <c r="I2223" s="4" t="s">
        <v>474</v>
      </c>
      <c r="J2223" s="4" t="s">
        <v>413</v>
      </c>
      <c r="K2223" s="13" t="n">
        <v>45000</v>
      </c>
      <c r="L2223" s="6" t="n">
        <f aca="false">H2223*K2223</f>
        <v>45000</v>
      </c>
      <c r="M2223" s="14" t="s">
        <v>410</v>
      </c>
    </row>
    <row r="2224" customFormat="false" ht="15" hidden="false" customHeight="false" outlineLevel="0" collapsed="false">
      <c r="A2224" s="4" t="s">
        <v>13</v>
      </c>
      <c r="B2224" s="5" t="s">
        <v>46</v>
      </c>
      <c r="C2224" s="5" t="s">
        <v>47</v>
      </c>
      <c r="D2224" s="4" t="s">
        <v>16</v>
      </c>
      <c r="E2224" s="4" t="s">
        <v>2841</v>
      </c>
      <c r="F2224" s="4" t="s">
        <v>406</v>
      </c>
      <c r="G2224" s="4" t="s">
        <v>2842</v>
      </c>
      <c r="H2224" s="12" t="n">
        <v>4</v>
      </c>
      <c r="I2224" s="4" t="s">
        <v>474</v>
      </c>
      <c r="J2224" s="4" t="s">
        <v>413</v>
      </c>
      <c r="K2224" s="13" t="n">
        <v>85000</v>
      </c>
      <c r="L2224" s="6" t="n">
        <f aca="false">H2224*K2224</f>
        <v>340000</v>
      </c>
      <c r="M2224" s="14" t="s">
        <v>410</v>
      </c>
    </row>
    <row r="2225" customFormat="false" ht="15" hidden="false" customHeight="false" outlineLevel="0" collapsed="false">
      <c r="A2225" s="4" t="s">
        <v>13</v>
      </c>
      <c r="B2225" s="5" t="s">
        <v>46</v>
      </c>
      <c r="C2225" s="5" t="s">
        <v>47</v>
      </c>
      <c r="D2225" s="4" t="s">
        <v>16</v>
      </c>
      <c r="E2225" s="4" t="s">
        <v>2843</v>
      </c>
      <c r="F2225" s="4" t="s">
        <v>406</v>
      </c>
      <c r="G2225" s="4" t="s">
        <v>2844</v>
      </c>
      <c r="H2225" s="12" t="n">
        <v>1</v>
      </c>
      <c r="I2225" s="4" t="s">
        <v>474</v>
      </c>
      <c r="J2225" s="4" t="s">
        <v>413</v>
      </c>
      <c r="K2225" s="13" t="n">
        <v>8500</v>
      </c>
      <c r="L2225" s="6" t="n">
        <f aca="false">H2225*K2225</f>
        <v>8500</v>
      </c>
      <c r="M2225" s="14" t="s">
        <v>410</v>
      </c>
    </row>
    <row r="2226" customFormat="false" ht="15" hidden="false" customHeight="false" outlineLevel="0" collapsed="false">
      <c r="A2226" s="4" t="s">
        <v>13</v>
      </c>
      <c r="B2226" s="5" t="s">
        <v>46</v>
      </c>
      <c r="C2226" s="5" t="s">
        <v>47</v>
      </c>
      <c r="D2226" s="4" t="s">
        <v>16</v>
      </c>
      <c r="E2226" s="4" t="s">
        <v>2845</v>
      </c>
      <c r="F2226" s="4" t="s">
        <v>406</v>
      </c>
      <c r="G2226" s="4" t="s">
        <v>2846</v>
      </c>
      <c r="H2226" s="12" t="n">
        <v>1</v>
      </c>
      <c r="I2226" s="4" t="s">
        <v>474</v>
      </c>
      <c r="J2226" s="4" t="s">
        <v>409</v>
      </c>
      <c r="K2226" s="13" t="n">
        <v>180000</v>
      </c>
      <c r="L2226" s="6" t="n">
        <f aca="false">H2226*K2226</f>
        <v>180000</v>
      </c>
      <c r="M2226" s="14" t="s">
        <v>410</v>
      </c>
    </row>
    <row r="2227" customFormat="false" ht="15" hidden="false" customHeight="false" outlineLevel="0" collapsed="false">
      <c r="A2227" s="4" t="s">
        <v>13</v>
      </c>
      <c r="B2227" s="5" t="s">
        <v>46</v>
      </c>
      <c r="C2227" s="5" t="s">
        <v>47</v>
      </c>
      <c r="D2227" s="4" t="s">
        <v>16</v>
      </c>
      <c r="E2227" s="4" t="s">
        <v>2847</v>
      </c>
      <c r="F2227" s="4" t="s">
        <v>406</v>
      </c>
      <c r="G2227" s="4" t="s">
        <v>2848</v>
      </c>
      <c r="H2227" s="12" t="n">
        <v>1</v>
      </c>
      <c r="I2227" s="4" t="s">
        <v>474</v>
      </c>
      <c r="J2227" s="4" t="s">
        <v>409</v>
      </c>
      <c r="K2227" s="13" t="n">
        <v>18000</v>
      </c>
      <c r="L2227" s="6" t="n">
        <f aca="false">H2227*K2227</f>
        <v>18000</v>
      </c>
      <c r="M2227" s="14" t="s">
        <v>410</v>
      </c>
    </row>
    <row r="2228" customFormat="false" ht="15" hidden="false" customHeight="false" outlineLevel="0" collapsed="false">
      <c r="A2228" s="4" t="s">
        <v>13</v>
      </c>
      <c r="B2228" s="5" t="s">
        <v>46</v>
      </c>
      <c r="C2228" s="5" t="s">
        <v>47</v>
      </c>
      <c r="D2228" s="4" t="s">
        <v>16</v>
      </c>
      <c r="E2228" s="4" t="s">
        <v>2818</v>
      </c>
      <c r="F2228" s="4" t="s">
        <v>406</v>
      </c>
      <c r="G2228" s="4" t="s">
        <v>2819</v>
      </c>
      <c r="H2228" s="12" t="n">
        <v>3</v>
      </c>
      <c r="I2228" s="4" t="s">
        <v>474</v>
      </c>
      <c r="J2228" s="4" t="s">
        <v>409</v>
      </c>
      <c r="K2228" s="13" t="n">
        <v>3500</v>
      </c>
      <c r="L2228" s="6" t="n">
        <f aca="false">H2228*K2228</f>
        <v>10500</v>
      </c>
      <c r="M2228" s="14" t="s">
        <v>410</v>
      </c>
    </row>
    <row r="2229" customFormat="false" ht="15" hidden="false" customHeight="false" outlineLevel="0" collapsed="false">
      <c r="A2229" s="4" t="s">
        <v>13</v>
      </c>
      <c r="B2229" s="5" t="s">
        <v>46</v>
      </c>
      <c r="C2229" s="5" t="s">
        <v>47</v>
      </c>
      <c r="D2229" s="4" t="s">
        <v>16</v>
      </c>
      <c r="E2229" s="4" t="s">
        <v>2849</v>
      </c>
      <c r="F2229" s="4" t="s">
        <v>406</v>
      </c>
      <c r="G2229" s="4" t="s">
        <v>2850</v>
      </c>
      <c r="H2229" s="12" t="n">
        <v>1</v>
      </c>
      <c r="I2229" s="4" t="s">
        <v>474</v>
      </c>
      <c r="J2229" s="4" t="s">
        <v>409</v>
      </c>
      <c r="K2229" s="13" t="n">
        <v>4500</v>
      </c>
      <c r="L2229" s="6" t="n">
        <f aca="false">H2229*K2229</f>
        <v>4500</v>
      </c>
      <c r="M2229" s="14" t="s">
        <v>410</v>
      </c>
    </row>
    <row r="2230" customFormat="false" ht="15" hidden="false" customHeight="false" outlineLevel="0" collapsed="false">
      <c r="A2230" s="4" t="s">
        <v>13</v>
      </c>
      <c r="B2230" s="5" t="s">
        <v>46</v>
      </c>
      <c r="C2230" s="5" t="s">
        <v>47</v>
      </c>
      <c r="D2230" s="4" t="s">
        <v>16</v>
      </c>
      <c r="E2230" s="4" t="s">
        <v>2851</v>
      </c>
      <c r="F2230" s="4" t="s">
        <v>406</v>
      </c>
      <c r="G2230" s="4" t="s">
        <v>2852</v>
      </c>
      <c r="H2230" s="12" t="n">
        <v>1</v>
      </c>
      <c r="I2230" s="4" t="s">
        <v>474</v>
      </c>
      <c r="J2230" s="4" t="s">
        <v>409</v>
      </c>
      <c r="K2230" s="13" t="n">
        <v>8500</v>
      </c>
      <c r="L2230" s="6" t="n">
        <f aca="false">H2230*K2230</f>
        <v>8500</v>
      </c>
      <c r="M2230" s="14" t="s">
        <v>410</v>
      </c>
    </row>
    <row r="2231" customFormat="false" ht="15" hidden="false" customHeight="false" outlineLevel="0" collapsed="false">
      <c r="A2231" s="4" t="s">
        <v>13</v>
      </c>
      <c r="B2231" s="5" t="s">
        <v>46</v>
      </c>
      <c r="C2231" s="5" t="s">
        <v>47</v>
      </c>
      <c r="D2231" s="4" t="s">
        <v>16</v>
      </c>
      <c r="E2231" s="4" t="s">
        <v>2853</v>
      </c>
      <c r="F2231" s="4" t="s">
        <v>406</v>
      </c>
      <c r="G2231" s="4" t="s">
        <v>1209</v>
      </c>
      <c r="H2231" s="12" t="n">
        <v>2</v>
      </c>
      <c r="I2231" s="4" t="s">
        <v>474</v>
      </c>
      <c r="J2231" s="4" t="s">
        <v>409</v>
      </c>
      <c r="K2231" s="13" t="n">
        <v>850</v>
      </c>
      <c r="L2231" s="6" t="n">
        <f aca="false">H2231*K2231</f>
        <v>1700</v>
      </c>
      <c r="M2231" s="14" t="s">
        <v>410</v>
      </c>
    </row>
    <row r="2232" customFormat="false" ht="15" hidden="false" customHeight="false" outlineLevel="0" collapsed="false">
      <c r="A2232" s="4" t="s">
        <v>13</v>
      </c>
      <c r="B2232" s="5" t="s">
        <v>46</v>
      </c>
      <c r="C2232" s="5" t="s">
        <v>47</v>
      </c>
      <c r="D2232" s="4" t="s">
        <v>16</v>
      </c>
      <c r="E2232" s="4" t="s">
        <v>2854</v>
      </c>
      <c r="F2232" s="4" t="s">
        <v>406</v>
      </c>
      <c r="G2232" s="4" t="s">
        <v>2855</v>
      </c>
      <c r="H2232" s="12" t="n">
        <v>1</v>
      </c>
      <c r="I2232" s="4" t="s">
        <v>474</v>
      </c>
      <c r="J2232" s="4" t="s">
        <v>409</v>
      </c>
      <c r="K2232" s="13" t="n">
        <v>4500</v>
      </c>
      <c r="L2232" s="6" t="n">
        <f aca="false">H2232*K2232</f>
        <v>4500</v>
      </c>
      <c r="M2232" s="14" t="s">
        <v>410</v>
      </c>
    </row>
    <row r="2233" customFormat="false" ht="15" hidden="false" customHeight="false" outlineLevel="0" collapsed="false">
      <c r="A2233" s="4" t="s">
        <v>13</v>
      </c>
      <c r="B2233" s="5" t="s">
        <v>46</v>
      </c>
      <c r="C2233" s="5" t="s">
        <v>47</v>
      </c>
      <c r="D2233" s="4" t="s">
        <v>16</v>
      </c>
      <c r="E2233" s="4" t="s">
        <v>2856</v>
      </c>
      <c r="F2233" s="4" t="s">
        <v>406</v>
      </c>
      <c r="G2233" s="4" t="s">
        <v>2857</v>
      </c>
      <c r="H2233" s="12" t="n">
        <v>1</v>
      </c>
      <c r="I2233" s="4" t="s">
        <v>474</v>
      </c>
      <c r="J2233" s="4" t="s">
        <v>409</v>
      </c>
      <c r="K2233" s="13" t="n">
        <v>3500</v>
      </c>
      <c r="L2233" s="6" t="n">
        <f aca="false">H2233*K2233</f>
        <v>3500</v>
      </c>
      <c r="M2233" s="14" t="s">
        <v>410</v>
      </c>
    </row>
    <row r="2234" customFormat="false" ht="15" hidden="false" customHeight="false" outlineLevel="0" collapsed="false">
      <c r="A2234" s="4" t="s">
        <v>13</v>
      </c>
      <c r="B2234" s="5" t="s">
        <v>46</v>
      </c>
      <c r="C2234" s="5" t="s">
        <v>47</v>
      </c>
      <c r="D2234" s="4" t="s">
        <v>16</v>
      </c>
      <c r="E2234" s="4" t="s">
        <v>2858</v>
      </c>
      <c r="F2234" s="4" t="s">
        <v>406</v>
      </c>
      <c r="G2234" s="4" t="s">
        <v>2859</v>
      </c>
      <c r="H2234" s="12" t="n">
        <v>1</v>
      </c>
      <c r="I2234" s="4" t="s">
        <v>474</v>
      </c>
      <c r="J2234" s="4" t="s">
        <v>409</v>
      </c>
      <c r="K2234" s="13" t="n">
        <v>2500</v>
      </c>
      <c r="L2234" s="6" t="n">
        <f aca="false">H2234*K2234</f>
        <v>2500</v>
      </c>
      <c r="M2234" s="14" t="s">
        <v>410</v>
      </c>
    </row>
    <row r="2235" customFormat="false" ht="15" hidden="false" customHeight="false" outlineLevel="0" collapsed="false">
      <c r="A2235" s="4" t="s">
        <v>13</v>
      </c>
      <c r="B2235" s="5" t="s">
        <v>46</v>
      </c>
      <c r="C2235" s="5" t="s">
        <v>47</v>
      </c>
      <c r="D2235" s="4" t="s">
        <v>16</v>
      </c>
      <c r="E2235" s="4" t="s">
        <v>2860</v>
      </c>
      <c r="F2235" s="4" t="s">
        <v>406</v>
      </c>
      <c r="G2235" s="4" t="s">
        <v>2861</v>
      </c>
      <c r="H2235" s="12" t="n">
        <v>1</v>
      </c>
      <c r="I2235" s="4" t="s">
        <v>474</v>
      </c>
      <c r="J2235" s="4" t="s">
        <v>409</v>
      </c>
      <c r="K2235" s="13" t="n">
        <v>2500</v>
      </c>
      <c r="L2235" s="6" t="n">
        <f aca="false">H2235*K2235</f>
        <v>2500</v>
      </c>
      <c r="M2235" s="14" t="s">
        <v>410</v>
      </c>
    </row>
    <row r="2236" customFormat="false" ht="15" hidden="false" customHeight="false" outlineLevel="0" collapsed="false">
      <c r="A2236" s="4" t="s">
        <v>13</v>
      </c>
      <c r="B2236" s="5" t="s">
        <v>46</v>
      </c>
      <c r="C2236" s="5" t="s">
        <v>47</v>
      </c>
      <c r="D2236" s="4" t="s">
        <v>16</v>
      </c>
      <c r="E2236" s="4" t="s">
        <v>2862</v>
      </c>
      <c r="F2236" s="4" t="s">
        <v>406</v>
      </c>
      <c r="G2236" s="4" t="s">
        <v>2863</v>
      </c>
      <c r="H2236" s="12" t="n">
        <v>1</v>
      </c>
      <c r="I2236" s="4" t="s">
        <v>474</v>
      </c>
      <c r="J2236" s="4" t="s">
        <v>409</v>
      </c>
      <c r="K2236" s="13" t="n">
        <v>2500</v>
      </c>
      <c r="L2236" s="6" t="n">
        <f aca="false">H2236*K2236</f>
        <v>2500</v>
      </c>
      <c r="M2236" s="14" t="s">
        <v>410</v>
      </c>
    </row>
    <row r="2237" customFormat="false" ht="15" hidden="false" customHeight="false" outlineLevel="0" collapsed="false">
      <c r="A2237" s="4" t="s">
        <v>13</v>
      </c>
      <c r="B2237" s="5" t="s">
        <v>46</v>
      </c>
      <c r="C2237" s="5" t="s">
        <v>47</v>
      </c>
      <c r="D2237" s="4" t="s">
        <v>16</v>
      </c>
      <c r="E2237" s="4" t="s">
        <v>2864</v>
      </c>
      <c r="F2237" s="4" t="s">
        <v>406</v>
      </c>
      <c r="G2237" s="4" t="s">
        <v>2865</v>
      </c>
      <c r="H2237" s="12" t="n">
        <v>1</v>
      </c>
      <c r="I2237" s="4" t="s">
        <v>474</v>
      </c>
      <c r="J2237" s="4" t="s">
        <v>409</v>
      </c>
      <c r="K2237" s="13" t="n">
        <v>850</v>
      </c>
      <c r="L2237" s="6" t="n">
        <f aca="false">H2237*K2237</f>
        <v>850</v>
      </c>
      <c r="M2237" s="14" t="s">
        <v>410</v>
      </c>
    </row>
    <row r="2238" customFormat="false" ht="15" hidden="false" customHeight="false" outlineLevel="0" collapsed="false">
      <c r="A2238" s="4" t="s">
        <v>13</v>
      </c>
      <c r="B2238" s="5" t="s">
        <v>46</v>
      </c>
      <c r="C2238" s="5" t="s">
        <v>47</v>
      </c>
      <c r="D2238" s="4" t="s">
        <v>16</v>
      </c>
      <c r="E2238" s="4" t="s">
        <v>2866</v>
      </c>
      <c r="F2238" s="4" t="s">
        <v>406</v>
      </c>
      <c r="G2238" s="4" t="s">
        <v>2867</v>
      </c>
      <c r="H2238" s="12" t="n">
        <v>1</v>
      </c>
      <c r="I2238" s="4" t="s">
        <v>474</v>
      </c>
      <c r="J2238" s="4" t="s">
        <v>409</v>
      </c>
      <c r="K2238" s="13" t="n">
        <v>18000</v>
      </c>
      <c r="L2238" s="6" t="n">
        <f aca="false">H2238*K2238</f>
        <v>18000</v>
      </c>
      <c r="M2238" s="14" t="s">
        <v>410</v>
      </c>
    </row>
    <row r="2239" customFormat="false" ht="15" hidden="false" customHeight="false" outlineLevel="0" collapsed="false">
      <c r="A2239" s="4" t="s">
        <v>13</v>
      </c>
      <c r="B2239" s="5" t="s">
        <v>46</v>
      </c>
      <c r="C2239" s="5" t="s">
        <v>47</v>
      </c>
      <c r="D2239" s="4" t="s">
        <v>16</v>
      </c>
      <c r="E2239" s="4" t="s">
        <v>2868</v>
      </c>
      <c r="F2239" s="4" t="s">
        <v>406</v>
      </c>
      <c r="G2239" s="4" t="s">
        <v>2869</v>
      </c>
      <c r="H2239" s="12" t="n">
        <v>1</v>
      </c>
      <c r="I2239" s="4" t="s">
        <v>474</v>
      </c>
      <c r="J2239" s="4" t="s">
        <v>409</v>
      </c>
      <c r="K2239" s="13" t="n">
        <v>1200</v>
      </c>
      <c r="L2239" s="6" t="n">
        <f aca="false">H2239*K2239</f>
        <v>1200</v>
      </c>
      <c r="M2239" s="14" t="s">
        <v>410</v>
      </c>
    </row>
    <row r="2240" customFormat="false" ht="15" hidden="false" customHeight="false" outlineLevel="0" collapsed="false">
      <c r="A2240" s="4" t="s">
        <v>13</v>
      </c>
      <c r="B2240" s="5" t="s">
        <v>46</v>
      </c>
      <c r="C2240" s="5" t="s">
        <v>47</v>
      </c>
      <c r="D2240" s="4" t="s">
        <v>16</v>
      </c>
      <c r="E2240" s="4" t="s">
        <v>2870</v>
      </c>
      <c r="F2240" s="4" t="s">
        <v>406</v>
      </c>
      <c r="G2240" s="4" t="s">
        <v>2871</v>
      </c>
      <c r="H2240" s="12" t="n">
        <v>1</v>
      </c>
      <c r="I2240" s="4" t="s">
        <v>474</v>
      </c>
      <c r="J2240" s="4" t="s">
        <v>409</v>
      </c>
      <c r="K2240" s="13" t="n">
        <v>850</v>
      </c>
      <c r="L2240" s="6" t="n">
        <f aca="false">H2240*K2240</f>
        <v>850</v>
      </c>
      <c r="M2240" s="14" t="s">
        <v>410</v>
      </c>
    </row>
    <row r="2241" customFormat="false" ht="15" hidden="false" customHeight="false" outlineLevel="0" collapsed="false">
      <c r="A2241" s="4" t="s">
        <v>13</v>
      </c>
      <c r="B2241" s="5" t="s">
        <v>46</v>
      </c>
      <c r="C2241" s="5" t="s">
        <v>47</v>
      </c>
      <c r="D2241" s="4" t="s">
        <v>16</v>
      </c>
      <c r="E2241" s="4" t="s">
        <v>2872</v>
      </c>
      <c r="F2241" s="4" t="s">
        <v>406</v>
      </c>
      <c r="G2241" s="4" t="s">
        <v>2873</v>
      </c>
      <c r="H2241" s="12" t="n">
        <v>1</v>
      </c>
      <c r="I2241" s="4" t="s">
        <v>474</v>
      </c>
      <c r="J2241" s="4" t="s">
        <v>409</v>
      </c>
      <c r="K2241" s="13" t="n">
        <v>4500</v>
      </c>
      <c r="L2241" s="6" t="n">
        <f aca="false">H2241*K2241</f>
        <v>4500</v>
      </c>
      <c r="M2241" s="14" t="s">
        <v>410</v>
      </c>
    </row>
    <row r="2242" customFormat="false" ht="15" hidden="false" customHeight="false" outlineLevel="0" collapsed="false">
      <c r="A2242" s="4" t="s">
        <v>13</v>
      </c>
      <c r="B2242" s="5" t="s">
        <v>46</v>
      </c>
      <c r="C2242" s="5" t="s">
        <v>47</v>
      </c>
      <c r="D2242" s="4" t="s">
        <v>16</v>
      </c>
      <c r="E2242" s="4" t="s">
        <v>2874</v>
      </c>
      <c r="F2242" s="4" t="s">
        <v>406</v>
      </c>
      <c r="G2242" s="4" t="s">
        <v>2875</v>
      </c>
      <c r="H2242" s="12" t="n">
        <v>1</v>
      </c>
      <c r="I2242" s="4" t="s">
        <v>474</v>
      </c>
      <c r="J2242" s="4" t="s">
        <v>416</v>
      </c>
      <c r="K2242" s="13" t="n">
        <v>2500</v>
      </c>
      <c r="L2242" s="6" t="n">
        <f aca="false">H2242*K2242</f>
        <v>2500</v>
      </c>
      <c r="M2242" s="14" t="s">
        <v>410</v>
      </c>
    </row>
    <row r="2243" customFormat="false" ht="15" hidden="false" customHeight="false" outlineLevel="0" collapsed="false">
      <c r="A2243" s="4" t="s">
        <v>13</v>
      </c>
      <c r="B2243" s="5" t="s">
        <v>46</v>
      </c>
      <c r="C2243" s="5" t="s">
        <v>47</v>
      </c>
      <c r="D2243" s="4" t="s">
        <v>16</v>
      </c>
      <c r="E2243" s="4" t="s">
        <v>2876</v>
      </c>
      <c r="F2243" s="4" t="s">
        <v>406</v>
      </c>
      <c r="G2243" s="4" t="s">
        <v>2877</v>
      </c>
      <c r="H2243" s="12" t="n">
        <v>1</v>
      </c>
      <c r="I2243" s="4" t="s">
        <v>474</v>
      </c>
      <c r="J2243" s="4" t="s">
        <v>409</v>
      </c>
      <c r="K2243" s="13" t="n">
        <v>1800</v>
      </c>
      <c r="L2243" s="6" t="n">
        <f aca="false">H2243*K2243</f>
        <v>1800</v>
      </c>
      <c r="M2243" s="14" t="s">
        <v>410</v>
      </c>
    </row>
    <row r="2244" customFormat="false" ht="15" hidden="false" customHeight="false" outlineLevel="0" collapsed="false">
      <c r="A2244" s="4" t="s">
        <v>13</v>
      </c>
      <c r="B2244" s="5" t="s">
        <v>46</v>
      </c>
      <c r="C2244" s="5" t="s">
        <v>47</v>
      </c>
      <c r="D2244" s="4" t="s">
        <v>16</v>
      </c>
      <c r="E2244" s="4" t="s">
        <v>2878</v>
      </c>
      <c r="F2244" s="4" t="s">
        <v>406</v>
      </c>
      <c r="G2244" s="4" t="s">
        <v>2879</v>
      </c>
      <c r="H2244" s="12" t="n">
        <v>1</v>
      </c>
      <c r="I2244" s="4" t="s">
        <v>474</v>
      </c>
      <c r="J2244" s="4" t="s">
        <v>413</v>
      </c>
      <c r="K2244" s="13" t="n">
        <v>8500</v>
      </c>
      <c r="L2244" s="6" t="n">
        <f aca="false">H2244*K2244</f>
        <v>8500</v>
      </c>
      <c r="M2244" s="14" t="s">
        <v>410</v>
      </c>
    </row>
    <row r="2245" customFormat="false" ht="15" hidden="false" customHeight="false" outlineLevel="0" collapsed="false">
      <c r="A2245" s="4" t="s">
        <v>13</v>
      </c>
      <c r="B2245" s="5" t="s">
        <v>46</v>
      </c>
      <c r="C2245" s="5" t="s">
        <v>47</v>
      </c>
      <c r="D2245" s="4" t="s">
        <v>16</v>
      </c>
      <c r="E2245" s="4" t="s">
        <v>2880</v>
      </c>
      <c r="F2245" s="4" t="s">
        <v>406</v>
      </c>
      <c r="G2245" s="4" t="s">
        <v>2881</v>
      </c>
      <c r="H2245" s="12" t="n">
        <v>5</v>
      </c>
      <c r="I2245" s="4" t="s">
        <v>474</v>
      </c>
      <c r="J2245" s="4" t="s">
        <v>409</v>
      </c>
      <c r="K2245" s="13" t="n">
        <v>850</v>
      </c>
      <c r="L2245" s="6" t="n">
        <f aca="false">H2245*K2245</f>
        <v>4250</v>
      </c>
      <c r="M2245" s="14" t="s">
        <v>410</v>
      </c>
    </row>
    <row r="2246" customFormat="false" ht="15" hidden="false" customHeight="false" outlineLevel="0" collapsed="false">
      <c r="A2246" s="4" t="s">
        <v>13</v>
      </c>
      <c r="B2246" s="5" t="s">
        <v>46</v>
      </c>
      <c r="C2246" s="5" t="s">
        <v>47</v>
      </c>
      <c r="D2246" s="4" t="s">
        <v>16</v>
      </c>
      <c r="E2246" s="4" t="s">
        <v>2882</v>
      </c>
      <c r="F2246" s="4" t="s">
        <v>406</v>
      </c>
      <c r="G2246" s="4" t="s">
        <v>2883</v>
      </c>
      <c r="H2246" s="12" t="n">
        <v>1</v>
      </c>
      <c r="I2246" s="4" t="s">
        <v>474</v>
      </c>
      <c r="J2246" s="4" t="s">
        <v>409</v>
      </c>
      <c r="K2246" s="13" t="n">
        <v>1800</v>
      </c>
      <c r="L2246" s="6" t="n">
        <f aca="false">H2246*K2246</f>
        <v>1800</v>
      </c>
      <c r="M2246" s="14" t="s">
        <v>410</v>
      </c>
    </row>
    <row r="2247" customFormat="false" ht="15" hidden="false" customHeight="false" outlineLevel="0" collapsed="false">
      <c r="A2247" s="4" t="s">
        <v>13</v>
      </c>
      <c r="B2247" s="5" t="s">
        <v>46</v>
      </c>
      <c r="C2247" s="5" t="s">
        <v>47</v>
      </c>
      <c r="D2247" s="4" t="s">
        <v>16</v>
      </c>
      <c r="E2247" s="4" t="s">
        <v>2884</v>
      </c>
      <c r="F2247" s="4" t="s">
        <v>406</v>
      </c>
      <c r="G2247" s="4" t="s">
        <v>2885</v>
      </c>
      <c r="H2247" s="12" t="n">
        <v>1</v>
      </c>
      <c r="I2247" s="4" t="s">
        <v>474</v>
      </c>
      <c r="J2247" s="4" t="s">
        <v>416</v>
      </c>
      <c r="K2247" s="13" t="n">
        <v>18000</v>
      </c>
      <c r="L2247" s="6" t="n">
        <f aca="false">H2247*K2247</f>
        <v>18000</v>
      </c>
      <c r="M2247" s="14" t="s">
        <v>410</v>
      </c>
    </row>
    <row r="2248" customFormat="false" ht="15" hidden="false" customHeight="false" outlineLevel="0" collapsed="false">
      <c r="A2248" s="4" t="s">
        <v>13</v>
      </c>
      <c r="B2248" s="5" t="s">
        <v>46</v>
      </c>
      <c r="C2248" s="5" t="s">
        <v>47</v>
      </c>
      <c r="D2248" s="4" t="s">
        <v>16</v>
      </c>
      <c r="E2248" s="4" t="s">
        <v>2886</v>
      </c>
      <c r="F2248" s="4" t="s">
        <v>406</v>
      </c>
      <c r="G2248" s="4" t="s">
        <v>2887</v>
      </c>
      <c r="H2248" s="12" t="n">
        <v>1</v>
      </c>
      <c r="I2248" s="4" t="s">
        <v>474</v>
      </c>
      <c r="J2248" s="4" t="s">
        <v>543</v>
      </c>
      <c r="K2248" s="13" t="n">
        <v>85000</v>
      </c>
      <c r="L2248" s="6" t="n">
        <f aca="false">H2248*K2248</f>
        <v>85000</v>
      </c>
      <c r="M2248" s="14" t="s">
        <v>410</v>
      </c>
    </row>
    <row r="2249" customFormat="false" ht="15" hidden="false" customHeight="false" outlineLevel="0" collapsed="false">
      <c r="A2249" s="4" t="s">
        <v>13</v>
      </c>
      <c r="B2249" s="5" t="s">
        <v>46</v>
      </c>
      <c r="C2249" s="5" t="s">
        <v>47</v>
      </c>
      <c r="D2249" s="4" t="s">
        <v>16</v>
      </c>
      <c r="E2249" s="4" t="s">
        <v>3245</v>
      </c>
      <c r="F2249" s="4" t="s">
        <v>470</v>
      </c>
      <c r="G2249" s="4" t="s">
        <v>2889</v>
      </c>
      <c r="H2249" s="12" t="n">
        <v>1</v>
      </c>
      <c r="I2249" s="4" t="s">
        <v>474</v>
      </c>
      <c r="J2249" s="4" t="s">
        <v>416</v>
      </c>
      <c r="K2249" s="13" t="n">
        <v>35000</v>
      </c>
      <c r="L2249" s="6" t="n">
        <f aca="false">H2249*K2249</f>
        <v>35000</v>
      </c>
      <c r="M2249" s="4" t="s">
        <v>371</v>
      </c>
    </row>
    <row r="2250" customFormat="false" ht="15" hidden="false" customHeight="false" outlineLevel="0" collapsed="false">
      <c r="A2250" s="4" t="s">
        <v>13</v>
      </c>
      <c r="B2250" s="5" t="s">
        <v>46</v>
      </c>
      <c r="C2250" s="5" t="s">
        <v>47</v>
      </c>
      <c r="D2250" s="4" t="s">
        <v>16</v>
      </c>
      <c r="E2250" s="4" t="s">
        <v>2890</v>
      </c>
      <c r="F2250" s="4" t="s">
        <v>470</v>
      </c>
      <c r="G2250" s="4" t="s">
        <v>2891</v>
      </c>
      <c r="H2250" s="12" t="n">
        <v>1</v>
      </c>
      <c r="I2250" s="4" t="s">
        <v>474</v>
      </c>
      <c r="J2250" s="4" t="s">
        <v>409</v>
      </c>
      <c r="K2250" s="13" t="n">
        <v>25000</v>
      </c>
      <c r="L2250" s="6" t="n">
        <f aca="false">H2250*K2250</f>
        <v>25000</v>
      </c>
      <c r="M2250" s="4" t="s">
        <v>371</v>
      </c>
    </row>
    <row r="2251" customFormat="false" ht="15" hidden="false" customHeight="false" outlineLevel="0" collapsed="false">
      <c r="A2251" s="4" t="s">
        <v>13</v>
      </c>
      <c r="B2251" s="5" t="s">
        <v>46</v>
      </c>
      <c r="C2251" s="5" t="s">
        <v>47</v>
      </c>
      <c r="D2251" s="4" t="s">
        <v>16</v>
      </c>
      <c r="E2251" s="4" t="s">
        <v>2892</v>
      </c>
      <c r="F2251" s="4" t="s">
        <v>488</v>
      </c>
      <c r="G2251" s="4" t="s">
        <v>2893</v>
      </c>
      <c r="H2251" s="12" t="n">
        <v>4</v>
      </c>
      <c r="I2251" s="4" t="s">
        <v>474</v>
      </c>
      <c r="J2251" s="4" t="s">
        <v>409</v>
      </c>
      <c r="K2251" s="13" t="n">
        <v>250</v>
      </c>
      <c r="L2251" s="6" t="n">
        <f aca="false">H2251*K2251</f>
        <v>1000</v>
      </c>
      <c r="M2251" s="14" t="s">
        <v>410</v>
      </c>
    </row>
    <row r="2252" customFormat="false" ht="15" hidden="false" customHeight="false" outlineLevel="0" collapsed="false">
      <c r="A2252" s="4" t="s">
        <v>13</v>
      </c>
      <c r="B2252" s="5" t="s">
        <v>46</v>
      </c>
      <c r="C2252" s="5" t="s">
        <v>47</v>
      </c>
      <c r="D2252" s="4" t="s">
        <v>16</v>
      </c>
      <c r="E2252" s="4" t="s">
        <v>2894</v>
      </c>
      <c r="F2252" s="4" t="s">
        <v>488</v>
      </c>
      <c r="G2252" s="4" t="s">
        <v>2895</v>
      </c>
      <c r="H2252" s="12" t="n">
        <v>10</v>
      </c>
      <c r="I2252" s="4" t="s">
        <v>474</v>
      </c>
      <c r="J2252" s="4" t="s">
        <v>409</v>
      </c>
      <c r="K2252" s="13" t="n">
        <v>25000</v>
      </c>
      <c r="L2252" s="6" t="n">
        <f aca="false">H2252*K2252</f>
        <v>250000</v>
      </c>
      <c r="M2252" s="4" t="s">
        <v>371</v>
      </c>
    </row>
    <row r="2253" customFormat="false" ht="15" hidden="false" customHeight="false" outlineLevel="0" collapsed="false">
      <c r="A2253" s="4" t="s">
        <v>13</v>
      </c>
      <c r="B2253" s="5" t="s">
        <v>50</v>
      </c>
      <c r="C2253" s="5" t="s">
        <v>51</v>
      </c>
      <c r="D2253" s="4" t="s">
        <v>16</v>
      </c>
      <c r="E2253" s="4" t="s">
        <v>3222</v>
      </c>
      <c r="F2253" s="4" t="s">
        <v>406</v>
      </c>
      <c r="G2253" s="4" t="s">
        <v>3223</v>
      </c>
      <c r="H2253" s="12" t="n">
        <v>1</v>
      </c>
      <c r="I2253" s="4" t="s">
        <v>408</v>
      </c>
      <c r="J2253" s="4" t="s">
        <v>413</v>
      </c>
      <c r="K2253" s="13" t="n">
        <v>2500</v>
      </c>
      <c r="L2253" s="6" t="n">
        <f aca="false">H2253*K2253</f>
        <v>2500</v>
      </c>
      <c r="M2253" s="14" t="s">
        <v>410</v>
      </c>
    </row>
    <row r="2254" customFormat="false" ht="15" hidden="false" customHeight="false" outlineLevel="0" collapsed="false">
      <c r="A2254" s="4" t="s">
        <v>13</v>
      </c>
      <c r="B2254" s="5" t="s">
        <v>52</v>
      </c>
      <c r="C2254" s="5" t="s">
        <v>53</v>
      </c>
      <c r="D2254" s="4" t="s">
        <v>16</v>
      </c>
      <c r="E2254" s="4" t="s">
        <v>550</v>
      </c>
      <c r="F2254" s="4" t="s">
        <v>406</v>
      </c>
      <c r="G2254" s="4" t="s">
        <v>551</v>
      </c>
      <c r="H2254" s="12" t="n">
        <v>1</v>
      </c>
      <c r="I2254" s="4" t="s">
        <v>408</v>
      </c>
      <c r="J2254" s="4" t="s">
        <v>409</v>
      </c>
      <c r="K2254" s="13" t="n">
        <v>850</v>
      </c>
      <c r="L2254" s="6" t="n">
        <f aca="false">H2254*K2254</f>
        <v>850</v>
      </c>
      <c r="M2254" s="14" t="s">
        <v>410</v>
      </c>
    </row>
    <row r="2255" customFormat="false" ht="15" hidden="false" customHeight="false" outlineLevel="0" collapsed="false">
      <c r="A2255" s="4" t="s">
        <v>13</v>
      </c>
      <c r="B2255" s="5" t="s">
        <v>52</v>
      </c>
      <c r="C2255" s="5" t="s">
        <v>53</v>
      </c>
      <c r="D2255" s="4" t="s">
        <v>16</v>
      </c>
      <c r="E2255" s="4" t="s">
        <v>552</v>
      </c>
      <c r="F2255" s="4" t="s">
        <v>406</v>
      </c>
      <c r="G2255" s="4" t="s">
        <v>553</v>
      </c>
      <c r="H2255" s="12" t="n">
        <v>1</v>
      </c>
      <c r="I2255" s="4" t="s">
        <v>408</v>
      </c>
      <c r="J2255" s="4" t="s">
        <v>409</v>
      </c>
      <c r="K2255" s="13" t="n">
        <v>850</v>
      </c>
      <c r="L2255" s="6" t="n">
        <f aca="false">H2255*K2255</f>
        <v>850</v>
      </c>
      <c r="M2255" s="14" t="s">
        <v>410</v>
      </c>
    </row>
    <row r="2256" customFormat="false" ht="15" hidden="false" customHeight="false" outlineLevel="0" collapsed="false">
      <c r="A2256" s="4" t="s">
        <v>13</v>
      </c>
      <c r="B2256" s="5" t="s">
        <v>52</v>
      </c>
      <c r="C2256" s="5" t="s">
        <v>53</v>
      </c>
      <c r="D2256" s="4" t="s">
        <v>16</v>
      </c>
      <c r="E2256" s="4" t="s">
        <v>554</v>
      </c>
      <c r="F2256" s="4" t="s">
        <v>406</v>
      </c>
      <c r="G2256" s="4" t="s">
        <v>555</v>
      </c>
      <c r="H2256" s="12" t="n">
        <v>1</v>
      </c>
      <c r="I2256" s="4" t="s">
        <v>408</v>
      </c>
      <c r="J2256" s="4" t="s">
        <v>409</v>
      </c>
      <c r="K2256" s="13" t="n">
        <v>450</v>
      </c>
      <c r="L2256" s="6" t="n">
        <f aca="false">H2256*K2256</f>
        <v>450</v>
      </c>
      <c r="M2256" s="14" t="s">
        <v>410</v>
      </c>
    </row>
    <row r="2257" customFormat="false" ht="15" hidden="false" customHeight="false" outlineLevel="0" collapsed="false">
      <c r="A2257" s="4" t="s">
        <v>13</v>
      </c>
      <c r="B2257" s="5" t="s">
        <v>52</v>
      </c>
      <c r="C2257" s="5" t="s">
        <v>53</v>
      </c>
      <c r="D2257" s="4" t="s">
        <v>16</v>
      </c>
      <c r="E2257" s="4" t="s">
        <v>558</v>
      </c>
      <c r="F2257" s="4" t="s">
        <v>406</v>
      </c>
      <c r="G2257" s="4" t="s">
        <v>559</v>
      </c>
      <c r="H2257" s="12" t="n">
        <v>1</v>
      </c>
      <c r="I2257" s="4" t="s">
        <v>408</v>
      </c>
      <c r="J2257" s="4" t="s">
        <v>409</v>
      </c>
      <c r="K2257" s="13" t="n">
        <v>650</v>
      </c>
      <c r="L2257" s="6" t="n">
        <f aca="false">H2257*K2257</f>
        <v>650</v>
      </c>
      <c r="M2257" s="14" t="s">
        <v>410</v>
      </c>
    </row>
    <row r="2258" customFormat="false" ht="15" hidden="false" customHeight="false" outlineLevel="0" collapsed="false">
      <c r="A2258" s="4" t="s">
        <v>13</v>
      </c>
      <c r="B2258" s="5" t="s">
        <v>52</v>
      </c>
      <c r="C2258" s="5" t="s">
        <v>53</v>
      </c>
      <c r="D2258" s="4" t="s">
        <v>16</v>
      </c>
      <c r="E2258" s="4" t="s">
        <v>539</v>
      </c>
      <c r="F2258" s="4" t="s">
        <v>406</v>
      </c>
      <c r="G2258" s="4" t="s">
        <v>540</v>
      </c>
      <c r="H2258" s="12" t="n">
        <v>1</v>
      </c>
      <c r="I2258" s="4" t="s">
        <v>408</v>
      </c>
      <c r="J2258" s="4" t="s">
        <v>409</v>
      </c>
      <c r="K2258" s="13" t="n">
        <v>250</v>
      </c>
      <c r="L2258" s="6" t="n">
        <f aca="false">H2258*K2258</f>
        <v>250</v>
      </c>
      <c r="M2258" s="14" t="s">
        <v>410</v>
      </c>
    </row>
    <row r="2259" customFormat="false" ht="15" hidden="false" customHeight="false" outlineLevel="0" collapsed="false">
      <c r="A2259" s="4" t="s">
        <v>13</v>
      </c>
      <c r="B2259" s="5" t="s">
        <v>52</v>
      </c>
      <c r="C2259" s="5" t="s">
        <v>53</v>
      </c>
      <c r="D2259" s="4" t="s">
        <v>16</v>
      </c>
      <c r="E2259" s="4" t="s">
        <v>562</v>
      </c>
      <c r="F2259" s="4" t="s">
        <v>406</v>
      </c>
      <c r="G2259" s="4" t="s">
        <v>563</v>
      </c>
      <c r="H2259" s="12" t="n">
        <v>1</v>
      </c>
      <c r="I2259" s="4" t="s">
        <v>408</v>
      </c>
      <c r="J2259" s="4" t="s">
        <v>409</v>
      </c>
      <c r="K2259" s="13" t="n">
        <v>3500</v>
      </c>
      <c r="L2259" s="6" t="n">
        <f aca="false">H2259*K2259</f>
        <v>3500</v>
      </c>
      <c r="M2259" s="14" t="s">
        <v>410</v>
      </c>
    </row>
    <row r="2260" customFormat="false" ht="15" hidden="false" customHeight="false" outlineLevel="0" collapsed="false">
      <c r="A2260" s="4" t="s">
        <v>13</v>
      </c>
      <c r="B2260" s="5" t="s">
        <v>52</v>
      </c>
      <c r="C2260" s="5" t="s">
        <v>53</v>
      </c>
      <c r="D2260" s="4" t="s">
        <v>16</v>
      </c>
      <c r="E2260" s="4" t="s">
        <v>564</v>
      </c>
      <c r="F2260" s="4" t="s">
        <v>406</v>
      </c>
      <c r="G2260" s="4" t="s">
        <v>565</v>
      </c>
      <c r="H2260" s="12" t="n">
        <v>1</v>
      </c>
      <c r="I2260" s="4" t="s">
        <v>408</v>
      </c>
      <c r="J2260" s="4" t="s">
        <v>409</v>
      </c>
      <c r="K2260" s="13" t="n">
        <v>18000</v>
      </c>
      <c r="L2260" s="6" t="n">
        <f aca="false">H2260*K2260</f>
        <v>18000</v>
      </c>
      <c r="M2260" s="14" t="s">
        <v>410</v>
      </c>
    </row>
    <row r="2261" customFormat="false" ht="15" hidden="false" customHeight="false" outlineLevel="0" collapsed="false">
      <c r="A2261" s="4" t="s">
        <v>13</v>
      </c>
      <c r="B2261" s="5" t="s">
        <v>52</v>
      </c>
      <c r="C2261" s="5" t="s">
        <v>53</v>
      </c>
      <c r="D2261" s="4" t="s">
        <v>16</v>
      </c>
      <c r="E2261" s="4" t="s">
        <v>566</v>
      </c>
      <c r="F2261" s="4" t="s">
        <v>406</v>
      </c>
      <c r="G2261" s="4" t="s">
        <v>567</v>
      </c>
      <c r="H2261" s="12" t="n">
        <v>1</v>
      </c>
      <c r="I2261" s="4" t="s">
        <v>408</v>
      </c>
      <c r="J2261" s="4" t="s">
        <v>413</v>
      </c>
      <c r="K2261" s="13" t="n">
        <v>4500</v>
      </c>
      <c r="L2261" s="6" t="n">
        <f aca="false">H2261*K2261</f>
        <v>4500</v>
      </c>
      <c r="M2261" s="14" t="s">
        <v>410</v>
      </c>
    </row>
    <row r="2262" customFormat="false" ht="15" hidden="false" customHeight="false" outlineLevel="0" collapsed="false">
      <c r="A2262" s="4" t="s">
        <v>13</v>
      </c>
      <c r="B2262" s="5" t="s">
        <v>52</v>
      </c>
      <c r="C2262" s="5" t="s">
        <v>53</v>
      </c>
      <c r="D2262" s="4" t="s">
        <v>16</v>
      </c>
      <c r="E2262" s="4" t="s">
        <v>568</v>
      </c>
      <c r="F2262" s="4" t="s">
        <v>406</v>
      </c>
      <c r="G2262" s="4" t="s">
        <v>569</v>
      </c>
      <c r="H2262" s="12" t="n">
        <v>1</v>
      </c>
      <c r="I2262" s="4" t="s">
        <v>408</v>
      </c>
      <c r="J2262" s="4" t="s">
        <v>409</v>
      </c>
      <c r="K2262" s="13" t="n">
        <v>350</v>
      </c>
      <c r="L2262" s="6" t="n">
        <f aca="false">H2262*K2262</f>
        <v>350</v>
      </c>
      <c r="M2262" s="14" t="s">
        <v>410</v>
      </c>
    </row>
    <row r="2263" customFormat="false" ht="15" hidden="false" customHeight="false" outlineLevel="0" collapsed="false">
      <c r="A2263" s="4" t="s">
        <v>13</v>
      </c>
      <c r="B2263" s="5" t="s">
        <v>52</v>
      </c>
      <c r="C2263" s="5" t="s">
        <v>53</v>
      </c>
      <c r="D2263" s="4" t="s">
        <v>16</v>
      </c>
      <c r="E2263" s="4" t="s">
        <v>570</v>
      </c>
      <c r="F2263" s="4" t="s">
        <v>406</v>
      </c>
      <c r="G2263" s="4" t="s">
        <v>571</v>
      </c>
      <c r="H2263" s="12" t="n">
        <v>1</v>
      </c>
      <c r="I2263" s="4" t="s">
        <v>408</v>
      </c>
      <c r="J2263" s="4" t="s">
        <v>409</v>
      </c>
      <c r="K2263" s="13" t="n">
        <v>6500</v>
      </c>
      <c r="L2263" s="6" t="n">
        <f aca="false">H2263*K2263</f>
        <v>6500</v>
      </c>
      <c r="M2263" s="14" t="s">
        <v>410</v>
      </c>
    </row>
    <row r="2264" customFormat="false" ht="15" hidden="false" customHeight="false" outlineLevel="0" collapsed="false">
      <c r="A2264" s="4" t="s">
        <v>13</v>
      </c>
      <c r="B2264" s="5" t="s">
        <v>52</v>
      </c>
      <c r="C2264" s="5" t="s">
        <v>53</v>
      </c>
      <c r="D2264" s="4" t="s">
        <v>16</v>
      </c>
      <c r="E2264" s="4" t="s">
        <v>572</v>
      </c>
      <c r="F2264" s="4" t="s">
        <v>406</v>
      </c>
      <c r="G2264" s="4" t="s">
        <v>573</v>
      </c>
      <c r="H2264" s="12" t="n">
        <v>1</v>
      </c>
      <c r="I2264" s="4" t="s">
        <v>408</v>
      </c>
      <c r="J2264" s="4" t="s">
        <v>409</v>
      </c>
      <c r="K2264" s="13" t="n">
        <v>2500</v>
      </c>
      <c r="L2264" s="6" t="n">
        <f aca="false">H2264*K2264</f>
        <v>2500</v>
      </c>
      <c r="M2264" s="14" t="s">
        <v>410</v>
      </c>
    </row>
    <row r="2265" customFormat="false" ht="15" hidden="false" customHeight="false" outlineLevel="0" collapsed="false">
      <c r="A2265" s="4" t="s">
        <v>13</v>
      </c>
      <c r="B2265" s="5" t="s">
        <v>52</v>
      </c>
      <c r="C2265" s="5" t="s">
        <v>53</v>
      </c>
      <c r="D2265" s="4" t="s">
        <v>16</v>
      </c>
      <c r="E2265" s="4" t="s">
        <v>574</v>
      </c>
      <c r="F2265" s="4" t="s">
        <v>406</v>
      </c>
      <c r="G2265" s="4" t="s">
        <v>575</v>
      </c>
      <c r="H2265" s="12" t="n">
        <v>1</v>
      </c>
      <c r="I2265" s="4" t="s">
        <v>408</v>
      </c>
      <c r="J2265" s="4" t="s">
        <v>409</v>
      </c>
      <c r="K2265" s="13" t="n">
        <v>3500</v>
      </c>
      <c r="L2265" s="6" t="n">
        <f aca="false">H2265*K2265</f>
        <v>3500</v>
      </c>
      <c r="M2265" s="14" t="s">
        <v>410</v>
      </c>
    </row>
    <row r="2266" customFormat="false" ht="15" hidden="false" customHeight="false" outlineLevel="0" collapsed="false">
      <c r="A2266" s="4" t="s">
        <v>13</v>
      </c>
      <c r="B2266" s="5" t="s">
        <v>52</v>
      </c>
      <c r="C2266" s="5" t="s">
        <v>53</v>
      </c>
      <c r="D2266" s="4" t="s">
        <v>16</v>
      </c>
      <c r="E2266" s="4" t="s">
        <v>576</v>
      </c>
      <c r="F2266" s="4" t="s">
        <v>406</v>
      </c>
      <c r="G2266" s="4" t="s">
        <v>577</v>
      </c>
      <c r="H2266" s="12" t="n">
        <v>1</v>
      </c>
      <c r="I2266" s="4" t="s">
        <v>408</v>
      </c>
      <c r="J2266" s="4" t="s">
        <v>543</v>
      </c>
      <c r="K2266" s="13" t="n">
        <v>8500</v>
      </c>
      <c r="L2266" s="6" t="n">
        <f aca="false">H2266*K2266</f>
        <v>8500</v>
      </c>
      <c r="M2266" s="14" t="s">
        <v>410</v>
      </c>
    </row>
    <row r="2267" customFormat="false" ht="15" hidden="false" customHeight="false" outlineLevel="0" collapsed="false">
      <c r="A2267" s="4" t="s">
        <v>13</v>
      </c>
      <c r="B2267" s="5" t="s">
        <v>52</v>
      </c>
      <c r="C2267" s="5" t="s">
        <v>53</v>
      </c>
      <c r="D2267" s="4" t="s">
        <v>16</v>
      </c>
      <c r="E2267" s="4" t="s">
        <v>556</v>
      </c>
      <c r="F2267" s="4" t="s">
        <v>406</v>
      </c>
      <c r="G2267" s="4" t="s">
        <v>557</v>
      </c>
      <c r="H2267" s="12" t="n">
        <v>1</v>
      </c>
      <c r="I2267" s="4" t="s">
        <v>408</v>
      </c>
      <c r="J2267" s="4" t="s">
        <v>409</v>
      </c>
      <c r="K2267" s="13" t="n">
        <v>850</v>
      </c>
      <c r="L2267" s="6" t="n">
        <f aca="false">H2267*K2267</f>
        <v>850</v>
      </c>
      <c r="M2267" s="14" t="s">
        <v>410</v>
      </c>
    </row>
    <row r="2268" customFormat="false" ht="15" hidden="false" customHeight="false" outlineLevel="0" collapsed="false">
      <c r="A2268" s="4" t="s">
        <v>13</v>
      </c>
      <c r="B2268" s="5" t="s">
        <v>52</v>
      </c>
      <c r="C2268" s="5" t="s">
        <v>53</v>
      </c>
      <c r="D2268" s="4" t="s">
        <v>16</v>
      </c>
      <c r="E2268" s="4" t="s">
        <v>578</v>
      </c>
      <c r="F2268" s="4" t="s">
        <v>406</v>
      </c>
      <c r="G2268" s="4" t="s">
        <v>579</v>
      </c>
      <c r="H2268" s="12" t="n">
        <v>1</v>
      </c>
      <c r="I2268" s="4" t="s">
        <v>408</v>
      </c>
      <c r="J2268" s="4" t="s">
        <v>543</v>
      </c>
      <c r="K2268" s="13" t="n">
        <v>4500</v>
      </c>
      <c r="L2268" s="6" t="n">
        <f aca="false">H2268*K2268</f>
        <v>4500</v>
      </c>
      <c r="M2268" s="14" t="s">
        <v>410</v>
      </c>
    </row>
    <row r="2269" customFormat="false" ht="15" hidden="false" customHeight="false" outlineLevel="0" collapsed="false">
      <c r="A2269" s="4" t="s">
        <v>13</v>
      </c>
      <c r="B2269" s="5" t="s">
        <v>52</v>
      </c>
      <c r="C2269" s="5" t="s">
        <v>53</v>
      </c>
      <c r="D2269" s="4" t="s">
        <v>16</v>
      </c>
      <c r="E2269" s="4" t="s">
        <v>580</v>
      </c>
      <c r="F2269" s="4" t="s">
        <v>406</v>
      </c>
      <c r="G2269" s="4" t="s">
        <v>581</v>
      </c>
      <c r="H2269" s="12" t="n">
        <v>1</v>
      </c>
      <c r="I2269" s="4" t="s">
        <v>408</v>
      </c>
      <c r="J2269" s="4" t="s">
        <v>409</v>
      </c>
      <c r="K2269" s="13" t="n">
        <v>18000</v>
      </c>
      <c r="L2269" s="6" t="n">
        <f aca="false">H2269*K2269</f>
        <v>18000</v>
      </c>
      <c r="M2269" s="14" t="s">
        <v>410</v>
      </c>
    </row>
    <row r="2270" customFormat="false" ht="15" hidden="false" customHeight="false" outlineLevel="0" collapsed="false">
      <c r="A2270" s="4" t="s">
        <v>13</v>
      </c>
      <c r="B2270" s="5" t="s">
        <v>52</v>
      </c>
      <c r="C2270" s="5" t="s">
        <v>53</v>
      </c>
      <c r="D2270" s="4" t="s">
        <v>16</v>
      </c>
      <c r="E2270" s="4" t="s">
        <v>582</v>
      </c>
      <c r="F2270" s="4" t="s">
        <v>406</v>
      </c>
      <c r="G2270" s="4" t="s">
        <v>583</v>
      </c>
      <c r="H2270" s="12" t="n">
        <v>1</v>
      </c>
      <c r="I2270" s="4" t="s">
        <v>408</v>
      </c>
      <c r="J2270" s="4" t="s">
        <v>409</v>
      </c>
      <c r="K2270" s="13" t="n">
        <v>18000</v>
      </c>
      <c r="L2270" s="6" t="n">
        <f aca="false">H2270*K2270</f>
        <v>18000</v>
      </c>
      <c r="M2270" s="14" t="s">
        <v>410</v>
      </c>
    </row>
    <row r="2271" customFormat="false" ht="15" hidden="false" customHeight="false" outlineLevel="0" collapsed="false">
      <c r="A2271" s="4" t="s">
        <v>13</v>
      </c>
      <c r="B2271" s="5" t="s">
        <v>52</v>
      </c>
      <c r="C2271" s="5" t="s">
        <v>53</v>
      </c>
      <c r="D2271" s="4" t="s">
        <v>16</v>
      </c>
      <c r="E2271" s="4" t="s">
        <v>584</v>
      </c>
      <c r="F2271" s="4" t="s">
        <v>406</v>
      </c>
      <c r="G2271" s="4" t="s">
        <v>585</v>
      </c>
      <c r="H2271" s="12" t="n">
        <v>1</v>
      </c>
      <c r="I2271" s="4" t="s">
        <v>408</v>
      </c>
      <c r="J2271" s="4" t="s">
        <v>543</v>
      </c>
      <c r="K2271" s="13" t="n">
        <v>4500</v>
      </c>
      <c r="L2271" s="6" t="n">
        <f aca="false">H2271*K2271</f>
        <v>4500</v>
      </c>
      <c r="M2271" s="14" t="s">
        <v>410</v>
      </c>
    </row>
    <row r="2272" customFormat="false" ht="15" hidden="false" customHeight="false" outlineLevel="0" collapsed="false">
      <c r="A2272" s="4" t="s">
        <v>13</v>
      </c>
      <c r="B2272" s="5" t="s">
        <v>52</v>
      </c>
      <c r="C2272" s="5" t="s">
        <v>53</v>
      </c>
      <c r="D2272" s="4" t="s">
        <v>16</v>
      </c>
      <c r="E2272" s="4" t="s">
        <v>586</v>
      </c>
      <c r="F2272" s="4" t="s">
        <v>406</v>
      </c>
      <c r="G2272" s="4" t="s">
        <v>587</v>
      </c>
      <c r="H2272" s="12" t="n">
        <v>1</v>
      </c>
      <c r="I2272" s="4" t="s">
        <v>408</v>
      </c>
      <c r="J2272" s="4" t="s">
        <v>543</v>
      </c>
      <c r="K2272" s="13" t="n">
        <v>4500</v>
      </c>
      <c r="L2272" s="6" t="n">
        <f aca="false">H2272*K2272</f>
        <v>4500</v>
      </c>
      <c r="M2272" s="14" t="s">
        <v>410</v>
      </c>
    </row>
    <row r="2273" customFormat="false" ht="15" hidden="false" customHeight="false" outlineLevel="0" collapsed="false">
      <c r="A2273" s="4" t="s">
        <v>13</v>
      </c>
      <c r="B2273" s="5" t="s">
        <v>52</v>
      </c>
      <c r="C2273" s="5" t="s">
        <v>53</v>
      </c>
      <c r="D2273" s="4" t="s">
        <v>16</v>
      </c>
      <c r="E2273" s="4" t="s">
        <v>588</v>
      </c>
      <c r="F2273" s="4" t="s">
        <v>406</v>
      </c>
      <c r="G2273" s="4" t="s">
        <v>589</v>
      </c>
      <c r="H2273" s="12" t="n">
        <v>1</v>
      </c>
      <c r="I2273" s="4" t="s">
        <v>408</v>
      </c>
      <c r="J2273" s="4" t="s">
        <v>543</v>
      </c>
      <c r="K2273" s="13" t="n">
        <v>4500</v>
      </c>
      <c r="L2273" s="6" t="n">
        <f aca="false">H2273*K2273</f>
        <v>4500</v>
      </c>
      <c r="M2273" s="14" t="s">
        <v>410</v>
      </c>
    </row>
    <row r="2274" customFormat="false" ht="15" hidden="false" customHeight="false" outlineLevel="0" collapsed="false">
      <c r="A2274" s="4" t="s">
        <v>13</v>
      </c>
      <c r="B2274" s="5" t="s">
        <v>52</v>
      </c>
      <c r="C2274" s="5" t="s">
        <v>53</v>
      </c>
      <c r="D2274" s="4" t="s">
        <v>16</v>
      </c>
      <c r="E2274" s="4" t="s">
        <v>590</v>
      </c>
      <c r="F2274" s="4" t="s">
        <v>406</v>
      </c>
      <c r="G2274" s="4" t="s">
        <v>591</v>
      </c>
      <c r="H2274" s="12" t="n">
        <v>1</v>
      </c>
      <c r="I2274" s="4" t="s">
        <v>408</v>
      </c>
      <c r="J2274" s="4" t="s">
        <v>543</v>
      </c>
      <c r="K2274" s="13" t="n">
        <v>4500</v>
      </c>
      <c r="L2274" s="6" t="n">
        <f aca="false">H2274*K2274</f>
        <v>4500</v>
      </c>
      <c r="M2274" s="14" t="s">
        <v>410</v>
      </c>
    </row>
    <row r="2275" customFormat="false" ht="15" hidden="false" customHeight="false" outlineLevel="0" collapsed="false">
      <c r="A2275" s="4" t="s">
        <v>13</v>
      </c>
      <c r="B2275" s="5" t="s">
        <v>52</v>
      </c>
      <c r="C2275" s="5" t="s">
        <v>53</v>
      </c>
      <c r="D2275" s="4" t="s">
        <v>16</v>
      </c>
      <c r="E2275" s="4" t="s">
        <v>592</v>
      </c>
      <c r="F2275" s="4" t="s">
        <v>488</v>
      </c>
      <c r="G2275" s="4" t="s">
        <v>593</v>
      </c>
      <c r="H2275" s="12" t="n">
        <v>1</v>
      </c>
      <c r="I2275" s="4" t="s">
        <v>408</v>
      </c>
      <c r="J2275" s="4" t="s">
        <v>432</v>
      </c>
      <c r="K2275" s="13" t="n">
        <v>8</v>
      </c>
      <c r="L2275" s="6" t="n">
        <f aca="false">H2275*K2275</f>
        <v>8</v>
      </c>
      <c r="M2275" s="4" t="s">
        <v>371</v>
      </c>
    </row>
    <row r="2276" customFormat="false" ht="15" hidden="false" customHeight="false" outlineLevel="0" collapsed="false">
      <c r="A2276" s="4" t="s">
        <v>13</v>
      </c>
      <c r="B2276" s="5" t="s">
        <v>52</v>
      </c>
      <c r="C2276" s="5" t="s">
        <v>53</v>
      </c>
      <c r="D2276" s="4" t="s">
        <v>16</v>
      </c>
      <c r="E2276" s="4" t="s">
        <v>594</v>
      </c>
      <c r="F2276" s="4" t="s">
        <v>488</v>
      </c>
      <c r="G2276" s="4" t="s">
        <v>595</v>
      </c>
      <c r="H2276" s="12" t="n">
        <v>1</v>
      </c>
      <c r="I2276" s="4" t="s">
        <v>408</v>
      </c>
      <c r="J2276" s="4" t="s">
        <v>432</v>
      </c>
      <c r="K2276" s="13" t="n">
        <v>65</v>
      </c>
      <c r="L2276" s="6" t="n">
        <f aca="false">H2276*K2276</f>
        <v>65</v>
      </c>
      <c r="M2276" s="4" t="s">
        <v>371</v>
      </c>
    </row>
    <row r="2277" customFormat="false" ht="15" hidden="false" customHeight="false" outlineLevel="0" collapsed="false">
      <c r="A2277" s="4" t="s">
        <v>13</v>
      </c>
      <c r="B2277" s="5" t="s">
        <v>52</v>
      </c>
      <c r="C2277" s="5" t="s">
        <v>53</v>
      </c>
      <c r="D2277" s="4" t="s">
        <v>16</v>
      </c>
      <c r="E2277" s="4" t="s">
        <v>596</v>
      </c>
      <c r="F2277" s="4" t="s">
        <v>488</v>
      </c>
      <c r="G2277" s="4" t="s">
        <v>597</v>
      </c>
      <c r="H2277" s="12" t="n">
        <v>1</v>
      </c>
      <c r="I2277" s="4" t="s">
        <v>408</v>
      </c>
      <c r="J2277" s="4" t="s">
        <v>490</v>
      </c>
      <c r="K2277" s="13" t="n">
        <v>450</v>
      </c>
      <c r="L2277" s="6" t="n">
        <f aca="false">H2277*K2277</f>
        <v>450</v>
      </c>
      <c r="M2277" s="4" t="s">
        <v>371</v>
      </c>
    </row>
    <row r="2278" customFormat="false" ht="15" hidden="false" customHeight="false" outlineLevel="0" collapsed="false">
      <c r="A2278" s="4" t="s">
        <v>13</v>
      </c>
      <c r="B2278" s="5" t="s">
        <v>52</v>
      </c>
      <c r="C2278" s="5" t="s">
        <v>53</v>
      </c>
      <c r="D2278" s="4" t="s">
        <v>16</v>
      </c>
      <c r="E2278" s="4" t="s">
        <v>598</v>
      </c>
      <c r="F2278" s="4" t="s">
        <v>488</v>
      </c>
      <c r="G2278" s="4" t="s">
        <v>599</v>
      </c>
      <c r="H2278" s="12" t="n">
        <v>1</v>
      </c>
      <c r="I2278" s="4" t="s">
        <v>408</v>
      </c>
      <c r="J2278" s="4" t="s">
        <v>506</v>
      </c>
      <c r="K2278" s="13" t="n">
        <v>350</v>
      </c>
      <c r="L2278" s="6" t="n">
        <f aca="false">H2278*K2278</f>
        <v>350</v>
      </c>
      <c r="M2278" s="4" t="s">
        <v>371</v>
      </c>
    </row>
    <row r="2279" customFormat="false" ht="15" hidden="false" customHeight="false" outlineLevel="0" collapsed="false">
      <c r="A2279" s="4" t="s">
        <v>13</v>
      </c>
      <c r="B2279" s="5" t="s">
        <v>52</v>
      </c>
      <c r="C2279" s="5" t="s">
        <v>53</v>
      </c>
      <c r="D2279" s="4" t="s">
        <v>16</v>
      </c>
      <c r="E2279" s="4" t="s">
        <v>560</v>
      </c>
      <c r="F2279" s="4" t="s">
        <v>470</v>
      </c>
      <c r="G2279" s="4" t="s">
        <v>561</v>
      </c>
      <c r="H2279" s="12" t="n">
        <v>1</v>
      </c>
      <c r="I2279" s="4" t="s">
        <v>408</v>
      </c>
      <c r="J2279" s="4" t="s">
        <v>409</v>
      </c>
      <c r="K2279" s="13" t="n">
        <v>250</v>
      </c>
      <c r="L2279" s="6" t="n">
        <f aca="false">H2279*K2279</f>
        <v>250</v>
      </c>
      <c r="M2279" s="14" t="s">
        <v>410</v>
      </c>
    </row>
    <row r="2280" customFormat="false" ht="15" hidden="false" customHeight="false" outlineLevel="0" collapsed="false">
      <c r="A2280" s="4" t="s">
        <v>13</v>
      </c>
      <c r="B2280" s="5" t="s">
        <v>56</v>
      </c>
      <c r="C2280" s="5" t="s">
        <v>57</v>
      </c>
      <c r="D2280" s="4" t="s">
        <v>16</v>
      </c>
      <c r="E2280" s="4" t="s">
        <v>3024</v>
      </c>
      <c r="F2280" s="4" t="s">
        <v>406</v>
      </c>
      <c r="G2280" s="4" t="s">
        <v>3025</v>
      </c>
      <c r="H2280" s="12" t="n">
        <v>1</v>
      </c>
      <c r="I2280" s="4" t="s">
        <v>408</v>
      </c>
      <c r="J2280" s="4" t="s">
        <v>409</v>
      </c>
      <c r="K2280" s="13" t="n">
        <v>180</v>
      </c>
      <c r="L2280" s="6" t="n">
        <f aca="false">H2280*K2280</f>
        <v>180</v>
      </c>
      <c r="M2280" s="14" t="s">
        <v>410</v>
      </c>
    </row>
    <row r="2281" customFormat="false" ht="15" hidden="false" customHeight="false" outlineLevel="0" collapsed="false">
      <c r="A2281" s="4" t="s">
        <v>13</v>
      </c>
      <c r="B2281" s="5" t="s">
        <v>56</v>
      </c>
      <c r="C2281" s="5" t="s">
        <v>57</v>
      </c>
      <c r="D2281" s="4" t="s">
        <v>16</v>
      </c>
      <c r="E2281" s="4" t="s">
        <v>3246</v>
      </c>
      <c r="F2281" s="4" t="s">
        <v>406</v>
      </c>
      <c r="G2281" s="4" t="s">
        <v>3247</v>
      </c>
      <c r="H2281" s="12" t="n">
        <v>1</v>
      </c>
      <c r="I2281" s="4" t="s">
        <v>408</v>
      </c>
      <c r="J2281" s="4" t="s">
        <v>409</v>
      </c>
      <c r="K2281" s="13" t="n">
        <v>150</v>
      </c>
      <c r="L2281" s="6" t="n">
        <f aca="false">H2281*K2281</f>
        <v>150</v>
      </c>
      <c r="M2281" s="14" t="s">
        <v>410</v>
      </c>
    </row>
    <row r="2282" customFormat="false" ht="15" hidden="false" customHeight="false" outlineLevel="0" collapsed="false">
      <c r="A2282" s="4" t="s">
        <v>13</v>
      </c>
      <c r="B2282" s="5" t="s">
        <v>56</v>
      </c>
      <c r="C2282" s="5" t="s">
        <v>57</v>
      </c>
      <c r="D2282" s="4" t="s">
        <v>16</v>
      </c>
      <c r="E2282" s="4" t="s">
        <v>3248</v>
      </c>
      <c r="F2282" s="4" t="s">
        <v>406</v>
      </c>
      <c r="G2282" s="4" t="s">
        <v>3249</v>
      </c>
      <c r="H2282" s="12" t="n">
        <v>1</v>
      </c>
      <c r="I2282" s="4" t="s">
        <v>408</v>
      </c>
      <c r="J2282" s="4" t="s">
        <v>416</v>
      </c>
      <c r="K2282" s="13" t="n">
        <v>350</v>
      </c>
      <c r="L2282" s="6" t="n">
        <f aca="false">H2282*K2282</f>
        <v>350</v>
      </c>
      <c r="M2282" s="14" t="s">
        <v>410</v>
      </c>
    </row>
    <row r="2283" customFormat="false" ht="15" hidden="false" customHeight="false" outlineLevel="0" collapsed="false">
      <c r="A2283" s="4" t="s">
        <v>13</v>
      </c>
      <c r="B2283" s="5" t="s">
        <v>56</v>
      </c>
      <c r="C2283" s="5" t="s">
        <v>57</v>
      </c>
      <c r="D2283" s="4" t="s">
        <v>16</v>
      </c>
      <c r="E2283" s="4" t="s">
        <v>3250</v>
      </c>
      <c r="F2283" s="4" t="s">
        <v>406</v>
      </c>
      <c r="G2283" s="4" t="s">
        <v>3251</v>
      </c>
      <c r="H2283" s="12" t="n">
        <v>1</v>
      </c>
      <c r="I2283" s="4" t="s">
        <v>408</v>
      </c>
      <c r="J2283" s="4" t="s">
        <v>409</v>
      </c>
      <c r="K2283" s="13" t="n">
        <v>250</v>
      </c>
      <c r="L2283" s="6" t="n">
        <f aca="false">H2283*K2283</f>
        <v>250</v>
      </c>
      <c r="M2283" s="14" t="s">
        <v>410</v>
      </c>
    </row>
    <row r="2284" customFormat="false" ht="15" hidden="false" customHeight="false" outlineLevel="0" collapsed="false">
      <c r="A2284" s="4" t="s">
        <v>13</v>
      </c>
      <c r="B2284" s="5" t="s">
        <v>56</v>
      </c>
      <c r="C2284" s="5" t="s">
        <v>57</v>
      </c>
      <c r="D2284" s="4" t="s">
        <v>16</v>
      </c>
      <c r="E2284" s="4" t="s">
        <v>3166</v>
      </c>
      <c r="F2284" s="4" t="s">
        <v>406</v>
      </c>
      <c r="G2284" s="4" t="s">
        <v>3167</v>
      </c>
      <c r="H2284" s="12" t="n">
        <v>1</v>
      </c>
      <c r="I2284" s="4" t="s">
        <v>408</v>
      </c>
      <c r="J2284" s="4" t="s">
        <v>409</v>
      </c>
      <c r="K2284" s="13" t="n">
        <v>18000</v>
      </c>
      <c r="L2284" s="6" t="n">
        <f aca="false">H2284*K2284</f>
        <v>18000</v>
      </c>
      <c r="M2284" s="14" t="s">
        <v>410</v>
      </c>
    </row>
    <row r="2285" customFormat="false" ht="15" hidden="false" customHeight="false" outlineLevel="0" collapsed="false">
      <c r="A2285" s="4" t="s">
        <v>13</v>
      </c>
      <c r="B2285" s="5" t="s">
        <v>56</v>
      </c>
      <c r="C2285" s="5" t="s">
        <v>57</v>
      </c>
      <c r="D2285" s="4" t="s">
        <v>16</v>
      </c>
      <c r="E2285" s="4" t="s">
        <v>2976</v>
      </c>
      <c r="F2285" s="4" t="s">
        <v>406</v>
      </c>
      <c r="G2285" s="4" t="s">
        <v>2977</v>
      </c>
      <c r="H2285" s="12" t="n">
        <v>1</v>
      </c>
      <c r="I2285" s="4" t="s">
        <v>408</v>
      </c>
      <c r="J2285" s="4" t="s">
        <v>409</v>
      </c>
      <c r="K2285" s="13" t="n">
        <v>1800</v>
      </c>
      <c r="L2285" s="6" t="n">
        <f aca="false">H2285*K2285</f>
        <v>1800</v>
      </c>
      <c r="M2285" s="14" t="s">
        <v>410</v>
      </c>
    </row>
    <row r="2286" customFormat="false" ht="15" hidden="false" customHeight="false" outlineLevel="0" collapsed="false">
      <c r="A2286" s="4" t="s">
        <v>13</v>
      </c>
      <c r="B2286" s="5" t="s">
        <v>56</v>
      </c>
      <c r="C2286" s="5" t="s">
        <v>57</v>
      </c>
      <c r="D2286" s="4" t="s">
        <v>16</v>
      </c>
      <c r="E2286" s="4" t="s">
        <v>3252</v>
      </c>
      <c r="F2286" s="4" t="s">
        <v>406</v>
      </c>
      <c r="G2286" s="4" t="s">
        <v>3253</v>
      </c>
      <c r="H2286" s="12" t="n">
        <v>1</v>
      </c>
      <c r="I2286" s="4" t="s">
        <v>408</v>
      </c>
      <c r="J2286" s="4" t="s">
        <v>409</v>
      </c>
      <c r="K2286" s="13" t="n">
        <v>1800</v>
      </c>
      <c r="L2286" s="6" t="n">
        <f aca="false">H2286*K2286</f>
        <v>1800</v>
      </c>
      <c r="M2286" s="14" t="s">
        <v>410</v>
      </c>
    </row>
    <row r="2287" customFormat="false" ht="15" hidden="false" customHeight="false" outlineLevel="0" collapsed="false">
      <c r="A2287" s="4" t="s">
        <v>13</v>
      </c>
      <c r="B2287" s="5" t="s">
        <v>56</v>
      </c>
      <c r="C2287" s="5" t="s">
        <v>57</v>
      </c>
      <c r="D2287" s="4" t="s">
        <v>16</v>
      </c>
      <c r="E2287" s="4" t="s">
        <v>3254</v>
      </c>
      <c r="F2287" s="4" t="s">
        <v>406</v>
      </c>
      <c r="G2287" s="4" t="s">
        <v>3255</v>
      </c>
      <c r="H2287" s="12" t="n">
        <v>1</v>
      </c>
      <c r="I2287" s="4" t="s">
        <v>408</v>
      </c>
      <c r="J2287" s="4" t="s">
        <v>409</v>
      </c>
      <c r="K2287" s="13" t="n">
        <v>4500</v>
      </c>
      <c r="L2287" s="6" t="n">
        <f aca="false">H2287*K2287</f>
        <v>4500</v>
      </c>
      <c r="M2287" s="14" t="s">
        <v>410</v>
      </c>
    </row>
    <row r="2288" customFormat="false" ht="15" hidden="false" customHeight="false" outlineLevel="0" collapsed="false">
      <c r="A2288" s="4" t="s">
        <v>13</v>
      </c>
      <c r="B2288" s="5" t="s">
        <v>56</v>
      </c>
      <c r="C2288" s="5" t="s">
        <v>57</v>
      </c>
      <c r="D2288" s="4" t="s">
        <v>16</v>
      </c>
      <c r="E2288" s="4" t="s">
        <v>3256</v>
      </c>
      <c r="F2288" s="4" t="s">
        <v>406</v>
      </c>
      <c r="G2288" s="4" t="s">
        <v>3257</v>
      </c>
      <c r="H2288" s="12" t="n">
        <v>1</v>
      </c>
      <c r="I2288" s="4" t="s">
        <v>408</v>
      </c>
      <c r="J2288" s="4" t="s">
        <v>416</v>
      </c>
      <c r="K2288" s="13" t="n">
        <v>45000</v>
      </c>
      <c r="L2288" s="6" t="n">
        <f aca="false">H2288*K2288</f>
        <v>45000</v>
      </c>
      <c r="M2288" s="14" t="s">
        <v>410</v>
      </c>
    </row>
    <row r="2289" customFormat="false" ht="15" hidden="false" customHeight="false" outlineLevel="0" collapsed="false">
      <c r="A2289" s="4" t="s">
        <v>13</v>
      </c>
      <c r="B2289" s="5" t="s">
        <v>56</v>
      </c>
      <c r="C2289" s="5" t="s">
        <v>57</v>
      </c>
      <c r="D2289" s="4" t="s">
        <v>16</v>
      </c>
      <c r="E2289" s="4" t="s">
        <v>3258</v>
      </c>
      <c r="F2289" s="4" t="s">
        <v>406</v>
      </c>
      <c r="G2289" s="4" t="s">
        <v>3259</v>
      </c>
      <c r="H2289" s="12" t="n">
        <v>1</v>
      </c>
      <c r="I2289" s="4" t="s">
        <v>408</v>
      </c>
      <c r="J2289" s="4" t="s">
        <v>409</v>
      </c>
      <c r="K2289" s="13" t="n">
        <v>85000</v>
      </c>
      <c r="L2289" s="6" t="n">
        <f aca="false">H2289*K2289</f>
        <v>85000</v>
      </c>
      <c r="M2289" s="14" t="s">
        <v>410</v>
      </c>
    </row>
    <row r="2290" customFormat="false" ht="15" hidden="false" customHeight="false" outlineLevel="0" collapsed="false">
      <c r="A2290" s="4" t="s">
        <v>13</v>
      </c>
      <c r="B2290" s="5" t="s">
        <v>56</v>
      </c>
      <c r="C2290" s="5" t="s">
        <v>57</v>
      </c>
      <c r="D2290" s="4" t="s">
        <v>16</v>
      </c>
      <c r="E2290" s="4" t="s">
        <v>3260</v>
      </c>
      <c r="F2290" s="4" t="s">
        <v>406</v>
      </c>
      <c r="G2290" s="4" t="s">
        <v>3261</v>
      </c>
      <c r="H2290" s="12" t="n">
        <v>1</v>
      </c>
      <c r="I2290" s="4" t="s">
        <v>408</v>
      </c>
      <c r="J2290" s="4" t="s">
        <v>416</v>
      </c>
      <c r="K2290" s="13" t="n">
        <v>1200</v>
      </c>
      <c r="L2290" s="6" t="n">
        <f aca="false">H2290*K2290</f>
        <v>1200</v>
      </c>
      <c r="M2290" s="14" t="s">
        <v>410</v>
      </c>
    </row>
    <row r="2291" customFormat="false" ht="15" hidden="false" customHeight="false" outlineLevel="0" collapsed="false">
      <c r="A2291" s="4" t="s">
        <v>13</v>
      </c>
      <c r="B2291" s="5" t="s">
        <v>56</v>
      </c>
      <c r="C2291" s="5" t="s">
        <v>57</v>
      </c>
      <c r="D2291" s="4" t="s">
        <v>16</v>
      </c>
      <c r="E2291" s="4" t="s">
        <v>3262</v>
      </c>
      <c r="F2291" s="4" t="s">
        <v>406</v>
      </c>
      <c r="G2291" s="4" t="s">
        <v>3263</v>
      </c>
      <c r="H2291" s="12" t="n">
        <v>1</v>
      </c>
      <c r="I2291" s="4" t="s">
        <v>408</v>
      </c>
      <c r="J2291" s="4" t="s">
        <v>409</v>
      </c>
      <c r="K2291" s="13" t="n">
        <v>80</v>
      </c>
      <c r="L2291" s="6" t="n">
        <f aca="false">H2291*K2291</f>
        <v>80</v>
      </c>
      <c r="M2291" s="14" t="s">
        <v>410</v>
      </c>
    </row>
    <row r="2292" customFormat="false" ht="15" hidden="false" customHeight="false" outlineLevel="0" collapsed="false">
      <c r="A2292" s="4" t="s">
        <v>13</v>
      </c>
      <c r="B2292" s="5" t="s">
        <v>56</v>
      </c>
      <c r="C2292" s="5" t="s">
        <v>57</v>
      </c>
      <c r="D2292" s="4" t="s">
        <v>16</v>
      </c>
      <c r="E2292" s="4" t="s">
        <v>3264</v>
      </c>
      <c r="F2292" s="4" t="s">
        <v>406</v>
      </c>
      <c r="G2292" s="4" t="s">
        <v>3265</v>
      </c>
      <c r="H2292" s="12" t="n">
        <v>1</v>
      </c>
      <c r="I2292" s="4" t="s">
        <v>408</v>
      </c>
      <c r="J2292" s="4" t="s">
        <v>416</v>
      </c>
      <c r="K2292" s="13" t="n">
        <v>850</v>
      </c>
      <c r="L2292" s="6" t="n">
        <f aca="false">H2292*K2292</f>
        <v>850</v>
      </c>
      <c r="M2292" s="14" t="s">
        <v>410</v>
      </c>
    </row>
    <row r="2293" customFormat="false" ht="15" hidden="false" customHeight="false" outlineLevel="0" collapsed="false">
      <c r="A2293" s="4" t="s">
        <v>13</v>
      </c>
      <c r="B2293" s="5" t="s">
        <v>56</v>
      </c>
      <c r="C2293" s="5" t="s">
        <v>57</v>
      </c>
      <c r="D2293" s="4" t="s">
        <v>16</v>
      </c>
      <c r="E2293" s="4" t="s">
        <v>3266</v>
      </c>
      <c r="F2293" s="4" t="s">
        <v>406</v>
      </c>
      <c r="G2293" s="4" t="s">
        <v>3267</v>
      </c>
      <c r="H2293" s="12" t="n">
        <v>1</v>
      </c>
      <c r="I2293" s="4" t="s">
        <v>408</v>
      </c>
      <c r="J2293" s="4" t="s">
        <v>409</v>
      </c>
      <c r="K2293" s="13" t="n">
        <v>45000</v>
      </c>
      <c r="L2293" s="6" t="n">
        <f aca="false">H2293*K2293</f>
        <v>45000</v>
      </c>
      <c r="M2293" s="14" t="s">
        <v>410</v>
      </c>
    </row>
    <row r="2294" customFormat="false" ht="15" hidden="false" customHeight="false" outlineLevel="0" collapsed="false">
      <c r="A2294" s="4" t="s">
        <v>13</v>
      </c>
      <c r="B2294" s="5" t="s">
        <v>56</v>
      </c>
      <c r="C2294" s="5" t="s">
        <v>57</v>
      </c>
      <c r="D2294" s="4" t="s">
        <v>16</v>
      </c>
      <c r="E2294" s="4" t="s">
        <v>3268</v>
      </c>
      <c r="F2294" s="4" t="s">
        <v>406</v>
      </c>
      <c r="G2294" s="4" t="s">
        <v>3269</v>
      </c>
      <c r="H2294" s="12" t="n">
        <v>1</v>
      </c>
      <c r="I2294" s="4" t="s">
        <v>408</v>
      </c>
      <c r="J2294" s="4" t="s">
        <v>409</v>
      </c>
      <c r="K2294" s="13" t="n">
        <v>120</v>
      </c>
      <c r="L2294" s="6" t="n">
        <f aca="false">H2294*K2294</f>
        <v>120</v>
      </c>
      <c r="M2294" s="14" t="s">
        <v>410</v>
      </c>
    </row>
    <row r="2295" customFormat="false" ht="15" hidden="false" customHeight="false" outlineLevel="0" collapsed="false">
      <c r="A2295" s="4" t="s">
        <v>13</v>
      </c>
      <c r="B2295" s="5" t="s">
        <v>56</v>
      </c>
      <c r="C2295" s="5" t="s">
        <v>57</v>
      </c>
      <c r="D2295" s="4" t="s">
        <v>16</v>
      </c>
      <c r="E2295" s="4" t="s">
        <v>3270</v>
      </c>
      <c r="F2295" s="4" t="s">
        <v>406</v>
      </c>
      <c r="G2295" s="4" t="s">
        <v>3271</v>
      </c>
      <c r="H2295" s="12" t="n">
        <v>1</v>
      </c>
      <c r="I2295" s="4" t="s">
        <v>408</v>
      </c>
      <c r="J2295" s="4" t="s">
        <v>416</v>
      </c>
      <c r="K2295" s="13" t="n">
        <v>850</v>
      </c>
      <c r="L2295" s="6" t="n">
        <f aca="false">H2295*K2295</f>
        <v>850</v>
      </c>
      <c r="M2295" s="14" t="s">
        <v>410</v>
      </c>
    </row>
    <row r="2296" customFormat="false" ht="15" hidden="false" customHeight="false" outlineLevel="0" collapsed="false">
      <c r="A2296" s="4" t="s">
        <v>13</v>
      </c>
      <c r="B2296" s="5" t="s">
        <v>56</v>
      </c>
      <c r="C2296" s="5" t="s">
        <v>57</v>
      </c>
      <c r="D2296" s="4" t="s">
        <v>16</v>
      </c>
      <c r="E2296" s="4" t="s">
        <v>3272</v>
      </c>
      <c r="F2296" s="4" t="s">
        <v>406</v>
      </c>
      <c r="G2296" s="4" t="s">
        <v>3273</v>
      </c>
      <c r="H2296" s="12" t="n">
        <v>1</v>
      </c>
      <c r="I2296" s="4" t="s">
        <v>408</v>
      </c>
      <c r="J2296" s="4" t="s">
        <v>409</v>
      </c>
      <c r="K2296" s="13" t="n">
        <v>350</v>
      </c>
      <c r="L2296" s="6" t="n">
        <f aca="false">H2296*K2296</f>
        <v>350</v>
      </c>
      <c r="M2296" s="4" t="s">
        <v>371</v>
      </c>
    </row>
    <row r="2297" customFormat="false" ht="15" hidden="false" customHeight="false" outlineLevel="0" collapsed="false">
      <c r="A2297" s="4" t="s">
        <v>13</v>
      </c>
      <c r="B2297" s="5" t="s">
        <v>56</v>
      </c>
      <c r="C2297" s="5" t="s">
        <v>57</v>
      </c>
      <c r="D2297" s="4" t="s">
        <v>16</v>
      </c>
      <c r="E2297" s="4" t="s">
        <v>2984</v>
      </c>
      <c r="F2297" s="4" t="s">
        <v>406</v>
      </c>
      <c r="G2297" s="4" t="s">
        <v>2985</v>
      </c>
      <c r="H2297" s="12" t="n">
        <v>1</v>
      </c>
      <c r="I2297" s="4" t="s">
        <v>408</v>
      </c>
      <c r="J2297" s="4" t="s">
        <v>409</v>
      </c>
      <c r="K2297" s="13" t="n">
        <v>6500</v>
      </c>
      <c r="L2297" s="6" t="n">
        <f aca="false">H2297*K2297</f>
        <v>6500</v>
      </c>
      <c r="M2297" s="14" t="s">
        <v>410</v>
      </c>
    </row>
    <row r="2298" customFormat="false" ht="15" hidden="false" customHeight="false" outlineLevel="0" collapsed="false">
      <c r="A2298" s="4" t="s">
        <v>13</v>
      </c>
      <c r="B2298" s="5" t="s">
        <v>56</v>
      </c>
      <c r="C2298" s="5" t="s">
        <v>57</v>
      </c>
      <c r="D2298" s="4" t="s">
        <v>16</v>
      </c>
      <c r="E2298" s="4" t="s">
        <v>3274</v>
      </c>
      <c r="F2298" s="4" t="s">
        <v>406</v>
      </c>
      <c r="G2298" s="4" t="s">
        <v>3275</v>
      </c>
      <c r="H2298" s="12" t="n">
        <v>1</v>
      </c>
      <c r="I2298" s="4" t="s">
        <v>408</v>
      </c>
      <c r="J2298" s="4" t="s">
        <v>409</v>
      </c>
      <c r="K2298" s="13" t="n">
        <v>8500</v>
      </c>
      <c r="L2298" s="6" t="n">
        <f aca="false">H2298*K2298</f>
        <v>8500</v>
      </c>
      <c r="M2298" s="14" t="s">
        <v>410</v>
      </c>
    </row>
    <row r="2299" customFormat="false" ht="15" hidden="false" customHeight="false" outlineLevel="0" collapsed="false">
      <c r="A2299" s="4" t="s">
        <v>13</v>
      </c>
      <c r="B2299" s="5" t="s">
        <v>56</v>
      </c>
      <c r="C2299" s="5" t="s">
        <v>57</v>
      </c>
      <c r="D2299" s="4" t="s">
        <v>16</v>
      </c>
      <c r="E2299" s="4" t="s">
        <v>3276</v>
      </c>
      <c r="F2299" s="4" t="s">
        <v>406</v>
      </c>
      <c r="G2299" s="4" t="s">
        <v>3277</v>
      </c>
      <c r="H2299" s="12" t="n">
        <v>1</v>
      </c>
      <c r="I2299" s="4" t="s">
        <v>408</v>
      </c>
      <c r="J2299" s="4" t="s">
        <v>543</v>
      </c>
      <c r="K2299" s="13" t="n">
        <v>450000</v>
      </c>
      <c r="L2299" s="6" t="n">
        <f aca="false">H2299*K2299</f>
        <v>450000</v>
      </c>
      <c r="M2299" s="14" t="s">
        <v>410</v>
      </c>
    </row>
    <row r="2300" customFormat="false" ht="15" hidden="false" customHeight="false" outlineLevel="0" collapsed="false">
      <c r="A2300" s="4" t="s">
        <v>13</v>
      </c>
      <c r="B2300" s="5" t="s">
        <v>56</v>
      </c>
      <c r="C2300" s="5" t="s">
        <v>57</v>
      </c>
      <c r="D2300" s="4" t="s">
        <v>16</v>
      </c>
      <c r="E2300" s="4" t="s">
        <v>3278</v>
      </c>
      <c r="F2300" s="4" t="s">
        <v>406</v>
      </c>
      <c r="G2300" s="4" t="s">
        <v>3279</v>
      </c>
      <c r="H2300" s="12" t="n">
        <v>1</v>
      </c>
      <c r="I2300" s="4" t="s">
        <v>408</v>
      </c>
      <c r="J2300" s="4" t="s">
        <v>409</v>
      </c>
      <c r="K2300" s="13" t="n">
        <v>25000</v>
      </c>
      <c r="L2300" s="6" t="n">
        <f aca="false">H2300*K2300</f>
        <v>25000</v>
      </c>
      <c r="M2300" s="14" t="s">
        <v>410</v>
      </c>
    </row>
    <row r="2301" customFormat="false" ht="15" hidden="false" customHeight="false" outlineLevel="0" collapsed="false">
      <c r="A2301" s="4" t="s">
        <v>13</v>
      </c>
      <c r="B2301" s="5" t="s">
        <v>56</v>
      </c>
      <c r="C2301" s="5" t="s">
        <v>57</v>
      </c>
      <c r="D2301" s="4" t="s">
        <v>16</v>
      </c>
      <c r="E2301" s="4" t="s">
        <v>3280</v>
      </c>
      <c r="F2301" s="4" t="s">
        <v>406</v>
      </c>
      <c r="G2301" s="4" t="s">
        <v>3281</v>
      </c>
      <c r="H2301" s="12" t="n">
        <v>1</v>
      </c>
      <c r="I2301" s="4" t="s">
        <v>408</v>
      </c>
      <c r="J2301" s="4" t="s">
        <v>409</v>
      </c>
      <c r="K2301" s="13" t="n">
        <v>18000</v>
      </c>
      <c r="L2301" s="6" t="n">
        <f aca="false">H2301*K2301</f>
        <v>18000</v>
      </c>
      <c r="M2301" s="14" t="s">
        <v>410</v>
      </c>
    </row>
    <row r="2302" customFormat="false" ht="15" hidden="false" customHeight="false" outlineLevel="0" collapsed="false">
      <c r="A2302" s="4" t="s">
        <v>13</v>
      </c>
      <c r="B2302" s="5" t="s">
        <v>56</v>
      </c>
      <c r="C2302" s="5" t="s">
        <v>57</v>
      </c>
      <c r="D2302" s="4" t="s">
        <v>16</v>
      </c>
      <c r="E2302" s="4" t="s">
        <v>3282</v>
      </c>
      <c r="F2302" s="4" t="s">
        <v>406</v>
      </c>
      <c r="G2302" s="4" t="s">
        <v>3283</v>
      </c>
      <c r="H2302" s="12" t="n">
        <v>1</v>
      </c>
      <c r="I2302" s="4" t="s">
        <v>408</v>
      </c>
      <c r="J2302" s="4" t="s">
        <v>409</v>
      </c>
      <c r="K2302" s="13" t="n">
        <v>18000</v>
      </c>
      <c r="L2302" s="6" t="n">
        <f aca="false">H2302*K2302</f>
        <v>18000</v>
      </c>
      <c r="M2302" s="14" t="s">
        <v>410</v>
      </c>
    </row>
    <row r="2303" customFormat="false" ht="15" hidden="false" customHeight="false" outlineLevel="0" collapsed="false">
      <c r="A2303" s="4" t="s">
        <v>13</v>
      </c>
      <c r="B2303" s="5" t="s">
        <v>56</v>
      </c>
      <c r="C2303" s="5" t="s">
        <v>57</v>
      </c>
      <c r="D2303" s="4" t="s">
        <v>16</v>
      </c>
      <c r="E2303" s="4" t="s">
        <v>3284</v>
      </c>
      <c r="F2303" s="4" t="s">
        <v>488</v>
      </c>
      <c r="G2303" s="4" t="s">
        <v>3285</v>
      </c>
      <c r="H2303" s="12" t="n">
        <v>1</v>
      </c>
      <c r="I2303" s="4" t="s">
        <v>408</v>
      </c>
      <c r="J2303" s="4" t="s">
        <v>490</v>
      </c>
      <c r="K2303" s="13" t="n">
        <v>120</v>
      </c>
      <c r="L2303" s="6" t="n">
        <f aca="false">H2303*K2303</f>
        <v>120</v>
      </c>
      <c r="M2303" s="4" t="s">
        <v>371</v>
      </c>
    </row>
    <row r="2304" customFormat="false" ht="15" hidden="false" customHeight="false" outlineLevel="0" collapsed="false">
      <c r="A2304" s="4" t="s">
        <v>13</v>
      </c>
      <c r="B2304" s="5" t="s">
        <v>56</v>
      </c>
      <c r="C2304" s="5" t="s">
        <v>57</v>
      </c>
      <c r="D2304" s="4" t="s">
        <v>16</v>
      </c>
      <c r="E2304" s="4" t="s">
        <v>3286</v>
      </c>
      <c r="F2304" s="4" t="s">
        <v>488</v>
      </c>
      <c r="G2304" s="4" t="s">
        <v>3287</v>
      </c>
      <c r="H2304" s="12" t="n">
        <v>1</v>
      </c>
      <c r="I2304" s="4" t="s">
        <v>408</v>
      </c>
      <c r="J2304" s="4" t="s">
        <v>506</v>
      </c>
      <c r="K2304" s="13" t="n">
        <v>120</v>
      </c>
      <c r="L2304" s="6" t="n">
        <f aca="false">H2304*K2304</f>
        <v>120</v>
      </c>
      <c r="M2304" s="4" t="s">
        <v>371</v>
      </c>
    </row>
    <row r="2305" customFormat="false" ht="15" hidden="false" customHeight="false" outlineLevel="0" collapsed="false">
      <c r="A2305" s="4" t="s">
        <v>13</v>
      </c>
      <c r="B2305" s="5" t="s">
        <v>56</v>
      </c>
      <c r="C2305" s="5" t="s">
        <v>57</v>
      </c>
      <c r="D2305" s="4" t="s">
        <v>16</v>
      </c>
      <c r="E2305" s="4" t="s">
        <v>472</v>
      </c>
      <c r="F2305" s="4" t="s">
        <v>488</v>
      </c>
      <c r="G2305" s="4" t="s">
        <v>473</v>
      </c>
      <c r="H2305" s="12" t="n">
        <v>1</v>
      </c>
      <c r="I2305" s="4" t="s">
        <v>408</v>
      </c>
      <c r="J2305" s="4" t="s">
        <v>475</v>
      </c>
      <c r="K2305" s="13" t="n">
        <v>180</v>
      </c>
      <c r="L2305" s="6" t="n">
        <f aca="false">H2305*K2305</f>
        <v>180</v>
      </c>
      <c r="M2305" s="4" t="s">
        <v>371</v>
      </c>
    </row>
    <row r="2306" customFormat="false" ht="15" hidden="false" customHeight="false" outlineLevel="0" collapsed="false">
      <c r="A2306" s="4" t="s">
        <v>13</v>
      </c>
      <c r="B2306" s="5" t="s">
        <v>56</v>
      </c>
      <c r="C2306" s="5" t="s">
        <v>57</v>
      </c>
      <c r="D2306" s="4" t="s">
        <v>16</v>
      </c>
      <c r="E2306" s="4" t="s">
        <v>3288</v>
      </c>
      <c r="F2306" s="4" t="s">
        <v>488</v>
      </c>
      <c r="G2306" s="4" t="s">
        <v>3289</v>
      </c>
      <c r="H2306" s="12" t="n">
        <v>1</v>
      </c>
      <c r="I2306" s="4" t="s">
        <v>408</v>
      </c>
      <c r="J2306" s="4" t="s">
        <v>506</v>
      </c>
      <c r="K2306" s="13" t="n">
        <v>180</v>
      </c>
      <c r="L2306" s="6" t="n">
        <f aca="false">H2306*K2306</f>
        <v>180</v>
      </c>
      <c r="M2306" s="4" t="s">
        <v>371</v>
      </c>
    </row>
    <row r="2307" customFormat="false" ht="15" hidden="false" customHeight="false" outlineLevel="0" collapsed="false">
      <c r="A2307" s="4" t="s">
        <v>13</v>
      </c>
      <c r="B2307" s="5" t="s">
        <v>56</v>
      </c>
      <c r="C2307" s="5" t="s">
        <v>57</v>
      </c>
      <c r="D2307" s="4" t="s">
        <v>16</v>
      </c>
      <c r="E2307" s="4" t="s">
        <v>3290</v>
      </c>
      <c r="F2307" s="4" t="s">
        <v>488</v>
      </c>
      <c r="G2307" s="4" t="s">
        <v>3291</v>
      </c>
      <c r="H2307" s="12" t="n">
        <v>1</v>
      </c>
      <c r="I2307" s="4" t="s">
        <v>408</v>
      </c>
      <c r="J2307" s="4" t="s">
        <v>409</v>
      </c>
      <c r="K2307" s="13" t="n">
        <v>150</v>
      </c>
      <c r="L2307" s="6" t="n">
        <f aca="false">H2307*K2307</f>
        <v>150</v>
      </c>
      <c r="M2307" s="4" t="s">
        <v>371</v>
      </c>
    </row>
    <row r="2308" customFormat="false" ht="15" hidden="false" customHeight="false" outlineLevel="0" collapsed="false">
      <c r="A2308" s="4" t="s">
        <v>13</v>
      </c>
      <c r="B2308" s="5" t="s">
        <v>56</v>
      </c>
      <c r="C2308" s="5" t="s">
        <v>57</v>
      </c>
      <c r="D2308" s="4" t="s">
        <v>16</v>
      </c>
      <c r="E2308" s="4" t="s">
        <v>3292</v>
      </c>
      <c r="F2308" s="4" t="s">
        <v>488</v>
      </c>
      <c r="G2308" s="4" t="s">
        <v>3293</v>
      </c>
      <c r="H2308" s="12" t="n">
        <v>1</v>
      </c>
      <c r="I2308" s="4" t="s">
        <v>408</v>
      </c>
      <c r="J2308" s="4" t="s">
        <v>490</v>
      </c>
      <c r="K2308" s="13" t="n">
        <v>250</v>
      </c>
      <c r="L2308" s="6" t="n">
        <f aca="false">H2308*K2308</f>
        <v>250</v>
      </c>
      <c r="M2308" s="4" t="s">
        <v>371</v>
      </c>
    </row>
    <row r="2309" customFormat="false" ht="15" hidden="false" customHeight="false" outlineLevel="0" collapsed="false">
      <c r="A2309" s="4" t="s">
        <v>13</v>
      </c>
      <c r="B2309" s="5" t="s">
        <v>56</v>
      </c>
      <c r="C2309" s="5" t="s">
        <v>57</v>
      </c>
      <c r="D2309" s="4" t="s">
        <v>16</v>
      </c>
      <c r="E2309" s="4" t="s">
        <v>3294</v>
      </c>
      <c r="F2309" s="4" t="s">
        <v>470</v>
      </c>
      <c r="G2309" s="4" t="s">
        <v>3295</v>
      </c>
      <c r="H2309" s="12" t="n">
        <v>1</v>
      </c>
      <c r="I2309" s="4" t="s">
        <v>408</v>
      </c>
      <c r="J2309" s="4" t="s">
        <v>543</v>
      </c>
      <c r="K2309" s="13" t="n">
        <v>250000</v>
      </c>
      <c r="L2309" s="6" t="n">
        <f aca="false">H2309*K2309</f>
        <v>250000</v>
      </c>
      <c r="M2309" s="4" t="s">
        <v>371</v>
      </c>
    </row>
    <row r="2310" customFormat="false" ht="15" hidden="false" customHeight="false" outlineLevel="0" collapsed="false">
      <c r="A2310" s="4" t="s">
        <v>13</v>
      </c>
      <c r="B2310" s="5" t="s">
        <v>56</v>
      </c>
      <c r="C2310" s="5" t="s">
        <v>57</v>
      </c>
      <c r="D2310" s="4" t="s">
        <v>16</v>
      </c>
      <c r="E2310" s="4" t="s">
        <v>3296</v>
      </c>
      <c r="F2310" s="4" t="s">
        <v>470</v>
      </c>
      <c r="G2310" s="4" t="s">
        <v>3297</v>
      </c>
      <c r="H2310" s="12" t="n">
        <v>1</v>
      </c>
      <c r="I2310" s="4" t="s">
        <v>408</v>
      </c>
      <c r="J2310" s="4" t="s">
        <v>409</v>
      </c>
      <c r="K2310" s="13" t="n">
        <v>85000</v>
      </c>
      <c r="L2310" s="6" t="n">
        <f aca="false">H2310*K2310</f>
        <v>85000</v>
      </c>
      <c r="M2310" s="4" t="s">
        <v>371</v>
      </c>
    </row>
    <row r="2311" customFormat="false" ht="15" hidden="false" customHeight="false" outlineLevel="0" collapsed="false">
      <c r="A2311" s="4" t="s">
        <v>13</v>
      </c>
      <c r="B2311" s="5" t="s">
        <v>58</v>
      </c>
      <c r="C2311" s="5" t="s">
        <v>59</v>
      </c>
      <c r="D2311" s="4" t="s">
        <v>16</v>
      </c>
      <c r="E2311" s="4" t="s">
        <v>550</v>
      </c>
      <c r="F2311" s="4" t="s">
        <v>406</v>
      </c>
      <c r="G2311" s="4" t="s">
        <v>551</v>
      </c>
      <c r="H2311" s="12" t="n">
        <v>1</v>
      </c>
      <c r="I2311" s="4" t="s">
        <v>408</v>
      </c>
      <c r="J2311" s="4" t="s">
        <v>409</v>
      </c>
      <c r="K2311" s="13" t="n">
        <v>850</v>
      </c>
      <c r="L2311" s="6" t="n">
        <f aca="false">H2311*K2311</f>
        <v>850</v>
      </c>
      <c r="M2311" s="14" t="s">
        <v>410</v>
      </c>
    </row>
    <row r="2312" customFormat="false" ht="15" hidden="false" customHeight="false" outlineLevel="0" collapsed="false">
      <c r="A2312" s="4" t="s">
        <v>13</v>
      </c>
      <c r="B2312" s="5" t="s">
        <v>58</v>
      </c>
      <c r="C2312" s="5" t="s">
        <v>59</v>
      </c>
      <c r="D2312" s="4" t="s">
        <v>16</v>
      </c>
      <c r="E2312" s="4" t="s">
        <v>552</v>
      </c>
      <c r="F2312" s="4" t="s">
        <v>406</v>
      </c>
      <c r="G2312" s="4" t="s">
        <v>553</v>
      </c>
      <c r="H2312" s="12" t="n">
        <v>1</v>
      </c>
      <c r="I2312" s="4" t="s">
        <v>408</v>
      </c>
      <c r="J2312" s="4" t="s">
        <v>409</v>
      </c>
      <c r="K2312" s="13" t="n">
        <v>850</v>
      </c>
      <c r="L2312" s="6" t="n">
        <f aca="false">H2312*K2312</f>
        <v>850</v>
      </c>
      <c r="M2312" s="14" t="s">
        <v>410</v>
      </c>
    </row>
    <row r="2313" customFormat="false" ht="15" hidden="false" customHeight="false" outlineLevel="0" collapsed="false">
      <c r="A2313" s="4" t="s">
        <v>13</v>
      </c>
      <c r="B2313" s="5" t="s">
        <v>58</v>
      </c>
      <c r="C2313" s="5" t="s">
        <v>59</v>
      </c>
      <c r="D2313" s="4" t="s">
        <v>16</v>
      </c>
      <c r="E2313" s="4" t="s">
        <v>554</v>
      </c>
      <c r="F2313" s="4" t="s">
        <v>406</v>
      </c>
      <c r="G2313" s="4" t="s">
        <v>555</v>
      </c>
      <c r="H2313" s="12" t="n">
        <v>1</v>
      </c>
      <c r="I2313" s="4" t="s">
        <v>408</v>
      </c>
      <c r="J2313" s="4" t="s">
        <v>409</v>
      </c>
      <c r="K2313" s="13" t="n">
        <v>450</v>
      </c>
      <c r="L2313" s="6" t="n">
        <f aca="false">H2313*K2313</f>
        <v>450</v>
      </c>
      <c r="M2313" s="14" t="s">
        <v>410</v>
      </c>
    </row>
    <row r="2314" customFormat="false" ht="15" hidden="false" customHeight="false" outlineLevel="0" collapsed="false">
      <c r="A2314" s="4" t="s">
        <v>13</v>
      </c>
      <c r="B2314" s="5" t="s">
        <v>58</v>
      </c>
      <c r="C2314" s="5" t="s">
        <v>59</v>
      </c>
      <c r="D2314" s="4" t="s">
        <v>16</v>
      </c>
      <c r="E2314" s="4" t="s">
        <v>558</v>
      </c>
      <c r="F2314" s="4" t="s">
        <v>406</v>
      </c>
      <c r="G2314" s="4" t="s">
        <v>559</v>
      </c>
      <c r="H2314" s="12" t="n">
        <v>1</v>
      </c>
      <c r="I2314" s="4" t="s">
        <v>408</v>
      </c>
      <c r="J2314" s="4" t="s">
        <v>409</v>
      </c>
      <c r="K2314" s="13" t="n">
        <v>650</v>
      </c>
      <c r="L2314" s="6" t="n">
        <f aca="false">H2314*K2314</f>
        <v>650</v>
      </c>
      <c r="M2314" s="14" t="s">
        <v>410</v>
      </c>
    </row>
    <row r="2315" customFormat="false" ht="15" hidden="false" customHeight="false" outlineLevel="0" collapsed="false">
      <c r="A2315" s="4" t="s">
        <v>13</v>
      </c>
      <c r="B2315" s="5" t="s">
        <v>58</v>
      </c>
      <c r="C2315" s="5" t="s">
        <v>59</v>
      </c>
      <c r="D2315" s="4" t="s">
        <v>16</v>
      </c>
      <c r="E2315" s="4" t="s">
        <v>539</v>
      </c>
      <c r="F2315" s="4" t="s">
        <v>406</v>
      </c>
      <c r="G2315" s="4" t="s">
        <v>540</v>
      </c>
      <c r="H2315" s="12" t="n">
        <v>1</v>
      </c>
      <c r="I2315" s="4" t="s">
        <v>408</v>
      </c>
      <c r="J2315" s="4" t="s">
        <v>409</v>
      </c>
      <c r="K2315" s="13" t="n">
        <v>250</v>
      </c>
      <c r="L2315" s="6" t="n">
        <f aca="false">H2315*K2315</f>
        <v>250</v>
      </c>
      <c r="M2315" s="14" t="s">
        <v>410</v>
      </c>
    </row>
    <row r="2316" customFormat="false" ht="15" hidden="false" customHeight="false" outlineLevel="0" collapsed="false">
      <c r="A2316" s="4" t="s">
        <v>13</v>
      </c>
      <c r="B2316" s="5" t="s">
        <v>58</v>
      </c>
      <c r="C2316" s="5" t="s">
        <v>59</v>
      </c>
      <c r="D2316" s="4" t="s">
        <v>16</v>
      </c>
      <c r="E2316" s="4" t="s">
        <v>3298</v>
      </c>
      <c r="F2316" s="4" t="s">
        <v>406</v>
      </c>
      <c r="G2316" s="4" t="s">
        <v>3299</v>
      </c>
      <c r="H2316" s="12" t="n">
        <v>1</v>
      </c>
      <c r="I2316" s="4" t="s">
        <v>408</v>
      </c>
      <c r="J2316" s="4" t="s">
        <v>416</v>
      </c>
      <c r="K2316" s="13" t="n">
        <v>450</v>
      </c>
      <c r="L2316" s="6" t="n">
        <f aca="false">H2316*K2316</f>
        <v>450</v>
      </c>
      <c r="M2316" s="14" t="s">
        <v>410</v>
      </c>
    </row>
    <row r="2317" customFormat="false" ht="15" hidden="false" customHeight="false" outlineLevel="0" collapsed="false">
      <c r="A2317" s="4" t="s">
        <v>13</v>
      </c>
      <c r="B2317" s="5" t="s">
        <v>58</v>
      </c>
      <c r="C2317" s="5" t="s">
        <v>59</v>
      </c>
      <c r="D2317" s="4" t="s">
        <v>16</v>
      </c>
      <c r="E2317" s="4" t="s">
        <v>562</v>
      </c>
      <c r="F2317" s="4" t="s">
        <v>406</v>
      </c>
      <c r="G2317" s="4" t="s">
        <v>563</v>
      </c>
      <c r="H2317" s="12" t="n">
        <v>1</v>
      </c>
      <c r="I2317" s="4" t="s">
        <v>408</v>
      </c>
      <c r="J2317" s="4" t="s">
        <v>409</v>
      </c>
      <c r="K2317" s="13" t="n">
        <v>3500</v>
      </c>
      <c r="L2317" s="6" t="n">
        <f aca="false">H2317*K2317</f>
        <v>3500</v>
      </c>
      <c r="M2317" s="14" t="s">
        <v>410</v>
      </c>
    </row>
    <row r="2318" customFormat="false" ht="15" hidden="false" customHeight="false" outlineLevel="0" collapsed="false">
      <c r="A2318" s="4" t="s">
        <v>13</v>
      </c>
      <c r="B2318" s="5" t="s">
        <v>58</v>
      </c>
      <c r="C2318" s="5" t="s">
        <v>59</v>
      </c>
      <c r="D2318" s="4" t="s">
        <v>16</v>
      </c>
      <c r="E2318" s="4" t="s">
        <v>564</v>
      </c>
      <c r="F2318" s="4" t="s">
        <v>406</v>
      </c>
      <c r="G2318" s="4" t="s">
        <v>565</v>
      </c>
      <c r="H2318" s="12" t="n">
        <v>1</v>
      </c>
      <c r="I2318" s="4" t="s">
        <v>408</v>
      </c>
      <c r="J2318" s="4" t="s">
        <v>409</v>
      </c>
      <c r="K2318" s="13" t="n">
        <v>18000</v>
      </c>
      <c r="L2318" s="6" t="n">
        <f aca="false">H2318*K2318</f>
        <v>18000</v>
      </c>
      <c r="M2318" s="14" t="s">
        <v>410</v>
      </c>
    </row>
    <row r="2319" customFormat="false" ht="15" hidden="false" customHeight="false" outlineLevel="0" collapsed="false">
      <c r="A2319" s="4" t="s">
        <v>13</v>
      </c>
      <c r="B2319" s="5" t="s">
        <v>58</v>
      </c>
      <c r="C2319" s="5" t="s">
        <v>59</v>
      </c>
      <c r="D2319" s="4" t="s">
        <v>16</v>
      </c>
      <c r="E2319" s="4" t="s">
        <v>568</v>
      </c>
      <c r="F2319" s="4" t="s">
        <v>406</v>
      </c>
      <c r="G2319" s="4" t="s">
        <v>569</v>
      </c>
      <c r="H2319" s="12" t="n">
        <v>1</v>
      </c>
      <c r="I2319" s="4" t="s">
        <v>408</v>
      </c>
      <c r="J2319" s="4" t="s">
        <v>409</v>
      </c>
      <c r="K2319" s="13" t="n">
        <v>350</v>
      </c>
      <c r="L2319" s="6" t="n">
        <f aca="false">H2319*K2319</f>
        <v>350</v>
      </c>
      <c r="M2319" s="14" t="s">
        <v>410</v>
      </c>
    </row>
    <row r="2320" customFormat="false" ht="15" hidden="false" customHeight="false" outlineLevel="0" collapsed="false">
      <c r="A2320" s="4" t="s">
        <v>13</v>
      </c>
      <c r="B2320" s="5" t="s">
        <v>58</v>
      </c>
      <c r="C2320" s="5" t="s">
        <v>59</v>
      </c>
      <c r="D2320" s="4" t="s">
        <v>16</v>
      </c>
      <c r="E2320" s="4" t="s">
        <v>570</v>
      </c>
      <c r="F2320" s="4" t="s">
        <v>406</v>
      </c>
      <c r="G2320" s="4" t="s">
        <v>571</v>
      </c>
      <c r="H2320" s="12" t="n">
        <v>1</v>
      </c>
      <c r="I2320" s="4" t="s">
        <v>408</v>
      </c>
      <c r="J2320" s="4" t="s">
        <v>409</v>
      </c>
      <c r="K2320" s="13" t="n">
        <v>6500</v>
      </c>
      <c r="L2320" s="6" t="n">
        <f aca="false">H2320*K2320</f>
        <v>6500</v>
      </c>
      <c r="M2320" s="14" t="s">
        <v>410</v>
      </c>
    </row>
    <row r="2321" customFormat="false" ht="15" hidden="false" customHeight="false" outlineLevel="0" collapsed="false">
      <c r="A2321" s="4" t="s">
        <v>13</v>
      </c>
      <c r="B2321" s="5" t="s">
        <v>58</v>
      </c>
      <c r="C2321" s="5" t="s">
        <v>59</v>
      </c>
      <c r="D2321" s="4" t="s">
        <v>16</v>
      </c>
      <c r="E2321" s="4" t="s">
        <v>572</v>
      </c>
      <c r="F2321" s="4" t="s">
        <v>406</v>
      </c>
      <c r="G2321" s="4" t="s">
        <v>573</v>
      </c>
      <c r="H2321" s="12" t="n">
        <v>1</v>
      </c>
      <c r="I2321" s="4" t="s">
        <v>408</v>
      </c>
      <c r="J2321" s="4" t="s">
        <v>409</v>
      </c>
      <c r="K2321" s="13" t="n">
        <v>2500</v>
      </c>
      <c r="L2321" s="6" t="n">
        <f aca="false">H2321*K2321</f>
        <v>2500</v>
      </c>
      <c r="M2321" s="14" t="s">
        <v>410</v>
      </c>
    </row>
    <row r="2322" customFormat="false" ht="15" hidden="false" customHeight="false" outlineLevel="0" collapsed="false">
      <c r="A2322" s="4" t="s">
        <v>13</v>
      </c>
      <c r="B2322" s="5" t="s">
        <v>58</v>
      </c>
      <c r="C2322" s="5" t="s">
        <v>59</v>
      </c>
      <c r="D2322" s="4" t="s">
        <v>16</v>
      </c>
      <c r="E2322" s="4" t="s">
        <v>574</v>
      </c>
      <c r="F2322" s="4" t="s">
        <v>406</v>
      </c>
      <c r="G2322" s="4" t="s">
        <v>575</v>
      </c>
      <c r="H2322" s="12" t="n">
        <v>1</v>
      </c>
      <c r="I2322" s="4" t="s">
        <v>408</v>
      </c>
      <c r="J2322" s="4" t="s">
        <v>409</v>
      </c>
      <c r="K2322" s="13" t="n">
        <v>3500</v>
      </c>
      <c r="L2322" s="6" t="n">
        <f aca="false">H2322*K2322</f>
        <v>3500</v>
      </c>
      <c r="M2322" s="14" t="s">
        <v>410</v>
      </c>
    </row>
    <row r="2323" customFormat="false" ht="15" hidden="false" customHeight="false" outlineLevel="0" collapsed="false">
      <c r="A2323" s="4" t="s">
        <v>13</v>
      </c>
      <c r="B2323" s="5" t="s">
        <v>58</v>
      </c>
      <c r="C2323" s="5" t="s">
        <v>59</v>
      </c>
      <c r="D2323" s="4" t="s">
        <v>16</v>
      </c>
      <c r="E2323" s="4" t="s">
        <v>3300</v>
      </c>
      <c r="F2323" s="4" t="s">
        <v>406</v>
      </c>
      <c r="G2323" s="4" t="s">
        <v>3301</v>
      </c>
      <c r="H2323" s="12" t="n">
        <v>1</v>
      </c>
      <c r="I2323" s="4" t="s">
        <v>408</v>
      </c>
      <c r="J2323" s="4" t="s">
        <v>409</v>
      </c>
      <c r="K2323" s="13" t="n">
        <v>18000</v>
      </c>
      <c r="L2323" s="6" t="n">
        <f aca="false">H2323*K2323</f>
        <v>18000</v>
      </c>
      <c r="M2323" s="14" t="s">
        <v>410</v>
      </c>
    </row>
    <row r="2324" customFormat="false" ht="15" hidden="false" customHeight="false" outlineLevel="0" collapsed="false">
      <c r="A2324" s="4" t="s">
        <v>13</v>
      </c>
      <c r="B2324" s="5" t="s">
        <v>58</v>
      </c>
      <c r="C2324" s="5" t="s">
        <v>59</v>
      </c>
      <c r="D2324" s="4" t="s">
        <v>16</v>
      </c>
      <c r="E2324" s="4" t="s">
        <v>3302</v>
      </c>
      <c r="F2324" s="4" t="s">
        <v>406</v>
      </c>
      <c r="G2324" s="4" t="s">
        <v>3303</v>
      </c>
      <c r="H2324" s="12" t="n">
        <v>1</v>
      </c>
      <c r="I2324" s="4" t="s">
        <v>408</v>
      </c>
      <c r="J2324" s="4" t="s">
        <v>409</v>
      </c>
      <c r="K2324" s="13" t="n">
        <v>85000</v>
      </c>
      <c r="L2324" s="6" t="n">
        <f aca="false">H2324*K2324</f>
        <v>85000</v>
      </c>
      <c r="M2324" s="14" t="s">
        <v>410</v>
      </c>
    </row>
    <row r="2325" customFormat="false" ht="15" hidden="false" customHeight="false" outlineLevel="0" collapsed="false">
      <c r="A2325" s="4" t="s">
        <v>13</v>
      </c>
      <c r="B2325" s="5" t="s">
        <v>58</v>
      </c>
      <c r="C2325" s="5" t="s">
        <v>59</v>
      </c>
      <c r="D2325" s="4" t="s">
        <v>16</v>
      </c>
      <c r="E2325" s="4" t="s">
        <v>3304</v>
      </c>
      <c r="F2325" s="4" t="s">
        <v>406</v>
      </c>
      <c r="G2325" s="4" t="s">
        <v>3305</v>
      </c>
      <c r="H2325" s="12" t="n">
        <v>1</v>
      </c>
      <c r="I2325" s="4" t="s">
        <v>408</v>
      </c>
      <c r="J2325" s="4" t="s">
        <v>413</v>
      </c>
      <c r="K2325" s="13" t="n">
        <v>4500</v>
      </c>
      <c r="L2325" s="6" t="n">
        <f aca="false">H2325*K2325</f>
        <v>4500</v>
      </c>
      <c r="M2325" s="14" t="s">
        <v>410</v>
      </c>
    </row>
    <row r="2326" customFormat="false" ht="15" hidden="false" customHeight="false" outlineLevel="0" collapsed="false">
      <c r="A2326" s="4" t="s">
        <v>13</v>
      </c>
      <c r="B2326" s="5" t="s">
        <v>58</v>
      </c>
      <c r="C2326" s="5" t="s">
        <v>59</v>
      </c>
      <c r="D2326" s="4" t="s">
        <v>16</v>
      </c>
      <c r="E2326" s="4" t="s">
        <v>3306</v>
      </c>
      <c r="F2326" s="4" t="s">
        <v>406</v>
      </c>
      <c r="G2326" s="4" t="s">
        <v>3307</v>
      </c>
      <c r="H2326" s="12" t="n">
        <v>1</v>
      </c>
      <c r="I2326" s="4" t="s">
        <v>408</v>
      </c>
      <c r="J2326" s="4" t="s">
        <v>409</v>
      </c>
      <c r="K2326" s="13" t="n">
        <v>8500</v>
      </c>
      <c r="L2326" s="6" t="n">
        <f aca="false">H2326*K2326</f>
        <v>8500</v>
      </c>
      <c r="M2326" s="14" t="s">
        <v>410</v>
      </c>
    </row>
    <row r="2327" customFormat="false" ht="15" hidden="false" customHeight="false" outlineLevel="0" collapsed="false">
      <c r="A2327" s="4" t="s">
        <v>13</v>
      </c>
      <c r="B2327" s="5" t="s">
        <v>58</v>
      </c>
      <c r="C2327" s="5" t="s">
        <v>59</v>
      </c>
      <c r="D2327" s="4" t="s">
        <v>16</v>
      </c>
      <c r="E2327" s="4" t="s">
        <v>3308</v>
      </c>
      <c r="F2327" s="4" t="s">
        <v>406</v>
      </c>
      <c r="G2327" s="4" t="s">
        <v>3309</v>
      </c>
      <c r="H2327" s="12" t="n">
        <v>1</v>
      </c>
      <c r="I2327" s="4" t="s">
        <v>408</v>
      </c>
      <c r="J2327" s="4" t="s">
        <v>409</v>
      </c>
      <c r="K2327" s="13" t="n">
        <v>18000</v>
      </c>
      <c r="L2327" s="6" t="n">
        <f aca="false">H2327*K2327</f>
        <v>18000</v>
      </c>
      <c r="M2327" s="14" t="s">
        <v>410</v>
      </c>
    </row>
    <row r="2328" customFormat="false" ht="15" hidden="false" customHeight="false" outlineLevel="0" collapsed="false">
      <c r="A2328" s="4" t="s">
        <v>13</v>
      </c>
      <c r="B2328" s="5" t="s">
        <v>58</v>
      </c>
      <c r="C2328" s="5" t="s">
        <v>59</v>
      </c>
      <c r="D2328" s="4" t="s">
        <v>16</v>
      </c>
      <c r="E2328" s="4" t="s">
        <v>3310</v>
      </c>
      <c r="F2328" s="4" t="s">
        <v>406</v>
      </c>
      <c r="G2328" s="4" t="s">
        <v>3311</v>
      </c>
      <c r="H2328" s="12" t="n">
        <v>1</v>
      </c>
      <c r="I2328" s="4" t="s">
        <v>408</v>
      </c>
      <c r="J2328" s="4" t="s">
        <v>416</v>
      </c>
      <c r="K2328" s="13" t="n">
        <v>1800</v>
      </c>
      <c r="L2328" s="6" t="n">
        <f aca="false">H2328*K2328</f>
        <v>1800</v>
      </c>
      <c r="M2328" s="14" t="s">
        <v>410</v>
      </c>
    </row>
    <row r="2329" customFormat="false" ht="15" hidden="false" customHeight="false" outlineLevel="0" collapsed="false">
      <c r="A2329" s="4" t="s">
        <v>13</v>
      </c>
      <c r="B2329" s="5" t="s">
        <v>58</v>
      </c>
      <c r="C2329" s="5" t="s">
        <v>59</v>
      </c>
      <c r="D2329" s="4" t="s">
        <v>16</v>
      </c>
      <c r="E2329" s="4" t="s">
        <v>3312</v>
      </c>
      <c r="F2329" s="4" t="s">
        <v>406</v>
      </c>
      <c r="G2329" s="4" t="s">
        <v>3313</v>
      </c>
      <c r="H2329" s="12" t="n">
        <v>1</v>
      </c>
      <c r="I2329" s="4" t="s">
        <v>408</v>
      </c>
      <c r="J2329" s="4" t="s">
        <v>409</v>
      </c>
      <c r="K2329" s="13" t="n">
        <v>45000</v>
      </c>
      <c r="L2329" s="6" t="n">
        <f aca="false">H2329*K2329</f>
        <v>45000</v>
      </c>
      <c r="M2329" s="14" t="s">
        <v>410</v>
      </c>
    </row>
    <row r="2330" customFormat="false" ht="15" hidden="false" customHeight="false" outlineLevel="0" collapsed="false">
      <c r="A2330" s="4" t="s">
        <v>13</v>
      </c>
      <c r="B2330" s="5" t="s">
        <v>58</v>
      </c>
      <c r="C2330" s="5" t="s">
        <v>59</v>
      </c>
      <c r="D2330" s="4" t="s">
        <v>16</v>
      </c>
      <c r="E2330" s="4" t="s">
        <v>576</v>
      </c>
      <c r="F2330" s="4" t="s">
        <v>406</v>
      </c>
      <c r="G2330" s="4" t="s">
        <v>577</v>
      </c>
      <c r="H2330" s="12" t="n">
        <v>1</v>
      </c>
      <c r="I2330" s="4" t="s">
        <v>408</v>
      </c>
      <c r="J2330" s="4" t="s">
        <v>543</v>
      </c>
      <c r="K2330" s="13" t="n">
        <v>8500</v>
      </c>
      <c r="L2330" s="6" t="n">
        <f aca="false">H2330*K2330</f>
        <v>8500</v>
      </c>
      <c r="M2330" s="14" t="s">
        <v>410</v>
      </c>
    </row>
    <row r="2331" customFormat="false" ht="15" hidden="false" customHeight="false" outlineLevel="0" collapsed="false">
      <c r="A2331" s="4" t="s">
        <v>13</v>
      </c>
      <c r="B2331" s="5" t="s">
        <v>58</v>
      </c>
      <c r="C2331" s="5" t="s">
        <v>59</v>
      </c>
      <c r="D2331" s="4" t="s">
        <v>16</v>
      </c>
      <c r="E2331" s="4" t="s">
        <v>556</v>
      </c>
      <c r="F2331" s="4" t="s">
        <v>406</v>
      </c>
      <c r="G2331" s="4" t="s">
        <v>557</v>
      </c>
      <c r="H2331" s="12" t="n">
        <v>1</v>
      </c>
      <c r="I2331" s="4" t="s">
        <v>408</v>
      </c>
      <c r="J2331" s="4" t="s">
        <v>409</v>
      </c>
      <c r="K2331" s="13" t="n">
        <v>850</v>
      </c>
      <c r="L2331" s="6" t="n">
        <f aca="false">H2331*K2331</f>
        <v>850</v>
      </c>
      <c r="M2331" s="14" t="s">
        <v>410</v>
      </c>
    </row>
    <row r="2332" customFormat="false" ht="15" hidden="false" customHeight="false" outlineLevel="0" collapsed="false">
      <c r="A2332" s="4" t="s">
        <v>13</v>
      </c>
      <c r="B2332" s="5" t="s">
        <v>58</v>
      </c>
      <c r="C2332" s="5" t="s">
        <v>59</v>
      </c>
      <c r="D2332" s="4" t="s">
        <v>16</v>
      </c>
      <c r="E2332" s="4" t="s">
        <v>578</v>
      </c>
      <c r="F2332" s="4" t="s">
        <v>406</v>
      </c>
      <c r="G2332" s="4" t="s">
        <v>579</v>
      </c>
      <c r="H2332" s="12" t="n">
        <v>1</v>
      </c>
      <c r="I2332" s="4" t="s">
        <v>408</v>
      </c>
      <c r="J2332" s="4" t="s">
        <v>543</v>
      </c>
      <c r="K2332" s="13" t="n">
        <v>4500</v>
      </c>
      <c r="L2332" s="6" t="n">
        <f aca="false">H2332*K2332</f>
        <v>4500</v>
      </c>
      <c r="M2332" s="14" t="s">
        <v>410</v>
      </c>
    </row>
    <row r="2333" customFormat="false" ht="15" hidden="false" customHeight="false" outlineLevel="0" collapsed="false">
      <c r="A2333" s="4" t="s">
        <v>13</v>
      </c>
      <c r="B2333" s="5" t="s">
        <v>58</v>
      </c>
      <c r="C2333" s="5" t="s">
        <v>59</v>
      </c>
      <c r="D2333" s="4" t="s">
        <v>16</v>
      </c>
      <c r="E2333" s="4" t="s">
        <v>580</v>
      </c>
      <c r="F2333" s="4" t="s">
        <v>406</v>
      </c>
      <c r="G2333" s="4" t="s">
        <v>581</v>
      </c>
      <c r="H2333" s="12" t="n">
        <v>1</v>
      </c>
      <c r="I2333" s="4" t="s">
        <v>408</v>
      </c>
      <c r="J2333" s="4" t="s">
        <v>409</v>
      </c>
      <c r="K2333" s="13" t="n">
        <v>18000</v>
      </c>
      <c r="L2333" s="6" t="n">
        <f aca="false">H2333*K2333</f>
        <v>18000</v>
      </c>
      <c r="M2333" s="14" t="s">
        <v>410</v>
      </c>
    </row>
    <row r="2334" customFormat="false" ht="15" hidden="false" customHeight="false" outlineLevel="0" collapsed="false">
      <c r="A2334" s="4" t="s">
        <v>13</v>
      </c>
      <c r="B2334" s="5" t="s">
        <v>58</v>
      </c>
      <c r="C2334" s="5" t="s">
        <v>59</v>
      </c>
      <c r="D2334" s="4" t="s">
        <v>16</v>
      </c>
      <c r="E2334" s="4" t="s">
        <v>582</v>
      </c>
      <c r="F2334" s="4" t="s">
        <v>406</v>
      </c>
      <c r="G2334" s="4" t="s">
        <v>583</v>
      </c>
      <c r="H2334" s="12" t="n">
        <v>1</v>
      </c>
      <c r="I2334" s="4" t="s">
        <v>408</v>
      </c>
      <c r="J2334" s="4" t="s">
        <v>409</v>
      </c>
      <c r="K2334" s="13" t="n">
        <v>18000</v>
      </c>
      <c r="L2334" s="6" t="n">
        <f aca="false">H2334*K2334</f>
        <v>18000</v>
      </c>
      <c r="M2334" s="14" t="s">
        <v>410</v>
      </c>
    </row>
    <row r="2335" customFormat="false" ht="15" hidden="false" customHeight="false" outlineLevel="0" collapsed="false">
      <c r="A2335" s="4" t="s">
        <v>13</v>
      </c>
      <c r="B2335" s="5" t="s">
        <v>58</v>
      </c>
      <c r="C2335" s="5" t="s">
        <v>59</v>
      </c>
      <c r="D2335" s="4" t="s">
        <v>16</v>
      </c>
      <c r="E2335" s="4" t="s">
        <v>584</v>
      </c>
      <c r="F2335" s="4" t="s">
        <v>406</v>
      </c>
      <c r="G2335" s="4" t="s">
        <v>585</v>
      </c>
      <c r="H2335" s="12" t="n">
        <v>1</v>
      </c>
      <c r="I2335" s="4" t="s">
        <v>408</v>
      </c>
      <c r="J2335" s="4" t="s">
        <v>543</v>
      </c>
      <c r="K2335" s="13" t="n">
        <v>4500</v>
      </c>
      <c r="L2335" s="6" t="n">
        <f aca="false">H2335*K2335</f>
        <v>4500</v>
      </c>
      <c r="M2335" s="14" t="s">
        <v>410</v>
      </c>
    </row>
    <row r="2336" customFormat="false" ht="15" hidden="false" customHeight="false" outlineLevel="0" collapsed="false">
      <c r="A2336" s="4" t="s">
        <v>13</v>
      </c>
      <c r="B2336" s="5" t="s">
        <v>58</v>
      </c>
      <c r="C2336" s="5" t="s">
        <v>59</v>
      </c>
      <c r="D2336" s="4" t="s">
        <v>16</v>
      </c>
      <c r="E2336" s="4" t="s">
        <v>586</v>
      </c>
      <c r="F2336" s="4" t="s">
        <v>406</v>
      </c>
      <c r="G2336" s="4" t="s">
        <v>587</v>
      </c>
      <c r="H2336" s="12" t="n">
        <v>1</v>
      </c>
      <c r="I2336" s="4" t="s">
        <v>408</v>
      </c>
      <c r="J2336" s="4" t="s">
        <v>543</v>
      </c>
      <c r="K2336" s="13" t="n">
        <v>4500</v>
      </c>
      <c r="L2336" s="6" t="n">
        <f aca="false">H2336*K2336</f>
        <v>4500</v>
      </c>
      <c r="M2336" s="14" t="s">
        <v>410</v>
      </c>
    </row>
    <row r="2337" customFormat="false" ht="15" hidden="false" customHeight="false" outlineLevel="0" collapsed="false">
      <c r="A2337" s="4" t="s">
        <v>13</v>
      </c>
      <c r="B2337" s="5" t="s">
        <v>58</v>
      </c>
      <c r="C2337" s="5" t="s">
        <v>59</v>
      </c>
      <c r="D2337" s="4" t="s">
        <v>16</v>
      </c>
      <c r="E2337" s="4" t="s">
        <v>588</v>
      </c>
      <c r="F2337" s="4" t="s">
        <v>406</v>
      </c>
      <c r="G2337" s="4" t="s">
        <v>589</v>
      </c>
      <c r="H2337" s="12" t="n">
        <v>1</v>
      </c>
      <c r="I2337" s="4" t="s">
        <v>408</v>
      </c>
      <c r="J2337" s="4" t="s">
        <v>543</v>
      </c>
      <c r="K2337" s="13" t="n">
        <v>4500</v>
      </c>
      <c r="L2337" s="6" t="n">
        <f aca="false">H2337*K2337</f>
        <v>4500</v>
      </c>
      <c r="M2337" s="14" t="s">
        <v>410</v>
      </c>
    </row>
    <row r="2338" customFormat="false" ht="15" hidden="false" customHeight="false" outlineLevel="0" collapsed="false">
      <c r="A2338" s="4" t="s">
        <v>13</v>
      </c>
      <c r="B2338" s="5" t="s">
        <v>58</v>
      </c>
      <c r="C2338" s="5" t="s">
        <v>59</v>
      </c>
      <c r="D2338" s="4" t="s">
        <v>16</v>
      </c>
      <c r="E2338" s="4" t="s">
        <v>590</v>
      </c>
      <c r="F2338" s="4" t="s">
        <v>406</v>
      </c>
      <c r="G2338" s="4" t="s">
        <v>591</v>
      </c>
      <c r="H2338" s="12" t="n">
        <v>1</v>
      </c>
      <c r="I2338" s="4" t="s">
        <v>408</v>
      </c>
      <c r="J2338" s="4" t="s">
        <v>543</v>
      </c>
      <c r="K2338" s="13" t="n">
        <v>4500</v>
      </c>
      <c r="L2338" s="6" t="n">
        <f aca="false">H2338*K2338</f>
        <v>4500</v>
      </c>
      <c r="M2338" s="14" t="s">
        <v>410</v>
      </c>
    </row>
    <row r="2339" customFormat="false" ht="15" hidden="false" customHeight="false" outlineLevel="0" collapsed="false">
      <c r="A2339" s="4" t="s">
        <v>13</v>
      </c>
      <c r="B2339" s="5" t="s">
        <v>58</v>
      </c>
      <c r="C2339" s="5" t="s">
        <v>59</v>
      </c>
      <c r="D2339" s="4" t="s">
        <v>16</v>
      </c>
      <c r="E2339" s="4" t="s">
        <v>3314</v>
      </c>
      <c r="F2339" s="4" t="s">
        <v>406</v>
      </c>
      <c r="G2339" s="4" t="s">
        <v>3315</v>
      </c>
      <c r="H2339" s="12" t="n">
        <v>1</v>
      </c>
      <c r="I2339" s="4" t="s">
        <v>408</v>
      </c>
      <c r="J2339" s="4" t="s">
        <v>409</v>
      </c>
      <c r="K2339" s="13" t="n">
        <v>85000</v>
      </c>
      <c r="L2339" s="6" t="n">
        <f aca="false">H2339*K2339</f>
        <v>85000</v>
      </c>
      <c r="M2339" s="14" t="s">
        <v>410</v>
      </c>
    </row>
    <row r="2340" customFormat="false" ht="15" hidden="false" customHeight="false" outlineLevel="0" collapsed="false">
      <c r="A2340" s="4" t="s">
        <v>13</v>
      </c>
      <c r="B2340" s="5" t="s">
        <v>58</v>
      </c>
      <c r="C2340" s="5" t="s">
        <v>59</v>
      </c>
      <c r="D2340" s="4" t="s">
        <v>16</v>
      </c>
      <c r="E2340" s="4" t="s">
        <v>3316</v>
      </c>
      <c r="F2340" s="4" t="s">
        <v>406</v>
      </c>
      <c r="G2340" s="4" t="s">
        <v>3317</v>
      </c>
      <c r="H2340" s="12" t="n">
        <v>1</v>
      </c>
      <c r="I2340" s="4" t="s">
        <v>408</v>
      </c>
      <c r="J2340" s="4" t="s">
        <v>409</v>
      </c>
      <c r="K2340" s="13" t="n">
        <v>125000</v>
      </c>
      <c r="L2340" s="6" t="n">
        <f aca="false">H2340*K2340</f>
        <v>125000</v>
      </c>
      <c r="M2340" s="14" t="s">
        <v>410</v>
      </c>
    </row>
    <row r="2341" customFormat="false" ht="15" hidden="false" customHeight="false" outlineLevel="0" collapsed="false">
      <c r="A2341" s="4" t="s">
        <v>13</v>
      </c>
      <c r="B2341" s="5" t="s">
        <v>58</v>
      </c>
      <c r="C2341" s="5" t="s">
        <v>59</v>
      </c>
      <c r="D2341" s="4" t="s">
        <v>16</v>
      </c>
      <c r="E2341" s="4" t="s">
        <v>3318</v>
      </c>
      <c r="F2341" s="4" t="s">
        <v>406</v>
      </c>
      <c r="G2341" s="4" t="s">
        <v>3319</v>
      </c>
      <c r="H2341" s="12" t="n">
        <v>1</v>
      </c>
      <c r="I2341" s="4" t="s">
        <v>408</v>
      </c>
      <c r="J2341" s="4" t="s">
        <v>409</v>
      </c>
      <c r="K2341" s="13" t="n">
        <v>85000</v>
      </c>
      <c r="L2341" s="6" t="n">
        <f aca="false">H2341*K2341</f>
        <v>85000</v>
      </c>
      <c r="M2341" s="14" t="s">
        <v>410</v>
      </c>
    </row>
    <row r="2342" customFormat="false" ht="15" hidden="false" customHeight="false" outlineLevel="0" collapsed="false">
      <c r="A2342" s="4" t="s">
        <v>13</v>
      </c>
      <c r="B2342" s="5" t="s">
        <v>58</v>
      </c>
      <c r="C2342" s="5" t="s">
        <v>59</v>
      </c>
      <c r="D2342" s="4" t="s">
        <v>16</v>
      </c>
      <c r="E2342" s="4" t="s">
        <v>592</v>
      </c>
      <c r="F2342" s="4" t="s">
        <v>488</v>
      </c>
      <c r="G2342" s="4" t="s">
        <v>593</v>
      </c>
      <c r="H2342" s="12" t="n">
        <v>1</v>
      </c>
      <c r="I2342" s="4" t="s">
        <v>408</v>
      </c>
      <c r="J2342" s="4" t="s">
        <v>432</v>
      </c>
      <c r="K2342" s="13" t="n">
        <v>8</v>
      </c>
      <c r="L2342" s="6" t="n">
        <f aca="false">H2342*K2342</f>
        <v>8</v>
      </c>
      <c r="M2342" s="4" t="s">
        <v>371</v>
      </c>
    </row>
    <row r="2343" customFormat="false" ht="15" hidden="false" customHeight="false" outlineLevel="0" collapsed="false">
      <c r="A2343" s="4" t="s">
        <v>13</v>
      </c>
      <c r="B2343" s="5" t="s">
        <v>58</v>
      </c>
      <c r="C2343" s="5" t="s">
        <v>59</v>
      </c>
      <c r="D2343" s="4" t="s">
        <v>16</v>
      </c>
      <c r="E2343" s="4" t="s">
        <v>594</v>
      </c>
      <c r="F2343" s="4" t="s">
        <v>488</v>
      </c>
      <c r="G2343" s="4" t="s">
        <v>595</v>
      </c>
      <c r="H2343" s="12" t="n">
        <v>1</v>
      </c>
      <c r="I2343" s="4" t="s">
        <v>408</v>
      </c>
      <c r="J2343" s="4" t="s">
        <v>432</v>
      </c>
      <c r="K2343" s="13" t="n">
        <v>65</v>
      </c>
      <c r="L2343" s="6" t="n">
        <f aca="false">H2343*K2343</f>
        <v>65</v>
      </c>
      <c r="M2343" s="4" t="s">
        <v>371</v>
      </c>
    </row>
    <row r="2344" customFormat="false" ht="15" hidden="false" customHeight="false" outlineLevel="0" collapsed="false">
      <c r="A2344" s="4" t="s">
        <v>13</v>
      </c>
      <c r="B2344" s="5" t="s">
        <v>58</v>
      </c>
      <c r="C2344" s="5" t="s">
        <v>59</v>
      </c>
      <c r="D2344" s="4" t="s">
        <v>16</v>
      </c>
      <c r="E2344" s="4" t="s">
        <v>596</v>
      </c>
      <c r="F2344" s="4" t="s">
        <v>488</v>
      </c>
      <c r="G2344" s="4" t="s">
        <v>597</v>
      </c>
      <c r="H2344" s="12" t="n">
        <v>1</v>
      </c>
      <c r="I2344" s="4" t="s">
        <v>408</v>
      </c>
      <c r="J2344" s="4" t="s">
        <v>490</v>
      </c>
      <c r="K2344" s="13" t="n">
        <v>450</v>
      </c>
      <c r="L2344" s="6" t="n">
        <f aca="false">H2344*K2344</f>
        <v>450</v>
      </c>
      <c r="M2344" s="4" t="s">
        <v>371</v>
      </c>
    </row>
    <row r="2345" customFormat="false" ht="15" hidden="false" customHeight="false" outlineLevel="0" collapsed="false">
      <c r="A2345" s="4" t="s">
        <v>13</v>
      </c>
      <c r="B2345" s="5" t="s">
        <v>58</v>
      </c>
      <c r="C2345" s="5" t="s">
        <v>59</v>
      </c>
      <c r="D2345" s="4" t="s">
        <v>16</v>
      </c>
      <c r="E2345" s="4" t="s">
        <v>598</v>
      </c>
      <c r="F2345" s="4" t="s">
        <v>488</v>
      </c>
      <c r="G2345" s="4" t="s">
        <v>599</v>
      </c>
      <c r="H2345" s="12" t="n">
        <v>1</v>
      </c>
      <c r="I2345" s="4" t="s">
        <v>408</v>
      </c>
      <c r="J2345" s="4" t="s">
        <v>506</v>
      </c>
      <c r="K2345" s="13" t="n">
        <v>350</v>
      </c>
      <c r="L2345" s="6" t="n">
        <f aca="false">H2345*K2345</f>
        <v>350</v>
      </c>
      <c r="M2345" s="4" t="s">
        <v>371</v>
      </c>
    </row>
    <row r="2346" customFormat="false" ht="15" hidden="false" customHeight="false" outlineLevel="0" collapsed="false">
      <c r="A2346" s="4" t="s">
        <v>13</v>
      </c>
      <c r="B2346" s="5" t="s">
        <v>58</v>
      </c>
      <c r="C2346" s="5" t="s">
        <v>59</v>
      </c>
      <c r="D2346" s="4" t="s">
        <v>16</v>
      </c>
      <c r="E2346" s="4" t="s">
        <v>3320</v>
      </c>
      <c r="F2346" s="4" t="s">
        <v>488</v>
      </c>
      <c r="G2346" s="4" t="s">
        <v>3321</v>
      </c>
      <c r="H2346" s="12" t="n">
        <v>1</v>
      </c>
      <c r="I2346" s="4" t="s">
        <v>408</v>
      </c>
      <c r="J2346" s="4" t="s">
        <v>506</v>
      </c>
      <c r="K2346" s="13" t="n">
        <v>180</v>
      </c>
      <c r="L2346" s="6" t="n">
        <f aca="false">H2346*K2346</f>
        <v>180</v>
      </c>
      <c r="M2346" s="4" t="s">
        <v>371</v>
      </c>
    </row>
    <row r="2347" customFormat="false" ht="15" hidden="false" customHeight="false" outlineLevel="0" collapsed="false">
      <c r="A2347" s="4" t="s">
        <v>13</v>
      </c>
      <c r="B2347" s="5" t="s">
        <v>58</v>
      </c>
      <c r="C2347" s="5" t="s">
        <v>59</v>
      </c>
      <c r="D2347" s="4" t="s">
        <v>16</v>
      </c>
      <c r="E2347" s="4" t="s">
        <v>560</v>
      </c>
      <c r="F2347" s="4" t="s">
        <v>470</v>
      </c>
      <c r="G2347" s="4" t="s">
        <v>561</v>
      </c>
      <c r="H2347" s="12" t="n">
        <v>1</v>
      </c>
      <c r="I2347" s="4" t="s">
        <v>408</v>
      </c>
      <c r="J2347" s="4" t="s">
        <v>409</v>
      </c>
      <c r="K2347" s="13" t="n">
        <v>250</v>
      </c>
      <c r="L2347" s="6" t="n">
        <f aca="false">H2347*K2347</f>
        <v>250</v>
      </c>
      <c r="M2347" s="14" t="s">
        <v>410</v>
      </c>
    </row>
    <row r="2348" customFormat="false" ht="15" hidden="false" customHeight="false" outlineLevel="0" collapsed="false">
      <c r="A2348" s="4" t="s">
        <v>13</v>
      </c>
      <c r="B2348" s="5" t="s">
        <v>58</v>
      </c>
      <c r="C2348" s="5" t="s">
        <v>59</v>
      </c>
      <c r="D2348" s="4" t="s">
        <v>16</v>
      </c>
      <c r="E2348" s="4" t="s">
        <v>3322</v>
      </c>
      <c r="F2348" s="4" t="s">
        <v>470</v>
      </c>
      <c r="G2348" s="4" t="s">
        <v>3323</v>
      </c>
      <c r="H2348" s="12" t="n">
        <v>1</v>
      </c>
      <c r="I2348" s="4" t="s">
        <v>408</v>
      </c>
      <c r="J2348" s="4" t="s">
        <v>409</v>
      </c>
      <c r="K2348" s="13" t="n">
        <v>850</v>
      </c>
      <c r="L2348" s="6" t="n">
        <f aca="false">H2348*K2348</f>
        <v>850</v>
      </c>
      <c r="M2348" s="4" t="s">
        <v>371</v>
      </c>
    </row>
    <row r="2349" customFormat="false" ht="15" hidden="false" customHeight="false" outlineLevel="0" collapsed="false">
      <c r="A2349" s="4" t="s">
        <v>13</v>
      </c>
      <c r="B2349" s="5" t="s">
        <v>60</v>
      </c>
      <c r="C2349" s="5" t="s">
        <v>61</v>
      </c>
      <c r="D2349" s="4" t="s">
        <v>16</v>
      </c>
      <c r="E2349" s="4" t="s">
        <v>3069</v>
      </c>
      <c r="F2349" s="4" t="s">
        <v>406</v>
      </c>
      <c r="G2349" s="4" t="s">
        <v>3070</v>
      </c>
      <c r="H2349" s="12" t="n">
        <v>1</v>
      </c>
      <c r="I2349" s="4" t="s">
        <v>408</v>
      </c>
      <c r="J2349" s="4" t="s">
        <v>409</v>
      </c>
      <c r="K2349" s="13" t="n">
        <v>450</v>
      </c>
      <c r="L2349" s="6" t="n">
        <f aca="false">H2349*K2349</f>
        <v>450</v>
      </c>
      <c r="M2349" s="14" t="s">
        <v>410</v>
      </c>
    </row>
    <row r="2350" customFormat="false" ht="15" hidden="false" customHeight="false" outlineLevel="0" collapsed="false">
      <c r="A2350" s="4" t="s">
        <v>13</v>
      </c>
      <c r="B2350" s="5" t="s">
        <v>60</v>
      </c>
      <c r="C2350" s="5" t="s">
        <v>61</v>
      </c>
      <c r="D2350" s="4" t="s">
        <v>16</v>
      </c>
      <c r="E2350" s="4" t="s">
        <v>604</v>
      </c>
      <c r="F2350" s="4" t="s">
        <v>406</v>
      </c>
      <c r="G2350" s="4" t="s">
        <v>605</v>
      </c>
      <c r="H2350" s="12" t="n">
        <v>1</v>
      </c>
      <c r="I2350" s="4" t="s">
        <v>408</v>
      </c>
      <c r="J2350" s="4" t="s">
        <v>409</v>
      </c>
      <c r="K2350" s="13" t="n">
        <v>650</v>
      </c>
      <c r="L2350" s="6" t="n">
        <f aca="false">H2350*K2350</f>
        <v>650</v>
      </c>
      <c r="M2350" s="14" t="s">
        <v>410</v>
      </c>
    </row>
    <row r="2351" customFormat="false" ht="15" hidden="false" customHeight="false" outlineLevel="0" collapsed="false">
      <c r="A2351" s="4" t="s">
        <v>13</v>
      </c>
      <c r="B2351" s="5" t="s">
        <v>60</v>
      </c>
      <c r="C2351" s="5" t="s">
        <v>61</v>
      </c>
      <c r="D2351" s="4" t="s">
        <v>16</v>
      </c>
      <c r="E2351" s="4" t="s">
        <v>3324</v>
      </c>
      <c r="F2351" s="4" t="s">
        <v>406</v>
      </c>
      <c r="G2351" s="4" t="s">
        <v>3325</v>
      </c>
      <c r="H2351" s="12" t="n">
        <v>1</v>
      </c>
      <c r="I2351" s="4" t="s">
        <v>408</v>
      </c>
      <c r="J2351" s="4" t="s">
        <v>409</v>
      </c>
      <c r="K2351" s="13" t="n">
        <v>18000</v>
      </c>
      <c r="L2351" s="6" t="n">
        <f aca="false">H2351*K2351</f>
        <v>18000</v>
      </c>
      <c r="M2351" s="14" t="s">
        <v>410</v>
      </c>
    </row>
    <row r="2352" customFormat="false" ht="15" hidden="false" customHeight="false" outlineLevel="0" collapsed="false">
      <c r="A2352" s="4" t="s">
        <v>13</v>
      </c>
      <c r="B2352" s="5" t="s">
        <v>60</v>
      </c>
      <c r="C2352" s="5" t="s">
        <v>61</v>
      </c>
      <c r="D2352" s="4" t="s">
        <v>16</v>
      </c>
      <c r="E2352" s="4" t="s">
        <v>3326</v>
      </c>
      <c r="F2352" s="4" t="s">
        <v>406</v>
      </c>
      <c r="G2352" s="4" t="s">
        <v>3327</v>
      </c>
      <c r="H2352" s="12" t="n">
        <v>1</v>
      </c>
      <c r="I2352" s="4" t="s">
        <v>408</v>
      </c>
      <c r="J2352" s="4" t="s">
        <v>409</v>
      </c>
      <c r="K2352" s="13" t="n">
        <v>8500</v>
      </c>
      <c r="L2352" s="6" t="n">
        <f aca="false">H2352*K2352</f>
        <v>8500</v>
      </c>
      <c r="M2352" s="14" t="s">
        <v>410</v>
      </c>
    </row>
    <row r="2353" customFormat="false" ht="15" hidden="false" customHeight="false" outlineLevel="0" collapsed="false">
      <c r="A2353" s="4" t="s">
        <v>13</v>
      </c>
      <c r="B2353" s="5" t="s">
        <v>60</v>
      </c>
      <c r="C2353" s="5" t="s">
        <v>61</v>
      </c>
      <c r="D2353" s="4" t="s">
        <v>16</v>
      </c>
      <c r="E2353" s="4" t="s">
        <v>3328</v>
      </c>
      <c r="F2353" s="4" t="s">
        <v>406</v>
      </c>
      <c r="G2353" s="4" t="s">
        <v>3329</v>
      </c>
      <c r="H2353" s="12" t="n">
        <v>1</v>
      </c>
      <c r="I2353" s="4" t="s">
        <v>408</v>
      </c>
      <c r="J2353" s="4" t="s">
        <v>409</v>
      </c>
      <c r="K2353" s="13" t="n">
        <v>1800</v>
      </c>
      <c r="L2353" s="6" t="n">
        <f aca="false">H2353*K2353</f>
        <v>1800</v>
      </c>
      <c r="M2353" s="14" t="s">
        <v>410</v>
      </c>
    </row>
    <row r="2354" customFormat="false" ht="15" hidden="false" customHeight="false" outlineLevel="0" collapsed="false">
      <c r="A2354" s="4" t="s">
        <v>13</v>
      </c>
      <c r="B2354" s="5" t="s">
        <v>60</v>
      </c>
      <c r="C2354" s="5" t="s">
        <v>61</v>
      </c>
      <c r="D2354" s="4" t="s">
        <v>16</v>
      </c>
      <c r="E2354" s="4" t="s">
        <v>3330</v>
      </c>
      <c r="F2354" s="4" t="s">
        <v>406</v>
      </c>
      <c r="G2354" s="4" t="s">
        <v>3331</v>
      </c>
      <c r="H2354" s="12" t="n">
        <v>1</v>
      </c>
      <c r="I2354" s="4" t="s">
        <v>408</v>
      </c>
      <c r="J2354" s="4" t="s">
        <v>409</v>
      </c>
      <c r="K2354" s="13" t="n">
        <v>1800</v>
      </c>
      <c r="L2354" s="6" t="n">
        <f aca="false">H2354*K2354</f>
        <v>1800</v>
      </c>
      <c r="M2354" s="14" t="s">
        <v>410</v>
      </c>
    </row>
    <row r="2355" customFormat="false" ht="15" hidden="false" customHeight="false" outlineLevel="0" collapsed="false">
      <c r="A2355" s="4" t="s">
        <v>13</v>
      </c>
      <c r="B2355" s="5" t="s">
        <v>60</v>
      </c>
      <c r="C2355" s="5" t="s">
        <v>61</v>
      </c>
      <c r="D2355" s="4" t="s">
        <v>16</v>
      </c>
      <c r="E2355" s="4" t="s">
        <v>3332</v>
      </c>
      <c r="F2355" s="4" t="s">
        <v>406</v>
      </c>
      <c r="G2355" s="4" t="s">
        <v>3333</v>
      </c>
      <c r="H2355" s="12" t="n">
        <v>1</v>
      </c>
      <c r="I2355" s="4" t="s">
        <v>408</v>
      </c>
      <c r="J2355" s="4" t="s">
        <v>409</v>
      </c>
      <c r="K2355" s="13" t="n">
        <v>4500</v>
      </c>
      <c r="L2355" s="6" t="n">
        <f aca="false">H2355*K2355</f>
        <v>4500</v>
      </c>
      <c r="M2355" s="14" t="s">
        <v>410</v>
      </c>
    </row>
    <row r="2356" customFormat="false" ht="15" hidden="false" customHeight="false" outlineLevel="0" collapsed="false">
      <c r="A2356" s="4" t="s">
        <v>13</v>
      </c>
      <c r="B2356" s="5" t="s">
        <v>60</v>
      </c>
      <c r="C2356" s="5" t="s">
        <v>61</v>
      </c>
      <c r="D2356" s="4" t="s">
        <v>16</v>
      </c>
      <c r="E2356" s="4" t="s">
        <v>3334</v>
      </c>
      <c r="F2356" s="4" t="s">
        <v>406</v>
      </c>
      <c r="G2356" s="4" t="s">
        <v>3335</v>
      </c>
      <c r="H2356" s="12" t="n">
        <v>1</v>
      </c>
      <c r="I2356" s="4" t="s">
        <v>408</v>
      </c>
      <c r="J2356" s="4" t="s">
        <v>409</v>
      </c>
      <c r="K2356" s="13" t="n">
        <v>1800</v>
      </c>
      <c r="L2356" s="6" t="n">
        <f aca="false">H2356*K2356</f>
        <v>1800</v>
      </c>
      <c r="M2356" s="14" t="s">
        <v>410</v>
      </c>
    </row>
    <row r="2357" customFormat="false" ht="15" hidden="false" customHeight="false" outlineLevel="0" collapsed="false">
      <c r="A2357" s="4" t="s">
        <v>13</v>
      </c>
      <c r="B2357" s="5" t="s">
        <v>60</v>
      </c>
      <c r="C2357" s="5" t="s">
        <v>61</v>
      </c>
      <c r="D2357" s="4" t="s">
        <v>16</v>
      </c>
      <c r="E2357" s="4" t="s">
        <v>3336</v>
      </c>
      <c r="F2357" s="4" t="s">
        <v>406</v>
      </c>
      <c r="G2357" s="4" t="s">
        <v>3337</v>
      </c>
      <c r="H2357" s="12" t="n">
        <v>1</v>
      </c>
      <c r="I2357" s="4" t="s">
        <v>408</v>
      </c>
      <c r="J2357" s="4" t="s">
        <v>409</v>
      </c>
      <c r="K2357" s="13" t="n">
        <v>45000</v>
      </c>
      <c r="L2357" s="6" t="n">
        <f aca="false">H2357*K2357</f>
        <v>45000</v>
      </c>
      <c r="M2357" s="14" t="s">
        <v>410</v>
      </c>
    </row>
    <row r="2358" customFormat="false" ht="15" hidden="false" customHeight="false" outlineLevel="0" collapsed="false">
      <c r="A2358" s="4" t="s">
        <v>13</v>
      </c>
      <c r="B2358" s="5" t="s">
        <v>60</v>
      </c>
      <c r="C2358" s="5" t="s">
        <v>61</v>
      </c>
      <c r="D2358" s="4" t="s">
        <v>16</v>
      </c>
      <c r="E2358" s="4" t="s">
        <v>3338</v>
      </c>
      <c r="F2358" s="4" t="s">
        <v>406</v>
      </c>
      <c r="G2358" s="4" t="s">
        <v>3339</v>
      </c>
      <c r="H2358" s="12" t="n">
        <v>1</v>
      </c>
      <c r="I2358" s="4" t="s">
        <v>408</v>
      </c>
      <c r="J2358" s="4" t="s">
        <v>416</v>
      </c>
      <c r="K2358" s="13" t="n">
        <v>850</v>
      </c>
      <c r="L2358" s="6" t="n">
        <f aca="false">H2358*K2358</f>
        <v>850</v>
      </c>
      <c r="M2358" s="14" t="s">
        <v>410</v>
      </c>
    </row>
    <row r="2359" customFormat="false" ht="15" hidden="false" customHeight="false" outlineLevel="0" collapsed="false">
      <c r="A2359" s="4" t="s">
        <v>13</v>
      </c>
      <c r="B2359" s="5" t="s">
        <v>60</v>
      </c>
      <c r="C2359" s="5" t="s">
        <v>61</v>
      </c>
      <c r="D2359" s="4" t="s">
        <v>16</v>
      </c>
      <c r="E2359" s="4" t="s">
        <v>3280</v>
      </c>
      <c r="F2359" s="4" t="s">
        <v>406</v>
      </c>
      <c r="G2359" s="4" t="s">
        <v>3281</v>
      </c>
      <c r="H2359" s="12" t="n">
        <v>1</v>
      </c>
      <c r="I2359" s="4" t="s">
        <v>408</v>
      </c>
      <c r="J2359" s="4" t="s">
        <v>409</v>
      </c>
      <c r="K2359" s="13" t="n">
        <v>18000</v>
      </c>
      <c r="L2359" s="6" t="n">
        <f aca="false">H2359*K2359</f>
        <v>18000</v>
      </c>
      <c r="M2359" s="14" t="s">
        <v>410</v>
      </c>
    </row>
    <row r="2360" customFormat="false" ht="15" hidden="false" customHeight="false" outlineLevel="0" collapsed="false">
      <c r="A2360" s="4" t="s">
        <v>13</v>
      </c>
      <c r="B2360" s="5" t="s">
        <v>60</v>
      </c>
      <c r="C2360" s="5" t="s">
        <v>61</v>
      </c>
      <c r="D2360" s="4" t="s">
        <v>16</v>
      </c>
      <c r="E2360" s="4" t="s">
        <v>3340</v>
      </c>
      <c r="F2360" s="4" t="s">
        <v>406</v>
      </c>
      <c r="G2360" s="4" t="s">
        <v>3341</v>
      </c>
      <c r="H2360" s="12" t="n">
        <v>1</v>
      </c>
      <c r="I2360" s="4" t="s">
        <v>408</v>
      </c>
      <c r="J2360" s="4" t="s">
        <v>416</v>
      </c>
      <c r="K2360" s="13" t="n">
        <v>850</v>
      </c>
      <c r="L2360" s="6" t="n">
        <f aca="false">H2360*K2360</f>
        <v>850</v>
      </c>
      <c r="M2360" s="14" t="s">
        <v>410</v>
      </c>
    </row>
    <row r="2361" customFormat="false" ht="15" hidden="false" customHeight="false" outlineLevel="0" collapsed="false">
      <c r="A2361" s="4" t="s">
        <v>13</v>
      </c>
      <c r="B2361" s="5" t="s">
        <v>60</v>
      </c>
      <c r="C2361" s="5" t="s">
        <v>61</v>
      </c>
      <c r="D2361" s="4" t="s">
        <v>16</v>
      </c>
      <c r="E2361" s="4" t="s">
        <v>3342</v>
      </c>
      <c r="F2361" s="4" t="s">
        <v>406</v>
      </c>
      <c r="G2361" s="4" t="s">
        <v>3343</v>
      </c>
      <c r="H2361" s="12" t="n">
        <v>1</v>
      </c>
      <c r="I2361" s="4" t="s">
        <v>408</v>
      </c>
      <c r="J2361" s="4" t="s">
        <v>409</v>
      </c>
      <c r="K2361" s="13" t="n">
        <v>4500</v>
      </c>
      <c r="L2361" s="6" t="n">
        <f aca="false">H2361*K2361</f>
        <v>4500</v>
      </c>
      <c r="M2361" s="14" t="s">
        <v>410</v>
      </c>
    </row>
    <row r="2362" customFormat="false" ht="15" hidden="false" customHeight="false" outlineLevel="0" collapsed="false">
      <c r="A2362" s="4" t="s">
        <v>13</v>
      </c>
      <c r="B2362" s="5" t="s">
        <v>60</v>
      </c>
      <c r="C2362" s="5" t="s">
        <v>61</v>
      </c>
      <c r="D2362" s="4" t="s">
        <v>16</v>
      </c>
      <c r="E2362" s="4" t="s">
        <v>3344</v>
      </c>
      <c r="F2362" s="4" t="s">
        <v>406</v>
      </c>
      <c r="G2362" s="4" t="s">
        <v>3345</v>
      </c>
      <c r="H2362" s="12" t="n">
        <v>1</v>
      </c>
      <c r="I2362" s="4" t="s">
        <v>408</v>
      </c>
      <c r="J2362" s="4" t="s">
        <v>409</v>
      </c>
      <c r="K2362" s="13" t="n">
        <v>1800</v>
      </c>
      <c r="L2362" s="6" t="n">
        <f aca="false">H2362*K2362</f>
        <v>1800</v>
      </c>
      <c r="M2362" s="14" t="s">
        <v>410</v>
      </c>
    </row>
    <row r="2363" customFormat="false" ht="15" hidden="false" customHeight="false" outlineLevel="0" collapsed="false">
      <c r="A2363" s="4" t="s">
        <v>13</v>
      </c>
      <c r="B2363" s="5" t="s">
        <v>60</v>
      </c>
      <c r="C2363" s="5" t="s">
        <v>61</v>
      </c>
      <c r="D2363" s="4" t="s">
        <v>16</v>
      </c>
      <c r="E2363" s="4" t="s">
        <v>3346</v>
      </c>
      <c r="F2363" s="4" t="s">
        <v>406</v>
      </c>
      <c r="G2363" s="4" t="s">
        <v>3347</v>
      </c>
      <c r="H2363" s="12" t="n">
        <v>1</v>
      </c>
      <c r="I2363" s="4" t="s">
        <v>408</v>
      </c>
      <c r="J2363" s="4" t="s">
        <v>409</v>
      </c>
      <c r="K2363" s="13" t="n">
        <v>850</v>
      </c>
      <c r="L2363" s="6" t="n">
        <f aca="false">H2363*K2363</f>
        <v>850</v>
      </c>
      <c r="M2363" s="14" t="s">
        <v>410</v>
      </c>
    </row>
    <row r="2364" customFormat="false" ht="15" hidden="false" customHeight="false" outlineLevel="0" collapsed="false">
      <c r="A2364" s="4" t="s">
        <v>13</v>
      </c>
      <c r="B2364" s="5" t="s">
        <v>60</v>
      </c>
      <c r="C2364" s="5" t="s">
        <v>61</v>
      </c>
      <c r="D2364" s="4" t="s">
        <v>16</v>
      </c>
      <c r="E2364" s="4" t="s">
        <v>3348</v>
      </c>
      <c r="F2364" s="4" t="s">
        <v>406</v>
      </c>
      <c r="G2364" s="4" t="s">
        <v>3349</v>
      </c>
      <c r="H2364" s="12" t="n">
        <v>1</v>
      </c>
      <c r="I2364" s="4" t="s">
        <v>408</v>
      </c>
      <c r="J2364" s="4" t="s">
        <v>409</v>
      </c>
      <c r="K2364" s="13" t="n">
        <v>1800</v>
      </c>
      <c r="L2364" s="6" t="n">
        <f aca="false">H2364*K2364</f>
        <v>1800</v>
      </c>
      <c r="M2364" s="14" t="s">
        <v>410</v>
      </c>
    </row>
    <row r="2365" customFormat="false" ht="15" hidden="false" customHeight="false" outlineLevel="0" collapsed="false">
      <c r="A2365" s="4" t="s">
        <v>13</v>
      </c>
      <c r="B2365" s="5" t="s">
        <v>60</v>
      </c>
      <c r="C2365" s="5" t="s">
        <v>61</v>
      </c>
      <c r="D2365" s="4" t="s">
        <v>16</v>
      </c>
      <c r="E2365" s="4" t="s">
        <v>3350</v>
      </c>
      <c r="F2365" s="4" t="s">
        <v>406</v>
      </c>
      <c r="G2365" s="4" t="s">
        <v>3351</v>
      </c>
      <c r="H2365" s="12" t="n">
        <v>1</v>
      </c>
      <c r="I2365" s="4" t="s">
        <v>408</v>
      </c>
      <c r="J2365" s="4" t="s">
        <v>409</v>
      </c>
      <c r="K2365" s="13" t="n">
        <v>80</v>
      </c>
      <c r="L2365" s="6" t="n">
        <f aca="false">H2365*K2365</f>
        <v>80</v>
      </c>
      <c r="M2365" s="14" t="s">
        <v>410</v>
      </c>
    </row>
    <row r="2366" customFormat="false" ht="15" hidden="false" customHeight="false" outlineLevel="0" collapsed="false">
      <c r="A2366" s="4" t="s">
        <v>13</v>
      </c>
      <c r="B2366" s="5" t="s">
        <v>60</v>
      </c>
      <c r="C2366" s="5" t="s">
        <v>61</v>
      </c>
      <c r="D2366" s="4" t="s">
        <v>16</v>
      </c>
      <c r="E2366" s="4" t="s">
        <v>3352</v>
      </c>
      <c r="F2366" s="4" t="s">
        <v>406</v>
      </c>
      <c r="G2366" s="4" t="s">
        <v>3353</v>
      </c>
      <c r="H2366" s="12" t="n">
        <v>1</v>
      </c>
      <c r="I2366" s="4" t="s">
        <v>408</v>
      </c>
      <c r="J2366" s="4" t="s">
        <v>409</v>
      </c>
      <c r="K2366" s="13" t="n">
        <v>450</v>
      </c>
      <c r="L2366" s="6" t="n">
        <f aca="false">H2366*K2366</f>
        <v>450</v>
      </c>
      <c r="M2366" s="14" t="s">
        <v>410</v>
      </c>
    </row>
    <row r="2367" customFormat="false" ht="15" hidden="false" customHeight="false" outlineLevel="0" collapsed="false">
      <c r="A2367" s="4" t="s">
        <v>13</v>
      </c>
      <c r="B2367" s="5" t="s">
        <v>60</v>
      </c>
      <c r="C2367" s="5" t="s">
        <v>61</v>
      </c>
      <c r="D2367" s="4" t="s">
        <v>16</v>
      </c>
      <c r="E2367" s="4" t="s">
        <v>3354</v>
      </c>
      <c r="F2367" s="4" t="s">
        <v>406</v>
      </c>
      <c r="G2367" s="4" t="s">
        <v>3355</v>
      </c>
      <c r="H2367" s="12" t="n">
        <v>1</v>
      </c>
      <c r="I2367" s="4" t="s">
        <v>408</v>
      </c>
      <c r="J2367" s="4" t="s">
        <v>416</v>
      </c>
      <c r="K2367" s="13" t="n">
        <v>1200</v>
      </c>
      <c r="L2367" s="6" t="n">
        <f aca="false">H2367*K2367</f>
        <v>1200</v>
      </c>
      <c r="M2367" s="14" t="s">
        <v>410</v>
      </c>
    </row>
    <row r="2368" customFormat="false" ht="15" hidden="false" customHeight="false" outlineLevel="0" collapsed="false">
      <c r="A2368" s="4" t="s">
        <v>13</v>
      </c>
      <c r="B2368" s="5" t="s">
        <v>60</v>
      </c>
      <c r="C2368" s="5" t="s">
        <v>61</v>
      </c>
      <c r="D2368" s="4" t="s">
        <v>16</v>
      </c>
      <c r="E2368" s="4" t="s">
        <v>3075</v>
      </c>
      <c r="F2368" s="4" t="s">
        <v>406</v>
      </c>
      <c r="G2368" s="4" t="s">
        <v>3076</v>
      </c>
      <c r="H2368" s="12" t="n">
        <v>1</v>
      </c>
      <c r="I2368" s="4" t="s">
        <v>408</v>
      </c>
      <c r="J2368" s="4" t="s">
        <v>409</v>
      </c>
      <c r="K2368" s="13" t="n">
        <v>1800</v>
      </c>
      <c r="L2368" s="6" t="n">
        <f aca="false">H2368*K2368</f>
        <v>1800</v>
      </c>
      <c r="M2368" s="14" t="s">
        <v>410</v>
      </c>
    </row>
    <row r="2369" customFormat="false" ht="15" hidden="false" customHeight="false" outlineLevel="0" collapsed="false">
      <c r="A2369" s="4" t="s">
        <v>13</v>
      </c>
      <c r="B2369" s="5" t="s">
        <v>60</v>
      </c>
      <c r="C2369" s="5" t="s">
        <v>61</v>
      </c>
      <c r="D2369" s="4" t="s">
        <v>16</v>
      </c>
      <c r="E2369" s="4" t="s">
        <v>3356</v>
      </c>
      <c r="F2369" s="4" t="s">
        <v>406</v>
      </c>
      <c r="G2369" s="4" t="s">
        <v>3357</v>
      </c>
      <c r="H2369" s="12" t="n">
        <v>1</v>
      </c>
      <c r="I2369" s="4" t="s">
        <v>408</v>
      </c>
      <c r="J2369" s="4" t="s">
        <v>409</v>
      </c>
      <c r="K2369" s="13" t="n">
        <v>850</v>
      </c>
      <c r="L2369" s="6" t="n">
        <f aca="false">H2369*K2369</f>
        <v>850</v>
      </c>
      <c r="M2369" s="14" t="s">
        <v>410</v>
      </c>
    </row>
    <row r="2370" customFormat="false" ht="15" hidden="false" customHeight="false" outlineLevel="0" collapsed="false">
      <c r="A2370" s="4" t="s">
        <v>13</v>
      </c>
      <c r="B2370" s="5" t="s">
        <v>60</v>
      </c>
      <c r="C2370" s="5" t="s">
        <v>61</v>
      </c>
      <c r="D2370" s="4" t="s">
        <v>16</v>
      </c>
      <c r="E2370" s="4" t="s">
        <v>3358</v>
      </c>
      <c r="F2370" s="4" t="s">
        <v>406</v>
      </c>
      <c r="G2370" s="4" t="s">
        <v>3359</v>
      </c>
      <c r="H2370" s="12" t="n">
        <v>1</v>
      </c>
      <c r="I2370" s="4" t="s">
        <v>408</v>
      </c>
      <c r="J2370" s="4" t="s">
        <v>409</v>
      </c>
      <c r="K2370" s="13" t="n">
        <v>3500</v>
      </c>
      <c r="L2370" s="6" t="n">
        <f aca="false">H2370*K2370</f>
        <v>3500</v>
      </c>
      <c r="M2370" s="14" t="s">
        <v>410</v>
      </c>
    </row>
    <row r="2371" customFormat="false" ht="15" hidden="false" customHeight="false" outlineLevel="0" collapsed="false">
      <c r="A2371" s="4" t="s">
        <v>13</v>
      </c>
      <c r="B2371" s="5" t="s">
        <v>60</v>
      </c>
      <c r="C2371" s="5" t="s">
        <v>61</v>
      </c>
      <c r="D2371" s="4" t="s">
        <v>16</v>
      </c>
      <c r="E2371" s="4" t="s">
        <v>3360</v>
      </c>
      <c r="F2371" s="4" t="s">
        <v>406</v>
      </c>
      <c r="G2371" s="4" t="s">
        <v>3361</v>
      </c>
      <c r="H2371" s="12" t="n">
        <v>1</v>
      </c>
      <c r="I2371" s="4" t="s">
        <v>408</v>
      </c>
      <c r="J2371" s="4" t="s">
        <v>409</v>
      </c>
      <c r="K2371" s="13" t="n">
        <v>85000</v>
      </c>
      <c r="L2371" s="6" t="n">
        <f aca="false">H2371*K2371</f>
        <v>85000</v>
      </c>
      <c r="M2371" s="14" t="s">
        <v>410</v>
      </c>
    </row>
    <row r="2372" customFormat="false" ht="15" hidden="false" customHeight="false" outlineLevel="0" collapsed="false">
      <c r="A2372" s="4" t="s">
        <v>13</v>
      </c>
      <c r="B2372" s="5" t="s">
        <v>60</v>
      </c>
      <c r="C2372" s="5" t="s">
        <v>61</v>
      </c>
      <c r="D2372" s="4" t="s">
        <v>16</v>
      </c>
      <c r="E2372" s="4" t="s">
        <v>3362</v>
      </c>
      <c r="F2372" s="4" t="s">
        <v>488</v>
      </c>
      <c r="G2372" s="4" t="s">
        <v>3363</v>
      </c>
      <c r="H2372" s="12" t="n">
        <v>1</v>
      </c>
      <c r="I2372" s="4" t="s">
        <v>408</v>
      </c>
      <c r="J2372" s="4" t="s">
        <v>416</v>
      </c>
      <c r="K2372" s="13" t="n">
        <v>500</v>
      </c>
      <c r="L2372" s="6" t="n">
        <f aca="false">H2372*K2372</f>
        <v>500</v>
      </c>
      <c r="M2372" s="4" t="s">
        <v>371</v>
      </c>
    </row>
    <row r="2373" customFormat="false" ht="15" hidden="false" customHeight="false" outlineLevel="0" collapsed="false">
      <c r="A2373" s="4" t="s">
        <v>13</v>
      </c>
      <c r="B2373" s="5" t="s">
        <v>60</v>
      </c>
      <c r="C2373" s="5" t="s">
        <v>61</v>
      </c>
      <c r="D2373" s="4" t="s">
        <v>16</v>
      </c>
      <c r="E2373" s="4" t="s">
        <v>3364</v>
      </c>
      <c r="F2373" s="4" t="s">
        <v>488</v>
      </c>
      <c r="G2373" s="4" t="s">
        <v>3365</v>
      </c>
      <c r="H2373" s="12" t="n">
        <v>1</v>
      </c>
      <c r="I2373" s="4" t="s">
        <v>408</v>
      </c>
      <c r="J2373" s="4" t="s">
        <v>432</v>
      </c>
      <c r="K2373" s="13" t="n">
        <v>45</v>
      </c>
      <c r="L2373" s="6" t="n">
        <f aca="false">H2373*K2373</f>
        <v>45</v>
      </c>
      <c r="M2373" s="4" t="s">
        <v>371</v>
      </c>
    </row>
    <row r="2374" customFormat="false" ht="15" hidden="false" customHeight="false" outlineLevel="0" collapsed="false">
      <c r="A2374" s="4" t="s">
        <v>13</v>
      </c>
      <c r="B2374" s="5" t="s">
        <v>64</v>
      </c>
      <c r="C2374" s="5" t="s">
        <v>65</v>
      </c>
      <c r="D2374" s="4" t="s">
        <v>16</v>
      </c>
      <c r="E2374" s="4" t="s">
        <v>1845</v>
      </c>
      <c r="F2374" s="4" t="s">
        <v>406</v>
      </c>
      <c r="G2374" s="4" t="s">
        <v>1846</v>
      </c>
      <c r="H2374" s="12" t="n">
        <v>1</v>
      </c>
      <c r="I2374" s="4" t="s">
        <v>408</v>
      </c>
      <c r="J2374" s="4" t="s">
        <v>416</v>
      </c>
      <c r="K2374" s="13" t="n">
        <v>4500</v>
      </c>
      <c r="L2374" s="6" t="n">
        <f aca="false">H2374*K2374</f>
        <v>4500</v>
      </c>
      <c r="M2374" s="14" t="s">
        <v>410</v>
      </c>
    </row>
    <row r="2375" customFormat="false" ht="15" hidden="false" customHeight="false" outlineLevel="0" collapsed="false">
      <c r="A2375" s="4" t="s">
        <v>13</v>
      </c>
      <c r="B2375" s="5" t="s">
        <v>64</v>
      </c>
      <c r="C2375" s="5" t="s">
        <v>65</v>
      </c>
      <c r="D2375" s="4" t="s">
        <v>16</v>
      </c>
      <c r="E2375" s="4" t="s">
        <v>1847</v>
      </c>
      <c r="F2375" s="4" t="s">
        <v>406</v>
      </c>
      <c r="G2375" s="4" t="s">
        <v>1848</v>
      </c>
      <c r="H2375" s="12" t="n">
        <v>1</v>
      </c>
      <c r="I2375" s="4" t="s">
        <v>408</v>
      </c>
      <c r="J2375" s="4" t="s">
        <v>409</v>
      </c>
      <c r="K2375" s="13" t="n">
        <v>450</v>
      </c>
      <c r="L2375" s="6" t="n">
        <f aca="false">H2375*K2375</f>
        <v>450</v>
      </c>
      <c r="M2375" s="14" t="s">
        <v>410</v>
      </c>
    </row>
    <row r="2376" customFormat="false" ht="15" hidden="false" customHeight="false" outlineLevel="0" collapsed="false">
      <c r="A2376" s="4" t="s">
        <v>13</v>
      </c>
      <c r="B2376" s="5" t="s">
        <v>64</v>
      </c>
      <c r="C2376" s="5" t="s">
        <v>65</v>
      </c>
      <c r="D2376" s="4" t="s">
        <v>16</v>
      </c>
      <c r="E2376" s="4" t="s">
        <v>3366</v>
      </c>
      <c r="F2376" s="4" t="s">
        <v>406</v>
      </c>
      <c r="G2376" s="4" t="s">
        <v>3367</v>
      </c>
      <c r="H2376" s="12" t="n">
        <v>1</v>
      </c>
      <c r="I2376" s="4" t="s">
        <v>408</v>
      </c>
      <c r="J2376" s="4" t="s">
        <v>409</v>
      </c>
      <c r="K2376" s="13" t="n">
        <v>850</v>
      </c>
      <c r="L2376" s="6" t="n">
        <f aca="false">H2376*K2376</f>
        <v>850</v>
      </c>
      <c r="M2376" s="14" t="s">
        <v>410</v>
      </c>
    </row>
    <row r="2377" customFormat="false" ht="15" hidden="false" customHeight="false" outlineLevel="0" collapsed="false">
      <c r="A2377" s="4" t="s">
        <v>13</v>
      </c>
      <c r="B2377" s="5" t="s">
        <v>64</v>
      </c>
      <c r="C2377" s="5" t="s">
        <v>65</v>
      </c>
      <c r="D2377" s="4" t="s">
        <v>16</v>
      </c>
      <c r="E2377" s="4" t="s">
        <v>1851</v>
      </c>
      <c r="F2377" s="4" t="s">
        <v>406</v>
      </c>
      <c r="G2377" s="4" t="s">
        <v>1852</v>
      </c>
      <c r="H2377" s="12" t="n">
        <v>1</v>
      </c>
      <c r="I2377" s="4" t="s">
        <v>408</v>
      </c>
      <c r="J2377" s="4" t="s">
        <v>409</v>
      </c>
      <c r="K2377" s="13" t="n">
        <v>250</v>
      </c>
      <c r="L2377" s="6" t="n">
        <f aca="false">H2377*K2377</f>
        <v>250</v>
      </c>
      <c r="M2377" s="14" t="s">
        <v>410</v>
      </c>
    </row>
    <row r="2378" customFormat="false" ht="15" hidden="false" customHeight="false" outlineLevel="0" collapsed="false">
      <c r="A2378" s="4" t="s">
        <v>13</v>
      </c>
      <c r="B2378" s="5" t="s">
        <v>64</v>
      </c>
      <c r="C2378" s="5" t="s">
        <v>65</v>
      </c>
      <c r="D2378" s="4" t="s">
        <v>16</v>
      </c>
      <c r="E2378" s="4" t="s">
        <v>1853</v>
      </c>
      <c r="F2378" s="4" t="s">
        <v>406</v>
      </c>
      <c r="G2378" s="4" t="s">
        <v>1854</v>
      </c>
      <c r="H2378" s="12" t="n">
        <v>1</v>
      </c>
      <c r="I2378" s="4" t="s">
        <v>408</v>
      </c>
      <c r="J2378" s="4" t="s">
        <v>409</v>
      </c>
      <c r="K2378" s="13" t="n">
        <v>250</v>
      </c>
      <c r="L2378" s="6" t="n">
        <f aca="false">H2378*K2378</f>
        <v>250</v>
      </c>
      <c r="M2378" s="14" t="s">
        <v>410</v>
      </c>
    </row>
    <row r="2379" customFormat="false" ht="15" hidden="false" customHeight="false" outlineLevel="0" collapsed="false">
      <c r="A2379" s="4" t="s">
        <v>13</v>
      </c>
      <c r="B2379" s="5" t="s">
        <v>64</v>
      </c>
      <c r="C2379" s="5" t="s">
        <v>65</v>
      </c>
      <c r="D2379" s="4" t="s">
        <v>16</v>
      </c>
      <c r="E2379" s="4" t="s">
        <v>960</v>
      </c>
      <c r="F2379" s="4" t="s">
        <v>406</v>
      </c>
      <c r="G2379" s="4" t="s">
        <v>961</v>
      </c>
      <c r="H2379" s="12" t="n">
        <v>1</v>
      </c>
      <c r="I2379" s="4" t="s">
        <v>408</v>
      </c>
      <c r="J2379" s="4" t="s">
        <v>409</v>
      </c>
      <c r="K2379" s="13" t="n">
        <v>3500</v>
      </c>
      <c r="L2379" s="6" t="n">
        <f aca="false">H2379*K2379</f>
        <v>3500</v>
      </c>
      <c r="M2379" s="14" t="s">
        <v>410</v>
      </c>
    </row>
    <row r="2380" customFormat="false" ht="15" hidden="false" customHeight="false" outlineLevel="0" collapsed="false">
      <c r="A2380" s="4" t="s">
        <v>13</v>
      </c>
      <c r="B2380" s="5" t="s">
        <v>64</v>
      </c>
      <c r="C2380" s="5" t="s">
        <v>65</v>
      </c>
      <c r="D2380" s="4" t="s">
        <v>16</v>
      </c>
      <c r="E2380" s="4" t="s">
        <v>1855</v>
      </c>
      <c r="F2380" s="4" t="s">
        <v>406</v>
      </c>
      <c r="G2380" s="4" t="s">
        <v>1856</v>
      </c>
      <c r="H2380" s="12" t="n">
        <v>1</v>
      </c>
      <c r="I2380" s="4" t="s">
        <v>408</v>
      </c>
      <c r="J2380" s="4" t="s">
        <v>409</v>
      </c>
      <c r="K2380" s="13" t="n">
        <v>180</v>
      </c>
      <c r="L2380" s="6" t="n">
        <f aca="false">H2380*K2380</f>
        <v>180</v>
      </c>
      <c r="M2380" s="14" t="s">
        <v>410</v>
      </c>
    </row>
    <row r="2381" customFormat="false" ht="15" hidden="false" customHeight="false" outlineLevel="0" collapsed="false">
      <c r="A2381" s="4" t="s">
        <v>13</v>
      </c>
      <c r="B2381" s="5" t="s">
        <v>64</v>
      </c>
      <c r="C2381" s="5" t="s">
        <v>65</v>
      </c>
      <c r="D2381" s="4" t="s">
        <v>16</v>
      </c>
      <c r="E2381" s="4" t="s">
        <v>1857</v>
      </c>
      <c r="F2381" s="4" t="s">
        <v>406</v>
      </c>
      <c r="G2381" s="4" t="s">
        <v>1858</v>
      </c>
      <c r="H2381" s="12" t="n">
        <v>1</v>
      </c>
      <c r="I2381" s="4" t="s">
        <v>408</v>
      </c>
      <c r="J2381" s="4" t="s">
        <v>409</v>
      </c>
      <c r="K2381" s="13" t="n">
        <v>450</v>
      </c>
      <c r="L2381" s="6" t="n">
        <f aca="false">H2381*K2381</f>
        <v>450</v>
      </c>
      <c r="M2381" s="14" t="s">
        <v>410</v>
      </c>
    </row>
    <row r="2382" customFormat="false" ht="15" hidden="false" customHeight="false" outlineLevel="0" collapsed="false">
      <c r="A2382" s="4" t="s">
        <v>13</v>
      </c>
      <c r="B2382" s="5" t="s">
        <v>64</v>
      </c>
      <c r="C2382" s="5" t="s">
        <v>65</v>
      </c>
      <c r="D2382" s="4" t="s">
        <v>16</v>
      </c>
      <c r="E2382" s="4" t="s">
        <v>3368</v>
      </c>
      <c r="F2382" s="4" t="s">
        <v>406</v>
      </c>
      <c r="G2382" s="4" t="s">
        <v>1860</v>
      </c>
      <c r="H2382" s="12" t="n">
        <v>1</v>
      </c>
      <c r="I2382" s="4" t="s">
        <v>408</v>
      </c>
      <c r="J2382" s="4" t="s">
        <v>416</v>
      </c>
      <c r="K2382" s="13" t="n">
        <v>1800</v>
      </c>
      <c r="L2382" s="6" t="n">
        <f aca="false">H2382*K2382</f>
        <v>1800</v>
      </c>
      <c r="M2382" s="14" t="s">
        <v>410</v>
      </c>
    </row>
    <row r="2383" customFormat="false" ht="15" hidden="false" customHeight="false" outlineLevel="0" collapsed="false">
      <c r="A2383" s="4" t="s">
        <v>13</v>
      </c>
      <c r="B2383" s="5" t="s">
        <v>64</v>
      </c>
      <c r="C2383" s="5" t="s">
        <v>65</v>
      </c>
      <c r="D2383" s="4" t="s">
        <v>16</v>
      </c>
      <c r="E2383" s="4" t="s">
        <v>1861</v>
      </c>
      <c r="F2383" s="4" t="s">
        <v>406</v>
      </c>
      <c r="G2383" s="4" t="s">
        <v>1667</v>
      </c>
      <c r="H2383" s="12" t="n">
        <v>1</v>
      </c>
      <c r="I2383" s="4" t="s">
        <v>408</v>
      </c>
      <c r="J2383" s="4" t="s">
        <v>409</v>
      </c>
      <c r="K2383" s="13" t="n">
        <v>450</v>
      </c>
      <c r="L2383" s="6" t="n">
        <f aca="false">H2383*K2383</f>
        <v>450</v>
      </c>
      <c r="M2383" s="14" t="s">
        <v>410</v>
      </c>
    </row>
    <row r="2384" customFormat="false" ht="15" hidden="false" customHeight="false" outlineLevel="0" collapsed="false">
      <c r="A2384" s="4" t="s">
        <v>13</v>
      </c>
      <c r="B2384" s="5" t="s">
        <v>64</v>
      </c>
      <c r="C2384" s="5" t="s">
        <v>65</v>
      </c>
      <c r="D2384" s="4" t="s">
        <v>16</v>
      </c>
      <c r="E2384" s="4" t="s">
        <v>1862</v>
      </c>
      <c r="F2384" s="4" t="s">
        <v>406</v>
      </c>
      <c r="G2384" s="4" t="s">
        <v>1863</v>
      </c>
      <c r="H2384" s="12" t="n">
        <v>1</v>
      </c>
      <c r="I2384" s="4" t="s">
        <v>408</v>
      </c>
      <c r="J2384" s="4" t="s">
        <v>409</v>
      </c>
      <c r="K2384" s="13" t="n">
        <v>350</v>
      </c>
      <c r="L2384" s="6" t="n">
        <f aca="false">H2384*K2384</f>
        <v>350</v>
      </c>
      <c r="M2384" s="14" t="s">
        <v>410</v>
      </c>
    </row>
    <row r="2385" customFormat="false" ht="15" hidden="false" customHeight="false" outlineLevel="0" collapsed="false">
      <c r="A2385" s="4" t="s">
        <v>13</v>
      </c>
      <c r="B2385" s="5" t="s">
        <v>64</v>
      </c>
      <c r="C2385" s="5" t="s">
        <v>65</v>
      </c>
      <c r="D2385" s="4" t="s">
        <v>16</v>
      </c>
      <c r="E2385" s="4" t="s">
        <v>1864</v>
      </c>
      <c r="F2385" s="4" t="s">
        <v>406</v>
      </c>
      <c r="G2385" s="4" t="s">
        <v>1865</v>
      </c>
      <c r="H2385" s="12" t="n">
        <v>1</v>
      </c>
      <c r="I2385" s="4" t="s">
        <v>408</v>
      </c>
      <c r="J2385" s="4" t="s">
        <v>409</v>
      </c>
      <c r="K2385" s="13" t="n">
        <v>450</v>
      </c>
      <c r="L2385" s="6" t="n">
        <f aca="false">H2385*K2385</f>
        <v>450</v>
      </c>
      <c r="M2385" s="14" t="s">
        <v>410</v>
      </c>
    </row>
    <row r="2386" customFormat="false" ht="15" hidden="false" customHeight="false" outlineLevel="0" collapsed="false">
      <c r="A2386" s="4" t="s">
        <v>13</v>
      </c>
      <c r="B2386" s="5" t="s">
        <v>64</v>
      </c>
      <c r="C2386" s="5" t="s">
        <v>65</v>
      </c>
      <c r="D2386" s="4" t="s">
        <v>16</v>
      </c>
      <c r="E2386" s="4" t="s">
        <v>1866</v>
      </c>
      <c r="F2386" s="4" t="s">
        <v>406</v>
      </c>
      <c r="G2386" s="4" t="s">
        <v>1867</v>
      </c>
      <c r="H2386" s="12" t="n">
        <v>1</v>
      </c>
      <c r="I2386" s="4" t="s">
        <v>408</v>
      </c>
      <c r="J2386" s="4" t="s">
        <v>409</v>
      </c>
      <c r="K2386" s="13" t="n">
        <v>450</v>
      </c>
      <c r="L2386" s="6" t="n">
        <f aca="false">H2386*K2386</f>
        <v>450</v>
      </c>
      <c r="M2386" s="14" t="s">
        <v>410</v>
      </c>
    </row>
    <row r="2387" customFormat="false" ht="15" hidden="false" customHeight="false" outlineLevel="0" collapsed="false">
      <c r="A2387" s="4" t="s">
        <v>13</v>
      </c>
      <c r="B2387" s="5" t="s">
        <v>64</v>
      </c>
      <c r="C2387" s="5" t="s">
        <v>65</v>
      </c>
      <c r="D2387" s="4" t="s">
        <v>16</v>
      </c>
      <c r="E2387" s="4" t="s">
        <v>3369</v>
      </c>
      <c r="F2387" s="4" t="s">
        <v>406</v>
      </c>
      <c r="G2387" s="4" t="s">
        <v>3370</v>
      </c>
      <c r="H2387" s="12" t="n">
        <v>1</v>
      </c>
      <c r="I2387" s="4" t="s">
        <v>408</v>
      </c>
      <c r="J2387" s="4" t="s">
        <v>409</v>
      </c>
      <c r="K2387" s="13" t="n">
        <v>450</v>
      </c>
      <c r="L2387" s="6" t="n">
        <f aca="false">H2387*K2387</f>
        <v>450</v>
      </c>
      <c r="M2387" s="14" t="s">
        <v>410</v>
      </c>
    </row>
    <row r="2388" customFormat="false" ht="15" hidden="false" customHeight="false" outlineLevel="0" collapsed="false">
      <c r="A2388" s="4" t="s">
        <v>13</v>
      </c>
      <c r="B2388" s="5" t="s">
        <v>64</v>
      </c>
      <c r="C2388" s="5" t="s">
        <v>65</v>
      </c>
      <c r="D2388" s="4" t="s">
        <v>16</v>
      </c>
      <c r="E2388" s="4" t="s">
        <v>3371</v>
      </c>
      <c r="F2388" s="4" t="s">
        <v>406</v>
      </c>
      <c r="G2388" s="4" t="s">
        <v>1871</v>
      </c>
      <c r="H2388" s="12" t="n">
        <v>1</v>
      </c>
      <c r="I2388" s="4" t="s">
        <v>408</v>
      </c>
      <c r="J2388" s="4" t="s">
        <v>416</v>
      </c>
      <c r="K2388" s="13" t="n">
        <v>2500</v>
      </c>
      <c r="L2388" s="6" t="n">
        <f aca="false">H2388*K2388</f>
        <v>2500</v>
      </c>
      <c r="M2388" s="14" t="s">
        <v>410</v>
      </c>
    </row>
    <row r="2389" customFormat="false" ht="15" hidden="false" customHeight="false" outlineLevel="0" collapsed="false">
      <c r="A2389" s="4" t="s">
        <v>13</v>
      </c>
      <c r="B2389" s="5" t="s">
        <v>64</v>
      </c>
      <c r="C2389" s="5" t="s">
        <v>65</v>
      </c>
      <c r="D2389" s="4" t="s">
        <v>16</v>
      </c>
      <c r="E2389" s="4" t="s">
        <v>960</v>
      </c>
      <c r="F2389" s="4" t="s">
        <v>406</v>
      </c>
      <c r="G2389" s="4" t="s">
        <v>961</v>
      </c>
      <c r="H2389" s="12" t="n">
        <v>1</v>
      </c>
      <c r="I2389" s="4" t="s">
        <v>408</v>
      </c>
      <c r="J2389" s="4" t="s">
        <v>409</v>
      </c>
      <c r="K2389" s="13" t="n">
        <v>3500</v>
      </c>
      <c r="L2389" s="6" t="n">
        <f aca="false">H2389*K2389</f>
        <v>3500</v>
      </c>
      <c r="M2389" s="14" t="s">
        <v>410</v>
      </c>
    </row>
    <row r="2390" customFormat="false" ht="15" hidden="false" customHeight="false" outlineLevel="0" collapsed="false">
      <c r="A2390" s="4" t="s">
        <v>13</v>
      </c>
      <c r="B2390" s="5" t="s">
        <v>64</v>
      </c>
      <c r="C2390" s="5" t="s">
        <v>65</v>
      </c>
      <c r="D2390" s="4" t="s">
        <v>16</v>
      </c>
      <c r="E2390" s="4" t="s">
        <v>1866</v>
      </c>
      <c r="F2390" s="4" t="s">
        <v>406</v>
      </c>
      <c r="G2390" s="4" t="s">
        <v>1867</v>
      </c>
      <c r="H2390" s="12" t="n">
        <v>1</v>
      </c>
      <c r="I2390" s="4" t="s">
        <v>408</v>
      </c>
      <c r="J2390" s="4" t="s">
        <v>409</v>
      </c>
      <c r="K2390" s="13" t="n">
        <v>450</v>
      </c>
      <c r="L2390" s="6" t="n">
        <f aca="false">H2390*K2390</f>
        <v>450</v>
      </c>
      <c r="M2390" s="14" t="s">
        <v>410</v>
      </c>
    </row>
    <row r="2391" customFormat="false" ht="15" hidden="false" customHeight="false" outlineLevel="0" collapsed="false">
      <c r="A2391" s="4" t="s">
        <v>13</v>
      </c>
      <c r="B2391" s="5" t="s">
        <v>64</v>
      </c>
      <c r="C2391" s="5" t="s">
        <v>65</v>
      </c>
      <c r="D2391" s="4" t="s">
        <v>16</v>
      </c>
      <c r="E2391" s="4" t="s">
        <v>1674</v>
      </c>
      <c r="F2391" s="4" t="s">
        <v>406</v>
      </c>
      <c r="G2391" s="4" t="s">
        <v>778</v>
      </c>
      <c r="H2391" s="12" t="n">
        <v>1</v>
      </c>
      <c r="I2391" s="4" t="s">
        <v>408</v>
      </c>
      <c r="J2391" s="4" t="s">
        <v>409</v>
      </c>
      <c r="K2391" s="13" t="n">
        <v>120</v>
      </c>
      <c r="L2391" s="6" t="n">
        <f aca="false">H2391*K2391</f>
        <v>120</v>
      </c>
      <c r="M2391" s="14" t="s">
        <v>410</v>
      </c>
    </row>
    <row r="2392" customFormat="false" ht="15" hidden="false" customHeight="false" outlineLevel="0" collapsed="false">
      <c r="A2392" s="4" t="s">
        <v>13</v>
      </c>
      <c r="B2392" s="5" t="s">
        <v>64</v>
      </c>
      <c r="C2392" s="5" t="s">
        <v>65</v>
      </c>
      <c r="D2392" s="4" t="s">
        <v>16</v>
      </c>
      <c r="E2392" s="4" t="s">
        <v>1872</v>
      </c>
      <c r="F2392" s="4" t="s">
        <v>406</v>
      </c>
      <c r="G2392" s="4" t="s">
        <v>1873</v>
      </c>
      <c r="H2392" s="12" t="n">
        <v>1</v>
      </c>
      <c r="I2392" s="4" t="s">
        <v>408</v>
      </c>
      <c r="J2392" s="4" t="s">
        <v>807</v>
      </c>
      <c r="K2392" s="13" t="n">
        <v>250</v>
      </c>
      <c r="L2392" s="6" t="n">
        <f aca="false">H2392*K2392</f>
        <v>250</v>
      </c>
      <c r="M2392" s="14" t="s">
        <v>410</v>
      </c>
    </row>
    <row r="2393" customFormat="false" ht="15" hidden="false" customHeight="false" outlineLevel="0" collapsed="false">
      <c r="A2393" s="4" t="s">
        <v>13</v>
      </c>
      <c r="B2393" s="5" t="s">
        <v>64</v>
      </c>
      <c r="C2393" s="5" t="s">
        <v>65</v>
      </c>
      <c r="D2393" s="4" t="s">
        <v>16</v>
      </c>
      <c r="E2393" s="4" t="s">
        <v>1874</v>
      </c>
      <c r="F2393" s="4" t="s">
        <v>406</v>
      </c>
      <c r="G2393" s="4" t="s">
        <v>1875</v>
      </c>
      <c r="H2393" s="12" t="n">
        <v>1</v>
      </c>
      <c r="I2393" s="4" t="s">
        <v>408</v>
      </c>
      <c r="J2393" s="4" t="s">
        <v>409</v>
      </c>
      <c r="K2393" s="13" t="n">
        <v>350</v>
      </c>
      <c r="L2393" s="6" t="n">
        <f aca="false">H2393*K2393</f>
        <v>350</v>
      </c>
      <c r="M2393" s="14" t="s">
        <v>410</v>
      </c>
    </row>
    <row r="2394" customFormat="false" ht="15" hidden="false" customHeight="false" outlineLevel="0" collapsed="false">
      <c r="A2394" s="4" t="s">
        <v>13</v>
      </c>
      <c r="B2394" s="5" t="s">
        <v>64</v>
      </c>
      <c r="C2394" s="5" t="s">
        <v>65</v>
      </c>
      <c r="D2394" s="4" t="s">
        <v>16</v>
      </c>
      <c r="E2394" s="4" t="s">
        <v>3372</v>
      </c>
      <c r="F2394" s="4" t="s">
        <v>406</v>
      </c>
      <c r="G2394" s="4" t="s">
        <v>3373</v>
      </c>
      <c r="H2394" s="12" t="n">
        <v>1</v>
      </c>
      <c r="I2394" s="4" t="s">
        <v>408</v>
      </c>
      <c r="J2394" s="4" t="s">
        <v>409</v>
      </c>
      <c r="K2394" s="13" t="n">
        <v>1200</v>
      </c>
      <c r="L2394" s="6" t="n">
        <f aca="false">H2394*K2394</f>
        <v>1200</v>
      </c>
      <c r="M2394" s="14" t="s">
        <v>410</v>
      </c>
    </row>
    <row r="2395" customFormat="false" ht="15" hidden="false" customHeight="false" outlineLevel="0" collapsed="false">
      <c r="A2395" s="4" t="s">
        <v>13</v>
      </c>
      <c r="B2395" s="5" t="s">
        <v>64</v>
      </c>
      <c r="C2395" s="5" t="s">
        <v>65</v>
      </c>
      <c r="D2395" s="4" t="s">
        <v>16</v>
      </c>
      <c r="E2395" s="4" t="s">
        <v>1192</v>
      </c>
      <c r="F2395" s="4" t="s">
        <v>406</v>
      </c>
      <c r="G2395" s="4" t="s">
        <v>1193</v>
      </c>
      <c r="H2395" s="12" t="n">
        <v>1</v>
      </c>
      <c r="I2395" s="4" t="s">
        <v>408</v>
      </c>
      <c r="J2395" s="4" t="s">
        <v>416</v>
      </c>
      <c r="K2395" s="13" t="n">
        <v>450</v>
      </c>
      <c r="L2395" s="6" t="n">
        <f aca="false">H2395*K2395</f>
        <v>450</v>
      </c>
      <c r="M2395" s="14" t="s">
        <v>410</v>
      </c>
    </row>
    <row r="2396" customFormat="false" ht="15" hidden="false" customHeight="false" outlineLevel="0" collapsed="false">
      <c r="A2396" s="4" t="s">
        <v>13</v>
      </c>
      <c r="B2396" s="5" t="s">
        <v>64</v>
      </c>
      <c r="C2396" s="5" t="s">
        <v>65</v>
      </c>
      <c r="D2396" s="4" t="s">
        <v>16</v>
      </c>
      <c r="E2396" s="4" t="s">
        <v>1674</v>
      </c>
      <c r="F2396" s="4" t="s">
        <v>406</v>
      </c>
      <c r="G2396" s="4" t="s">
        <v>778</v>
      </c>
      <c r="H2396" s="12" t="n">
        <v>1</v>
      </c>
      <c r="I2396" s="4" t="s">
        <v>408</v>
      </c>
      <c r="J2396" s="4" t="s">
        <v>409</v>
      </c>
      <c r="K2396" s="13" t="n">
        <v>120</v>
      </c>
      <c r="L2396" s="6" t="n">
        <f aca="false">H2396*K2396</f>
        <v>120</v>
      </c>
      <c r="M2396" s="14" t="s">
        <v>410</v>
      </c>
    </row>
    <row r="2397" customFormat="false" ht="15" hidden="false" customHeight="false" outlineLevel="0" collapsed="false">
      <c r="A2397" s="4" t="s">
        <v>13</v>
      </c>
      <c r="B2397" s="5" t="s">
        <v>64</v>
      </c>
      <c r="C2397" s="5" t="s">
        <v>65</v>
      </c>
      <c r="D2397" s="4" t="s">
        <v>16</v>
      </c>
      <c r="E2397" s="4" t="s">
        <v>1878</v>
      </c>
      <c r="F2397" s="4" t="s">
        <v>406</v>
      </c>
      <c r="G2397" s="4" t="s">
        <v>1879</v>
      </c>
      <c r="H2397" s="12" t="n">
        <v>1</v>
      </c>
      <c r="I2397" s="4" t="s">
        <v>408</v>
      </c>
      <c r="J2397" s="4" t="s">
        <v>409</v>
      </c>
      <c r="K2397" s="13" t="n">
        <v>180</v>
      </c>
      <c r="L2397" s="6" t="n">
        <f aca="false">H2397*K2397</f>
        <v>180</v>
      </c>
      <c r="M2397" s="14" t="s">
        <v>410</v>
      </c>
    </row>
    <row r="2398" customFormat="false" ht="15" hidden="false" customHeight="false" outlineLevel="0" collapsed="false">
      <c r="A2398" s="4" t="s">
        <v>13</v>
      </c>
      <c r="B2398" s="5" t="s">
        <v>64</v>
      </c>
      <c r="C2398" s="5" t="s">
        <v>65</v>
      </c>
      <c r="D2398" s="4" t="s">
        <v>16</v>
      </c>
      <c r="E2398" s="4" t="s">
        <v>1880</v>
      </c>
      <c r="F2398" s="4" t="s">
        <v>406</v>
      </c>
      <c r="G2398" s="4" t="s">
        <v>1881</v>
      </c>
      <c r="H2398" s="12" t="n">
        <v>1</v>
      </c>
      <c r="I2398" s="4" t="s">
        <v>408</v>
      </c>
      <c r="J2398" s="4" t="s">
        <v>409</v>
      </c>
      <c r="K2398" s="13" t="n">
        <v>650</v>
      </c>
      <c r="L2398" s="6" t="n">
        <f aca="false">H2398*K2398</f>
        <v>650</v>
      </c>
      <c r="M2398" s="14" t="s">
        <v>410</v>
      </c>
    </row>
    <row r="2399" customFormat="false" ht="15" hidden="false" customHeight="false" outlineLevel="0" collapsed="false">
      <c r="A2399" s="4" t="s">
        <v>13</v>
      </c>
      <c r="B2399" s="5" t="s">
        <v>64</v>
      </c>
      <c r="C2399" s="5" t="s">
        <v>65</v>
      </c>
      <c r="D2399" s="4" t="s">
        <v>16</v>
      </c>
      <c r="E2399" s="4" t="s">
        <v>1882</v>
      </c>
      <c r="F2399" s="4" t="s">
        <v>406</v>
      </c>
      <c r="G2399" s="4" t="s">
        <v>1883</v>
      </c>
      <c r="H2399" s="12" t="n">
        <v>1</v>
      </c>
      <c r="I2399" s="4" t="s">
        <v>408</v>
      </c>
      <c r="J2399" s="4" t="s">
        <v>409</v>
      </c>
      <c r="K2399" s="13" t="n">
        <v>1800</v>
      </c>
      <c r="L2399" s="6" t="n">
        <f aca="false">H2399*K2399</f>
        <v>1800</v>
      </c>
      <c r="M2399" s="14" t="s">
        <v>410</v>
      </c>
    </row>
    <row r="2400" customFormat="false" ht="15" hidden="false" customHeight="false" outlineLevel="0" collapsed="false">
      <c r="A2400" s="4" t="s">
        <v>13</v>
      </c>
      <c r="B2400" s="5" t="s">
        <v>64</v>
      </c>
      <c r="C2400" s="5" t="s">
        <v>65</v>
      </c>
      <c r="D2400" s="4" t="s">
        <v>16</v>
      </c>
      <c r="E2400" s="4" t="s">
        <v>1884</v>
      </c>
      <c r="F2400" s="4" t="s">
        <v>406</v>
      </c>
      <c r="G2400" s="4" t="s">
        <v>1604</v>
      </c>
      <c r="H2400" s="12" t="n">
        <v>1</v>
      </c>
      <c r="I2400" s="4" t="s">
        <v>408</v>
      </c>
      <c r="J2400" s="4" t="s">
        <v>416</v>
      </c>
      <c r="K2400" s="13" t="n">
        <v>1200</v>
      </c>
      <c r="L2400" s="6" t="n">
        <f aca="false">H2400*K2400</f>
        <v>1200</v>
      </c>
      <c r="M2400" s="14" t="s">
        <v>410</v>
      </c>
    </row>
    <row r="2401" customFormat="false" ht="15" hidden="false" customHeight="false" outlineLevel="0" collapsed="false">
      <c r="A2401" s="4" t="s">
        <v>13</v>
      </c>
      <c r="B2401" s="5" t="s">
        <v>64</v>
      </c>
      <c r="C2401" s="5" t="s">
        <v>65</v>
      </c>
      <c r="D2401" s="4" t="s">
        <v>16</v>
      </c>
      <c r="E2401" s="4" t="s">
        <v>1866</v>
      </c>
      <c r="F2401" s="4" t="s">
        <v>406</v>
      </c>
      <c r="G2401" s="4" t="s">
        <v>1867</v>
      </c>
      <c r="H2401" s="12" t="n">
        <v>1</v>
      </c>
      <c r="I2401" s="4" t="s">
        <v>408</v>
      </c>
      <c r="J2401" s="4" t="s">
        <v>409</v>
      </c>
      <c r="K2401" s="13" t="n">
        <v>450</v>
      </c>
      <c r="L2401" s="6" t="n">
        <f aca="false">H2401*K2401</f>
        <v>450</v>
      </c>
      <c r="M2401" s="14" t="s">
        <v>410</v>
      </c>
    </row>
    <row r="2402" customFormat="false" ht="15" hidden="false" customHeight="false" outlineLevel="0" collapsed="false">
      <c r="A2402" s="4" t="s">
        <v>13</v>
      </c>
      <c r="B2402" s="5" t="s">
        <v>64</v>
      </c>
      <c r="C2402" s="5" t="s">
        <v>65</v>
      </c>
      <c r="D2402" s="4" t="s">
        <v>16</v>
      </c>
      <c r="E2402" s="4" t="s">
        <v>1885</v>
      </c>
      <c r="F2402" s="4" t="s">
        <v>406</v>
      </c>
      <c r="G2402" s="4" t="s">
        <v>1886</v>
      </c>
      <c r="H2402" s="12" t="n">
        <v>1</v>
      </c>
      <c r="I2402" s="4" t="s">
        <v>408</v>
      </c>
      <c r="J2402" s="4" t="s">
        <v>543</v>
      </c>
      <c r="K2402" s="13" t="n">
        <v>85000</v>
      </c>
      <c r="L2402" s="6" t="n">
        <f aca="false">H2402*K2402</f>
        <v>85000</v>
      </c>
      <c r="M2402" s="14" t="s">
        <v>410</v>
      </c>
    </row>
    <row r="2403" customFormat="false" ht="15" hidden="false" customHeight="false" outlineLevel="0" collapsed="false">
      <c r="A2403" s="4" t="s">
        <v>13</v>
      </c>
      <c r="B2403" s="5" t="s">
        <v>64</v>
      </c>
      <c r="C2403" s="5" t="s">
        <v>65</v>
      </c>
      <c r="D2403" s="4" t="s">
        <v>16</v>
      </c>
      <c r="E2403" s="4" t="s">
        <v>1887</v>
      </c>
      <c r="F2403" s="4" t="s">
        <v>406</v>
      </c>
      <c r="G2403" s="4" t="s">
        <v>1888</v>
      </c>
      <c r="H2403" s="12" t="n">
        <v>1</v>
      </c>
      <c r="I2403" s="4" t="s">
        <v>408</v>
      </c>
      <c r="J2403" s="4" t="s">
        <v>409</v>
      </c>
      <c r="K2403" s="13" t="n">
        <v>85000</v>
      </c>
      <c r="L2403" s="6" t="n">
        <f aca="false">H2403*K2403</f>
        <v>85000</v>
      </c>
      <c r="M2403" s="14" t="s">
        <v>410</v>
      </c>
    </row>
    <row r="2404" customFormat="false" ht="15" hidden="false" customHeight="false" outlineLevel="0" collapsed="false">
      <c r="A2404" s="4" t="s">
        <v>13</v>
      </c>
      <c r="B2404" s="5" t="s">
        <v>64</v>
      </c>
      <c r="C2404" s="5" t="s">
        <v>65</v>
      </c>
      <c r="D2404" s="4" t="s">
        <v>16</v>
      </c>
      <c r="E2404" s="4" t="s">
        <v>1889</v>
      </c>
      <c r="F2404" s="4" t="s">
        <v>406</v>
      </c>
      <c r="G2404" s="4" t="s">
        <v>1890</v>
      </c>
      <c r="H2404" s="12" t="n">
        <v>1</v>
      </c>
      <c r="I2404" s="4" t="s">
        <v>408</v>
      </c>
      <c r="J2404" s="4" t="s">
        <v>409</v>
      </c>
      <c r="K2404" s="13" t="n">
        <v>18000</v>
      </c>
      <c r="L2404" s="6" t="n">
        <f aca="false">H2404*K2404</f>
        <v>18000</v>
      </c>
      <c r="M2404" s="14" t="s">
        <v>410</v>
      </c>
    </row>
    <row r="2405" customFormat="false" ht="15" hidden="false" customHeight="false" outlineLevel="0" collapsed="false">
      <c r="A2405" s="4" t="s">
        <v>13</v>
      </c>
      <c r="B2405" s="5" t="s">
        <v>64</v>
      </c>
      <c r="C2405" s="5" t="s">
        <v>65</v>
      </c>
      <c r="D2405" s="4" t="s">
        <v>16</v>
      </c>
      <c r="E2405" s="4" t="s">
        <v>1893</v>
      </c>
      <c r="F2405" s="4" t="s">
        <v>406</v>
      </c>
      <c r="G2405" s="4" t="s">
        <v>1894</v>
      </c>
      <c r="H2405" s="12" t="n">
        <v>1</v>
      </c>
      <c r="I2405" s="4" t="s">
        <v>408</v>
      </c>
      <c r="J2405" s="4" t="s">
        <v>409</v>
      </c>
      <c r="K2405" s="13" t="n">
        <v>1800</v>
      </c>
      <c r="L2405" s="6" t="n">
        <f aca="false">H2405*K2405</f>
        <v>1800</v>
      </c>
      <c r="M2405" s="14" t="s">
        <v>410</v>
      </c>
    </row>
    <row r="2406" customFormat="false" ht="15" hidden="false" customHeight="false" outlineLevel="0" collapsed="false">
      <c r="A2406" s="4" t="s">
        <v>13</v>
      </c>
      <c r="B2406" s="5" t="s">
        <v>64</v>
      </c>
      <c r="C2406" s="5" t="s">
        <v>65</v>
      </c>
      <c r="D2406" s="4" t="s">
        <v>16</v>
      </c>
      <c r="E2406" s="4" t="s">
        <v>1895</v>
      </c>
      <c r="F2406" s="4" t="s">
        <v>406</v>
      </c>
      <c r="G2406" s="4" t="s">
        <v>1896</v>
      </c>
      <c r="H2406" s="12" t="n">
        <v>1</v>
      </c>
      <c r="I2406" s="4" t="s">
        <v>408</v>
      </c>
      <c r="J2406" s="4" t="s">
        <v>409</v>
      </c>
      <c r="K2406" s="13" t="n">
        <v>6500</v>
      </c>
      <c r="L2406" s="6" t="n">
        <f aca="false">H2406*K2406</f>
        <v>6500</v>
      </c>
      <c r="M2406" s="14" t="s">
        <v>410</v>
      </c>
    </row>
    <row r="2407" customFormat="false" ht="15" hidden="false" customHeight="false" outlineLevel="0" collapsed="false">
      <c r="A2407" s="4" t="s">
        <v>13</v>
      </c>
      <c r="B2407" s="5" t="s">
        <v>64</v>
      </c>
      <c r="C2407" s="5" t="s">
        <v>65</v>
      </c>
      <c r="D2407" s="4" t="s">
        <v>16</v>
      </c>
      <c r="E2407" s="4" t="s">
        <v>3374</v>
      </c>
      <c r="F2407" s="4" t="s">
        <v>406</v>
      </c>
      <c r="G2407" s="4" t="s">
        <v>1209</v>
      </c>
      <c r="H2407" s="12" t="n">
        <v>1</v>
      </c>
      <c r="I2407" s="4" t="s">
        <v>408</v>
      </c>
      <c r="J2407" s="4" t="s">
        <v>409</v>
      </c>
      <c r="K2407" s="13" t="n">
        <v>850</v>
      </c>
      <c r="L2407" s="6" t="n">
        <f aca="false">H2407*K2407</f>
        <v>850</v>
      </c>
      <c r="M2407" s="14" t="s">
        <v>410</v>
      </c>
    </row>
    <row r="2408" customFormat="false" ht="15" hidden="false" customHeight="false" outlineLevel="0" collapsed="false">
      <c r="A2408" s="4" t="s">
        <v>13</v>
      </c>
      <c r="B2408" s="5" t="s">
        <v>64</v>
      </c>
      <c r="C2408" s="5" t="s">
        <v>65</v>
      </c>
      <c r="D2408" s="4" t="s">
        <v>16</v>
      </c>
      <c r="E2408" s="4" t="s">
        <v>3375</v>
      </c>
      <c r="F2408" s="4" t="s">
        <v>406</v>
      </c>
      <c r="G2408" s="4" t="s">
        <v>3376</v>
      </c>
      <c r="H2408" s="12" t="n">
        <v>1</v>
      </c>
      <c r="I2408" s="4" t="s">
        <v>408</v>
      </c>
      <c r="J2408" s="4" t="s">
        <v>409</v>
      </c>
      <c r="K2408" s="13" t="n">
        <v>650</v>
      </c>
      <c r="L2408" s="6" t="n">
        <f aca="false">H2408*K2408</f>
        <v>650</v>
      </c>
      <c r="M2408" s="14" t="s">
        <v>410</v>
      </c>
    </row>
    <row r="2409" customFormat="false" ht="15" hidden="false" customHeight="false" outlineLevel="0" collapsed="false">
      <c r="A2409" s="4" t="s">
        <v>13</v>
      </c>
      <c r="B2409" s="5" t="s">
        <v>64</v>
      </c>
      <c r="C2409" s="5" t="s">
        <v>65</v>
      </c>
      <c r="D2409" s="4" t="s">
        <v>16</v>
      </c>
      <c r="E2409" s="4" t="s">
        <v>1897</v>
      </c>
      <c r="F2409" s="4" t="s">
        <v>406</v>
      </c>
      <c r="G2409" s="4" t="s">
        <v>1611</v>
      </c>
      <c r="H2409" s="12" t="n">
        <v>1</v>
      </c>
      <c r="I2409" s="4" t="s">
        <v>408</v>
      </c>
      <c r="J2409" s="4" t="s">
        <v>409</v>
      </c>
      <c r="K2409" s="13" t="n">
        <v>350</v>
      </c>
      <c r="L2409" s="6" t="n">
        <f aca="false">H2409*K2409</f>
        <v>350</v>
      </c>
      <c r="M2409" s="14" t="s">
        <v>410</v>
      </c>
    </row>
    <row r="2410" customFormat="false" ht="15" hidden="false" customHeight="false" outlineLevel="0" collapsed="false">
      <c r="A2410" s="4" t="s">
        <v>13</v>
      </c>
      <c r="B2410" s="5" t="s">
        <v>64</v>
      </c>
      <c r="C2410" s="5" t="s">
        <v>65</v>
      </c>
      <c r="D2410" s="4" t="s">
        <v>16</v>
      </c>
      <c r="E2410" s="4" t="s">
        <v>1898</v>
      </c>
      <c r="F2410" s="4" t="s">
        <v>406</v>
      </c>
      <c r="G2410" s="4" t="s">
        <v>1899</v>
      </c>
      <c r="H2410" s="12" t="n">
        <v>1</v>
      </c>
      <c r="I2410" s="4" t="s">
        <v>408</v>
      </c>
      <c r="J2410" s="4" t="s">
        <v>409</v>
      </c>
      <c r="K2410" s="13" t="n">
        <v>6500</v>
      </c>
      <c r="L2410" s="6" t="n">
        <f aca="false">H2410*K2410</f>
        <v>6500</v>
      </c>
      <c r="M2410" s="14" t="s">
        <v>410</v>
      </c>
    </row>
    <row r="2411" customFormat="false" ht="15" hidden="false" customHeight="false" outlineLevel="0" collapsed="false">
      <c r="A2411" s="4" t="s">
        <v>13</v>
      </c>
      <c r="B2411" s="5" t="s">
        <v>64</v>
      </c>
      <c r="C2411" s="5" t="s">
        <v>65</v>
      </c>
      <c r="D2411" s="4" t="s">
        <v>16</v>
      </c>
      <c r="E2411" s="4" t="s">
        <v>1900</v>
      </c>
      <c r="F2411" s="4" t="s">
        <v>406</v>
      </c>
      <c r="G2411" s="4" t="s">
        <v>1901</v>
      </c>
      <c r="H2411" s="12" t="n">
        <v>1</v>
      </c>
      <c r="I2411" s="4" t="s">
        <v>408</v>
      </c>
      <c r="J2411" s="4" t="s">
        <v>409</v>
      </c>
      <c r="K2411" s="13" t="n">
        <v>4500</v>
      </c>
      <c r="L2411" s="6" t="n">
        <f aca="false">H2411*K2411</f>
        <v>4500</v>
      </c>
      <c r="M2411" s="14" t="s">
        <v>410</v>
      </c>
    </row>
    <row r="2412" customFormat="false" ht="15" hidden="false" customHeight="false" outlineLevel="0" collapsed="false">
      <c r="A2412" s="4" t="s">
        <v>13</v>
      </c>
      <c r="B2412" s="5" t="s">
        <v>64</v>
      </c>
      <c r="C2412" s="5" t="s">
        <v>65</v>
      </c>
      <c r="D2412" s="4" t="s">
        <v>16</v>
      </c>
      <c r="E2412" s="4" t="s">
        <v>1902</v>
      </c>
      <c r="F2412" s="4" t="s">
        <v>406</v>
      </c>
      <c r="G2412" s="4" t="s">
        <v>1680</v>
      </c>
      <c r="H2412" s="12" t="n">
        <v>1</v>
      </c>
      <c r="I2412" s="4" t="s">
        <v>408</v>
      </c>
      <c r="J2412" s="4" t="s">
        <v>409</v>
      </c>
      <c r="K2412" s="13" t="n">
        <v>8500</v>
      </c>
      <c r="L2412" s="6" t="n">
        <f aca="false">H2412*K2412</f>
        <v>8500</v>
      </c>
      <c r="M2412" s="14" t="s">
        <v>410</v>
      </c>
    </row>
    <row r="2413" customFormat="false" ht="15" hidden="false" customHeight="false" outlineLevel="0" collapsed="false">
      <c r="A2413" s="4" t="s">
        <v>13</v>
      </c>
      <c r="B2413" s="5" t="s">
        <v>64</v>
      </c>
      <c r="C2413" s="5" t="s">
        <v>65</v>
      </c>
      <c r="D2413" s="4" t="s">
        <v>16</v>
      </c>
      <c r="E2413" s="4" t="s">
        <v>1903</v>
      </c>
      <c r="F2413" s="4" t="s">
        <v>406</v>
      </c>
      <c r="G2413" s="4" t="s">
        <v>1904</v>
      </c>
      <c r="H2413" s="12" t="n">
        <v>1</v>
      </c>
      <c r="I2413" s="4" t="s">
        <v>408</v>
      </c>
      <c r="J2413" s="4" t="s">
        <v>409</v>
      </c>
      <c r="K2413" s="13" t="n">
        <v>8500</v>
      </c>
      <c r="L2413" s="6" t="n">
        <f aca="false">H2413*K2413</f>
        <v>8500</v>
      </c>
      <c r="M2413" s="14" t="s">
        <v>410</v>
      </c>
    </row>
    <row r="2414" customFormat="false" ht="15" hidden="false" customHeight="false" outlineLevel="0" collapsed="false">
      <c r="A2414" s="4" t="s">
        <v>13</v>
      </c>
      <c r="B2414" s="5" t="s">
        <v>64</v>
      </c>
      <c r="C2414" s="5" t="s">
        <v>65</v>
      </c>
      <c r="D2414" s="4" t="s">
        <v>16</v>
      </c>
      <c r="E2414" s="4" t="s">
        <v>1672</v>
      </c>
      <c r="F2414" s="4" t="s">
        <v>406</v>
      </c>
      <c r="G2414" s="4" t="s">
        <v>1673</v>
      </c>
      <c r="H2414" s="12" t="n">
        <v>1</v>
      </c>
      <c r="I2414" s="4" t="s">
        <v>408</v>
      </c>
      <c r="J2414" s="4" t="s">
        <v>409</v>
      </c>
      <c r="K2414" s="13" t="n">
        <v>3500</v>
      </c>
      <c r="L2414" s="6" t="n">
        <f aca="false">H2414*K2414</f>
        <v>3500</v>
      </c>
      <c r="M2414" s="14" t="s">
        <v>410</v>
      </c>
    </row>
    <row r="2415" customFormat="false" ht="15" hidden="false" customHeight="false" outlineLevel="0" collapsed="false">
      <c r="A2415" s="4" t="s">
        <v>13</v>
      </c>
      <c r="B2415" s="5" t="s">
        <v>64</v>
      </c>
      <c r="C2415" s="5" t="s">
        <v>65</v>
      </c>
      <c r="D2415" s="4" t="s">
        <v>16</v>
      </c>
      <c r="E2415" s="4" t="s">
        <v>1672</v>
      </c>
      <c r="F2415" s="4" t="s">
        <v>406</v>
      </c>
      <c r="G2415" s="4" t="s">
        <v>1673</v>
      </c>
      <c r="H2415" s="12" t="n">
        <v>1</v>
      </c>
      <c r="I2415" s="4" t="s">
        <v>408</v>
      </c>
      <c r="J2415" s="4" t="s">
        <v>409</v>
      </c>
      <c r="K2415" s="13" t="n">
        <v>3500</v>
      </c>
      <c r="L2415" s="6" t="n">
        <f aca="false">H2415*K2415</f>
        <v>3500</v>
      </c>
      <c r="M2415" s="14" t="s">
        <v>410</v>
      </c>
    </row>
    <row r="2416" customFormat="false" ht="15" hidden="false" customHeight="false" outlineLevel="0" collapsed="false">
      <c r="A2416" s="4" t="s">
        <v>13</v>
      </c>
      <c r="B2416" s="5" t="s">
        <v>64</v>
      </c>
      <c r="C2416" s="5" t="s">
        <v>65</v>
      </c>
      <c r="D2416" s="4" t="s">
        <v>16</v>
      </c>
      <c r="E2416" s="4" t="s">
        <v>1907</v>
      </c>
      <c r="F2416" s="4" t="s">
        <v>406</v>
      </c>
      <c r="G2416" s="4" t="s">
        <v>1908</v>
      </c>
      <c r="H2416" s="12" t="n">
        <v>1</v>
      </c>
      <c r="I2416" s="4" t="s">
        <v>408</v>
      </c>
      <c r="J2416" s="4" t="s">
        <v>409</v>
      </c>
      <c r="K2416" s="13" t="n">
        <v>4500</v>
      </c>
      <c r="L2416" s="6" t="n">
        <f aca="false">H2416*K2416</f>
        <v>4500</v>
      </c>
      <c r="M2416" s="14" t="s">
        <v>410</v>
      </c>
    </row>
    <row r="2417" customFormat="false" ht="15" hidden="false" customHeight="false" outlineLevel="0" collapsed="false">
      <c r="A2417" s="4" t="s">
        <v>13</v>
      </c>
      <c r="B2417" s="5" t="s">
        <v>64</v>
      </c>
      <c r="C2417" s="5" t="s">
        <v>65</v>
      </c>
      <c r="D2417" s="4" t="s">
        <v>16</v>
      </c>
      <c r="E2417" s="4" t="s">
        <v>1909</v>
      </c>
      <c r="F2417" s="4" t="s">
        <v>406</v>
      </c>
      <c r="G2417" s="4" t="s">
        <v>1910</v>
      </c>
      <c r="H2417" s="12" t="n">
        <v>1</v>
      </c>
      <c r="I2417" s="4" t="s">
        <v>408</v>
      </c>
      <c r="J2417" s="4" t="s">
        <v>409</v>
      </c>
      <c r="K2417" s="13" t="n">
        <v>4500</v>
      </c>
      <c r="L2417" s="6" t="n">
        <f aca="false">H2417*K2417</f>
        <v>4500</v>
      </c>
      <c r="M2417" s="14" t="s">
        <v>410</v>
      </c>
    </row>
    <row r="2418" customFormat="false" ht="15" hidden="false" customHeight="false" outlineLevel="0" collapsed="false">
      <c r="A2418" s="4" t="s">
        <v>13</v>
      </c>
      <c r="B2418" s="5" t="s">
        <v>64</v>
      </c>
      <c r="C2418" s="5" t="s">
        <v>65</v>
      </c>
      <c r="D2418" s="4" t="s">
        <v>16</v>
      </c>
      <c r="E2418" s="4" t="s">
        <v>1911</v>
      </c>
      <c r="F2418" s="4" t="s">
        <v>406</v>
      </c>
      <c r="G2418" s="4" t="s">
        <v>1912</v>
      </c>
      <c r="H2418" s="12" t="n">
        <v>1</v>
      </c>
      <c r="I2418" s="4" t="s">
        <v>408</v>
      </c>
      <c r="J2418" s="4" t="s">
        <v>413</v>
      </c>
      <c r="K2418" s="13" t="n">
        <v>18000</v>
      </c>
      <c r="L2418" s="6" t="n">
        <f aca="false">H2418*K2418</f>
        <v>18000</v>
      </c>
      <c r="M2418" s="14" t="s">
        <v>410</v>
      </c>
    </row>
    <row r="2419" customFormat="false" ht="15" hidden="false" customHeight="false" outlineLevel="0" collapsed="false">
      <c r="A2419" s="4" t="s">
        <v>13</v>
      </c>
      <c r="B2419" s="5" t="s">
        <v>64</v>
      </c>
      <c r="C2419" s="5" t="s">
        <v>65</v>
      </c>
      <c r="D2419" s="4" t="s">
        <v>16</v>
      </c>
      <c r="E2419" s="4" t="s">
        <v>1913</v>
      </c>
      <c r="F2419" s="4" t="s">
        <v>406</v>
      </c>
      <c r="G2419" s="4" t="s">
        <v>1914</v>
      </c>
      <c r="H2419" s="12" t="n">
        <v>1</v>
      </c>
      <c r="I2419" s="4" t="s">
        <v>408</v>
      </c>
      <c r="J2419" s="4" t="s">
        <v>409</v>
      </c>
      <c r="K2419" s="13" t="n">
        <v>8500</v>
      </c>
      <c r="L2419" s="6" t="n">
        <f aca="false">H2419*K2419</f>
        <v>8500</v>
      </c>
      <c r="M2419" s="14" t="s">
        <v>410</v>
      </c>
    </row>
    <row r="2420" customFormat="false" ht="15" hidden="false" customHeight="false" outlineLevel="0" collapsed="false">
      <c r="A2420" s="4" t="s">
        <v>13</v>
      </c>
      <c r="B2420" s="5" t="s">
        <v>64</v>
      </c>
      <c r="C2420" s="5" t="s">
        <v>65</v>
      </c>
      <c r="D2420" s="4" t="s">
        <v>16</v>
      </c>
      <c r="E2420" s="4" t="s">
        <v>1897</v>
      </c>
      <c r="F2420" s="4" t="s">
        <v>406</v>
      </c>
      <c r="G2420" s="4" t="s">
        <v>1611</v>
      </c>
      <c r="H2420" s="12" t="n">
        <v>1</v>
      </c>
      <c r="I2420" s="4" t="s">
        <v>408</v>
      </c>
      <c r="J2420" s="4" t="s">
        <v>409</v>
      </c>
      <c r="K2420" s="13" t="n">
        <v>350</v>
      </c>
      <c r="L2420" s="6" t="n">
        <f aca="false">H2420*K2420</f>
        <v>350</v>
      </c>
      <c r="M2420" s="14" t="s">
        <v>410</v>
      </c>
    </row>
    <row r="2421" customFormat="false" ht="15" hidden="false" customHeight="false" outlineLevel="0" collapsed="false">
      <c r="A2421" s="4" t="s">
        <v>13</v>
      </c>
      <c r="B2421" s="5" t="s">
        <v>64</v>
      </c>
      <c r="C2421" s="5" t="s">
        <v>65</v>
      </c>
      <c r="D2421" s="4" t="s">
        <v>16</v>
      </c>
      <c r="E2421" s="4" t="s">
        <v>3377</v>
      </c>
      <c r="F2421" s="4" t="s">
        <v>406</v>
      </c>
      <c r="G2421" s="4" t="s">
        <v>3378</v>
      </c>
      <c r="H2421" s="12" t="n">
        <v>1</v>
      </c>
      <c r="I2421" s="4" t="s">
        <v>408</v>
      </c>
      <c r="J2421" s="4" t="s">
        <v>416</v>
      </c>
      <c r="K2421" s="13" t="n">
        <v>12000</v>
      </c>
      <c r="L2421" s="6" t="n">
        <f aca="false">H2421*K2421</f>
        <v>12000</v>
      </c>
      <c r="M2421" s="14" t="s">
        <v>410</v>
      </c>
    </row>
    <row r="2422" customFormat="false" ht="15" hidden="false" customHeight="false" outlineLevel="0" collapsed="false">
      <c r="A2422" s="4" t="s">
        <v>13</v>
      </c>
      <c r="B2422" s="5" t="s">
        <v>64</v>
      </c>
      <c r="C2422" s="5" t="s">
        <v>65</v>
      </c>
      <c r="D2422" s="4" t="s">
        <v>16</v>
      </c>
      <c r="E2422" s="4" t="s">
        <v>3379</v>
      </c>
      <c r="F2422" s="4" t="s">
        <v>406</v>
      </c>
      <c r="G2422" s="4" t="s">
        <v>3380</v>
      </c>
      <c r="H2422" s="12" t="n">
        <v>1</v>
      </c>
      <c r="I2422" s="4" t="s">
        <v>408</v>
      </c>
      <c r="J2422" s="4" t="s">
        <v>409</v>
      </c>
      <c r="K2422" s="13" t="n">
        <v>1800</v>
      </c>
      <c r="L2422" s="6" t="n">
        <f aca="false">H2422*K2422</f>
        <v>1800</v>
      </c>
      <c r="M2422" s="14" t="s">
        <v>410</v>
      </c>
    </row>
    <row r="2423" customFormat="false" ht="15" hidden="false" customHeight="false" outlineLevel="0" collapsed="false">
      <c r="A2423" s="4" t="s">
        <v>13</v>
      </c>
      <c r="B2423" s="5" t="s">
        <v>64</v>
      </c>
      <c r="C2423" s="5" t="s">
        <v>65</v>
      </c>
      <c r="D2423" s="4" t="s">
        <v>16</v>
      </c>
      <c r="E2423" s="4" t="s">
        <v>3381</v>
      </c>
      <c r="F2423" s="4" t="s">
        <v>406</v>
      </c>
      <c r="G2423" s="4" t="s">
        <v>3382</v>
      </c>
      <c r="H2423" s="12" t="n">
        <v>1</v>
      </c>
      <c r="I2423" s="4" t="s">
        <v>408</v>
      </c>
      <c r="J2423" s="4" t="s">
        <v>409</v>
      </c>
      <c r="K2423" s="13" t="n">
        <v>650</v>
      </c>
      <c r="L2423" s="6" t="n">
        <f aca="false">H2423*K2423</f>
        <v>650</v>
      </c>
      <c r="M2423" s="14" t="s">
        <v>410</v>
      </c>
    </row>
    <row r="2424" customFormat="false" ht="15" hidden="false" customHeight="false" outlineLevel="0" collapsed="false">
      <c r="A2424" s="4" t="s">
        <v>13</v>
      </c>
      <c r="B2424" s="5" t="s">
        <v>64</v>
      </c>
      <c r="C2424" s="5" t="s">
        <v>65</v>
      </c>
      <c r="D2424" s="4" t="s">
        <v>16</v>
      </c>
      <c r="E2424" s="4" t="s">
        <v>3383</v>
      </c>
      <c r="F2424" s="4" t="s">
        <v>406</v>
      </c>
      <c r="G2424" s="4" t="s">
        <v>3384</v>
      </c>
      <c r="H2424" s="12" t="n">
        <v>1</v>
      </c>
      <c r="I2424" s="4" t="s">
        <v>408</v>
      </c>
      <c r="J2424" s="4" t="s">
        <v>409</v>
      </c>
      <c r="K2424" s="13" t="n">
        <v>65000</v>
      </c>
      <c r="L2424" s="6" t="n">
        <f aca="false">H2424*K2424</f>
        <v>65000</v>
      </c>
      <c r="M2424" s="14" t="s">
        <v>410</v>
      </c>
    </row>
    <row r="2425" customFormat="false" ht="15" hidden="false" customHeight="false" outlineLevel="0" collapsed="false">
      <c r="A2425" s="4" t="s">
        <v>13</v>
      </c>
      <c r="B2425" s="5" t="s">
        <v>64</v>
      </c>
      <c r="C2425" s="5" t="s">
        <v>65</v>
      </c>
      <c r="D2425" s="4" t="s">
        <v>16</v>
      </c>
      <c r="E2425" s="4" t="s">
        <v>3385</v>
      </c>
      <c r="F2425" s="4" t="s">
        <v>406</v>
      </c>
      <c r="G2425" s="4" t="s">
        <v>3386</v>
      </c>
      <c r="H2425" s="12" t="n">
        <v>1</v>
      </c>
      <c r="I2425" s="4" t="s">
        <v>408</v>
      </c>
      <c r="J2425" s="4" t="s">
        <v>409</v>
      </c>
      <c r="K2425" s="13" t="n">
        <v>6500</v>
      </c>
      <c r="L2425" s="6" t="n">
        <f aca="false">H2425*K2425</f>
        <v>6500</v>
      </c>
      <c r="M2425" s="14" t="s">
        <v>410</v>
      </c>
    </row>
    <row r="2426" customFormat="false" ht="15" hidden="false" customHeight="false" outlineLevel="0" collapsed="false">
      <c r="A2426" s="4" t="s">
        <v>13</v>
      </c>
      <c r="B2426" s="5" t="s">
        <v>64</v>
      </c>
      <c r="C2426" s="5" t="s">
        <v>65</v>
      </c>
      <c r="D2426" s="4" t="s">
        <v>16</v>
      </c>
      <c r="E2426" s="4" t="s">
        <v>3387</v>
      </c>
      <c r="F2426" s="4" t="s">
        <v>406</v>
      </c>
      <c r="G2426" s="4" t="s">
        <v>3388</v>
      </c>
      <c r="H2426" s="12" t="n">
        <v>1</v>
      </c>
      <c r="I2426" s="4" t="s">
        <v>408</v>
      </c>
      <c r="J2426" s="4" t="s">
        <v>409</v>
      </c>
      <c r="K2426" s="13" t="n">
        <v>850</v>
      </c>
      <c r="L2426" s="6" t="n">
        <f aca="false">H2426*K2426</f>
        <v>850</v>
      </c>
      <c r="M2426" s="14" t="s">
        <v>410</v>
      </c>
    </row>
    <row r="2427" customFormat="false" ht="15" hidden="false" customHeight="false" outlineLevel="0" collapsed="false">
      <c r="A2427" s="4" t="s">
        <v>13</v>
      </c>
      <c r="B2427" s="5" t="s">
        <v>64</v>
      </c>
      <c r="C2427" s="5" t="s">
        <v>65</v>
      </c>
      <c r="D2427" s="4" t="s">
        <v>16</v>
      </c>
      <c r="E2427" s="4" t="s">
        <v>3389</v>
      </c>
      <c r="F2427" s="4" t="s">
        <v>406</v>
      </c>
      <c r="G2427" s="4" t="s">
        <v>3390</v>
      </c>
      <c r="H2427" s="12" t="n">
        <v>1</v>
      </c>
      <c r="I2427" s="4" t="s">
        <v>408</v>
      </c>
      <c r="J2427" s="4" t="s">
        <v>409</v>
      </c>
      <c r="K2427" s="13" t="n">
        <v>12000</v>
      </c>
      <c r="L2427" s="6" t="n">
        <f aca="false">H2427*K2427</f>
        <v>12000</v>
      </c>
      <c r="M2427" s="14" t="s">
        <v>410</v>
      </c>
    </row>
    <row r="2428" customFormat="false" ht="15" hidden="false" customHeight="false" outlineLevel="0" collapsed="false">
      <c r="A2428" s="4" t="s">
        <v>13</v>
      </c>
      <c r="B2428" s="5" t="s">
        <v>64</v>
      </c>
      <c r="C2428" s="5" t="s">
        <v>65</v>
      </c>
      <c r="D2428" s="4" t="s">
        <v>16</v>
      </c>
      <c r="E2428" s="4" t="s">
        <v>3391</v>
      </c>
      <c r="F2428" s="4" t="s">
        <v>406</v>
      </c>
      <c r="G2428" s="4" t="s">
        <v>3392</v>
      </c>
      <c r="H2428" s="12" t="n">
        <v>1</v>
      </c>
      <c r="I2428" s="4" t="s">
        <v>408</v>
      </c>
      <c r="J2428" s="4" t="s">
        <v>543</v>
      </c>
      <c r="K2428" s="13" t="n">
        <v>85000</v>
      </c>
      <c r="L2428" s="6" t="n">
        <f aca="false">H2428*K2428</f>
        <v>85000</v>
      </c>
      <c r="M2428" s="14" t="s">
        <v>410</v>
      </c>
    </row>
    <row r="2429" customFormat="false" ht="15" hidden="false" customHeight="false" outlineLevel="0" collapsed="false">
      <c r="A2429" s="4" t="s">
        <v>13</v>
      </c>
      <c r="B2429" s="5" t="s">
        <v>64</v>
      </c>
      <c r="C2429" s="5" t="s">
        <v>65</v>
      </c>
      <c r="D2429" s="4" t="s">
        <v>16</v>
      </c>
      <c r="E2429" s="4" t="s">
        <v>1220</v>
      </c>
      <c r="F2429" s="4" t="s">
        <v>406</v>
      </c>
      <c r="G2429" s="4" t="s">
        <v>1221</v>
      </c>
      <c r="H2429" s="12" t="n">
        <v>1</v>
      </c>
      <c r="I2429" s="4" t="s">
        <v>408</v>
      </c>
      <c r="J2429" s="4" t="s">
        <v>416</v>
      </c>
      <c r="K2429" s="13" t="n">
        <v>2500</v>
      </c>
      <c r="L2429" s="6" t="n">
        <f aca="false">H2429*K2429</f>
        <v>2500</v>
      </c>
      <c r="M2429" s="14" t="s">
        <v>410</v>
      </c>
    </row>
    <row r="2430" customFormat="false" ht="15" hidden="false" customHeight="false" outlineLevel="0" collapsed="false">
      <c r="A2430" s="4" t="s">
        <v>13</v>
      </c>
      <c r="B2430" s="5" t="s">
        <v>64</v>
      </c>
      <c r="C2430" s="5" t="s">
        <v>65</v>
      </c>
      <c r="D2430" s="4" t="s">
        <v>16</v>
      </c>
      <c r="E2430" s="4" t="s">
        <v>3393</v>
      </c>
      <c r="F2430" s="4" t="s">
        <v>406</v>
      </c>
      <c r="G2430" s="4" t="s">
        <v>3394</v>
      </c>
      <c r="H2430" s="12" t="n">
        <v>1</v>
      </c>
      <c r="I2430" s="4" t="s">
        <v>408</v>
      </c>
      <c r="J2430" s="4" t="s">
        <v>409</v>
      </c>
      <c r="K2430" s="13" t="n">
        <v>85000</v>
      </c>
      <c r="L2430" s="6" t="n">
        <f aca="false">H2430*K2430</f>
        <v>85000</v>
      </c>
      <c r="M2430" s="14" t="s">
        <v>410</v>
      </c>
    </row>
    <row r="2431" customFormat="false" ht="15" hidden="false" customHeight="false" outlineLevel="0" collapsed="false">
      <c r="A2431" s="4" t="s">
        <v>13</v>
      </c>
      <c r="B2431" s="5" t="s">
        <v>64</v>
      </c>
      <c r="C2431" s="5" t="s">
        <v>65</v>
      </c>
      <c r="D2431" s="4" t="s">
        <v>16</v>
      </c>
      <c r="E2431" s="4" t="s">
        <v>3395</v>
      </c>
      <c r="F2431" s="4" t="s">
        <v>406</v>
      </c>
      <c r="G2431" s="4" t="s">
        <v>3396</v>
      </c>
      <c r="H2431" s="12" t="n">
        <v>1</v>
      </c>
      <c r="I2431" s="4" t="s">
        <v>408</v>
      </c>
      <c r="J2431" s="4" t="s">
        <v>543</v>
      </c>
      <c r="K2431" s="13" t="n">
        <v>180000</v>
      </c>
      <c r="L2431" s="6" t="n">
        <f aca="false">H2431*K2431</f>
        <v>180000</v>
      </c>
      <c r="M2431" s="14" t="s">
        <v>410</v>
      </c>
    </row>
    <row r="2432" customFormat="false" ht="15" hidden="false" customHeight="false" outlineLevel="0" collapsed="false">
      <c r="A2432" s="4" t="s">
        <v>13</v>
      </c>
      <c r="B2432" s="5" t="s">
        <v>64</v>
      </c>
      <c r="C2432" s="5" t="s">
        <v>65</v>
      </c>
      <c r="D2432" s="4" t="s">
        <v>16</v>
      </c>
      <c r="E2432" s="4" t="s">
        <v>1058</v>
      </c>
      <c r="F2432" s="4" t="s">
        <v>470</v>
      </c>
      <c r="G2432" s="4" t="s">
        <v>1059</v>
      </c>
      <c r="H2432" s="12" t="n">
        <v>1</v>
      </c>
      <c r="I2432" s="4" t="s">
        <v>408</v>
      </c>
      <c r="J2432" s="4" t="s">
        <v>409</v>
      </c>
      <c r="K2432" s="13" t="n">
        <v>45000</v>
      </c>
      <c r="L2432" s="6" t="n">
        <f aca="false">H2432*K2432</f>
        <v>45000</v>
      </c>
      <c r="M2432" s="14" t="s">
        <v>410</v>
      </c>
    </row>
    <row r="2433" customFormat="false" ht="15" hidden="false" customHeight="false" outlineLevel="0" collapsed="false">
      <c r="A2433" s="4" t="s">
        <v>13</v>
      </c>
      <c r="B2433" s="5" t="s">
        <v>64</v>
      </c>
      <c r="C2433" s="5" t="s">
        <v>65</v>
      </c>
      <c r="D2433" s="4" t="s">
        <v>16</v>
      </c>
      <c r="E2433" s="4" t="s">
        <v>1915</v>
      </c>
      <c r="F2433" s="4" t="s">
        <v>470</v>
      </c>
      <c r="G2433" s="4" t="s">
        <v>1916</v>
      </c>
      <c r="H2433" s="12" t="n">
        <v>1</v>
      </c>
      <c r="I2433" s="4" t="s">
        <v>408</v>
      </c>
      <c r="J2433" s="4" t="s">
        <v>409</v>
      </c>
      <c r="K2433" s="13" t="n">
        <v>850</v>
      </c>
      <c r="L2433" s="6" t="n">
        <f aca="false">H2433*K2433</f>
        <v>850</v>
      </c>
      <c r="M2433" s="4" t="s">
        <v>371</v>
      </c>
    </row>
    <row r="2434" customFormat="false" ht="15" hidden="false" customHeight="false" outlineLevel="0" collapsed="false">
      <c r="A2434" s="4" t="s">
        <v>13</v>
      </c>
      <c r="B2434" s="5" t="s">
        <v>64</v>
      </c>
      <c r="C2434" s="5" t="s">
        <v>65</v>
      </c>
      <c r="D2434" s="4" t="s">
        <v>16</v>
      </c>
      <c r="E2434" s="4" t="s">
        <v>1917</v>
      </c>
      <c r="F2434" s="4" t="s">
        <v>470</v>
      </c>
      <c r="G2434" s="4" t="s">
        <v>1918</v>
      </c>
      <c r="H2434" s="12" t="n">
        <v>1</v>
      </c>
      <c r="I2434" s="4" t="s">
        <v>408</v>
      </c>
      <c r="J2434" s="4" t="s">
        <v>409</v>
      </c>
      <c r="K2434" s="13" t="n">
        <v>3500</v>
      </c>
      <c r="L2434" s="6" t="n">
        <f aca="false">H2434*K2434</f>
        <v>3500</v>
      </c>
      <c r="M2434" s="4" t="s">
        <v>371</v>
      </c>
    </row>
    <row r="2435" customFormat="false" ht="15" hidden="false" customHeight="false" outlineLevel="0" collapsed="false">
      <c r="A2435" s="4" t="s">
        <v>13</v>
      </c>
      <c r="B2435" s="5" t="s">
        <v>64</v>
      </c>
      <c r="C2435" s="5" t="s">
        <v>65</v>
      </c>
      <c r="D2435" s="4" t="s">
        <v>16</v>
      </c>
      <c r="E2435" s="4" t="s">
        <v>1919</v>
      </c>
      <c r="F2435" s="4" t="s">
        <v>470</v>
      </c>
      <c r="G2435" s="4" t="s">
        <v>1920</v>
      </c>
      <c r="H2435" s="12" t="n">
        <v>1</v>
      </c>
      <c r="I2435" s="4" t="s">
        <v>408</v>
      </c>
      <c r="J2435" s="4" t="s">
        <v>409</v>
      </c>
      <c r="K2435" s="13" t="n">
        <v>80</v>
      </c>
      <c r="L2435" s="6" t="n">
        <f aca="false">H2435*K2435</f>
        <v>80</v>
      </c>
      <c r="M2435" s="4" t="s">
        <v>371</v>
      </c>
    </row>
    <row r="2436" customFormat="false" ht="15" hidden="false" customHeight="false" outlineLevel="0" collapsed="false">
      <c r="A2436" s="4" t="s">
        <v>13</v>
      </c>
      <c r="B2436" s="5" t="s">
        <v>64</v>
      </c>
      <c r="C2436" s="5" t="s">
        <v>65</v>
      </c>
      <c r="D2436" s="4" t="s">
        <v>16</v>
      </c>
      <c r="E2436" s="4" t="s">
        <v>1921</v>
      </c>
      <c r="F2436" s="4" t="s">
        <v>470</v>
      </c>
      <c r="G2436" s="4" t="s">
        <v>1922</v>
      </c>
      <c r="H2436" s="12" t="n">
        <v>1</v>
      </c>
      <c r="I2436" s="4" t="s">
        <v>408</v>
      </c>
      <c r="J2436" s="4" t="s">
        <v>475</v>
      </c>
      <c r="K2436" s="13" t="n">
        <v>350</v>
      </c>
      <c r="L2436" s="6" t="n">
        <f aca="false">H2436*K2436</f>
        <v>350</v>
      </c>
      <c r="M2436" s="4" t="s">
        <v>371</v>
      </c>
    </row>
    <row r="2437" customFormat="false" ht="15" hidden="false" customHeight="false" outlineLevel="0" collapsed="false">
      <c r="A2437" s="4" t="s">
        <v>13</v>
      </c>
      <c r="B2437" s="5" t="s">
        <v>64</v>
      </c>
      <c r="C2437" s="5" t="s">
        <v>65</v>
      </c>
      <c r="D2437" s="4" t="s">
        <v>16</v>
      </c>
      <c r="E2437" s="4" t="s">
        <v>1923</v>
      </c>
      <c r="F2437" s="4" t="s">
        <v>470</v>
      </c>
      <c r="G2437" s="4" t="s">
        <v>1924</v>
      </c>
      <c r="H2437" s="12" t="n">
        <v>1</v>
      </c>
      <c r="I2437" s="4" t="s">
        <v>408</v>
      </c>
      <c r="J2437" s="4" t="s">
        <v>475</v>
      </c>
      <c r="K2437" s="13" t="n">
        <v>180</v>
      </c>
      <c r="L2437" s="6" t="n">
        <f aca="false">H2437*K2437</f>
        <v>180</v>
      </c>
      <c r="M2437" s="4" t="s">
        <v>371</v>
      </c>
    </row>
    <row r="2438" customFormat="false" ht="15" hidden="false" customHeight="false" outlineLevel="0" collapsed="false">
      <c r="A2438" s="4" t="s">
        <v>13</v>
      </c>
      <c r="B2438" s="5" t="s">
        <v>64</v>
      </c>
      <c r="C2438" s="5" t="s">
        <v>65</v>
      </c>
      <c r="D2438" s="4" t="s">
        <v>16</v>
      </c>
      <c r="E2438" s="4" t="s">
        <v>1925</v>
      </c>
      <c r="F2438" s="4" t="s">
        <v>470</v>
      </c>
      <c r="G2438" s="4" t="s">
        <v>1926</v>
      </c>
      <c r="H2438" s="12" t="n">
        <v>1</v>
      </c>
      <c r="I2438" s="4" t="s">
        <v>408</v>
      </c>
      <c r="J2438" s="4" t="s">
        <v>475</v>
      </c>
      <c r="K2438" s="13" t="n">
        <v>180</v>
      </c>
      <c r="L2438" s="6" t="n">
        <f aca="false">H2438*K2438</f>
        <v>180</v>
      </c>
      <c r="M2438" s="4" t="s">
        <v>371</v>
      </c>
    </row>
    <row r="2439" customFormat="false" ht="15" hidden="false" customHeight="false" outlineLevel="0" collapsed="false">
      <c r="A2439" s="4" t="s">
        <v>13</v>
      </c>
      <c r="B2439" s="5" t="s">
        <v>64</v>
      </c>
      <c r="C2439" s="5" t="s">
        <v>65</v>
      </c>
      <c r="D2439" s="4" t="s">
        <v>16</v>
      </c>
      <c r="E2439" s="4" t="s">
        <v>1927</v>
      </c>
      <c r="F2439" s="4" t="s">
        <v>470</v>
      </c>
      <c r="G2439" s="4" t="s">
        <v>1452</v>
      </c>
      <c r="H2439" s="12" t="n">
        <v>1</v>
      </c>
      <c r="I2439" s="4" t="s">
        <v>408</v>
      </c>
      <c r="J2439" s="4" t="s">
        <v>413</v>
      </c>
      <c r="K2439" s="13" t="n">
        <v>450</v>
      </c>
      <c r="L2439" s="6" t="n">
        <f aca="false">H2439*K2439</f>
        <v>450</v>
      </c>
      <c r="M2439" s="4" t="s">
        <v>371</v>
      </c>
    </row>
    <row r="2440" customFormat="false" ht="15" hidden="false" customHeight="false" outlineLevel="0" collapsed="false">
      <c r="A2440" s="4" t="s">
        <v>13</v>
      </c>
      <c r="B2440" s="5" t="s">
        <v>64</v>
      </c>
      <c r="C2440" s="5" t="s">
        <v>65</v>
      </c>
      <c r="D2440" s="4" t="s">
        <v>16</v>
      </c>
      <c r="E2440" s="4" t="s">
        <v>1928</v>
      </c>
      <c r="F2440" s="4" t="s">
        <v>470</v>
      </c>
      <c r="G2440" s="4" t="s">
        <v>1929</v>
      </c>
      <c r="H2440" s="12" t="n">
        <v>1</v>
      </c>
      <c r="I2440" s="4" t="s">
        <v>408</v>
      </c>
      <c r="J2440" s="4" t="s">
        <v>409</v>
      </c>
      <c r="K2440" s="13" t="n">
        <v>450</v>
      </c>
      <c r="L2440" s="6" t="n">
        <f aca="false">H2440*K2440</f>
        <v>450</v>
      </c>
      <c r="M2440" s="4" t="s">
        <v>371</v>
      </c>
    </row>
    <row r="2441" customFormat="false" ht="15" hidden="false" customHeight="false" outlineLevel="0" collapsed="false">
      <c r="A2441" s="4" t="s">
        <v>13</v>
      </c>
      <c r="B2441" s="5" t="s">
        <v>64</v>
      </c>
      <c r="C2441" s="5" t="s">
        <v>65</v>
      </c>
      <c r="D2441" s="4" t="s">
        <v>16</v>
      </c>
      <c r="E2441" s="4" t="s">
        <v>1136</v>
      </c>
      <c r="F2441" s="4" t="s">
        <v>470</v>
      </c>
      <c r="G2441" s="4" t="s">
        <v>1137</v>
      </c>
      <c r="H2441" s="12" t="n">
        <v>1</v>
      </c>
      <c r="I2441" s="4" t="s">
        <v>408</v>
      </c>
      <c r="J2441" s="4" t="s">
        <v>416</v>
      </c>
      <c r="K2441" s="13" t="n">
        <v>850</v>
      </c>
      <c r="L2441" s="6" t="n">
        <f aca="false">H2441*K2441</f>
        <v>850</v>
      </c>
      <c r="M2441" s="4" t="s">
        <v>371</v>
      </c>
    </row>
    <row r="2442" customFormat="false" ht="15" hidden="false" customHeight="false" outlineLevel="0" collapsed="false">
      <c r="A2442" s="4" t="s">
        <v>13</v>
      </c>
      <c r="B2442" s="5" t="s">
        <v>64</v>
      </c>
      <c r="C2442" s="5" t="s">
        <v>65</v>
      </c>
      <c r="D2442" s="4" t="s">
        <v>16</v>
      </c>
      <c r="E2442" s="4" t="s">
        <v>1064</v>
      </c>
      <c r="F2442" s="4" t="s">
        <v>470</v>
      </c>
      <c r="G2442" s="4" t="s">
        <v>1065</v>
      </c>
      <c r="H2442" s="12" t="n">
        <v>1</v>
      </c>
      <c r="I2442" s="4" t="s">
        <v>408</v>
      </c>
      <c r="J2442" s="4" t="s">
        <v>543</v>
      </c>
      <c r="K2442" s="13" t="n">
        <v>25000</v>
      </c>
      <c r="L2442" s="6" t="n">
        <f aca="false">H2442*K2442</f>
        <v>25000</v>
      </c>
      <c r="M2442" s="4" t="s">
        <v>371</v>
      </c>
    </row>
    <row r="2443" customFormat="false" ht="15" hidden="false" customHeight="false" outlineLevel="0" collapsed="false">
      <c r="A2443" s="4" t="s">
        <v>13</v>
      </c>
      <c r="B2443" s="5" t="s">
        <v>64</v>
      </c>
      <c r="C2443" s="5" t="s">
        <v>65</v>
      </c>
      <c r="D2443" s="4" t="s">
        <v>16</v>
      </c>
      <c r="E2443" s="4" t="s">
        <v>1138</v>
      </c>
      <c r="F2443" s="4" t="s">
        <v>470</v>
      </c>
      <c r="G2443" s="4" t="s">
        <v>1139</v>
      </c>
      <c r="H2443" s="12" t="n">
        <v>1</v>
      </c>
      <c r="I2443" s="4" t="s">
        <v>408</v>
      </c>
      <c r="J2443" s="4" t="s">
        <v>416</v>
      </c>
      <c r="K2443" s="13" t="n">
        <v>2500</v>
      </c>
      <c r="L2443" s="6" t="n">
        <f aca="false">H2443*K2443</f>
        <v>2500</v>
      </c>
      <c r="M2443" s="4" t="s">
        <v>371</v>
      </c>
    </row>
    <row r="2444" customFormat="false" ht="15" hidden="false" customHeight="false" outlineLevel="0" collapsed="false">
      <c r="A2444" s="4" t="s">
        <v>13</v>
      </c>
      <c r="B2444" s="5" t="s">
        <v>64</v>
      </c>
      <c r="C2444" s="5" t="s">
        <v>65</v>
      </c>
      <c r="D2444" s="4" t="s">
        <v>16</v>
      </c>
      <c r="E2444" s="4" t="s">
        <v>1140</v>
      </c>
      <c r="F2444" s="4" t="s">
        <v>470</v>
      </c>
      <c r="G2444" s="4" t="s">
        <v>1141</v>
      </c>
      <c r="H2444" s="12" t="n">
        <v>1</v>
      </c>
      <c r="I2444" s="4" t="s">
        <v>408</v>
      </c>
      <c r="J2444" s="4" t="s">
        <v>409</v>
      </c>
      <c r="K2444" s="13" t="n">
        <v>350</v>
      </c>
      <c r="L2444" s="6" t="n">
        <f aca="false">H2444*K2444</f>
        <v>350</v>
      </c>
      <c r="M2444" s="4" t="s">
        <v>371</v>
      </c>
    </row>
    <row r="2445" customFormat="false" ht="15" hidden="false" customHeight="false" outlineLevel="0" collapsed="false">
      <c r="A2445" s="4" t="s">
        <v>13</v>
      </c>
      <c r="B2445" s="5" t="s">
        <v>64</v>
      </c>
      <c r="C2445" s="5" t="s">
        <v>65</v>
      </c>
      <c r="D2445" s="4" t="s">
        <v>16</v>
      </c>
      <c r="E2445" s="4" t="s">
        <v>3397</v>
      </c>
      <c r="F2445" s="4" t="s">
        <v>470</v>
      </c>
      <c r="G2445" s="4" t="s">
        <v>1143</v>
      </c>
      <c r="H2445" s="12" t="n">
        <v>1</v>
      </c>
      <c r="I2445" s="4" t="s">
        <v>408</v>
      </c>
      <c r="J2445" s="4" t="s">
        <v>416</v>
      </c>
      <c r="K2445" s="13" t="n">
        <v>850</v>
      </c>
      <c r="L2445" s="6" t="n">
        <f aca="false">H2445*K2445</f>
        <v>850</v>
      </c>
      <c r="M2445" s="4" t="s">
        <v>371</v>
      </c>
    </row>
    <row r="2446" customFormat="false" ht="15" hidden="false" customHeight="false" outlineLevel="0" collapsed="false">
      <c r="A2446" s="4" t="s">
        <v>13</v>
      </c>
      <c r="B2446" s="5" t="s">
        <v>64</v>
      </c>
      <c r="C2446" s="5" t="s">
        <v>65</v>
      </c>
      <c r="D2446" s="4" t="s">
        <v>16</v>
      </c>
      <c r="E2446" s="4" t="s">
        <v>1144</v>
      </c>
      <c r="F2446" s="4" t="s">
        <v>470</v>
      </c>
      <c r="G2446" s="4" t="s">
        <v>1145</v>
      </c>
      <c r="H2446" s="12" t="n">
        <v>1</v>
      </c>
      <c r="I2446" s="4" t="s">
        <v>408</v>
      </c>
      <c r="J2446" s="4" t="s">
        <v>416</v>
      </c>
      <c r="K2446" s="13" t="n">
        <v>3500</v>
      </c>
      <c r="L2446" s="6" t="n">
        <f aca="false">H2446*K2446</f>
        <v>3500</v>
      </c>
      <c r="M2446" s="4" t="s">
        <v>371</v>
      </c>
    </row>
    <row r="2447" customFormat="false" ht="15" hidden="false" customHeight="false" outlineLevel="0" collapsed="false">
      <c r="A2447" s="4" t="s">
        <v>13</v>
      </c>
      <c r="B2447" s="5" t="s">
        <v>64</v>
      </c>
      <c r="C2447" s="5" t="s">
        <v>65</v>
      </c>
      <c r="D2447" s="4" t="s">
        <v>16</v>
      </c>
      <c r="E2447" s="4" t="s">
        <v>1146</v>
      </c>
      <c r="F2447" s="4" t="s">
        <v>470</v>
      </c>
      <c r="G2447" s="4" t="s">
        <v>1147</v>
      </c>
      <c r="H2447" s="12" t="n">
        <v>1</v>
      </c>
      <c r="I2447" s="4" t="s">
        <v>408</v>
      </c>
      <c r="J2447" s="4" t="s">
        <v>416</v>
      </c>
      <c r="K2447" s="13" t="n">
        <v>2500</v>
      </c>
      <c r="L2447" s="6" t="n">
        <f aca="false">H2447*K2447</f>
        <v>2500</v>
      </c>
      <c r="M2447" s="4" t="s">
        <v>371</v>
      </c>
    </row>
    <row r="2448" customFormat="false" ht="15" hidden="false" customHeight="false" outlineLevel="0" collapsed="false">
      <c r="A2448" s="4" t="s">
        <v>13</v>
      </c>
      <c r="B2448" s="5" t="s">
        <v>64</v>
      </c>
      <c r="C2448" s="5" t="s">
        <v>65</v>
      </c>
      <c r="D2448" s="4" t="s">
        <v>16</v>
      </c>
      <c r="E2448" s="4" t="s">
        <v>1148</v>
      </c>
      <c r="F2448" s="4" t="s">
        <v>470</v>
      </c>
      <c r="G2448" s="4" t="s">
        <v>1149</v>
      </c>
      <c r="H2448" s="12" t="n">
        <v>1</v>
      </c>
      <c r="I2448" s="4" t="s">
        <v>408</v>
      </c>
      <c r="J2448" s="4" t="s">
        <v>409</v>
      </c>
      <c r="K2448" s="13" t="n">
        <v>450</v>
      </c>
      <c r="L2448" s="6" t="n">
        <f aca="false">H2448*K2448</f>
        <v>450</v>
      </c>
      <c r="M2448" s="4" t="s">
        <v>371</v>
      </c>
    </row>
    <row r="2449" customFormat="false" ht="15" hidden="false" customHeight="false" outlineLevel="0" collapsed="false">
      <c r="A2449" s="4" t="s">
        <v>13</v>
      </c>
      <c r="B2449" s="5" t="s">
        <v>64</v>
      </c>
      <c r="C2449" s="5" t="s">
        <v>65</v>
      </c>
      <c r="D2449" s="4" t="s">
        <v>16</v>
      </c>
      <c r="E2449" s="4" t="s">
        <v>1150</v>
      </c>
      <c r="F2449" s="4" t="s">
        <v>470</v>
      </c>
      <c r="G2449" s="4" t="s">
        <v>1151</v>
      </c>
      <c r="H2449" s="12" t="n">
        <v>1</v>
      </c>
      <c r="I2449" s="4" t="s">
        <v>408</v>
      </c>
      <c r="J2449" s="4" t="s">
        <v>416</v>
      </c>
      <c r="K2449" s="13" t="n">
        <v>1200</v>
      </c>
      <c r="L2449" s="6" t="n">
        <f aca="false">H2449*K2449</f>
        <v>1200</v>
      </c>
      <c r="M2449" s="4" t="s">
        <v>371</v>
      </c>
    </row>
    <row r="2450" customFormat="false" ht="15" hidden="false" customHeight="false" outlineLevel="0" collapsed="false">
      <c r="A2450" s="4" t="s">
        <v>13</v>
      </c>
      <c r="B2450" s="5" t="s">
        <v>64</v>
      </c>
      <c r="C2450" s="5" t="s">
        <v>65</v>
      </c>
      <c r="D2450" s="4" t="s">
        <v>16</v>
      </c>
      <c r="E2450" s="4" t="s">
        <v>1066</v>
      </c>
      <c r="F2450" s="4" t="s">
        <v>470</v>
      </c>
      <c r="G2450" s="4" t="s">
        <v>1067</v>
      </c>
      <c r="H2450" s="12" t="n">
        <v>1</v>
      </c>
      <c r="I2450" s="4" t="s">
        <v>408</v>
      </c>
      <c r="J2450" s="4" t="s">
        <v>543</v>
      </c>
      <c r="K2450" s="13" t="n">
        <v>25000</v>
      </c>
      <c r="L2450" s="6" t="n">
        <f aca="false">H2450*K2450</f>
        <v>25000</v>
      </c>
      <c r="M2450" s="4" t="s">
        <v>371</v>
      </c>
    </row>
    <row r="2451" customFormat="false" ht="15" hidden="false" customHeight="false" outlineLevel="0" collapsed="false">
      <c r="A2451" s="4" t="s">
        <v>13</v>
      </c>
      <c r="B2451" s="5" t="s">
        <v>64</v>
      </c>
      <c r="C2451" s="5" t="s">
        <v>65</v>
      </c>
      <c r="D2451" s="4" t="s">
        <v>16</v>
      </c>
      <c r="E2451" s="4" t="s">
        <v>1936</v>
      </c>
      <c r="F2451" s="4" t="s">
        <v>488</v>
      </c>
      <c r="G2451" s="4" t="s">
        <v>1937</v>
      </c>
      <c r="H2451" s="12" t="n">
        <v>1</v>
      </c>
      <c r="I2451" s="4" t="s">
        <v>408</v>
      </c>
      <c r="J2451" s="4" t="s">
        <v>409</v>
      </c>
      <c r="K2451" s="13" t="n">
        <v>850</v>
      </c>
      <c r="L2451" s="6" t="n">
        <f aca="false">H2451*K2451</f>
        <v>850</v>
      </c>
      <c r="M2451" s="4" t="s">
        <v>371</v>
      </c>
    </row>
    <row r="2452" customFormat="false" ht="15" hidden="false" customHeight="false" outlineLevel="0" collapsed="false">
      <c r="A2452" s="4" t="s">
        <v>13</v>
      </c>
      <c r="B2452" s="5" t="s">
        <v>64</v>
      </c>
      <c r="C2452" s="5" t="s">
        <v>65</v>
      </c>
      <c r="D2452" s="4" t="s">
        <v>16</v>
      </c>
      <c r="E2452" s="4" t="s">
        <v>1938</v>
      </c>
      <c r="F2452" s="4" t="s">
        <v>488</v>
      </c>
      <c r="G2452" s="4" t="s">
        <v>1939</v>
      </c>
      <c r="H2452" s="12" t="n">
        <v>1</v>
      </c>
      <c r="I2452" s="4" t="s">
        <v>408</v>
      </c>
      <c r="J2452" s="4" t="s">
        <v>432</v>
      </c>
      <c r="K2452" s="13" t="n">
        <v>250</v>
      </c>
      <c r="L2452" s="6" t="n">
        <f aca="false">H2452*K2452</f>
        <v>250</v>
      </c>
      <c r="M2452" s="4" t="s">
        <v>371</v>
      </c>
    </row>
    <row r="2453" customFormat="false" ht="15" hidden="false" customHeight="false" outlineLevel="0" collapsed="false">
      <c r="A2453" s="4" t="s">
        <v>13</v>
      </c>
      <c r="B2453" s="5" t="s">
        <v>64</v>
      </c>
      <c r="C2453" s="5" t="s">
        <v>65</v>
      </c>
      <c r="D2453" s="4" t="s">
        <v>16</v>
      </c>
      <c r="E2453" s="4" t="s">
        <v>1940</v>
      </c>
      <c r="F2453" s="4" t="s">
        <v>488</v>
      </c>
      <c r="G2453" s="4" t="s">
        <v>1941</v>
      </c>
      <c r="H2453" s="12" t="n">
        <v>1</v>
      </c>
      <c r="I2453" s="4" t="s">
        <v>408</v>
      </c>
      <c r="J2453" s="4" t="s">
        <v>506</v>
      </c>
      <c r="K2453" s="13" t="n">
        <v>100</v>
      </c>
      <c r="L2453" s="6" t="n">
        <f aca="false">H2453*K2453</f>
        <v>100</v>
      </c>
      <c r="M2453" s="4" t="s">
        <v>371</v>
      </c>
    </row>
    <row r="2454" customFormat="false" ht="15" hidden="false" customHeight="false" outlineLevel="0" collapsed="false">
      <c r="A2454" s="4" t="s">
        <v>13</v>
      </c>
      <c r="B2454" s="5" t="s">
        <v>64</v>
      </c>
      <c r="C2454" s="5" t="s">
        <v>65</v>
      </c>
      <c r="D2454" s="4" t="s">
        <v>16</v>
      </c>
      <c r="E2454" s="4" t="s">
        <v>1942</v>
      </c>
      <c r="F2454" s="4" t="s">
        <v>488</v>
      </c>
      <c r="G2454" s="4" t="s">
        <v>1943</v>
      </c>
      <c r="H2454" s="12" t="n">
        <v>1</v>
      </c>
      <c r="I2454" s="4" t="s">
        <v>408</v>
      </c>
      <c r="J2454" s="4" t="s">
        <v>416</v>
      </c>
      <c r="K2454" s="13" t="n">
        <v>250</v>
      </c>
      <c r="L2454" s="6" t="n">
        <f aca="false">H2454*K2454</f>
        <v>250</v>
      </c>
      <c r="M2454" s="4" t="s">
        <v>371</v>
      </c>
    </row>
    <row r="2455" customFormat="false" ht="15" hidden="false" customHeight="false" outlineLevel="0" collapsed="false">
      <c r="A2455" s="4" t="s">
        <v>13</v>
      </c>
      <c r="B2455" s="5" t="s">
        <v>64</v>
      </c>
      <c r="C2455" s="5" t="s">
        <v>65</v>
      </c>
      <c r="D2455" s="4" t="s">
        <v>16</v>
      </c>
      <c r="E2455" s="4" t="s">
        <v>1944</v>
      </c>
      <c r="F2455" s="4" t="s">
        <v>488</v>
      </c>
      <c r="G2455" s="4" t="s">
        <v>1656</v>
      </c>
      <c r="H2455" s="12" t="n">
        <v>1</v>
      </c>
      <c r="I2455" s="4" t="s">
        <v>408</v>
      </c>
      <c r="J2455" s="4" t="s">
        <v>807</v>
      </c>
      <c r="K2455" s="13" t="n">
        <v>250</v>
      </c>
      <c r="L2455" s="6" t="n">
        <f aca="false">H2455*K2455</f>
        <v>250</v>
      </c>
      <c r="M2455" s="4" t="s">
        <v>371</v>
      </c>
    </row>
    <row r="2456" customFormat="false" ht="15" hidden="false" customHeight="false" outlineLevel="0" collapsed="false">
      <c r="A2456" s="4" t="s">
        <v>13</v>
      </c>
      <c r="B2456" s="5" t="s">
        <v>64</v>
      </c>
      <c r="C2456" s="5" t="s">
        <v>65</v>
      </c>
      <c r="D2456" s="4" t="s">
        <v>16</v>
      </c>
      <c r="E2456" s="4" t="s">
        <v>1945</v>
      </c>
      <c r="F2456" s="4" t="s">
        <v>488</v>
      </c>
      <c r="G2456" s="4" t="s">
        <v>1946</v>
      </c>
      <c r="H2456" s="12" t="n">
        <v>1</v>
      </c>
      <c r="I2456" s="4" t="s">
        <v>408</v>
      </c>
      <c r="J2456" s="4" t="s">
        <v>475</v>
      </c>
      <c r="K2456" s="13" t="n">
        <v>180</v>
      </c>
      <c r="L2456" s="6" t="n">
        <f aca="false">H2456*K2456</f>
        <v>180</v>
      </c>
      <c r="M2456" s="4" t="s">
        <v>371</v>
      </c>
    </row>
    <row r="2457" customFormat="false" ht="15" hidden="false" customHeight="false" outlineLevel="0" collapsed="false">
      <c r="A2457" s="4" t="s">
        <v>13</v>
      </c>
      <c r="B2457" s="5" t="s">
        <v>64</v>
      </c>
      <c r="C2457" s="5" t="s">
        <v>65</v>
      </c>
      <c r="D2457" s="4" t="s">
        <v>16</v>
      </c>
      <c r="E2457" s="4" t="s">
        <v>1947</v>
      </c>
      <c r="F2457" s="4" t="s">
        <v>488</v>
      </c>
      <c r="G2457" s="4" t="s">
        <v>1948</v>
      </c>
      <c r="H2457" s="12" t="n">
        <v>1</v>
      </c>
      <c r="I2457" s="4" t="s">
        <v>408</v>
      </c>
      <c r="J2457" s="4" t="s">
        <v>416</v>
      </c>
      <c r="K2457" s="13" t="n">
        <v>2500</v>
      </c>
      <c r="L2457" s="6" t="n">
        <f aca="false">H2457*K2457</f>
        <v>2500</v>
      </c>
      <c r="M2457" s="4" t="s">
        <v>371</v>
      </c>
    </row>
    <row r="2458" customFormat="false" ht="15" hidden="false" customHeight="false" outlineLevel="0" collapsed="false">
      <c r="A2458" s="4" t="s">
        <v>13</v>
      </c>
      <c r="B2458" s="5" t="s">
        <v>64</v>
      </c>
      <c r="C2458" s="5" t="s">
        <v>65</v>
      </c>
      <c r="D2458" s="4" t="s">
        <v>16</v>
      </c>
      <c r="E2458" s="4" t="s">
        <v>1949</v>
      </c>
      <c r="F2458" s="4" t="s">
        <v>488</v>
      </c>
      <c r="G2458" s="4" t="s">
        <v>1658</v>
      </c>
      <c r="H2458" s="12" t="n">
        <v>1</v>
      </c>
      <c r="I2458" s="4" t="s">
        <v>408</v>
      </c>
      <c r="J2458" s="4" t="s">
        <v>503</v>
      </c>
      <c r="K2458" s="13" t="n">
        <v>120</v>
      </c>
      <c r="L2458" s="6" t="n">
        <f aca="false">H2458*K2458</f>
        <v>120</v>
      </c>
      <c r="M2458" s="4" t="s">
        <v>371</v>
      </c>
    </row>
    <row r="2459" customFormat="false" ht="15" hidden="false" customHeight="false" outlineLevel="0" collapsed="false">
      <c r="A2459" s="4" t="s">
        <v>13</v>
      </c>
      <c r="B2459" s="5" t="s">
        <v>64</v>
      </c>
      <c r="C2459" s="5" t="s">
        <v>65</v>
      </c>
      <c r="D2459" s="4" t="s">
        <v>16</v>
      </c>
      <c r="E2459" s="4" t="s">
        <v>1243</v>
      </c>
      <c r="F2459" s="4" t="s">
        <v>488</v>
      </c>
      <c r="G2459" s="4" t="s">
        <v>1244</v>
      </c>
      <c r="H2459" s="12" t="n">
        <v>1</v>
      </c>
      <c r="I2459" s="4" t="s">
        <v>408</v>
      </c>
      <c r="J2459" s="4" t="s">
        <v>503</v>
      </c>
      <c r="K2459" s="13" t="n">
        <v>180</v>
      </c>
      <c r="L2459" s="6" t="n">
        <f aca="false">H2459*K2459</f>
        <v>180</v>
      </c>
      <c r="M2459" s="4" t="s">
        <v>371</v>
      </c>
    </row>
    <row r="2460" customFormat="false" ht="15" hidden="false" customHeight="false" outlineLevel="0" collapsed="false">
      <c r="A2460" s="4" t="s">
        <v>13</v>
      </c>
      <c r="B2460" s="5" t="s">
        <v>64</v>
      </c>
      <c r="C2460" s="5" t="s">
        <v>65</v>
      </c>
      <c r="D2460" s="4" t="s">
        <v>16</v>
      </c>
      <c r="E2460" s="4" t="s">
        <v>1950</v>
      </c>
      <c r="F2460" s="4" t="s">
        <v>470</v>
      </c>
      <c r="G2460" s="4" t="s">
        <v>1951</v>
      </c>
      <c r="H2460" s="12" t="n">
        <v>1</v>
      </c>
      <c r="I2460" s="4" t="s">
        <v>408</v>
      </c>
      <c r="J2460" s="4" t="s">
        <v>409</v>
      </c>
      <c r="K2460" s="13" t="n">
        <v>850</v>
      </c>
      <c r="L2460" s="6" t="n">
        <f aca="false">H2460*K2460</f>
        <v>850</v>
      </c>
      <c r="M2460" s="4" t="s">
        <v>371</v>
      </c>
    </row>
    <row r="2461" customFormat="false" ht="15" hidden="false" customHeight="false" outlineLevel="0" collapsed="false">
      <c r="A2461" s="4" t="s">
        <v>69</v>
      </c>
      <c r="B2461" s="5" t="s">
        <v>70</v>
      </c>
      <c r="C2461" s="5" t="s">
        <v>71</v>
      </c>
      <c r="D2461" s="4" t="s">
        <v>16</v>
      </c>
      <c r="E2461" s="4" t="s">
        <v>3398</v>
      </c>
      <c r="F2461" s="4" t="s">
        <v>406</v>
      </c>
      <c r="G2461" s="4" t="s">
        <v>3399</v>
      </c>
      <c r="H2461" s="12" t="n">
        <v>1</v>
      </c>
      <c r="I2461" s="4" t="s">
        <v>408</v>
      </c>
      <c r="J2461" s="4" t="s">
        <v>409</v>
      </c>
      <c r="K2461" s="13" t="n">
        <v>3500</v>
      </c>
      <c r="L2461" s="6" t="n">
        <f aca="false">H2461*K2461</f>
        <v>3500</v>
      </c>
      <c r="M2461" s="14" t="s">
        <v>410</v>
      </c>
    </row>
    <row r="2462" customFormat="false" ht="15" hidden="false" customHeight="false" outlineLevel="0" collapsed="false">
      <c r="A2462" s="4" t="s">
        <v>69</v>
      </c>
      <c r="B2462" s="5" t="s">
        <v>70</v>
      </c>
      <c r="C2462" s="5" t="s">
        <v>71</v>
      </c>
      <c r="D2462" s="4" t="s">
        <v>16</v>
      </c>
      <c r="E2462" s="4" t="s">
        <v>3400</v>
      </c>
      <c r="F2462" s="4" t="s">
        <v>406</v>
      </c>
      <c r="G2462" s="4" t="s">
        <v>3401</v>
      </c>
      <c r="H2462" s="12" t="n">
        <v>1</v>
      </c>
      <c r="I2462" s="4" t="s">
        <v>408</v>
      </c>
      <c r="J2462" s="4" t="s">
        <v>416</v>
      </c>
      <c r="K2462" s="13" t="n">
        <v>1800</v>
      </c>
      <c r="L2462" s="6" t="n">
        <f aca="false">H2462*K2462</f>
        <v>1800</v>
      </c>
      <c r="M2462" s="4" t="s">
        <v>371</v>
      </c>
    </row>
    <row r="2463" customFormat="false" ht="15" hidden="false" customHeight="false" outlineLevel="0" collapsed="false">
      <c r="A2463" s="4" t="s">
        <v>69</v>
      </c>
      <c r="B2463" s="5" t="s">
        <v>70</v>
      </c>
      <c r="C2463" s="5" t="s">
        <v>71</v>
      </c>
      <c r="D2463" s="4" t="s">
        <v>16</v>
      </c>
      <c r="E2463" s="4" t="s">
        <v>3402</v>
      </c>
      <c r="F2463" s="4" t="s">
        <v>406</v>
      </c>
      <c r="G2463" s="4" t="s">
        <v>3403</v>
      </c>
      <c r="H2463" s="12" t="n">
        <v>1</v>
      </c>
      <c r="I2463" s="4" t="s">
        <v>408</v>
      </c>
      <c r="J2463" s="4" t="s">
        <v>416</v>
      </c>
      <c r="K2463" s="13" t="n">
        <v>850</v>
      </c>
      <c r="L2463" s="6" t="n">
        <f aca="false">H2463*K2463</f>
        <v>850</v>
      </c>
      <c r="M2463" s="4" t="s">
        <v>371</v>
      </c>
    </row>
    <row r="2464" customFormat="false" ht="15" hidden="false" customHeight="false" outlineLevel="0" collapsed="false">
      <c r="A2464" s="4" t="s">
        <v>69</v>
      </c>
      <c r="B2464" s="5" t="s">
        <v>70</v>
      </c>
      <c r="C2464" s="5" t="s">
        <v>71</v>
      </c>
      <c r="D2464" s="4" t="s">
        <v>16</v>
      </c>
      <c r="E2464" s="4" t="s">
        <v>3404</v>
      </c>
      <c r="F2464" s="4" t="s">
        <v>406</v>
      </c>
      <c r="G2464" s="4" t="s">
        <v>3405</v>
      </c>
      <c r="H2464" s="12" t="n">
        <v>1</v>
      </c>
      <c r="I2464" s="4" t="s">
        <v>408</v>
      </c>
      <c r="J2464" s="4" t="s">
        <v>416</v>
      </c>
      <c r="K2464" s="13" t="n">
        <v>850</v>
      </c>
      <c r="L2464" s="6" t="n">
        <f aca="false">H2464*K2464</f>
        <v>850</v>
      </c>
      <c r="M2464" s="14" t="s">
        <v>410</v>
      </c>
    </row>
    <row r="2465" customFormat="false" ht="15" hidden="false" customHeight="false" outlineLevel="0" collapsed="false">
      <c r="A2465" s="4" t="s">
        <v>69</v>
      </c>
      <c r="B2465" s="5" t="s">
        <v>70</v>
      </c>
      <c r="C2465" s="5" t="s">
        <v>71</v>
      </c>
      <c r="D2465" s="4" t="s">
        <v>16</v>
      </c>
      <c r="E2465" s="4" t="s">
        <v>3406</v>
      </c>
      <c r="F2465" s="4" t="s">
        <v>406</v>
      </c>
      <c r="G2465" s="4" t="s">
        <v>3407</v>
      </c>
      <c r="H2465" s="12" t="n">
        <v>1</v>
      </c>
      <c r="I2465" s="4" t="s">
        <v>408</v>
      </c>
      <c r="J2465" s="4" t="s">
        <v>409</v>
      </c>
      <c r="K2465" s="13" t="n">
        <v>350</v>
      </c>
      <c r="L2465" s="6" t="n">
        <f aca="false">H2465*K2465</f>
        <v>350</v>
      </c>
      <c r="M2465" s="14" t="s">
        <v>410</v>
      </c>
    </row>
    <row r="2466" customFormat="false" ht="15" hidden="false" customHeight="false" outlineLevel="0" collapsed="false">
      <c r="A2466" s="4" t="s">
        <v>69</v>
      </c>
      <c r="B2466" s="5" t="s">
        <v>70</v>
      </c>
      <c r="C2466" s="5" t="s">
        <v>71</v>
      </c>
      <c r="D2466" s="4" t="s">
        <v>16</v>
      </c>
      <c r="E2466" s="4" t="s">
        <v>3408</v>
      </c>
      <c r="F2466" s="4" t="s">
        <v>406</v>
      </c>
      <c r="G2466" s="4" t="s">
        <v>3409</v>
      </c>
      <c r="H2466" s="12" t="n">
        <v>1</v>
      </c>
      <c r="I2466" s="4" t="s">
        <v>408</v>
      </c>
      <c r="J2466" s="4" t="s">
        <v>409</v>
      </c>
      <c r="K2466" s="13" t="n">
        <v>250</v>
      </c>
      <c r="L2466" s="6" t="n">
        <f aca="false">H2466*K2466</f>
        <v>250</v>
      </c>
      <c r="M2466" s="14" t="s">
        <v>410</v>
      </c>
    </row>
    <row r="2467" customFormat="false" ht="15" hidden="false" customHeight="false" outlineLevel="0" collapsed="false">
      <c r="A2467" s="4" t="s">
        <v>69</v>
      </c>
      <c r="B2467" s="5" t="s">
        <v>70</v>
      </c>
      <c r="C2467" s="5" t="s">
        <v>71</v>
      </c>
      <c r="D2467" s="4" t="s">
        <v>16</v>
      </c>
      <c r="E2467" s="4" t="s">
        <v>3410</v>
      </c>
      <c r="F2467" s="4" t="s">
        <v>406</v>
      </c>
      <c r="G2467" s="4" t="s">
        <v>3411</v>
      </c>
      <c r="H2467" s="12" t="n">
        <v>1</v>
      </c>
      <c r="I2467" s="4" t="s">
        <v>408</v>
      </c>
      <c r="J2467" s="4" t="s">
        <v>416</v>
      </c>
      <c r="K2467" s="13" t="n">
        <v>450</v>
      </c>
      <c r="L2467" s="6" t="n">
        <f aca="false">H2467*K2467</f>
        <v>450</v>
      </c>
      <c r="M2467" s="4" t="s">
        <v>371</v>
      </c>
    </row>
    <row r="2468" customFormat="false" ht="15" hidden="false" customHeight="false" outlineLevel="0" collapsed="false">
      <c r="A2468" s="4" t="s">
        <v>69</v>
      </c>
      <c r="B2468" s="5" t="s">
        <v>70</v>
      </c>
      <c r="C2468" s="5" t="s">
        <v>71</v>
      </c>
      <c r="D2468" s="4" t="s">
        <v>16</v>
      </c>
      <c r="E2468" s="4" t="s">
        <v>3412</v>
      </c>
      <c r="F2468" s="4" t="s">
        <v>406</v>
      </c>
      <c r="G2468" s="4" t="s">
        <v>3413</v>
      </c>
      <c r="H2468" s="12" t="n">
        <v>1</v>
      </c>
      <c r="I2468" s="4" t="s">
        <v>408</v>
      </c>
      <c r="J2468" s="4" t="s">
        <v>409</v>
      </c>
      <c r="K2468" s="13" t="n">
        <v>180</v>
      </c>
      <c r="L2468" s="6" t="n">
        <f aca="false">H2468*K2468</f>
        <v>180</v>
      </c>
      <c r="M2468" s="14" t="s">
        <v>410</v>
      </c>
    </row>
    <row r="2469" customFormat="false" ht="15" hidden="false" customHeight="false" outlineLevel="0" collapsed="false">
      <c r="A2469" s="4" t="s">
        <v>69</v>
      </c>
      <c r="B2469" s="5" t="s">
        <v>70</v>
      </c>
      <c r="C2469" s="5" t="s">
        <v>71</v>
      </c>
      <c r="D2469" s="4" t="s">
        <v>16</v>
      </c>
      <c r="E2469" s="4" t="s">
        <v>3414</v>
      </c>
      <c r="F2469" s="4" t="s">
        <v>406</v>
      </c>
      <c r="G2469" s="4" t="s">
        <v>3415</v>
      </c>
      <c r="H2469" s="12" t="n">
        <v>1</v>
      </c>
      <c r="I2469" s="4" t="s">
        <v>408</v>
      </c>
      <c r="J2469" s="4" t="s">
        <v>416</v>
      </c>
      <c r="K2469" s="13" t="n">
        <v>450</v>
      </c>
      <c r="L2469" s="6" t="n">
        <f aca="false">H2469*K2469</f>
        <v>450</v>
      </c>
      <c r="M2469" s="4" t="s">
        <v>371</v>
      </c>
    </row>
    <row r="2470" customFormat="false" ht="15" hidden="false" customHeight="false" outlineLevel="0" collapsed="false">
      <c r="A2470" s="4" t="s">
        <v>69</v>
      </c>
      <c r="B2470" s="5" t="s">
        <v>70</v>
      </c>
      <c r="C2470" s="5" t="s">
        <v>71</v>
      </c>
      <c r="D2470" s="4" t="s">
        <v>16</v>
      </c>
      <c r="E2470" s="4" t="s">
        <v>3416</v>
      </c>
      <c r="F2470" s="4" t="s">
        <v>406</v>
      </c>
      <c r="G2470" s="4" t="s">
        <v>2406</v>
      </c>
      <c r="H2470" s="12" t="n">
        <v>1</v>
      </c>
      <c r="I2470" s="4" t="s">
        <v>408</v>
      </c>
      <c r="J2470" s="4" t="s">
        <v>409</v>
      </c>
      <c r="K2470" s="13" t="n">
        <v>250</v>
      </c>
      <c r="L2470" s="6" t="n">
        <f aca="false">H2470*K2470</f>
        <v>250</v>
      </c>
      <c r="M2470" s="14" t="s">
        <v>410</v>
      </c>
    </row>
    <row r="2471" customFormat="false" ht="15" hidden="false" customHeight="false" outlineLevel="0" collapsed="false">
      <c r="A2471" s="4" t="s">
        <v>69</v>
      </c>
      <c r="B2471" s="5" t="s">
        <v>70</v>
      </c>
      <c r="C2471" s="5" t="s">
        <v>71</v>
      </c>
      <c r="D2471" s="4" t="s">
        <v>16</v>
      </c>
      <c r="E2471" s="4" t="s">
        <v>3417</v>
      </c>
      <c r="F2471" s="4" t="s">
        <v>406</v>
      </c>
      <c r="G2471" s="4" t="s">
        <v>3418</v>
      </c>
      <c r="H2471" s="12" t="n">
        <v>1</v>
      </c>
      <c r="I2471" s="4" t="s">
        <v>408</v>
      </c>
      <c r="J2471" s="4" t="s">
        <v>416</v>
      </c>
      <c r="K2471" s="13" t="n">
        <v>650</v>
      </c>
      <c r="L2471" s="6" t="n">
        <f aca="false">H2471*K2471</f>
        <v>650</v>
      </c>
      <c r="M2471" s="4" t="s">
        <v>371</v>
      </c>
    </row>
    <row r="2472" customFormat="false" ht="15" hidden="false" customHeight="false" outlineLevel="0" collapsed="false">
      <c r="A2472" s="4" t="s">
        <v>69</v>
      </c>
      <c r="B2472" s="5" t="s">
        <v>70</v>
      </c>
      <c r="C2472" s="5" t="s">
        <v>71</v>
      </c>
      <c r="D2472" s="4" t="s">
        <v>16</v>
      </c>
      <c r="E2472" s="4" t="s">
        <v>3419</v>
      </c>
      <c r="F2472" s="4" t="s">
        <v>406</v>
      </c>
      <c r="G2472" s="4" t="s">
        <v>3420</v>
      </c>
      <c r="H2472" s="12" t="n">
        <v>1</v>
      </c>
      <c r="I2472" s="4" t="s">
        <v>408</v>
      </c>
      <c r="J2472" s="4" t="s">
        <v>416</v>
      </c>
      <c r="K2472" s="13" t="n">
        <v>450</v>
      </c>
      <c r="L2472" s="6" t="n">
        <f aca="false">H2472*K2472</f>
        <v>450</v>
      </c>
      <c r="M2472" s="4" t="s">
        <v>371</v>
      </c>
    </row>
    <row r="2473" customFormat="false" ht="15" hidden="false" customHeight="false" outlineLevel="0" collapsed="false">
      <c r="A2473" s="4" t="s">
        <v>69</v>
      </c>
      <c r="B2473" s="5" t="s">
        <v>70</v>
      </c>
      <c r="C2473" s="5" t="s">
        <v>71</v>
      </c>
      <c r="D2473" s="4" t="s">
        <v>16</v>
      </c>
      <c r="E2473" s="4" t="s">
        <v>3421</v>
      </c>
      <c r="F2473" s="4" t="s">
        <v>406</v>
      </c>
      <c r="G2473" s="4" t="s">
        <v>3422</v>
      </c>
      <c r="H2473" s="12" t="n">
        <v>1</v>
      </c>
      <c r="I2473" s="4" t="s">
        <v>408</v>
      </c>
      <c r="J2473" s="4" t="s">
        <v>409</v>
      </c>
      <c r="K2473" s="13" t="n">
        <v>250</v>
      </c>
      <c r="L2473" s="6" t="n">
        <f aca="false">H2473*K2473</f>
        <v>250</v>
      </c>
      <c r="M2473" s="14" t="s">
        <v>410</v>
      </c>
    </row>
    <row r="2474" customFormat="false" ht="15" hidden="false" customHeight="false" outlineLevel="0" collapsed="false">
      <c r="A2474" s="4" t="s">
        <v>69</v>
      </c>
      <c r="B2474" s="5" t="s">
        <v>70</v>
      </c>
      <c r="C2474" s="5" t="s">
        <v>71</v>
      </c>
      <c r="D2474" s="4" t="s">
        <v>16</v>
      </c>
      <c r="E2474" s="4" t="s">
        <v>3423</v>
      </c>
      <c r="F2474" s="4" t="s">
        <v>406</v>
      </c>
      <c r="G2474" s="4" t="s">
        <v>3424</v>
      </c>
      <c r="H2474" s="12" t="n">
        <v>1</v>
      </c>
      <c r="I2474" s="4" t="s">
        <v>408</v>
      </c>
      <c r="J2474" s="4" t="s">
        <v>409</v>
      </c>
      <c r="K2474" s="13" t="n">
        <v>18000</v>
      </c>
      <c r="L2474" s="6" t="n">
        <f aca="false">H2474*K2474</f>
        <v>18000</v>
      </c>
      <c r="M2474" s="14" t="s">
        <v>410</v>
      </c>
    </row>
    <row r="2475" customFormat="false" ht="15" hidden="false" customHeight="false" outlineLevel="0" collapsed="false">
      <c r="A2475" s="4" t="s">
        <v>69</v>
      </c>
      <c r="B2475" s="5" t="s">
        <v>70</v>
      </c>
      <c r="C2475" s="5" t="s">
        <v>71</v>
      </c>
      <c r="D2475" s="4" t="s">
        <v>16</v>
      </c>
      <c r="E2475" s="4" t="s">
        <v>3425</v>
      </c>
      <c r="F2475" s="4" t="s">
        <v>406</v>
      </c>
      <c r="G2475" s="4" t="s">
        <v>3426</v>
      </c>
      <c r="H2475" s="12" t="n">
        <v>1</v>
      </c>
      <c r="I2475" s="4" t="s">
        <v>408</v>
      </c>
      <c r="J2475" s="4" t="s">
        <v>409</v>
      </c>
      <c r="K2475" s="13" t="n">
        <v>8500</v>
      </c>
      <c r="L2475" s="6" t="n">
        <f aca="false">H2475*K2475</f>
        <v>8500</v>
      </c>
      <c r="M2475" s="4" t="s">
        <v>371</v>
      </c>
    </row>
    <row r="2476" customFormat="false" ht="15" hidden="false" customHeight="false" outlineLevel="0" collapsed="false">
      <c r="A2476" s="4" t="s">
        <v>69</v>
      </c>
      <c r="B2476" s="5" t="s">
        <v>70</v>
      </c>
      <c r="C2476" s="5" t="s">
        <v>71</v>
      </c>
      <c r="D2476" s="4" t="s">
        <v>16</v>
      </c>
      <c r="E2476" s="4" t="s">
        <v>3427</v>
      </c>
      <c r="F2476" s="4" t="s">
        <v>406</v>
      </c>
      <c r="G2476" s="4" t="s">
        <v>3428</v>
      </c>
      <c r="H2476" s="12" t="n">
        <v>1</v>
      </c>
      <c r="I2476" s="4" t="s">
        <v>408</v>
      </c>
      <c r="J2476" s="4" t="s">
        <v>409</v>
      </c>
      <c r="K2476" s="13" t="n">
        <v>12000</v>
      </c>
      <c r="L2476" s="6" t="n">
        <f aca="false">H2476*K2476</f>
        <v>12000</v>
      </c>
      <c r="M2476" s="4" t="s">
        <v>371</v>
      </c>
    </row>
    <row r="2477" customFormat="false" ht="15" hidden="false" customHeight="false" outlineLevel="0" collapsed="false">
      <c r="A2477" s="4" t="s">
        <v>69</v>
      </c>
      <c r="B2477" s="5" t="s">
        <v>70</v>
      </c>
      <c r="C2477" s="5" t="s">
        <v>71</v>
      </c>
      <c r="D2477" s="4" t="s">
        <v>16</v>
      </c>
      <c r="E2477" s="4" t="s">
        <v>3429</v>
      </c>
      <c r="F2477" s="4" t="s">
        <v>406</v>
      </c>
      <c r="G2477" s="4" t="s">
        <v>3430</v>
      </c>
      <c r="H2477" s="12" t="n">
        <v>1</v>
      </c>
      <c r="I2477" s="4" t="s">
        <v>408</v>
      </c>
      <c r="J2477" s="4" t="s">
        <v>409</v>
      </c>
      <c r="K2477" s="13" t="n">
        <v>35000</v>
      </c>
      <c r="L2477" s="6" t="n">
        <f aca="false">H2477*K2477</f>
        <v>35000</v>
      </c>
      <c r="M2477" s="4" t="s">
        <v>371</v>
      </c>
    </row>
    <row r="2478" customFormat="false" ht="15" hidden="false" customHeight="false" outlineLevel="0" collapsed="false">
      <c r="A2478" s="4" t="s">
        <v>69</v>
      </c>
      <c r="B2478" s="5" t="s">
        <v>70</v>
      </c>
      <c r="C2478" s="5" t="s">
        <v>71</v>
      </c>
      <c r="D2478" s="4" t="s">
        <v>16</v>
      </c>
      <c r="E2478" s="4" t="s">
        <v>3431</v>
      </c>
      <c r="F2478" s="4" t="s">
        <v>406</v>
      </c>
      <c r="G2478" s="4" t="s">
        <v>3432</v>
      </c>
      <c r="H2478" s="12" t="n">
        <v>1</v>
      </c>
      <c r="I2478" s="4" t="s">
        <v>408</v>
      </c>
      <c r="J2478" s="4" t="s">
        <v>416</v>
      </c>
      <c r="K2478" s="13" t="n">
        <v>95000</v>
      </c>
      <c r="L2478" s="6" t="n">
        <f aca="false">H2478*K2478</f>
        <v>95000</v>
      </c>
      <c r="M2478" s="4" t="s">
        <v>371</v>
      </c>
    </row>
    <row r="2479" customFormat="false" ht="15" hidden="false" customHeight="false" outlineLevel="0" collapsed="false">
      <c r="A2479" s="4" t="s">
        <v>69</v>
      </c>
      <c r="B2479" s="5" t="s">
        <v>70</v>
      </c>
      <c r="C2479" s="5" t="s">
        <v>71</v>
      </c>
      <c r="D2479" s="4" t="s">
        <v>16</v>
      </c>
      <c r="E2479" s="4" t="s">
        <v>3433</v>
      </c>
      <c r="F2479" s="4" t="s">
        <v>406</v>
      </c>
      <c r="G2479" s="4" t="s">
        <v>3434</v>
      </c>
      <c r="H2479" s="12" t="n">
        <v>1</v>
      </c>
      <c r="I2479" s="4" t="s">
        <v>408</v>
      </c>
      <c r="J2479" s="4" t="s">
        <v>416</v>
      </c>
      <c r="K2479" s="13" t="n">
        <v>6500</v>
      </c>
      <c r="L2479" s="6" t="n">
        <f aca="false">H2479*K2479</f>
        <v>6500</v>
      </c>
      <c r="M2479" s="4" t="s">
        <v>371</v>
      </c>
    </row>
    <row r="2480" customFormat="false" ht="15" hidden="false" customHeight="false" outlineLevel="0" collapsed="false">
      <c r="A2480" s="4" t="s">
        <v>69</v>
      </c>
      <c r="B2480" s="5" t="s">
        <v>70</v>
      </c>
      <c r="C2480" s="5" t="s">
        <v>71</v>
      </c>
      <c r="D2480" s="4" t="s">
        <v>16</v>
      </c>
      <c r="E2480" s="4" t="s">
        <v>3435</v>
      </c>
      <c r="F2480" s="4" t="s">
        <v>470</v>
      </c>
      <c r="G2480" s="4" t="s">
        <v>3436</v>
      </c>
      <c r="H2480" s="12" t="n">
        <v>1</v>
      </c>
      <c r="I2480" s="4" t="s">
        <v>408</v>
      </c>
      <c r="J2480" s="4" t="s">
        <v>416</v>
      </c>
      <c r="K2480" s="13" t="n">
        <v>50000</v>
      </c>
      <c r="L2480" s="6" t="n">
        <f aca="false">H2480*K2480</f>
        <v>50000</v>
      </c>
      <c r="M2480" s="4" t="s">
        <v>371</v>
      </c>
    </row>
    <row r="2481" customFormat="false" ht="15" hidden="false" customHeight="false" outlineLevel="0" collapsed="false">
      <c r="A2481" s="4" t="s">
        <v>69</v>
      </c>
      <c r="B2481" s="5" t="s">
        <v>70</v>
      </c>
      <c r="C2481" s="5" t="s">
        <v>71</v>
      </c>
      <c r="D2481" s="4" t="s">
        <v>16</v>
      </c>
      <c r="E2481" s="4" t="s">
        <v>1616</v>
      </c>
      <c r="F2481" s="4" t="s">
        <v>470</v>
      </c>
      <c r="G2481" s="4" t="s">
        <v>1617</v>
      </c>
      <c r="H2481" s="12" t="n">
        <v>1</v>
      </c>
      <c r="I2481" s="4" t="s">
        <v>408</v>
      </c>
      <c r="J2481" s="4" t="s">
        <v>409</v>
      </c>
      <c r="K2481" s="13" t="n">
        <v>12000</v>
      </c>
      <c r="L2481" s="6" t="n">
        <f aca="false">H2481*K2481</f>
        <v>12000</v>
      </c>
      <c r="M2481" s="14" t="s">
        <v>410</v>
      </c>
    </row>
    <row r="2482" customFormat="false" ht="15" hidden="false" customHeight="false" outlineLevel="0" collapsed="false">
      <c r="A2482" s="4" t="s">
        <v>69</v>
      </c>
      <c r="B2482" s="5" t="s">
        <v>70</v>
      </c>
      <c r="C2482" s="5" t="s">
        <v>71</v>
      </c>
      <c r="D2482" s="4" t="s">
        <v>16</v>
      </c>
      <c r="E2482" s="4" t="s">
        <v>3437</v>
      </c>
      <c r="F2482" s="4" t="s">
        <v>470</v>
      </c>
      <c r="G2482" s="4" t="s">
        <v>3438</v>
      </c>
      <c r="H2482" s="12" t="n">
        <v>1</v>
      </c>
      <c r="I2482" s="4" t="s">
        <v>408</v>
      </c>
      <c r="J2482" s="4" t="s">
        <v>543</v>
      </c>
      <c r="K2482" s="13" t="n">
        <v>150000</v>
      </c>
      <c r="L2482" s="6" t="n">
        <f aca="false">H2482*K2482</f>
        <v>150000</v>
      </c>
      <c r="M2482" s="4" t="s">
        <v>371</v>
      </c>
    </row>
    <row r="2483" customFormat="false" ht="15" hidden="false" customHeight="false" outlineLevel="0" collapsed="false">
      <c r="A2483" s="4" t="s">
        <v>69</v>
      </c>
      <c r="B2483" s="5" t="s">
        <v>70</v>
      </c>
      <c r="C2483" s="5" t="s">
        <v>71</v>
      </c>
      <c r="D2483" s="4" t="s">
        <v>16</v>
      </c>
      <c r="E2483" s="4" t="s">
        <v>3439</v>
      </c>
      <c r="F2483" s="4" t="s">
        <v>470</v>
      </c>
      <c r="G2483" s="4" t="s">
        <v>3440</v>
      </c>
      <c r="H2483" s="12" t="n">
        <v>1</v>
      </c>
      <c r="I2483" s="4" t="s">
        <v>408</v>
      </c>
      <c r="J2483" s="4" t="s">
        <v>416</v>
      </c>
      <c r="K2483" s="13" t="n">
        <v>25000</v>
      </c>
      <c r="L2483" s="6" t="n">
        <f aca="false">H2483*K2483</f>
        <v>25000</v>
      </c>
      <c r="M2483" s="4" t="s">
        <v>371</v>
      </c>
    </row>
    <row r="2484" customFormat="false" ht="15" hidden="false" customHeight="false" outlineLevel="0" collapsed="false">
      <c r="A2484" s="4" t="s">
        <v>69</v>
      </c>
      <c r="B2484" s="5" t="s">
        <v>70</v>
      </c>
      <c r="C2484" s="5" t="s">
        <v>71</v>
      </c>
      <c r="D2484" s="4" t="s">
        <v>16</v>
      </c>
      <c r="E2484" s="4" t="s">
        <v>3441</v>
      </c>
      <c r="F2484" s="4" t="s">
        <v>470</v>
      </c>
      <c r="G2484" s="4" t="s">
        <v>3442</v>
      </c>
      <c r="H2484" s="12" t="n">
        <v>1</v>
      </c>
      <c r="I2484" s="4" t="s">
        <v>408</v>
      </c>
      <c r="J2484" s="4" t="s">
        <v>416</v>
      </c>
      <c r="K2484" s="13" t="n">
        <v>25000</v>
      </c>
      <c r="L2484" s="6" t="n">
        <f aca="false">H2484*K2484</f>
        <v>25000</v>
      </c>
      <c r="M2484" s="4" t="s">
        <v>371</v>
      </c>
    </row>
    <row r="2485" customFormat="false" ht="15" hidden="false" customHeight="false" outlineLevel="0" collapsed="false">
      <c r="A2485" s="4" t="s">
        <v>69</v>
      </c>
      <c r="B2485" s="5" t="s">
        <v>70</v>
      </c>
      <c r="C2485" s="5" t="s">
        <v>71</v>
      </c>
      <c r="D2485" s="4" t="s">
        <v>16</v>
      </c>
      <c r="E2485" s="4" t="s">
        <v>3443</v>
      </c>
      <c r="F2485" s="4" t="s">
        <v>470</v>
      </c>
      <c r="G2485" s="4" t="s">
        <v>3444</v>
      </c>
      <c r="H2485" s="12" t="n">
        <v>1</v>
      </c>
      <c r="I2485" s="4" t="s">
        <v>408</v>
      </c>
      <c r="J2485" s="4" t="s">
        <v>409</v>
      </c>
      <c r="K2485" s="13" t="n">
        <v>80</v>
      </c>
      <c r="L2485" s="6" t="n">
        <f aca="false">H2485*K2485</f>
        <v>80</v>
      </c>
      <c r="M2485" s="4" t="s">
        <v>371</v>
      </c>
    </row>
    <row r="2486" customFormat="false" ht="15" hidden="false" customHeight="false" outlineLevel="0" collapsed="false">
      <c r="A2486" s="4" t="s">
        <v>69</v>
      </c>
      <c r="B2486" s="5" t="s">
        <v>70</v>
      </c>
      <c r="C2486" s="5" t="s">
        <v>71</v>
      </c>
      <c r="D2486" s="4" t="s">
        <v>16</v>
      </c>
      <c r="E2486" s="4" t="s">
        <v>3445</v>
      </c>
      <c r="F2486" s="4" t="s">
        <v>470</v>
      </c>
      <c r="G2486" s="4" t="s">
        <v>3446</v>
      </c>
      <c r="H2486" s="12" t="n">
        <v>1</v>
      </c>
      <c r="I2486" s="4" t="s">
        <v>408</v>
      </c>
      <c r="J2486" s="4" t="s">
        <v>409</v>
      </c>
      <c r="K2486" s="13" t="n">
        <v>4500</v>
      </c>
      <c r="L2486" s="6" t="n">
        <f aca="false">H2486*K2486</f>
        <v>4500</v>
      </c>
      <c r="M2486" s="4" t="s">
        <v>371</v>
      </c>
    </row>
    <row r="2487" customFormat="false" ht="15" hidden="false" customHeight="false" outlineLevel="0" collapsed="false">
      <c r="A2487" s="4" t="s">
        <v>69</v>
      </c>
      <c r="B2487" s="5" t="s">
        <v>70</v>
      </c>
      <c r="C2487" s="5" t="s">
        <v>71</v>
      </c>
      <c r="D2487" s="4" t="s">
        <v>16</v>
      </c>
      <c r="E2487" s="4" t="s">
        <v>3447</v>
      </c>
      <c r="F2487" s="4" t="s">
        <v>470</v>
      </c>
      <c r="G2487" s="4" t="s">
        <v>3448</v>
      </c>
      <c r="H2487" s="12" t="n">
        <v>1</v>
      </c>
      <c r="I2487" s="4" t="s">
        <v>408</v>
      </c>
      <c r="J2487" s="4" t="s">
        <v>416</v>
      </c>
      <c r="K2487" s="13" t="n">
        <v>2500</v>
      </c>
      <c r="L2487" s="6" t="n">
        <f aca="false">H2487*K2487</f>
        <v>2500</v>
      </c>
      <c r="M2487" s="4" t="s">
        <v>371</v>
      </c>
    </row>
    <row r="2488" customFormat="false" ht="15" hidden="false" customHeight="false" outlineLevel="0" collapsed="false">
      <c r="A2488" s="4" t="s">
        <v>69</v>
      </c>
      <c r="B2488" s="5" t="s">
        <v>70</v>
      </c>
      <c r="C2488" s="5" t="s">
        <v>71</v>
      </c>
      <c r="D2488" s="4" t="s">
        <v>16</v>
      </c>
      <c r="E2488" s="4" t="s">
        <v>3449</v>
      </c>
      <c r="F2488" s="4" t="s">
        <v>470</v>
      </c>
      <c r="G2488" s="4" t="s">
        <v>3450</v>
      </c>
      <c r="H2488" s="12" t="n">
        <v>1</v>
      </c>
      <c r="I2488" s="4" t="s">
        <v>408</v>
      </c>
      <c r="J2488" s="4" t="s">
        <v>416</v>
      </c>
      <c r="K2488" s="13" t="n">
        <v>250</v>
      </c>
      <c r="L2488" s="6" t="n">
        <f aca="false">H2488*K2488</f>
        <v>250</v>
      </c>
      <c r="M2488" s="4" t="s">
        <v>371</v>
      </c>
    </row>
    <row r="2489" customFormat="false" ht="15" hidden="false" customHeight="false" outlineLevel="0" collapsed="false">
      <c r="A2489" s="4" t="s">
        <v>69</v>
      </c>
      <c r="B2489" s="5" t="s">
        <v>70</v>
      </c>
      <c r="C2489" s="5" t="s">
        <v>71</v>
      </c>
      <c r="D2489" s="4" t="s">
        <v>16</v>
      </c>
      <c r="E2489" s="4" t="s">
        <v>3451</v>
      </c>
      <c r="F2489" s="4" t="s">
        <v>470</v>
      </c>
      <c r="G2489" s="4" t="s">
        <v>3452</v>
      </c>
      <c r="H2489" s="12" t="n">
        <v>1</v>
      </c>
      <c r="I2489" s="4" t="s">
        <v>408</v>
      </c>
      <c r="J2489" s="4" t="s">
        <v>416</v>
      </c>
      <c r="K2489" s="13" t="n">
        <v>2500</v>
      </c>
      <c r="L2489" s="6" t="n">
        <f aca="false">H2489*K2489</f>
        <v>2500</v>
      </c>
      <c r="M2489" s="4" t="s">
        <v>371</v>
      </c>
    </row>
    <row r="2490" customFormat="false" ht="15" hidden="false" customHeight="false" outlineLevel="0" collapsed="false">
      <c r="A2490" s="4" t="s">
        <v>69</v>
      </c>
      <c r="B2490" s="5" t="s">
        <v>70</v>
      </c>
      <c r="C2490" s="5" t="s">
        <v>71</v>
      </c>
      <c r="D2490" s="4" t="s">
        <v>16</v>
      </c>
      <c r="E2490" s="4" t="s">
        <v>3453</v>
      </c>
      <c r="F2490" s="4" t="s">
        <v>470</v>
      </c>
      <c r="G2490" s="4" t="s">
        <v>3454</v>
      </c>
      <c r="H2490" s="12" t="n">
        <v>1</v>
      </c>
      <c r="I2490" s="4" t="s">
        <v>408</v>
      </c>
      <c r="J2490" s="4" t="s">
        <v>409</v>
      </c>
      <c r="K2490" s="13" t="n">
        <v>450</v>
      </c>
      <c r="L2490" s="6" t="n">
        <f aca="false">H2490*K2490</f>
        <v>450</v>
      </c>
      <c r="M2490" s="4" t="s">
        <v>371</v>
      </c>
    </row>
    <row r="2491" customFormat="false" ht="15" hidden="false" customHeight="false" outlineLevel="0" collapsed="false">
      <c r="A2491" s="4" t="s">
        <v>69</v>
      </c>
      <c r="B2491" s="5" t="s">
        <v>70</v>
      </c>
      <c r="C2491" s="5" t="s">
        <v>71</v>
      </c>
      <c r="D2491" s="4" t="s">
        <v>16</v>
      </c>
      <c r="E2491" s="4" t="s">
        <v>3455</v>
      </c>
      <c r="F2491" s="4" t="s">
        <v>488</v>
      </c>
      <c r="G2491" s="4" t="s">
        <v>3456</v>
      </c>
      <c r="H2491" s="12" t="n">
        <v>1</v>
      </c>
      <c r="I2491" s="4" t="s">
        <v>408</v>
      </c>
      <c r="J2491" s="4" t="s">
        <v>416</v>
      </c>
      <c r="K2491" s="13" t="n">
        <v>450</v>
      </c>
      <c r="L2491" s="6" t="n">
        <f aca="false">H2491*K2491</f>
        <v>450</v>
      </c>
      <c r="M2491" s="4" t="s">
        <v>371</v>
      </c>
    </row>
    <row r="2492" customFormat="false" ht="15" hidden="false" customHeight="false" outlineLevel="0" collapsed="false">
      <c r="A2492" s="4" t="s">
        <v>69</v>
      </c>
      <c r="B2492" s="5" t="s">
        <v>70</v>
      </c>
      <c r="C2492" s="5" t="s">
        <v>71</v>
      </c>
      <c r="D2492" s="4" t="s">
        <v>16</v>
      </c>
      <c r="E2492" s="4" t="s">
        <v>3457</v>
      </c>
      <c r="F2492" s="4" t="s">
        <v>488</v>
      </c>
      <c r="G2492" s="4" t="s">
        <v>3458</v>
      </c>
      <c r="H2492" s="12" t="n">
        <v>1</v>
      </c>
      <c r="I2492" s="4" t="s">
        <v>408</v>
      </c>
      <c r="J2492" s="4" t="s">
        <v>791</v>
      </c>
      <c r="K2492" s="13" t="n">
        <v>45</v>
      </c>
      <c r="L2492" s="6" t="n">
        <f aca="false">H2492*K2492</f>
        <v>45</v>
      </c>
      <c r="M2492" s="4" t="s">
        <v>371</v>
      </c>
    </row>
    <row r="2493" customFormat="false" ht="15" hidden="false" customHeight="false" outlineLevel="0" collapsed="false">
      <c r="A2493" s="4" t="s">
        <v>69</v>
      </c>
      <c r="B2493" s="5" t="s">
        <v>70</v>
      </c>
      <c r="C2493" s="5" t="s">
        <v>71</v>
      </c>
      <c r="D2493" s="4" t="s">
        <v>16</v>
      </c>
      <c r="E2493" s="4" t="s">
        <v>3459</v>
      </c>
      <c r="F2493" s="4" t="s">
        <v>488</v>
      </c>
      <c r="G2493" s="4" t="s">
        <v>3460</v>
      </c>
      <c r="H2493" s="12" t="n">
        <v>1</v>
      </c>
      <c r="I2493" s="4" t="s">
        <v>408</v>
      </c>
      <c r="J2493" s="4" t="s">
        <v>791</v>
      </c>
      <c r="K2493" s="13" t="n">
        <v>45</v>
      </c>
      <c r="L2493" s="6" t="n">
        <f aca="false">H2493*K2493</f>
        <v>45</v>
      </c>
      <c r="M2493" s="4" t="s">
        <v>371</v>
      </c>
    </row>
    <row r="2494" customFormat="false" ht="15" hidden="false" customHeight="false" outlineLevel="0" collapsed="false">
      <c r="A2494" s="4" t="s">
        <v>69</v>
      </c>
      <c r="B2494" s="5" t="s">
        <v>70</v>
      </c>
      <c r="C2494" s="5" t="s">
        <v>71</v>
      </c>
      <c r="D2494" s="4" t="s">
        <v>16</v>
      </c>
      <c r="E2494" s="4" t="s">
        <v>3461</v>
      </c>
      <c r="F2494" s="4" t="s">
        <v>488</v>
      </c>
      <c r="G2494" s="4" t="s">
        <v>3462</v>
      </c>
      <c r="H2494" s="12" t="n">
        <v>1</v>
      </c>
      <c r="I2494" s="4" t="s">
        <v>408</v>
      </c>
      <c r="J2494" s="4" t="s">
        <v>416</v>
      </c>
      <c r="K2494" s="13" t="n">
        <v>1200</v>
      </c>
      <c r="L2494" s="6" t="n">
        <f aca="false">H2494*K2494</f>
        <v>1200</v>
      </c>
      <c r="M2494" s="4" t="s">
        <v>371</v>
      </c>
    </row>
    <row r="2495" customFormat="false" ht="15" hidden="false" customHeight="false" outlineLevel="0" collapsed="false">
      <c r="A2495" s="4" t="s">
        <v>69</v>
      </c>
      <c r="B2495" s="5" t="s">
        <v>70</v>
      </c>
      <c r="C2495" s="5" t="s">
        <v>71</v>
      </c>
      <c r="D2495" s="4" t="s">
        <v>16</v>
      </c>
      <c r="E2495" s="4" t="s">
        <v>3463</v>
      </c>
      <c r="F2495" s="4" t="s">
        <v>488</v>
      </c>
      <c r="G2495" s="4" t="s">
        <v>3464</v>
      </c>
      <c r="H2495" s="12" t="n">
        <v>1</v>
      </c>
      <c r="I2495" s="4" t="s">
        <v>408</v>
      </c>
      <c r="J2495" s="4" t="s">
        <v>480</v>
      </c>
      <c r="K2495" s="13" t="n">
        <v>30</v>
      </c>
      <c r="L2495" s="6" t="n">
        <f aca="false">H2495*K2495</f>
        <v>30</v>
      </c>
      <c r="M2495" s="4" t="s">
        <v>371</v>
      </c>
    </row>
    <row r="2496" customFormat="false" ht="15" hidden="false" customHeight="false" outlineLevel="0" collapsed="false">
      <c r="A2496" s="4" t="s">
        <v>69</v>
      </c>
      <c r="B2496" s="5" t="s">
        <v>70</v>
      </c>
      <c r="C2496" s="5" t="s">
        <v>71</v>
      </c>
      <c r="D2496" s="4" t="s">
        <v>16</v>
      </c>
      <c r="E2496" s="4" t="s">
        <v>3465</v>
      </c>
      <c r="F2496" s="4" t="s">
        <v>488</v>
      </c>
      <c r="G2496" s="4" t="s">
        <v>3466</v>
      </c>
      <c r="H2496" s="12" t="n">
        <v>1</v>
      </c>
      <c r="I2496" s="4" t="s">
        <v>408</v>
      </c>
      <c r="J2496" s="4" t="s">
        <v>480</v>
      </c>
      <c r="K2496" s="13" t="n">
        <v>80</v>
      </c>
      <c r="L2496" s="6" t="n">
        <f aca="false">H2496*K2496</f>
        <v>80</v>
      </c>
      <c r="M2496" s="4" t="s">
        <v>371</v>
      </c>
    </row>
    <row r="2497" customFormat="false" ht="15" hidden="false" customHeight="false" outlineLevel="0" collapsed="false">
      <c r="A2497" s="4" t="s">
        <v>69</v>
      </c>
      <c r="B2497" s="5" t="s">
        <v>70</v>
      </c>
      <c r="C2497" s="5" t="s">
        <v>71</v>
      </c>
      <c r="D2497" s="4" t="s">
        <v>16</v>
      </c>
      <c r="E2497" s="4" t="s">
        <v>3467</v>
      </c>
      <c r="F2497" s="4" t="s">
        <v>488</v>
      </c>
      <c r="G2497" s="4" t="s">
        <v>3468</v>
      </c>
      <c r="H2497" s="12" t="n">
        <v>1</v>
      </c>
      <c r="I2497" s="4" t="s">
        <v>408</v>
      </c>
      <c r="J2497" s="4" t="s">
        <v>506</v>
      </c>
      <c r="K2497" s="13" t="n">
        <v>150</v>
      </c>
      <c r="L2497" s="6" t="n">
        <f aca="false">H2497*K2497</f>
        <v>150</v>
      </c>
      <c r="M2497" s="4" t="s">
        <v>371</v>
      </c>
    </row>
    <row r="2498" customFormat="false" ht="15" hidden="false" customHeight="false" outlineLevel="0" collapsed="false">
      <c r="A2498" s="4" t="s">
        <v>69</v>
      </c>
      <c r="B2498" s="5" t="s">
        <v>70</v>
      </c>
      <c r="C2498" s="5" t="s">
        <v>71</v>
      </c>
      <c r="D2498" s="4" t="s">
        <v>16</v>
      </c>
      <c r="E2498" s="4" t="s">
        <v>3469</v>
      </c>
      <c r="F2498" s="4" t="s">
        <v>488</v>
      </c>
      <c r="G2498" s="4" t="s">
        <v>3470</v>
      </c>
      <c r="H2498" s="12" t="n">
        <v>1</v>
      </c>
      <c r="I2498" s="4" t="s">
        <v>408</v>
      </c>
      <c r="J2498" s="4" t="s">
        <v>807</v>
      </c>
      <c r="K2498" s="13" t="n">
        <v>350</v>
      </c>
      <c r="L2498" s="6" t="n">
        <f aca="false">H2498*K2498</f>
        <v>350</v>
      </c>
      <c r="M2498" s="4" t="s">
        <v>371</v>
      </c>
    </row>
    <row r="2499" customFormat="false" ht="15" hidden="false" customHeight="false" outlineLevel="0" collapsed="false">
      <c r="A2499" s="4" t="s">
        <v>69</v>
      </c>
      <c r="B2499" s="5" t="s">
        <v>70</v>
      </c>
      <c r="C2499" s="5" t="s">
        <v>71</v>
      </c>
      <c r="D2499" s="4" t="s">
        <v>16</v>
      </c>
      <c r="E2499" s="4" t="s">
        <v>3471</v>
      </c>
      <c r="F2499" s="4" t="s">
        <v>488</v>
      </c>
      <c r="G2499" s="4" t="s">
        <v>3472</v>
      </c>
      <c r="H2499" s="12" t="n">
        <v>1</v>
      </c>
      <c r="I2499" s="4" t="s">
        <v>408</v>
      </c>
      <c r="J2499" s="4" t="s">
        <v>506</v>
      </c>
      <c r="K2499" s="13" t="n">
        <v>120</v>
      </c>
      <c r="L2499" s="6" t="n">
        <f aca="false">H2499*K2499</f>
        <v>120</v>
      </c>
      <c r="M2499" s="4" t="s">
        <v>371</v>
      </c>
    </row>
    <row r="2500" customFormat="false" ht="15" hidden="false" customHeight="false" outlineLevel="0" collapsed="false">
      <c r="A2500" s="4" t="s">
        <v>69</v>
      </c>
      <c r="B2500" s="5" t="s">
        <v>70</v>
      </c>
      <c r="C2500" s="5" t="s">
        <v>71</v>
      </c>
      <c r="D2500" s="4" t="s">
        <v>16</v>
      </c>
      <c r="E2500" s="4" t="s">
        <v>3473</v>
      </c>
      <c r="F2500" s="4" t="s">
        <v>488</v>
      </c>
      <c r="G2500" s="4" t="s">
        <v>3474</v>
      </c>
      <c r="H2500" s="12" t="n">
        <v>1</v>
      </c>
      <c r="I2500" s="4" t="s">
        <v>408</v>
      </c>
      <c r="J2500" s="4" t="s">
        <v>416</v>
      </c>
      <c r="K2500" s="13" t="n">
        <v>180</v>
      </c>
      <c r="L2500" s="6" t="n">
        <f aca="false">H2500*K2500</f>
        <v>180</v>
      </c>
      <c r="M2500" s="4" t="s">
        <v>371</v>
      </c>
    </row>
    <row r="2501" customFormat="false" ht="15" hidden="false" customHeight="false" outlineLevel="0" collapsed="false">
      <c r="A2501" s="4" t="s">
        <v>69</v>
      </c>
      <c r="B2501" s="5" t="s">
        <v>70</v>
      </c>
      <c r="C2501" s="5" t="s">
        <v>71</v>
      </c>
      <c r="D2501" s="4" t="s">
        <v>16</v>
      </c>
      <c r="E2501" s="4" t="s">
        <v>3475</v>
      </c>
      <c r="F2501" s="4" t="s">
        <v>488</v>
      </c>
      <c r="G2501" s="4" t="s">
        <v>3476</v>
      </c>
      <c r="H2501" s="12" t="n">
        <v>1</v>
      </c>
      <c r="I2501" s="4" t="s">
        <v>408</v>
      </c>
      <c r="J2501" s="4" t="s">
        <v>416</v>
      </c>
      <c r="K2501" s="13" t="n">
        <v>850</v>
      </c>
      <c r="L2501" s="6" t="n">
        <f aca="false">H2501*K2501</f>
        <v>850</v>
      </c>
      <c r="M2501" s="4" t="s">
        <v>371</v>
      </c>
    </row>
    <row r="2502" customFormat="false" ht="15" hidden="false" customHeight="false" outlineLevel="0" collapsed="false">
      <c r="A2502" s="4" t="s">
        <v>69</v>
      </c>
      <c r="B2502" s="5" t="s">
        <v>70</v>
      </c>
      <c r="C2502" s="5" t="s">
        <v>71</v>
      </c>
      <c r="D2502" s="4" t="s">
        <v>16</v>
      </c>
      <c r="E2502" s="4" t="s">
        <v>3477</v>
      </c>
      <c r="F2502" s="4" t="s">
        <v>488</v>
      </c>
      <c r="G2502" s="4" t="s">
        <v>3478</v>
      </c>
      <c r="H2502" s="12" t="n">
        <v>1</v>
      </c>
      <c r="I2502" s="4" t="s">
        <v>408</v>
      </c>
      <c r="J2502" s="4" t="s">
        <v>416</v>
      </c>
      <c r="K2502" s="13" t="n">
        <v>350</v>
      </c>
      <c r="L2502" s="6" t="n">
        <f aca="false">H2502*K2502</f>
        <v>350</v>
      </c>
      <c r="M2502" s="4" t="s">
        <v>371</v>
      </c>
    </row>
    <row r="2503" customFormat="false" ht="15" hidden="false" customHeight="false" outlineLevel="0" collapsed="false">
      <c r="A2503" s="4" t="s">
        <v>69</v>
      </c>
      <c r="B2503" s="5" t="s">
        <v>70</v>
      </c>
      <c r="C2503" s="5" t="s">
        <v>71</v>
      </c>
      <c r="D2503" s="4" t="s">
        <v>16</v>
      </c>
      <c r="E2503" s="4" t="s">
        <v>3479</v>
      </c>
      <c r="F2503" s="4" t="s">
        <v>488</v>
      </c>
      <c r="G2503" s="4" t="s">
        <v>3480</v>
      </c>
      <c r="H2503" s="12" t="n">
        <v>1</v>
      </c>
      <c r="I2503" s="4" t="s">
        <v>408</v>
      </c>
      <c r="J2503" s="4" t="s">
        <v>409</v>
      </c>
      <c r="K2503" s="13" t="n">
        <v>25</v>
      </c>
      <c r="L2503" s="6" t="n">
        <f aca="false">H2503*K2503</f>
        <v>25</v>
      </c>
      <c r="M2503" s="4" t="s">
        <v>371</v>
      </c>
    </row>
    <row r="2504" customFormat="false" ht="15" hidden="false" customHeight="false" outlineLevel="0" collapsed="false">
      <c r="A2504" s="4" t="s">
        <v>69</v>
      </c>
      <c r="B2504" s="5" t="s">
        <v>70</v>
      </c>
      <c r="C2504" s="5" t="s">
        <v>71</v>
      </c>
      <c r="D2504" s="4" t="s">
        <v>16</v>
      </c>
      <c r="E2504" s="4" t="s">
        <v>3481</v>
      </c>
      <c r="F2504" s="4" t="s">
        <v>470</v>
      </c>
      <c r="G2504" s="4" t="s">
        <v>3482</v>
      </c>
      <c r="H2504" s="12" t="n">
        <v>1</v>
      </c>
      <c r="I2504" s="4" t="s">
        <v>408</v>
      </c>
      <c r="J2504" s="4" t="s">
        <v>416</v>
      </c>
      <c r="K2504" s="13" t="n">
        <v>1200</v>
      </c>
      <c r="L2504" s="6" t="n">
        <f aca="false">H2504*K2504</f>
        <v>1200</v>
      </c>
      <c r="M2504" s="4" t="s">
        <v>371</v>
      </c>
    </row>
    <row r="2505" customFormat="false" ht="15" hidden="false" customHeight="false" outlineLevel="0" collapsed="false">
      <c r="A2505" s="4" t="s">
        <v>69</v>
      </c>
      <c r="B2505" s="5" t="s">
        <v>72</v>
      </c>
      <c r="C2505" s="5" t="s">
        <v>73</v>
      </c>
      <c r="D2505" s="4" t="s">
        <v>16</v>
      </c>
      <c r="E2505" s="4" t="s">
        <v>886</v>
      </c>
      <c r="F2505" s="4" t="s">
        <v>406</v>
      </c>
      <c r="G2505" s="4" t="s">
        <v>887</v>
      </c>
      <c r="H2505" s="12" t="n">
        <v>1</v>
      </c>
      <c r="I2505" s="4" t="s">
        <v>408</v>
      </c>
      <c r="J2505" s="4" t="s">
        <v>409</v>
      </c>
      <c r="K2505" s="13" t="n">
        <v>80</v>
      </c>
      <c r="L2505" s="6" t="n">
        <f aca="false">H2505*K2505</f>
        <v>80</v>
      </c>
      <c r="M2505" s="14" t="s">
        <v>410</v>
      </c>
    </row>
    <row r="2506" customFormat="false" ht="15" hidden="false" customHeight="false" outlineLevel="0" collapsed="false">
      <c r="A2506" s="4" t="s">
        <v>69</v>
      </c>
      <c r="B2506" s="5" t="s">
        <v>72</v>
      </c>
      <c r="C2506" s="5" t="s">
        <v>73</v>
      </c>
      <c r="D2506" s="4" t="s">
        <v>16</v>
      </c>
      <c r="E2506" s="4" t="s">
        <v>3483</v>
      </c>
      <c r="F2506" s="4" t="s">
        <v>406</v>
      </c>
      <c r="G2506" s="4" t="s">
        <v>3484</v>
      </c>
      <c r="H2506" s="12" t="n">
        <v>1</v>
      </c>
      <c r="I2506" s="4" t="s">
        <v>408</v>
      </c>
      <c r="J2506" s="4" t="s">
        <v>409</v>
      </c>
      <c r="K2506" s="13" t="n">
        <v>350</v>
      </c>
      <c r="L2506" s="6" t="n">
        <f aca="false">H2506*K2506</f>
        <v>350</v>
      </c>
      <c r="M2506" s="14" t="s">
        <v>410</v>
      </c>
    </row>
    <row r="2507" customFormat="false" ht="15" hidden="false" customHeight="false" outlineLevel="0" collapsed="false">
      <c r="A2507" s="4" t="s">
        <v>69</v>
      </c>
      <c r="B2507" s="5" t="s">
        <v>72</v>
      </c>
      <c r="C2507" s="5" t="s">
        <v>73</v>
      </c>
      <c r="D2507" s="4" t="s">
        <v>16</v>
      </c>
      <c r="E2507" s="4" t="s">
        <v>3485</v>
      </c>
      <c r="F2507" s="4" t="s">
        <v>406</v>
      </c>
      <c r="G2507" s="4" t="s">
        <v>3486</v>
      </c>
      <c r="H2507" s="12" t="n">
        <v>1</v>
      </c>
      <c r="I2507" s="4" t="s">
        <v>408</v>
      </c>
      <c r="J2507" s="4" t="s">
        <v>409</v>
      </c>
      <c r="K2507" s="13" t="n">
        <v>250</v>
      </c>
      <c r="L2507" s="6" t="n">
        <f aca="false">H2507*K2507</f>
        <v>250</v>
      </c>
      <c r="M2507" s="14" t="s">
        <v>410</v>
      </c>
    </row>
    <row r="2508" customFormat="false" ht="15" hidden="false" customHeight="false" outlineLevel="0" collapsed="false">
      <c r="A2508" s="4" t="s">
        <v>69</v>
      </c>
      <c r="B2508" s="5" t="s">
        <v>72</v>
      </c>
      <c r="C2508" s="5" t="s">
        <v>73</v>
      </c>
      <c r="D2508" s="4" t="s">
        <v>16</v>
      </c>
      <c r="E2508" s="4" t="s">
        <v>3487</v>
      </c>
      <c r="F2508" s="4" t="s">
        <v>406</v>
      </c>
      <c r="G2508" s="4" t="s">
        <v>3488</v>
      </c>
      <c r="H2508" s="12" t="n">
        <v>1</v>
      </c>
      <c r="I2508" s="4" t="s">
        <v>408</v>
      </c>
      <c r="J2508" s="4" t="s">
        <v>409</v>
      </c>
      <c r="K2508" s="13" t="n">
        <v>250</v>
      </c>
      <c r="L2508" s="6" t="n">
        <f aca="false">H2508*K2508</f>
        <v>250</v>
      </c>
      <c r="M2508" s="14" t="s">
        <v>410</v>
      </c>
    </row>
    <row r="2509" customFormat="false" ht="15" hidden="false" customHeight="false" outlineLevel="0" collapsed="false">
      <c r="A2509" s="4" t="s">
        <v>69</v>
      </c>
      <c r="B2509" s="5" t="s">
        <v>72</v>
      </c>
      <c r="C2509" s="5" t="s">
        <v>73</v>
      </c>
      <c r="D2509" s="4" t="s">
        <v>16</v>
      </c>
      <c r="E2509" s="4" t="s">
        <v>3489</v>
      </c>
      <c r="F2509" s="4" t="s">
        <v>406</v>
      </c>
      <c r="G2509" s="4" t="s">
        <v>3490</v>
      </c>
      <c r="H2509" s="12" t="n">
        <v>1</v>
      </c>
      <c r="I2509" s="4" t="s">
        <v>408</v>
      </c>
      <c r="J2509" s="4" t="s">
        <v>409</v>
      </c>
      <c r="K2509" s="13" t="n">
        <v>250</v>
      </c>
      <c r="L2509" s="6" t="n">
        <f aca="false">H2509*K2509</f>
        <v>250</v>
      </c>
      <c r="M2509" s="14" t="s">
        <v>410</v>
      </c>
    </row>
    <row r="2510" customFormat="false" ht="15" hidden="false" customHeight="false" outlineLevel="0" collapsed="false">
      <c r="A2510" s="4" t="s">
        <v>69</v>
      </c>
      <c r="B2510" s="5" t="s">
        <v>72</v>
      </c>
      <c r="C2510" s="5" t="s">
        <v>73</v>
      </c>
      <c r="D2510" s="4" t="s">
        <v>16</v>
      </c>
      <c r="E2510" s="4" t="s">
        <v>880</v>
      </c>
      <c r="F2510" s="4" t="s">
        <v>406</v>
      </c>
      <c r="G2510" s="4" t="s">
        <v>881</v>
      </c>
      <c r="H2510" s="12" t="n">
        <v>1</v>
      </c>
      <c r="I2510" s="4" t="s">
        <v>408</v>
      </c>
      <c r="J2510" s="4" t="s">
        <v>409</v>
      </c>
      <c r="K2510" s="13" t="n">
        <v>650</v>
      </c>
      <c r="L2510" s="6" t="n">
        <f aca="false">H2510*K2510</f>
        <v>650</v>
      </c>
      <c r="M2510" s="14" t="s">
        <v>410</v>
      </c>
    </row>
    <row r="2511" customFormat="false" ht="15" hidden="false" customHeight="false" outlineLevel="0" collapsed="false">
      <c r="A2511" s="4" t="s">
        <v>69</v>
      </c>
      <c r="B2511" s="5" t="s">
        <v>72</v>
      </c>
      <c r="C2511" s="5" t="s">
        <v>73</v>
      </c>
      <c r="D2511" s="4" t="s">
        <v>16</v>
      </c>
      <c r="E2511" s="4" t="s">
        <v>3491</v>
      </c>
      <c r="F2511" s="4" t="s">
        <v>406</v>
      </c>
      <c r="G2511" s="4" t="s">
        <v>3492</v>
      </c>
      <c r="H2511" s="12" t="n">
        <v>1</v>
      </c>
      <c r="I2511" s="4" t="s">
        <v>408</v>
      </c>
      <c r="J2511" s="4" t="s">
        <v>409</v>
      </c>
      <c r="K2511" s="13" t="n">
        <v>350</v>
      </c>
      <c r="L2511" s="6" t="n">
        <f aca="false">H2511*K2511</f>
        <v>350</v>
      </c>
      <c r="M2511" s="14" t="s">
        <v>410</v>
      </c>
    </row>
    <row r="2512" customFormat="false" ht="15" hidden="false" customHeight="false" outlineLevel="0" collapsed="false">
      <c r="A2512" s="4" t="s">
        <v>69</v>
      </c>
      <c r="B2512" s="5" t="s">
        <v>72</v>
      </c>
      <c r="C2512" s="5" t="s">
        <v>73</v>
      </c>
      <c r="D2512" s="4" t="s">
        <v>16</v>
      </c>
      <c r="E2512" s="4" t="s">
        <v>771</v>
      </c>
      <c r="F2512" s="4" t="s">
        <v>406</v>
      </c>
      <c r="G2512" s="4" t="s">
        <v>772</v>
      </c>
      <c r="H2512" s="12" t="n">
        <v>1</v>
      </c>
      <c r="I2512" s="4" t="s">
        <v>408</v>
      </c>
      <c r="J2512" s="4" t="s">
        <v>416</v>
      </c>
      <c r="K2512" s="13" t="n">
        <v>850</v>
      </c>
      <c r="L2512" s="6" t="n">
        <f aca="false">H2512*K2512</f>
        <v>850</v>
      </c>
      <c r="M2512" s="14" t="s">
        <v>410</v>
      </c>
    </row>
    <row r="2513" customFormat="false" ht="15" hidden="false" customHeight="false" outlineLevel="0" collapsed="false">
      <c r="A2513" s="4" t="s">
        <v>69</v>
      </c>
      <c r="B2513" s="5" t="s">
        <v>72</v>
      </c>
      <c r="C2513" s="5" t="s">
        <v>73</v>
      </c>
      <c r="D2513" s="4" t="s">
        <v>16</v>
      </c>
      <c r="E2513" s="4" t="s">
        <v>882</v>
      </c>
      <c r="F2513" s="4" t="s">
        <v>406</v>
      </c>
      <c r="G2513" s="4" t="s">
        <v>766</v>
      </c>
      <c r="H2513" s="12" t="n">
        <v>1</v>
      </c>
      <c r="I2513" s="4" t="s">
        <v>408</v>
      </c>
      <c r="J2513" s="4" t="s">
        <v>409</v>
      </c>
      <c r="K2513" s="13" t="n">
        <v>80</v>
      </c>
      <c r="L2513" s="6" t="n">
        <f aca="false">H2513*K2513</f>
        <v>80</v>
      </c>
      <c r="M2513" s="14" t="s">
        <v>410</v>
      </c>
    </row>
    <row r="2514" customFormat="false" ht="15" hidden="false" customHeight="false" outlineLevel="0" collapsed="false">
      <c r="A2514" s="4" t="s">
        <v>69</v>
      </c>
      <c r="B2514" s="5" t="s">
        <v>72</v>
      </c>
      <c r="C2514" s="5" t="s">
        <v>73</v>
      </c>
      <c r="D2514" s="4" t="s">
        <v>16</v>
      </c>
      <c r="E2514" s="4" t="s">
        <v>3493</v>
      </c>
      <c r="F2514" s="4" t="s">
        <v>406</v>
      </c>
      <c r="G2514" s="4" t="s">
        <v>881</v>
      </c>
      <c r="H2514" s="12" t="n">
        <v>1</v>
      </c>
      <c r="I2514" s="4" t="s">
        <v>408</v>
      </c>
      <c r="J2514" s="4" t="s">
        <v>409</v>
      </c>
      <c r="K2514" s="13" t="n">
        <v>650</v>
      </c>
      <c r="L2514" s="6" t="n">
        <f aca="false">H2514*K2514</f>
        <v>650</v>
      </c>
      <c r="M2514" s="14" t="s">
        <v>410</v>
      </c>
    </row>
    <row r="2515" customFormat="false" ht="15" hidden="false" customHeight="false" outlineLevel="0" collapsed="false">
      <c r="A2515" s="4" t="s">
        <v>69</v>
      </c>
      <c r="B2515" s="5" t="s">
        <v>72</v>
      </c>
      <c r="C2515" s="5" t="s">
        <v>73</v>
      </c>
      <c r="D2515" s="4" t="s">
        <v>16</v>
      </c>
      <c r="E2515" s="4" t="s">
        <v>3494</v>
      </c>
      <c r="F2515" s="4" t="s">
        <v>406</v>
      </c>
      <c r="G2515" s="4" t="s">
        <v>3495</v>
      </c>
      <c r="H2515" s="12" t="n">
        <v>1</v>
      </c>
      <c r="I2515" s="4" t="s">
        <v>408</v>
      </c>
      <c r="J2515" s="4" t="s">
        <v>409</v>
      </c>
      <c r="K2515" s="13" t="n">
        <v>250</v>
      </c>
      <c r="L2515" s="6" t="n">
        <f aca="false">H2515*K2515</f>
        <v>250</v>
      </c>
      <c r="M2515" s="14" t="s">
        <v>410</v>
      </c>
    </row>
    <row r="2516" customFormat="false" ht="15" hidden="false" customHeight="false" outlineLevel="0" collapsed="false">
      <c r="A2516" s="4" t="s">
        <v>69</v>
      </c>
      <c r="B2516" s="5" t="s">
        <v>72</v>
      </c>
      <c r="C2516" s="5" t="s">
        <v>73</v>
      </c>
      <c r="D2516" s="4" t="s">
        <v>16</v>
      </c>
      <c r="E2516" s="4" t="s">
        <v>3496</v>
      </c>
      <c r="F2516" s="4" t="s">
        <v>406</v>
      </c>
      <c r="G2516" s="4" t="s">
        <v>3497</v>
      </c>
      <c r="H2516" s="12" t="n">
        <v>1</v>
      </c>
      <c r="I2516" s="4" t="s">
        <v>408</v>
      </c>
      <c r="J2516" s="4" t="s">
        <v>416</v>
      </c>
      <c r="K2516" s="13" t="n">
        <v>650</v>
      </c>
      <c r="L2516" s="6" t="n">
        <f aca="false">H2516*K2516</f>
        <v>650</v>
      </c>
      <c r="M2516" s="4" t="s">
        <v>371</v>
      </c>
    </row>
    <row r="2517" customFormat="false" ht="15" hidden="false" customHeight="false" outlineLevel="0" collapsed="false">
      <c r="A2517" s="4" t="s">
        <v>69</v>
      </c>
      <c r="B2517" s="5" t="s">
        <v>72</v>
      </c>
      <c r="C2517" s="5" t="s">
        <v>73</v>
      </c>
      <c r="D2517" s="4" t="s">
        <v>16</v>
      </c>
      <c r="E2517" s="4" t="s">
        <v>3498</v>
      </c>
      <c r="F2517" s="4" t="s">
        <v>406</v>
      </c>
      <c r="G2517" s="4" t="s">
        <v>3499</v>
      </c>
      <c r="H2517" s="12" t="n">
        <v>1</v>
      </c>
      <c r="I2517" s="4" t="s">
        <v>408</v>
      </c>
      <c r="J2517" s="4" t="s">
        <v>416</v>
      </c>
      <c r="K2517" s="13" t="n">
        <v>850</v>
      </c>
      <c r="L2517" s="6" t="n">
        <f aca="false">H2517*K2517</f>
        <v>850</v>
      </c>
      <c r="M2517" s="4" t="s">
        <v>371</v>
      </c>
    </row>
    <row r="2518" customFormat="false" ht="15" hidden="false" customHeight="false" outlineLevel="0" collapsed="false">
      <c r="A2518" s="4" t="s">
        <v>69</v>
      </c>
      <c r="B2518" s="5" t="s">
        <v>72</v>
      </c>
      <c r="C2518" s="5" t="s">
        <v>73</v>
      </c>
      <c r="D2518" s="4" t="s">
        <v>16</v>
      </c>
      <c r="E2518" s="4" t="s">
        <v>3500</v>
      </c>
      <c r="F2518" s="4" t="s">
        <v>406</v>
      </c>
      <c r="G2518" s="4" t="s">
        <v>1846</v>
      </c>
      <c r="H2518" s="12" t="n">
        <v>1</v>
      </c>
      <c r="I2518" s="4" t="s">
        <v>408</v>
      </c>
      <c r="J2518" s="4" t="s">
        <v>416</v>
      </c>
      <c r="K2518" s="13" t="n">
        <v>4500</v>
      </c>
      <c r="L2518" s="6" t="n">
        <f aca="false">H2518*K2518</f>
        <v>4500</v>
      </c>
      <c r="M2518" s="14" t="s">
        <v>410</v>
      </c>
    </row>
    <row r="2519" customFormat="false" ht="15" hidden="false" customHeight="false" outlineLevel="0" collapsed="false">
      <c r="A2519" s="4" t="s">
        <v>69</v>
      </c>
      <c r="B2519" s="5" t="s">
        <v>72</v>
      </c>
      <c r="C2519" s="5" t="s">
        <v>73</v>
      </c>
      <c r="D2519" s="4" t="s">
        <v>16</v>
      </c>
      <c r="E2519" s="4" t="s">
        <v>3501</v>
      </c>
      <c r="F2519" s="4" t="s">
        <v>406</v>
      </c>
      <c r="G2519" s="4" t="s">
        <v>3502</v>
      </c>
      <c r="H2519" s="12" t="n">
        <v>1</v>
      </c>
      <c r="I2519" s="4" t="s">
        <v>408</v>
      </c>
      <c r="J2519" s="4" t="s">
        <v>416</v>
      </c>
      <c r="K2519" s="13" t="n">
        <v>450</v>
      </c>
      <c r="L2519" s="6" t="n">
        <f aca="false">H2519*K2519</f>
        <v>450</v>
      </c>
      <c r="M2519" s="4" t="s">
        <v>371</v>
      </c>
    </row>
    <row r="2520" customFormat="false" ht="15" hidden="false" customHeight="false" outlineLevel="0" collapsed="false">
      <c r="A2520" s="4" t="s">
        <v>69</v>
      </c>
      <c r="B2520" s="5" t="s">
        <v>72</v>
      </c>
      <c r="C2520" s="5" t="s">
        <v>73</v>
      </c>
      <c r="D2520" s="4" t="s">
        <v>16</v>
      </c>
      <c r="E2520" s="4" t="s">
        <v>3503</v>
      </c>
      <c r="F2520" s="4" t="s">
        <v>406</v>
      </c>
      <c r="G2520" s="4" t="s">
        <v>3504</v>
      </c>
      <c r="H2520" s="12" t="n">
        <v>1</v>
      </c>
      <c r="I2520" s="4" t="s">
        <v>408</v>
      </c>
      <c r="J2520" s="4" t="s">
        <v>409</v>
      </c>
      <c r="K2520" s="13" t="n">
        <v>180</v>
      </c>
      <c r="L2520" s="6" t="n">
        <f aca="false">H2520*K2520</f>
        <v>180</v>
      </c>
      <c r="M2520" s="14" t="s">
        <v>410</v>
      </c>
    </row>
    <row r="2521" customFormat="false" ht="15" hidden="false" customHeight="false" outlineLevel="0" collapsed="false">
      <c r="A2521" s="4" t="s">
        <v>69</v>
      </c>
      <c r="B2521" s="5" t="s">
        <v>72</v>
      </c>
      <c r="C2521" s="5" t="s">
        <v>73</v>
      </c>
      <c r="D2521" s="4" t="s">
        <v>16</v>
      </c>
      <c r="E2521" s="4" t="s">
        <v>3505</v>
      </c>
      <c r="F2521" s="4" t="s">
        <v>406</v>
      </c>
      <c r="G2521" s="4" t="s">
        <v>3506</v>
      </c>
      <c r="H2521" s="12" t="n">
        <v>1</v>
      </c>
      <c r="I2521" s="4" t="s">
        <v>408</v>
      </c>
      <c r="J2521" s="4" t="s">
        <v>409</v>
      </c>
      <c r="K2521" s="13" t="n">
        <v>85000</v>
      </c>
      <c r="L2521" s="6" t="n">
        <f aca="false">H2521*K2521</f>
        <v>85000</v>
      </c>
      <c r="M2521" s="4" t="s">
        <v>371</v>
      </c>
    </row>
    <row r="2522" customFormat="false" ht="15" hidden="false" customHeight="false" outlineLevel="0" collapsed="false">
      <c r="A2522" s="4" t="s">
        <v>69</v>
      </c>
      <c r="B2522" s="5" t="s">
        <v>72</v>
      </c>
      <c r="C2522" s="5" t="s">
        <v>73</v>
      </c>
      <c r="D2522" s="4" t="s">
        <v>16</v>
      </c>
      <c r="E2522" s="4" t="s">
        <v>3507</v>
      </c>
      <c r="F2522" s="4" t="s">
        <v>406</v>
      </c>
      <c r="G2522" s="4" t="s">
        <v>3508</v>
      </c>
      <c r="H2522" s="12" t="n">
        <v>1</v>
      </c>
      <c r="I2522" s="4" t="s">
        <v>408</v>
      </c>
      <c r="J2522" s="4" t="s">
        <v>409</v>
      </c>
      <c r="K2522" s="13" t="n">
        <v>3500</v>
      </c>
      <c r="L2522" s="6" t="n">
        <f aca="false">H2522*K2522</f>
        <v>3500</v>
      </c>
      <c r="M2522" s="14" t="s">
        <v>410</v>
      </c>
    </row>
    <row r="2523" customFormat="false" ht="15" hidden="false" customHeight="false" outlineLevel="0" collapsed="false">
      <c r="A2523" s="4" t="s">
        <v>69</v>
      </c>
      <c r="B2523" s="5" t="s">
        <v>72</v>
      </c>
      <c r="C2523" s="5" t="s">
        <v>73</v>
      </c>
      <c r="D2523" s="4" t="s">
        <v>16</v>
      </c>
      <c r="E2523" s="4" t="s">
        <v>908</v>
      </c>
      <c r="F2523" s="4" t="s">
        <v>406</v>
      </c>
      <c r="G2523" s="4" t="s">
        <v>909</v>
      </c>
      <c r="H2523" s="12" t="n">
        <v>1</v>
      </c>
      <c r="I2523" s="4" t="s">
        <v>408</v>
      </c>
      <c r="J2523" s="4" t="s">
        <v>409</v>
      </c>
      <c r="K2523" s="13" t="n">
        <v>1800</v>
      </c>
      <c r="L2523" s="6" t="n">
        <f aca="false">H2523*K2523</f>
        <v>1800</v>
      </c>
      <c r="M2523" s="14" t="s">
        <v>410</v>
      </c>
    </row>
    <row r="2524" customFormat="false" ht="15" hidden="false" customHeight="false" outlineLevel="0" collapsed="false">
      <c r="A2524" s="4" t="s">
        <v>69</v>
      </c>
      <c r="B2524" s="5" t="s">
        <v>72</v>
      </c>
      <c r="C2524" s="5" t="s">
        <v>73</v>
      </c>
      <c r="D2524" s="4" t="s">
        <v>16</v>
      </c>
      <c r="E2524" s="4" t="s">
        <v>3509</v>
      </c>
      <c r="F2524" s="4" t="s">
        <v>406</v>
      </c>
      <c r="G2524" s="4" t="s">
        <v>3510</v>
      </c>
      <c r="H2524" s="12" t="n">
        <v>1</v>
      </c>
      <c r="I2524" s="4" t="s">
        <v>408</v>
      </c>
      <c r="J2524" s="4" t="s">
        <v>409</v>
      </c>
      <c r="K2524" s="13" t="n">
        <v>85000</v>
      </c>
      <c r="L2524" s="6" t="n">
        <f aca="false">H2524*K2524</f>
        <v>85000</v>
      </c>
      <c r="M2524" s="4" t="s">
        <v>371</v>
      </c>
    </row>
    <row r="2525" customFormat="false" ht="15" hidden="false" customHeight="false" outlineLevel="0" collapsed="false">
      <c r="A2525" s="4" t="s">
        <v>69</v>
      </c>
      <c r="B2525" s="5" t="s">
        <v>72</v>
      </c>
      <c r="C2525" s="5" t="s">
        <v>73</v>
      </c>
      <c r="D2525" s="4" t="s">
        <v>16</v>
      </c>
      <c r="E2525" s="4" t="s">
        <v>3511</v>
      </c>
      <c r="F2525" s="4" t="s">
        <v>470</v>
      </c>
      <c r="G2525" s="4" t="s">
        <v>3512</v>
      </c>
      <c r="H2525" s="12" t="n">
        <v>1</v>
      </c>
      <c r="I2525" s="4" t="s">
        <v>408</v>
      </c>
      <c r="J2525" s="4" t="s">
        <v>416</v>
      </c>
      <c r="K2525" s="13" t="n">
        <v>18000</v>
      </c>
      <c r="L2525" s="6" t="n">
        <f aca="false">H2525*K2525</f>
        <v>18000</v>
      </c>
      <c r="M2525" s="4" t="s">
        <v>371</v>
      </c>
    </row>
    <row r="2526" customFormat="false" ht="15" hidden="false" customHeight="false" outlineLevel="0" collapsed="false">
      <c r="A2526" s="4" t="s">
        <v>69</v>
      </c>
      <c r="B2526" s="5" t="s">
        <v>72</v>
      </c>
      <c r="C2526" s="5" t="s">
        <v>73</v>
      </c>
      <c r="D2526" s="4" t="s">
        <v>16</v>
      </c>
      <c r="E2526" s="4" t="s">
        <v>3513</v>
      </c>
      <c r="F2526" s="4" t="s">
        <v>470</v>
      </c>
      <c r="G2526" s="4" t="s">
        <v>3514</v>
      </c>
      <c r="H2526" s="12" t="n">
        <v>1</v>
      </c>
      <c r="I2526" s="4" t="s">
        <v>408</v>
      </c>
      <c r="J2526" s="4" t="s">
        <v>409</v>
      </c>
      <c r="K2526" s="13" t="n">
        <v>18000</v>
      </c>
      <c r="L2526" s="6" t="n">
        <f aca="false">H2526*K2526</f>
        <v>18000</v>
      </c>
      <c r="M2526" s="4" t="s">
        <v>371</v>
      </c>
    </row>
    <row r="2527" customFormat="false" ht="15" hidden="false" customHeight="false" outlineLevel="0" collapsed="false">
      <c r="A2527" s="4" t="s">
        <v>69</v>
      </c>
      <c r="B2527" s="5" t="s">
        <v>72</v>
      </c>
      <c r="C2527" s="5" t="s">
        <v>73</v>
      </c>
      <c r="D2527" s="4" t="s">
        <v>16</v>
      </c>
      <c r="E2527" s="4" t="s">
        <v>3515</v>
      </c>
      <c r="F2527" s="4" t="s">
        <v>470</v>
      </c>
      <c r="G2527" s="4" t="s">
        <v>3516</v>
      </c>
      <c r="H2527" s="12" t="n">
        <v>1</v>
      </c>
      <c r="I2527" s="4" t="s">
        <v>408</v>
      </c>
      <c r="J2527" s="4" t="s">
        <v>416</v>
      </c>
      <c r="K2527" s="13" t="n">
        <v>450</v>
      </c>
      <c r="L2527" s="6" t="n">
        <f aca="false">H2527*K2527</f>
        <v>450</v>
      </c>
      <c r="M2527" s="4" t="s">
        <v>371</v>
      </c>
    </row>
    <row r="2528" customFormat="false" ht="15" hidden="false" customHeight="false" outlineLevel="0" collapsed="false">
      <c r="A2528" s="4" t="s">
        <v>69</v>
      </c>
      <c r="B2528" s="5" t="s">
        <v>72</v>
      </c>
      <c r="C2528" s="5" t="s">
        <v>73</v>
      </c>
      <c r="D2528" s="4" t="s">
        <v>16</v>
      </c>
      <c r="E2528" s="4" t="s">
        <v>3517</v>
      </c>
      <c r="F2528" s="4" t="s">
        <v>488</v>
      </c>
      <c r="G2528" s="4" t="s">
        <v>3518</v>
      </c>
      <c r="H2528" s="12" t="n">
        <v>1</v>
      </c>
      <c r="I2528" s="4" t="s">
        <v>408</v>
      </c>
      <c r="J2528" s="4" t="s">
        <v>807</v>
      </c>
      <c r="K2528" s="13" t="n">
        <v>450</v>
      </c>
      <c r="L2528" s="6" t="n">
        <f aca="false">H2528*K2528</f>
        <v>450</v>
      </c>
      <c r="M2528" s="4" t="s">
        <v>371</v>
      </c>
    </row>
    <row r="2529" customFormat="false" ht="15" hidden="false" customHeight="false" outlineLevel="0" collapsed="false">
      <c r="A2529" s="4" t="s">
        <v>69</v>
      </c>
      <c r="B2529" s="5" t="s">
        <v>72</v>
      </c>
      <c r="C2529" s="5" t="s">
        <v>73</v>
      </c>
      <c r="D2529" s="4" t="s">
        <v>16</v>
      </c>
      <c r="E2529" s="4" t="s">
        <v>3519</v>
      </c>
      <c r="F2529" s="4" t="s">
        <v>488</v>
      </c>
      <c r="G2529" s="4" t="s">
        <v>3520</v>
      </c>
      <c r="H2529" s="12" t="n">
        <v>1</v>
      </c>
      <c r="I2529" s="4" t="s">
        <v>408</v>
      </c>
      <c r="J2529" s="4" t="s">
        <v>807</v>
      </c>
      <c r="K2529" s="13" t="n">
        <v>450</v>
      </c>
      <c r="L2529" s="6" t="n">
        <f aca="false">H2529*K2529</f>
        <v>450</v>
      </c>
      <c r="M2529" s="4" t="s">
        <v>371</v>
      </c>
    </row>
    <row r="2530" customFormat="false" ht="15" hidden="false" customHeight="false" outlineLevel="0" collapsed="false">
      <c r="A2530" s="4" t="s">
        <v>69</v>
      </c>
      <c r="B2530" s="5" t="s">
        <v>72</v>
      </c>
      <c r="C2530" s="5" t="s">
        <v>73</v>
      </c>
      <c r="D2530" s="4" t="s">
        <v>16</v>
      </c>
      <c r="E2530" s="4" t="s">
        <v>3521</v>
      </c>
      <c r="F2530" s="4" t="s">
        <v>488</v>
      </c>
      <c r="G2530" s="4" t="s">
        <v>3522</v>
      </c>
      <c r="H2530" s="12" t="n">
        <v>1</v>
      </c>
      <c r="I2530" s="4" t="s">
        <v>408</v>
      </c>
      <c r="J2530" s="4" t="s">
        <v>807</v>
      </c>
      <c r="K2530" s="13" t="n">
        <v>450</v>
      </c>
      <c r="L2530" s="6" t="n">
        <f aca="false">H2530*K2530</f>
        <v>450</v>
      </c>
      <c r="M2530" s="4" t="s">
        <v>371</v>
      </c>
    </row>
    <row r="2531" customFormat="false" ht="15" hidden="false" customHeight="false" outlineLevel="0" collapsed="false">
      <c r="A2531" s="4" t="s">
        <v>69</v>
      </c>
      <c r="B2531" s="5" t="s">
        <v>72</v>
      </c>
      <c r="C2531" s="5" t="s">
        <v>73</v>
      </c>
      <c r="D2531" s="4" t="s">
        <v>16</v>
      </c>
      <c r="E2531" s="4" t="s">
        <v>3523</v>
      </c>
      <c r="F2531" s="4" t="s">
        <v>488</v>
      </c>
      <c r="G2531" s="4" t="s">
        <v>3524</v>
      </c>
      <c r="H2531" s="12" t="n">
        <v>1</v>
      </c>
      <c r="I2531" s="4" t="s">
        <v>408</v>
      </c>
      <c r="J2531" s="4" t="s">
        <v>807</v>
      </c>
      <c r="K2531" s="13" t="n">
        <v>450</v>
      </c>
      <c r="L2531" s="6" t="n">
        <f aca="false">H2531*K2531</f>
        <v>450</v>
      </c>
      <c r="M2531" s="4" t="s">
        <v>371</v>
      </c>
    </row>
    <row r="2532" customFormat="false" ht="15" hidden="false" customHeight="false" outlineLevel="0" collapsed="false">
      <c r="A2532" s="4" t="s">
        <v>69</v>
      </c>
      <c r="B2532" s="5" t="s">
        <v>72</v>
      </c>
      <c r="C2532" s="5" t="s">
        <v>73</v>
      </c>
      <c r="D2532" s="4" t="s">
        <v>16</v>
      </c>
      <c r="E2532" s="4" t="s">
        <v>3525</v>
      </c>
      <c r="F2532" s="4" t="s">
        <v>488</v>
      </c>
      <c r="G2532" s="4" t="s">
        <v>3526</v>
      </c>
      <c r="H2532" s="12" t="n">
        <v>1</v>
      </c>
      <c r="I2532" s="4" t="s">
        <v>408</v>
      </c>
      <c r="J2532" s="4" t="s">
        <v>807</v>
      </c>
      <c r="K2532" s="13" t="n">
        <v>850</v>
      </c>
      <c r="L2532" s="6" t="n">
        <f aca="false">H2532*K2532</f>
        <v>850</v>
      </c>
      <c r="M2532" s="4" t="s">
        <v>371</v>
      </c>
    </row>
    <row r="2533" customFormat="false" ht="15" hidden="false" customHeight="false" outlineLevel="0" collapsed="false">
      <c r="A2533" s="4" t="s">
        <v>69</v>
      </c>
      <c r="B2533" s="5" t="s">
        <v>72</v>
      </c>
      <c r="C2533" s="5" t="s">
        <v>73</v>
      </c>
      <c r="D2533" s="4" t="s">
        <v>16</v>
      </c>
      <c r="E2533" s="4" t="s">
        <v>3527</v>
      </c>
      <c r="F2533" s="4" t="s">
        <v>488</v>
      </c>
      <c r="G2533" s="4" t="s">
        <v>3528</v>
      </c>
      <c r="H2533" s="12" t="n">
        <v>1</v>
      </c>
      <c r="I2533" s="4" t="s">
        <v>408</v>
      </c>
      <c r="J2533" s="4" t="s">
        <v>807</v>
      </c>
      <c r="K2533" s="13" t="n">
        <v>450</v>
      </c>
      <c r="L2533" s="6" t="n">
        <f aca="false">H2533*K2533</f>
        <v>450</v>
      </c>
      <c r="M2533" s="4" t="s">
        <v>371</v>
      </c>
    </row>
    <row r="2534" customFormat="false" ht="15" hidden="false" customHeight="false" outlineLevel="0" collapsed="false">
      <c r="A2534" s="4" t="s">
        <v>69</v>
      </c>
      <c r="B2534" s="5" t="s">
        <v>72</v>
      </c>
      <c r="C2534" s="5" t="s">
        <v>73</v>
      </c>
      <c r="D2534" s="4" t="s">
        <v>16</v>
      </c>
      <c r="E2534" s="4" t="s">
        <v>3529</v>
      </c>
      <c r="F2534" s="4" t="s">
        <v>488</v>
      </c>
      <c r="G2534" s="4" t="s">
        <v>3530</v>
      </c>
      <c r="H2534" s="12" t="n">
        <v>1</v>
      </c>
      <c r="I2534" s="4" t="s">
        <v>408</v>
      </c>
      <c r="J2534" s="4" t="s">
        <v>503</v>
      </c>
      <c r="K2534" s="13" t="n">
        <v>450</v>
      </c>
      <c r="L2534" s="6" t="n">
        <f aca="false">H2534*K2534</f>
        <v>450</v>
      </c>
      <c r="M2534" s="4" t="s">
        <v>371</v>
      </c>
    </row>
    <row r="2535" customFormat="false" ht="15" hidden="false" customHeight="false" outlineLevel="0" collapsed="false">
      <c r="A2535" s="4" t="s">
        <v>69</v>
      </c>
      <c r="B2535" s="5" t="s">
        <v>72</v>
      </c>
      <c r="C2535" s="5" t="s">
        <v>73</v>
      </c>
      <c r="D2535" s="4" t="s">
        <v>16</v>
      </c>
      <c r="E2535" s="4" t="s">
        <v>920</v>
      </c>
      <c r="F2535" s="4" t="s">
        <v>488</v>
      </c>
      <c r="G2535" s="4" t="s">
        <v>921</v>
      </c>
      <c r="H2535" s="12" t="n">
        <v>1</v>
      </c>
      <c r="I2535" s="4" t="s">
        <v>408</v>
      </c>
      <c r="J2535" s="4" t="s">
        <v>506</v>
      </c>
      <c r="K2535" s="13" t="n">
        <v>60</v>
      </c>
      <c r="L2535" s="6" t="n">
        <f aca="false">H2535*K2535</f>
        <v>60</v>
      </c>
      <c r="M2535" s="14" t="s">
        <v>410</v>
      </c>
    </row>
    <row r="2536" customFormat="false" ht="15" hidden="false" customHeight="false" outlineLevel="0" collapsed="false">
      <c r="A2536" s="4" t="s">
        <v>69</v>
      </c>
      <c r="B2536" s="5" t="s">
        <v>72</v>
      </c>
      <c r="C2536" s="5" t="s">
        <v>73</v>
      </c>
      <c r="D2536" s="4" t="s">
        <v>16</v>
      </c>
      <c r="E2536" s="4" t="s">
        <v>3531</v>
      </c>
      <c r="F2536" s="4" t="s">
        <v>488</v>
      </c>
      <c r="G2536" s="4" t="s">
        <v>3460</v>
      </c>
      <c r="H2536" s="12" t="n">
        <v>1</v>
      </c>
      <c r="I2536" s="4" t="s">
        <v>408</v>
      </c>
      <c r="J2536" s="4" t="s">
        <v>791</v>
      </c>
      <c r="K2536" s="13" t="n">
        <v>45</v>
      </c>
      <c r="L2536" s="6" t="n">
        <f aca="false">H2536*K2536</f>
        <v>45</v>
      </c>
      <c r="M2536" s="4" t="s">
        <v>371</v>
      </c>
    </row>
    <row r="2537" customFormat="false" ht="15" hidden="false" customHeight="false" outlineLevel="0" collapsed="false">
      <c r="A2537" s="4" t="s">
        <v>69</v>
      </c>
      <c r="B2537" s="5" t="s">
        <v>72</v>
      </c>
      <c r="C2537" s="5" t="s">
        <v>73</v>
      </c>
      <c r="D2537" s="4" t="s">
        <v>16</v>
      </c>
      <c r="E2537" s="4" t="s">
        <v>3532</v>
      </c>
      <c r="F2537" s="4" t="s">
        <v>488</v>
      </c>
      <c r="G2537" s="4" t="s">
        <v>3533</v>
      </c>
      <c r="H2537" s="12" t="n">
        <v>1</v>
      </c>
      <c r="I2537" s="4" t="s">
        <v>408</v>
      </c>
      <c r="J2537" s="4" t="s">
        <v>807</v>
      </c>
      <c r="K2537" s="13" t="n">
        <v>450</v>
      </c>
      <c r="L2537" s="6" t="n">
        <f aca="false">H2537*K2537</f>
        <v>450</v>
      </c>
      <c r="M2537" s="4" t="s">
        <v>371</v>
      </c>
    </row>
    <row r="2538" customFormat="false" ht="15" hidden="false" customHeight="false" outlineLevel="0" collapsed="false">
      <c r="A2538" s="4" t="s">
        <v>69</v>
      </c>
      <c r="B2538" s="5" t="s">
        <v>72</v>
      </c>
      <c r="C2538" s="5" t="s">
        <v>73</v>
      </c>
      <c r="D2538" s="4" t="s">
        <v>16</v>
      </c>
      <c r="E2538" s="4" t="s">
        <v>3534</v>
      </c>
      <c r="F2538" s="4" t="s">
        <v>488</v>
      </c>
      <c r="G2538" s="4" t="s">
        <v>3535</v>
      </c>
      <c r="H2538" s="12" t="n">
        <v>1</v>
      </c>
      <c r="I2538" s="4" t="s">
        <v>408</v>
      </c>
      <c r="J2538" s="4" t="s">
        <v>409</v>
      </c>
      <c r="K2538" s="13" t="n">
        <v>45</v>
      </c>
      <c r="L2538" s="6" t="n">
        <f aca="false">H2538*K2538</f>
        <v>45</v>
      </c>
      <c r="M2538" s="4" t="s">
        <v>371</v>
      </c>
    </row>
    <row r="2539" customFormat="false" ht="15" hidden="false" customHeight="false" outlineLevel="0" collapsed="false">
      <c r="A2539" s="4" t="s">
        <v>69</v>
      </c>
      <c r="B2539" s="5" t="s">
        <v>72</v>
      </c>
      <c r="C2539" s="5" t="s">
        <v>73</v>
      </c>
      <c r="D2539" s="4" t="s">
        <v>16</v>
      </c>
      <c r="E2539" s="4" t="s">
        <v>792</v>
      </c>
      <c r="F2539" s="4" t="s">
        <v>488</v>
      </c>
      <c r="G2539" s="4" t="s">
        <v>793</v>
      </c>
      <c r="H2539" s="12" t="n">
        <v>1</v>
      </c>
      <c r="I2539" s="4" t="s">
        <v>408</v>
      </c>
      <c r="J2539" s="4" t="s">
        <v>429</v>
      </c>
      <c r="K2539" s="13" t="n">
        <v>150</v>
      </c>
      <c r="L2539" s="6" t="n">
        <f aca="false">H2539*K2539</f>
        <v>150</v>
      </c>
      <c r="M2539" s="4" t="s">
        <v>371</v>
      </c>
    </row>
    <row r="2540" customFormat="false" ht="15" hidden="false" customHeight="false" outlineLevel="0" collapsed="false">
      <c r="A2540" s="4" t="s">
        <v>69</v>
      </c>
      <c r="B2540" s="5" t="s">
        <v>72</v>
      </c>
      <c r="C2540" s="5" t="s">
        <v>73</v>
      </c>
      <c r="D2540" s="4" t="s">
        <v>16</v>
      </c>
      <c r="E2540" s="4" t="s">
        <v>3536</v>
      </c>
      <c r="F2540" s="4" t="s">
        <v>488</v>
      </c>
      <c r="G2540" s="4" t="s">
        <v>855</v>
      </c>
      <c r="H2540" s="12" t="n">
        <v>1</v>
      </c>
      <c r="I2540" s="4" t="s">
        <v>408</v>
      </c>
      <c r="J2540" s="4" t="s">
        <v>503</v>
      </c>
      <c r="K2540" s="13" t="n">
        <v>120</v>
      </c>
      <c r="L2540" s="6" t="n">
        <f aca="false">H2540*K2540</f>
        <v>120</v>
      </c>
      <c r="M2540" s="4" t="s">
        <v>371</v>
      </c>
    </row>
    <row r="2541" customFormat="false" ht="15" hidden="false" customHeight="false" outlineLevel="0" collapsed="false">
      <c r="A2541" s="4" t="s">
        <v>69</v>
      </c>
      <c r="B2541" s="5" t="s">
        <v>72</v>
      </c>
      <c r="C2541" s="5" t="s">
        <v>73</v>
      </c>
      <c r="D2541" s="4" t="s">
        <v>16</v>
      </c>
      <c r="E2541" s="4" t="s">
        <v>3537</v>
      </c>
      <c r="F2541" s="4" t="s">
        <v>488</v>
      </c>
      <c r="G2541" s="4" t="s">
        <v>3538</v>
      </c>
      <c r="H2541" s="12" t="n">
        <v>1</v>
      </c>
      <c r="I2541" s="4" t="s">
        <v>408</v>
      </c>
      <c r="J2541" s="4" t="s">
        <v>503</v>
      </c>
      <c r="K2541" s="13" t="n">
        <v>250</v>
      </c>
      <c r="L2541" s="6" t="n">
        <f aca="false">H2541*K2541</f>
        <v>250</v>
      </c>
      <c r="M2541" s="4" t="s">
        <v>371</v>
      </c>
    </row>
    <row r="2542" customFormat="false" ht="15" hidden="false" customHeight="false" outlineLevel="0" collapsed="false">
      <c r="A2542" s="4" t="s">
        <v>69</v>
      </c>
      <c r="B2542" s="5" t="s">
        <v>74</v>
      </c>
      <c r="C2542" s="5" t="s">
        <v>75</v>
      </c>
      <c r="D2542" s="4" t="s">
        <v>16</v>
      </c>
      <c r="E2542" s="4" t="s">
        <v>3539</v>
      </c>
      <c r="F2542" s="4" t="s">
        <v>406</v>
      </c>
      <c r="G2542" s="4" t="s">
        <v>3540</v>
      </c>
      <c r="H2542" s="12" t="n">
        <v>1</v>
      </c>
      <c r="I2542" s="4" t="s">
        <v>408</v>
      </c>
      <c r="J2542" s="4" t="s">
        <v>409</v>
      </c>
      <c r="K2542" s="13" t="n">
        <v>120</v>
      </c>
      <c r="L2542" s="6" t="n">
        <f aca="false">H2542*K2542</f>
        <v>120</v>
      </c>
      <c r="M2542" s="14" t="s">
        <v>410</v>
      </c>
    </row>
    <row r="2543" customFormat="false" ht="15" hidden="false" customHeight="false" outlineLevel="0" collapsed="false">
      <c r="A2543" s="4" t="s">
        <v>69</v>
      </c>
      <c r="B2543" s="5" t="s">
        <v>74</v>
      </c>
      <c r="C2543" s="5" t="s">
        <v>75</v>
      </c>
      <c r="D2543" s="4" t="s">
        <v>16</v>
      </c>
      <c r="E2543" s="4" t="s">
        <v>777</v>
      </c>
      <c r="F2543" s="4" t="s">
        <v>406</v>
      </c>
      <c r="G2543" s="4" t="s">
        <v>778</v>
      </c>
      <c r="H2543" s="12" t="n">
        <v>1</v>
      </c>
      <c r="I2543" s="4" t="s">
        <v>408</v>
      </c>
      <c r="J2543" s="4" t="s">
        <v>409</v>
      </c>
      <c r="K2543" s="13" t="n">
        <v>120</v>
      </c>
      <c r="L2543" s="6" t="n">
        <f aca="false">H2543*K2543</f>
        <v>120</v>
      </c>
      <c r="M2543" s="14" t="s">
        <v>410</v>
      </c>
    </row>
    <row r="2544" customFormat="false" ht="15" hidden="false" customHeight="false" outlineLevel="0" collapsed="false">
      <c r="A2544" s="4" t="s">
        <v>69</v>
      </c>
      <c r="B2544" s="5" t="s">
        <v>74</v>
      </c>
      <c r="C2544" s="5" t="s">
        <v>75</v>
      </c>
      <c r="D2544" s="4" t="s">
        <v>16</v>
      </c>
      <c r="E2544" s="4" t="s">
        <v>3541</v>
      </c>
      <c r="F2544" s="4" t="s">
        <v>406</v>
      </c>
      <c r="G2544" s="4" t="s">
        <v>3542</v>
      </c>
      <c r="H2544" s="12" t="n">
        <v>1</v>
      </c>
      <c r="I2544" s="4" t="s">
        <v>408</v>
      </c>
      <c r="J2544" s="4" t="s">
        <v>409</v>
      </c>
      <c r="K2544" s="13" t="n">
        <v>350</v>
      </c>
      <c r="L2544" s="6" t="n">
        <f aca="false">H2544*K2544</f>
        <v>350</v>
      </c>
      <c r="M2544" s="14" t="s">
        <v>410</v>
      </c>
    </row>
    <row r="2545" customFormat="false" ht="15" hidden="false" customHeight="false" outlineLevel="0" collapsed="false">
      <c r="A2545" s="4" t="s">
        <v>69</v>
      </c>
      <c r="B2545" s="5" t="s">
        <v>74</v>
      </c>
      <c r="C2545" s="5" t="s">
        <v>75</v>
      </c>
      <c r="D2545" s="4" t="s">
        <v>16</v>
      </c>
      <c r="E2545" s="4" t="s">
        <v>2163</v>
      </c>
      <c r="F2545" s="4" t="s">
        <v>470</v>
      </c>
      <c r="G2545" s="4" t="s">
        <v>2164</v>
      </c>
      <c r="H2545" s="12" t="n">
        <v>1</v>
      </c>
      <c r="I2545" s="4" t="s">
        <v>408</v>
      </c>
      <c r="J2545" s="4" t="s">
        <v>409</v>
      </c>
      <c r="K2545" s="13" t="n">
        <v>35000</v>
      </c>
      <c r="L2545" s="6" t="n">
        <f aca="false">H2545*K2545</f>
        <v>35000</v>
      </c>
      <c r="M2545" s="14" t="s">
        <v>410</v>
      </c>
    </row>
    <row r="2546" customFormat="false" ht="15" hidden="false" customHeight="false" outlineLevel="0" collapsed="false">
      <c r="A2546" s="4" t="s">
        <v>69</v>
      </c>
      <c r="B2546" s="5" t="s">
        <v>74</v>
      </c>
      <c r="C2546" s="5" t="s">
        <v>75</v>
      </c>
      <c r="D2546" s="4" t="s">
        <v>16</v>
      </c>
      <c r="E2546" s="4" t="s">
        <v>3543</v>
      </c>
      <c r="F2546" s="4" t="s">
        <v>470</v>
      </c>
      <c r="G2546" s="4" t="s">
        <v>3544</v>
      </c>
      <c r="H2546" s="12" t="n">
        <v>1</v>
      </c>
      <c r="I2546" s="4" t="s">
        <v>408</v>
      </c>
      <c r="J2546" s="4" t="s">
        <v>416</v>
      </c>
      <c r="K2546" s="13" t="n">
        <v>8500</v>
      </c>
      <c r="L2546" s="6" t="n">
        <f aca="false">H2546*K2546</f>
        <v>8500</v>
      </c>
      <c r="M2546" s="4" t="s">
        <v>371</v>
      </c>
    </row>
    <row r="2547" customFormat="false" ht="15" hidden="false" customHeight="false" outlineLevel="0" collapsed="false">
      <c r="A2547" s="4" t="s">
        <v>69</v>
      </c>
      <c r="B2547" s="5" t="s">
        <v>74</v>
      </c>
      <c r="C2547" s="5" t="s">
        <v>75</v>
      </c>
      <c r="D2547" s="4" t="s">
        <v>16</v>
      </c>
      <c r="E2547" s="4" t="s">
        <v>1616</v>
      </c>
      <c r="F2547" s="4" t="s">
        <v>470</v>
      </c>
      <c r="G2547" s="4" t="s">
        <v>1617</v>
      </c>
      <c r="H2547" s="12" t="n">
        <v>1</v>
      </c>
      <c r="I2547" s="4" t="s">
        <v>408</v>
      </c>
      <c r="J2547" s="4" t="s">
        <v>409</v>
      </c>
      <c r="K2547" s="13" t="n">
        <v>12000</v>
      </c>
      <c r="L2547" s="6" t="n">
        <f aca="false">H2547*K2547</f>
        <v>12000</v>
      </c>
      <c r="M2547" s="14" t="s">
        <v>410</v>
      </c>
    </row>
    <row r="2548" customFormat="false" ht="15" hidden="false" customHeight="false" outlineLevel="0" collapsed="false">
      <c r="A2548" s="4" t="s">
        <v>69</v>
      </c>
      <c r="B2548" s="5" t="s">
        <v>74</v>
      </c>
      <c r="C2548" s="5" t="s">
        <v>75</v>
      </c>
      <c r="D2548" s="4" t="s">
        <v>16</v>
      </c>
      <c r="E2548" s="4" t="s">
        <v>1697</v>
      </c>
      <c r="F2548" s="4" t="s">
        <v>470</v>
      </c>
      <c r="G2548" s="4" t="s">
        <v>1698</v>
      </c>
      <c r="H2548" s="12" t="n">
        <v>1</v>
      </c>
      <c r="I2548" s="4" t="s">
        <v>408</v>
      </c>
      <c r="J2548" s="4" t="s">
        <v>409</v>
      </c>
      <c r="K2548" s="13" t="n">
        <v>45000</v>
      </c>
      <c r="L2548" s="6" t="n">
        <f aca="false">H2548*K2548</f>
        <v>45000</v>
      </c>
      <c r="M2548" s="14" t="s">
        <v>410</v>
      </c>
    </row>
    <row r="2549" customFormat="false" ht="15" hidden="false" customHeight="false" outlineLevel="0" collapsed="false">
      <c r="A2549" s="4" t="s">
        <v>69</v>
      </c>
      <c r="B2549" s="5" t="s">
        <v>74</v>
      </c>
      <c r="C2549" s="5" t="s">
        <v>75</v>
      </c>
      <c r="D2549" s="4" t="s">
        <v>16</v>
      </c>
      <c r="E2549" s="4" t="s">
        <v>3545</v>
      </c>
      <c r="F2549" s="4" t="s">
        <v>470</v>
      </c>
      <c r="G2549" s="4" t="s">
        <v>3546</v>
      </c>
      <c r="H2549" s="12" t="n">
        <v>1</v>
      </c>
      <c r="I2549" s="4" t="s">
        <v>408</v>
      </c>
      <c r="J2549" s="4" t="s">
        <v>416</v>
      </c>
      <c r="K2549" s="13" t="n">
        <v>4500</v>
      </c>
      <c r="L2549" s="6" t="n">
        <f aca="false">H2549*K2549</f>
        <v>4500</v>
      </c>
      <c r="M2549" s="4" t="s">
        <v>371</v>
      </c>
    </row>
    <row r="2550" customFormat="false" ht="15" hidden="false" customHeight="false" outlineLevel="0" collapsed="false">
      <c r="A2550" s="4" t="s">
        <v>69</v>
      </c>
      <c r="B2550" s="5" t="s">
        <v>74</v>
      </c>
      <c r="C2550" s="5" t="s">
        <v>75</v>
      </c>
      <c r="D2550" s="4" t="s">
        <v>16</v>
      </c>
      <c r="E2550" s="4" t="s">
        <v>3547</v>
      </c>
      <c r="F2550" s="4" t="s">
        <v>470</v>
      </c>
      <c r="G2550" s="4" t="s">
        <v>3548</v>
      </c>
      <c r="H2550" s="12" t="n">
        <v>1</v>
      </c>
      <c r="I2550" s="4" t="s">
        <v>408</v>
      </c>
      <c r="J2550" s="4" t="s">
        <v>416</v>
      </c>
      <c r="K2550" s="13" t="n">
        <v>850</v>
      </c>
      <c r="L2550" s="6" t="n">
        <f aca="false">H2550*K2550</f>
        <v>850</v>
      </c>
      <c r="M2550" s="4" t="s">
        <v>371</v>
      </c>
    </row>
    <row r="2551" customFormat="false" ht="15" hidden="false" customHeight="false" outlineLevel="0" collapsed="false">
      <c r="A2551" s="4" t="s">
        <v>69</v>
      </c>
      <c r="B2551" s="5" t="s">
        <v>74</v>
      </c>
      <c r="C2551" s="5" t="s">
        <v>75</v>
      </c>
      <c r="D2551" s="4" t="s">
        <v>16</v>
      </c>
      <c r="E2551" s="4" t="s">
        <v>3549</v>
      </c>
      <c r="F2551" s="4" t="s">
        <v>470</v>
      </c>
      <c r="G2551" s="4" t="s">
        <v>3550</v>
      </c>
      <c r="H2551" s="12" t="n">
        <v>1</v>
      </c>
      <c r="I2551" s="4" t="s">
        <v>408</v>
      </c>
      <c r="J2551" s="4" t="s">
        <v>409</v>
      </c>
      <c r="K2551" s="13" t="n">
        <v>850</v>
      </c>
      <c r="L2551" s="6" t="n">
        <f aca="false">H2551*K2551</f>
        <v>850</v>
      </c>
      <c r="M2551" s="4" t="s">
        <v>371</v>
      </c>
    </row>
    <row r="2552" customFormat="false" ht="15" hidden="false" customHeight="false" outlineLevel="0" collapsed="false">
      <c r="A2552" s="4" t="s">
        <v>69</v>
      </c>
      <c r="B2552" s="5" t="s">
        <v>74</v>
      </c>
      <c r="C2552" s="5" t="s">
        <v>75</v>
      </c>
      <c r="D2552" s="4" t="s">
        <v>16</v>
      </c>
      <c r="E2552" s="4" t="s">
        <v>3551</v>
      </c>
      <c r="F2552" s="4" t="s">
        <v>470</v>
      </c>
      <c r="G2552" s="4" t="s">
        <v>3552</v>
      </c>
      <c r="H2552" s="12" t="n">
        <v>1</v>
      </c>
      <c r="I2552" s="4" t="s">
        <v>408</v>
      </c>
      <c r="J2552" s="4" t="s">
        <v>416</v>
      </c>
      <c r="K2552" s="13" t="n">
        <v>2500</v>
      </c>
      <c r="L2552" s="6" t="n">
        <f aca="false">H2552*K2552</f>
        <v>2500</v>
      </c>
      <c r="M2552" s="4" t="s">
        <v>371</v>
      </c>
    </row>
    <row r="2553" customFormat="false" ht="15" hidden="false" customHeight="false" outlineLevel="0" collapsed="false">
      <c r="A2553" s="4" t="s">
        <v>69</v>
      </c>
      <c r="B2553" s="5" t="s">
        <v>74</v>
      </c>
      <c r="C2553" s="5" t="s">
        <v>75</v>
      </c>
      <c r="D2553" s="4" t="s">
        <v>16</v>
      </c>
      <c r="E2553" s="4" t="s">
        <v>3553</v>
      </c>
      <c r="F2553" s="4" t="s">
        <v>470</v>
      </c>
      <c r="G2553" s="4" t="s">
        <v>3554</v>
      </c>
      <c r="H2553" s="12" t="n">
        <v>1</v>
      </c>
      <c r="I2553" s="4" t="s">
        <v>408</v>
      </c>
      <c r="J2553" s="4" t="s">
        <v>409</v>
      </c>
      <c r="K2553" s="13" t="n">
        <v>850</v>
      </c>
      <c r="L2553" s="6" t="n">
        <f aca="false">H2553*K2553</f>
        <v>850</v>
      </c>
      <c r="M2553" s="4" t="s">
        <v>371</v>
      </c>
    </row>
    <row r="2554" customFormat="false" ht="15" hidden="false" customHeight="false" outlineLevel="0" collapsed="false">
      <c r="A2554" s="4" t="s">
        <v>69</v>
      </c>
      <c r="B2554" s="5" t="s">
        <v>74</v>
      </c>
      <c r="C2554" s="5" t="s">
        <v>75</v>
      </c>
      <c r="D2554" s="4" t="s">
        <v>16</v>
      </c>
      <c r="E2554" s="4" t="s">
        <v>3555</v>
      </c>
      <c r="F2554" s="4" t="s">
        <v>470</v>
      </c>
      <c r="G2554" s="4" t="s">
        <v>3556</v>
      </c>
      <c r="H2554" s="12" t="n">
        <v>1</v>
      </c>
      <c r="I2554" s="4" t="s">
        <v>408</v>
      </c>
      <c r="J2554" s="4" t="s">
        <v>416</v>
      </c>
      <c r="K2554" s="13" t="n">
        <v>250</v>
      </c>
      <c r="L2554" s="6" t="n">
        <f aca="false">H2554*K2554</f>
        <v>250</v>
      </c>
      <c r="M2554" s="4" t="s">
        <v>371</v>
      </c>
    </row>
    <row r="2555" customFormat="false" ht="15" hidden="false" customHeight="false" outlineLevel="0" collapsed="false">
      <c r="A2555" s="4" t="s">
        <v>69</v>
      </c>
      <c r="B2555" s="5" t="s">
        <v>74</v>
      </c>
      <c r="C2555" s="5" t="s">
        <v>75</v>
      </c>
      <c r="D2555" s="4" t="s">
        <v>16</v>
      </c>
      <c r="E2555" s="4" t="s">
        <v>3557</v>
      </c>
      <c r="F2555" s="4" t="s">
        <v>470</v>
      </c>
      <c r="G2555" s="4" t="s">
        <v>3558</v>
      </c>
      <c r="H2555" s="12" t="n">
        <v>1</v>
      </c>
      <c r="I2555" s="4" t="s">
        <v>408</v>
      </c>
      <c r="J2555" s="4" t="s">
        <v>416</v>
      </c>
      <c r="K2555" s="13" t="n">
        <v>450</v>
      </c>
      <c r="L2555" s="6" t="n">
        <f aca="false">H2555*K2555</f>
        <v>450</v>
      </c>
      <c r="M2555" s="4" t="s">
        <v>371</v>
      </c>
    </row>
    <row r="2556" customFormat="false" ht="15" hidden="false" customHeight="false" outlineLevel="0" collapsed="false">
      <c r="A2556" s="4" t="s">
        <v>69</v>
      </c>
      <c r="B2556" s="5" t="s">
        <v>74</v>
      </c>
      <c r="C2556" s="5" t="s">
        <v>75</v>
      </c>
      <c r="D2556" s="4" t="s">
        <v>16</v>
      </c>
      <c r="E2556" s="4" t="s">
        <v>3559</v>
      </c>
      <c r="F2556" s="4" t="s">
        <v>470</v>
      </c>
      <c r="G2556" s="4" t="s">
        <v>3560</v>
      </c>
      <c r="H2556" s="12" t="n">
        <v>1</v>
      </c>
      <c r="I2556" s="4" t="s">
        <v>408</v>
      </c>
      <c r="J2556" s="4" t="s">
        <v>409</v>
      </c>
      <c r="K2556" s="13" t="n">
        <v>850</v>
      </c>
      <c r="L2556" s="6" t="n">
        <f aca="false">H2556*K2556</f>
        <v>850</v>
      </c>
      <c r="M2556" s="4" t="s">
        <v>371</v>
      </c>
    </row>
    <row r="2557" customFormat="false" ht="15" hidden="false" customHeight="false" outlineLevel="0" collapsed="false">
      <c r="A2557" s="4" t="s">
        <v>69</v>
      </c>
      <c r="B2557" s="5" t="s">
        <v>74</v>
      </c>
      <c r="C2557" s="5" t="s">
        <v>75</v>
      </c>
      <c r="D2557" s="4" t="s">
        <v>16</v>
      </c>
      <c r="E2557" s="4" t="s">
        <v>3561</v>
      </c>
      <c r="F2557" s="4" t="s">
        <v>470</v>
      </c>
      <c r="G2557" s="4" t="s">
        <v>3562</v>
      </c>
      <c r="H2557" s="12" t="n">
        <v>1</v>
      </c>
      <c r="I2557" s="4" t="s">
        <v>408</v>
      </c>
      <c r="J2557" s="4" t="s">
        <v>416</v>
      </c>
      <c r="K2557" s="13" t="n">
        <v>850</v>
      </c>
      <c r="L2557" s="6" t="n">
        <f aca="false">H2557*K2557</f>
        <v>850</v>
      </c>
      <c r="M2557" s="4" t="s">
        <v>371</v>
      </c>
    </row>
    <row r="2558" customFormat="false" ht="15" hidden="false" customHeight="false" outlineLevel="0" collapsed="false">
      <c r="A2558" s="4" t="s">
        <v>69</v>
      </c>
      <c r="B2558" s="5" t="s">
        <v>74</v>
      </c>
      <c r="C2558" s="5" t="s">
        <v>75</v>
      </c>
      <c r="D2558" s="4" t="s">
        <v>16</v>
      </c>
      <c r="E2558" s="4" t="s">
        <v>3563</v>
      </c>
      <c r="F2558" s="4" t="s">
        <v>470</v>
      </c>
      <c r="G2558" s="4" t="s">
        <v>3564</v>
      </c>
      <c r="H2558" s="12" t="n">
        <v>1</v>
      </c>
      <c r="I2558" s="4" t="s">
        <v>408</v>
      </c>
      <c r="J2558" s="4" t="s">
        <v>416</v>
      </c>
      <c r="K2558" s="13" t="n">
        <v>850</v>
      </c>
      <c r="L2558" s="6" t="n">
        <f aca="false">H2558*K2558</f>
        <v>850</v>
      </c>
      <c r="M2558" s="4" t="s">
        <v>371</v>
      </c>
    </row>
    <row r="2559" customFormat="false" ht="15" hidden="false" customHeight="false" outlineLevel="0" collapsed="false">
      <c r="A2559" s="4" t="s">
        <v>69</v>
      </c>
      <c r="B2559" s="5" t="s">
        <v>74</v>
      </c>
      <c r="C2559" s="5" t="s">
        <v>75</v>
      </c>
      <c r="D2559" s="4" t="s">
        <v>16</v>
      </c>
      <c r="E2559" s="4" t="s">
        <v>3565</v>
      </c>
      <c r="F2559" s="4" t="s">
        <v>470</v>
      </c>
      <c r="G2559" s="4" t="s">
        <v>3566</v>
      </c>
      <c r="H2559" s="12" t="n">
        <v>1</v>
      </c>
      <c r="I2559" s="4" t="s">
        <v>408</v>
      </c>
      <c r="J2559" s="4" t="s">
        <v>416</v>
      </c>
      <c r="K2559" s="13" t="n">
        <v>850</v>
      </c>
      <c r="L2559" s="6" t="n">
        <f aca="false">H2559*K2559</f>
        <v>850</v>
      </c>
      <c r="M2559" s="4" t="s">
        <v>371</v>
      </c>
    </row>
    <row r="2560" customFormat="false" ht="15" hidden="false" customHeight="false" outlineLevel="0" collapsed="false">
      <c r="A2560" s="4" t="s">
        <v>69</v>
      </c>
      <c r="B2560" s="5" t="s">
        <v>74</v>
      </c>
      <c r="C2560" s="5" t="s">
        <v>75</v>
      </c>
      <c r="D2560" s="4" t="s">
        <v>16</v>
      </c>
      <c r="E2560" s="4" t="s">
        <v>3567</v>
      </c>
      <c r="F2560" s="4" t="s">
        <v>470</v>
      </c>
      <c r="G2560" s="4" t="s">
        <v>3568</v>
      </c>
      <c r="H2560" s="12" t="n">
        <v>1</v>
      </c>
      <c r="I2560" s="4" t="s">
        <v>408</v>
      </c>
      <c r="J2560" s="4" t="s">
        <v>416</v>
      </c>
      <c r="K2560" s="13" t="n">
        <v>850</v>
      </c>
      <c r="L2560" s="6" t="n">
        <f aca="false">H2560*K2560</f>
        <v>850</v>
      </c>
      <c r="M2560" s="4" t="s">
        <v>371</v>
      </c>
    </row>
    <row r="2561" customFormat="false" ht="15" hidden="false" customHeight="false" outlineLevel="0" collapsed="false">
      <c r="A2561" s="4" t="s">
        <v>69</v>
      </c>
      <c r="B2561" s="5" t="s">
        <v>74</v>
      </c>
      <c r="C2561" s="5" t="s">
        <v>75</v>
      </c>
      <c r="D2561" s="4" t="s">
        <v>16</v>
      </c>
      <c r="E2561" s="4" t="s">
        <v>3569</v>
      </c>
      <c r="F2561" s="4" t="s">
        <v>470</v>
      </c>
      <c r="G2561" s="4" t="s">
        <v>3570</v>
      </c>
      <c r="H2561" s="12" t="n">
        <v>1</v>
      </c>
      <c r="I2561" s="4" t="s">
        <v>408</v>
      </c>
      <c r="J2561" s="4" t="s">
        <v>416</v>
      </c>
      <c r="K2561" s="13" t="n">
        <v>650</v>
      </c>
      <c r="L2561" s="6" t="n">
        <f aca="false">H2561*K2561</f>
        <v>650</v>
      </c>
      <c r="M2561" s="4" t="s">
        <v>371</v>
      </c>
    </row>
    <row r="2562" customFormat="false" ht="15" hidden="false" customHeight="false" outlineLevel="0" collapsed="false">
      <c r="A2562" s="4" t="s">
        <v>69</v>
      </c>
      <c r="B2562" s="5" t="s">
        <v>74</v>
      </c>
      <c r="C2562" s="5" t="s">
        <v>75</v>
      </c>
      <c r="D2562" s="4" t="s">
        <v>16</v>
      </c>
      <c r="E2562" s="4" t="s">
        <v>3571</v>
      </c>
      <c r="F2562" s="4" t="s">
        <v>470</v>
      </c>
      <c r="G2562" s="4" t="s">
        <v>3572</v>
      </c>
      <c r="H2562" s="12" t="n">
        <v>1</v>
      </c>
      <c r="I2562" s="4" t="s">
        <v>408</v>
      </c>
      <c r="J2562" s="4" t="s">
        <v>409</v>
      </c>
      <c r="K2562" s="13" t="n">
        <v>850</v>
      </c>
      <c r="L2562" s="6" t="n">
        <f aca="false">H2562*K2562</f>
        <v>850</v>
      </c>
      <c r="M2562" s="4" t="s">
        <v>371</v>
      </c>
    </row>
    <row r="2563" customFormat="false" ht="15" hidden="false" customHeight="false" outlineLevel="0" collapsed="false">
      <c r="A2563" s="4" t="s">
        <v>69</v>
      </c>
      <c r="B2563" s="5" t="s">
        <v>74</v>
      </c>
      <c r="C2563" s="5" t="s">
        <v>75</v>
      </c>
      <c r="D2563" s="4" t="s">
        <v>16</v>
      </c>
      <c r="E2563" s="4" t="s">
        <v>3573</v>
      </c>
      <c r="F2563" s="4" t="s">
        <v>470</v>
      </c>
      <c r="G2563" s="4" t="s">
        <v>3574</v>
      </c>
      <c r="H2563" s="12" t="n">
        <v>1</v>
      </c>
      <c r="I2563" s="4" t="s">
        <v>408</v>
      </c>
      <c r="J2563" s="4" t="s">
        <v>416</v>
      </c>
      <c r="K2563" s="13" t="n">
        <v>850</v>
      </c>
      <c r="L2563" s="6" t="n">
        <f aca="false">H2563*K2563</f>
        <v>850</v>
      </c>
      <c r="M2563" s="4" t="s">
        <v>371</v>
      </c>
    </row>
    <row r="2564" customFormat="false" ht="15" hidden="false" customHeight="false" outlineLevel="0" collapsed="false">
      <c r="A2564" s="4" t="s">
        <v>69</v>
      </c>
      <c r="B2564" s="5" t="s">
        <v>74</v>
      </c>
      <c r="C2564" s="5" t="s">
        <v>75</v>
      </c>
      <c r="D2564" s="4" t="s">
        <v>16</v>
      </c>
      <c r="E2564" s="4" t="s">
        <v>3575</v>
      </c>
      <c r="F2564" s="4" t="s">
        <v>488</v>
      </c>
      <c r="G2564" s="4" t="s">
        <v>3576</v>
      </c>
      <c r="H2564" s="12" t="n">
        <v>1</v>
      </c>
      <c r="I2564" s="4" t="s">
        <v>408</v>
      </c>
      <c r="J2564" s="4" t="s">
        <v>416</v>
      </c>
      <c r="K2564" s="13" t="n">
        <v>80</v>
      </c>
      <c r="L2564" s="6" t="n">
        <f aca="false">H2564*K2564</f>
        <v>80</v>
      </c>
      <c r="M2564" s="4" t="s">
        <v>371</v>
      </c>
    </row>
    <row r="2565" customFormat="false" ht="15" hidden="false" customHeight="false" outlineLevel="0" collapsed="false">
      <c r="A2565" s="4" t="s">
        <v>69</v>
      </c>
      <c r="B2565" s="5" t="s">
        <v>76</v>
      </c>
      <c r="C2565" s="5" t="s">
        <v>77</v>
      </c>
      <c r="D2565" s="4" t="s">
        <v>16</v>
      </c>
      <c r="E2565" s="4" t="s">
        <v>874</v>
      </c>
      <c r="F2565" s="4" t="s">
        <v>406</v>
      </c>
      <c r="G2565" s="4" t="s">
        <v>875</v>
      </c>
      <c r="H2565" s="12" t="n">
        <v>1</v>
      </c>
      <c r="I2565" s="4" t="s">
        <v>408</v>
      </c>
      <c r="J2565" s="4" t="s">
        <v>409</v>
      </c>
      <c r="K2565" s="13" t="n">
        <v>80</v>
      </c>
      <c r="L2565" s="6" t="n">
        <f aca="false">H2565*K2565</f>
        <v>80</v>
      </c>
      <c r="M2565" s="14" t="s">
        <v>410</v>
      </c>
    </row>
    <row r="2566" customFormat="false" ht="15" hidden="false" customHeight="false" outlineLevel="0" collapsed="false">
      <c r="A2566" s="4" t="s">
        <v>69</v>
      </c>
      <c r="B2566" s="5" t="s">
        <v>76</v>
      </c>
      <c r="C2566" s="5" t="s">
        <v>77</v>
      </c>
      <c r="D2566" s="4" t="s">
        <v>16</v>
      </c>
      <c r="E2566" s="4" t="s">
        <v>1674</v>
      </c>
      <c r="F2566" s="4" t="s">
        <v>406</v>
      </c>
      <c r="G2566" s="4" t="s">
        <v>778</v>
      </c>
      <c r="H2566" s="12" t="n">
        <v>1</v>
      </c>
      <c r="I2566" s="4" t="s">
        <v>408</v>
      </c>
      <c r="J2566" s="4" t="s">
        <v>409</v>
      </c>
      <c r="K2566" s="13" t="n">
        <v>120</v>
      </c>
      <c r="L2566" s="6" t="n">
        <f aca="false">H2566*K2566</f>
        <v>120</v>
      </c>
      <c r="M2566" s="14" t="s">
        <v>410</v>
      </c>
    </row>
    <row r="2567" customFormat="false" ht="15" hidden="false" customHeight="false" outlineLevel="0" collapsed="false">
      <c r="A2567" s="4" t="s">
        <v>69</v>
      </c>
      <c r="B2567" s="5" t="s">
        <v>76</v>
      </c>
      <c r="C2567" s="5" t="s">
        <v>77</v>
      </c>
      <c r="D2567" s="4" t="s">
        <v>16</v>
      </c>
      <c r="E2567" s="4" t="s">
        <v>876</v>
      </c>
      <c r="F2567" s="4" t="s">
        <v>406</v>
      </c>
      <c r="G2567" s="4" t="s">
        <v>877</v>
      </c>
      <c r="H2567" s="12" t="n">
        <v>1</v>
      </c>
      <c r="I2567" s="4" t="s">
        <v>408</v>
      </c>
      <c r="J2567" s="4" t="s">
        <v>409</v>
      </c>
      <c r="K2567" s="13" t="n">
        <v>180</v>
      </c>
      <c r="L2567" s="6" t="n">
        <f aca="false">H2567*K2567</f>
        <v>180</v>
      </c>
      <c r="M2567" s="14" t="s">
        <v>410</v>
      </c>
    </row>
    <row r="2568" customFormat="false" ht="15" hidden="false" customHeight="false" outlineLevel="0" collapsed="false">
      <c r="A2568" s="4" t="s">
        <v>69</v>
      </c>
      <c r="B2568" s="5" t="s">
        <v>76</v>
      </c>
      <c r="C2568" s="5" t="s">
        <v>77</v>
      </c>
      <c r="D2568" s="4" t="s">
        <v>16</v>
      </c>
      <c r="E2568" s="4" t="s">
        <v>771</v>
      </c>
      <c r="F2568" s="4" t="s">
        <v>406</v>
      </c>
      <c r="G2568" s="4" t="s">
        <v>772</v>
      </c>
      <c r="H2568" s="12" t="n">
        <v>1</v>
      </c>
      <c r="I2568" s="4" t="s">
        <v>408</v>
      </c>
      <c r="J2568" s="4" t="s">
        <v>416</v>
      </c>
      <c r="K2568" s="13" t="n">
        <v>850</v>
      </c>
      <c r="L2568" s="6" t="n">
        <f aca="false">H2568*K2568</f>
        <v>850</v>
      </c>
      <c r="M2568" s="14" t="s">
        <v>410</v>
      </c>
    </row>
    <row r="2569" customFormat="false" ht="15" hidden="false" customHeight="false" outlineLevel="0" collapsed="false">
      <c r="A2569" s="4" t="s">
        <v>69</v>
      </c>
      <c r="B2569" s="5" t="s">
        <v>76</v>
      </c>
      <c r="C2569" s="5" t="s">
        <v>77</v>
      </c>
      <c r="D2569" s="4" t="s">
        <v>16</v>
      </c>
      <c r="E2569" s="4" t="s">
        <v>878</v>
      </c>
      <c r="F2569" s="4" t="s">
        <v>406</v>
      </c>
      <c r="G2569" s="4" t="s">
        <v>879</v>
      </c>
      <c r="H2569" s="12" t="n">
        <v>1</v>
      </c>
      <c r="I2569" s="4" t="s">
        <v>408</v>
      </c>
      <c r="J2569" s="4" t="s">
        <v>475</v>
      </c>
      <c r="K2569" s="13" t="n">
        <v>650</v>
      </c>
      <c r="L2569" s="6" t="n">
        <f aca="false">H2569*K2569</f>
        <v>650</v>
      </c>
      <c r="M2569" s="14" t="s">
        <v>410</v>
      </c>
    </row>
    <row r="2570" customFormat="false" ht="15" hidden="false" customHeight="false" outlineLevel="0" collapsed="false">
      <c r="A2570" s="4" t="s">
        <v>69</v>
      </c>
      <c r="B2570" s="5" t="s">
        <v>76</v>
      </c>
      <c r="C2570" s="5" t="s">
        <v>77</v>
      </c>
      <c r="D2570" s="4" t="s">
        <v>16</v>
      </c>
      <c r="E2570" s="4" t="s">
        <v>883</v>
      </c>
      <c r="F2570" s="4" t="s">
        <v>406</v>
      </c>
      <c r="G2570" s="4" t="s">
        <v>884</v>
      </c>
      <c r="H2570" s="12" t="n">
        <v>1</v>
      </c>
      <c r="I2570" s="4" t="s">
        <v>408</v>
      </c>
      <c r="J2570" s="4" t="s">
        <v>409</v>
      </c>
      <c r="K2570" s="13" t="n">
        <v>80</v>
      </c>
      <c r="L2570" s="6" t="n">
        <f aca="false">H2570*K2570</f>
        <v>80</v>
      </c>
      <c r="M2570" s="14" t="s">
        <v>410</v>
      </c>
    </row>
    <row r="2571" customFormat="false" ht="15" hidden="false" customHeight="false" outlineLevel="0" collapsed="false">
      <c r="A2571" s="4" t="s">
        <v>69</v>
      </c>
      <c r="B2571" s="5" t="s">
        <v>76</v>
      </c>
      <c r="C2571" s="5" t="s">
        <v>77</v>
      </c>
      <c r="D2571" s="4" t="s">
        <v>16</v>
      </c>
      <c r="E2571" s="4" t="s">
        <v>894</v>
      </c>
      <c r="F2571" s="4" t="s">
        <v>406</v>
      </c>
      <c r="G2571" s="4" t="s">
        <v>895</v>
      </c>
      <c r="H2571" s="12" t="n">
        <v>1</v>
      </c>
      <c r="I2571" s="4" t="s">
        <v>408</v>
      </c>
      <c r="J2571" s="4" t="s">
        <v>409</v>
      </c>
      <c r="K2571" s="13" t="n">
        <v>250</v>
      </c>
      <c r="L2571" s="6" t="n">
        <f aca="false">H2571*K2571</f>
        <v>250</v>
      </c>
      <c r="M2571" s="14" t="s">
        <v>410</v>
      </c>
    </row>
    <row r="2572" customFormat="false" ht="15" hidden="false" customHeight="false" outlineLevel="0" collapsed="false">
      <c r="A2572" s="4" t="s">
        <v>69</v>
      </c>
      <c r="B2572" s="5" t="s">
        <v>76</v>
      </c>
      <c r="C2572" s="5" t="s">
        <v>77</v>
      </c>
      <c r="D2572" s="4" t="s">
        <v>16</v>
      </c>
      <c r="E2572" s="4" t="s">
        <v>3577</v>
      </c>
      <c r="F2572" s="4" t="s">
        <v>406</v>
      </c>
      <c r="G2572" s="4" t="s">
        <v>3578</v>
      </c>
      <c r="H2572" s="12" t="n">
        <v>1</v>
      </c>
      <c r="I2572" s="4" t="s">
        <v>408</v>
      </c>
      <c r="J2572" s="4" t="s">
        <v>416</v>
      </c>
      <c r="K2572" s="13" t="n">
        <v>1200</v>
      </c>
      <c r="L2572" s="6" t="n">
        <f aca="false">H2572*K2572</f>
        <v>1200</v>
      </c>
      <c r="M2572" s="14" t="s">
        <v>410</v>
      </c>
    </row>
    <row r="2573" customFormat="false" ht="15" hidden="false" customHeight="false" outlineLevel="0" collapsed="false">
      <c r="A2573" s="4" t="s">
        <v>69</v>
      </c>
      <c r="B2573" s="5" t="s">
        <v>76</v>
      </c>
      <c r="C2573" s="5" t="s">
        <v>77</v>
      </c>
      <c r="D2573" s="4" t="s">
        <v>16</v>
      </c>
      <c r="E2573" s="4" t="s">
        <v>3579</v>
      </c>
      <c r="F2573" s="4" t="s">
        <v>406</v>
      </c>
      <c r="G2573" s="4" t="s">
        <v>3580</v>
      </c>
      <c r="H2573" s="12" t="n">
        <v>1</v>
      </c>
      <c r="I2573" s="4" t="s">
        <v>408</v>
      </c>
      <c r="J2573" s="4" t="s">
        <v>409</v>
      </c>
      <c r="K2573" s="13" t="n">
        <v>85000</v>
      </c>
      <c r="L2573" s="6" t="n">
        <f aca="false">H2573*K2573</f>
        <v>85000</v>
      </c>
      <c r="M2573" s="14" t="s">
        <v>410</v>
      </c>
    </row>
    <row r="2574" customFormat="false" ht="15" hidden="false" customHeight="false" outlineLevel="0" collapsed="false">
      <c r="A2574" s="4" t="s">
        <v>69</v>
      </c>
      <c r="B2574" s="5" t="s">
        <v>76</v>
      </c>
      <c r="C2574" s="5" t="s">
        <v>77</v>
      </c>
      <c r="D2574" s="4" t="s">
        <v>16</v>
      </c>
      <c r="E2574" s="4" t="s">
        <v>3581</v>
      </c>
      <c r="F2574" s="4" t="s">
        <v>406</v>
      </c>
      <c r="G2574" s="4" t="s">
        <v>3582</v>
      </c>
      <c r="H2574" s="12" t="n">
        <v>1</v>
      </c>
      <c r="I2574" s="4" t="s">
        <v>408</v>
      </c>
      <c r="J2574" s="4" t="s">
        <v>409</v>
      </c>
      <c r="K2574" s="13" t="n">
        <v>4500</v>
      </c>
      <c r="L2574" s="6" t="n">
        <f aca="false">H2574*K2574</f>
        <v>4500</v>
      </c>
      <c r="M2574" s="14" t="s">
        <v>410</v>
      </c>
    </row>
    <row r="2575" customFormat="false" ht="15" hidden="false" customHeight="false" outlineLevel="0" collapsed="false">
      <c r="A2575" s="4" t="s">
        <v>69</v>
      </c>
      <c r="B2575" s="5" t="s">
        <v>76</v>
      </c>
      <c r="C2575" s="5" t="s">
        <v>77</v>
      </c>
      <c r="D2575" s="4" t="s">
        <v>16</v>
      </c>
      <c r="E2575" s="4" t="s">
        <v>3583</v>
      </c>
      <c r="F2575" s="4" t="s">
        <v>406</v>
      </c>
      <c r="G2575" s="4" t="s">
        <v>573</v>
      </c>
      <c r="H2575" s="12" t="n">
        <v>1</v>
      </c>
      <c r="I2575" s="4" t="s">
        <v>408</v>
      </c>
      <c r="J2575" s="4" t="s">
        <v>409</v>
      </c>
      <c r="K2575" s="13" t="n">
        <v>2500</v>
      </c>
      <c r="L2575" s="6" t="n">
        <f aca="false">H2575*K2575</f>
        <v>2500</v>
      </c>
      <c r="M2575" s="14" t="s">
        <v>410</v>
      </c>
    </row>
    <row r="2576" customFormat="false" ht="15" hidden="false" customHeight="false" outlineLevel="0" collapsed="false">
      <c r="A2576" s="4" t="s">
        <v>69</v>
      </c>
      <c r="B2576" s="5" t="s">
        <v>76</v>
      </c>
      <c r="C2576" s="5" t="s">
        <v>77</v>
      </c>
      <c r="D2576" s="4" t="s">
        <v>16</v>
      </c>
      <c r="E2576" s="4" t="s">
        <v>3584</v>
      </c>
      <c r="F2576" s="4" t="s">
        <v>406</v>
      </c>
      <c r="G2576" s="4" t="s">
        <v>3585</v>
      </c>
      <c r="H2576" s="12" t="n">
        <v>1</v>
      </c>
      <c r="I2576" s="4" t="s">
        <v>408</v>
      </c>
      <c r="J2576" s="4" t="s">
        <v>409</v>
      </c>
      <c r="K2576" s="13" t="n">
        <v>4500</v>
      </c>
      <c r="L2576" s="6" t="n">
        <f aca="false">H2576*K2576</f>
        <v>4500</v>
      </c>
      <c r="M2576" s="14" t="s">
        <v>410</v>
      </c>
    </row>
    <row r="2577" customFormat="false" ht="15" hidden="false" customHeight="false" outlineLevel="0" collapsed="false">
      <c r="A2577" s="4" t="s">
        <v>69</v>
      </c>
      <c r="B2577" s="5" t="s">
        <v>76</v>
      </c>
      <c r="C2577" s="5" t="s">
        <v>77</v>
      </c>
      <c r="D2577" s="4" t="s">
        <v>16</v>
      </c>
      <c r="E2577" s="4" t="s">
        <v>3586</v>
      </c>
      <c r="F2577" s="4" t="s">
        <v>406</v>
      </c>
      <c r="G2577" s="4" t="s">
        <v>3587</v>
      </c>
      <c r="H2577" s="12" t="n">
        <v>1</v>
      </c>
      <c r="I2577" s="4" t="s">
        <v>408</v>
      </c>
      <c r="J2577" s="4" t="s">
        <v>409</v>
      </c>
      <c r="K2577" s="13" t="n">
        <v>45000</v>
      </c>
      <c r="L2577" s="6" t="n">
        <f aca="false">H2577*K2577</f>
        <v>45000</v>
      </c>
      <c r="M2577" s="14" t="s">
        <v>410</v>
      </c>
    </row>
    <row r="2578" customFormat="false" ht="15" hidden="false" customHeight="false" outlineLevel="0" collapsed="false">
      <c r="A2578" s="4" t="s">
        <v>69</v>
      </c>
      <c r="B2578" s="5" t="s">
        <v>76</v>
      </c>
      <c r="C2578" s="5" t="s">
        <v>77</v>
      </c>
      <c r="D2578" s="4" t="s">
        <v>16</v>
      </c>
      <c r="E2578" s="4" t="s">
        <v>3588</v>
      </c>
      <c r="F2578" s="4" t="s">
        <v>406</v>
      </c>
      <c r="G2578" s="4" t="s">
        <v>3589</v>
      </c>
      <c r="H2578" s="12" t="n">
        <v>1</v>
      </c>
      <c r="I2578" s="4" t="s">
        <v>408</v>
      </c>
      <c r="J2578" s="4" t="s">
        <v>409</v>
      </c>
      <c r="K2578" s="13" t="n">
        <v>85000</v>
      </c>
      <c r="L2578" s="6" t="n">
        <f aca="false">H2578*K2578</f>
        <v>85000</v>
      </c>
      <c r="M2578" s="14" t="s">
        <v>410</v>
      </c>
    </row>
    <row r="2579" customFormat="false" ht="15" hidden="false" customHeight="false" outlineLevel="0" collapsed="false">
      <c r="A2579" s="4" t="s">
        <v>69</v>
      </c>
      <c r="B2579" s="5" t="s">
        <v>76</v>
      </c>
      <c r="C2579" s="5" t="s">
        <v>77</v>
      </c>
      <c r="D2579" s="4" t="s">
        <v>16</v>
      </c>
      <c r="E2579" s="4" t="s">
        <v>3590</v>
      </c>
      <c r="F2579" s="4" t="s">
        <v>470</v>
      </c>
      <c r="G2579" s="4" t="s">
        <v>3591</v>
      </c>
      <c r="H2579" s="12" t="n">
        <v>1</v>
      </c>
      <c r="I2579" s="4" t="s">
        <v>408</v>
      </c>
      <c r="J2579" s="4" t="s">
        <v>409</v>
      </c>
      <c r="K2579" s="13" t="n">
        <v>25000</v>
      </c>
      <c r="L2579" s="6" t="n">
        <f aca="false">H2579*K2579</f>
        <v>25000</v>
      </c>
      <c r="M2579" s="4" t="s">
        <v>371</v>
      </c>
    </row>
    <row r="2580" customFormat="false" ht="15" hidden="false" customHeight="false" outlineLevel="0" collapsed="false">
      <c r="A2580" s="4" t="s">
        <v>69</v>
      </c>
      <c r="B2580" s="5" t="s">
        <v>76</v>
      </c>
      <c r="C2580" s="5" t="s">
        <v>77</v>
      </c>
      <c r="D2580" s="4" t="s">
        <v>16</v>
      </c>
      <c r="E2580" s="4" t="s">
        <v>3592</v>
      </c>
      <c r="F2580" s="4" t="s">
        <v>488</v>
      </c>
      <c r="G2580" s="4" t="s">
        <v>3593</v>
      </c>
      <c r="H2580" s="12" t="n">
        <v>1</v>
      </c>
      <c r="I2580" s="4" t="s">
        <v>408</v>
      </c>
      <c r="J2580" s="4" t="s">
        <v>506</v>
      </c>
      <c r="K2580" s="13" t="n">
        <v>60</v>
      </c>
      <c r="L2580" s="6" t="n">
        <f aca="false">H2580*K2580</f>
        <v>60</v>
      </c>
      <c r="M2580" s="4" t="s">
        <v>371</v>
      </c>
    </row>
    <row r="2581" customFormat="false" ht="15" hidden="false" customHeight="false" outlineLevel="0" collapsed="false">
      <c r="A2581" s="4" t="s">
        <v>69</v>
      </c>
      <c r="B2581" s="5" t="s">
        <v>76</v>
      </c>
      <c r="C2581" s="5" t="s">
        <v>77</v>
      </c>
      <c r="D2581" s="4" t="s">
        <v>16</v>
      </c>
      <c r="E2581" s="4" t="s">
        <v>3594</v>
      </c>
      <c r="F2581" s="4" t="s">
        <v>488</v>
      </c>
      <c r="G2581" s="4" t="s">
        <v>3595</v>
      </c>
      <c r="H2581" s="12" t="n">
        <v>1</v>
      </c>
      <c r="I2581" s="4" t="s">
        <v>408</v>
      </c>
      <c r="J2581" s="4" t="s">
        <v>506</v>
      </c>
      <c r="K2581" s="13" t="n">
        <v>35</v>
      </c>
      <c r="L2581" s="6" t="n">
        <f aca="false">H2581*K2581</f>
        <v>35</v>
      </c>
      <c r="M2581" s="4" t="s">
        <v>371</v>
      </c>
    </row>
    <row r="2582" customFormat="false" ht="15" hidden="false" customHeight="false" outlineLevel="0" collapsed="false">
      <c r="A2582" s="4" t="s">
        <v>69</v>
      </c>
      <c r="B2582" s="5" t="s">
        <v>76</v>
      </c>
      <c r="C2582" s="5" t="s">
        <v>77</v>
      </c>
      <c r="D2582" s="4" t="s">
        <v>16</v>
      </c>
      <c r="E2582" s="4" t="s">
        <v>918</v>
      </c>
      <c r="F2582" s="4" t="s">
        <v>488</v>
      </c>
      <c r="G2582" s="4" t="s">
        <v>919</v>
      </c>
      <c r="H2582" s="12" t="n">
        <v>1</v>
      </c>
      <c r="I2582" s="4" t="s">
        <v>408</v>
      </c>
      <c r="J2582" s="4" t="s">
        <v>409</v>
      </c>
      <c r="K2582" s="13" t="n">
        <v>15</v>
      </c>
      <c r="L2582" s="6" t="n">
        <f aca="false">H2582*K2582</f>
        <v>15</v>
      </c>
      <c r="M2582" s="4" t="s">
        <v>371</v>
      </c>
    </row>
    <row r="2583" customFormat="false" ht="15" hidden="false" customHeight="false" outlineLevel="0" collapsed="false">
      <c r="A2583" s="4" t="s">
        <v>69</v>
      </c>
      <c r="B2583" s="5" t="s">
        <v>76</v>
      </c>
      <c r="C2583" s="5" t="s">
        <v>77</v>
      </c>
      <c r="D2583" s="4" t="s">
        <v>16</v>
      </c>
      <c r="E2583" s="4" t="s">
        <v>792</v>
      </c>
      <c r="F2583" s="4" t="s">
        <v>488</v>
      </c>
      <c r="G2583" s="4" t="s">
        <v>793</v>
      </c>
      <c r="H2583" s="12" t="n">
        <v>1</v>
      </c>
      <c r="I2583" s="4" t="s">
        <v>408</v>
      </c>
      <c r="J2583" s="4" t="s">
        <v>429</v>
      </c>
      <c r="K2583" s="13" t="n">
        <v>150</v>
      </c>
      <c r="L2583" s="6" t="n">
        <f aca="false">H2583*K2583</f>
        <v>150</v>
      </c>
      <c r="M2583" s="4" t="s">
        <v>371</v>
      </c>
    </row>
    <row r="2584" customFormat="false" ht="15" hidden="false" customHeight="false" outlineLevel="0" collapsed="false">
      <c r="A2584" s="4" t="s">
        <v>69</v>
      </c>
      <c r="B2584" s="5" t="s">
        <v>76</v>
      </c>
      <c r="C2584" s="5" t="s">
        <v>77</v>
      </c>
      <c r="D2584" s="4" t="s">
        <v>16</v>
      </c>
      <c r="E2584" s="4" t="s">
        <v>803</v>
      </c>
      <c r="F2584" s="4" t="s">
        <v>488</v>
      </c>
      <c r="G2584" s="4" t="s">
        <v>804</v>
      </c>
      <c r="H2584" s="12" t="n">
        <v>1</v>
      </c>
      <c r="I2584" s="4" t="s">
        <v>408</v>
      </c>
      <c r="J2584" s="4" t="s">
        <v>409</v>
      </c>
      <c r="K2584" s="13" t="n">
        <v>15</v>
      </c>
      <c r="L2584" s="6" t="n">
        <f aca="false">H2584*K2584</f>
        <v>15</v>
      </c>
      <c r="M2584" s="4" t="s">
        <v>371</v>
      </c>
    </row>
    <row r="2585" customFormat="false" ht="15" hidden="false" customHeight="false" outlineLevel="0" collapsed="false">
      <c r="A2585" s="4" t="s">
        <v>69</v>
      </c>
      <c r="B2585" s="5" t="s">
        <v>78</v>
      </c>
      <c r="C2585" s="5" t="s">
        <v>79</v>
      </c>
      <c r="D2585" s="4" t="s">
        <v>16</v>
      </c>
      <c r="E2585" s="4" t="s">
        <v>3596</v>
      </c>
      <c r="F2585" s="4" t="s">
        <v>406</v>
      </c>
      <c r="G2585" s="4" t="s">
        <v>3597</v>
      </c>
      <c r="H2585" s="12" t="n">
        <v>1</v>
      </c>
      <c r="I2585" s="4" t="s">
        <v>408</v>
      </c>
      <c r="J2585" s="4" t="s">
        <v>416</v>
      </c>
      <c r="K2585" s="13" t="n">
        <v>1200</v>
      </c>
      <c r="L2585" s="6" t="n">
        <f aca="false">H2585*K2585</f>
        <v>1200</v>
      </c>
      <c r="M2585" s="4" t="s">
        <v>371</v>
      </c>
    </row>
    <row r="2586" customFormat="false" ht="15" hidden="false" customHeight="false" outlineLevel="0" collapsed="false">
      <c r="A2586" s="4" t="s">
        <v>69</v>
      </c>
      <c r="B2586" s="5" t="s">
        <v>78</v>
      </c>
      <c r="C2586" s="5" t="s">
        <v>79</v>
      </c>
      <c r="D2586" s="4" t="s">
        <v>16</v>
      </c>
      <c r="E2586" s="4" t="s">
        <v>2225</v>
      </c>
      <c r="F2586" s="4" t="s">
        <v>406</v>
      </c>
      <c r="G2586" s="4" t="s">
        <v>2226</v>
      </c>
      <c r="H2586" s="12" t="n">
        <v>1</v>
      </c>
      <c r="I2586" s="4" t="s">
        <v>408</v>
      </c>
      <c r="J2586" s="4" t="s">
        <v>409</v>
      </c>
      <c r="K2586" s="13" t="n">
        <v>350</v>
      </c>
      <c r="L2586" s="6" t="n">
        <f aca="false">H2586*K2586</f>
        <v>350</v>
      </c>
      <c r="M2586" s="14" t="s">
        <v>410</v>
      </c>
    </row>
    <row r="2587" customFormat="false" ht="15" hidden="false" customHeight="false" outlineLevel="0" collapsed="false">
      <c r="A2587" s="4" t="s">
        <v>69</v>
      </c>
      <c r="B2587" s="5" t="s">
        <v>78</v>
      </c>
      <c r="C2587" s="5" t="s">
        <v>79</v>
      </c>
      <c r="D2587" s="4" t="s">
        <v>16</v>
      </c>
      <c r="E2587" s="4" t="s">
        <v>3598</v>
      </c>
      <c r="F2587" s="4" t="s">
        <v>406</v>
      </c>
      <c r="G2587" s="4" t="s">
        <v>3599</v>
      </c>
      <c r="H2587" s="12" t="n">
        <v>15</v>
      </c>
      <c r="I2587" s="4" t="s">
        <v>474</v>
      </c>
      <c r="J2587" s="4" t="s">
        <v>475</v>
      </c>
      <c r="K2587" s="13" t="n">
        <v>180</v>
      </c>
      <c r="L2587" s="6" t="n">
        <f aca="false">H2587*K2587</f>
        <v>2700</v>
      </c>
      <c r="M2587" s="14" t="s">
        <v>410</v>
      </c>
    </row>
    <row r="2588" customFormat="false" ht="15" hidden="false" customHeight="false" outlineLevel="0" collapsed="false">
      <c r="A2588" s="4" t="s">
        <v>69</v>
      </c>
      <c r="B2588" s="5" t="s">
        <v>78</v>
      </c>
      <c r="C2588" s="5" t="s">
        <v>79</v>
      </c>
      <c r="D2588" s="4" t="s">
        <v>16</v>
      </c>
      <c r="E2588" s="4" t="s">
        <v>3600</v>
      </c>
      <c r="F2588" s="4" t="s">
        <v>406</v>
      </c>
      <c r="G2588" s="4" t="s">
        <v>3601</v>
      </c>
      <c r="H2588" s="12" t="n">
        <v>15</v>
      </c>
      <c r="I2588" s="4" t="s">
        <v>474</v>
      </c>
      <c r="J2588" s="4" t="s">
        <v>409</v>
      </c>
      <c r="K2588" s="13" t="n">
        <v>350</v>
      </c>
      <c r="L2588" s="6" t="n">
        <f aca="false">H2588*K2588</f>
        <v>5250</v>
      </c>
      <c r="M2588" s="4" t="s">
        <v>371</v>
      </c>
    </row>
    <row r="2589" customFormat="false" ht="15" hidden="false" customHeight="false" outlineLevel="0" collapsed="false">
      <c r="A2589" s="4" t="s">
        <v>69</v>
      </c>
      <c r="B2589" s="5" t="s">
        <v>78</v>
      </c>
      <c r="C2589" s="5" t="s">
        <v>79</v>
      </c>
      <c r="D2589" s="4" t="s">
        <v>16</v>
      </c>
      <c r="E2589" s="4" t="s">
        <v>3602</v>
      </c>
      <c r="F2589" s="4" t="s">
        <v>406</v>
      </c>
      <c r="G2589" s="4" t="s">
        <v>3603</v>
      </c>
      <c r="H2589" s="12" t="n">
        <v>5</v>
      </c>
      <c r="I2589" s="4" t="s">
        <v>474</v>
      </c>
      <c r="J2589" s="4" t="s">
        <v>409</v>
      </c>
      <c r="K2589" s="13" t="n">
        <v>850</v>
      </c>
      <c r="L2589" s="6" t="n">
        <f aca="false">H2589*K2589</f>
        <v>4250</v>
      </c>
      <c r="M2589" s="14" t="s">
        <v>410</v>
      </c>
    </row>
    <row r="2590" customFormat="false" ht="15" hidden="false" customHeight="false" outlineLevel="0" collapsed="false">
      <c r="A2590" s="4" t="s">
        <v>69</v>
      </c>
      <c r="B2590" s="5" t="s">
        <v>78</v>
      </c>
      <c r="C2590" s="5" t="s">
        <v>79</v>
      </c>
      <c r="D2590" s="4" t="s">
        <v>16</v>
      </c>
      <c r="E2590" s="4" t="s">
        <v>882</v>
      </c>
      <c r="F2590" s="4" t="s">
        <v>406</v>
      </c>
      <c r="G2590" s="4" t="s">
        <v>766</v>
      </c>
      <c r="H2590" s="12" t="n">
        <v>10</v>
      </c>
      <c r="I2590" s="4" t="s">
        <v>474</v>
      </c>
      <c r="J2590" s="4" t="s">
        <v>409</v>
      </c>
      <c r="K2590" s="13" t="n">
        <v>80</v>
      </c>
      <c r="L2590" s="6" t="n">
        <f aca="false">H2590*K2590</f>
        <v>800</v>
      </c>
      <c r="M2590" s="14" t="s">
        <v>410</v>
      </c>
    </row>
    <row r="2591" customFormat="false" ht="15" hidden="false" customHeight="false" outlineLevel="0" collapsed="false">
      <c r="A2591" s="4" t="s">
        <v>69</v>
      </c>
      <c r="B2591" s="5" t="s">
        <v>78</v>
      </c>
      <c r="C2591" s="5" t="s">
        <v>79</v>
      </c>
      <c r="D2591" s="4" t="s">
        <v>16</v>
      </c>
      <c r="E2591" s="4" t="s">
        <v>3493</v>
      </c>
      <c r="F2591" s="4" t="s">
        <v>406</v>
      </c>
      <c r="G2591" s="4" t="s">
        <v>881</v>
      </c>
      <c r="H2591" s="12" t="n">
        <v>5</v>
      </c>
      <c r="I2591" s="4" t="s">
        <v>474</v>
      </c>
      <c r="J2591" s="4" t="s">
        <v>409</v>
      </c>
      <c r="K2591" s="13" t="n">
        <v>650</v>
      </c>
      <c r="L2591" s="6" t="n">
        <f aca="false">H2591*K2591</f>
        <v>3250</v>
      </c>
      <c r="M2591" s="14" t="s">
        <v>410</v>
      </c>
    </row>
    <row r="2592" customFormat="false" ht="15" hidden="false" customHeight="false" outlineLevel="0" collapsed="false">
      <c r="A2592" s="4" t="s">
        <v>69</v>
      </c>
      <c r="B2592" s="5" t="s">
        <v>78</v>
      </c>
      <c r="C2592" s="5" t="s">
        <v>79</v>
      </c>
      <c r="D2592" s="4" t="s">
        <v>16</v>
      </c>
      <c r="E2592" s="4" t="s">
        <v>3494</v>
      </c>
      <c r="F2592" s="4" t="s">
        <v>406</v>
      </c>
      <c r="G2592" s="4" t="s">
        <v>3495</v>
      </c>
      <c r="H2592" s="12" t="n">
        <v>5</v>
      </c>
      <c r="I2592" s="4" t="s">
        <v>474</v>
      </c>
      <c r="J2592" s="4" t="s">
        <v>409</v>
      </c>
      <c r="K2592" s="13" t="n">
        <v>250</v>
      </c>
      <c r="L2592" s="6" t="n">
        <f aca="false">H2592*K2592</f>
        <v>1250</v>
      </c>
      <c r="M2592" s="14" t="s">
        <v>410</v>
      </c>
    </row>
    <row r="2593" customFormat="false" ht="15" hidden="false" customHeight="false" outlineLevel="0" collapsed="false">
      <c r="A2593" s="4" t="s">
        <v>69</v>
      </c>
      <c r="B2593" s="5" t="s">
        <v>78</v>
      </c>
      <c r="C2593" s="5" t="s">
        <v>79</v>
      </c>
      <c r="D2593" s="4" t="s">
        <v>16</v>
      </c>
      <c r="E2593" s="4" t="s">
        <v>3604</v>
      </c>
      <c r="F2593" s="4" t="s">
        <v>406</v>
      </c>
      <c r="G2593" s="4" t="s">
        <v>2539</v>
      </c>
      <c r="H2593" s="12" t="n">
        <v>5</v>
      </c>
      <c r="I2593" s="4" t="s">
        <v>474</v>
      </c>
      <c r="J2593" s="4" t="s">
        <v>409</v>
      </c>
      <c r="K2593" s="13" t="n">
        <v>450</v>
      </c>
      <c r="L2593" s="6" t="n">
        <f aca="false">H2593*K2593</f>
        <v>2250</v>
      </c>
      <c r="M2593" s="14" t="s">
        <v>410</v>
      </c>
    </row>
    <row r="2594" customFormat="false" ht="15" hidden="false" customHeight="false" outlineLevel="0" collapsed="false">
      <c r="A2594" s="4" t="s">
        <v>69</v>
      </c>
      <c r="B2594" s="5" t="s">
        <v>78</v>
      </c>
      <c r="C2594" s="5" t="s">
        <v>79</v>
      </c>
      <c r="D2594" s="4" t="s">
        <v>16</v>
      </c>
      <c r="E2594" s="4" t="s">
        <v>773</v>
      </c>
      <c r="F2594" s="4" t="s">
        <v>406</v>
      </c>
      <c r="G2594" s="4" t="s">
        <v>774</v>
      </c>
      <c r="H2594" s="12" t="n">
        <v>10</v>
      </c>
      <c r="I2594" s="4" t="s">
        <v>474</v>
      </c>
      <c r="J2594" s="4" t="s">
        <v>409</v>
      </c>
      <c r="K2594" s="13" t="n">
        <v>120</v>
      </c>
      <c r="L2594" s="6" t="n">
        <f aca="false">H2594*K2594</f>
        <v>1200</v>
      </c>
      <c r="M2594" s="4" t="s">
        <v>371</v>
      </c>
    </row>
    <row r="2595" customFormat="false" ht="15" hidden="false" customHeight="false" outlineLevel="0" collapsed="false">
      <c r="A2595" s="4" t="s">
        <v>69</v>
      </c>
      <c r="B2595" s="5" t="s">
        <v>78</v>
      </c>
      <c r="C2595" s="5" t="s">
        <v>79</v>
      </c>
      <c r="D2595" s="4" t="s">
        <v>16</v>
      </c>
      <c r="E2595" s="4" t="s">
        <v>3605</v>
      </c>
      <c r="F2595" s="4" t="s">
        <v>406</v>
      </c>
      <c r="G2595" s="4" t="s">
        <v>3606</v>
      </c>
      <c r="H2595" s="12" t="n">
        <v>5</v>
      </c>
      <c r="I2595" s="4" t="s">
        <v>474</v>
      </c>
      <c r="J2595" s="4" t="s">
        <v>409</v>
      </c>
      <c r="K2595" s="13" t="n">
        <v>120</v>
      </c>
      <c r="L2595" s="6" t="n">
        <f aca="false">H2595*K2595</f>
        <v>600</v>
      </c>
      <c r="M2595" s="14" t="s">
        <v>410</v>
      </c>
    </row>
    <row r="2596" customFormat="false" ht="15" hidden="false" customHeight="false" outlineLevel="0" collapsed="false">
      <c r="A2596" s="4" t="s">
        <v>69</v>
      </c>
      <c r="B2596" s="5" t="s">
        <v>78</v>
      </c>
      <c r="C2596" s="5" t="s">
        <v>79</v>
      </c>
      <c r="D2596" s="4" t="s">
        <v>16</v>
      </c>
      <c r="E2596" s="4" t="s">
        <v>777</v>
      </c>
      <c r="F2596" s="4" t="s">
        <v>406</v>
      </c>
      <c r="G2596" s="4" t="s">
        <v>778</v>
      </c>
      <c r="H2596" s="12" t="n">
        <v>15</v>
      </c>
      <c r="I2596" s="4" t="s">
        <v>474</v>
      </c>
      <c r="J2596" s="4" t="s">
        <v>409</v>
      </c>
      <c r="K2596" s="13" t="n">
        <v>120</v>
      </c>
      <c r="L2596" s="6" t="n">
        <f aca="false">H2596*K2596</f>
        <v>1800</v>
      </c>
      <c r="M2596" s="14" t="s">
        <v>410</v>
      </c>
    </row>
    <row r="2597" customFormat="false" ht="15" hidden="false" customHeight="false" outlineLevel="0" collapsed="false">
      <c r="A2597" s="4" t="s">
        <v>69</v>
      </c>
      <c r="B2597" s="5" t="s">
        <v>78</v>
      </c>
      <c r="C2597" s="5" t="s">
        <v>79</v>
      </c>
      <c r="D2597" s="4" t="s">
        <v>16</v>
      </c>
      <c r="E2597" s="4" t="s">
        <v>3607</v>
      </c>
      <c r="F2597" s="4" t="s">
        <v>406</v>
      </c>
      <c r="G2597" s="4" t="s">
        <v>3608</v>
      </c>
      <c r="H2597" s="12" t="n">
        <v>5</v>
      </c>
      <c r="I2597" s="4" t="s">
        <v>474</v>
      </c>
      <c r="J2597" s="4" t="s">
        <v>409</v>
      </c>
      <c r="K2597" s="13" t="n">
        <v>150</v>
      </c>
      <c r="L2597" s="6" t="n">
        <f aca="false">H2597*K2597</f>
        <v>750</v>
      </c>
      <c r="M2597" s="14" t="s">
        <v>410</v>
      </c>
    </row>
    <row r="2598" customFormat="false" ht="15" hidden="false" customHeight="false" outlineLevel="0" collapsed="false">
      <c r="A2598" s="4" t="s">
        <v>69</v>
      </c>
      <c r="B2598" s="5" t="s">
        <v>78</v>
      </c>
      <c r="C2598" s="5" t="s">
        <v>79</v>
      </c>
      <c r="D2598" s="4" t="s">
        <v>16</v>
      </c>
      <c r="E2598" s="4" t="s">
        <v>3416</v>
      </c>
      <c r="F2598" s="4" t="s">
        <v>406</v>
      </c>
      <c r="G2598" s="4" t="s">
        <v>2406</v>
      </c>
      <c r="H2598" s="12" t="n">
        <v>10</v>
      </c>
      <c r="I2598" s="4" t="s">
        <v>474</v>
      </c>
      <c r="J2598" s="4" t="s">
        <v>409</v>
      </c>
      <c r="K2598" s="13" t="n">
        <v>250</v>
      </c>
      <c r="L2598" s="6" t="n">
        <f aca="false">H2598*K2598</f>
        <v>2500</v>
      </c>
      <c r="M2598" s="14" t="s">
        <v>410</v>
      </c>
    </row>
    <row r="2599" customFormat="false" ht="15" hidden="false" customHeight="false" outlineLevel="0" collapsed="false">
      <c r="A2599" s="4" t="s">
        <v>69</v>
      </c>
      <c r="B2599" s="5" t="s">
        <v>78</v>
      </c>
      <c r="C2599" s="5" t="s">
        <v>79</v>
      </c>
      <c r="D2599" s="4" t="s">
        <v>16</v>
      </c>
      <c r="E2599" s="4" t="s">
        <v>2369</v>
      </c>
      <c r="F2599" s="4" t="s">
        <v>406</v>
      </c>
      <c r="G2599" s="4" t="s">
        <v>2370</v>
      </c>
      <c r="H2599" s="12" t="n">
        <v>1</v>
      </c>
      <c r="I2599" s="4" t="s">
        <v>408</v>
      </c>
      <c r="J2599" s="4" t="s">
        <v>543</v>
      </c>
      <c r="K2599" s="13" t="n">
        <v>25000</v>
      </c>
      <c r="L2599" s="6" t="n">
        <f aca="false">H2599*K2599</f>
        <v>25000</v>
      </c>
      <c r="M2599" s="4" t="s">
        <v>371</v>
      </c>
    </row>
    <row r="2600" customFormat="false" ht="15" hidden="false" customHeight="false" outlineLevel="0" collapsed="false">
      <c r="A2600" s="4" t="s">
        <v>69</v>
      </c>
      <c r="B2600" s="5" t="s">
        <v>78</v>
      </c>
      <c r="C2600" s="5" t="s">
        <v>79</v>
      </c>
      <c r="D2600" s="4" t="s">
        <v>16</v>
      </c>
      <c r="E2600" s="4" t="s">
        <v>2257</v>
      </c>
      <c r="F2600" s="4" t="s">
        <v>406</v>
      </c>
      <c r="G2600" s="4" t="s">
        <v>2258</v>
      </c>
      <c r="H2600" s="12" t="n">
        <v>1</v>
      </c>
      <c r="I2600" s="4" t="s">
        <v>408</v>
      </c>
      <c r="J2600" s="4" t="s">
        <v>409</v>
      </c>
      <c r="K2600" s="13" t="n">
        <v>6500</v>
      </c>
      <c r="L2600" s="6" t="n">
        <f aca="false">H2600*K2600</f>
        <v>6500</v>
      </c>
      <c r="M2600" s="14" t="s">
        <v>410</v>
      </c>
    </row>
    <row r="2601" customFormat="false" ht="15" hidden="false" customHeight="false" outlineLevel="0" collapsed="false">
      <c r="A2601" s="4" t="s">
        <v>69</v>
      </c>
      <c r="B2601" s="5" t="s">
        <v>78</v>
      </c>
      <c r="C2601" s="5" t="s">
        <v>79</v>
      </c>
      <c r="D2601" s="4" t="s">
        <v>16</v>
      </c>
      <c r="E2601" s="4" t="s">
        <v>2259</v>
      </c>
      <c r="F2601" s="4" t="s">
        <v>406</v>
      </c>
      <c r="G2601" s="4" t="s">
        <v>2260</v>
      </c>
      <c r="H2601" s="12" t="n">
        <v>1</v>
      </c>
      <c r="I2601" s="4" t="s">
        <v>408</v>
      </c>
      <c r="J2601" s="4" t="s">
        <v>409</v>
      </c>
      <c r="K2601" s="13" t="n">
        <v>85000</v>
      </c>
      <c r="L2601" s="6" t="n">
        <f aca="false">H2601*K2601</f>
        <v>85000</v>
      </c>
      <c r="M2601" s="14" t="s">
        <v>410</v>
      </c>
    </row>
    <row r="2602" customFormat="false" ht="15" hidden="false" customHeight="false" outlineLevel="0" collapsed="false">
      <c r="A2602" s="4" t="s">
        <v>69</v>
      </c>
      <c r="B2602" s="5" t="s">
        <v>78</v>
      </c>
      <c r="C2602" s="5" t="s">
        <v>79</v>
      </c>
      <c r="D2602" s="4" t="s">
        <v>16</v>
      </c>
      <c r="E2602" s="4" t="s">
        <v>2261</v>
      </c>
      <c r="F2602" s="4" t="s">
        <v>406</v>
      </c>
      <c r="G2602" s="4" t="s">
        <v>2262</v>
      </c>
      <c r="H2602" s="12" t="n">
        <v>1</v>
      </c>
      <c r="I2602" s="4" t="s">
        <v>408</v>
      </c>
      <c r="J2602" s="4" t="s">
        <v>409</v>
      </c>
      <c r="K2602" s="13" t="n">
        <v>18000</v>
      </c>
      <c r="L2602" s="6" t="n">
        <f aca="false">H2602*K2602</f>
        <v>18000</v>
      </c>
      <c r="M2602" s="14" t="s">
        <v>410</v>
      </c>
    </row>
    <row r="2603" customFormat="false" ht="15" hidden="false" customHeight="false" outlineLevel="0" collapsed="false">
      <c r="A2603" s="4" t="s">
        <v>69</v>
      </c>
      <c r="B2603" s="5" t="s">
        <v>78</v>
      </c>
      <c r="C2603" s="5" t="s">
        <v>79</v>
      </c>
      <c r="D2603" s="4" t="s">
        <v>16</v>
      </c>
      <c r="E2603" s="4" t="s">
        <v>2263</v>
      </c>
      <c r="F2603" s="4" t="s">
        <v>406</v>
      </c>
      <c r="G2603" s="4" t="s">
        <v>2264</v>
      </c>
      <c r="H2603" s="12" t="n">
        <v>1</v>
      </c>
      <c r="I2603" s="4" t="s">
        <v>408</v>
      </c>
      <c r="J2603" s="4" t="s">
        <v>409</v>
      </c>
      <c r="K2603" s="13" t="n">
        <v>25000</v>
      </c>
      <c r="L2603" s="6" t="n">
        <f aca="false">H2603*K2603</f>
        <v>25000</v>
      </c>
      <c r="M2603" s="4" t="s">
        <v>371</v>
      </c>
    </row>
    <row r="2604" customFormat="false" ht="15" hidden="false" customHeight="false" outlineLevel="0" collapsed="false">
      <c r="A2604" s="4" t="s">
        <v>69</v>
      </c>
      <c r="B2604" s="5" t="s">
        <v>78</v>
      </c>
      <c r="C2604" s="5" t="s">
        <v>79</v>
      </c>
      <c r="D2604" s="4" t="s">
        <v>16</v>
      </c>
      <c r="E2604" s="4" t="s">
        <v>2265</v>
      </c>
      <c r="F2604" s="4" t="s">
        <v>406</v>
      </c>
      <c r="G2604" s="4" t="s">
        <v>2266</v>
      </c>
      <c r="H2604" s="12" t="n">
        <v>1</v>
      </c>
      <c r="I2604" s="4" t="s">
        <v>408</v>
      </c>
      <c r="J2604" s="4" t="s">
        <v>416</v>
      </c>
      <c r="K2604" s="13" t="n">
        <v>18000</v>
      </c>
      <c r="L2604" s="6" t="n">
        <f aca="false">H2604*K2604</f>
        <v>18000</v>
      </c>
      <c r="M2604" s="4" t="s">
        <v>371</v>
      </c>
    </row>
    <row r="2605" customFormat="false" ht="15" hidden="false" customHeight="false" outlineLevel="0" collapsed="false">
      <c r="A2605" s="4" t="s">
        <v>69</v>
      </c>
      <c r="B2605" s="5" t="s">
        <v>78</v>
      </c>
      <c r="C2605" s="5" t="s">
        <v>79</v>
      </c>
      <c r="D2605" s="4" t="s">
        <v>16</v>
      </c>
      <c r="E2605" s="4" t="s">
        <v>3609</v>
      </c>
      <c r="F2605" s="4" t="s">
        <v>406</v>
      </c>
      <c r="G2605" s="4" t="s">
        <v>3610</v>
      </c>
      <c r="H2605" s="12" t="n">
        <v>5</v>
      </c>
      <c r="I2605" s="4" t="s">
        <v>474</v>
      </c>
      <c r="J2605" s="4" t="s">
        <v>409</v>
      </c>
      <c r="K2605" s="13" t="n">
        <v>18000</v>
      </c>
      <c r="L2605" s="6" t="n">
        <f aca="false">H2605*K2605</f>
        <v>90000</v>
      </c>
      <c r="M2605" s="4" t="s">
        <v>371</v>
      </c>
    </row>
    <row r="2606" customFormat="false" ht="15" hidden="false" customHeight="false" outlineLevel="0" collapsed="false">
      <c r="A2606" s="4" t="s">
        <v>69</v>
      </c>
      <c r="B2606" s="5" t="s">
        <v>78</v>
      </c>
      <c r="C2606" s="5" t="s">
        <v>79</v>
      </c>
      <c r="D2606" s="4" t="s">
        <v>16</v>
      </c>
      <c r="E2606" s="4" t="s">
        <v>3611</v>
      </c>
      <c r="F2606" s="4" t="s">
        <v>406</v>
      </c>
      <c r="G2606" s="4" t="s">
        <v>3612</v>
      </c>
      <c r="H2606" s="12" t="n">
        <v>2</v>
      </c>
      <c r="I2606" s="4" t="s">
        <v>474</v>
      </c>
      <c r="J2606" s="4" t="s">
        <v>409</v>
      </c>
      <c r="K2606" s="13" t="n">
        <v>1200</v>
      </c>
      <c r="L2606" s="6" t="n">
        <f aca="false">H2606*K2606</f>
        <v>2400</v>
      </c>
      <c r="M2606" s="14" t="s">
        <v>410</v>
      </c>
    </row>
    <row r="2607" customFormat="false" ht="15" hidden="false" customHeight="false" outlineLevel="0" collapsed="false">
      <c r="A2607" s="4" t="s">
        <v>69</v>
      </c>
      <c r="B2607" s="5" t="s">
        <v>78</v>
      </c>
      <c r="C2607" s="5" t="s">
        <v>79</v>
      </c>
      <c r="D2607" s="4" t="s">
        <v>16</v>
      </c>
      <c r="E2607" s="4" t="s">
        <v>3541</v>
      </c>
      <c r="F2607" s="4" t="s">
        <v>406</v>
      </c>
      <c r="G2607" s="4" t="s">
        <v>3542</v>
      </c>
      <c r="H2607" s="12" t="n">
        <v>1</v>
      </c>
      <c r="I2607" s="4" t="s">
        <v>474</v>
      </c>
      <c r="J2607" s="4" t="s">
        <v>409</v>
      </c>
      <c r="K2607" s="13" t="n">
        <v>350</v>
      </c>
      <c r="L2607" s="6" t="n">
        <f aca="false">H2607*K2607</f>
        <v>350</v>
      </c>
      <c r="M2607" s="14" t="s">
        <v>410</v>
      </c>
    </row>
    <row r="2608" customFormat="false" ht="15" hidden="false" customHeight="false" outlineLevel="0" collapsed="false">
      <c r="A2608" s="4" t="s">
        <v>69</v>
      </c>
      <c r="B2608" s="5" t="s">
        <v>78</v>
      </c>
      <c r="C2608" s="5" t="s">
        <v>79</v>
      </c>
      <c r="D2608" s="4" t="s">
        <v>16</v>
      </c>
      <c r="E2608" s="4" t="s">
        <v>2353</v>
      </c>
      <c r="F2608" s="4" t="s">
        <v>406</v>
      </c>
      <c r="G2608" s="4" t="s">
        <v>2354</v>
      </c>
      <c r="H2608" s="12" t="n">
        <v>1</v>
      </c>
      <c r="I2608" s="4" t="s">
        <v>408</v>
      </c>
      <c r="J2608" s="4" t="s">
        <v>409</v>
      </c>
      <c r="K2608" s="13" t="n">
        <v>850000</v>
      </c>
      <c r="L2608" s="6" t="n">
        <f aca="false">H2608*K2608</f>
        <v>850000</v>
      </c>
      <c r="M2608" s="14" t="s">
        <v>410</v>
      </c>
    </row>
    <row r="2609" customFormat="false" ht="15" hidden="false" customHeight="false" outlineLevel="0" collapsed="false">
      <c r="A2609" s="4" t="s">
        <v>69</v>
      </c>
      <c r="B2609" s="5" t="s">
        <v>78</v>
      </c>
      <c r="C2609" s="5" t="s">
        <v>79</v>
      </c>
      <c r="D2609" s="4" t="s">
        <v>16</v>
      </c>
      <c r="E2609" s="4" t="s">
        <v>2355</v>
      </c>
      <c r="F2609" s="4" t="s">
        <v>406</v>
      </c>
      <c r="G2609" s="4" t="s">
        <v>2356</v>
      </c>
      <c r="H2609" s="12" t="n">
        <v>1</v>
      </c>
      <c r="I2609" s="4" t="s">
        <v>408</v>
      </c>
      <c r="J2609" s="4" t="s">
        <v>409</v>
      </c>
      <c r="K2609" s="13" t="n">
        <v>2500000</v>
      </c>
      <c r="L2609" s="6" t="n">
        <f aca="false">H2609*K2609</f>
        <v>2500000</v>
      </c>
      <c r="M2609" s="14" t="s">
        <v>410</v>
      </c>
    </row>
    <row r="2610" customFormat="false" ht="15" hidden="false" customHeight="false" outlineLevel="0" collapsed="false">
      <c r="A2610" s="4" t="s">
        <v>69</v>
      </c>
      <c r="B2610" s="5" t="s">
        <v>78</v>
      </c>
      <c r="C2610" s="5" t="s">
        <v>79</v>
      </c>
      <c r="D2610" s="4" t="s">
        <v>16</v>
      </c>
      <c r="E2610" s="4" t="s">
        <v>2271</v>
      </c>
      <c r="F2610" s="4" t="s">
        <v>470</v>
      </c>
      <c r="G2610" s="4" t="s">
        <v>2272</v>
      </c>
      <c r="H2610" s="12" t="n">
        <v>1</v>
      </c>
      <c r="I2610" s="4" t="s">
        <v>408</v>
      </c>
      <c r="J2610" s="4" t="s">
        <v>409</v>
      </c>
      <c r="K2610" s="13" t="n">
        <v>4500</v>
      </c>
      <c r="L2610" s="6" t="n">
        <f aca="false">H2610*K2610</f>
        <v>4500</v>
      </c>
      <c r="M2610" s="14" t="s">
        <v>410</v>
      </c>
    </row>
    <row r="2611" customFormat="false" ht="15" hidden="false" customHeight="false" outlineLevel="0" collapsed="false">
      <c r="A2611" s="4" t="s">
        <v>69</v>
      </c>
      <c r="B2611" s="5" t="s">
        <v>78</v>
      </c>
      <c r="C2611" s="5" t="s">
        <v>79</v>
      </c>
      <c r="D2611" s="4" t="s">
        <v>16</v>
      </c>
      <c r="E2611" s="4" t="s">
        <v>2273</v>
      </c>
      <c r="F2611" s="4" t="s">
        <v>470</v>
      </c>
      <c r="G2611" s="4" t="s">
        <v>2274</v>
      </c>
      <c r="H2611" s="12" t="n">
        <v>1</v>
      </c>
      <c r="I2611" s="4" t="s">
        <v>408</v>
      </c>
      <c r="J2611" s="4" t="s">
        <v>409</v>
      </c>
      <c r="K2611" s="13" t="n">
        <v>25000</v>
      </c>
      <c r="L2611" s="6" t="n">
        <f aca="false">H2611*K2611</f>
        <v>25000</v>
      </c>
      <c r="M2611" s="14" t="s">
        <v>410</v>
      </c>
    </row>
    <row r="2612" customFormat="false" ht="15" hidden="false" customHeight="false" outlineLevel="0" collapsed="false">
      <c r="A2612" s="4" t="s">
        <v>69</v>
      </c>
      <c r="B2612" s="5" t="s">
        <v>78</v>
      </c>
      <c r="C2612" s="5" t="s">
        <v>79</v>
      </c>
      <c r="D2612" s="4" t="s">
        <v>16</v>
      </c>
      <c r="E2612" s="4" t="s">
        <v>2163</v>
      </c>
      <c r="F2612" s="4" t="s">
        <v>470</v>
      </c>
      <c r="G2612" s="4" t="s">
        <v>2164</v>
      </c>
      <c r="H2612" s="12" t="n">
        <v>1</v>
      </c>
      <c r="I2612" s="4" t="s">
        <v>408</v>
      </c>
      <c r="J2612" s="4" t="s">
        <v>409</v>
      </c>
      <c r="K2612" s="13" t="n">
        <v>35000</v>
      </c>
      <c r="L2612" s="6" t="n">
        <f aca="false">H2612*K2612</f>
        <v>35000</v>
      </c>
      <c r="M2612" s="14" t="s">
        <v>410</v>
      </c>
    </row>
    <row r="2613" customFormat="false" ht="15" hidden="false" customHeight="false" outlineLevel="0" collapsed="false">
      <c r="A2613" s="4" t="s">
        <v>69</v>
      </c>
      <c r="B2613" s="5" t="s">
        <v>78</v>
      </c>
      <c r="C2613" s="5" t="s">
        <v>79</v>
      </c>
      <c r="D2613" s="4" t="s">
        <v>16</v>
      </c>
      <c r="E2613" s="4" t="s">
        <v>1058</v>
      </c>
      <c r="F2613" s="4" t="s">
        <v>470</v>
      </c>
      <c r="G2613" s="4" t="s">
        <v>1059</v>
      </c>
      <c r="H2613" s="12" t="n">
        <v>1</v>
      </c>
      <c r="I2613" s="4" t="s">
        <v>408</v>
      </c>
      <c r="J2613" s="4" t="s">
        <v>409</v>
      </c>
      <c r="K2613" s="13" t="n">
        <v>45000</v>
      </c>
      <c r="L2613" s="6" t="n">
        <f aca="false">H2613*K2613</f>
        <v>45000</v>
      </c>
      <c r="M2613" s="14" t="s">
        <v>410</v>
      </c>
    </row>
    <row r="2614" customFormat="false" ht="15" hidden="false" customHeight="false" outlineLevel="0" collapsed="false">
      <c r="A2614" s="4" t="s">
        <v>69</v>
      </c>
      <c r="B2614" s="5" t="s">
        <v>78</v>
      </c>
      <c r="C2614" s="5" t="s">
        <v>79</v>
      </c>
      <c r="D2614" s="4" t="s">
        <v>16</v>
      </c>
      <c r="E2614" s="4" t="s">
        <v>3613</v>
      </c>
      <c r="F2614" s="4" t="s">
        <v>470</v>
      </c>
      <c r="G2614" s="4" t="s">
        <v>3614</v>
      </c>
      <c r="H2614" s="12" t="n">
        <v>1</v>
      </c>
      <c r="I2614" s="4" t="s">
        <v>474</v>
      </c>
      <c r="J2614" s="4" t="s">
        <v>543</v>
      </c>
      <c r="K2614" s="13" t="n">
        <v>12000</v>
      </c>
      <c r="L2614" s="6" t="n">
        <f aca="false">H2614*K2614</f>
        <v>12000</v>
      </c>
      <c r="M2614" s="4" t="s">
        <v>371</v>
      </c>
    </row>
    <row r="2615" customFormat="false" ht="15" hidden="false" customHeight="false" outlineLevel="0" collapsed="false">
      <c r="A2615" s="4" t="s">
        <v>69</v>
      </c>
      <c r="B2615" s="5" t="s">
        <v>78</v>
      </c>
      <c r="C2615" s="5" t="s">
        <v>79</v>
      </c>
      <c r="D2615" s="4" t="s">
        <v>16</v>
      </c>
      <c r="E2615" s="4" t="s">
        <v>2365</v>
      </c>
      <c r="F2615" s="4" t="s">
        <v>470</v>
      </c>
      <c r="G2615" s="4" t="s">
        <v>2366</v>
      </c>
      <c r="H2615" s="12" t="n">
        <v>1</v>
      </c>
      <c r="I2615" s="4" t="s">
        <v>408</v>
      </c>
      <c r="J2615" s="4" t="s">
        <v>416</v>
      </c>
      <c r="K2615" s="13" t="n">
        <v>850</v>
      </c>
      <c r="L2615" s="6" t="n">
        <f aca="false">H2615*K2615</f>
        <v>850</v>
      </c>
      <c r="M2615" s="4" t="s">
        <v>371</v>
      </c>
    </row>
    <row r="2616" customFormat="false" ht="15" hidden="false" customHeight="false" outlineLevel="0" collapsed="false">
      <c r="A2616" s="4" t="s">
        <v>69</v>
      </c>
      <c r="B2616" s="5" t="s">
        <v>78</v>
      </c>
      <c r="C2616" s="5" t="s">
        <v>79</v>
      </c>
      <c r="D2616" s="4" t="s">
        <v>16</v>
      </c>
      <c r="E2616" s="4" t="s">
        <v>2357</v>
      </c>
      <c r="F2616" s="4" t="s">
        <v>470</v>
      </c>
      <c r="G2616" s="4" t="s">
        <v>2358</v>
      </c>
      <c r="H2616" s="12" t="n">
        <v>1</v>
      </c>
      <c r="I2616" s="4" t="s">
        <v>408</v>
      </c>
      <c r="J2616" s="4" t="s">
        <v>409</v>
      </c>
      <c r="K2616" s="13" t="n">
        <v>8500</v>
      </c>
      <c r="L2616" s="6" t="n">
        <f aca="false">H2616*K2616</f>
        <v>8500</v>
      </c>
      <c r="M2616" s="4" t="s">
        <v>371</v>
      </c>
    </row>
    <row r="2617" customFormat="false" ht="15" hidden="false" customHeight="false" outlineLevel="0" collapsed="false">
      <c r="A2617" s="4" t="s">
        <v>69</v>
      </c>
      <c r="B2617" s="5" t="s">
        <v>78</v>
      </c>
      <c r="C2617" s="5" t="s">
        <v>79</v>
      </c>
      <c r="D2617" s="4" t="s">
        <v>16</v>
      </c>
      <c r="E2617" s="4" t="s">
        <v>3615</v>
      </c>
      <c r="F2617" s="4" t="s">
        <v>470</v>
      </c>
      <c r="G2617" s="4" t="s">
        <v>3616</v>
      </c>
      <c r="H2617" s="12" t="n">
        <v>5</v>
      </c>
      <c r="I2617" s="4" t="s">
        <v>474</v>
      </c>
      <c r="J2617" s="4" t="s">
        <v>409</v>
      </c>
      <c r="K2617" s="13" t="n">
        <v>8500</v>
      </c>
      <c r="L2617" s="6" t="n">
        <f aca="false">H2617*K2617</f>
        <v>42500</v>
      </c>
      <c r="M2617" s="4" t="s">
        <v>371</v>
      </c>
    </row>
    <row r="2618" customFormat="false" ht="15" hidden="false" customHeight="false" outlineLevel="0" collapsed="false">
      <c r="A2618" s="4" t="s">
        <v>69</v>
      </c>
      <c r="B2618" s="5" t="s">
        <v>78</v>
      </c>
      <c r="C2618" s="5" t="s">
        <v>79</v>
      </c>
      <c r="D2618" s="4" t="s">
        <v>16</v>
      </c>
      <c r="E2618" s="4" t="s">
        <v>1520</v>
      </c>
      <c r="F2618" s="4" t="s">
        <v>470</v>
      </c>
      <c r="G2618" s="4" t="s">
        <v>1521</v>
      </c>
      <c r="H2618" s="12" t="n">
        <v>1</v>
      </c>
      <c r="I2618" s="4" t="s">
        <v>474</v>
      </c>
      <c r="J2618" s="4" t="s">
        <v>409</v>
      </c>
      <c r="K2618" s="13" t="n">
        <v>4500</v>
      </c>
      <c r="L2618" s="6" t="n">
        <f aca="false">H2618*K2618</f>
        <v>4500</v>
      </c>
      <c r="M2618" s="4" t="s">
        <v>371</v>
      </c>
    </row>
    <row r="2619" customFormat="false" ht="15" hidden="false" customHeight="false" outlineLevel="0" collapsed="false">
      <c r="A2619" s="4" t="s">
        <v>69</v>
      </c>
      <c r="B2619" s="5" t="s">
        <v>78</v>
      </c>
      <c r="C2619" s="5" t="s">
        <v>79</v>
      </c>
      <c r="D2619" s="4" t="s">
        <v>16</v>
      </c>
      <c r="E2619" s="4" t="s">
        <v>3617</v>
      </c>
      <c r="F2619" s="4" t="s">
        <v>470</v>
      </c>
      <c r="G2619" s="4" t="s">
        <v>3618</v>
      </c>
      <c r="H2619" s="12" t="n">
        <v>5</v>
      </c>
      <c r="I2619" s="4" t="s">
        <v>474</v>
      </c>
      <c r="J2619" s="4" t="s">
        <v>409</v>
      </c>
      <c r="K2619" s="13" t="n">
        <v>12000</v>
      </c>
      <c r="L2619" s="6" t="n">
        <f aca="false">H2619*K2619</f>
        <v>60000</v>
      </c>
      <c r="M2619" s="4" t="s">
        <v>371</v>
      </c>
    </row>
    <row r="2620" customFormat="false" ht="15" hidden="false" customHeight="false" outlineLevel="0" collapsed="false">
      <c r="A2620" s="4" t="s">
        <v>69</v>
      </c>
      <c r="B2620" s="5" t="s">
        <v>78</v>
      </c>
      <c r="C2620" s="5" t="s">
        <v>79</v>
      </c>
      <c r="D2620" s="4" t="s">
        <v>16</v>
      </c>
      <c r="E2620" s="4" t="s">
        <v>3619</v>
      </c>
      <c r="F2620" s="4" t="s">
        <v>470</v>
      </c>
      <c r="G2620" s="4" t="s">
        <v>3620</v>
      </c>
      <c r="H2620" s="12" t="n">
        <v>1</v>
      </c>
      <c r="I2620" s="4" t="s">
        <v>408</v>
      </c>
      <c r="J2620" s="4" t="s">
        <v>416</v>
      </c>
      <c r="K2620" s="13" t="n">
        <v>85000</v>
      </c>
      <c r="L2620" s="6" t="n">
        <f aca="false">H2620*K2620</f>
        <v>85000</v>
      </c>
      <c r="M2620" s="4" t="s">
        <v>371</v>
      </c>
    </row>
    <row r="2621" customFormat="false" ht="15" hidden="false" customHeight="false" outlineLevel="0" collapsed="false">
      <c r="A2621" s="4" t="s">
        <v>69</v>
      </c>
      <c r="B2621" s="5" t="s">
        <v>78</v>
      </c>
      <c r="C2621" s="5" t="s">
        <v>79</v>
      </c>
      <c r="D2621" s="4" t="s">
        <v>16</v>
      </c>
      <c r="E2621" s="4" t="s">
        <v>3621</v>
      </c>
      <c r="F2621" s="4" t="s">
        <v>470</v>
      </c>
      <c r="G2621" s="4" t="s">
        <v>3622</v>
      </c>
      <c r="H2621" s="12" t="n">
        <v>1</v>
      </c>
      <c r="I2621" s="4" t="s">
        <v>474</v>
      </c>
      <c r="J2621" s="4" t="s">
        <v>416</v>
      </c>
      <c r="K2621" s="13" t="n">
        <v>12000</v>
      </c>
      <c r="L2621" s="6" t="n">
        <f aca="false">H2621*K2621</f>
        <v>12000</v>
      </c>
      <c r="M2621" s="4" t="s">
        <v>371</v>
      </c>
    </row>
    <row r="2622" customFormat="false" ht="15" hidden="false" customHeight="false" outlineLevel="0" collapsed="false">
      <c r="A2622" s="4" t="s">
        <v>69</v>
      </c>
      <c r="B2622" s="5" t="s">
        <v>78</v>
      </c>
      <c r="C2622" s="5" t="s">
        <v>79</v>
      </c>
      <c r="D2622" s="4" t="s">
        <v>16</v>
      </c>
      <c r="E2622" s="4" t="s">
        <v>1089</v>
      </c>
      <c r="F2622" s="4" t="s">
        <v>470</v>
      </c>
      <c r="G2622" s="4" t="s">
        <v>1090</v>
      </c>
      <c r="H2622" s="12" t="n">
        <v>1</v>
      </c>
      <c r="I2622" s="4" t="s">
        <v>408</v>
      </c>
      <c r="J2622" s="4" t="s">
        <v>409</v>
      </c>
      <c r="K2622" s="13" t="n">
        <v>3500</v>
      </c>
      <c r="L2622" s="6" t="n">
        <f aca="false">H2622*K2622</f>
        <v>3500</v>
      </c>
      <c r="M2622" s="4" t="s">
        <v>371</v>
      </c>
    </row>
    <row r="2623" customFormat="false" ht="15" hidden="false" customHeight="false" outlineLevel="0" collapsed="false">
      <c r="A2623" s="4" t="s">
        <v>69</v>
      </c>
      <c r="B2623" s="5" t="s">
        <v>78</v>
      </c>
      <c r="C2623" s="5" t="s">
        <v>79</v>
      </c>
      <c r="D2623" s="4" t="s">
        <v>16</v>
      </c>
      <c r="E2623" s="4" t="s">
        <v>2289</v>
      </c>
      <c r="F2623" s="4" t="s">
        <v>470</v>
      </c>
      <c r="G2623" s="4" t="s">
        <v>2290</v>
      </c>
      <c r="H2623" s="12" t="n">
        <v>1</v>
      </c>
      <c r="I2623" s="4" t="s">
        <v>408</v>
      </c>
      <c r="J2623" s="4" t="s">
        <v>409</v>
      </c>
      <c r="K2623" s="13" t="n">
        <v>2500</v>
      </c>
      <c r="L2623" s="6" t="n">
        <f aca="false">H2623*K2623</f>
        <v>2500</v>
      </c>
      <c r="M2623" s="4" t="s">
        <v>371</v>
      </c>
    </row>
    <row r="2624" customFormat="false" ht="15" hidden="false" customHeight="false" outlineLevel="0" collapsed="false">
      <c r="A2624" s="4" t="s">
        <v>69</v>
      </c>
      <c r="B2624" s="5" t="s">
        <v>78</v>
      </c>
      <c r="C2624" s="5" t="s">
        <v>79</v>
      </c>
      <c r="D2624" s="4" t="s">
        <v>16</v>
      </c>
      <c r="E2624" s="4" t="s">
        <v>2359</v>
      </c>
      <c r="F2624" s="4" t="s">
        <v>470</v>
      </c>
      <c r="G2624" s="4" t="s">
        <v>2360</v>
      </c>
      <c r="H2624" s="12" t="n">
        <v>1</v>
      </c>
      <c r="I2624" s="4" t="s">
        <v>408</v>
      </c>
      <c r="J2624" s="4" t="s">
        <v>416</v>
      </c>
      <c r="K2624" s="13" t="n">
        <v>4500</v>
      </c>
      <c r="L2624" s="6" t="n">
        <f aca="false">H2624*K2624</f>
        <v>4500</v>
      </c>
      <c r="M2624" s="4" t="s">
        <v>371</v>
      </c>
    </row>
    <row r="2625" customFormat="false" ht="15" hidden="false" customHeight="false" outlineLevel="0" collapsed="false">
      <c r="A2625" s="4" t="s">
        <v>69</v>
      </c>
      <c r="B2625" s="5" t="s">
        <v>78</v>
      </c>
      <c r="C2625" s="5" t="s">
        <v>79</v>
      </c>
      <c r="D2625" s="4" t="s">
        <v>16</v>
      </c>
      <c r="E2625" s="4" t="s">
        <v>3623</v>
      </c>
      <c r="F2625" s="4" t="s">
        <v>470</v>
      </c>
      <c r="G2625" s="4" t="s">
        <v>2278</v>
      </c>
      <c r="H2625" s="12" t="n">
        <v>1</v>
      </c>
      <c r="I2625" s="4" t="s">
        <v>474</v>
      </c>
      <c r="J2625" s="4" t="s">
        <v>413</v>
      </c>
      <c r="K2625" s="13" t="n">
        <v>450</v>
      </c>
      <c r="L2625" s="6" t="n">
        <f aca="false">H2625*K2625</f>
        <v>450</v>
      </c>
      <c r="M2625" s="4" t="s">
        <v>371</v>
      </c>
    </row>
    <row r="2626" customFormat="false" ht="15" hidden="false" customHeight="false" outlineLevel="0" collapsed="false">
      <c r="A2626" s="4" t="s">
        <v>69</v>
      </c>
      <c r="B2626" s="5" t="s">
        <v>78</v>
      </c>
      <c r="C2626" s="5" t="s">
        <v>79</v>
      </c>
      <c r="D2626" s="4" t="s">
        <v>16</v>
      </c>
      <c r="E2626" s="4" t="s">
        <v>1453</v>
      </c>
      <c r="F2626" s="4" t="s">
        <v>470</v>
      </c>
      <c r="G2626" s="4" t="s">
        <v>1090</v>
      </c>
      <c r="H2626" s="12" t="n">
        <v>1</v>
      </c>
      <c r="I2626" s="4" t="s">
        <v>474</v>
      </c>
      <c r="J2626" s="4" t="s">
        <v>409</v>
      </c>
      <c r="K2626" s="13" t="n">
        <v>3500</v>
      </c>
      <c r="L2626" s="6" t="n">
        <f aca="false">H2626*K2626</f>
        <v>3500</v>
      </c>
      <c r="M2626" s="4" t="s">
        <v>371</v>
      </c>
    </row>
    <row r="2627" customFormat="false" ht="15" hidden="false" customHeight="false" outlineLevel="0" collapsed="false">
      <c r="A2627" s="4" t="s">
        <v>69</v>
      </c>
      <c r="B2627" s="5" t="s">
        <v>78</v>
      </c>
      <c r="C2627" s="5" t="s">
        <v>79</v>
      </c>
      <c r="D2627" s="4" t="s">
        <v>16</v>
      </c>
      <c r="E2627" s="4" t="s">
        <v>2373</v>
      </c>
      <c r="F2627" s="4" t="s">
        <v>470</v>
      </c>
      <c r="G2627" s="4" t="s">
        <v>2374</v>
      </c>
      <c r="H2627" s="12" t="n">
        <v>1</v>
      </c>
      <c r="I2627" s="4" t="s">
        <v>408</v>
      </c>
      <c r="J2627" s="4" t="s">
        <v>416</v>
      </c>
      <c r="K2627" s="13" t="n">
        <v>850</v>
      </c>
      <c r="L2627" s="6" t="n">
        <f aca="false">H2627*K2627</f>
        <v>850</v>
      </c>
      <c r="M2627" s="4" t="s">
        <v>371</v>
      </c>
    </row>
    <row r="2628" customFormat="false" ht="15" hidden="false" customHeight="false" outlineLevel="0" collapsed="false">
      <c r="A2628" s="4" t="s">
        <v>69</v>
      </c>
      <c r="B2628" s="5" t="s">
        <v>78</v>
      </c>
      <c r="C2628" s="5" t="s">
        <v>79</v>
      </c>
      <c r="D2628" s="4" t="s">
        <v>16</v>
      </c>
      <c r="E2628" s="4" t="s">
        <v>3624</v>
      </c>
      <c r="F2628" s="4" t="s">
        <v>470</v>
      </c>
      <c r="G2628" s="4" t="s">
        <v>3625</v>
      </c>
      <c r="H2628" s="12" t="n">
        <v>1</v>
      </c>
      <c r="I2628" s="4" t="s">
        <v>408</v>
      </c>
      <c r="J2628" s="4" t="s">
        <v>416</v>
      </c>
      <c r="K2628" s="13" t="n">
        <v>850</v>
      </c>
      <c r="L2628" s="6" t="n">
        <f aca="false">H2628*K2628</f>
        <v>850</v>
      </c>
      <c r="M2628" s="4" t="s">
        <v>371</v>
      </c>
    </row>
    <row r="2629" customFormat="false" ht="15" hidden="false" customHeight="false" outlineLevel="0" collapsed="false">
      <c r="A2629" s="4" t="s">
        <v>69</v>
      </c>
      <c r="B2629" s="5" t="s">
        <v>78</v>
      </c>
      <c r="C2629" s="5" t="s">
        <v>79</v>
      </c>
      <c r="D2629" s="4" t="s">
        <v>16</v>
      </c>
      <c r="E2629" s="4" t="s">
        <v>2375</v>
      </c>
      <c r="F2629" s="4" t="s">
        <v>470</v>
      </c>
      <c r="G2629" s="4" t="s">
        <v>2376</v>
      </c>
      <c r="H2629" s="12" t="n">
        <v>1</v>
      </c>
      <c r="I2629" s="4" t="s">
        <v>408</v>
      </c>
      <c r="J2629" s="4" t="s">
        <v>416</v>
      </c>
      <c r="K2629" s="13" t="n">
        <v>850</v>
      </c>
      <c r="L2629" s="6" t="n">
        <f aca="false">H2629*K2629</f>
        <v>850</v>
      </c>
      <c r="M2629" s="4" t="s">
        <v>371</v>
      </c>
    </row>
    <row r="2630" customFormat="false" ht="15" hidden="false" customHeight="false" outlineLevel="0" collapsed="false">
      <c r="A2630" s="4" t="s">
        <v>69</v>
      </c>
      <c r="B2630" s="5" t="s">
        <v>78</v>
      </c>
      <c r="C2630" s="5" t="s">
        <v>79</v>
      </c>
      <c r="D2630" s="4" t="s">
        <v>16</v>
      </c>
      <c r="E2630" s="4" t="s">
        <v>3626</v>
      </c>
      <c r="F2630" s="4" t="s">
        <v>470</v>
      </c>
      <c r="G2630" s="4" t="s">
        <v>3627</v>
      </c>
      <c r="H2630" s="12" t="n">
        <v>1</v>
      </c>
      <c r="I2630" s="4" t="s">
        <v>408</v>
      </c>
      <c r="J2630" s="4" t="s">
        <v>416</v>
      </c>
      <c r="K2630" s="13" t="n">
        <v>850</v>
      </c>
      <c r="L2630" s="6" t="n">
        <f aca="false">H2630*K2630</f>
        <v>850</v>
      </c>
      <c r="M2630" s="4" t="s">
        <v>371</v>
      </c>
    </row>
    <row r="2631" customFormat="false" ht="15" hidden="false" customHeight="false" outlineLevel="0" collapsed="false">
      <c r="A2631" s="4" t="s">
        <v>69</v>
      </c>
      <c r="B2631" s="5" t="s">
        <v>78</v>
      </c>
      <c r="C2631" s="5" t="s">
        <v>79</v>
      </c>
      <c r="D2631" s="4" t="s">
        <v>16</v>
      </c>
      <c r="E2631" s="4" t="s">
        <v>3628</v>
      </c>
      <c r="F2631" s="4" t="s">
        <v>470</v>
      </c>
      <c r="G2631" s="4" t="s">
        <v>3629</v>
      </c>
      <c r="H2631" s="12" t="n">
        <v>1</v>
      </c>
      <c r="I2631" s="4" t="s">
        <v>408</v>
      </c>
      <c r="J2631" s="4" t="s">
        <v>416</v>
      </c>
      <c r="K2631" s="13" t="n">
        <v>850</v>
      </c>
      <c r="L2631" s="6" t="n">
        <f aca="false">H2631*K2631</f>
        <v>850</v>
      </c>
      <c r="M2631" s="4" t="s">
        <v>371</v>
      </c>
    </row>
    <row r="2632" customFormat="false" ht="15" hidden="false" customHeight="false" outlineLevel="0" collapsed="false">
      <c r="A2632" s="4" t="s">
        <v>69</v>
      </c>
      <c r="B2632" s="5" t="s">
        <v>78</v>
      </c>
      <c r="C2632" s="5" t="s">
        <v>79</v>
      </c>
      <c r="D2632" s="4" t="s">
        <v>16</v>
      </c>
      <c r="E2632" s="4" t="s">
        <v>2381</v>
      </c>
      <c r="F2632" s="4" t="s">
        <v>470</v>
      </c>
      <c r="G2632" s="4" t="s">
        <v>2382</v>
      </c>
      <c r="H2632" s="12" t="n">
        <v>1</v>
      </c>
      <c r="I2632" s="4" t="s">
        <v>408</v>
      </c>
      <c r="J2632" s="4" t="s">
        <v>416</v>
      </c>
      <c r="K2632" s="13" t="n">
        <v>850</v>
      </c>
      <c r="L2632" s="6" t="n">
        <f aca="false">H2632*K2632</f>
        <v>850</v>
      </c>
      <c r="M2632" s="4" t="s">
        <v>371</v>
      </c>
    </row>
    <row r="2633" customFormat="false" ht="15" hidden="false" customHeight="false" outlineLevel="0" collapsed="false">
      <c r="A2633" s="4" t="s">
        <v>69</v>
      </c>
      <c r="B2633" s="5" t="s">
        <v>78</v>
      </c>
      <c r="C2633" s="5" t="s">
        <v>79</v>
      </c>
      <c r="D2633" s="4" t="s">
        <v>16</v>
      </c>
      <c r="E2633" s="4" t="s">
        <v>3630</v>
      </c>
      <c r="F2633" s="4" t="s">
        <v>470</v>
      </c>
      <c r="G2633" s="4" t="s">
        <v>3631</v>
      </c>
      <c r="H2633" s="12" t="n">
        <v>1</v>
      </c>
      <c r="I2633" s="4" t="s">
        <v>408</v>
      </c>
      <c r="J2633" s="4" t="s">
        <v>416</v>
      </c>
      <c r="K2633" s="13" t="n">
        <v>850</v>
      </c>
      <c r="L2633" s="6" t="n">
        <f aca="false">H2633*K2633</f>
        <v>850</v>
      </c>
      <c r="M2633" s="4" t="s">
        <v>371</v>
      </c>
    </row>
    <row r="2634" customFormat="false" ht="15" hidden="false" customHeight="false" outlineLevel="0" collapsed="false">
      <c r="A2634" s="4" t="s">
        <v>69</v>
      </c>
      <c r="B2634" s="5" t="s">
        <v>78</v>
      </c>
      <c r="C2634" s="5" t="s">
        <v>79</v>
      </c>
      <c r="D2634" s="4" t="s">
        <v>16</v>
      </c>
      <c r="E2634" s="4" t="s">
        <v>3632</v>
      </c>
      <c r="F2634" s="4" t="s">
        <v>470</v>
      </c>
      <c r="G2634" s="4" t="s">
        <v>3633</v>
      </c>
      <c r="H2634" s="12" t="n">
        <v>1</v>
      </c>
      <c r="I2634" s="4" t="s">
        <v>408</v>
      </c>
      <c r="J2634" s="4" t="s">
        <v>416</v>
      </c>
      <c r="K2634" s="13" t="n">
        <v>850</v>
      </c>
      <c r="L2634" s="6" t="n">
        <f aca="false">H2634*K2634</f>
        <v>850</v>
      </c>
      <c r="M2634" s="4" t="s">
        <v>371</v>
      </c>
    </row>
    <row r="2635" customFormat="false" ht="15" hidden="false" customHeight="false" outlineLevel="0" collapsed="false">
      <c r="A2635" s="4" t="s">
        <v>69</v>
      </c>
      <c r="B2635" s="5" t="s">
        <v>78</v>
      </c>
      <c r="C2635" s="5" t="s">
        <v>79</v>
      </c>
      <c r="D2635" s="4" t="s">
        <v>16</v>
      </c>
      <c r="E2635" s="4" t="s">
        <v>3634</v>
      </c>
      <c r="F2635" s="4" t="s">
        <v>470</v>
      </c>
      <c r="G2635" s="4" t="s">
        <v>3635</v>
      </c>
      <c r="H2635" s="12" t="n">
        <v>1</v>
      </c>
      <c r="I2635" s="4" t="s">
        <v>408</v>
      </c>
      <c r="J2635" s="4" t="s">
        <v>416</v>
      </c>
      <c r="K2635" s="13" t="n">
        <v>850</v>
      </c>
      <c r="L2635" s="6" t="n">
        <f aca="false">H2635*K2635</f>
        <v>850</v>
      </c>
      <c r="M2635" s="4" t="s">
        <v>371</v>
      </c>
    </row>
    <row r="2636" customFormat="false" ht="15" hidden="false" customHeight="false" outlineLevel="0" collapsed="false">
      <c r="A2636" s="4" t="s">
        <v>69</v>
      </c>
      <c r="B2636" s="5" t="s">
        <v>78</v>
      </c>
      <c r="C2636" s="5" t="s">
        <v>79</v>
      </c>
      <c r="D2636" s="4" t="s">
        <v>16</v>
      </c>
      <c r="E2636" s="4" t="s">
        <v>3636</v>
      </c>
      <c r="F2636" s="4" t="s">
        <v>470</v>
      </c>
      <c r="G2636" s="4" t="s">
        <v>3637</v>
      </c>
      <c r="H2636" s="12" t="n">
        <v>1</v>
      </c>
      <c r="I2636" s="4" t="s">
        <v>408</v>
      </c>
      <c r="J2636" s="4" t="s">
        <v>416</v>
      </c>
      <c r="K2636" s="13" t="n">
        <v>850</v>
      </c>
      <c r="L2636" s="6" t="n">
        <f aca="false">H2636*K2636</f>
        <v>850</v>
      </c>
      <c r="M2636" s="4" t="s">
        <v>371</v>
      </c>
    </row>
    <row r="2637" customFormat="false" ht="15" hidden="false" customHeight="false" outlineLevel="0" collapsed="false">
      <c r="A2637" s="4" t="s">
        <v>69</v>
      </c>
      <c r="B2637" s="5" t="s">
        <v>78</v>
      </c>
      <c r="C2637" s="5" t="s">
        <v>79</v>
      </c>
      <c r="D2637" s="4" t="s">
        <v>16</v>
      </c>
      <c r="E2637" s="4" t="s">
        <v>2301</v>
      </c>
      <c r="F2637" s="4" t="s">
        <v>470</v>
      </c>
      <c r="G2637" s="4" t="s">
        <v>2302</v>
      </c>
      <c r="H2637" s="12" t="n">
        <v>1</v>
      </c>
      <c r="I2637" s="4" t="s">
        <v>408</v>
      </c>
      <c r="J2637" s="4" t="s">
        <v>409</v>
      </c>
      <c r="K2637" s="13" t="n">
        <v>8500</v>
      </c>
      <c r="L2637" s="6" t="n">
        <f aca="false">H2637*K2637</f>
        <v>8500</v>
      </c>
      <c r="M2637" s="4" t="s">
        <v>371</v>
      </c>
    </row>
    <row r="2638" customFormat="false" ht="15" hidden="false" customHeight="false" outlineLevel="0" collapsed="false">
      <c r="A2638" s="4" t="s">
        <v>69</v>
      </c>
      <c r="B2638" s="5" t="s">
        <v>78</v>
      </c>
      <c r="C2638" s="5" t="s">
        <v>79</v>
      </c>
      <c r="D2638" s="4" t="s">
        <v>16</v>
      </c>
      <c r="E2638" s="4" t="s">
        <v>2303</v>
      </c>
      <c r="F2638" s="4" t="s">
        <v>470</v>
      </c>
      <c r="G2638" s="4" t="s">
        <v>2304</v>
      </c>
      <c r="H2638" s="12" t="n">
        <v>1</v>
      </c>
      <c r="I2638" s="4" t="s">
        <v>408</v>
      </c>
      <c r="J2638" s="4" t="s">
        <v>409</v>
      </c>
      <c r="K2638" s="13" t="n">
        <v>3500</v>
      </c>
      <c r="L2638" s="6" t="n">
        <f aca="false">H2638*K2638</f>
        <v>3500</v>
      </c>
      <c r="M2638" s="4" t="s">
        <v>371</v>
      </c>
    </row>
    <row r="2639" customFormat="false" ht="15" hidden="false" customHeight="false" outlineLevel="0" collapsed="false">
      <c r="A2639" s="4" t="s">
        <v>69</v>
      </c>
      <c r="B2639" s="5" t="s">
        <v>78</v>
      </c>
      <c r="C2639" s="5" t="s">
        <v>79</v>
      </c>
      <c r="D2639" s="4" t="s">
        <v>16</v>
      </c>
      <c r="E2639" s="4" t="s">
        <v>2305</v>
      </c>
      <c r="F2639" s="4" t="s">
        <v>470</v>
      </c>
      <c r="G2639" s="4" t="s">
        <v>2306</v>
      </c>
      <c r="H2639" s="12" t="n">
        <v>1</v>
      </c>
      <c r="I2639" s="4" t="s">
        <v>408</v>
      </c>
      <c r="J2639" s="4" t="s">
        <v>409</v>
      </c>
      <c r="K2639" s="13" t="n">
        <v>850</v>
      </c>
      <c r="L2639" s="6" t="n">
        <f aca="false">H2639*K2639</f>
        <v>850</v>
      </c>
      <c r="M2639" s="4" t="s">
        <v>371</v>
      </c>
    </row>
    <row r="2640" customFormat="false" ht="15" hidden="false" customHeight="false" outlineLevel="0" collapsed="false">
      <c r="A2640" s="4" t="s">
        <v>69</v>
      </c>
      <c r="B2640" s="5" t="s">
        <v>78</v>
      </c>
      <c r="C2640" s="5" t="s">
        <v>79</v>
      </c>
      <c r="D2640" s="4" t="s">
        <v>16</v>
      </c>
      <c r="E2640" s="4" t="s">
        <v>3638</v>
      </c>
      <c r="F2640" s="4" t="s">
        <v>470</v>
      </c>
      <c r="G2640" s="4" t="s">
        <v>3639</v>
      </c>
      <c r="H2640" s="12" t="n">
        <v>5</v>
      </c>
      <c r="I2640" s="4" t="s">
        <v>474</v>
      </c>
      <c r="J2640" s="4" t="s">
        <v>416</v>
      </c>
      <c r="K2640" s="13" t="n">
        <v>850</v>
      </c>
      <c r="L2640" s="6" t="n">
        <f aca="false">H2640*K2640</f>
        <v>4250</v>
      </c>
      <c r="M2640" s="4" t="s">
        <v>371</v>
      </c>
    </row>
    <row r="2641" customFormat="false" ht="15" hidden="false" customHeight="false" outlineLevel="0" collapsed="false">
      <c r="A2641" s="4" t="s">
        <v>69</v>
      </c>
      <c r="B2641" s="5" t="s">
        <v>78</v>
      </c>
      <c r="C2641" s="5" t="s">
        <v>79</v>
      </c>
      <c r="D2641" s="4" t="s">
        <v>16</v>
      </c>
      <c r="E2641" s="4" t="s">
        <v>3640</v>
      </c>
      <c r="F2641" s="4" t="s">
        <v>470</v>
      </c>
      <c r="G2641" s="4" t="s">
        <v>3641</v>
      </c>
      <c r="H2641" s="12" t="n">
        <v>2</v>
      </c>
      <c r="I2641" s="4" t="s">
        <v>474</v>
      </c>
      <c r="J2641" s="4" t="s">
        <v>409</v>
      </c>
      <c r="K2641" s="13" t="n">
        <v>850</v>
      </c>
      <c r="L2641" s="6" t="n">
        <f aca="false">H2641*K2641</f>
        <v>1700</v>
      </c>
      <c r="M2641" s="4" t="s">
        <v>371</v>
      </c>
    </row>
    <row r="2642" customFormat="false" ht="15" hidden="false" customHeight="false" outlineLevel="0" collapsed="false">
      <c r="A2642" s="4" t="s">
        <v>69</v>
      </c>
      <c r="B2642" s="5" t="s">
        <v>78</v>
      </c>
      <c r="C2642" s="5" t="s">
        <v>79</v>
      </c>
      <c r="D2642" s="4" t="s">
        <v>16</v>
      </c>
      <c r="E2642" s="4" t="s">
        <v>3642</v>
      </c>
      <c r="F2642" s="4" t="s">
        <v>470</v>
      </c>
      <c r="G2642" s="4" t="s">
        <v>3643</v>
      </c>
      <c r="H2642" s="12" t="n">
        <v>40</v>
      </c>
      <c r="I2642" s="4" t="s">
        <v>474</v>
      </c>
      <c r="J2642" s="4" t="s">
        <v>409</v>
      </c>
      <c r="K2642" s="13" t="n">
        <v>350</v>
      </c>
      <c r="L2642" s="6" t="n">
        <f aca="false">H2642*K2642</f>
        <v>14000</v>
      </c>
      <c r="M2642" s="4" t="s">
        <v>371</v>
      </c>
    </row>
    <row r="2643" customFormat="false" ht="15" hidden="false" customHeight="false" outlineLevel="0" collapsed="false">
      <c r="A2643" s="4" t="s">
        <v>69</v>
      </c>
      <c r="B2643" s="5" t="s">
        <v>78</v>
      </c>
      <c r="C2643" s="5" t="s">
        <v>79</v>
      </c>
      <c r="D2643" s="4" t="s">
        <v>16</v>
      </c>
      <c r="E2643" s="4" t="s">
        <v>3644</v>
      </c>
      <c r="F2643" s="4" t="s">
        <v>470</v>
      </c>
      <c r="G2643" s="4" t="s">
        <v>3645</v>
      </c>
      <c r="H2643" s="12" t="n">
        <v>10</v>
      </c>
      <c r="I2643" s="4" t="s">
        <v>474</v>
      </c>
      <c r="J2643" s="4" t="s">
        <v>416</v>
      </c>
      <c r="K2643" s="13" t="n">
        <v>8500</v>
      </c>
      <c r="L2643" s="6" t="n">
        <f aca="false">H2643*K2643</f>
        <v>85000</v>
      </c>
      <c r="M2643" s="4" t="s">
        <v>371</v>
      </c>
    </row>
    <row r="2644" customFormat="false" ht="15" hidden="false" customHeight="false" outlineLevel="0" collapsed="false">
      <c r="A2644" s="4" t="s">
        <v>69</v>
      </c>
      <c r="B2644" s="5" t="s">
        <v>78</v>
      </c>
      <c r="C2644" s="5" t="s">
        <v>79</v>
      </c>
      <c r="D2644" s="4" t="s">
        <v>16</v>
      </c>
      <c r="E2644" s="4" t="s">
        <v>3646</v>
      </c>
      <c r="F2644" s="4" t="s">
        <v>470</v>
      </c>
      <c r="G2644" s="4" t="s">
        <v>3647</v>
      </c>
      <c r="H2644" s="12" t="n">
        <v>1</v>
      </c>
      <c r="I2644" s="4" t="s">
        <v>474</v>
      </c>
      <c r="J2644" s="4" t="s">
        <v>409</v>
      </c>
      <c r="K2644" s="13" t="n">
        <v>3500</v>
      </c>
      <c r="L2644" s="6" t="n">
        <f aca="false">H2644*K2644</f>
        <v>3500</v>
      </c>
      <c r="M2644" s="4" t="s">
        <v>371</v>
      </c>
    </row>
    <row r="2645" customFormat="false" ht="15" hidden="false" customHeight="false" outlineLevel="0" collapsed="false">
      <c r="A2645" s="4" t="s">
        <v>69</v>
      </c>
      <c r="B2645" s="5" t="s">
        <v>78</v>
      </c>
      <c r="C2645" s="5" t="s">
        <v>79</v>
      </c>
      <c r="D2645" s="4" t="s">
        <v>16</v>
      </c>
      <c r="E2645" s="4" t="s">
        <v>3648</v>
      </c>
      <c r="F2645" s="4" t="s">
        <v>488</v>
      </c>
      <c r="G2645" s="4" t="s">
        <v>3649</v>
      </c>
      <c r="H2645" s="12" t="n">
        <v>1</v>
      </c>
      <c r="I2645" s="4" t="s">
        <v>408</v>
      </c>
      <c r="J2645" s="4" t="s">
        <v>416</v>
      </c>
      <c r="K2645" s="13" t="n">
        <v>350</v>
      </c>
      <c r="L2645" s="6" t="n">
        <f aca="false">H2645*K2645</f>
        <v>350</v>
      </c>
      <c r="M2645" s="4" t="s">
        <v>371</v>
      </c>
    </row>
    <row r="2646" customFormat="false" ht="15" hidden="false" customHeight="false" outlineLevel="0" collapsed="false">
      <c r="A2646" s="4" t="s">
        <v>69</v>
      </c>
      <c r="B2646" s="5" t="s">
        <v>78</v>
      </c>
      <c r="C2646" s="5" t="s">
        <v>79</v>
      </c>
      <c r="D2646" s="4" t="s">
        <v>16</v>
      </c>
      <c r="E2646" s="4" t="s">
        <v>2325</v>
      </c>
      <c r="F2646" s="4" t="s">
        <v>488</v>
      </c>
      <c r="G2646" s="4" t="s">
        <v>2326</v>
      </c>
      <c r="H2646" s="12" t="n">
        <v>1</v>
      </c>
      <c r="I2646" s="4" t="s">
        <v>408</v>
      </c>
      <c r="J2646" s="4" t="s">
        <v>416</v>
      </c>
      <c r="K2646" s="13" t="n">
        <v>650</v>
      </c>
      <c r="L2646" s="6" t="n">
        <f aca="false">H2646*K2646</f>
        <v>650</v>
      </c>
      <c r="M2646" s="4" t="s">
        <v>371</v>
      </c>
    </row>
    <row r="2647" customFormat="false" ht="15" hidden="false" customHeight="false" outlineLevel="0" collapsed="false">
      <c r="A2647" s="4" t="s">
        <v>69</v>
      </c>
      <c r="B2647" s="5" t="s">
        <v>78</v>
      </c>
      <c r="C2647" s="5" t="s">
        <v>79</v>
      </c>
      <c r="D2647" s="4" t="s">
        <v>16</v>
      </c>
      <c r="E2647" s="4" t="s">
        <v>2327</v>
      </c>
      <c r="F2647" s="4" t="s">
        <v>488</v>
      </c>
      <c r="G2647" s="4" t="s">
        <v>2328</v>
      </c>
      <c r="H2647" s="12" t="n">
        <v>1</v>
      </c>
      <c r="I2647" s="4" t="s">
        <v>408</v>
      </c>
      <c r="J2647" s="4" t="s">
        <v>506</v>
      </c>
      <c r="K2647" s="13" t="n">
        <v>450</v>
      </c>
      <c r="L2647" s="6" t="n">
        <f aca="false">H2647*K2647</f>
        <v>450</v>
      </c>
      <c r="M2647" s="4" t="s">
        <v>371</v>
      </c>
    </row>
    <row r="2648" customFormat="false" ht="15" hidden="false" customHeight="false" outlineLevel="0" collapsed="false">
      <c r="A2648" s="4" t="s">
        <v>69</v>
      </c>
      <c r="B2648" s="5" t="s">
        <v>78</v>
      </c>
      <c r="C2648" s="5" t="s">
        <v>79</v>
      </c>
      <c r="D2648" s="4" t="s">
        <v>16</v>
      </c>
      <c r="E2648" s="4" t="s">
        <v>3650</v>
      </c>
      <c r="F2648" s="4" t="s">
        <v>488</v>
      </c>
      <c r="G2648" s="4" t="s">
        <v>3651</v>
      </c>
      <c r="H2648" s="12" t="n">
        <v>5</v>
      </c>
      <c r="I2648" s="4" t="s">
        <v>474</v>
      </c>
      <c r="J2648" s="4" t="s">
        <v>416</v>
      </c>
      <c r="K2648" s="13" t="n">
        <v>500</v>
      </c>
      <c r="L2648" s="6" t="n">
        <f aca="false">H2648*K2648</f>
        <v>2500</v>
      </c>
      <c r="M2648" s="4" t="s">
        <v>371</v>
      </c>
    </row>
    <row r="2649" customFormat="false" ht="15" hidden="false" customHeight="false" outlineLevel="0" collapsed="false">
      <c r="A2649" s="4" t="s">
        <v>69</v>
      </c>
      <c r="B2649" s="5" t="s">
        <v>78</v>
      </c>
      <c r="C2649" s="5" t="s">
        <v>79</v>
      </c>
      <c r="D2649" s="4" t="s">
        <v>16</v>
      </c>
      <c r="E2649" s="4" t="s">
        <v>3652</v>
      </c>
      <c r="F2649" s="4" t="s">
        <v>488</v>
      </c>
      <c r="G2649" s="4" t="s">
        <v>3653</v>
      </c>
      <c r="H2649" s="12" t="n">
        <v>2</v>
      </c>
      <c r="I2649" s="4" t="s">
        <v>474</v>
      </c>
      <c r="J2649" s="4" t="s">
        <v>506</v>
      </c>
      <c r="K2649" s="13" t="n">
        <v>120</v>
      </c>
      <c r="L2649" s="6" t="n">
        <f aca="false">H2649*K2649</f>
        <v>240</v>
      </c>
      <c r="M2649" s="4" t="s">
        <v>371</v>
      </c>
    </row>
    <row r="2650" customFormat="false" ht="15" hidden="false" customHeight="false" outlineLevel="0" collapsed="false">
      <c r="A2650" s="4" t="s">
        <v>69</v>
      </c>
      <c r="B2650" s="5" t="s">
        <v>78</v>
      </c>
      <c r="C2650" s="5" t="s">
        <v>79</v>
      </c>
      <c r="D2650" s="4" t="s">
        <v>16</v>
      </c>
      <c r="E2650" s="4" t="s">
        <v>3654</v>
      </c>
      <c r="F2650" s="4" t="s">
        <v>488</v>
      </c>
      <c r="G2650" s="4" t="s">
        <v>3655</v>
      </c>
      <c r="H2650" s="12" t="n">
        <v>5</v>
      </c>
      <c r="I2650" s="4" t="s">
        <v>474</v>
      </c>
      <c r="J2650" s="4" t="s">
        <v>480</v>
      </c>
      <c r="K2650" s="13" t="n">
        <v>100</v>
      </c>
      <c r="L2650" s="6" t="n">
        <f aca="false">H2650*K2650</f>
        <v>500</v>
      </c>
      <c r="M2650" s="4" t="s">
        <v>371</v>
      </c>
    </row>
    <row r="2651" customFormat="false" ht="15" hidden="false" customHeight="false" outlineLevel="0" collapsed="false">
      <c r="A2651" s="4" t="s">
        <v>69</v>
      </c>
      <c r="B2651" s="5" t="s">
        <v>78</v>
      </c>
      <c r="C2651" s="5" t="s">
        <v>79</v>
      </c>
      <c r="D2651" s="4" t="s">
        <v>16</v>
      </c>
      <c r="E2651" s="4" t="s">
        <v>3656</v>
      </c>
      <c r="F2651" s="4" t="s">
        <v>488</v>
      </c>
      <c r="G2651" s="4" t="s">
        <v>3657</v>
      </c>
      <c r="H2651" s="12" t="n">
        <v>3</v>
      </c>
      <c r="I2651" s="4" t="s">
        <v>474</v>
      </c>
      <c r="J2651" s="4" t="s">
        <v>409</v>
      </c>
      <c r="K2651" s="13" t="n">
        <v>180</v>
      </c>
      <c r="L2651" s="6" t="n">
        <f aca="false">H2651*K2651</f>
        <v>540</v>
      </c>
      <c r="M2651" s="4" t="s">
        <v>371</v>
      </c>
    </row>
    <row r="2652" customFormat="false" ht="15" hidden="false" customHeight="false" outlineLevel="0" collapsed="false">
      <c r="A2652" s="4" t="s">
        <v>69</v>
      </c>
      <c r="B2652" s="5" t="s">
        <v>78</v>
      </c>
      <c r="C2652" s="5" t="s">
        <v>79</v>
      </c>
      <c r="D2652" s="4" t="s">
        <v>16</v>
      </c>
      <c r="E2652" s="4" t="s">
        <v>3658</v>
      </c>
      <c r="F2652" s="4" t="s">
        <v>488</v>
      </c>
      <c r="G2652" s="4" t="s">
        <v>3659</v>
      </c>
      <c r="H2652" s="12" t="n">
        <v>25</v>
      </c>
      <c r="I2652" s="4" t="s">
        <v>474</v>
      </c>
      <c r="J2652" s="4" t="s">
        <v>506</v>
      </c>
      <c r="K2652" s="13" t="n">
        <v>120</v>
      </c>
      <c r="L2652" s="6" t="n">
        <f aca="false">H2652*K2652</f>
        <v>3000</v>
      </c>
      <c r="M2652" s="4" t="s">
        <v>371</v>
      </c>
    </row>
    <row r="2653" customFormat="false" ht="15" hidden="false" customHeight="false" outlineLevel="0" collapsed="false">
      <c r="A2653" s="4" t="s">
        <v>69</v>
      </c>
      <c r="B2653" s="5" t="s">
        <v>78</v>
      </c>
      <c r="C2653" s="5" t="s">
        <v>79</v>
      </c>
      <c r="D2653" s="4" t="s">
        <v>16</v>
      </c>
      <c r="E2653" s="4" t="s">
        <v>3660</v>
      </c>
      <c r="F2653" s="4" t="s">
        <v>488</v>
      </c>
      <c r="G2653" s="4" t="s">
        <v>3661</v>
      </c>
      <c r="H2653" s="12" t="n">
        <v>1</v>
      </c>
      <c r="I2653" s="4" t="s">
        <v>474</v>
      </c>
      <c r="J2653" s="4" t="s">
        <v>416</v>
      </c>
      <c r="K2653" s="13" t="n">
        <v>120</v>
      </c>
      <c r="L2653" s="6" t="n">
        <f aca="false">H2653*K2653</f>
        <v>120</v>
      </c>
      <c r="M2653" s="4" t="s">
        <v>371</v>
      </c>
    </row>
    <row r="2654" customFormat="false" ht="15" hidden="false" customHeight="false" outlineLevel="0" collapsed="false">
      <c r="A2654" s="4" t="s">
        <v>69</v>
      </c>
      <c r="B2654" s="5" t="s">
        <v>78</v>
      </c>
      <c r="C2654" s="5" t="s">
        <v>79</v>
      </c>
      <c r="D2654" s="4" t="s">
        <v>16</v>
      </c>
      <c r="E2654" s="4" t="s">
        <v>3662</v>
      </c>
      <c r="F2654" s="4" t="s">
        <v>488</v>
      </c>
      <c r="G2654" s="4" t="s">
        <v>3663</v>
      </c>
      <c r="H2654" s="12" t="n">
        <v>15</v>
      </c>
      <c r="I2654" s="4" t="s">
        <v>474</v>
      </c>
      <c r="J2654" s="4" t="s">
        <v>416</v>
      </c>
      <c r="K2654" s="13" t="n">
        <v>120</v>
      </c>
      <c r="L2654" s="6" t="n">
        <f aca="false">H2654*K2654</f>
        <v>1800</v>
      </c>
      <c r="M2654" s="4" t="s">
        <v>371</v>
      </c>
    </row>
    <row r="2655" customFormat="false" ht="15" hidden="false" customHeight="false" outlineLevel="0" collapsed="false">
      <c r="A2655" s="4" t="s">
        <v>69</v>
      </c>
      <c r="B2655" s="5" t="s">
        <v>78</v>
      </c>
      <c r="C2655" s="5" t="s">
        <v>79</v>
      </c>
      <c r="D2655" s="4" t="s">
        <v>16</v>
      </c>
      <c r="E2655" s="4" t="s">
        <v>3664</v>
      </c>
      <c r="F2655" s="4" t="s">
        <v>488</v>
      </c>
      <c r="G2655" s="4" t="s">
        <v>3665</v>
      </c>
      <c r="H2655" s="12" t="n">
        <v>20</v>
      </c>
      <c r="I2655" s="4" t="s">
        <v>474</v>
      </c>
      <c r="J2655" s="4" t="s">
        <v>416</v>
      </c>
      <c r="K2655" s="13" t="n">
        <v>250</v>
      </c>
      <c r="L2655" s="6" t="n">
        <f aca="false">H2655*K2655</f>
        <v>5000</v>
      </c>
      <c r="M2655" s="4" t="s">
        <v>371</v>
      </c>
    </row>
    <row r="2656" customFormat="false" ht="15" hidden="false" customHeight="false" outlineLevel="0" collapsed="false">
      <c r="A2656" s="4" t="s">
        <v>69</v>
      </c>
      <c r="B2656" s="5" t="s">
        <v>78</v>
      </c>
      <c r="C2656" s="5" t="s">
        <v>79</v>
      </c>
      <c r="D2656" s="4" t="s">
        <v>16</v>
      </c>
      <c r="E2656" s="4" t="s">
        <v>3666</v>
      </c>
      <c r="F2656" s="4" t="s">
        <v>488</v>
      </c>
      <c r="G2656" s="4" t="s">
        <v>3667</v>
      </c>
      <c r="H2656" s="12" t="n">
        <v>5</v>
      </c>
      <c r="I2656" s="4" t="s">
        <v>474</v>
      </c>
      <c r="J2656" s="4" t="s">
        <v>480</v>
      </c>
      <c r="K2656" s="13" t="n">
        <v>30</v>
      </c>
      <c r="L2656" s="6" t="n">
        <f aca="false">H2656*K2656</f>
        <v>150</v>
      </c>
      <c r="M2656" s="4" t="s">
        <v>371</v>
      </c>
    </row>
    <row r="2657" customFormat="false" ht="15" hidden="false" customHeight="false" outlineLevel="0" collapsed="false">
      <c r="A2657" s="4" t="s">
        <v>69</v>
      </c>
      <c r="B2657" s="5" t="s">
        <v>78</v>
      </c>
      <c r="C2657" s="5" t="s">
        <v>79</v>
      </c>
      <c r="D2657" s="4" t="s">
        <v>16</v>
      </c>
      <c r="E2657" s="4" t="s">
        <v>3668</v>
      </c>
      <c r="F2657" s="4" t="s">
        <v>488</v>
      </c>
      <c r="G2657" s="4" t="s">
        <v>3669</v>
      </c>
      <c r="H2657" s="12" t="n">
        <v>25</v>
      </c>
      <c r="I2657" s="4" t="s">
        <v>474</v>
      </c>
      <c r="J2657" s="4" t="s">
        <v>416</v>
      </c>
      <c r="K2657" s="13" t="n">
        <v>250</v>
      </c>
      <c r="L2657" s="6" t="n">
        <f aca="false">H2657*K2657</f>
        <v>6250</v>
      </c>
      <c r="M2657" s="4" t="s">
        <v>371</v>
      </c>
    </row>
    <row r="2658" customFormat="false" ht="15" hidden="false" customHeight="false" outlineLevel="0" collapsed="false">
      <c r="A2658" s="4" t="s">
        <v>69</v>
      </c>
      <c r="B2658" s="5" t="s">
        <v>78</v>
      </c>
      <c r="C2658" s="5" t="s">
        <v>79</v>
      </c>
      <c r="D2658" s="4" t="s">
        <v>16</v>
      </c>
      <c r="E2658" s="4" t="s">
        <v>3463</v>
      </c>
      <c r="F2658" s="4" t="s">
        <v>488</v>
      </c>
      <c r="G2658" s="4" t="s">
        <v>3464</v>
      </c>
      <c r="H2658" s="12" t="n">
        <v>3</v>
      </c>
      <c r="I2658" s="4" t="s">
        <v>474</v>
      </c>
      <c r="J2658" s="4" t="s">
        <v>480</v>
      </c>
      <c r="K2658" s="13" t="n">
        <v>30</v>
      </c>
      <c r="L2658" s="6" t="n">
        <f aca="false">H2658*K2658</f>
        <v>90</v>
      </c>
      <c r="M2658" s="4" t="s">
        <v>371</v>
      </c>
    </row>
    <row r="2659" customFormat="false" ht="15" hidden="false" customHeight="false" outlineLevel="0" collapsed="false">
      <c r="A2659" s="4" t="s">
        <v>69</v>
      </c>
      <c r="B2659" s="5" t="s">
        <v>78</v>
      </c>
      <c r="C2659" s="5" t="s">
        <v>79</v>
      </c>
      <c r="D2659" s="4" t="s">
        <v>16</v>
      </c>
      <c r="E2659" s="4" t="s">
        <v>3670</v>
      </c>
      <c r="F2659" s="4" t="s">
        <v>488</v>
      </c>
      <c r="G2659" s="4" t="s">
        <v>3671</v>
      </c>
      <c r="H2659" s="12" t="n">
        <v>5</v>
      </c>
      <c r="I2659" s="4" t="s">
        <v>474</v>
      </c>
      <c r="J2659" s="4" t="s">
        <v>409</v>
      </c>
      <c r="K2659" s="13" t="n">
        <v>35</v>
      </c>
      <c r="L2659" s="6" t="n">
        <f aca="false">H2659*K2659</f>
        <v>175</v>
      </c>
      <c r="M2659" s="4" t="s">
        <v>371</v>
      </c>
    </row>
    <row r="2660" customFormat="false" ht="15" hidden="false" customHeight="false" outlineLevel="0" collapsed="false">
      <c r="A2660" s="4" t="s">
        <v>69</v>
      </c>
      <c r="B2660" s="5" t="s">
        <v>78</v>
      </c>
      <c r="C2660" s="5" t="s">
        <v>79</v>
      </c>
      <c r="D2660" s="4" t="s">
        <v>16</v>
      </c>
      <c r="E2660" s="4" t="s">
        <v>3672</v>
      </c>
      <c r="F2660" s="4" t="s">
        <v>488</v>
      </c>
      <c r="G2660" s="4" t="s">
        <v>3673</v>
      </c>
      <c r="H2660" s="12" t="n">
        <v>5</v>
      </c>
      <c r="I2660" s="4" t="s">
        <v>474</v>
      </c>
      <c r="J2660" s="4" t="s">
        <v>506</v>
      </c>
      <c r="K2660" s="13" t="n">
        <v>150</v>
      </c>
      <c r="L2660" s="6" t="n">
        <f aca="false">H2660*K2660</f>
        <v>750</v>
      </c>
      <c r="M2660" s="4" t="s">
        <v>371</v>
      </c>
    </row>
    <row r="2661" customFormat="false" ht="15" hidden="false" customHeight="false" outlineLevel="0" collapsed="false">
      <c r="A2661" s="4" t="s">
        <v>69</v>
      </c>
      <c r="B2661" s="5" t="s">
        <v>78</v>
      </c>
      <c r="C2661" s="5" t="s">
        <v>79</v>
      </c>
      <c r="D2661" s="4" t="s">
        <v>16</v>
      </c>
      <c r="E2661" s="4" t="s">
        <v>3674</v>
      </c>
      <c r="F2661" s="4" t="s">
        <v>488</v>
      </c>
      <c r="G2661" s="4" t="s">
        <v>3675</v>
      </c>
      <c r="H2661" s="12" t="n">
        <v>10</v>
      </c>
      <c r="I2661" s="4" t="s">
        <v>474</v>
      </c>
      <c r="J2661" s="4" t="s">
        <v>506</v>
      </c>
      <c r="K2661" s="13" t="n">
        <v>120</v>
      </c>
      <c r="L2661" s="6" t="n">
        <f aca="false">H2661*K2661</f>
        <v>1200</v>
      </c>
      <c r="M2661" s="4" t="s">
        <v>371</v>
      </c>
    </row>
    <row r="2662" customFormat="false" ht="15" hidden="false" customHeight="false" outlineLevel="0" collapsed="false">
      <c r="A2662" s="4" t="s">
        <v>69</v>
      </c>
      <c r="B2662" s="5" t="s">
        <v>78</v>
      </c>
      <c r="C2662" s="5" t="s">
        <v>79</v>
      </c>
      <c r="D2662" s="4" t="s">
        <v>16</v>
      </c>
      <c r="E2662" s="4" t="s">
        <v>3676</v>
      </c>
      <c r="F2662" s="4" t="s">
        <v>470</v>
      </c>
      <c r="G2662" s="4" t="s">
        <v>3677</v>
      </c>
      <c r="H2662" s="12" t="n">
        <v>1</v>
      </c>
      <c r="I2662" s="4" t="s">
        <v>408</v>
      </c>
      <c r="J2662" s="4" t="s">
        <v>409</v>
      </c>
      <c r="K2662" s="13" t="n">
        <v>1800</v>
      </c>
      <c r="L2662" s="6" t="n">
        <f aca="false">H2662*K2662</f>
        <v>1800</v>
      </c>
      <c r="M2662" s="4" t="s">
        <v>371</v>
      </c>
    </row>
    <row r="2663" customFormat="false" ht="15" hidden="false" customHeight="false" outlineLevel="0" collapsed="false">
      <c r="A2663" s="4" t="s">
        <v>69</v>
      </c>
      <c r="B2663" s="5" t="s">
        <v>78</v>
      </c>
      <c r="C2663" s="5" t="s">
        <v>79</v>
      </c>
      <c r="D2663" s="4" t="s">
        <v>16</v>
      </c>
      <c r="E2663" s="4" t="s">
        <v>2367</v>
      </c>
      <c r="F2663" s="4" t="s">
        <v>470</v>
      </c>
      <c r="G2663" s="4" t="s">
        <v>2368</v>
      </c>
      <c r="H2663" s="12" t="n">
        <v>1</v>
      </c>
      <c r="I2663" s="4" t="s">
        <v>408</v>
      </c>
      <c r="J2663" s="4" t="s">
        <v>416</v>
      </c>
      <c r="K2663" s="13" t="n">
        <v>850</v>
      </c>
      <c r="L2663" s="6" t="n">
        <f aca="false">H2663*K2663</f>
        <v>850</v>
      </c>
      <c r="M2663" s="4" t="s">
        <v>371</v>
      </c>
    </row>
    <row r="2664" customFormat="false" ht="15" hidden="false" customHeight="false" outlineLevel="0" collapsed="false">
      <c r="A2664" s="4" t="s">
        <v>69</v>
      </c>
      <c r="B2664" s="5" t="s">
        <v>78</v>
      </c>
      <c r="C2664" s="5" t="s">
        <v>79</v>
      </c>
      <c r="D2664" s="4" t="s">
        <v>16</v>
      </c>
      <c r="E2664" s="4" t="s">
        <v>2339</v>
      </c>
      <c r="F2664" s="4" t="s">
        <v>470</v>
      </c>
      <c r="G2664" s="4" t="s">
        <v>2340</v>
      </c>
      <c r="H2664" s="12" t="n">
        <v>1</v>
      </c>
      <c r="I2664" s="4" t="s">
        <v>408</v>
      </c>
      <c r="J2664" s="4" t="s">
        <v>416</v>
      </c>
      <c r="K2664" s="13" t="n">
        <v>8500</v>
      </c>
      <c r="L2664" s="6" t="n">
        <f aca="false">H2664*K2664</f>
        <v>8500</v>
      </c>
      <c r="M2664" s="14" t="s">
        <v>410</v>
      </c>
    </row>
    <row r="2665" customFormat="false" ht="15" hidden="false" customHeight="false" outlineLevel="0" collapsed="false">
      <c r="A2665" s="4" t="s">
        <v>69</v>
      </c>
      <c r="B2665" s="5" t="s">
        <v>78</v>
      </c>
      <c r="C2665" s="5" t="s">
        <v>79</v>
      </c>
      <c r="D2665" s="4" t="s">
        <v>16</v>
      </c>
      <c r="E2665" s="4" t="s">
        <v>2341</v>
      </c>
      <c r="F2665" s="4" t="s">
        <v>470</v>
      </c>
      <c r="G2665" s="4" t="s">
        <v>2342</v>
      </c>
      <c r="H2665" s="12" t="n">
        <v>1</v>
      </c>
      <c r="I2665" s="4" t="s">
        <v>408</v>
      </c>
      <c r="J2665" s="4" t="s">
        <v>543</v>
      </c>
      <c r="K2665" s="13" t="n">
        <v>5000</v>
      </c>
      <c r="L2665" s="6" t="n">
        <f aca="false">H2665*K2665</f>
        <v>5000</v>
      </c>
      <c r="M2665" s="4" t="s">
        <v>371</v>
      </c>
    </row>
    <row r="2666" customFormat="false" ht="15" hidden="false" customHeight="false" outlineLevel="0" collapsed="false">
      <c r="A2666" s="4" t="s">
        <v>69</v>
      </c>
      <c r="B2666" s="5" t="s">
        <v>78</v>
      </c>
      <c r="C2666" s="5" t="s">
        <v>79</v>
      </c>
      <c r="D2666" s="4" t="s">
        <v>16</v>
      </c>
      <c r="E2666" s="4" t="s">
        <v>3678</v>
      </c>
      <c r="F2666" s="4" t="s">
        <v>470</v>
      </c>
      <c r="G2666" s="4" t="s">
        <v>3679</v>
      </c>
      <c r="H2666" s="12" t="n">
        <v>10</v>
      </c>
      <c r="I2666" s="4" t="s">
        <v>474</v>
      </c>
      <c r="J2666" s="4" t="s">
        <v>2815</v>
      </c>
      <c r="K2666" s="13" t="n">
        <v>450</v>
      </c>
      <c r="L2666" s="6" t="n">
        <f aca="false">H2666*K2666</f>
        <v>4500</v>
      </c>
      <c r="M2666" s="4" t="s">
        <v>371</v>
      </c>
    </row>
    <row r="2667" customFormat="false" ht="15" hidden="false" customHeight="false" outlineLevel="0" collapsed="false">
      <c r="A2667" s="4" t="s">
        <v>69</v>
      </c>
      <c r="B2667" s="5" t="s">
        <v>78</v>
      </c>
      <c r="C2667" s="5" t="s">
        <v>79</v>
      </c>
      <c r="D2667" s="4" t="s">
        <v>16</v>
      </c>
      <c r="E2667" s="4" t="s">
        <v>3680</v>
      </c>
      <c r="F2667" s="4" t="s">
        <v>470</v>
      </c>
      <c r="G2667" s="4" t="s">
        <v>3681</v>
      </c>
      <c r="H2667" s="12" t="n">
        <v>2</v>
      </c>
      <c r="I2667" s="4" t="s">
        <v>474</v>
      </c>
      <c r="J2667" s="4" t="s">
        <v>409</v>
      </c>
      <c r="K2667" s="13" t="n">
        <v>450</v>
      </c>
      <c r="L2667" s="6" t="n">
        <f aca="false">H2667*K2667</f>
        <v>900</v>
      </c>
      <c r="M2667" s="4" t="s">
        <v>371</v>
      </c>
    </row>
    <row r="2668" customFormat="false" ht="15" hidden="false" customHeight="false" outlineLevel="0" collapsed="false">
      <c r="A2668" s="4" t="s">
        <v>69</v>
      </c>
      <c r="B2668" s="5" t="s">
        <v>84</v>
      </c>
      <c r="C2668" s="5" t="s">
        <v>85</v>
      </c>
      <c r="D2668" s="4" t="s">
        <v>16</v>
      </c>
      <c r="E2668" s="4" t="s">
        <v>771</v>
      </c>
      <c r="F2668" s="4" t="s">
        <v>406</v>
      </c>
      <c r="G2668" s="4" t="s">
        <v>772</v>
      </c>
      <c r="H2668" s="12" t="n">
        <v>1</v>
      </c>
      <c r="I2668" s="4" t="s">
        <v>408</v>
      </c>
      <c r="J2668" s="4" t="s">
        <v>416</v>
      </c>
      <c r="K2668" s="13" t="n">
        <v>850</v>
      </c>
      <c r="L2668" s="6" t="n">
        <f aca="false">H2668*K2668</f>
        <v>850</v>
      </c>
      <c r="M2668" s="14" t="s">
        <v>410</v>
      </c>
    </row>
    <row r="2669" customFormat="false" ht="15" hidden="false" customHeight="false" outlineLevel="0" collapsed="false">
      <c r="A2669" s="4" t="s">
        <v>69</v>
      </c>
      <c r="B2669" s="5" t="s">
        <v>84</v>
      </c>
      <c r="C2669" s="5" t="s">
        <v>85</v>
      </c>
      <c r="D2669" s="4" t="s">
        <v>16</v>
      </c>
      <c r="E2669" s="4" t="s">
        <v>3682</v>
      </c>
      <c r="F2669" s="4" t="s">
        <v>406</v>
      </c>
      <c r="G2669" s="4" t="s">
        <v>3603</v>
      </c>
      <c r="H2669" s="12" t="n">
        <v>1</v>
      </c>
      <c r="I2669" s="4" t="s">
        <v>408</v>
      </c>
      <c r="J2669" s="4" t="s">
        <v>409</v>
      </c>
      <c r="K2669" s="13" t="n">
        <v>850</v>
      </c>
      <c r="L2669" s="6" t="n">
        <f aca="false">H2669*K2669</f>
        <v>850</v>
      </c>
      <c r="M2669" s="14" t="s">
        <v>410</v>
      </c>
    </row>
    <row r="2670" customFormat="false" ht="15" hidden="false" customHeight="false" outlineLevel="0" collapsed="false">
      <c r="A2670" s="4" t="s">
        <v>69</v>
      </c>
      <c r="B2670" s="5" t="s">
        <v>84</v>
      </c>
      <c r="C2670" s="5" t="s">
        <v>85</v>
      </c>
      <c r="D2670" s="4" t="s">
        <v>16</v>
      </c>
      <c r="E2670" s="4" t="s">
        <v>3683</v>
      </c>
      <c r="F2670" s="4" t="s">
        <v>406</v>
      </c>
      <c r="G2670" s="4" t="s">
        <v>3684</v>
      </c>
      <c r="H2670" s="12" t="n">
        <v>1</v>
      </c>
      <c r="I2670" s="4" t="s">
        <v>408</v>
      </c>
      <c r="J2670" s="4" t="s">
        <v>409</v>
      </c>
      <c r="K2670" s="13" t="n">
        <v>100</v>
      </c>
      <c r="L2670" s="6" t="n">
        <f aca="false">H2670*K2670</f>
        <v>100</v>
      </c>
      <c r="M2670" s="4" t="s">
        <v>371</v>
      </c>
    </row>
    <row r="2671" customFormat="false" ht="15" hidden="false" customHeight="false" outlineLevel="0" collapsed="false">
      <c r="A2671" s="4" t="s">
        <v>69</v>
      </c>
      <c r="B2671" s="5" t="s">
        <v>84</v>
      </c>
      <c r="C2671" s="5" t="s">
        <v>85</v>
      </c>
      <c r="D2671" s="4" t="s">
        <v>16</v>
      </c>
      <c r="E2671" s="4" t="s">
        <v>920</v>
      </c>
      <c r="F2671" s="4" t="s">
        <v>406</v>
      </c>
      <c r="G2671" s="4" t="s">
        <v>921</v>
      </c>
      <c r="H2671" s="12" t="n">
        <v>1</v>
      </c>
      <c r="I2671" s="4" t="s">
        <v>408</v>
      </c>
      <c r="J2671" s="4" t="s">
        <v>506</v>
      </c>
      <c r="K2671" s="13" t="n">
        <v>60</v>
      </c>
      <c r="L2671" s="6" t="n">
        <f aca="false">H2671*K2671</f>
        <v>60</v>
      </c>
      <c r="M2671" s="14" t="s">
        <v>410</v>
      </c>
    </row>
    <row r="2672" customFormat="false" ht="15" hidden="false" customHeight="false" outlineLevel="0" collapsed="false">
      <c r="A2672" s="4" t="s">
        <v>69</v>
      </c>
      <c r="B2672" s="5" t="s">
        <v>84</v>
      </c>
      <c r="C2672" s="5" t="s">
        <v>85</v>
      </c>
      <c r="D2672" s="4" t="s">
        <v>16</v>
      </c>
      <c r="E2672" s="4" t="s">
        <v>3685</v>
      </c>
      <c r="F2672" s="4" t="s">
        <v>406</v>
      </c>
      <c r="G2672" s="4" t="s">
        <v>3686</v>
      </c>
      <c r="H2672" s="12" t="n">
        <v>1</v>
      </c>
      <c r="I2672" s="4" t="s">
        <v>408</v>
      </c>
      <c r="J2672" s="4" t="s">
        <v>409</v>
      </c>
      <c r="K2672" s="13" t="n">
        <v>80</v>
      </c>
      <c r="L2672" s="6" t="n">
        <f aca="false">H2672*K2672</f>
        <v>80</v>
      </c>
      <c r="M2672" s="4" t="s">
        <v>371</v>
      </c>
    </row>
    <row r="2673" customFormat="false" ht="15" hidden="false" customHeight="false" outlineLevel="0" collapsed="false">
      <c r="A2673" s="4" t="s">
        <v>69</v>
      </c>
      <c r="B2673" s="5" t="s">
        <v>84</v>
      </c>
      <c r="C2673" s="5" t="s">
        <v>85</v>
      </c>
      <c r="D2673" s="4" t="s">
        <v>16</v>
      </c>
      <c r="E2673" s="4" t="s">
        <v>765</v>
      </c>
      <c r="F2673" s="4" t="s">
        <v>406</v>
      </c>
      <c r="G2673" s="4" t="s">
        <v>766</v>
      </c>
      <c r="H2673" s="12" t="n">
        <v>1</v>
      </c>
      <c r="I2673" s="4" t="s">
        <v>408</v>
      </c>
      <c r="J2673" s="4" t="s">
        <v>409</v>
      </c>
      <c r="K2673" s="13" t="n">
        <v>80</v>
      </c>
      <c r="L2673" s="6" t="n">
        <f aca="false">H2673*K2673</f>
        <v>80</v>
      </c>
      <c r="M2673" s="14" t="s">
        <v>410</v>
      </c>
    </row>
    <row r="2674" customFormat="false" ht="15" hidden="false" customHeight="false" outlineLevel="0" collapsed="false">
      <c r="A2674" s="4" t="s">
        <v>69</v>
      </c>
      <c r="B2674" s="5" t="s">
        <v>84</v>
      </c>
      <c r="C2674" s="5" t="s">
        <v>85</v>
      </c>
      <c r="D2674" s="4" t="s">
        <v>16</v>
      </c>
      <c r="E2674" s="4" t="s">
        <v>3493</v>
      </c>
      <c r="F2674" s="4" t="s">
        <v>406</v>
      </c>
      <c r="G2674" s="4" t="s">
        <v>881</v>
      </c>
      <c r="H2674" s="12" t="n">
        <v>1</v>
      </c>
      <c r="I2674" s="4" t="s">
        <v>408</v>
      </c>
      <c r="J2674" s="4" t="s">
        <v>409</v>
      </c>
      <c r="K2674" s="13" t="n">
        <v>650</v>
      </c>
      <c r="L2674" s="6" t="n">
        <f aca="false">H2674*K2674</f>
        <v>650</v>
      </c>
      <c r="M2674" s="14" t="s">
        <v>410</v>
      </c>
    </row>
    <row r="2675" customFormat="false" ht="15" hidden="false" customHeight="false" outlineLevel="0" collapsed="false">
      <c r="A2675" s="4" t="s">
        <v>69</v>
      </c>
      <c r="B2675" s="5" t="s">
        <v>84</v>
      </c>
      <c r="C2675" s="5" t="s">
        <v>85</v>
      </c>
      <c r="D2675" s="4" t="s">
        <v>16</v>
      </c>
      <c r="E2675" s="4" t="s">
        <v>862</v>
      </c>
      <c r="F2675" s="4" t="s">
        <v>406</v>
      </c>
      <c r="G2675" s="4" t="s">
        <v>863</v>
      </c>
      <c r="H2675" s="12" t="n">
        <v>1</v>
      </c>
      <c r="I2675" s="4" t="s">
        <v>408</v>
      </c>
      <c r="J2675" s="4" t="s">
        <v>409</v>
      </c>
      <c r="K2675" s="13" t="n">
        <v>120</v>
      </c>
      <c r="L2675" s="6" t="n">
        <f aca="false">H2675*K2675</f>
        <v>120</v>
      </c>
      <c r="M2675" s="14" t="s">
        <v>410</v>
      </c>
    </row>
    <row r="2676" customFormat="false" ht="15" hidden="false" customHeight="false" outlineLevel="0" collapsed="false">
      <c r="A2676" s="4" t="s">
        <v>69</v>
      </c>
      <c r="B2676" s="5" t="s">
        <v>84</v>
      </c>
      <c r="C2676" s="5" t="s">
        <v>85</v>
      </c>
      <c r="D2676" s="4" t="s">
        <v>16</v>
      </c>
      <c r="E2676" s="4" t="s">
        <v>3687</v>
      </c>
      <c r="F2676" s="4" t="s">
        <v>406</v>
      </c>
      <c r="G2676" s="4" t="s">
        <v>3688</v>
      </c>
      <c r="H2676" s="12" t="n">
        <v>1</v>
      </c>
      <c r="I2676" s="4" t="s">
        <v>408</v>
      </c>
      <c r="J2676" s="4" t="s">
        <v>409</v>
      </c>
      <c r="K2676" s="13" t="n">
        <v>250</v>
      </c>
      <c r="L2676" s="6" t="n">
        <f aca="false">H2676*K2676</f>
        <v>250</v>
      </c>
      <c r="M2676" s="14" t="s">
        <v>410</v>
      </c>
    </row>
    <row r="2677" customFormat="false" ht="15" hidden="false" customHeight="false" outlineLevel="0" collapsed="false">
      <c r="A2677" s="4" t="s">
        <v>69</v>
      </c>
      <c r="B2677" s="5" t="s">
        <v>84</v>
      </c>
      <c r="C2677" s="5" t="s">
        <v>85</v>
      </c>
      <c r="D2677" s="4" t="s">
        <v>16</v>
      </c>
      <c r="E2677" s="4" t="s">
        <v>3689</v>
      </c>
      <c r="F2677" s="4" t="s">
        <v>406</v>
      </c>
      <c r="G2677" s="4" t="s">
        <v>895</v>
      </c>
      <c r="H2677" s="12" t="n">
        <v>1</v>
      </c>
      <c r="I2677" s="4" t="s">
        <v>408</v>
      </c>
      <c r="J2677" s="4" t="s">
        <v>409</v>
      </c>
      <c r="K2677" s="13" t="n">
        <v>250</v>
      </c>
      <c r="L2677" s="6" t="n">
        <f aca="false">H2677*K2677</f>
        <v>250</v>
      </c>
      <c r="M2677" s="14" t="s">
        <v>410</v>
      </c>
    </row>
    <row r="2678" customFormat="false" ht="15" hidden="false" customHeight="false" outlineLevel="0" collapsed="false">
      <c r="A2678" s="4" t="s">
        <v>69</v>
      </c>
      <c r="B2678" s="5" t="s">
        <v>84</v>
      </c>
      <c r="C2678" s="5" t="s">
        <v>85</v>
      </c>
      <c r="D2678" s="4" t="s">
        <v>16</v>
      </c>
      <c r="E2678" s="4" t="s">
        <v>892</v>
      </c>
      <c r="F2678" s="4" t="s">
        <v>406</v>
      </c>
      <c r="G2678" s="4" t="s">
        <v>893</v>
      </c>
      <c r="H2678" s="12" t="n">
        <v>1</v>
      </c>
      <c r="I2678" s="4" t="s">
        <v>408</v>
      </c>
      <c r="J2678" s="4" t="s">
        <v>409</v>
      </c>
      <c r="K2678" s="13" t="n">
        <v>250</v>
      </c>
      <c r="L2678" s="6" t="n">
        <f aca="false">H2678*K2678</f>
        <v>250</v>
      </c>
      <c r="M2678" s="14" t="s">
        <v>410</v>
      </c>
    </row>
    <row r="2679" customFormat="false" ht="15" hidden="false" customHeight="false" outlineLevel="0" collapsed="false">
      <c r="A2679" s="4" t="s">
        <v>69</v>
      </c>
      <c r="B2679" s="5" t="s">
        <v>84</v>
      </c>
      <c r="C2679" s="5" t="s">
        <v>85</v>
      </c>
      <c r="D2679" s="4" t="s">
        <v>16</v>
      </c>
      <c r="E2679" s="4" t="s">
        <v>3604</v>
      </c>
      <c r="F2679" s="4" t="s">
        <v>406</v>
      </c>
      <c r="G2679" s="4" t="s">
        <v>2539</v>
      </c>
      <c r="H2679" s="12" t="n">
        <v>1</v>
      </c>
      <c r="I2679" s="4" t="s">
        <v>408</v>
      </c>
      <c r="J2679" s="4" t="s">
        <v>409</v>
      </c>
      <c r="K2679" s="13" t="n">
        <v>450</v>
      </c>
      <c r="L2679" s="6" t="n">
        <f aca="false">H2679*K2679</f>
        <v>450</v>
      </c>
      <c r="M2679" s="14" t="s">
        <v>410</v>
      </c>
    </row>
    <row r="2680" customFormat="false" ht="15" hidden="false" customHeight="false" outlineLevel="0" collapsed="false">
      <c r="A2680" s="4" t="s">
        <v>69</v>
      </c>
      <c r="B2680" s="5" t="s">
        <v>84</v>
      </c>
      <c r="C2680" s="5" t="s">
        <v>85</v>
      </c>
      <c r="D2680" s="4" t="s">
        <v>16</v>
      </c>
      <c r="E2680" s="4" t="s">
        <v>3690</v>
      </c>
      <c r="F2680" s="4" t="s">
        <v>406</v>
      </c>
      <c r="G2680" s="4" t="s">
        <v>3691</v>
      </c>
      <c r="H2680" s="12" t="n">
        <v>1</v>
      </c>
      <c r="I2680" s="4" t="s">
        <v>408</v>
      </c>
      <c r="J2680" s="4" t="s">
        <v>409</v>
      </c>
      <c r="K2680" s="13" t="n">
        <v>80</v>
      </c>
      <c r="L2680" s="6" t="n">
        <f aca="false">H2680*K2680</f>
        <v>80</v>
      </c>
      <c r="M2680" s="14" t="s">
        <v>410</v>
      </c>
    </row>
    <row r="2681" customFormat="false" ht="15" hidden="false" customHeight="false" outlineLevel="0" collapsed="false">
      <c r="A2681" s="4" t="s">
        <v>69</v>
      </c>
      <c r="B2681" s="5" t="s">
        <v>84</v>
      </c>
      <c r="C2681" s="5" t="s">
        <v>85</v>
      </c>
      <c r="D2681" s="4" t="s">
        <v>16</v>
      </c>
      <c r="E2681" s="4" t="s">
        <v>3692</v>
      </c>
      <c r="F2681" s="4" t="s">
        <v>406</v>
      </c>
      <c r="G2681" s="4" t="s">
        <v>3693</v>
      </c>
      <c r="H2681" s="12" t="n">
        <v>1</v>
      </c>
      <c r="I2681" s="4" t="s">
        <v>408</v>
      </c>
      <c r="J2681" s="4" t="s">
        <v>409</v>
      </c>
      <c r="K2681" s="13" t="n">
        <v>250</v>
      </c>
      <c r="L2681" s="6" t="n">
        <f aca="false">H2681*K2681</f>
        <v>250</v>
      </c>
      <c r="M2681" s="14" t="s">
        <v>410</v>
      </c>
    </row>
    <row r="2682" customFormat="false" ht="15" hidden="false" customHeight="false" outlineLevel="0" collapsed="false">
      <c r="A2682" s="4" t="s">
        <v>69</v>
      </c>
      <c r="B2682" s="5" t="s">
        <v>84</v>
      </c>
      <c r="C2682" s="5" t="s">
        <v>85</v>
      </c>
      <c r="D2682" s="4" t="s">
        <v>16</v>
      </c>
      <c r="E2682" s="4" t="s">
        <v>3694</v>
      </c>
      <c r="F2682" s="4" t="s">
        <v>406</v>
      </c>
      <c r="G2682" s="4" t="s">
        <v>3695</v>
      </c>
      <c r="H2682" s="12" t="n">
        <v>1</v>
      </c>
      <c r="I2682" s="4" t="s">
        <v>408</v>
      </c>
      <c r="J2682" s="4" t="s">
        <v>409</v>
      </c>
      <c r="K2682" s="13" t="n">
        <v>180</v>
      </c>
      <c r="L2682" s="6" t="n">
        <f aca="false">H2682*K2682</f>
        <v>180</v>
      </c>
      <c r="M2682" s="14" t="s">
        <v>410</v>
      </c>
    </row>
    <row r="2683" customFormat="false" ht="15" hidden="false" customHeight="false" outlineLevel="0" collapsed="false">
      <c r="A2683" s="4" t="s">
        <v>69</v>
      </c>
      <c r="B2683" s="5" t="s">
        <v>84</v>
      </c>
      <c r="C2683" s="5" t="s">
        <v>85</v>
      </c>
      <c r="D2683" s="4" t="s">
        <v>16</v>
      </c>
      <c r="E2683" s="4" t="s">
        <v>3696</v>
      </c>
      <c r="F2683" s="4" t="s">
        <v>406</v>
      </c>
      <c r="G2683" s="4" t="s">
        <v>3697</v>
      </c>
      <c r="H2683" s="12" t="n">
        <v>1</v>
      </c>
      <c r="I2683" s="4" t="s">
        <v>408</v>
      </c>
      <c r="J2683" s="4" t="s">
        <v>409</v>
      </c>
      <c r="K2683" s="13" t="n">
        <v>180</v>
      </c>
      <c r="L2683" s="6" t="n">
        <f aca="false">H2683*K2683</f>
        <v>180</v>
      </c>
      <c r="M2683" s="14" t="s">
        <v>410</v>
      </c>
    </row>
    <row r="2684" customFormat="false" ht="15" hidden="false" customHeight="false" outlineLevel="0" collapsed="false">
      <c r="A2684" s="4" t="s">
        <v>69</v>
      </c>
      <c r="B2684" s="5" t="s">
        <v>84</v>
      </c>
      <c r="C2684" s="5" t="s">
        <v>85</v>
      </c>
      <c r="D2684" s="4" t="s">
        <v>16</v>
      </c>
      <c r="E2684" s="4" t="s">
        <v>885</v>
      </c>
      <c r="F2684" s="4" t="s">
        <v>406</v>
      </c>
      <c r="G2684" s="4" t="s">
        <v>764</v>
      </c>
      <c r="H2684" s="12" t="n">
        <v>1</v>
      </c>
      <c r="I2684" s="4" t="s">
        <v>408</v>
      </c>
      <c r="J2684" s="4" t="s">
        <v>409</v>
      </c>
      <c r="K2684" s="13" t="n">
        <v>50</v>
      </c>
      <c r="L2684" s="6" t="n">
        <f aca="false">H2684*K2684</f>
        <v>50</v>
      </c>
      <c r="M2684" s="14" t="s">
        <v>410</v>
      </c>
    </row>
    <row r="2685" customFormat="false" ht="15" hidden="false" customHeight="false" outlineLevel="0" collapsed="false">
      <c r="A2685" s="4" t="s">
        <v>69</v>
      </c>
      <c r="B2685" s="5" t="s">
        <v>84</v>
      </c>
      <c r="C2685" s="5" t="s">
        <v>85</v>
      </c>
      <c r="D2685" s="4" t="s">
        <v>16</v>
      </c>
      <c r="E2685" s="4" t="s">
        <v>775</v>
      </c>
      <c r="F2685" s="4" t="s">
        <v>406</v>
      </c>
      <c r="G2685" s="4" t="s">
        <v>776</v>
      </c>
      <c r="H2685" s="12" t="n">
        <v>1</v>
      </c>
      <c r="I2685" s="4" t="s">
        <v>408</v>
      </c>
      <c r="J2685" s="4" t="s">
        <v>409</v>
      </c>
      <c r="K2685" s="13" t="n">
        <v>30</v>
      </c>
      <c r="L2685" s="6" t="n">
        <f aca="false">H2685*K2685</f>
        <v>30</v>
      </c>
      <c r="M2685" s="14" t="s">
        <v>410</v>
      </c>
    </row>
    <row r="2686" customFormat="false" ht="15" hidden="false" customHeight="false" outlineLevel="0" collapsed="false">
      <c r="A2686" s="4" t="s">
        <v>69</v>
      </c>
      <c r="B2686" s="5" t="s">
        <v>84</v>
      </c>
      <c r="C2686" s="5" t="s">
        <v>85</v>
      </c>
      <c r="D2686" s="4" t="s">
        <v>16</v>
      </c>
      <c r="E2686" s="4" t="s">
        <v>3698</v>
      </c>
      <c r="F2686" s="4" t="s">
        <v>406</v>
      </c>
      <c r="G2686" s="4" t="s">
        <v>3699</v>
      </c>
      <c r="H2686" s="12" t="n">
        <v>1</v>
      </c>
      <c r="I2686" s="4" t="s">
        <v>408</v>
      </c>
      <c r="J2686" s="4" t="s">
        <v>416</v>
      </c>
      <c r="K2686" s="13" t="n">
        <v>3500</v>
      </c>
      <c r="L2686" s="6" t="n">
        <f aca="false">H2686*K2686</f>
        <v>3500</v>
      </c>
      <c r="M2686" s="14" t="s">
        <v>410</v>
      </c>
    </row>
    <row r="2687" customFormat="false" ht="15" hidden="false" customHeight="false" outlineLevel="0" collapsed="false">
      <c r="A2687" s="4" t="s">
        <v>69</v>
      </c>
      <c r="B2687" s="5" t="s">
        <v>84</v>
      </c>
      <c r="C2687" s="5" t="s">
        <v>85</v>
      </c>
      <c r="D2687" s="4" t="s">
        <v>16</v>
      </c>
      <c r="E2687" s="4" t="s">
        <v>3700</v>
      </c>
      <c r="F2687" s="4" t="s">
        <v>406</v>
      </c>
      <c r="G2687" s="4" t="s">
        <v>3701</v>
      </c>
      <c r="H2687" s="12" t="n">
        <v>1</v>
      </c>
      <c r="I2687" s="4" t="s">
        <v>408</v>
      </c>
      <c r="J2687" s="4" t="s">
        <v>409</v>
      </c>
      <c r="K2687" s="13" t="n">
        <v>6500</v>
      </c>
      <c r="L2687" s="6" t="n">
        <f aca="false">H2687*K2687</f>
        <v>6500</v>
      </c>
      <c r="M2687" s="14" t="s">
        <v>410</v>
      </c>
    </row>
    <row r="2688" customFormat="false" ht="15" hidden="false" customHeight="false" outlineLevel="0" collapsed="false">
      <c r="A2688" s="4" t="s">
        <v>69</v>
      </c>
      <c r="B2688" s="5" t="s">
        <v>84</v>
      </c>
      <c r="C2688" s="5" t="s">
        <v>85</v>
      </c>
      <c r="D2688" s="4" t="s">
        <v>16</v>
      </c>
      <c r="E2688" s="4" t="s">
        <v>3702</v>
      </c>
      <c r="F2688" s="4" t="s">
        <v>406</v>
      </c>
      <c r="G2688" s="4" t="s">
        <v>3703</v>
      </c>
      <c r="H2688" s="12" t="n">
        <v>1</v>
      </c>
      <c r="I2688" s="4" t="s">
        <v>408</v>
      </c>
      <c r="J2688" s="4" t="s">
        <v>409</v>
      </c>
      <c r="K2688" s="13" t="n">
        <v>2500</v>
      </c>
      <c r="L2688" s="6" t="n">
        <f aca="false">H2688*K2688</f>
        <v>2500</v>
      </c>
      <c r="M2688" s="14" t="s">
        <v>410</v>
      </c>
    </row>
    <row r="2689" customFormat="false" ht="15" hidden="false" customHeight="false" outlineLevel="0" collapsed="false">
      <c r="A2689" s="4" t="s">
        <v>69</v>
      </c>
      <c r="B2689" s="5" t="s">
        <v>84</v>
      </c>
      <c r="C2689" s="5" t="s">
        <v>85</v>
      </c>
      <c r="D2689" s="4" t="s">
        <v>16</v>
      </c>
      <c r="E2689" s="4" t="s">
        <v>3439</v>
      </c>
      <c r="F2689" s="4" t="s">
        <v>470</v>
      </c>
      <c r="G2689" s="4" t="s">
        <v>3440</v>
      </c>
      <c r="H2689" s="12" t="n">
        <v>1</v>
      </c>
      <c r="I2689" s="4" t="s">
        <v>408</v>
      </c>
      <c r="J2689" s="4" t="s">
        <v>416</v>
      </c>
      <c r="K2689" s="13" t="n">
        <v>25000</v>
      </c>
      <c r="L2689" s="6" t="n">
        <f aca="false">H2689*K2689</f>
        <v>25000</v>
      </c>
      <c r="M2689" s="4" t="s">
        <v>371</v>
      </c>
    </row>
    <row r="2690" customFormat="false" ht="15" hidden="false" customHeight="false" outlineLevel="0" collapsed="false">
      <c r="A2690" s="4" t="s">
        <v>69</v>
      </c>
      <c r="B2690" s="5" t="s">
        <v>84</v>
      </c>
      <c r="C2690" s="5" t="s">
        <v>85</v>
      </c>
      <c r="D2690" s="4" t="s">
        <v>16</v>
      </c>
      <c r="E2690" s="4" t="s">
        <v>3513</v>
      </c>
      <c r="F2690" s="4" t="s">
        <v>470</v>
      </c>
      <c r="G2690" s="4" t="s">
        <v>3514</v>
      </c>
      <c r="H2690" s="12" t="n">
        <v>1</v>
      </c>
      <c r="I2690" s="4" t="s">
        <v>408</v>
      </c>
      <c r="J2690" s="4" t="s">
        <v>409</v>
      </c>
      <c r="K2690" s="13" t="n">
        <v>18000</v>
      </c>
      <c r="L2690" s="6" t="n">
        <f aca="false">H2690*K2690</f>
        <v>18000</v>
      </c>
      <c r="M2690" s="4" t="s">
        <v>371</v>
      </c>
    </row>
    <row r="2691" customFormat="false" ht="15" hidden="false" customHeight="false" outlineLevel="0" collapsed="false">
      <c r="A2691" s="4" t="s">
        <v>69</v>
      </c>
      <c r="B2691" s="5" t="s">
        <v>84</v>
      </c>
      <c r="C2691" s="5" t="s">
        <v>85</v>
      </c>
      <c r="D2691" s="4" t="s">
        <v>16</v>
      </c>
      <c r="E2691" s="4" t="s">
        <v>3704</v>
      </c>
      <c r="F2691" s="4" t="s">
        <v>470</v>
      </c>
      <c r="G2691" s="4" t="s">
        <v>3705</v>
      </c>
      <c r="H2691" s="12" t="n">
        <v>1</v>
      </c>
      <c r="I2691" s="4" t="s">
        <v>408</v>
      </c>
      <c r="J2691" s="4" t="s">
        <v>409</v>
      </c>
      <c r="K2691" s="13" t="n">
        <v>450</v>
      </c>
      <c r="L2691" s="6" t="n">
        <f aca="false">H2691*K2691</f>
        <v>450</v>
      </c>
      <c r="M2691" s="4" t="s">
        <v>371</v>
      </c>
    </row>
    <row r="2692" customFormat="false" ht="15" hidden="false" customHeight="false" outlineLevel="0" collapsed="false">
      <c r="A2692" s="4" t="s">
        <v>69</v>
      </c>
      <c r="B2692" s="5" t="s">
        <v>84</v>
      </c>
      <c r="C2692" s="5" t="s">
        <v>85</v>
      </c>
      <c r="D2692" s="4" t="s">
        <v>16</v>
      </c>
      <c r="E2692" s="4" t="s">
        <v>922</v>
      </c>
      <c r="F2692" s="4" t="s">
        <v>488</v>
      </c>
      <c r="G2692" s="4" t="s">
        <v>923</v>
      </c>
      <c r="H2692" s="12" t="n">
        <v>1</v>
      </c>
      <c r="I2692" s="4" t="s">
        <v>408</v>
      </c>
      <c r="J2692" s="4" t="s">
        <v>791</v>
      </c>
      <c r="K2692" s="13" t="n">
        <v>45</v>
      </c>
      <c r="L2692" s="6" t="n">
        <f aca="false">H2692*K2692</f>
        <v>45</v>
      </c>
      <c r="M2692" s="4" t="s">
        <v>371</v>
      </c>
    </row>
    <row r="2693" customFormat="false" ht="15" hidden="false" customHeight="false" outlineLevel="0" collapsed="false">
      <c r="A2693" s="4" t="s">
        <v>69</v>
      </c>
      <c r="B2693" s="5" t="s">
        <v>84</v>
      </c>
      <c r="C2693" s="5" t="s">
        <v>85</v>
      </c>
      <c r="D2693" s="4" t="s">
        <v>16</v>
      </c>
      <c r="E2693" s="4" t="s">
        <v>792</v>
      </c>
      <c r="F2693" s="4" t="s">
        <v>488</v>
      </c>
      <c r="G2693" s="4" t="s">
        <v>793</v>
      </c>
      <c r="H2693" s="12" t="n">
        <v>1</v>
      </c>
      <c r="I2693" s="4" t="s">
        <v>408</v>
      </c>
      <c r="J2693" s="4" t="s">
        <v>429</v>
      </c>
      <c r="K2693" s="13" t="n">
        <v>150</v>
      </c>
      <c r="L2693" s="6" t="n">
        <f aca="false">H2693*K2693</f>
        <v>150</v>
      </c>
      <c r="M2693" s="4" t="s">
        <v>371</v>
      </c>
    </row>
    <row r="2694" customFormat="false" ht="15" hidden="false" customHeight="false" outlineLevel="0" collapsed="false">
      <c r="A2694" s="4" t="s">
        <v>69</v>
      </c>
      <c r="B2694" s="5" t="s">
        <v>84</v>
      </c>
      <c r="C2694" s="5" t="s">
        <v>85</v>
      </c>
      <c r="D2694" s="4" t="s">
        <v>16</v>
      </c>
      <c r="E2694" s="4" t="s">
        <v>3592</v>
      </c>
      <c r="F2694" s="4" t="s">
        <v>488</v>
      </c>
      <c r="G2694" s="4" t="s">
        <v>3593</v>
      </c>
      <c r="H2694" s="12" t="n">
        <v>1</v>
      </c>
      <c r="I2694" s="4" t="s">
        <v>408</v>
      </c>
      <c r="J2694" s="4" t="s">
        <v>506</v>
      </c>
      <c r="K2694" s="13" t="n">
        <v>60</v>
      </c>
      <c r="L2694" s="6" t="n">
        <f aca="false">H2694*K2694</f>
        <v>60</v>
      </c>
      <c r="M2694" s="4" t="s">
        <v>371</v>
      </c>
    </row>
    <row r="2695" customFormat="false" ht="15" hidden="false" customHeight="false" outlineLevel="0" collapsed="false">
      <c r="A2695" s="4" t="s">
        <v>69</v>
      </c>
      <c r="B2695" s="5" t="s">
        <v>84</v>
      </c>
      <c r="C2695" s="5" t="s">
        <v>85</v>
      </c>
      <c r="D2695" s="4" t="s">
        <v>16</v>
      </c>
      <c r="E2695" s="4" t="s">
        <v>803</v>
      </c>
      <c r="F2695" s="4" t="s">
        <v>488</v>
      </c>
      <c r="G2695" s="4" t="s">
        <v>804</v>
      </c>
      <c r="H2695" s="12" t="n">
        <v>1</v>
      </c>
      <c r="I2695" s="4" t="s">
        <v>408</v>
      </c>
      <c r="J2695" s="4" t="s">
        <v>409</v>
      </c>
      <c r="K2695" s="13" t="n">
        <v>15</v>
      </c>
      <c r="L2695" s="6" t="n">
        <f aca="false">H2695*K2695</f>
        <v>15</v>
      </c>
      <c r="M2695" s="4" t="s">
        <v>371</v>
      </c>
    </row>
    <row r="2696" customFormat="false" ht="15" hidden="false" customHeight="false" outlineLevel="0" collapsed="false">
      <c r="A2696" s="4" t="s">
        <v>69</v>
      </c>
      <c r="B2696" s="5" t="s">
        <v>84</v>
      </c>
      <c r="C2696" s="5" t="s">
        <v>85</v>
      </c>
      <c r="D2696" s="4" t="s">
        <v>16</v>
      </c>
      <c r="E2696" s="4" t="s">
        <v>3706</v>
      </c>
      <c r="F2696" s="4" t="s">
        <v>488</v>
      </c>
      <c r="G2696" s="4" t="s">
        <v>3707</v>
      </c>
      <c r="H2696" s="12" t="n">
        <v>1</v>
      </c>
      <c r="I2696" s="4" t="s">
        <v>408</v>
      </c>
      <c r="J2696" s="4" t="s">
        <v>807</v>
      </c>
      <c r="K2696" s="13" t="n">
        <v>350</v>
      </c>
      <c r="L2696" s="6" t="n">
        <f aca="false">H2696*K2696</f>
        <v>350</v>
      </c>
      <c r="M2696" s="4" t="s">
        <v>371</v>
      </c>
    </row>
    <row r="2697" customFormat="false" ht="15" hidden="false" customHeight="false" outlineLevel="0" collapsed="false">
      <c r="A2697" s="4" t="s">
        <v>69</v>
      </c>
      <c r="B2697" s="5" t="s">
        <v>84</v>
      </c>
      <c r="C2697" s="5" t="s">
        <v>85</v>
      </c>
      <c r="D2697" s="4" t="s">
        <v>16</v>
      </c>
      <c r="E2697" s="4" t="s">
        <v>3708</v>
      </c>
      <c r="F2697" s="4" t="s">
        <v>488</v>
      </c>
      <c r="G2697" s="4" t="s">
        <v>3709</v>
      </c>
      <c r="H2697" s="12" t="n">
        <v>1</v>
      </c>
      <c r="I2697" s="4" t="s">
        <v>408</v>
      </c>
      <c r="J2697" s="4" t="s">
        <v>807</v>
      </c>
      <c r="K2697" s="13" t="n">
        <v>80</v>
      </c>
      <c r="L2697" s="6" t="n">
        <f aca="false">H2697*K2697</f>
        <v>80</v>
      </c>
      <c r="M2697" s="4" t="s">
        <v>371</v>
      </c>
    </row>
    <row r="2698" customFormat="false" ht="15" hidden="false" customHeight="false" outlineLevel="0" collapsed="false">
      <c r="A2698" s="4" t="s">
        <v>69</v>
      </c>
      <c r="B2698" s="5" t="s">
        <v>84</v>
      </c>
      <c r="C2698" s="5" t="s">
        <v>85</v>
      </c>
      <c r="D2698" s="4" t="s">
        <v>16</v>
      </c>
      <c r="E2698" s="4" t="s">
        <v>3710</v>
      </c>
      <c r="F2698" s="4" t="s">
        <v>488</v>
      </c>
      <c r="G2698" s="4" t="s">
        <v>3711</v>
      </c>
      <c r="H2698" s="12" t="n">
        <v>1</v>
      </c>
      <c r="I2698" s="4" t="s">
        <v>408</v>
      </c>
      <c r="J2698" s="4" t="s">
        <v>807</v>
      </c>
      <c r="K2698" s="13" t="n">
        <v>250</v>
      </c>
      <c r="L2698" s="6" t="n">
        <f aca="false">H2698*K2698</f>
        <v>250</v>
      </c>
      <c r="M2698" s="4" t="s">
        <v>371</v>
      </c>
    </row>
    <row r="2699" customFormat="false" ht="15" hidden="false" customHeight="false" outlineLevel="0" collapsed="false">
      <c r="A2699" s="4" t="s">
        <v>69</v>
      </c>
      <c r="B2699" s="5" t="s">
        <v>84</v>
      </c>
      <c r="C2699" s="5" t="s">
        <v>85</v>
      </c>
      <c r="D2699" s="4" t="s">
        <v>16</v>
      </c>
      <c r="E2699" s="4" t="s">
        <v>836</v>
      </c>
      <c r="F2699" s="4" t="s">
        <v>488</v>
      </c>
      <c r="G2699" s="4" t="s">
        <v>837</v>
      </c>
      <c r="H2699" s="12" t="n">
        <v>1</v>
      </c>
      <c r="I2699" s="4" t="s">
        <v>408</v>
      </c>
      <c r="J2699" s="4" t="s">
        <v>796</v>
      </c>
      <c r="K2699" s="13" t="n">
        <v>15</v>
      </c>
      <c r="L2699" s="6" t="n">
        <f aca="false">H2699*K2699</f>
        <v>15</v>
      </c>
      <c r="M2699" s="4" t="s">
        <v>371</v>
      </c>
    </row>
    <row r="2700" customFormat="false" ht="15" hidden="false" customHeight="false" outlineLevel="0" collapsed="false">
      <c r="A2700" s="4" t="s">
        <v>69</v>
      </c>
      <c r="B2700" s="5" t="s">
        <v>84</v>
      </c>
      <c r="C2700" s="5" t="s">
        <v>85</v>
      </c>
      <c r="D2700" s="4" t="s">
        <v>16</v>
      </c>
      <c r="E2700" s="4" t="s">
        <v>3712</v>
      </c>
      <c r="F2700" s="4" t="s">
        <v>488</v>
      </c>
      <c r="G2700" s="4" t="s">
        <v>3713</v>
      </c>
      <c r="H2700" s="12" t="n">
        <v>1</v>
      </c>
      <c r="I2700" s="4" t="s">
        <v>408</v>
      </c>
      <c r="J2700" s="4" t="s">
        <v>807</v>
      </c>
      <c r="K2700" s="13" t="n">
        <v>350</v>
      </c>
      <c r="L2700" s="6" t="n">
        <f aca="false">H2700*K2700</f>
        <v>350</v>
      </c>
      <c r="M2700" s="4" t="s">
        <v>371</v>
      </c>
    </row>
    <row r="2701" customFormat="false" ht="15" hidden="false" customHeight="false" outlineLevel="0" collapsed="false">
      <c r="A2701" s="4" t="s">
        <v>69</v>
      </c>
      <c r="B2701" s="5" t="s">
        <v>84</v>
      </c>
      <c r="C2701" s="5" t="s">
        <v>85</v>
      </c>
      <c r="D2701" s="4" t="s">
        <v>16</v>
      </c>
      <c r="E2701" s="4" t="s">
        <v>854</v>
      </c>
      <c r="F2701" s="4" t="s">
        <v>488</v>
      </c>
      <c r="G2701" s="4" t="s">
        <v>855</v>
      </c>
      <c r="H2701" s="12" t="n">
        <v>1</v>
      </c>
      <c r="I2701" s="4" t="s">
        <v>408</v>
      </c>
      <c r="J2701" s="4" t="s">
        <v>503</v>
      </c>
      <c r="K2701" s="13" t="n">
        <v>120</v>
      </c>
      <c r="L2701" s="6" t="n">
        <f aca="false">H2701*K2701</f>
        <v>120</v>
      </c>
      <c r="M2701" s="4" t="s">
        <v>371</v>
      </c>
    </row>
    <row r="2702" customFormat="false" ht="15" hidden="false" customHeight="false" outlineLevel="0" collapsed="false">
      <c r="A2702" s="4" t="s">
        <v>69</v>
      </c>
      <c r="B2702" s="5" t="s">
        <v>84</v>
      </c>
      <c r="C2702" s="5" t="s">
        <v>85</v>
      </c>
      <c r="D2702" s="4" t="s">
        <v>16</v>
      </c>
      <c r="E2702" s="4" t="s">
        <v>3714</v>
      </c>
      <c r="F2702" s="4" t="s">
        <v>488</v>
      </c>
      <c r="G2702" s="4" t="s">
        <v>3715</v>
      </c>
      <c r="H2702" s="12" t="n">
        <v>1</v>
      </c>
      <c r="I2702" s="4" t="s">
        <v>408</v>
      </c>
      <c r="J2702" s="4" t="s">
        <v>416</v>
      </c>
      <c r="K2702" s="13" t="n">
        <v>250</v>
      </c>
      <c r="L2702" s="6" t="n">
        <f aca="false">H2702*K2702</f>
        <v>250</v>
      </c>
      <c r="M2702" s="4" t="s">
        <v>371</v>
      </c>
    </row>
    <row r="2703" customFormat="false" ht="15" hidden="false" customHeight="false" outlineLevel="0" collapsed="false">
      <c r="A2703" s="4" t="s">
        <v>69</v>
      </c>
      <c r="B2703" s="5" t="s">
        <v>84</v>
      </c>
      <c r="C2703" s="5" t="s">
        <v>85</v>
      </c>
      <c r="D2703" s="4" t="s">
        <v>16</v>
      </c>
      <c r="E2703" s="4" t="s">
        <v>3716</v>
      </c>
      <c r="F2703" s="4" t="s">
        <v>488</v>
      </c>
      <c r="G2703" s="4" t="s">
        <v>3717</v>
      </c>
      <c r="H2703" s="12" t="n">
        <v>1</v>
      </c>
      <c r="I2703" s="4" t="s">
        <v>408</v>
      </c>
      <c r="J2703" s="4" t="s">
        <v>506</v>
      </c>
      <c r="K2703" s="13" t="n">
        <v>80</v>
      </c>
      <c r="L2703" s="6" t="n">
        <f aca="false">H2703*K2703</f>
        <v>80</v>
      </c>
      <c r="M2703" s="4" t="s">
        <v>371</v>
      </c>
    </row>
    <row r="2704" customFormat="false" ht="15" hidden="false" customHeight="false" outlineLevel="0" collapsed="false">
      <c r="A2704" s="4" t="s">
        <v>69</v>
      </c>
      <c r="B2704" s="5" t="s">
        <v>84</v>
      </c>
      <c r="C2704" s="5" t="s">
        <v>85</v>
      </c>
      <c r="D2704" s="4" t="s">
        <v>16</v>
      </c>
      <c r="E2704" s="4" t="s">
        <v>3718</v>
      </c>
      <c r="F2704" s="4" t="s">
        <v>488</v>
      </c>
      <c r="G2704" s="4" t="s">
        <v>3719</v>
      </c>
      <c r="H2704" s="12" t="n">
        <v>1</v>
      </c>
      <c r="I2704" s="4" t="s">
        <v>408</v>
      </c>
      <c r="J2704" s="4" t="s">
        <v>506</v>
      </c>
      <c r="K2704" s="13" t="n">
        <v>80</v>
      </c>
      <c r="L2704" s="6" t="n">
        <f aca="false">H2704*K2704</f>
        <v>80</v>
      </c>
      <c r="M2704" s="4" t="s">
        <v>371</v>
      </c>
    </row>
    <row r="2705" customFormat="false" ht="15" hidden="false" customHeight="false" outlineLevel="0" collapsed="false">
      <c r="A2705" s="4" t="s">
        <v>69</v>
      </c>
      <c r="B2705" s="5" t="s">
        <v>84</v>
      </c>
      <c r="C2705" s="5" t="s">
        <v>85</v>
      </c>
      <c r="D2705" s="4" t="s">
        <v>16</v>
      </c>
      <c r="E2705" s="4" t="s">
        <v>3720</v>
      </c>
      <c r="F2705" s="4" t="s">
        <v>488</v>
      </c>
      <c r="G2705" s="4" t="s">
        <v>3721</v>
      </c>
      <c r="H2705" s="12" t="n">
        <v>1</v>
      </c>
      <c r="I2705" s="4" t="s">
        <v>408</v>
      </c>
      <c r="J2705" s="4" t="s">
        <v>416</v>
      </c>
      <c r="K2705" s="13" t="n">
        <v>250</v>
      </c>
      <c r="L2705" s="6" t="n">
        <f aca="false">H2705*K2705</f>
        <v>250</v>
      </c>
      <c r="M2705" s="4" t="s">
        <v>371</v>
      </c>
    </row>
    <row r="2706" customFormat="false" ht="15" hidden="false" customHeight="false" outlineLevel="0" collapsed="false">
      <c r="A2706" s="4" t="s">
        <v>69</v>
      </c>
      <c r="B2706" s="5" t="s">
        <v>84</v>
      </c>
      <c r="C2706" s="5" t="s">
        <v>85</v>
      </c>
      <c r="D2706" s="4" t="s">
        <v>16</v>
      </c>
      <c r="E2706" s="4" t="s">
        <v>3722</v>
      </c>
      <c r="F2706" s="4" t="s">
        <v>488</v>
      </c>
      <c r="G2706" s="4" t="s">
        <v>3723</v>
      </c>
      <c r="H2706" s="12" t="n">
        <v>1</v>
      </c>
      <c r="I2706" s="4" t="s">
        <v>408</v>
      </c>
      <c r="J2706" s="4" t="s">
        <v>429</v>
      </c>
      <c r="K2706" s="13" t="n">
        <v>25</v>
      </c>
      <c r="L2706" s="6" t="n">
        <f aca="false">H2706*K2706</f>
        <v>25</v>
      </c>
      <c r="M2706" s="4" t="s">
        <v>371</v>
      </c>
    </row>
    <row r="2707" customFormat="false" ht="15" hidden="false" customHeight="false" outlineLevel="0" collapsed="false">
      <c r="A2707" s="4" t="s">
        <v>69</v>
      </c>
      <c r="B2707" s="5" t="s">
        <v>84</v>
      </c>
      <c r="C2707" s="5" t="s">
        <v>85</v>
      </c>
      <c r="D2707" s="4" t="s">
        <v>16</v>
      </c>
      <c r="E2707" s="4" t="s">
        <v>3724</v>
      </c>
      <c r="F2707" s="4" t="s">
        <v>488</v>
      </c>
      <c r="G2707" s="4" t="s">
        <v>3725</v>
      </c>
      <c r="H2707" s="12" t="n">
        <v>1</v>
      </c>
      <c r="I2707" s="4" t="s">
        <v>408</v>
      </c>
      <c r="J2707" s="4" t="s">
        <v>409</v>
      </c>
      <c r="K2707" s="13" t="n">
        <v>15</v>
      </c>
      <c r="L2707" s="6" t="n">
        <f aca="false">H2707*K2707</f>
        <v>15</v>
      </c>
      <c r="M2707" s="4" t="s">
        <v>371</v>
      </c>
    </row>
    <row r="2708" customFormat="false" ht="15" hidden="false" customHeight="false" outlineLevel="0" collapsed="false">
      <c r="A2708" s="4" t="s">
        <v>69</v>
      </c>
      <c r="B2708" s="5" t="s">
        <v>84</v>
      </c>
      <c r="C2708" s="5" t="s">
        <v>85</v>
      </c>
      <c r="D2708" s="4" t="s">
        <v>16</v>
      </c>
      <c r="E2708" s="4" t="s">
        <v>3726</v>
      </c>
      <c r="F2708" s="4" t="s">
        <v>488</v>
      </c>
      <c r="G2708" s="4" t="s">
        <v>3727</v>
      </c>
      <c r="H2708" s="12" t="n">
        <v>1</v>
      </c>
      <c r="I2708" s="4" t="s">
        <v>408</v>
      </c>
      <c r="J2708" s="4" t="s">
        <v>506</v>
      </c>
      <c r="K2708" s="13" t="n">
        <v>60</v>
      </c>
      <c r="L2708" s="6" t="n">
        <f aca="false">H2708*K2708</f>
        <v>60</v>
      </c>
      <c r="M2708" s="4" t="s">
        <v>371</v>
      </c>
    </row>
    <row r="2709" customFormat="false" ht="15" hidden="false" customHeight="false" outlineLevel="0" collapsed="false">
      <c r="A2709" s="4" t="s">
        <v>69</v>
      </c>
      <c r="B2709" s="5" t="s">
        <v>86</v>
      </c>
      <c r="C2709" s="5" t="s">
        <v>87</v>
      </c>
      <c r="D2709" s="4" t="s">
        <v>16</v>
      </c>
      <c r="E2709" s="4" t="s">
        <v>860</v>
      </c>
      <c r="F2709" s="4" t="s">
        <v>406</v>
      </c>
      <c r="G2709" s="4" t="s">
        <v>861</v>
      </c>
      <c r="H2709" s="12" t="n">
        <v>1</v>
      </c>
      <c r="I2709" s="4" t="s">
        <v>408</v>
      </c>
      <c r="J2709" s="4" t="s">
        <v>409</v>
      </c>
      <c r="K2709" s="13" t="n">
        <v>250</v>
      </c>
      <c r="L2709" s="6" t="n">
        <f aca="false">H2709*K2709</f>
        <v>250</v>
      </c>
      <c r="M2709" s="4" t="s">
        <v>371</v>
      </c>
    </row>
    <row r="2710" customFormat="false" ht="15" hidden="false" customHeight="false" outlineLevel="0" collapsed="false">
      <c r="A2710" s="4" t="s">
        <v>69</v>
      </c>
      <c r="B2710" s="5" t="s">
        <v>86</v>
      </c>
      <c r="C2710" s="5" t="s">
        <v>87</v>
      </c>
      <c r="D2710" s="4" t="s">
        <v>16</v>
      </c>
      <c r="E2710" s="4" t="s">
        <v>862</v>
      </c>
      <c r="F2710" s="4" t="s">
        <v>406</v>
      </c>
      <c r="G2710" s="4" t="s">
        <v>863</v>
      </c>
      <c r="H2710" s="12" t="n">
        <v>1</v>
      </c>
      <c r="I2710" s="4" t="s">
        <v>408</v>
      </c>
      <c r="J2710" s="4" t="s">
        <v>409</v>
      </c>
      <c r="K2710" s="13" t="n">
        <v>120</v>
      </c>
      <c r="L2710" s="6" t="n">
        <f aca="false">H2710*K2710</f>
        <v>120</v>
      </c>
      <c r="M2710" s="14" t="s">
        <v>410</v>
      </c>
    </row>
    <row r="2711" customFormat="false" ht="15" hidden="false" customHeight="false" outlineLevel="0" collapsed="false">
      <c r="A2711" s="4" t="s">
        <v>69</v>
      </c>
      <c r="B2711" s="5" t="s">
        <v>86</v>
      </c>
      <c r="C2711" s="5" t="s">
        <v>87</v>
      </c>
      <c r="D2711" s="4" t="s">
        <v>16</v>
      </c>
      <c r="E2711" s="4" t="s">
        <v>864</v>
      </c>
      <c r="F2711" s="4" t="s">
        <v>406</v>
      </c>
      <c r="G2711" s="4" t="s">
        <v>865</v>
      </c>
      <c r="H2711" s="12" t="n">
        <v>1</v>
      </c>
      <c r="I2711" s="4" t="s">
        <v>408</v>
      </c>
      <c r="J2711" s="4" t="s">
        <v>409</v>
      </c>
      <c r="K2711" s="13" t="n">
        <v>80</v>
      </c>
      <c r="L2711" s="6" t="n">
        <f aca="false">H2711*K2711</f>
        <v>80</v>
      </c>
      <c r="M2711" s="14" t="s">
        <v>410</v>
      </c>
    </row>
    <row r="2712" customFormat="false" ht="15" hidden="false" customHeight="false" outlineLevel="0" collapsed="false">
      <c r="A2712" s="4" t="s">
        <v>69</v>
      </c>
      <c r="B2712" s="5" t="s">
        <v>86</v>
      </c>
      <c r="C2712" s="5" t="s">
        <v>87</v>
      </c>
      <c r="D2712" s="4" t="s">
        <v>16</v>
      </c>
      <c r="E2712" s="4" t="s">
        <v>866</v>
      </c>
      <c r="F2712" s="4" t="s">
        <v>406</v>
      </c>
      <c r="G2712" s="4" t="s">
        <v>867</v>
      </c>
      <c r="H2712" s="12" t="n">
        <v>1</v>
      </c>
      <c r="I2712" s="4" t="s">
        <v>408</v>
      </c>
      <c r="J2712" s="4" t="s">
        <v>409</v>
      </c>
      <c r="K2712" s="13" t="n">
        <v>350</v>
      </c>
      <c r="L2712" s="6" t="n">
        <f aca="false">H2712*K2712</f>
        <v>350</v>
      </c>
      <c r="M2712" s="14" t="s">
        <v>410</v>
      </c>
    </row>
    <row r="2713" customFormat="false" ht="15" hidden="false" customHeight="false" outlineLevel="0" collapsed="false">
      <c r="A2713" s="4" t="s">
        <v>69</v>
      </c>
      <c r="B2713" s="5" t="s">
        <v>86</v>
      </c>
      <c r="C2713" s="5" t="s">
        <v>87</v>
      </c>
      <c r="D2713" s="4" t="s">
        <v>16</v>
      </c>
      <c r="E2713" s="4" t="s">
        <v>868</v>
      </c>
      <c r="F2713" s="4" t="s">
        <v>406</v>
      </c>
      <c r="G2713" s="4" t="s">
        <v>869</v>
      </c>
      <c r="H2713" s="12" t="n">
        <v>1</v>
      </c>
      <c r="I2713" s="4" t="s">
        <v>408</v>
      </c>
      <c r="J2713" s="4" t="s">
        <v>409</v>
      </c>
      <c r="K2713" s="13" t="n">
        <v>250</v>
      </c>
      <c r="L2713" s="6" t="n">
        <f aca="false">H2713*K2713</f>
        <v>250</v>
      </c>
      <c r="M2713" s="14" t="s">
        <v>410</v>
      </c>
    </row>
    <row r="2714" customFormat="false" ht="15" hidden="false" customHeight="false" outlineLevel="0" collapsed="false">
      <c r="A2714" s="4" t="s">
        <v>69</v>
      </c>
      <c r="B2714" s="5" t="s">
        <v>86</v>
      </c>
      <c r="C2714" s="5" t="s">
        <v>87</v>
      </c>
      <c r="D2714" s="4" t="s">
        <v>16</v>
      </c>
      <c r="E2714" s="4" t="s">
        <v>870</v>
      </c>
      <c r="F2714" s="4" t="s">
        <v>406</v>
      </c>
      <c r="G2714" s="4" t="s">
        <v>871</v>
      </c>
      <c r="H2714" s="12" t="n">
        <v>1</v>
      </c>
      <c r="I2714" s="4" t="s">
        <v>408</v>
      </c>
      <c r="J2714" s="4" t="s">
        <v>409</v>
      </c>
      <c r="K2714" s="13" t="n">
        <v>120</v>
      </c>
      <c r="L2714" s="6" t="n">
        <f aca="false">H2714*K2714</f>
        <v>120</v>
      </c>
      <c r="M2714" s="14" t="s">
        <v>410</v>
      </c>
    </row>
    <row r="2715" customFormat="false" ht="15" hidden="false" customHeight="false" outlineLevel="0" collapsed="false">
      <c r="A2715" s="4" t="s">
        <v>69</v>
      </c>
      <c r="B2715" s="5" t="s">
        <v>86</v>
      </c>
      <c r="C2715" s="5" t="s">
        <v>87</v>
      </c>
      <c r="D2715" s="4" t="s">
        <v>16</v>
      </c>
      <c r="E2715" s="4" t="s">
        <v>872</v>
      </c>
      <c r="F2715" s="4" t="s">
        <v>406</v>
      </c>
      <c r="G2715" s="4" t="s">
        <v>873</v>
      </c>
      <c r="H2715" s="12" t="n">
        <v>1</v>
      </c>
      <c r="I2715" s="4" t="s">
        <v>408</v>
      </c>
      <c r="J2715" s="4" t="s">
        <v>409</v>
      </c>
      <c r="K2715" s="13" t="n">
        <v>250</v>
      </c>
      <c r="L2715" s="6" t="n">
        <f aca="false">H2715*K2715</f>
        <v>250</v>
      </c>
      <c r="M2715" s="14" t="s">
        <v>410</v>
      </c>
    </row>
    <row r="2716" customFormat="false" ht="15" hidden="false" customHeight="false" outlineLevel="0" collapsed="false">
      <c r="A2716" s="4" t="s">
        <v>69</v>
      </c>
      <c r="B2716" s="5" t="s">
        <v>86</v>
      </c>
      <c r="C2716" s="5" t="s">
        <v>87</v>
      </c>
      <c r="D2716" s="4" t="s">
        <v>16</v>
      </c>
      <c r="E2716" s="4" t="s">
        <v>874</v>
      </c>
      <c r="F2716" s="4" t="s">
        <v>406</v>
      </c>
      <c r="G2716" s="4" t="s">
        <v>875</v>
      </c>
      <c r="H2716" s="12" t="n">
        <v>1</v>
      </c>
      <c r="I2716" s="4" t="s">
        <v>408</v>
      </c>
      <c r="J2716" s="4" t="s">
        <v>409</v>
      </c>
      <c r="K2716" s="13" t="n">
        <v>80</v>
      </c>
      <c r="L2716" s="6" t="n">
        <f aca="false">H2716*K2716</f>
        <v>80</v>
      </c>
      <c r="M2716" s="14" t="s">
        <v>410</v>
      </c>
    </row>
    <row r="2717" customFormat="false" ht="15" hidden="false" customHeight="false" outlineLevel="0" collapsed="false">
      <c r="A2717" s="4" t="s">
        <v>69</v>
      </c>
      <c r="B2717" s="5" t="s">
        <v>86</v>
      </c>
      <c r="C2717" s="5" t="s">
        <v>87</v>
      </c>
      <c r="D2717" s="4" t="s">
        <v>16</v>
      </c>
      <c r="E2717" s="4" t="s">
        <v>876</v>
      </c>
      <c r="F2717" s="4" t="s">
        <v>406</v>
      </c>
      <c r="G2717" s="4" t="s">
        <v>877</v>
      </c>
      <c r="H2717" s="12" t="n">
        <v>1</v>
      </c>
      <c r="I2717" s="4" t="s">
        <v>408</v>
      </c>
      <c r="J2717" s="4" t="s">
        <v>409</v>
      </c>
      <c r="K2717" s="13" t="n">
        <v>180</v>
      </c>
      <c r="L2717" s="6" t="n">
        <f aca="false">H2717*K2717</f>
        <v>180</v>
      </c>
      <c r="M2717" s="14" t="s">
        <v>410</v>
      </c>
    </row>
    <row r="2718" customFormat="false" ht="15" hidden="false" customHeight="false" outlineLevel="0" collapsed="false">
      <c r="A2718" s="4" t="s">
        <v>69</v>
      </c>
      <c r="B2718" s="5" t="s">
        <v>86</v>
      </c>
      <c r="C2718" s="5" t="s">
        <v>87</v>
      </c>
      <c r="D2718" s="4" t="s">
        <v>16</v>
      </c>
      <c r="E2718" s="4" t="s">
        <v>771</v>
      </c>
      <c r="F2718" s="4" t="s">
        <v>406</v>
      </c>
      <c r="G2718" s="4" t="s">
        <v>772</v>
      </c>
      <c r="H2718" s="12" t="n">
        <v>1</v>
      </c>
      <c r="I2718" s="4" t="s">
        <v>408</v>
      </c>
      <c r="J2718" s="4" t="s">
        <v>416</v>
      </c>
      <c r="K2718" s="13" t="n">
        <v>850</v>
      </c>
      <c r="L2718" s="6" t="n">
        <f aca="false">H2718*K2718</f>
        <v>850</v>
      </c>
      <c r="M2718" s="14" t="s">
        <v>410</v>
      </c>
    </row>
    <row r="2719" customFormat="false" ht="15" hidden="false" customHeight="false" outlineLevel="0" collapsed="false">
      <c r="A2719" s="4" t="s">
        <v>69</v>
      </c>
      <c r="B2719" s="5" t="s">
        <v>86</v>
      </c>
      <c r="C2719" s="5" t="s">
        <v>87</v>
      </c>
      <c r="D2719" s="4" t="s">
        <v>16</v>
      </c>
      <c r="E2719" s="4" t="s">
        <v>878</v>
      </c>
      <c r="F2719" s="4" t="s">
        <v>406</v>
      </c>
      <c r="G2719" s="4" t="s">
        <v>879</v>
      </c>
      <c r="H2719" s="12" t="n">
        <v>1</v>
      </c>
      <c r="I2719" s="4" t="s">
        <v>408</v>
      </c>
      <c r="J2719" s="4" t="s">
        <v>475</v>
      </c>
      <c r="K2719" s="13" t="n">
        <v>650</v>
      </c>
      <c r="L2719" s="6" t="n">
        <f aca="false">H2719*K2719</f>
        <v>650</v>
      </c>
      <c r="M2719" s="14" t="s">
        <v>410</v>
      </c>
    </row>
    <row r="2720" customFormat="false" ht="15" hidden="false" customHeight="false" outlineLevel="0" collapsed="false">
      <c r="A2720" s="4" t="s">
        <v>69</v>
      </c>
      <c r="B2720" s="5" t="s">
        <v>86</v>
      </c>
      <c r="C2720" s="5" t="s">
        <v>87</v>
      </c>
      <c r="D2720" s="4" t="s">
        <v>16</v>
      </c>
      <c r="E2720" s="4" t="s">
        <v>880</v>
      </c>
      <c r="F2720" s="4" t="s">
        <v>406</v>
      </c>
      <c r="G2720" s="4" t="s">
        <v>881</v>
      </c>
      <c r="H2720" s="12" t="n">
        <v>1</v>
      </c>
      <c r="I2720" s="4" t="s">
        <v>408</v>
      </c>
      <c r="J2720" s="4" t="s">
        <v>409</v>
      </c>
      <c r="K2720" s="13" t="n">
        <v>650</v>
      </c>
      <c r="L2720" s="6" t="n">
        <f aca="false">H2720*K2720</f>
        <v>650</v>
      </c>
      <c r="M2720" s="14" t="s">
        <v>410</v>
      </c>
    </row>
    <row r="2721" customFormat="false" ht="15" hidden="false" customHeight="false" outlineLevel="0" collapsed="false">
      <c r="A2721" s="4" t="s">
        <v>69</v>
      </c>
      <c r="B2721" s="5" t="s">
        <v>86</v>
      </c>
      <c r="C2721" s="5" t="s">
        <v>87</v>
      </c>
      <c r="D2721" s="4" t="s">
        <v>16</v>
      </c>
      <c r="E2721" s="4" t="s">
        <v>882</v>
      </c>
      <c r="F2721" s="4" t="s">
        <v>406</v>
      </c>
      <c r="G2721" s="4" t="s">
        <v>766</v>
      </c>
      <c r="H2721" s="12" t="n">
        <v>1</v>
      </c>
      <c r="I2721" s="4" t="s">
        <v>408</v>
      </c>
      <c r="J2721" s="4" t="s">
        <v>409</v>
      </c>
      <c r="K2721" s="13" t="n">
        <v>80</v>
      </c>
      <c r="L2721" s="6" t="n">
        <f aca="false">H2721*K2721</f>
        <v>80</v>
      </c>
      <c r="M2721" s="14" t="s">
        <v>410</v>
      </c>
    </row>
    <row r="2722" customFormat="false" ht="15" hidden="false" customHeight="false" outlineLevel="0" collapsed="false">
      <c r="A2722" s="4" t="s">
        <v>69</v>
      </c>
      <c r="B2722" s="5" t="s">
        <v>86</v>
      </c>
      <c r="C2722" s="5" t="s">
        <v>87</v>
      </c>
      <c r="D2722" s="4" t="s">
        <v>16</v>
      </c>
      <c r="E2722" s="4" t="s">
        <v>883</v>
      </c>
      <c r="F2722" s="4" t="s">
        <v>406</v>
      </c>
      <c r="G2722" s="4" t="s">
        <v>884</v>
      </c>
      <c r="H2722" s="12" t="n">
        <v>1</v>
      </c>
      <c r="I2722" s="4" t="s">
        <v>408</v>
      </c>
      <c r="J2722" s="4" t="s">
        <v>409</v>
      </c>
      <c r="K2722" s="13" t="n">
        <v>80</v>
      </c>
      <c r="L2722" s="6" t="n">
        <f aca="false">H2722*K2722</f>
        <v>80</v>
      </c>
      <c r="M2722" s="14" t="s">
        <v>410</v>
      </c>
    </row>
    <row r="2723" customFormat="false" ht="15" hidden="false" customHeight="false" outlineLevel="0" collapsed="false">
      <c r="A2723" s="4" t="s">
        <v>69</v>
      </c>
      <c r="B2723" s="5" t="s">
        <v>86</v>
      </c>
      <c r="C2723" s="5" t="s">
        <v>87</v>
      </c>
      <c r="D2723" s="4" t="s">
        <v>16</v>
      </c>
      <c r="E2723" s="4" t="s">
        <v>775</v>
      </c>
      <c r="F2723" s="4" t="s">
        <v>406</v>
      </c>
      <c r="G2723" s="4" t="s">
        <v>776</v>
      </c>
      <c r="H2723" s="12" t="n">
        <v>1</v>
      </c>
      <c r="I2723" s="4" t="s">
        <v>408</v>
      </c>
      <c r="J2723" s="4" t="s">
        <v>409</v>
      </c>
      <c r="K2723" s="13" t="n">
        <v>30</v>
      </c>
      <c r="L2723" s="6" t="n">
        <f aca="false">H2723*K2723</f>
        <v>30</v>
      </c>
      <c r="M2723" s="14" t="s">
        <v>410</v>
      </c>
    </row>
    <row r="2724" customFormat="false" ht="15" hidden="false" customHeight="false" outlineLevel="0" collapsed="false">
      <c r="A2724" s="4" t="s">
        <v>69</v>
      </c>
      <c r="B2724" s="5" t="s">
        <v>86</v>
      </c>
      <c r="C2724" s="5" t="s">
        <v>87</v>
      </c>
      <c r="D2724" s="4" t="s">
        <v>16</v>
      </c>
      <c r="E2724" s="4" t="s">
        <v>885</v>
      </c>
      <c r="F2724" s="4" t="s">
        <v>406</v>
      </c>
      <c r="G2724" s="4" t="s">
        <v>764</v>
      </c>
      <c r="H2724" s="12" t="n">
        <v>1</v>
      </c>
      <c r="I2724" s="4" t="s">
        <v>408</v>
      </c>
      <c r="J2724" s="4" t="s">
        <v>409</v>
      </c>
      <c r="K2724" s="13" t="n">
        <v>50</v>
      </c>
      <c r="L2724" s="6" t="n">
        <f aca="false">H2724*K2724</f>
        <v>50</v>
      </c>
      <c r="M2724" s="14" t="s">
        <v>410</v>
      </c>
    </row>
    <row r="2725" customFormat="false" ht="15" hidden="false" customHeight="false" outlineLevel="0" collapsed="false">
      <c r="A2725" s="4" t="s">
        <v>69</v>
      </c>
      <c r="B2725" s="5" t="s">
        <v>86</v>
      </c>
      <c r="C2725" s="5" t="s">
        <v>87</v>
      </c>
      <c r="D2725" s="4" t="s">
        <v>16</v>
      </c>
      <c r="E2725" s="4" t="s">
        <v>886</v>
      </c>
      <c r="F2725" s="4" t="s">
        <v>406</v>
      </c>
      <c r="G2725" s="4" t="s">
        <v>887</v>
      </c>
      <c r="H2725" s="12" t="n">
        <v>1</v>
      </c>
      <c r="I2725" s="4" t="s">
        <v>408</v>
      </c>
      <c r="J2725" s="4" t="s">
        <v>409</v>
      </c>
      <c r="K2725" s="13" t="n">
        <v>80</v>
      </c>
      <c r="L2725" s="6" t="n">
        <f aca="false">H2725*K2725</f>
        <v>80</v>
      </c>
      <c r="M2725" s="14" t="s">
        <v>410</v>
      </c>
    </row>
    <row r="2726" customFormat="false" ht="15" hidden="false" customHeight="false" outlineLevel="0" collapsed="false">
      <c r="A2726" s="4" t="s">
        <v>69</v>
      </c>
      <c r="B2726" s="5" t="s">
        <v>86</v>
      </c>
      <c r="C2726" s="5" t="s">
        <v>87</v>
      </c>
      <c r="D2726" s="4" t="s">
        <v>16</v>
      </c>
      <c r="E2726" s="4" t="s">
        <v>888</v>
      </c>
      <c r="F2726" s="4" t="s">
        <v>406</v>
      </c>
      <c r="G2726" s="4" t="s">
        <v>889</v>
      </c>
      <c r="H2726" s="12" t="n">
        <v>1</v>
      </c>
      <c r="I2726" s="4" t="s">
        <v>408</v>
      </c>
      <c r="J2726" s="4" t="s">
        <v>409</v>
      </c>
      <c r="K2726" s="13" t="n">
        <v>180</v>
      </c>
      <c r="L2726" s="6" t="n">
        <f aca="false">H2726*K2726</f>
        <v>180</v>
      </c>
      <c r="M2726" s="14" t="s">
        <v>410</v>
      </c>
    </row>
    <row r="2727" customFormat="false" ht="15" hidden="false" customHeight="false" outlineLevel="0" collapsed="false">
      <c r="A2727" s="4" t="s">
        <v>69</v>
      </c>
      <c r="B2727" s="5" t="s">
        <v>86</v>
      </c>
      <c r="C2727" s="5" t="s">
        <v>87</v>
      </c>
      <c r="D2727" s="4" t="s">
        <v>16</v>
      </c>
      <c r="E2727" s="4" t="s">
        <v>890</v>
      </c>
      <c r="F2727" s="4" t="s">
        <v>406</v>
      </c>
      <c r="G2727" s="4" t="s">
        <v>891</v>
      </c>
      <c r="H2727" s="12" t="n">
        <v>1</v>
      </c>
      <c r="I2727" s="4" t="s">
        <v>408</v>
      </c>
      <c r="J2727" s="4" t="s">
        <v>409</v>
      </c>
      <c r="K2727" s="13" t="n">
        <v>450</v>
      </c>
      <c r="L2727" s="6" t="n">
        <f aca="false">H2727*K2727</f>
        <v>450</v>
      </c>
      <c r="M2727" s="14" t="s">
        <v>410</v>
      </c>
    </row>
    <row r="2728" customFormat="false" ht="15" hidden="false" customHeight="false" outlineLevel="0" collapsed="false">
      <c r="A2728" s="4" t="s">
        <v>69</v>
      </c>
      <c r="B2728" s="5" t="s">
        <v>86</v>
      </c>
      <c r="C2728" s="5" t="s">
        <v>87</v>
      </c>
      <c r="D2728" s="4" t="s">
        <v>16</v>
      </c>
      <c r="E2728" s="4" t="s">
        <v>892</v>
      </c>
      <c r="F2728" s="4" t="s">
        <v>406</v>
      </c>
      <c r="G2728" s="4" t="s">
        <v>893</v>
      </c>
      <c r="H2728" s="12" t="n">
        <v>1</v>
      </c>
      <c r="I2728" s="4" t="s">
        <v>408</v>
      </c>
      <c r="J2728" s="4" t="s">
        <v>409</v>
      </c>
      <c r="K2728" s="13" t="n">
        <v>250</v>
      </c>
      <c r="L2728" s="6" t="n">
        <f aca="false">H2728*K2728</f>
        <v>250</v>
      </c>
      <c r="M2728" s="14" t="s">
        <v>410</v>
      </c>
    </row>
    <row r="2729" customFormat="false" ht="15" hidden="false" customHeight="false" outlineLevel="0" collapsed="false">
      <c r="A2729" s="4" t="s">
        <v>69</v>
      </c>
      <c r="B2729" s="5" t="s">
        <v>86</v>
      </c>
      <c r="C2729" s="5" t="s">
        <v>87</v>
      </c>
      <c r="D2729" s="4" t="s">
        <v>16</v>
      </c>
      <c r="E2729" s="4" t="s">
        <v>894</v>
      </c>
      <c r="F2729" s="4" t="s">
        <v>406</v>
      </c>
      <c r="G2729" s="4" t="s">
        <v>895</v>
      </c>
      <c r="H2729" s="12" t="n">
        <v>1</v>
      </c>
      <c r="I2729" s="4" t="s">
        <v>408</v>
      </c>
      <c r="J2729" s="4" t="s">
        <v>409</v>
      </c>
      <c r="K2729" s="13" t="n">
        <v>250</v>
      </c>
      <c r="L2729" s="6" t="n">
        <f aca="false">H2729*K2729</f>
        <v>250</v>
      </c>
      <c r="M2729" s="14" t="s">
        <v>410</v>
      </c>
    </row>
    <row r="2730" customFormat="false" ht="15" hidden="false" customHeight="false" outlineLevel="0" collapsed="false">
      <c r="A2730" s="4" t="s">
        <v>69</v>
      </c>
      <c r="B2730" s="5" t="s">
        <v>86</v>
      </c>
      <c r="C2730" s="5" t="s">
        <v>87</v>
      </c>
      <c r="D2730" s="4" t="s">
        <v>16</v>
      </c>
      <c r="E2730" s="4" t="s">
        <v>896</v>
      </c>
      <c r="F2730" s="4" t="s">
        <v>406</v>
      </c>
      <c r="G2730" s="4" t="s">
        <v>897</v>
      </c>
      <c r="H2730" s="12" t="n">
        <v>1</v>
      </c>
      <c r="I2730" s="4" t="s">
        <v>408</v>
      </c>
      <c r="J2730" s="4" t="s">
        <v>409</v>
      </c>
      <c r="K2730" s="13" t="n">
        <v>250</v>
      </c>
      <c r="L2730" s="6" t="n">
        <f aca="false">H2730*K2730</f>
        <v>250</v>
      </c>
      <c r="M2730" s="14" t="s">
        <v>410</v>
      </c>
    </row>
    <row r="2731" customFormat="false" ht="15" hidden="false" customHeight="false" outlineLevel="0" collapsed="false">
      <c r="A2731" s="4" t="s">
        <v>69</v>
      </c>
      <c r="B2731" s="5" t="s">
        <v>86</v>
      </c>
      <c r="C2731" s="5" t="s">
        <v>87</v>
      </c>
      <c r="D2731" s="4" t="s">
        <v>16</v>
      </c>
      <c r="E2731" s="4" t="s">
        <v>898</v>
      </c>
      <c r="F2731" s="4" t="s">
        <v>406</v>
      </c>
      <c r="G2731" s="4" t="s">
        <v>899</v>
      </c>
      <c r="H2731" s="12" t="n">
        <v>1</v>
      </c>
      <c r="I2731" s="4" t="s">
        <v>408</v>
      </c>
      <c r="J2731" s="4" t="s">
        <v>409</v>
      </c>
      <c r="K2731" s="13" t="n">
        <v>850</v>
      </c>
      <c r="L2731" s="6" t="n">
        <f aca="false">H2731*K2731</f>
        <v>850</v>
      </c>
      <c r="M2731" s="14" t="s">
        <v>410</v>
      </c>
    </row>
    <row r="2732" customFormat="false" ht="15" hidden="false" customHeight="false" outlineLevel="0" collapsed="false">
      <c r="A2732" s="4" t="s">
        <v>69</v>
      </c>
      <c r="B2732" s="5" t="s">
        <v>86</v>
      </c>
      <c r="C2732" s="5" t="s">
        <v>87</v>
      </c>
      <c r="D2732" s="4" t="s">
        <v>16</v>
      </c>
      <c r="E2732" s="4" t="s">
        <v>900</v>
      </c>
      <c r="F2732" s="4" t="s">
        <v>406</v>
      </c>
      <c r="G2732" s="4" t="s">
        <v>901</v>
      </c>
      <c r="H2732" s="12" t="n">
        <v>1</v>
      </c>
      <c r="I2732" s="4" t="s">
        <v>408</v>
      </c>
      <c r="J2732" s="4" t="s">
        <v>409</v>
      </c>
      <c r="K2732" s="13" t="n">
        <v>350</v>
      </c>
      <c r="L2732" s="6" t="n">
        <f aca="false">H2732*K2732</f>
        <v>350</v>
      </c>
      <c r="M2732" s="14" t="s">
        <v>410</v>
      </c>
    </row>
    <row r="2733" customFormat="false" ht="15" hidden="false" customHeight="false" outlineLevel="0" collapsed="false">
      <c r="A2733" s="4" t="s">
        <v>69</v>
      </c>
      <c r="B2733" s="5" t="s">
        <v>86</v>
      </c>
      <c r="C2733" s="5" t="s">
        <v>87</v>
      </c>
      <c r="D2733" s="4" t="s">
        <v>16</v>
      </c>
      <c r="E2733" s="4" t="s">
        <v>902</v>
      </c>
      <c r="F2733" s="4" t="s">
        <v>406</v>
      </c>
      <c r="G2733" s="4" t="s">
        <v>903</v>
      </c>
      <c r="H2733" s="12" t="n">
        <v>1</v>
      </c>
      <c r="I2733" s="4" t="s">
        <v>408</v>
      </c>
      <c r="J2733" s="4" t="s">
        <v>409</v>
      </c>
      <c r="K2733" s="13" t="n">
        <v>8500</v>
      </c>
      <c r="L2733" s="6" t="n">
        <f aca="false">H2733*K2733</f>
        <v>8500</v>
      </c>
      <c r="M2733" s="4" t="s">
        <v>371</v>
      </c>
    </row>
    <row r="2734" customFormat="false" ht="15" hidden="false" customHeight="false" outlineLevel="0" collapsed="false">
      <c r="A2734" s="4" t="s">
        <v>69</v>
      </c>
      <c r="B2734" s="5" t="s">
        <v>86</v>
      </c>
      <c r="C2734" s="5" t="s">
        <v>87</v>
      </c>
      <c r="D2734" s="4" t="s">
        <v>16</v>
      </c>
      <c r="E2734" s="4" t="s">
        <v>904</v>
      </c>
      <c r="F2734" s="4" t="s">
        <v>406</v>
      </c>
      <c r="G2734" s="4" t="s">
        <v>905</v>
      </c>
      <c r="H2734" s="12" t="n">
        <v>1</v>
      </c>
      <c r="I2734" s="4" t="s">
        <v>408</v>
      </c>
      <c r="J2734" s="4" t="s">
        <v>409</v>
      </c>
      <c r="K2734" s="13" t="n">
        <v>8500</v>
      </c>
      <c r="L2734" s="6" t="n">
        <f aca="false">H2734*K2734</f>
        <v>8500</v>
      </c>
      <c r="M2734" s="14" t="s">
        <v>410</v>
      </c>
    </row>
    <row r="2735" customFormat="false" ht="15" hidden="false" customHeight="false" outlineLevel="0" collapsed="false">
      <c r="A2735" s="4" t="s">
        <v>69</v>
      </c>
      <c r="B2735" s="5" t="s">
        <v>86</v>
      </c>
      <c r="C2735" s="5" t="s">
        <v>87</v>
      </c>
      <c r="D2735" s="4" t="s">
        <v>16</v>
      </c>
      <c r="E2735" s="4" t="s">
        <v>906</v>
      </c>
      <c r="F2735" s="4" t="s">
        <v>406</v>
      </c>
      <c r="G2735" s="4" t="s">
        <v>907</v>
      </c>
      <c r="H2735" s="12" t="n">
        <v>1</v>
      </c>
      <c r="I2735" s="4" t="s">
        <v>408</v>
      </c>
      <c r="J2735" s="4" t="s">
        <v>409</v>
      </c>
      <c r="K2735" s="13" t="n">
        <v>1200</v>
      </c>
      <c r="L2735" s="6" t="n">
        <f aca="false">H2735*K2735</f>
        <v>1200</v>
      </c>
      <c r="M2735" s="14" t="s">
        <v>410</v>
      </c>
    </row>
    <row r="2736" customFormat="false" ht="15" hidden="false" customHeight="false" outlineLevel="0" collapsed="false">
      <c r="A2736" s="4" t="s">
        <v>69</v>
      </c>
      <c r="B2736" s="5" t="s">
        <v>86</v>
      </c>
      <c r="C2736" s="5" t="s">
        <v>87</v>
      </c>
      <c r="D2736" s="4" t="s">
        <v>16</v>
      </c>
      <c r="E2736" s="4" t="s">
        <v>910</v>
      </c>
      <c r="F2736" s="4" t="s">
        <v>470</v>
      </c>
      <c r="G2736" s="4" t="s">
        <v>911</v>
      </c>
      <c r="H2736" s="12" t="n">
        <v>1</v>
      </c>
      <c r="I2736" s="4" t="s">
        <v>408</v>
      </c>
      <c r="J2736" s="4" t="s">
        <v>409</v>
      </c>
      <c r="K2736" s="13" t="n">
        <v>6500</v>
      </c>
      <c r="L2736" s="6" t="n">
        <f aca="false">H2736*K2736</f>
        <v>6500</v>
      </c>
      <c r="M2736" s="4" t="s">
        <v>371</v>
      </c>
    </row>
    <row r="2737" customFormat="false" ht="15" hidden="false" customHeight="false" outlineLevel="0" collapsed="false">
      <c r="A2737" s="4" t="s">
        <v>69</v>
      </c>
      <c r="B2737" s="5" t="s">
        <v>86</v>
      </c>
      <c r="C2737" s="5" t="s">
        <v>87</v>
      </c>
      <c r="D2737" s="4" t="s">
        <v>16</v>
      </c>
      <c r="E2737" s="4" t="s">
        <v>908</v>
      </c>
      <c r="F2737" s="4" t="s">
        <v>470</v>
      </c>
      <c r="G2737" s="4" t="s">
        <v>909</v>
      </c>
      <c r="H2737" s="12" t="n">
        <v>1</v>
      </c>
      <c r="I2737" s="4" t="s">
        <v>408</v>
      </c>
      <c r="J2737" s="4" t="s">
        <v>409</v>
      </c>
      <c r="K2737" s="13" t="n">
        <v>1800</v>
      </c>
      <c r="L2737" s="6" t="n">
        <f aca="false">H2737*K2737</f>
        <v>1800</v>
      </c>
      <c r="M2737" s="14" t="s">
        <v>410</v>
      </c>
    </row>
    <row r="2738" customFormat="false" ht="15" hidden="false" customHeight="false" outlineLevel="0" collapsed="false">
      <c r="A2738" s="4" t="s">
        <v>69</v>
      </c>
      <c r="B2738" s="5" t="s">
        <v>86</v>
      </c>
      <c r="C2738" s="5" t="s">
        <v>87</v>
      </c>
      <c r="D2738" s="4" t="s">
        <v>16</v>
      </c>
      <c r="E2738" s="4" t="s">
        <v>912</v>
      </c>
      <c r="F2738" s="4" t="s">
        <v>488</v>
      </c>
      <c r="G2738" s="4" t="s">
        <v>913</v>
      </c>
      <c r="H2738" s="12" t="n">
        <v>1</v>
      </c>
      <c r="I2738" s="4" t="s">
        <v>408</v>
      </c>
      <c r="J2738" s="4" t="s">
        <v>796</v>
      </c>
      <c r="K2738" s="13" t="n">
        <v>25</v>
      </c>
      <c r="L2738" s="6" t="n">
        <f aca="false">H2738*K2738</f>
        <v>25</v>
      </c>
      <c r="M2738" s="4" t="s">
        <v>371</v>
      </c>
    </row>
    <row r="2739" customFormat="false" ht="15" hidden="false" customHeight="false" outlineLevel="0" collapsed="false">
      <c r="A2739" s="4" t="s">
        <v>69</v>
      </c>
      <c r="B2739" s="5" t="s">
        <v>86</v>
      </c>
      <c r="C2739" s="5" t="s">
        <v>87</v>
      </c>
      <c r="D2739" s="4" t="s">
        <v>16</v>
      </c>
      <c r="E2739" s="4" t="s">
        <v>914</v>
      </c>
      <c r="F2739" s="4" t="s">
        <v>488</v>
      </c>
      <c r="G2739" s="4" t="s">
        <v>915</v>
      </c>
      <c r="H2739" s="12" t="n">
        <v>1</v>
      </c>
      <c r="I2739" s="4" t="s">
        <v>408</v>
      </c>
      <c r="J2739" s="4" t="s">
        <v>506</v>
      </c>
      <c r="K2739" s="13" t="n">
        <v>350</v>
      </c>
      <c r="L2739" s="6" t="n">
        <f aca="false">H2739*K2739</f>
        <v>350</v>
      </c>
      <c r="M2739" s="4" t="s">
        <v>371</v>
      </c>
    </row>
    <row r="2740" customFormat="false" ht="15" hidden="false" customHeight="false" outlineLevel="0" collapsed="false">
      <c r="A2740" s="4" t="s">
        <v>69</v>
      </c>
      <c r="B2740" s="5" t="s">
        <v>86</v>
      </c>
      <c r="C2740" s="5" t="s">
        <v>87</v>
      </c>
      <c r="D2740" s="4" t="s">
        <v>16</v>
      </c>
      <c r="E2740" s="4" t="s">
        <v>3594</v>
      </c>
      <c r="F2740" s="4" t="s">
        <v>488</v>
      </c>
      <c r="G2740" s="4" t="s">
        <v>3595</v>
      </c>
      <c r="H2740" s="12" t="n">
        <v>1</v>
      </c>
      <c r="I2740" s="4" t="s">
        <v>408</v>
      </c>
      <c r="J2740" s="4" t="s">
        <v>506</v>
      </c>
      <c r="K2740" s="13" t="n">
        <v>35</v>
      </c>
      <c r="L2740" s="6" t="n">
        <f aca="false">H2740*K2740</f>
        <v>35</v>
      </c>
      <c r="M2740" s="4" t="s">
        <v>371</v>
      </c>
    </row>
    <row r="2741" customFormat="false" ht="15" hidden="false" customHeight="false" outlineLevel="0" collapsed="false">
      <c r="A2741" s="4" t="s">
        <v>69</v>
      </c>
      <c r="B2741" s="5" t="s">
        <v>86</v>
      </c>
      <c r="C2741" s="5" t="s">
        <v>87</v>
      </c>
      <c r="D2741" s="4" t="s">
        <v>16</v>
      </c>
      <c r="E2741" s="4" t="s">
        <v>918</v>
      </c>
      <c r="F2741" s="4" t="s">
        <v>488</v>
      </c>
      <c r="G2741" s="4" t="s">
        <v>919</v>
      </c>
      <c r="H2741" s="12" t="n">
        <v>1</v>
      </c>
      <c r="I2741" s="4" t="s">
        <v>408</v>
      </c>
      <c r="J2741" s="4" t="s">
        <v>409</v>
      </c>
      <c r="K2741" s="13" t="n">
        <v>15</v>
      </c>
      <c r="L2741" s="6" t="n">
        <f aca="false">H2741*K2741</f>
        <v>15</v>
      </c>
      <c r="M2741" s="4" t="s">
        <v>371</v>
      </c>
    </row>
    <row r="2742" customFormat="false" ht="15" hidden="false" customHeight="false" outlineLevel="0" collapsed="false">
      <c r="A2742" s="4" t="s">
        <v>69</v>
      </c>
      <c r="B2742" s="5" t="s">
        <v>86</v>
      </c>
      <c r="C2742" s="5" t="s">
        <v>87</v>
      </c>
      <c r="D2742" s="4" t="s">
        <v>16</v>
      </c>
      <c r="E2742" s="4" t="s">
        <v>792</v>
      </c>
      <c r="F2742" s="4" t="s">
        <v>488</v>
      </c>
      <c r="G2742" s="4" t="s">
        <v>793</v>
      </c>
      <c r="H2742" s="12" t="n">
        <v>1</v>
      </c>
      <c r="I2742" s="4" t="s">
        <v>408</v>
      </c>
      <c r="J2742" s="4" t="s">
        <v>429</v>
      </c>
      <c r="K2742" s="13" t="n">
        <v>150</v>
      </c>
      <c r="L2742" s="6" t="n">
        <f aca="false">H2742*K2742</f>
        <v>150</v>
      </c>
      <c r="M2742" s="4" t="s">
        <v>371</v>
      </c>
    </row>
    <row r="2743" customFormat="false" ht="15" hidden="false" customHeight="false" outlineLevel="0" collapsed="false">
      <c r="A2743" s="4" t="s">
        <v>69</v>
      </c>
      <c r="B2743" s="5" t="s">
        <v>86</v>
      </c>
      <c r="C2743" s="5" t="s">
        <v>87</v>
      </c>
      <c r="D2743" s="4" t="s">
        <v>16</v>
      </c>
      <c r="E2743" s="4" t="s">
        <v>920</v>
      </c>
      <c r="F2743" s="4" t="s">
        <v>488</v>
      </c>
      <c r="G2743" s="4" t="s">
        <v>921</v>
      </c>
      <c r="H2743" s="12" t="n">
        <v>1</v>
      </c>
      <c r="I2743" s="4" t="s">
        <v>408</v>
      </c>
      <c r="J2743" s="4" t="s">
        <v>506</v>
      </c>
      <c r="K2743" s="13" t="n">
        <v>60</v>
      </c>
      <c r="L2743" s="6" t="n">
        <f aca="false">H2743*K2743</f>
        <v>60</v>
      </c>
      <c r="M2743" s="14" t="s">
        <v>410</v>
      </c>
    </row>
    <row r="2744" customFormat="false" ht="15" hidden="false" customHeight="false" outlineLevel="0" collapsed="false">
      <c r="A2744" s="4" t="s">
        <v>69</v>
      </c>
      <c r="B2744" s="5" t="s">
        <v>86</v>
      </c>
      <c r="C2744" s="5" t="s">
        <v>87</v>
      </c>
      <c r="D2744" s="4" t="s">
        <v>16</v>
      </c>
      <c r="E2744" s="4" t="s">
        <v>922</v>
      </c>
      <c r="F2744" s="4" t="s">
        <v>488</v>
      </c>
      <c r="G2744" s="4" t="s">
        <v>923</v>
      </c>
      <c r="H2744" s="12" t="n">
        <v>1</v>
      </c>
      <c r="I2744" s="4" t="s">
        <v>408</v>
      </c>
      <c r="J2744" s="4" t="s">
        <v>791</v>
      </c>
      <c r="K2744" s="13" t="n">
        <v>45</v>
      </c>
      <c r="L2744" s="6" t="n">
        <f aca="false">H2744*K2744</f>
        <v>45</v>
      </c>
      <c r="M2744" s="4" t="s">
        <v>371</v>
      </c>
    </row>
    <row r="2745" customFormat="false" ht="15" hidden="false" customHeight="false" outlineLevel="0" collapsed="false">
      <c r="A2745" s="4" t="s">
        <v>69</v>
      </c>
      <c r="B2745" s="5" t="s">
        <v>86</v>
      </c>
      <c r="C2745" s="5" t="s">
        <v>87</v>
      </c>
      <c r="D2745" s="4" t="s">
        <v>16</v>
      </c>
      <c r="E2745" s="4" t="s">
        <v>803</v>
      </c>
      <c r="F2745" s="4" t="s">
        <v>488</v>
      </c>
      <c r="G2745" s="4" t="s">
        <v>804</v>
      </c>
      <c r="H2745" s="12" t="n">
        <v>1</v>
      </c>
      <c r="I2745" s="4" t="s">
        <v>408</v>
      </c>
      <c r="J2745" s="4" t="s">
        <v>409</v>
      </c>
      <c r="K2745" s="13" t="n">
        <v>15</v>
      </c>
      <c r="L2745" s="6" t="n">
        <f aca="false">H2745*K2745</f>
        <v>15</v>
      </c>
      <c r="M2745" s="4" t="s">
        <v>371</v>
      </c>
    </row>
    <row r="2746" customFormat="false" ht="23.85" hidden="false" customHeight="false" outlineLevel="0" collapsed="false">
      <c r="A2746" s="4" t="s">
        <v>69</v>
      </c>
      <c r="B2746" s="5" t="s">
        <v>90</v>
      </c>
      <c r="C2746" s="5" t="s">
        <v>91</v>
      </c>
      <c r="D2746" s="4" t="s">
        <v>16</v>
      </c>
      <c r="E2746" s="4" t="s">
        <v>1677</v>
      </c>
      <c r="F2746" s="4" t="s">
        <v>406</v>
      </c>
      <c r="G2746" s="4" t="s">
        <v>1678</v>
      </c>
      <c r="H2746" s="12" t="n">
        <v>1</v>
      </c>
      <c r="I2746" s="4" t="s">
        <v>408</v>
      </c>
      <c r="J2746" s="4" t="s">
        <v>409</v>
      </c>
      <c r="K2746" s="13" t="n">
        <v>250</v>
      </c>
      <c r="L2746" s="6" t="n">
        <f aca="false">H2746*K2746</f>
        <v>250</v>
      </c>
      <c r="M2746" s="14" t="s">
        <v>410</v>
      </c>
    </row>
    <row r="2747" customFormat="false" ht="23.85" hidden="false" customHeight="false" outlineLevel="0" collapsed="false">
      <c r="A2747" s="4" t="s">
        <v>69</v>
      </c>
      <c r="B2747" s="5" t="s">
        <v>90</v>
      </c>
      <c r="C2747" s="5" t="s">
        <v>91</v>
      </c>
      <c r="D2747" s="4" t="s">
        <v>16</v>
      </c>
      <c r="E2747" s="4" t="s">
        <v>1674</v>
      </c>
      <c r="F2747" s="4" t="s">
        <v>406</v>
      </c>
      <c r="G2747" s="4" t="s">
        <v>778</v>
      </c>
      <c r="H2747" s="12" t="n">
        <v>1</v>
      </c>
      <c r="I2747" s="4" t="s">
        <v>408</v>
      </c>
      <c r="J2747" s="4" t="s">
        <v>409</v>
      </c>
      <c r="K2747" s="13" t="n">
        <v>120</v>
      </c>
      <c r="L2747" s="6" t="n">
        <f aca="false">H2747*K2747</f>
        <v>120</v>
      </c>
      <c r="M2747" s="14" t="s">
        <v>410</v>
      </c>
    </row>
    <row r="2748" customFormat="false" ht="23.85" hidden="false" customHeight="false" outlineLevel="0" collapsed="false">
      <c r="A2748" s="4" t="s">
        <v>69</v>
      </c>
      <c r="B2748" s="5" t="s">
        <v>90</v>
      </c>
      <c r="C2748" s="5" t="s">
        <v>91</v>
      </c>
      <c r="D2748" s="4" t="s">
        <v>16</v>
      </c>
      <c r="E2748" s="4" t="s">
        <v>3509</v>
      </c>
      <c r="F2748" s="4" t="s">
        <v>406</v>
      </c>
      <c r="G2748" s="4" t="s">
        <v>3510</v>
      </c>
      <c r="H2748" s="12" t="n">
        <v>1</v>
      </c>
      <c r="I2748" s="4" t="s">
        <v>408</v>
      </c>
      <c r="J2748" s="4" t="s">
        <v>409</v>
      </c>
      <c r="K2748" s="13" t="n">
        <v>85000</v>
      </c>
      <c r="L2748" s="6" t="n">
        <f aca="false">H2748*K2748</f>
        <v>85000</v>
      </c>
      <c r="M2748" s="4" t="s">
        <v>371</v>
      </c>
    </row>
    <row r="2749" customFormat="false" ht="23.85" hidden="false" customHeight="false" outlineLevel="0" collapsed="false">
      <c r="A2749" s="4" t="s">
        <v>69</v>
      </c>
      <c r="B2749" s="5" t="s">
        <v>90</v>
      </c>
      <c r="C2749" s="5" t="s">
        <v>91</v>
      </c>
      <c r="D2749" s="4" t="s">
        <v>16</v>
      </c>
      <c r="E2749" s="4" t="s">
        <v>3728</v>
      </c>
      <c r="F2749" s="4" t="s">
        <v>406</v>
      </c>
      <c r="G2749" s="4" t="s">
        <v>3729</v>
      </c>
      <c r="H2749" s="12" t="n">
        <v>1</v>
      </c>
      <c r="I2749" s="4" t="s">
        <v>408</v>
      </c>
      <c r="J2749" s="4" t="s">
        <v>409</v>
      </c>
      <c r="K2749" s="13" t="n">
        <v>45000</v>
      </c>
      <c r="L2749" s="6" t="n">
        <f aca="false">H2749*K2749</f>
        <v>45000</v>
      </c>
      <c r="M2749" s="14" t="s">
        <v>410</v>
      </c>
    </row>
    <row r="2750" customFormat="false" ht="23.85" hidden="false" customHeight="false" outlineLevel="0" collapsed="false">
      <c r="A2750" s="4" t="s">
        <v>69</v>
      </c>
      <c r="B2750" s="5" t="s">
        <v>90</v>
      </c>
      <c r="C2750" s="5" t="s">
        <v>91</v>
      </c>
      <c r="D2750" s="4" t="s">
        <v>16</v>
      </c>
      <c r="E2750" s="4" t="s">
        <v>3730</v>
      </c>
      <c r="F2750" s="4" t="s">
        <v>406</v>
      </c>
      <c r="G2750" s="4" t="s">
        <v>3731</v>
      </c>
      <c r="H2750" s="12" t="n">
        <v>1</v>
      </c>
      <c r="I2750" s="4" t="s">
        <v>408</v>
      </c>
      <c r="J2750" s="4" t="s">
        <v>409</v>
      </c>
      <c r="K2750" s="13" t="n">
        <v>28000</v>
      </c>
      <c r="L2750" s="6" t="n">
        <f aca="false">H2750*K2750</f>
        <v>28000</v>
      </c>
      <c r="M2750" s="14" t="s">
        <v>410</v>
      </c>
    </row>
    <row r="2751" customFormat="false" ht="23.85" hidden="false" customHeight="false" outlineLevel="0" collapsed="false">
      <c r="A2751" s="4" t="s">
        <v>69</v>
      </c>
      <c r="B2751" s="5" t="s">
        <v>90</v>
      </c>
      <c r="C2751" s="5" t="s">
        <v>91</v>
      </c>
      <c r="D2751" s="4" t="s">
        <v>16</v>
      </c>
      <c r="E2751" s="4" t="s">
        <v>3732</v>
      </c>
      <c r="F2751" s="4" t="s">
        <v>406</v>
      </c>
      <c r="G2751" s="4" t="s">
        <v>3733</v>
      </c>
      <c r="H2751" s="12" t="n">
        <v>1</v>
      </c>
      <c r="I2751" s="4" t="s">
        <v>408</v>
      </c>
      <c r="J2751" s="4" t="s">
        <v>409</v>
      </c>
      <c r="K2751" s="13" t="n">
        <v>85000</v>
      </c>
      <c r="L2751" s="6" t="n">
        <f aca="false">H2751*K2751</f>
        <v>85000</v>
      </c>
      <c r="M2751" s="14" t="s">
        <v>410</v>
      </c>
    </row>
    <row r="2752" customFormat="false" ht="23.85" hidden="false" customHeight="false" outlineLevel="0" collapsed="false">
      <c r="A2752" s="4" t="s">
        <v>69</v>
      </c>
      <c r="B2752" s="5" t="s">
        <v>90</v>
      </c>
      <c r="C2752" s="5" t="s">
        <v>91</v>
      </c>
      <c r="D2752" s="4" t="s">
        <v>16</v>
      </c>
      <c r="E2752" s="4" t="s">
        <v>3734</v>
      </c>
      <c r="F2752" s="4" t="s">
        <v>406</v>
      </c>
      <c r="G2752" s="4" t="s">
        <v>3735</v>
      </c>
      <c r="H2752" s="12" t="n">
        <v>1</v>
      </c>
      <c r="I2752" s="4" t="s">
        <v>408</v>
      </c>
      <c r="J2752" s="4" t="s">
        <v>409</v>
      </c>
      <c r="K2752" s="13" t="n">
        <v>65000</v>
      </c>
      <c r="L2752" s="6" t="n">
        <f aca="false">H2752*K2752</f>
        <v>65000</v>
      </c>
      <c r="M2752" s="14" t="s">
        <v>410</v>
      </c>
    </row>
    <row r="2753" customFormat="false" ht="23.85" hidden="false" customHeight="false" outlineLevel="0" collapsed="false">
      <c r="A2753" s="4" t="s">
        <v>69</v>
      </c>
      <c r="B2753" s="5" t="s">
        <v>90</v>
      </c>
      <c r="C2753" s="5" t="s">
        <v>91</v>
      </c>
      <c r="D2753" s="4" t="s">
        <v>16</v>
      </c>
      <c r="E2753" s="4" t="s">
        <v>3736</v>
      </c>
      <c r="F2753" s="4" t="s">
        <v>406</v>
      </c>
      <c r="G2753" s="4" t="s">
        <v>3737</v>
      </c>
      <c r="H2753" s="12" t="n">
        <v>1</v>
      </c>
      <c r="I2753" s="4" t="s">
        <v>408</v>
      </c>
      <c r="J2753" s="4" t="s">
        <v>409</v>
      </c>
      <c r="K2753" s="13" t="n">
        <v>18000</v>
      </c>
      <c r="L2753" s="6" t="n">
        <f aca="false">H2753*K2753</f>
        <v>18000</v>
      </c>
      <c r="M2753" s="14" t="s">
        <v>410</v>
      </c>
    </row>
    <row r="2754" customFormat="false" ht="23.85" hidden="false" customHeight="false" outlineLevel="0" collapsed="false">
      <c r="A2754" s="4" t="s">
        <v>69</v>
      </c>
      <c r="B2754" s="5" t="s">
        <v>90</v>
      </c>
      <c r="C2754" s="5" t="s">
        <v>91</v>
      </c>
      <c r="D2754" s="4" t="s">
        <v>16</v>
      </c>
      <c r="E2754" s="4" t="s">
        <v>3738</v>
      </c>
      <c r="F2754" s="4" t="s">
        <v>406</v>
      </c>
      <c r="G2754" s="4" t="s">
        <v>3739</v>
      </c>
      <c r="H2754" s="12" t="n">
        <v>1</v>
      </c>
      <c r="I2754" s="4" t="s">
        <v>408</v>
      </c>
      <c r="J2754" s="4" t="s">
        <v>409</v>
      </c>
      <c r="K2754" s="13" t="n">
        <v>45000</v>
      </c>
      <c r="L2754" s="6" t="n">
        <f aca="false">H2754*K2754</f>
        <v>45000</v>
      </c>
      <c r="M2754" s="14" t="s">
        <v>410</v>
      </c>
    </row>
    <row r="2755" customFormat="false" ht="23.85" hidden="false" customHeight="false" outlineLevel="0" collapsed="false">
      <c r="A2755" s="4" t="s">
        <v>69</v>
      </c>
      <c r="B2755" s="5" t="s">
        <v>90</v>
      </c>
      <c r="C2755" s="5" t="s">
        <v>91</v>
      </c>
      <c r="D2755" s="4" t="s">
        <v>16</v>
      </c>
      <c r="E2755" s="4" t="s">
        <v>3740</v>
      </c>
      <c r="F2755" s="4" t="s">
        <v>406</v>
      </c>
      <c r="G2755" s="4" t="s">
        <v>3741</v>
      </c>
      <c r="H2755" s="12" t="n">
        <v>1</v>
      </c>
      <c r="I2755" s="4" t="s">
        <v>408</v>
      </c>
      <c r="J2755" s="4" t="s">
        <v>409</v>
      </c>
      <c r="K2755" s="13" t="n">
        <v>85000</v>
      </c>
      <c r="L2755" s="6" t="n">
        <f aca="false">H2755*K2755</f>
        <v>85000</v>
      </c>
      <c r="M2755" s="4" t="s">
        <v>371</v>
      </c>
    </row>
    <row r="2756" customFormat="false" ht="23.85" hidden="false" customHeight="false" outlineLevel="0" collapsed="false">
      <c r="A2756" s="4" t="s">
        <v>69</v>
      </c>
      <c r="B2756" s="5" t="s">
        <v>90</v>
      </c>
      <c r="C2756" s="5" t="s">
        <v>91</v>
      </c>
      <c r="D2756" s="4" t="s">
        <v>16</v>
      </c>
      <c r="E2756" s="4" t="s">
        <v>3742</v>
      </c>
      <c r="F2756" s="4" t="s">
        <v>406</v>
      </c>
      <c r="G2756" s="4" t="s">
        <v>3743</v>
      </c>
      <c r="H2756" s="12" t="n">
        <v>1</v>
      </c>
      <c r="I2756" s="4" t="s">
        <v>408</v>
      </c>
      <c r="J2756" s="4" t="s">
        <v>409</v>
      </c>
      <c r="K2756" s="13" t="n">
        <v>85000</v>
      </c>
      <c r="L2756" s="6" t="n">
        <f aca="false">H2756*K2756</f>
        <v>85000</v>
      </c>
      <c r="M2756" s="14" t="s">
        <v>410</v>
      </c>
    </row>
    <row r="2757" customFormat="false" ht="23.85" hidden="false" customHeight="false" outlineLevel="0" collapsed="false">
      <c r="A2757" s="4" t="s">
        <v>69</v>
      </c>
      <c r="B2757" s="5" t="s">
        <v>90</v>
      </c>
      <c r="C2757" s="5" t="s">
        <v>91</v>
      </c>
      <c r="D2757" s="4" t="s">
        <v>16</v>
      </c>
      <c r="E2757" s="4" t="s">
        <v>3744</v>
      </c>
      <c r="F2757" s="4" t="s">
        <v>406</v>
      </c>
      <c r="G2757" s="4" t="s">
        <v>3745</v>
      </c>
      <c r="H2757" s="12" t="n">
        <v>1</v>
      </c>
      <c r="I2757" s="4" t="s">
        <v>408</v>
      </c>
      <c r="J2757" s="4" t="s">
        <v>409</v>
      </c>
      <c r="K2757" s="13" t="n">
        <v>85000</v>
      </c>
      <c r="L2757" s="6" t="n">
        <f aca="false">H2757*K2757</f>
        <v>85000</v>
      </c>
      <c r="M2757" s="14" t="s">
        <v>410</v>
      </c>
    </row>
    <row r="2758" customFormat="false" ht="23.85" hidden="false" customHeight="false" outlineLevel="0" collapsed="false">
      <c r="A2758" s="4" t="s">
        <v>69</v>
      </c>
      <c r="B2758" s="5" t="s">
        <v>90</v>
      </c>
      <c r="C2758" s="5" t="s">
        <v>91</v>
      </c>
      <c r="D2758" s="4" t="s">
        <v>16</v>
      </c>
      <c r="E2758" s="4" t="s">
        <v>3746</v>
      </c>
      <c r="F2758" s="4" t="s">
        <v>406</v>
      </c>
      <c r="G2758" s="4" t="s">
        <v>3747</v>
      </c>
      <c r="H2758" s="12" t="n">
        <v>1</v>
      </c>
      <c r="I2758" s="4" t="s">
        <v>408</v>
      </c>
      <c r="J2758" s="4" t="s">
        <v>409</v>
      </c>
      <c r="K2758" s="13" t="n">
        <v>45000</v>
      </c>
      <c r="L2758" s="6" t="n">
        <f aca="false">H2758*K2758</f>
        <v>45000</v>
      </c>
      <c r="M2758" s="14" t="s">
        <v>410</v>
      </c>
    </row>
    <row r="2759" customFormat="false" ht="23.85" hidden="false" customHeight="false" outlineLevel="0" collapsed="false">
      <c r="A2759" s="4" t="s">
        <v>69</v>
      </c>
      <c r="B2759" s="5" t="s">
        <v>90</v>
      </c>
      <c r="C2759" s="5" t="s">
        <v>91</v>
      </c>
      <c r="D2759" s="4" t="s">
        <v>16</v>
      </c>
      <c r="E2759" s="4" t="s">
        <v>3748</v>
      </c>
      <c r="F2759" s="4" t="s">
        <v>406</v>
      </c>
      <c r="G2759" s="4" t="s">
        <v>3749</v>
      </c>
      <c r="H2759" s="12" t="n">
        <v>1</v>
      </c>
      <c r="I2759" s="4" t="s">
        <v>408</v>
      </c>
      <c r="J2759" s="4" t="s">
        <v>409</v>
      </c>
      <c r="K2759" s="13" t="n">
        <v>85000</v>
      </c>
      <c r="L2759" s="6" t="n">
        <f aca="false">H2759*K2759</f>
        <v>85000</v>
      </c>
      <c r="M2759" s="14" t="s">
        <v>410</v>
      </c>
    </row>
    <row r="2760" customFormat="false" ht="23.85" hidden="false" customHeight="false" outlineLevel="0" collapsed="false">
      <c r="A2760" s="4" t="s">
        <v>69</v>
      </c>
      <c r="B2760" s="5" t="s">
        <v>90</v>
      </c>
      <c r="C2760" s="5" t="s">
        <v>91</v>
      </c>
      <c r="D2760" s="4" t="s">
        <v>16</v>
      </c>
      <c r="E2760" s="4" t="s">
        <v>3750</v>
      </c>
      <c r="F2760" s="4" t="s">
        <v>470</v>
      </c>
      <c r="G2760" s="4" t="s">
        <v>3751</v>
      </c>
      <c r="H2760" s="12" t="n">
        <v>1</v>
      </c>
      <c r="I2760" s="4" t="s">
        <v>408</v>
      </c>
      <c r="J2760" s="4" t="s">
        <v>416</v>
      </c>
      <c r="K2760" s="13" t="n">
        <v>850</v>
      </c>
      <c r="L2760" s="6" t="n">
        <f aca="false">H2760*K2760</f>
        <v>850</v>
      </c>
      <c r="M2760" s="4" t="s">
        <v>371</v>
      </c>
    </row>
    <row r="2761" customFormat="false" ht="23.85" hidden="false" customHeight="false" outlineLevel="0" collapsed="false">
      <c r="A2761" s="4" t="s">
        <v>69</v>
      </c>
      <c r="B2761" s="5" t="s">
        <v>90</v>
      </c>
      <c r="C2761" s="5" t="s">
        <v>91</v>
      </c>
      <c r="D2761" s="4" t="s">
        <v>16</v>
      </c>
      <c r="E2761" s="4" t="s">
        <v>922</v>
      </c>
      <c r="F2761" s="4" t="s">
        <v>488</v>
      </c>
      <c r="G2761" s="4" t="s">
        <v>923</v>
      </c>
      <c r="H2761" s="12" t="n">
        <v>1</v>
      </c>
      <c r="I2761" s="4" t="s">
        <v>408</v>
      </c>
      <c r="J2761" s="4" t="s">
        <v>791</v>
      </c>
      <c r="K2761" s="13" t="n">
        <v>45</v>
      </c>
      <c r="L2761" s="6" t="n">
        <f aca="false">H2761*K2761</f>
        <v>45</v>
      </c>
      <c r="M2761" s="4" t="s">
        <v>371</v>
      </c>
    </row>
    <row r="2762" customFormat="false" ht="23.85" hidden="false" customHeight="false" outlineLevel="0" collapsed="false">
      <c r="A2762" s="4" t="s">
        <v>69</v>
      </c>
      <c r="B2762" s="5" t="s">
        <v>90</v>
      </c>
      <c r="C2762" s="5" t="s">
        <v>91</v>
      </c>
      <c r="D2762" s="4" t="s">
        <v>16</v>
      </c>
      <c r="E2762" s="4" t="s">
        <v>3752</v>
      </c>
      <c r="F2762" s="4" t="s">
        <v>488</v>
      </c>
      <c r="G2762" s="4" t="s">
        <v>3753</v>
      </c>
      <c r="H2762" s="12" t="n">
        <v>1</v>
      </c>
      <c r="I2762" s="4" t="s">
        <v>408</v>
      </c>
      <c r="J2762" s="4" t="s">
        <v>506</v>
      </c>
      <c r="K2762" s="13" t="n">
        <v>60</v>
      </c>
      <c r="L2762" s="6" t="n">
        <f aca="false">H2762*K2762</f>
        <v>60</v>
      </c>
      <c r="M2762" s="4" t="s">
        <v>371</v>
      </c>
    </row>
    <row r="2763" customFormat="false" ht="23.85" hidden="false" customHeight="false" outlineLevel="0" collapsed="false">
      <c r="A2763" s="4" t="s">
        <v>69</v>
      </c>
      <c r="B2763" s="5" t="s">
        <v>90</v>
      </c>
      <c r="C2763" s="5" t="s">
        <v>91</v>
      </c>
      <c r="D2763" s="4" t="s">
        <v>16</v>
      </c>
      <c r="E2763" s="4" t="s">
        <v>3720</v>
      </c>
      <c r="F2763" s="4" t="s">
        <v>488</v>
      </c>
      <c r="G2763" s="4" t="s">
        <v>3721</v>
      </c>
      <c r="H2763" s="12" t="n">
        <v>1</v>
      </c>
      <c r="I2763" s="4" t="s">
        <v>408</v>
      </c>
      <c r="J2763" s="4" t="s">
        <v>416</v>
      </c>
      <c r="K2763" s="13" t="n">
        <v>250</v>
      </c>
      <c r="L2763" s="6" t="n">
        <f aca="false">H2763*K2763</f>
        <v>250</v>
      </c>
      <c r="M2763" s="4" t="s">
        <v>371</v>
      </c>
    </row>
    <row r="2764" customFormat="false" ht="23.85" hidden="false" customHeight="false" outlineLevel="0" collapsed="false">
      <c r="A2764" s="4" t="s">
        <v>69</v>
      </c>
      <c r="B2764" s="5" t="s">
        <v>90</v>
      </c>
      <c r="C2764" s="5" t="s">
        <v>91</v>
      </c>
      <c r="D2764" s="4" t="s">
        <v>16</v>
      </c>
      <c r="E2764" s="4" t="s">
        <v>792</v>
      </c>
      <c r="F2764" s="4" t="s">
        <v>488</v>
      </c>
      <c r="G2764" s="4" t="s">
        <v>793</v>
      </c>
      <c r="H2764" s="12" t="n">
        <v>1</v>
      </c>
      <c r="I2764" s="4" t="s">
        <v>408</v>
      </c>
      <c r="J2764" s="4" t="s">
        <v>429</v>
      </c>
      <c r="K2764" s="13" t="n">
        <v>150</v>
      </c>
      <c r="L2764" s="6" t="n">
        <f aca="false">H2764*K2764</f>
        <v>150</v>
      </c>
      <c r="M2764" s="4" t="s">
        <v>371</v>
      </c>
    </row>
    <row r="2765" customFormat="false" ht="23.85" hidden="false" customHeight="false" outlineLevel="0" collapsed="false">
      <c r="A2765" s="4" t="s">
        <v>69</v>
      </c>
      <c r="B2765" s="5" t="s">
        <v>90</v>
      </c>
      <c r="C2765" s="5" t="s">
        <v>91</v>
      </c>
      <c r="D2765" s="4" t="s">
        <v>16</v>
      </c>
      <c r="E2765" s="4" t="s">
        <v>3754</v>
      </c>
      <c r="F2765" s="4" t="s">
        <v>488</v>
      </c>
      <c r="G2765" s="4" t="s">
        <v>3755</v>
      </c>
      <c r="H2765" s="12" t="n">
        <v>1</v>
      </c>
      <c r="I2765" s="4" t="s">
        <v>408</v>
      </c>
      <c r="J2765" s="4" t="s">
        <v>506</v>
      </c>
      <c r="K2765" s="13" t="n">
        <v>60</v>
      </c>
      <c r="L2765" s="6" t="n">
        <f aca="false">H2765*K2765</f>
        <v>60</v>
      </c>
      <c r="M2765" s="4" t="s">
        <v>371</v>
      </c>
    </row>
    <row r="2766" customFormat="false" ht="23.85" hidden="false" customHeight="false" outlineLevel="0" collapsed="false">
      <c r="A2766" s="4" t="s">
        <v>69</v>
      </c>
      <c r="B2766" s="5" t="s">
        <v>90</v>
      </c>
      <c r="C2766" s="5" t="s">
        <v>91</v>
      </c>
      <c r="D2766" s="4" t="s">
        <v>16</v>
      </c>
      <c r="E2766" s="4" t="s">
        <v>3756</v>
      </c>
      <c r="F2766" s="4" t="s">
        <v>488</v>
      </c>
      <c r="G2766" s="4" t="s">
        <v>3757</v>
      </c>
      <c r="H2766" s="12" t="n">
        <v>1</v>
      </c>
      <c r="I2766" s="4" t="s">
        <v>408</v>
      </c>
      <c r="J2766" s="4" t="s">
        <v>480</v>
      </c>
      <c r="K2766" s="13" t="n">
        <v>60</v>
      </c>
      <c r="L2766" s="6" t="n">
        <f aca="false">H2766*K2766</f>
        <v>60</v>
      </c>
      <c r="M2766" s="4" t="s">
        <v>371</v>
      </c>
    </row>
    <row r="2767" customFormat="false" ht="23.85" hidden="false" customHeight="false" outlineLevel="0" collapsed="false">
      <c r="A2767" s="4" t="s">
        <v>69</v>
      </c>
      <c r="B2767" s="5" t="s">
        <v>90</v>
      </c>
      <c r="C2767" s="5" t="s">
        <v>91</v>
      </c>
      <c r="D2767" s="4" t="s">
        <v>16</v>
      </c>
      <c r="E2767" s="4" t="s">
        <v>3592</v>
      </c>
      <c r="F2767" s="4" t="s">
        <v>488</v>
      </c>
      <c r="G2767" s="4" t="s">
        <v>3593</v>
      </c>
      <c r="H2767" s="12" t="n">
        <v>1</v>
      </c>
      <c r="I2767" s="4" t="s">
        <v>408</v>
      </c>
      <c r="J2767" s="4" t="s">
        <v>506</v>
      </c>
      <c r="K2767" s="13" t="n">
        <v>60</v>
      </c>
      <c r="L2767" s="6" t="n">
        <f aca="false">H2767*K2767</f>
        <v>60</v>
      </c>
      <c r="M2767" s="4" t="s">
        <v>371</v>
      </c>
    </row>
    <row r="2768" customFormat="false" ht="23.85" hidden="false" customHeight="false" outlineLevel="0" collapsed="false">
      <c r="A2768" s="4" t="s">
        <v>69</v>
      </c>
      <c r="B2768" s="5" t="s">
        <v>90</v>
      </c>
      <c r="C2768" s="5" t="s">
        <v>91</v>
      </c>
      <c r="D2768" s="4" t="s">
        <v>16</v>
      </c>
      <c r="E2768" s="4" t="s">
        <v>3758</v>
      </c>
      <c r="F2768" s="4" t="s">
        <v>488</v>
      </c>
      <c r="G2768" s="4" t="s">
        <v>3759</v>
      </c>
      <c r="H2768" s="12" t="n">
        <v>1</v>
      </c>
      <c r="I2768" s="4" t="s">
        <v>408</v>
      </c>
      <c r="J2768" s="4" t="s">
        <v>796</v>
      </c>
      <c r="K2768" s="13" t="n">
        <v>25</v>
      </c>
      <c r="L2768" s="6" t="n">
        <f aca="false">H2768*K2768</f>
        <v>25</v>
      </c>
      <c r="M2768" s="4" t="s">
        <v>371</v>
      </c>
    </row>
    <row r="2769" customFormat="false" ht="23.85" hidden="false" customHeight="false" outlineLevel="0" collapsed="false">
      <c r="A2769" s="4" t="s">
        <v>69</v>
      </c>
      <c r="B2769" s="5" t="s">
        <v>90</v>
      </c>
      <c r="C2769" s="5" t="s">
        <v>91</v>
      </c>
      <c r="D2769" s="4" t="s">
        <v>16</v>
      </c>
      <c r="E2769" s="4" t="s">
        <v>3760</v>
      </c>
      <c r="F2769" s="4" t="s">
        <v>488</v>
      </c>
      <c r="G2769" s="4" t="s">
        <v>3761</v>
      </c>
      <c r="H2769" s="12" t="n">
        <v>1</v>
      </c>
      <c r="I2769" s="4" t="s">
        <v>408</v>
      </c>
      <c r="J2769" s="4" t="s">
        <v>506</v>
      </c>
      <c r="K2769" s="13" t="n">
        <v>120</v>
      </c>
      <c r="L2769" s="6" t="n">
        <f aca="false">H2769*K2769</f>
        <v>120</v>
      </c>
      <c r="M2769" s="4" t="s">
        <v>371</v>
      </c>
    </row>
    <row r="2770" customFormat="false" ht="23.85" hidden="false" customHeight="false" outlineLevel="0" collapsed="false">
      <c r="A2770" s="4" t="s">
        <v>69</v>
      </c>
      <c r="B2770" s="5" t="s">
        <v>90</v>
      </c>
      <c r="C2770" s="5" t="s">
        <v>91</v>
      </c>
      <c r="D2770" s="4" t="s">
        <v>16</v>
      </c>
      <c r="E2770" s="4" t="s">
        <v>3724</v>
      </c>
      <c r="F2770" s="4" t="s">
        <v>488</v>
      </c>
      <c r="G2770" s="4" t="s">
        <v>3725</v>
      </c>
      <c r="H2770" s="12" t="n">
        <v>1</v>
      </c>
      <c r="I2770" s="4" t="s">
        <v>408</v>
      </c>
      <c r="J2770" s="4" t="s">
        <v>409</v>
      </c>
      <c r="K2770" s="13" t="n">
        <v>15</v>
      </c>
      <c r="L2770" s="6" t="n">
        <f aca="false">H2770*K2770</f>
        <v>15</v>
      </c>
      <c r="M2770" s="4" t="s">
        <v>371</v>
      </c>
    </row>
    <row r="2771" customFormat="false" ht="15" hidden="false" customHeight="false" outlineLevel="0" collapsed="false">
      <c r="A2771" s="4" t="s">
        <v>69</v>
      </c>
      <c r="B2771" s="5" t="s">
        <v>92</v>
      </c>
      <c r="C2771" s="5" t="s">
        <v>93</v>
      </c>
      <c r="D2771" s="4" t="s">
        <v>16</v>
      </c>
      <c r="E2771" s="4" t="s">
        <v>777</v>
      </c>
      <c r="F2771" s="4" t="s">
        <v>406</v>
      </c>
      <c r="G2771" s="4" t="s">
        <v>778</v>
      </c>
      <c r="H2771" s="12" t="n">
        <v>1</v>
      </c>
      <c r="I2771" s="4" t="s">
        <v>408</v>
      </c>
      <c r="J2771" s="4" t="s">
        <v>409</v>
      </c>
      <c r="K2771" s="13" t="n">
        <v>120</v>
      </c>
      <c r="L2771" s="6" t="n">
        <f aca="false">H2771*K2771</f>
        <v>120</v>
      </c>
      <c r="M2771" s="14" t="s">
        <v>410</v>
      </c>
    </row>
    <row r="2772" customFormat="false" ht="15" hidden="false" customHeight="false" outlineLevel="0" collapsed="false">
      <c r="A2772" s="4" t="s">
        <v>69</v>
      </c>
      <c r="B2772" s="5" t="s">
        <v>92</v>
      </c>
      <c r="C2772" s="5" t="s">
        <v>93</v>
      </c>
      <c r="D2772" s="4" t="s">
        <v>16</v>
      </c>
      <c r="E2772" s="4" t="s">
        <v>3541</v>
      </c>
      <c r="F2772" s="4" t="s">
        <v>406</v>
      </c>
      <c r="G2772" s="4" t="s">
        <v>3542</v>
      </c>
      <c r="H2772" s="12" t="n">
        <v>1</v>
      </c>
      <c r="I2772" s="4" t="s">
        <v>408</v>
      </c>
      <c r="J2772" s="4" t="s">
        <v>409</v>
      </c>
      <c r="K2772" s="13" t="n">
        <v>350</v>
      </c>
      <c r="L2772" s="6" t="n">
        <f aca="false">H2772*K2772</f>
        <v>350</v>
      </c>
      <c r="M2772" s="14" t="s">
        <v>410</v>
      </c>
    </row>
    <row r="2773" customFormat="false" ht="15" hidden="false" customHeight="false" outlineLevel="0" collapsed="false">
      <c r="A2773" s="4" t="s">
        <v>69</v>
      </c>
      <c r="B2773" s="5" t="s">
        <v>92</v>
      </c>
      <c r="C2773" s="5" t="s">
        <v>93</v>
      </c>
      <c r="D2773" s="4" t="s">
        <v>16</v>
      </c>
      <c r="E2773" s="4" t="s">
        <v>3543</v>
      </c>
      <c r="F2773" s="4" t="s">
        <v>470</v>
      </c>
      <c r="G2773" s="4" t="s">
        <v>3544</v>
      </c>
      <c r="H2773" s="12" t="n">
        <v>1</v>
      </c>
      <c r="I2773" s="4" t="s">
        <v>408</v>
      </c>
      <c r="J2773" s="4" t="s">
        <v>416</v>
      </c>
      <c r="K2773" s="13" t="n">
        <v>8500</v>
      </c>
      <c r="L2773" s="6" t="n">
        <f aca="false">H2773*K2773</f>
        <v>8500</v>
      </c>
      <c r="M2773" s="4" t="s">
        <v>371</v>
      </c>
    </row>
    <row r="2774" customFormat="false" ht="15" hidden="false" customHeight="false" outlineLevel="0" collapsed="false">
      <c r="A2774" s="4" t="s">
        <v>69</v>
      </c>
      <c r="B2774" s="5" t="s">
        <v>92</v>
      </c>
      <c r="C2774" s="5" t="s">
        <v>93</v>
      </c>
      <c r="D2774" s="4" t="s">
        <v>16</v>
      </c>
      <c r="E2774" s="4" t="s">
        <v>1616</v>
      </c>
      <c r="F2774" s="4" t="s">
        <v>470</v>
      </c>
      <c r="G2774" s="4" t="s">
        <v>1617</v>
      </c>
      <c r="H2774" s="12" t="n">
        <v>1</v>
      </c>
      <c r="I2774" s="4" t="s">
        <v>408</v>
      </c>
      <c r="J2774" s="4" t="s">
        <v>409</v>
      </c>
      <c r="K2774" s="13" t="n">
        <v>12000</v>
      </c>
      <c r="L2774" s="6" t="n">
        <f aca="false">H2774*K2774</f>
        <v>12000</v>
      </c>
      <c r="M2774" s="14" t="s">
        <v>410</v>
      </c>
    </row>
    <row r="2775" customFormat="false" ht="15" hidden="false" customHeight="false" outlineLevel="0" collapsed="false">
      <c r="A2775" s="4" t="s">
        <v>69</v>
      </c>
      <c r="B2775" s="5" t="s">
        <v>92</v>
      </c>
      <c r="C2775" s="5" t="s">
        <v>93</v>
      </c>
      <c r="D2775" s="4" t="s">
        <v>16</v>
      </c>
      <c r="E2775" s="4" t="s">
        <v>2390</v>
      </c>
      <c r="F2775" s="4" t="s">
        <v>470</v>
      </c>
      <c r="G2775" s="4" t="s">
        <v>2391</v>
      </c>
      <c r="H2775" s="12" t="n">
        <v>1</v>
      </c>
      <c r="I2775" s="4" t="s">
        <v>408</v>
      </c>
      <c r="J2775" s="4" t="s">
        <v>409</v>
      </c>
      <c r="K2775" s="13" t="n">
        <v>85000</v>
      </c>
      <c r="L2775" s="6" t="n">
        <f aca="false">H2775*K2775</f>
        <v>85000</v>
      </c>
      <c r="M2775" s="14" t="s">
        <v>410</v>
      </c>
    </row>
    <row r="2776" customFormat="false" ht="15" hidden="false" customHeight="false" outlineLevel="0" collapsed="false">
      <c r="A2776" s="4" t="s">
        <v>69</v>
      </c>
      <c r="B2776" s="5" t="s">
        <v>92</v>
      </c>
      <c r="C2776" s="5" t="s">
        <v>93</v>
      </c>
      <c r="D2776" s="4" t="s">
        <v>16</v>
      </c>
      <c r="E2776" s="4" t="s">
        <v>3762</v>
      </c>
      <c r="F2776" s="4" t="s">
        <v>470</v>
      </c>
      <c r="G2776" s="4" t="s">
        <v>3763</v>
      </c>
      <c r="H2776" s="12" t="n">
        <v>1</v>
      </c>
      <c r="I2776" s="4" t="s">
        <v>408</v>
      </c>
      <c r="J2776" s="4" t="s">
        <v>409</v>
      </c>
      <c r="K2776" s="13" t="n">
        <v>45000</v>
      </c>
      <c r="L2776" s="6" t="n">
        <f aca="false">H2776*K2776</f>
        <v>45000</v>
      </c>
      <c r="M2776" s="4" t="s">
        <v>371</v>
      </c>
    </row>
    <row r="2777" customFormat="false" ht="15" hidden="false" customHeight="false" outlineLevel="0" collapsed="false">
      <c r="A2777" s="4" t="s">
        <v>69</v>
      </c>
      <c r="B2777" s="5" t="s">
        <v>92</v>
      </c>
      <c r="C2777" s="5" t="s">
        <v>93</v>
      </c>
      <c r="D2777" s="4" t="s">
        <v>16</v>
      </c>
      <c r="E2777" s="4" t="s">
        <v>3764</v>
      </c>
      <c r="F2777" s="4" t="s">
        <v>470</v>
      </c>
      <c r="G2777" s="4" t="s">
        <v>3765</v>
      </c>
      <c r="H2777" s="12" t="n">
        <v>1</v>
      </c>
      <c r="I2777" s="4" t="s">
        <v>408</v>
      </c>
      <c r="J2777" s="4" t="s">
        <v>416</v>
      </c>
      <c r="K2777" s="13" t="n">
        <v>12000</v>
      </c>
      <c r="L2777" s="6" t="n">
        <f aca="false">H2777*K2777</f>
        <v>12000</v>
      </c>
      <c r="M2777" s="4" t="s">
        <v>371</v>
      </c>
    </row>
    <row r="2778" customFormat="false" ht="15" hidden="false" customHeight="false" outlineLevel="0" collapsed="false">
      <c r="A2778" s="4" t="s">
        <v>69</v>
      </c>
      <c r="B2778" s="5" t="s">
        <v>92</v>
      </c>
      <c r="C2778" s="5" t="s">
        <v>93</v>
      </c>
      <c r="D2778" s="4" t="s">
        <v>16</v>
      </c>
      <c r="E2778" s="4" t="s">
        <v>3766</v>
      </c>
      <c r="F2778" s="4" t="s">
        <v>470</v>
      </c>
      <c r="G2778" s="4" t="s">
        <v>3767</v>
      </c>
      <c r="H2778" s="12" t="n">
        <v>1</v>
      </c>
      <c r="I2778" s="4" t="s">
        <v>408</v>
      </c>
      <c r="J2778" s="4" t="s">
        <v>409</v>
      </c>
      <c r="K2778" s="13" t="n">
        <v>8500</v>
      </c>
      <c r="L2778" s="6" t="n">
        <f aca="false">H2778*K2778</f>
        <v>8500</v>
      </c>
      <c r="M2778" s="4" t="s">
        <v>371</v>
      </c>
    </row>
    <row r="2779" customFormat="false" ht="15" hidden="false" customHeight="false" outlineLevel="0" collapsed="false">
      <c r="A2779" s="4" t="s">
        <v>69</v>
      </c>
      <c r="B2779" s="5" t="s">
        <v>92</v>
      </c>
      <c r="C2779" s="5" t="s">
        <v>93</v>
      </c>
      <c r="D2779" s="4" t="s">
        <v>16</v>
      </c>
      <c r="E2779" s="4" t="s">
        <v>3768</v>
      </c>
      <c r="F2779" s="4" t="s">
        <v>470</v>
      </c>
      <c r="G2779" s="4" t="s">
        <v>3769</v>
      </c>
      <c r="H2779" s="12" t="n">
        <v>1</v>
      </c>
      <c r="I2779" s="4" t="s">
        <v>408</v>
      </c>
      <c r="J2779" s="4" t="s">
        <v>409</v>
      </c>
      <c r="K2779" s="13" t="n">
        <v>1800</v>
      </c>
      <c r="L2779" s="6" t="n">
        <f aca="false">H2779*K2779</f>
        <v>1800</v>
      </c>
      <c r="M2779" s="4" t="s">
        <v>371</v>
      </c>
    </row>
    <row r="2780" customFormat="false" ht="15" hidden="false" customHeight="false" outlineLevel="0" collapsed="false">
      <c r="A2780" s="4" t="s">
        <v>69</v>
      </c>
      <c r="B2780" s="5" t="s">
        <v>92</v>
      </c>
      <c r="C2780" s="5" t="s">
        <v>93</v>
      </c>
      <c r="D2780" s="4" t="s">
        <v>16</v>
      </c>
      <c r="E2780" s="4" t="s">
        <v>3770</v>
      </c>
      <c r="F2780" s="4" t="s">
        <v>470</v>
      </c>
      <c r="G2780" s="4" t="s">
        <v>3771</v>
      </c>
      <c r="H2780" s="12" t="n">
        <v>1</v>
      </c>
      <c r="I2780" s="4" t="s">
        <v>408</v>
      </c>
      <c r="J2780" s="4" t="s">
        <v>409</v>
      </c>
      <c r="K2780" s="13" t="n">
        <v>8500</v>
      </c>
      <c r="L2780" s="6" t="n">
        <f aca="false">H2780*K2780</f>
        <v>8500</v>
      </c>
      <c r="M2780" s="4" t="s">
        <v>371</v>
      </c>
    </row>
    <row r="2781" customFormat="false" ht="15" hidden="false" customHeight="false" outlineLevel="0" collapsed="false">
      <c r="A2781" s="4" t="s">
        <v>69</v>
      </c>
      <c r="B2781" s="5" t="s">
        <v>92</v>
      </c>
      <c r="C2781" s="5" t="s">
        <v>93</v>
      </c>
      <c r="D2781" s="4" t="s">
        <v>16</v>
      </c>
      <c r="E2781" s="4" t="s">
        <v>3772</v>
      </c>
      <c r="F2781" s="4" t="s">
        <v>470</v>
      </c>
      <c r="G2781" s="4" t="s">
        <v>3773</v>
      </c>
      <c r="H2781" s="12" t="n">
        <v>1</v>
      </c>
      <c r="I2781" s="4" t="s">
        <v>408</v>
      </c>
      <c r="J2781" s="4" t="s">
        <v>409</v>
      </c>
      <c r="K2781" s="13" t="n">
        <v>1800</v>
      </c>
      <c r="L2781" s="6" t="n">
        <f aca="false">H2781*K2781</f>
        <v>1800</v>
      </c>
      <c r="M2781" s="4" t="s">
        <v>371</v>
      </c>
    </row>
    <row r="2782" customFormat="false" ht="15" hidden="false" customHeight="false" outlineLevel="0" collapsed="false">
      <c r="A2782" s="4" t="s">
        <v>69</v>
      </c>
      <c r="B2782" s="5" t="s">
        <v>92</v>
      </c>
      <c r="C2782" s="5" t="s">
        <v>93</v>
      </c>
      <c r="D2782" s="4" t="s">
        <v>16</v>
      </c>
      <c r="E2782" s="4" t="s">
        <v>3774</v>
      </c>
      <c r="F2782" s="4" t="s">
        <v>470</v>
      </c>
      <c r="G2782" s="4" t="s">
        <v>2278</v>
      </c>
      <c r="H2782" s="12" t="n">
        <v>1</v>
      </c>
      <c r="I2782" s="4" t="s">
        <v>408</v>
      </c>
      <c r="J2782" s="4" t="s">
        <v>413</v>
      </c>
      <c r="K2782" s="13" t="n">
        <v>450</v>
      </c>
      <c r="L2782" s="6" t="n">
        <f aca="false">H2782*K2782</f>
        <v>450</v>
      </c>
      <c r="M2782" s="4" t="s">
        <v>371</v>
      </c>
    </row>
    <row r="2783" customFormat="false" ht="15" hidden="false" customHeight="false" outlineLevel="0" collapsed="false">
      <c r="A2783" s="4" t="s">
        <v>69</v>
      </c>
      <c r="B2783" s="5" t="s">
        <v>92</v>
      </c>
      <c r="C2783" s="5" t="s">
        <v>93</v>
      </c>
      <c r="D2783" s="4" t="s">
        <v>16</v>
      </c>
      <c r="E2783" s="4" t="s">
        <v>3775</v>
      </c>
      <c r="F2783" s="4" t="s">
        <v>470</v>
      </c>
      <c r="G2783" s="4" t="s">
        <v>3776</v>
      </c>
      <c r="H2783" s="12" t="n">
        <v>1</v>
      </c>
      <c r="I2783" s="4" t="s">
        <v>408</v>
      </c>
      <c r="J2783" s="4" t="s">
        <v>416</v>
      </c>
      <c r="K2783" s="13" t="n">
        <v>8500</v>
      </c>
      <c r="L2783" s="6" t="n">
        <f aca="false">H2783*K2783</f>
        <v>8500</v>
      </c>
      <c r="M2783" s="4" t="s">
        <v>371</v>
      </c>
    </row>
    <row r="2784" customFormat="false" ht="15" hidden="false" customHeight="false" outlineLevel="0" collapsed="false">
      <c r="A2784" s="4" t="s">
        <v>69</v>
      </c>
      <c r="B2784" s="5" t="s">
        <v>92</v>
      </c>
      <c r="C2784" s="5" t="s">
        <v>93</v>
      </c>
      <c r="D2784" s="4" t="s">
        <v>16</v>
      </c>
      <c r="E2784" s="4" t="s">
        <v>3777</v>
      </c>
      <c r="F2784" s="4" t="s">
        <v>470</v>
      </c>
      <c r="G2784" s="4" t="s">
        <v>3778</v>
      </c>
      <c r="H2784" s="12" t="n">
        <v>1</v>
      </c>
      <c r="I2784" s="4" t="s">
        <v>408</v>
      </c>
      <c r="J2784" s="4" t="s">
        <v>409</v>
      </c>
      <c r="K2784" s="13" t="n">
        <v>4500</v>
      </c>
      <c r="L2784" s="6" t="n">
        <f aca="false">H2784*K2784</f>
        <v>4500</v>
      </c>
      <c r="M2784" s="4" t="s">
        <v>371</v>
      </c>
    </row>
    <row r="2785" customFormat="false" ht="15" hidden="false" customHeight="false" outlineLevel="0" collapsed="false">
      <c r="A2785" s="4" t="s">
        <v>69</v>
      </c>
      <c r="B2785" s="5" t="s">
        <v>92</v>
      </c>
      <c r="C2785" s="5" t="s">
        <v>93</v>
      </c>
      <c r="D2785" s="4" t="s">
        <v>16</v>
      </c>
      <c r="E2785" s="4" t="s">
        <v>3779</v>
      </c>
      <c r="F2785" s="4" t="s">
        <v>470</v>
      </c>
      <c r="G2785" s="4" t="s">
        <v>3446</v>
      </c>
      <c r="H2785" s="12" t="n">
        <v>1</v>
      </c>
      <c r="I2785" s="4" t="s">
        <v>408</v>
      </c>
      <c r="J2785" s="4" t="s">
        <v>409</v>
      </c>
      <c r="K2785" s="13" t="n">
        <v>4500</v>
      </c>
      <c r="L2785" s="6" t="n">
        <f aca="false">H2785*K2785</f>
        <v>4500</v>
      </c>
      <c r="M2785" s="4" t="s">
        <v>371</v>
      </c>
    </row>
    <row r="2786" customFormat="false" ht="15" hidden="false" customHeight="false" outlineLevel="0" collapsed="false">
      <c r="A2786" s="4" t="s">
        <v>69</v>
      </c>
      <c r="B2786" s="5" t="s">
        <v>92</v>
      </c>
      <c r="C2786" s="5" t="s">
        <v>93</v>
      </c>
      <c r="D2786" s="4" t="s">
        <v>16</v>
      </c>
      <c r="E2786" s="4" t="s">
        <v>3780</v>
      </c>
      <c r="F2786" s="4" t="s">
        <v>470</v>
      </c>
      <c r="G2786" s="4" t="s">
        <v>3781</v>
      </c>
      <c r="H2786" s="12" t="n">
        <v>1</v>
      </c>
      <c r="I2786" s="4" t="s">
        <v>408</v>
      </c>
      <c r="J2786" s="4" t="s">
        <v>409</v>
      </c>
      <c r="K2786" s="13" t="n">
        <v>850</v>
      </c>
      <c r="L2786" s="6" t="n">
        <f aca="false">H2786*K2786</f>
        <v>850</v>
      </c>
      <c r="M2786" s="4" t="s">
        <v>371</v>
      </c>
    </row>
    <row r="2787" customFormat="false" ht="15" hidden="false" customHeight="false" outlineLevel="0" collapsed="false">
      <c r="A2787" s="4" t="s">
        <v>69</v>
      </c>
      <c r="B2787" s="5" t="s">
        <v>92</v>
      </c>
      <c r="C2787" s="5" t="s">
        <v>93</v>
      </c>
      <c r="D2787" s="4" t="s">
        <v>16</v>
      </c>
      <c r="E2787" s="4" t="s">
        <v>3782</v>
      </c>
      <c r="F2787" s="4" t="s">
        <v>470</v>
      </c>
      <c r="G2787" s="4" t="s">
        <v>3783</v>
      </c>
      <c r="H2787" s="12" t="n">
        <v>1</v>
      </c>
      <c r="I2787" s="4" t="s">
        <v>408</v>
      </c>
      <c r="J2787" s="4" t="s">
        <v>409</v>
      </c>
      <c r="K2787" s="13" t="n">
        <v>250</v>
      </c>
      <c r="L2787" s="6" t="n">
        <f aca="false">H2787*K2787</f>
        <v>250</v>
      </c>
      <c r="M2787" s="4" t="s">
        <v>371</v>
      </c>
    </row>
    <row r="2788" customFormat="false" ht="15" hidden="false" customHeight="false" outlineLevel="0" collapsed="false">
      <c r="A2788" s="4" t="s">
        <v>69</v>
      </c>
      <c r="B2788" s="5" t="s">
        <v>92</v>
      </c>
      <c r="C2788" s="5" t="s">
        <v>93</v>
      </c>
      <c r="D2788" s="4" t="s">
        <v>16</v>
      </c>
      <c r="E2788" s="4" t="s">
        <v>3784</v>
      </c>
      <c r="F2788" s="4" t="s">
        <v>470</v>
      </c>
      <c r="G2788" s="4" t="s">
        <v>3785</v>
      </c>
      <c r="H2788" s="12" t="n">
        <v>1</v>
      </c>
      <c r="I2788" s="4" t="s">
        <v>408</v>
      </c>
      <c r="J2788" s="4" t="s">
        <v>409</v>
      </c>
      <c r="K2788" s="13" t="n">
        <v>1200</v>
      </c>
      <c r="L2788" s="6" t="n">
        <f aca="false">H2788*K2788</f>
        <v>1200</v>
      </c>
      <c r="M2788" s="4" t="s">
        <v>371</v>
      </c>
    </row>
    <row r="2789" customFormat="false" ht="15" hidden="false" customHeight="false" outlineLevel="0" collapsed="false">
      <c r="A2789" s="4" t="s">
        <v>69</v>
      </c>
      <c r="B2789" s="5" t="s">
        <v>92</v>
      </c>
      <c r="C2789" s="5" t="s">
        <v>93</v>
      </c>
      <c r="D2789" s="4" t="s">
        <v>16</v>
      </c>
      <c r="E2789" s="4" t="s">
        <v>3786</v>
      </c>
      <c r="F2789" s="4" t="s">
        <v>470</v>
      </c>
      <c r="G2789" s="4" t="s">
        <v>3787</v>
      </c>
      <c r="H2789" s="12" t="n">
        <v>1</v>
      </c>
      <c r="I2789" s="4" t="s">
        <v>408</v>
      </c>
      <c r="J2789" s="4" t="s">
        <v>416</v>
      </c>
      <c r="K2789" s="13" t="n">
        <v>450</v>
      </c>
      <c r="L2789" s="6" t="n">
        <f aca="false">H2789*K2789</f>
        <v>450</v>
      </c>
      <c r="M2789" s="4" t="s">
        <v>371</v>
      </c>
    </row>
    <row r="2790" customFormat="false" ht="15" hidden="false" customHeight="false" outlineLevel="0" collapsed="false">
      <c r="A2790" s="4" t="s">
        <v>69</v>
      </c>
      <c r="B2790" s="5" t="s">
        <v>92</v>
      </c>
      <c r="C2790" s="5" t="s">
        <v>93</v>
      </c>
      <c r="D2790" s="4" t="s">
        <v>16</v>
      </c>
      <c r="E2790" s="4" t="s">
        <v>3788</v>
      </c>
      <c r="F2790" s="4" t="s">
        <v>470</v>
      </c>
      <c r="G2790" s="4" t="s">
        <v>3789</v>
      </c>
      <c r="H2790" s="12" t="n">
        <v>1</v>
      </c>
      <c r="I2790" s="4" t="s">
        <v>408</v>
      </c>
      <c r="J2790" s="4" t="s">
        <v>416</v>
      </c>
      <c r="K2790" s="13" t="n">
        <v>450</v>
      </c>
      <c r="L2790" s="6" t="n">
        <f aca="false">H2790*K2790</f>
        <v>450</v>
      </c>
      <c r="M2790" s="4" t="s">
        <v>371</v>
      </c>
    </row>
    <row r="2791" customFormat="false" ht="15" hidden="false" customHeight="false" outlineLevel="0" collapsed="false">
      <c r="A2791" s="4" t="s">
        <v>69</v>
      </c>
      <c r="B2791" s="5" t="s">
        <v>92</v>
      </c>
      <c r="C2791" s="5" t="s">
        <v>93</v>
      </c>
      <c r="D2791" s="4" t="s">
        <v>16</v>
      </c>
      <c r="E2791" s="4" t="s">
        <v>3790</v>
      </c>
      <c r="F2791" s="4" t="s">
        <v>470</v>
      </c>
      <c r="G2791" s="4" t="s">
        <v>3791</v>
      </c>
      <c r="H2791" s="12" t="n">
        <v>1</v>
      </c>
      <c r="I2791" s="4" t="s">
        <v>408</v>
      </c>
      <c r="J2791" s="4" t="s">
        <v>3792</v>
      </c>
      <c r="K2791" s="13" t="n">
        <v>250</v>
      </c>
      <c r="L2791" s="6" t="n">
        <f aca="false">H2791*K2791</f>
        <v>250</v>
      </c>
      <c r="M2791" s="4" t="s">
        <v>371</v>
      </c>
    </row>
    <row r="2792" customFormat="false" ht="15" hidden="false" customHeight="false" outlineLevel="0" collapsed="false">
      <c r="A2792" s="4" t="s">
        <v>69</v>
      </c>
      <c r="B2792" s="5" t="s">
        <v>92</v>
      </c>
      <c r="C2792" s="5" t="s">
        <v>93</v>
      </c>
      <c r="D2792" s="4" t="s">
        <v>16</v>
      </c>
      <c r="E2792" s="4" t="s">
        <v>3658</v>
      </c>
      <c r="F2792" s="4" t="s">
        <v>488</v>
      </c>
      <c r="G2792" s="4" t="s">
        <v>3659</v>
      </c>
      <c r="H2792" s="12" t="n">
        <v>1</v>
      </c>
      <c r="I2792" s="4" t="s">
        <v>408</v>
      </c>
      <c r="J2792" s="4" t="s">
        <v>506</v>
      </c>
      <c r="K2792" s="13" t="n">
        <v>120</v>
      </c>
      <c r="L2792" s="6" t="n">
        <f aca="false">H2792*K2792</f>
        <v>120</v>
      </c>
      <c r="M2792" s="4" t="s">
        <v>371</v>
      </c>
    </row>
    <row r="2793" customFormat="false" ht="15" hidden="false" customHeight="false" outlineLevel="0" collapsed="false">
      <c r="A2793" s="4" t="s">
        <v>69</v>
      </c>
      <c r="B2793" s="5" t="s">
        <v>92</v>
      </c>
      <c r="C2793" s="5" t="s">
        <v>93</v>
      </c>
      <c r="D2793" s="4" t="s">
        <v>16</v>
      </c>
      <c r="E2793" s="4" t="s">
        <v>3660</v>
      </c>
      <c r="F2793" s="4" t="s">
        <v>488</v>
      </c>
      <c r="G2793" s="4" t="s">
        <v>3661</v>
      </c>
      <c r="H2793" s="12" t="n">
        <v>1</v>
      </c>
      <c r="I2793" s="4" t="s">
        <v>408</v>
      </c>
      <c r="J2793" s="4" t="s">
        <v>416</v>
      </c>
      <c r="K2793" s="13" t="n">
        <v>120</v>
      </c>
      <c r="L2793" s="6" t="n">
        <f aca="false">H2793*K2793</f>
        <v>120</v>
      </c>
      <c r="M2793" s="4" t="s">
        <v>371</v>
      </c>
    </row>
    <row r="2794" customFormat="false" ht="15" hidden="false" customHeight="false" outlineLevel="0" collapsed="false">
      <c r="A2794" s="4" t="s">
        <v>69</v>
      </c>
      <c r="B2794" s="5" t="s">
        <v>92</v>
      </c>
      <c r="C2794" s="5" t="s">
        <v>93</v>
      </c>
      <c r="D2794" s="4" t="s">
        <v>16</v>
      </c>
      <c r="E2794" s="4" t="s">
        <v>3793</v>
      </c>
      <c r="F2794" s="4" t="s">
        <v>488</v>
      </c>
      <c r="G2794" s="4" t="s">
        <v>3794</v>
      </c>
      <c r="H2794" s="12" t="n">
        <v>1</v>
      </c>
      <c r="I2794" s="4" t="s">
        <v>408</v>
      </c>
      <c r="J2794" s="4" t="s">
        <v>416</v>
      </c>
      <c r="K2794" s="13" t="n">
        <v>350</v>
      </c>
      <c r="L2794" s="6" t="n">
        <f aca="false">H2794*K2794</f>
        <v>350</v>
      </c>
      <c r="M2794" s="4" t="s">
        <v>371</v>
      </c>
    </row>
    <row r="2795" customFormat="false" ht="15" hidden="false" customHeight="false" outlineLevel="0" collapsed="false">
      <c r="A2795" s="4" t="s">
        <v>69</v>
      </c>
      <c r="B2795" s="5" t="s">
        <v>92</v>
      </c>
      <c r="C2795" s="5" t="s">
        <v>93</v>
      </c>
      <c r="D2795" s="4" t="s">
        <v>16</v>
      </c>
      <c r="E2795" s="4" t="s">
        <v>3795</v>
      </c>
      <c r="F2795" s="4" t="s">
        <v>488</v>
      </c>
      <c r="G2795" s="4" t="s">
        <v>3796</v>
      </c>
      <c r="H2795" s="12" t="n">
        <v>1</v>
      </c>
      <c r="I2795" s="4" t="s">
        <v>408</v>
      </c>
      <c r="J2795" s="4" t="s">
        <v>432</v>
      </c>
      <c r="K2795" s="13" t="n">
        <v>180</v>
      </c>
      <c r="L2795" s="6" t="n">
        <f aca="false">H2795*K2795</f>
        <v>180</v>
      </c>
      <c r="M2795" s="4" t="s">
        <v>371</v>
      </c>
    </row>
    <row r="2796" customFormat="false" ht="15" hidden="false" customHeight="false" outlineLevel="0" collapsed="false">
      <c r="A2796" s="4" t="s">
        <v>69</v>
      </c>
      <c r="B2796" s="5" t="s">
        <v>92</v>
      </c>
      <c r="C2796" s="5" t="s">
        <v>93</v>
      </c>
      <c r="D2796" s="4" t="s">
        <v>16</v>
      </c>
      <c r="E2796" s="4" t="s">
        <v>3797</v>
      </c>
      <c r="F2796" s="4" t="s">
        <v>488</v>
      </c>
      <c r="G2796" s="4" t="s">
        <v>3798</v>
      </c>
      <c r="H2796" s="12" t="n">
        <v>1</v>
      </c>
      <c r="I2796" s="4" t="s">
        <v>408</v>
      </c>
      <c r="J2796" s="4" t="s">
        <v>506</v>
      </c>
      <c r="K2796" s="13" t="n">
        <v>100</v>
      </c>
      <c r="L2796" s="6" t="n">
        <f aca="false">H2796*K2796</f>
        <v>100</v>
      </c>
      <c r="M2796" s="4" t="s">
        <v>371</v>
      </c>
    </row>
    <row r="2797" customFormat="false" ht="15" hidden="false" customHeight="false" outlineLevel="0" collapsed="false">
      <c r="A2797" s="4" t="s">
        <v>69</v>
      </c>
      <c r="B2797" s="5" t="s">
        <v>92</v>
      </c>
      <c r="C2797" s="5" t="s">
        <v>93</v>
      </c>
      <c r="D2797" s="4" t="s">
        <v>16</v>
      </c>
      <c r="E2797" s="4" t="s">
        <v>3799</v>
      </c>
      <c r="F2797" s="4" t="s">
        <v>488</v>
      </c>
      <c r="G2797" s="4" t="s">
        <v>3800</v>
      </c>
      <c r="H2797" s="12" t="n">
        <v>1</v>
      </c>
      <c r="I2797" s="4" t="s">
        <v>408</v>
      </c>
      <c r="J2797" s="4" t="s">
        <v>506</v>
      </c>
      <c r="K2797" s="13" t="n">
        <v>150</v>
      </c>
      <c r="L2797" s="6" t="n">
        <f aca="false">H2797*K2797</f>
        <v>150</v>
      </c>
      <c r="M2797" s="4" t="s">
        <v>371</v>
      </c>
    </row>
    <row r="2798" customFormat="false" ht="15" hidden="false" customHeight="false" outlineLevel="0" collapsed="false">
      <c r="A2798" s="4" t="s">
        <v>69</v>
      </c>
      <c r="B2798" s="5" t="s">
        <v>92</v>
      </c>
      <c r="C2798" s="5" t="s">
        <v>93</v>
      </c>
      <c r="D2798" s="4" t="s">
        <v>16</v>
      </c>
      <c r="E2798" s="4" t="s">
        <v>3801</v>
      </c>
      <c r="F2798" s="4" t="s">
        <v>488</v>
      </c>
      <c r="G2798" s="4" t="s">
        <v>3802</v>
      </c>
      <c r="H2798" s="12" t="n">
        <v>1</v>
      </c>
      <c r="I2798" s="4" t="s">
        <v>408</v>
      </c>
      <c r="J2798" s="4" t="s">
        <v>506</v>
      </c>
      <c r="K2798" s="13" t="n">
        <v>150</v>
      </c>
      <c r="L2798" s="6" t="n">
        <f aca="false">H2798*K2798</f>
        <v>150</v>
      </c>
      <c r="M2798" s="4" t="s">
        <v>371</v>
      </c>
    </row>
    <row r="2799" customFormat="false" ht="15" hidden="false" customHeight="false" outlineLevel="0" collapsed="false">
      <c r="A2799" s="4" t="s">
        <v>69</v>
      </c>
      <c r="B2799" s="5" t="s">
        <v>92</v>
      </c>
      <c r="C2799" s="5" t="s">
        <v>93</v>
      </c>
      <c r="D2799" s="4" t="s">
        <v>16</v>
      </c>
      <c r="E2799" s="4" t="s">
        <v>792</v>
      </c>
      <c r="F2799" s="4" t="s">
        <v>488</v>
      </c>
      <c r="G2799" s="4" t="s">
        <v>793</v>
      </c>
      <c r="H2799" s="12" t="n">
        <v>1</v>
      </c>
      <c r="I2799" s="4" t="s">
        <v>408</v>
      </c>
      <c r="J2799" s="4" t="s">
        <v>429</v>
      </c>
      <c r="K2799" s="13" t="n">
        <v>150</v>
      </c>
      <c r="L2799" s="6" t="n">
        <f aca="false">H2799*K2799</f>
        <v>150</v>
      </c>
      <c r="M2799" s="4" t="s">
        <v>371</v>
      </c>
    </row>
    <row r="2800" customFormat="false" ht="15" hidden="false" customHeight="false" outlineLevel="0" collapsed="false">
      <c r="A2800" s="4" t="s">
        <v>69</v>
      </c>
      <c r="B2800" s="5" t="s">
        <v>92</v>
      </c>
      <c r="C2800" s="5" t="s">
        <v>93</v>
      </c>
      <c r="D2800" s="4" t="s">
        <v>16</v>
      </c>
      <c r="E2800" s="4" t="s">
        <v>3803</v>
      </c>
      <c r="F2800" s="4" t="s">
        <v>488</v>
      </c>
      <c r="G2800" s="4" t="s">
        <v>3804</v>
      </c>
      <c r="H2800" s="12" t="n">
        <v>1</v>
      </c>
      <c r="I2800" s="4" t="s">
        <v>408</v>
      </c>
      <c r="J2800" s="4" t="s">
        <v>416</v>
      </c>
      <c r="K2800" s="13" t="n">
        <v>350</v>
      </c>
      <c r="L2800" s="6" t="n">
        <f aca="false">H2800*K2800</f>
        <v>350</v>
      </c>
      <c r="M2800" s="4" t="s">
        <v>371</v>
      </c>
    </row>
    <row r="2801" customFormat="false" ht="15" hidden="false" customHeight="false" outlineLevel="0" collapsed="false">
      <c r="A2801" s="4" t="s">
        <v>69</v>
      </c>
      <c r="B2801" s="5" t="s">
        <v>92</v>
      </c>
      <c r="C2801" s="5" t="s">
        <v>93</v>
      </c>
      <c r="D2801" s="4" t="s">
        <v>16</v>
      </c>
      <c r="E2801" s="4" t="s">
        <v>3805</v>
      </c>
      <c r="F2801" s="4" t="s">
        <v>488</v>
      </c>
      <c r="G2801" s="4" t="s">
        <v>3806</v>
      </c>
      <c r="H2801" s="12" t="n">
        <v>1</v>
      </c>
      <c r="I2801" s="4" t="s">
        <v>408</v>
      </c>
      <c r="J2801" s="4" t="s">
        <v>429</v>
      </c>
      <c r="K2801" s="13" t="n">
        <v>180</v>
      </c>
      <c r="L2801" s="6" t="n">
        <f aca="false">H2801*K2801</f>
        <v>180</v>
      </c>
      <c r="M2801" s="4" t="s">
        <v>371</v>
      </c>
    </row>
    <row r="2802" customFormat="false" ht="15" hidden="false" customHeight="false" outlineLevel="0" collapsed="false">
      <c r="A2802" s="4" t="s">
        <v>69</v>
      </c>
      <c r="B2802" s="5" t="s">
        <v>92</v>
      </c>
      <c r="C2802" s="5" t="s">
        <v>93</v>
      </c>
      <c r="D2802" s="4" t="s">
        <v>16</v>
      </c>
      <c r="E2802" s="4" t="s">
        <v>3807</v>
      </c>
      <c r="F2802" s="4" t="s">
        <v>470</v>
      </c>
      <c r="G2802" s="4" t="s">
        <v>3808</v>
      </c>
      <c r="H2802" s="12" t="n">
        <v>1</v>
      </c>
      <c r="I2802" s="4" t="s">
        <v>408</v>
      </c>
      <c r="J2802" s="4" t="s">
        <v>416</v>
      </c>
      <c r="K2802" s="13" t="n">
        <v>850</v>
      </c>
      <c r="L2802" s="6" t="n">
        <f aca="false">H2802*K2802</f>
        <v>850</v>
      </c>
      <c r="M2802" s="4" t="s">
        <v>371</v>
      </c>
    </row>
    <row r="2803" customFormat="false" ht="15" hidden="false" customHeight="false" outlineLevel="0" collapsed="false">
      <c r="A2803" s="4" t="s">
        <v>69</v>
      </c>
      <c r="B2803" s="5" t="s">
        <v>92</v>
      </c>
      <c r="C2803" s="5" t="s">
        <v>93</v>
      </c>
      <c r="D2803" s="4" t="s">
        <v>16</v>
      </c>
      <c r="E2803" s="4" t="s">
        <v>1443</v>
      </c>
      <c r="F2803" s="4" t="s">
        <v>470</v>
      </c>
      <c r="G2803" s="4" t="s">
        <v>1444</v>
      </c>
      <c r="H2803" s="12" t="n">
        <v>1</v>
      </c>
      <c r="I2803" s="4" t="s">
        <v>408</v>
      </c>
      <c r="J2803" s="4" t="s">
        <v>409</v>
      </c>
      <c r="K2803" s="13" t="n">
        <v>450</v>
      </c>
      <c r="L2803" s="6" t="n">
        <f aca="false">H2803*K2803</f>
        <v>450</v>
      </c>
      <c r="M2803" s="4" t="s">
        <v>371</v>
      </c>
    </row>
    <row r="2804" customFormat="false" ht="23.85" hidden="false" customHeight="false" outlineLevel="0" collapsed="false">
      <c r="A2804" s="4" t="s">
        <v>94</v>
      </c>
      <c r="B2804" s="5" t="s">
        <v>95</v>
      </c>
      <c r="C2804" s="5" t="s">
        <v>96</v>
      </c>
      <c r="D2804" s="4" t="s">
        <v>16</v>
      </c>
      <c r="E2804" s="4" t="s">
        <v>1204</v>
      </c>
      <c r="F2804" s="4" t="s">
        <v>406</v>
      </c>
      <c r="G2804" s="4" t="s">
        <v>1205</v>
      </c>
      <c r="H2804" s="12" t="n">
        <v>1</v>
      </c>
      <c r="I2804" s="4" t="s">
        <v>408</v>
      </c>
      <c r="J2804" s="4" t="s">
        <v>416</v>
      </c>
      <c r="K2804" s="13" t="n">
        <v>85000</v>
      </c>
      <c r="L2804" s="6" t="n">
        <f aca="false">H2804*K2804</f>
        <v>85000</v>
      </c>
      <c r="M2804" s="4" t="s">
        <v>371</v>
      </c>
    </row>
    <row r="2805" customFormat="false" ht="23.85" hidden="false" customHeight="false" outlineLevel="0" collapsed="false">
      <c r="A2805" s="4" t="s">
        <v>94</v>
      </c>
      <c r="B2805" s="5" t="s">
        <v>95</v>
      </c>
      <c r="C2805" s="5" t="s">
        <v>96</v>
      </c>
      <c r="D2805" s="4" t="s">
        <v>16</v>
      </c>
      <c r="E2805" s="4" t="s">
        <v>998</v>
      </c>
      <c r="F2805" s="4" t="s">
        <v>406</v>
      </c>
      <c r="G2805" s="4" t="s">
        <v>999</v>
      </c>
      <c r="H2805" s="12" t="n">
        <v>1</v>
      </c>
      <c r="I2805" s="4" t="s">
        <v>408</v>
      </c>
      <c r="J2805" s="4" t="s">
        <v>416</v>
      </c>
      <c r="K2805" s="13" t="n">
        <v>8500</v>
      </c>
      <c r="L2805" s="6" t="n">
        <f aca="false">H2805*K2805</f>
        <v>8500</v>
      </c>
      <c r="M2805" s="4" t="s">
        <v>371</v>
      </c>
    </row>
    <row r="2806" customFormat="false" ht="23.85" hidden="false" customHeight="false" outlineLevel="0" collapsed="false">
      <c r="A2806" s="4" t="s">
        <v>94</v>
      </c>
      <c r="B2806" s="5" t="s">
        <v>95</v>
      </c>
      <c r="C2806" s="5" t="s">
        <v>96</v>
      </c>
      <c r="D2806" s="4" t="s">
        <v>16</v>
      </c>
      <c r="E2806" s="4" t="s">
        <v>3809</v>
      </c>
      <c r="F2806" s="4" t="s">
        <v>406</v>
      </c>
      <c r="G2806" s="4" t="s">
        <v>3810</v>
      </c>
      <c r="H2806" s="12" t="n">
        <v>1</v>
      </c>
      <c r="I2806" s="4" t="s">
        <v>474</v>
      </c>
      <c r="J2806" s="4" t="s">
        <v>416</v>
      </c>
      <c r="K2806" s="13" t="n">
        <v>45000</v>
      </c>
      <c r="L2806" s="6" t="n">
        <f aca="false">H2806*K2806</f>
        <v>45000</v>
      </c>
      <c r="M2806" s="14" t="s">
        <v>410</v>
      </c>
    </row>
    <row r="2807" customFormat="false" ht="23.85" hidden="false" customHeight="false" outlineLevel="0" collapsed="false">
      <c r="A2807" s="4" t="s">
        <v>94</v>
      </c>
      <c r="B2807" s="5" t="s">
        <v>95</v>
      </c>
      <c r="C2807" s="5" t="s">
        <v>96</v>
      </c>
      <c r="D2807" s="4" t="s">
        <v>16</v>
      </c>
      <c r="E2807" s="4" t="s">
        <v>3811</v>
      </c>
      <c r="F2807" s="4" t="s">
        <v>406</v>
      </c>
      <c r="G2807" s="4" t="s">
        <v>3812</v>
      </c>
      <c r="H2807" s="12" t="n">
        <v>1</v>
      </c>
      <c r="I2807" s="4" t="s">
        <v>474</v>
      </c>
      <c r="J2807" s="4" t="s">
        <v>413</v>
      </c>
      <c r="K2807" s="13" t="n">
        <v>45000</v>
      </c>
      <c r="L2807" s="6" t="n">
        <f aca="false">H2807*K2807</f>
        <v>45000</v>
      </c>
      <c r="M2807" s="14" t="s">
        <v>410</v>
      </c>
    </row>
    <row r="2808" customFormat="false" ht="23.85" hidden="false" customHeight="false" outlineLevel="0" collapsed="false">
      <c r="A2808" s="4" t="s">
        <v>94</v>
      </c>
      <c r="B2808" s="5" t="s">
        <v>95</v>
      </c>
      <c r="C2808" s="5" t="s">
        <v>96</v>
      </c>
      <c r="D2808" s="4" t="s">
        <v>16</v>
      </c>
      <c r="E2808" s="4" t="s">
        <v>3813</v>
      </c>
      <c r="F2808" s="4" t="s">
        <v>406</v>
      </c>
      <c r="G2808" s="4" t="s">
        <v>3814</v>
      </c>
      <c r="H2808" s="12" t="n">
        <v>1</v>
      </c>
      <c r="I2808" s="4" t="s">
        <v>474</v>
      </c>
      <c r="J2808" s="4" t="s">
        <v>543</v>
      </c>
      <c r="K2808" s="13" t="n">
        <v>450000</v>
      </c>
      <c r="L2808" s="6" t="n">
        <f aca="false">H2808*K2808</f>
        <v>450000</v>
      </c>
      <c r="M2808" s="4" t="s">
        <v>371</v>
      </c>
    </row>
    <row r="2809" customFormat="false" ht="23.85" hidden="false" customHeight="false" outlineLevel="0" collapsed="false">
      <c r="A2809" s="4" t="s">
        <v>94</v>
      </c>
      <c r="B2809" s="5" t="s">
        <v>95</v>
      </c>
      <c r="C2809" s="5" t="s">
        <v>96</v>
      </c>
      <c r="D2809" s="4" t="s">
        <v>16</v>
      </c>
      <c r="E2809" s="4" t="s">
        <v>3815</v>
      </c>
      <c r="F2809" s="4" t="s">
        <v>406</v>
      </c>
      <c r="G2809" s="4" t="s">
        <v>3816</v>
      </c>
      <c r="H2809" s="12" t="n">
        <v>1</v>
      </c>
      <c r="I2809" s="4" t="s">
        <v>474</v>
      </c>
      <c r="J2809" s="4" t="s">
        <v>416</v>
      </c>
      <c r="K2809" s="13" t="n">
        <v>45000</v>
      </c>
      <c r="L2809" s="6" t="n">
        <f aca="false">H2809*K2809</f>
        <v>45000</v>
      </c>
      <c r="M2809" s="14" t="s">
        <v>410</v>
      </c>
    </row>
    <row r="2810" customFormat="false" ht="23.85" hidden="false" customHeight="false" outlineLevel="0" collapsed="false">
      <c r="A2810" s="4" t="s">
        <v>94</v>
      </c>
      <c r="B2810" s="5" t="s">
        <v>95</v>
      </c>
      <c r="C2810" s="5" t="s">
        <v>96</v>
      </c>
      <c r="D2810" s="4" t="s">
        <v>16</v>
      </c>
      <c r="E2810" s="4" t="s">
        <v>3817</v>
      </c>
      <c r="F2810" s="4" t="s">
        <v>406</v>
      </c>
      <c r="G2810" s="4" t="s">
        <v>3818</v>
      </c>
      <c r="H2810" s="12" t="n">
        <v>1</v>
      </c>
      <c r="I2810" s="4" t="s">
        <v>474</v>
      </c>
      <c r="J2810" s="4" t="s">
        <v>416</v>
      </c>
      <c r="K2810" s="13" t="n">
        <v>85000</v>
      </c>
      <c r="L2810" s="6" t="n">
        <f aca="false">H2810*K2810</f>
        <v>85000</v>
      </c>
      <c r="M2810" s="4" t="s">
        <v>371</v>
      </c>
    </row>
    <row r="2811" customFormat="false" ht="23.85" hidden="false" customHeight="false" outlineLevel="0" collapsed="false">
      <c r="A2811" s="4" t="s">
        <v>94</v>
      </c>
      <c r="B2811" s="5" t="s">
        <v>95</v>
      </c>
      <c r="C2811" s="5" t="s">
        <v>96</v>
      </c>
      <c r="D2811" s="4" t="s">
        <v>16</v>
      </c>
      <c r="E2811" s="4" t="s">
        <v>3819</v>
      </c>
      <c r="F2811" s="4" t="s">
        <v>406</v>
      </c>
      <c r="G2811" s="4" t="s">
        <v>3820</v>
      </c>
      <c r="H2811" s="12" t="n">
        <v>1</v>
      </c>
      <c r="I2811" s="4" t="s">
        <v>474</v>
      </c>
      <c r="J2811" s="4" t="s">
        <v>416</v>
      </c>
      <c r="K2811" s="13" t="n">
        <v>45000</v>
      </c>
      <c r="L2811" s="6" t="n">
        <f aca="false">H2811*K2811</f>
        <v>45000</v>
      </c>
      <c r="M2811" s="14" t="s">
        <v>410</v>
      </c>
    </row>
    <row r="2812" customFormat="false" ht="23.85" hidden="false" customHeight="false" outlineLevel="0" collapsed="false">
      <c r="A2812" s="4" t="s">
        <v>94</v>
      </c>
      <c r="B2812" s="5" t="s">
        <v>95</v>
      </c>
      <c r="C2812" s="5" t="s">
        <v>96</v>
      </c>
      <c r="D2812" s="4" t="s">
        <v>16</v>
      </c>
      <c r="E2812" s="4" t="s">
        <v>3821</v>
      </c>
      <c r="F2812" s="4" t="s">
        <v>406</v>
      </c>
      <c r="G2812" s="4" t="s">
        <v>3822</v>
      </c>
      <c r="H2812" s="12" t="n">
        <v>1</v>
      </c>
      <c r="I2812" s="4" t="s">
        <v>474</v>
      </c>
      <c r="J2812" s="4" t="s">
        <v>416</v>
      </c>
      <c r="K2812" s="13" t="n">
        <v>25000</v>
      </c>
      <c r="L2812" s="6" t="n">
        <f aca="false">H2812*K2812</f>
        <v>25000</v>
      </c>
      <c r="M2812" s="14" t="s">
        <v>410</v>
      </c>
    </row>
    <row r="2813" customFormat="false" ht="23.85" hidden="false" customHeight="false" outlineLevel="0" collapsed="false">
      <c r="A2813" s="4" t="s">
        <v>94</v>
      </c>
      <c r="B2813" s="5" t="s">
        <v>95</v>
      </c>
      <c r="C2813" s="5" t="s">
        <v>96</v>
      </c>
      <c r="D2813" s="4" t="s">
        <v>16</v>
      </c>
      <c r="E2813" s="4" t="s">
        <v>3823</v>
      </c>
      <c r="F2813" s="4" t="s">
        <v>406</v>
      </c>
      <c r="G2813" s="4" t="s">
        <v>3824</v>
      </c>
      <c r="H2813" s="12" t="n">
        <v>1</v>
      </c>
      <c r="I2813" s="4" t="s">
        <v>474</v>
      </c>
      <c r="J2813" s="4" t="s">
        <v>416</v>
      </c>
      <c r="K2813" s="13" t="n">
        <v>45000</v>
      </c>
      <c r="L2813" s="6" t="n">
        <f aca="false">H2813*K2813</f>
        <v>45000</v>
      </c>
      <c r="M2813" s="14" t="s">
        <v>410</v>
      </c>
    </row>
    <row r="2814" customFormat="false" ht="23.85" hidden="false" customHeight="false" outlineLevel="0" collapsed="false">
      <c r="A2814" s="4" t="s">
        <v>94</v>
      </c>
      <c r="B2814" s="5" t="s">
        <v>95</v>
      </c>
      <c r="C2814" s="5" t="s">
        <v>96</v>
      </c>
      <c r="D2814" s="4" t="s">
        <v>16</v>
      </c>
      <c r="E2814" s="4" t="s">
        <v>3825</v>
      </c>
      <c r="F2814" s="4" t="s">
        <v>406</v>
      </c>
      <c r="G2814" s="4" t="s">
        <v>3826</v>
      </c>
      <c r="H2814" s="12" t="n">
        <v>1</v>
      </c>
      <c r="I2814" s="4" t="s">
        <v>474</v>
      </c>
      <c r="J2814" s="4" t="s">
        <v>416</v>
      </c>
      <c r="K2814" s="13" t="n">
        <v>18000</v>
      </c>
      <c r="L2814" s="6" t="n">
        <f aca="false">H2814*K2814</f>
        <v>18000</v>
      </c>
      <c r="M2814" s="14" t="s">
        <v>410</v>
      </c>
    </row>
    <row r="2815" customFormat="false" ht="23.85" hidden="false" customHeight="false" outlineLevel="0" collapsed="false">
      <c r="A2815" s="4" t="s">
        <v>94</v>
      </c>
      <c r="B2815" s="5" t="s">
        <v>95</v>
      </c>
      <c r="C2815" s="5" t="s">
        <v>96</v>
      </c>
      <c r="D2815" s="4" t="s">
        <v>16</v>
      </c>
      <c r="E2815" s="4" t="s">
        <v>3827</v>
      </c>
      <c r="F2815" s="4" t="s">
        <v>406</v>
      </c>
      <c r="G2815" s="4" t="s">
        <v>3828</v>
      </c>
      <c r="H2815" s="12" t="n">
        <v>1</v>
      </c>
      <c r="I2815" s="4" t="s">
        <v>474</v>
      </c>
      <c r="J2815" s="4" t="s">
        <v>416</v>
      </c>
      <c r="K2815" s="13" t="n">
        <v>18000</v>
      </c>
      <c r="L2815" s="6" t="n">
        <f aca="false">H2815*K2815</f>
        <v>18000</v>
      </c>
      <c r="M2815" s="14" t="s">
        <v>410</v>
      </c>
    </row>
    <row r="2816" customFormat="false" ht="23.85" hidden="false" customHeight="false" outlineLevel="0" collapsed="false">
      <c r="A2816" s="4" t="s">
        <v>94</v>
      </c>
      <c r="B2816" s="5" t="s">
        <v>95</v>
      </c>
      <c r="C2816" s="5" t="s">
        <v>96</v>
      </c>
      <c r="D2816" s="4" t="s">
        <v>16</v>
      </c>
      <c r="E2816" s="4" t="s">
        <v>3829</v>
      </c>
      <c r="F2816" s="4" t="s">
        <v>406</v>
      </c>
      <c r="G2816" s="4" t="s">
        <v>3830</v>
      </c>
      <c r="H2816" s="12" t="n">
        <v>1</v>
      </c>
      <c r="I2816" s="4" t="s">
        <v>474</v>
      </c>
      <c r="J2816" s="4" t="s">
        <v>416</v>
      </c>
      <c r="K2816" s="13" t="n">
        <v>18000</v>
      </c>
      <c r="L2816" s="6" t="n">
        <f aca="false">H2816*K2816</f>
        <v>18000</v>
      </c>
      <c r="M2816" s="14" t="s">
        <v>410</v>
      </c>
    </row>
    <row r="2817" customFormat="false" ht="23.85" hidden="false" customHeight="false" outlineLevel="0" collapsed="false">
      <c r="A2817" s="4" t="s">
        <v>94</v>
      </c>
      <c r="B2817" s="5" t="s">
        <v>95</v>
      </c>
      <c r="C2817" s="5" t="s">
        <v>96</v>
      </c>
      <c r="D2817" s="4" t="s">
        <v>16</v>
      </c>
      <c r="E2817" s="4" t="s">
        <v>3831</v>
      </c>
      <c r="F2817" s="4" t="s">
        <v>406</v>
      </c>
      <c r="G2817" s="4" t="s">
        <v>3832</v>
      </c>
      <c r="H2817" s="12" t="n">
        <v>1</v>
      </c>
      <c r="I2817" s="4" t="s">
        <v>474</v>
      </c>
      <c r="J2817" s="4" t="s">
        <v>416</v>
      </c>
      <c r="K2817" s="13" t="n">
        <v>18000</v>
      </c>
      <c r="L2817" s="6" t="n">
        <f aca="false">H2817*K2817</f>
        <v>18000</v>
      </c>
      <c r="M2817" s="14" t="s">
        <v>410</v>
      </c>
    </row>
    <row r="2818" customFormat="false" ht="23.85" hidden="false" customHeight="false" outlineLevel="0" collapsed="false">
      <c r="A2818" s="4" t="s">
        <v>94</v>
      </c>
      <c r="B2818" s="5" t="s">
        <v>95</v>
      </c>
      <c r="C2818" s="5" t="s">
        <v>96</v>
      </c>
      <c r="D2818" s="4" t="s">
        <v>16</v>
      </c>
      <c r="E2818" s="4" t="s">
        <v>3833</v>
      </c>
      <c r="F2818" s="4" t="s">
        <v>406</v>
      </c>
      <c r="G2818" s="4" t="s">
        <v>3834</v>
      </c>
      <c r="H2818" s="12" t="n">
        <v>1</v>
      </c>
      <c r="I2818" s="4" t="s">
        <v>474</v>
      </c>
      <c r="J2818" s="4" t="s">
        <v>413</v>
      </c>
      <c r="K2818" s="13" t="n">
        <v>8500</v>
      </c>
      <c r="L2818" s="6" t="n">
        <f aca="false">H2818*K2818</f>
        <v>8500</v>
      </c>
      <c r="M2818" s="14" t="s">
        <v>410</v>
      </c>
    </row>
    <row r="2819" customFormat="false" ht="23.85" hidden="false" customHeight="false" outlineLevel="0" collapsed="false">
      <c r="A2819" s="4" t="s">
        <v>94</v>
      </c>
      <c r="B2819" s="5" t="s">
        <v>95</v>
      </c>
      <c r="C2819" s="5" t="s">
        <v>96</v>
      </c>
      <c r="D2819" s="4" t="s">
        <v>16</v>
      </c>
      <c r="E2819" s="4" t="s">
        <v>1210</v>
      </c>
      <c r="F2819" s="4" t="s">
        <v>406</v>
      </c>
      <c r="G2819" s="4" t="s">
        <v>1211</v>
      </c>
      <c r="H2819" s="12" t="n">
        <v>1</v>
      </c>
      <c r="I2819" s="4" t="s">
        <v>474</v>
      </c>
      <c r="J2819" s="4" t="s">
        <v>409</v>
      </c>
      <c r="K2819" s="13" t="n">
        <v>3500</v>
      </c>
      <c r="L2819" s="6" t="n">
        <f aca="false">H2819*K2819</f>
        <v>3500</v>
      </c>
      <c r="M2819" s="14" t="s">
        <v>410</v>
      </c>
    </row>
    <row r="2820" customFormat="false" ht="23.85" hidden="false" customHeight="false" outlineLevel="0" collapsed="false">
      <c r="A2820" s="4" t="s">
        <v>94</v>
      </c>
      <c r="B2820" s="5" t="s">
        <v>95</v>
      </c>
      <c r="C2820" s="5" t="s">
        <v>96</v>
      </c>
      <c r="D2820" s="4" t="s">
        <v>16</v>
      </c>
      <c r="E2820" s="4" t="s">
        <v>3835</v>
      </c>
      <c r="F2820" s="4" t="s">
        <v>406</v>
      </c>
      <c r="G2820" s="4" t="s">
        <v>1027</v>
      </c>
      <c r="H2820" s="12" t="n">
        <v>2</v>
      </c>
      <c r="I2820" s="4" t="s">
        <v>474</v>
      </c>
      <c r="J2820" s="4" t="s">
        <v>409</v>
      </c>
      <c r="K2820" s="13" t="n">
        <v>1800</v>
      </c>
      <c r="L2820" s="6" t="n">
        <f aca="false">H2820*K2820</f>
        <v>3600</v>
      </c>
      <c r="M2820" s="14" t="s">
        <v>410</v>
      </c>
    </row>
    <row r="2821" customFormat="false" ht="23.85" hidden="false" customHeight="false" outlineLevel="0" collapsed="false">
      <c r="A2821" s="4" t="s">
        <v>94</v>
      </c>
      <c r="B2821" s="5" t="s">
        <v>95</v>
      </c>
      <c r="C2821" s="5" t="s">
        <v>96</v>
      </c>
      <c r="D2821" s="4" t="s">
        <v>16</v>
      </c>
      <c r="E2821" s="4" t="s">
        <v>3836</v>
      </c>
      <c r="F2821" s="4" t="s">
        <v>406</v>
      </c>
      <c r="G2821" s="4" t="s">
        <v>1029</v>
      </c>
      <c r="H2821" s="12" t="n">
        <v>2</v>
      </c>
      <c r="I2821" s="4" t="s">
        <v>474</v>
      </c>
      <c r="J2821" s="4" t="s">
        <v>409</v>
      </c>
      <c r="K2821" s="13" t="n">
        <v>650</v>
      </c>
      <c r="L2821" s="6" t="n">
        <f aca="false">H2821*K2821</f>
        <v>1300</v>
      </c>
      <c r="M2821" s="4" t="s">
        <v>371</v>
      </c>
    </row>
    <row r="2822" customFormat="false" ht="23.85" hidden="false" customHeight="false" outlineLevel="0" collapsed="false">
      <c r="A2822" s="4" t="s">
        <v>94</v>
      </c>
      <c r="B2822" s="5" t="s">
        <v>95</v>
      </c>
      <c r="C2822" s="5" t="s">
        <v>96</v>
      </c>
      <c r="D2822" s="4" t="s">
        <v>16</v>
      </c>
      <c r="E2822" s="4" t="s">
        <v>1218</v>
      </c>
      <c r="F2822" s="4" t="s">
        <v>406</v>
      </c>
      <c r="G2822" s="4" t="s">
        <v>1219</v>
      </c>
      <c r="H2822" s="12" t="n">
        <v>1</v>
      </c>
      <c r="I2822" s="4" t="s">
        <v>474</v>
      </c>
      <c r="J2822" s="4" t="s">
        <v>416</v>
      </c>
      <c r="K2822" s="13" t="n">
        <v>18000</v>
      </c>
      <c r="L2822" s="6" t="n">
        <f aca="false">H2822*K2822</f>
        <v>18000</v>
      </c>
      <c r="M2822" s="4" t="s">
        <v>371</v>
      </c>
    </row>
    <row r="2823" customFormat="false" ht="23.85" hidden="false" customHeight="false" outlineLevel="0" collapsed="false">
      <c r="A2823" s="4" t="s">
        <v>94</v>
      </c>
      <c r="B2823" s="5" t="s">
        <v>95</v>
      </c>
      <c r="C2823" s="5" t="s">
        <v>96</v>
      </c>
      <c r="D2823" s="4" t="s">
        <v>16</v>
      </c>
      <c r="E2823" s="4" t="s">
        <v>1220</v>
      </c>
      <c r="F2823" s="4" t="s">
        <v>406</v>
      </c>
      <c r="G2823" s="4" t="s">
        <v>1221</v>
      </c>
      <c r="H2823" s="12" t="n">
        <v>1</v>
      </c>
      <c r="I2823" s="4" t="s">
        <v>408</v>
      </c>
      <c r="J2823" s="4" t="s">
        <v>416</v>
      </c>
      <c r="K2823" s="13" t="n">
        <v>2500</v>
      </c>
      <c r="L2823" s="6" t="n">
        <f aca="false">H2823*K2823</f>
        <v>2500</v>
      </c>
      <c r="M2823" s="14" t="s">
        <v>410</v>
      </c>
    </row>
    <row r="2824" customFormat="false" ht="23.85" hidden="false" customHeight="false" outlineLevel="0" collapsed="false">
      <c r="A2824" s="4" t="s">
        <v>94</v>
      </c>
      <c r="B2824" s="5" t="s">
        <v>95</v>
      </c>
      <c r="C2824" s="5" t="s">
        <v>96</v>
      </c>
      <c r="D2824" s="4" t="s">
        <v>16</v>
      </c>
      <c r="E2824" s="4" t="s">
        <v>3837</v>
      </c>
      <c r="F2824" s="4" t="s">
        <v>406</v>
      </c>
      <c r="G2824" s="4" t="s">
        <v>3838</v>
      </c>
      <c r="H2824" s="12" t="n">
        <v>1</v>
      </c>
      <c r="I2824" s="4" t="s">
        <v>474</v>
      </c>
      <c r="J2824" s="4" t="s">
        <v>409</v>
      </c>
      <c r="K2824" s="13" t="n">
        <v>180000</v>
      </c>
      <c r="L2824" s="6" t="n">
        <f aca="false">H2824*K2824</f>
        <v>180000</v>
      </c>
      <c r="M2824" s="14" t="s">
        <v>410</v>
      </c>
    </row>
    <row r="2825" customFormat="false" ht="23.85" hidden="false" customHeight="false" outlineLevel="0" collapsed="false">
      <c r="A2825" s="4" t="s">
        <v>94</v>
      </c>
      <c r="B2825" s="5" t="s">
        <v>95</v>
      </c>
      <c r="C2825" s="5" t="s">
        <v>96</v>
      </c>
      <c r="D2825" s="4" t="s">
        <v>16</v>
      </c>
      <c r="E2825" s="4" t="s">
        <v>3839</v>
      </c>
      <c r="F2825" s="4" t="s">
        <v>470</v>
      </c>
      <c r="G2825" s="4" t="s">
        <v>1061</v>
      </c>
      <c r="H2825" s="12" t="n">
        <v>20</v>
      </c>
      <c r="I2825" s="4" t="s">
        <v>2404</v>
      </c>
      <c r="J2825" s="4" t="s">
        <v>409</v>
      </c>
      <c r="K2825" s="13" t="n">
        <v>45000</v>
      </c>
      <c r="L2825" s="6" t="n">
        <f aca="false">H2825*K2825</f>
        <v>900000</v>
      </c>
      <c r="M2825" s="14" t="s">
        <v>410</v>
      </c>
    </row>
    <row r="2826" customFormat="false" ht="23.85" hidden="false" customHeight="false" outlineLevel="0" collapsed="false">
      <c r="A2826" s="4" t="s">
        <v>94</v>
      </c>
      <c r="B2826" s="5" t="s">
        <v>95</v>
      </c>
      <c r="C2826" s="5" t="s">
        <v>96</v>
      </c>
      <c r="D2826" s="4" t="s">
        <v>16</v>
      </c>
      <c r="E2826" s="4" t="s">
        <v>1058</v>
      </c>
      <c r="F2826" s="4" t="s">
        <v>470</v>
      </c>
      <c r="G2826" s="4" t="s">
        <v>1059</v>
      </c>
      <c r="H2826" s="12" t="n">
        <v>1</v>
      </c>
      <c r="I2826" s="4" t="s">
        <v>408</v>
      </c>
      <c r="J2826" s="4" t="s">
        <v>409</v>
      </c>
      <c r="K2826" s="13" t="n">
        <v>45000</v>
      </c>
      <c r="L2826" s="6" t="n">
        <f aca="false">H2826*K2826</f>
        <v>45000</v>
      </c>
      <c r="M2826" s="14" t="s">
        <v>410</v>
      </c>
    </row>
    <row r="2827" customFormat="false" ht="23.85" hidden="false" customHeight="false" outlineLevel="0" collapsed="false">
      <c r="A2827" s="4" t="s">
        <v>94</v>
      </c>
      <c r="B2827" s="5" t="s">
        <v>95</v>
      </c>
      <c r="C2827" s="5" t="s">
        <v>96</v>
      </c>
      <c r="D2827" s="4" t="s">
        <v>16</v>
      </c>
      <c r="E2827" s="4" t="s">
        <v>3840</v>
      </c>
      <c r="F2827" s="4" t="s">
        <v>470</v>
      </c>
      <c r="G2827" s="4" t="s">
        <v>3841</v>
      </c>
      <c r="H2827" s="12" t="n">
        <v>1</v>
      </c>
      <c r="I2827" s="4" t="s">
        <v>408</v>
      </c>
      <c r="J2827" s="4" t="s">
        <v>416</v>
      </c>
      <c r="K2827" s="13" t="n">
        <v>55000</v>
      </c>
      <c r="L2827" s="6" t="n">
        <f aca="false">H2827*K2827</f>
        <v>55000</v>
      </c>
      <c r="M2827" s="4" t="s">
        <v>371</v>
      </c>
    </row>
    <row r="2828" customFormat="false" ht="23.85" hidden="false" customHeight="false" outlineLevel="0" collapsed="false">
      <c r="A2828" s="4" t="s">
        <v>94</v>
      </c>
      <c r="B2828" s="5" t="s">
        <v>95</v>
      </c>
      <c r="C2828" s="5" t="s">
        <v>96</v>
      </c>
      <c r="D2828" s="4" t="s">
        <v>16</v>
      </c>
      <c r="E2828" s="4" t="s">
        <v>3842</v>
      </c>
      <c r="F2828" s="4" t="s">
        <v>470</v>
      </c>
      <c r="G2828" s="4" t="s">
        <v>3843</v>
      </c>
      <c r="H2828" s="12" t="n">
        <v>20</v>
      </c>
      <c r="I2828" s="4" t="s">
        <v>2404</v>
      </c>
      <c r="J2828" s="4" t="s">
        <v>543</v>
      </c>
      <c r="K2828" s="13" t="n">
        <v>120000</v>
      </c>
      <c r="L2828" s="6" t="n">
        <f aca="false">H2828*K2828</f>
        <v>2400000</v>
      </c>
      <c r="M2828" s="4" t="s">
        <v>371</v>
      </c>
    </row>
    <row r="2829" customFormat="false" ht="23.85" hidden="false" customHeight="false" outlineLevel="0" collapsed="false">
      <c r="A2829" s="4" t="s">
        <v>94</v>
      </c>
      <c r="B2829" s="5" t="s">
        <v>95</v>
      </c>
      <c r="C2829" s="5" t="s">
        <v>96</v>
      </c>
      <c r="D2829" s="4" t="s">
        <v>16</v>
      </c>
      <c r="E2829" s="4" t="s">
        <v>1064</v>
      </c>
      <c r="F2829" s="4" t="s">
        <v>470</v>
      </c>
      <c r="G2829" s="4" t="s">
        <v>1065</v>
      </c>
      <c r="H2829" s="12" t="n">
        <v>1</v>
      </c>
      <c r="I2829" s="4" t="s">
        <v>408</v>
      </c>
      <c r="J2829" s="4" t="s">
        <v>543</v>
      </c>
      <c r="K2829" s="13" t="n">
        <v>25000</v>
      </c>
      <c r="L2829" s="6" t="n">
        <f aca="false">H2829*K2829</f>
        <v>25000</v>
      </c>
      <c r="M2829" s="4" t="s">
        <v>371</v>
      </c>
    </row>
    <row r="2830" customFormat="false" ht="23.85" hidden="false" customHeight="false" outlineLevel="0" collapsed="false">
      <c r="A2830" s="4" t="s">
        <v>94</v>
      </c>
      <c r="B2830" s="5" t="s">
        <v>95</v>
      </c>
      <c r="C2830" s="5" t="s">
        <v>96</v>
      </c>
      <c r="D2830" s="4" t="s">
        <v>16</v>
      </c>
      <c r="E2830" s="4" t="s">
        <v>1066</v>
      </c>
      <c r="F2830" s="4" t="s">
        <v>470</v>
      </c>
      <c r="G2830" s="4" t="s">
        <v>1067</v>
      </c>
      <c r="H2830" s="12" t="n">
        <v>1</v>
      </c>
      <c r="I2830" s="4" t="s">
        <v>408</v>
      </c>
      <c r="J2830" s="4" t="s">
        <v>543</v>
      </c>
      <c r="K2830" s="13" t="n">
        <v>25000</v>
      </c>
      <c r="L2830" s="6" t="n">
        <f aca="false">H2830*K2830</f>
        <v>25000</v>
      </c>
      <c r="M2830" s="4" t="s">
        <v>371</v>
      </c>
    </row>
    <row r="2831" customFormat="false" ht="23.85" hidden="false" customHeight="false" outlineLevel="0" collapsed="false">
      <c r="A2831" s="4" t="s">
        <v>94</v>
      </c>
      <c r="B2831" s="5" t="s">
        <v>95</v>
      </c>
      <c r="C2831" s="5" t="s">
        <v>96</v>
      </c>
      <c r="D2831" s="4" t="s">
        <v>16</v>
      </c>
      <c r="E2831" s="4" t="s">
        <v>1224</v>
      </c>
      <c r="F2831" s="4" t="s">
        <v>470</v>
      </c>
      <c r="G2831" s="4" t="s">
        <v>1225</v>
      </c>
      <c r="H2831" s="12" t="n">
        <v>1</v>
      </c>
      <c r="I2831" s="4" t="s">
        <v>408</v>
      </c>
      <c r="J2831" s="4" t="s">
        <v>416</v>
      </c>
      <c r="K2831" s="13" t="n">
        <v>4500</v>
      </c>
      <c r="L2831" s="6" t="n">
        <f aca="false">H2831*K2831</f>
        <v>4500</v>
      </c>
      <c r="M2831" s="4" t="s">
        <v>371</v>
      </c>
    </row>
    <row r="2832" customFormat="false" ht="23.85" hidden="false" customHeight="false" outlineLevel="0" collapsed="false">
      <c r="A2832" s="4" t="s">
        <v>94</v>
      </c>
      <c r="B2832" s="5" t="s">
        <v>95</v>
      </c>
      <c r="C2832" s="5" t="s">
        <v>96</v>
      </c>
      <c r="D2832" s="4" t="s">
        <v>16</v>
      </c>
      <c r="E2832" s="4" t="s">
        <v>1226</v>
      </c>
      <c r="F2832" s="4" t="s">
        <v>470</v>
      </c>
      <c r="G2832" s="4" t="s">
        <v>1227</v>
      </c>
      <c r="H2832" s="12" t="n">
        <v>1</v>
      </c>
      <c r="I2832" s="4" t="s">
        <v>408</v>
      </c>
      <c r="J2832" s="4" t="s">
        <v>409</v>
      </c>
      <c r="K2832" s="13" t="n">
        <v>2500</v>
      </c>
      <c r="L2832" s="6" t="n">
        <f aca="false">H2832*K2832</f>
        <v>2500</v>
      </c>
      <c r="M2832" s="4" t="s">
        <v>371</v>
      </c>
    </row>
    <row r="2833" customFormat="false" ht="23.85" hidden="false" customHeight="false" outlineLevel="0" collapsed="false">
      <c r="A2833" s="4" t="s">
        <v>94</v>
      </c>
      <c r="B2833" s="5" t="s">
        <v>95</v>
      </c>
      <c r="C2833" s="5" t="s">
        <v>96</v>
      </c>
      <c r="D2833" s="4" t="s">
        <v>16</v>
      </c>
      <c r="E2833" s="4" t="s">
        <v>1106</v>
      </c>
      <c r="F2833" s="4" t="s">
        <v>470</v>
      </c>
      <c r="G2833" s="4" t="s">
        <v>1107</v>
      </c>
      <c r="H2833" s="12" t="n">
        <v>1</v>
      </c>
      <c r="I2833" s="4" t="s">
        <v>408</v>
      </c>
      <c r="J2833" s="4" t="s">
        <v>413</v>
      </c>
      <c r="K2833" s="13" t="n">
        <v>450</v>
      </c>
      <c r="L2833" s="6" t="n">
        <f aca="false">H2833*K2833</f>
        <v>450</v>
      </c>
      <c r="M2833" s="4" t="s">
        <v>371</v>
      </c>
    </row>
    <row r="2834" customFormat="false" ht="23.85" hidden="false" customHeight="false" outlineLevel="0" collapsed="false">
      <c r="A2834" s="4" t="s">
        <v>94</v>
      </c>
      <c r="B2834" s="5" t="s">
        <v>95</v>
      </c>
      <c r="C2834" s="5" t="s">
        <v>96</v>
      </c>
      <c r="D2834" s="4" t="s">
        <v>16</v>
      </c>
      <c r="E2834" s="4" t="s">
        <v>3844</v>
      </c>
      <c r="F2834" s="4" t="s">
        <v>470</v>
      </c>
      <c r="G2834" s="4" t="s">
        <v>3845</v>
      </c>
      <c r="H2834" s="12" t="n">
        <v>1</v>
      </c>
      <c r="I2834" s="4" t="s">
        <v>474</v>
      </c>
      <c r="J2834" s="4" t="s">
        <v>543</v>
      </c>
      <c r="K2834" s="13" t="n">
        <v>850000</v>
      </c>
      <c r="L2834" s="6" t="n">
        <f aca="false">H2834*K2834</f>
        <v>850000</v>
      </c>
      <c r="M2834" s="4" t="s">
        <v>371</v>
      </c>
    </row>
    <row r="2835" customFormat="false" ht="23.85" hidden="false" customHeight="false" outlineLevel="0" collapsed="false">
      <c r="A2835" s="4" t="s">
        <v>94</v>
      </c>
      <c r="B2835" s="5" t="s">
        <v>95</v>
      </c>
      <c r="C2835" s="5" t="s">
        <v>96</v>
      </c>
      <c r="D2835" s="4" t="s">
        <v>16</v>
      </c>
      <c r="E2835" s="4" t="s">
        <v>3846</v>
      </c>
      <c r="F2835" s="4" t="s">
        <v>470</v>
      </c>
      <c r="G2835" s="4" t="s">
        <v>3847</v>
      </c>
      <c r="H2835" s="12" t="n">
        <v>1</v>
      </c>
      <c r="I2835" s="4" t="s">
        <v>474</v>
      </c>
      <c r="J2835" s="4" t="s">
        <v>409</v>
      </c>
      <c r="K2835" s="13" t="n">
        <v>120000</v>
      </c>
      <c r="L2835" s="6" t="n">
        <f aca="false">H2835*K2835</f>
        <v>120000</v>
      </c>
      <c r="M2835" s="4" t="s">
        <v>371</v>
      </c>
    </row>
    <row r="2836" customFormat="false" ht="23.85" hidden="false" customHeight="false" outlineLevel="0" collapsed="false">
      <c r="A2836" s="4" t="s">
        <v>94</v>
      </c>
      <c r="B2836" s="5" t="s">
        <v>95</v>
      </c>
      <c r="C2836" s="5" t="s">
        <v>96</v>
      </c>
      <c r="D2836" s="4" t="s">
        <v>16</v>
      </c>
      <c r="E2836" s="4" t="s">
        <v>3848</v>
      </c>
      <c r="F2836" s="4" t="s">
        <v>470</v>
      </c>
      <c r="G2836" s="4" t="s">
        <v>1109</v>
      </c>
      <c r="H2836" s="12" t="n">
        <v>1</v>
      </c>
      <c r="I2836" s="4" t="s">
        <v>474</v>
      </c>
      <c r="J2836" s="4" t="s">
        <v>409</v>
      </c>
      <c r="K2836" s="13" t="n">
        <v>350000</v>
      </c>
      <c r="L2836" s="6" t="n">
        <f aca="false">H2836*K2836</f>
        <v>350000</v>
      </c>
      <c r="M2836" s="4" t="s">
        <v>371</v>
      </c>
    </row>
    <row r="2837" customFormat="false" ht="23.85" hidden="false" customHeight="false" outlineLevel="0" collapsed="false">
      <c r="A2837" s="4" t="s">
        <v>94</v>
      </c>
      <c r="B2837" s="5" t="s">
        <v>95</v>
      </c>
      <c r="C2837" s="5" t="s">
        <v>96</v>
      </c>
      <c r="D2837" s="4" t="s">
        <v>16</v>
      </c>
      <c r="E2837" s="4" t="s">
        <v>3849</v>
      </c>
      <c r="F2837" s="4" t="s">
        <v>470</v>
      </c>
      <c r="G2837" s="4" t="s">
        <v>3850</v>
      </c>
      <c r="H2837" s="12" t="n">
        <v>1</v>
      </c>
      <c r="I2837" s="4" t="s">
        <v>474</v>
      </c>
      <c r="J2837" s="4" t="s">
        <v>409</v>
      </c>
      <c r="K2837" s="13" t="n">
        <v>2500</v>
      </c>
      <c r="L2837" s="6" t="n">
        <f aca="false">H2837*K2837</f>
        <v>2500</v>
      </c>
      <c r="M2837" s="4" t="s">
        <v>371</v>
      </c>
    </row>
    <row r="2838" customFormat="false" ht="23.85" hidden="false" customHeight="false" outlineLevel="0" collapsed="false">
      <c r="A2838" s="4" t="s">
        <v>94</v>
      </c>
      <c r="B2838" s="5" t="s">
        <v>95</v>
      </c>
      <c r="C2838" s="5" t="s">
        <v>96</v>
      </c>
      <c r="D2838" s="4" t="s">
        <v>16</v>
      </c>
      <c r="E2838" s="4" t="s">
        <v>3851</v>
      </c>
      <c r="F2838" s="4" t="s">
        <v>470</v>
      </c>
      <c r="G2838" s="4" t="s">
        <v>1113</v>
      </c>
      <c r="H2838" s="12" t="n">
        <v>1</v>
      </c>
      <c r="I2838" s="4" t="s">
        <v>474</v>
      </c>
      <c r="J2838" s="4" t="s">
        <v>409</v>
      </c>
      <c r="K2838" s="13" t="n">
        <v>450</v>
      </c>
      <c r="L2838" s="6" t="n">
        <f aca="false">H2838*K2838</f>
        <v>450</v>
      </c>
      <c r="M2838" s="4" t="s">
        <v>371</v>
      </c>
    </row>
    <row r="2839" customFormat="false" ht="23.85" hidden="false" customHeight="false" outlineLevel="0" collapsed="false">
      <c r="A2839" s="4" t="s">
        <v>94</v>
      </c>
      <c r="B2839" s="5" t="s">
        <v>95</v>
      </c>
      <c r="C2839" s="5" t="s">
        <v>96</v>
      </c>
      <c r="D2839" s="4" t="s">
        <v>16</v>
      </c>
      <c r="E2839" s="4" t="s">
        <v>3852</v>
      </c>
      <c r="F2839" s="4" t="s">
        <v>470</v>
      </c>
      <c r="G2839" s="4" t="s">
        <v>1115</v>
      </c>
      <c r="H2839" s="12" t="n">
        <v>1</v>
      </c>
      <c r="I2839" s="4" t="s">
        <v>474</v>
      </c>
      <c r="J2839" s="4" t="s">
        <v>409</v>
      </c>
      <c r="K2839" s="13" t="n">
        <v>450</v>
      </c>
      <c r="L2839" s="6" t="n">
        <f aca="false">H2839*K2839</f>
        <v>450</v>
      </c>
      <c r="M2839" s="4" t="s">
        <v>371</v>
      </c>
    </row>
    <row r="2840" customFormat="false" ht="23.85" hidden="false" customHeight="false" outlineLevel="0" collapsed="false">
      <c r="A2840" s="4" t="s">
        <v>94</v>
      </c>
      <c r="B2840" s="5" t="s">
        <v>95</v>
      </c>
      <c r="C2840" s="5" t="s">
        <v>96</v>
      </c>
      <c r="D2840" s="4" t="s">
        <v>16</v>
      </c>
      <c r="E2840" s="4" t="s">
        <v>3853</v>
      </c>
      <c r="F2840" s="4" t="s">
        <v>470</v>
      </c>
      <c r="G2840" s="4" t="s">
        <v>1117</v>
      </c>
      <c r="H2840" s="12" t="n">
        <v>1</v>
      </c>
      <c r="I2840" s="4" t="s">
        <v>474</v>
      </c>
      <c r="J2840" s="4" t="s">
        <v>409</v>
      </c>
      <c r="K2840" s="13" t="n">
        <v>3500</v>
      </c>
      <c r="L2840" s="6" t="n">
        <f aca="false">H2840*K2840</f>
        <v>3500</v>
      </c>
      <c r="M2840" s="4" t="s">
        <v>371</v>
      </c>
    </row>
    <row r="2841" customFormat="false" ht="23.85" hidden="false" customHeight="false" outlineLevel="0" collapsed="false">
      <c r="A2841" s="4" t="s">
        <v>94</v>
      </c>
      <c r="B2841" s="5" t="s">
        <v>95</v>
      </c>
      <c r="C2841" s="5" t="s">
        <v>96</v>
      </c>
      <c r="D2841" s="4" t="s">
        <v>16</v>
      </c>
      <c r="E2841" s="4" t="s">
        <v>3854</v>
      </c>
      <c r="F2841" s="4" t="s">
        <v>470</v>
      </c>
      <c r="G2841" s="4" t="s">
        <v>1119</v>
      </c>
      <c r="H2841" s="12" t="n">
        <v>1</v>
      </c>
      <c r="I2841" s="4" t="s">
        <v>474</v>
      </c>
      <c r="J2841" s="4" t="s">
        <v>409</v>
      </c>
      <c r="K2841" s="13" t="n">
        <v>250000</v>
      </c>
      <c r="L2841" s="6" t="n">
        <f aca="false">H2841*K2841</f>
        <v>250000</v>
      </c>
      <c r="M2841" s="4" t="s">
        <v>371</v>
      </c>
    </row>
    <row r="2842" customFormat="false" ht="23.85" hidden="false" customHeight="false" outlineLevel="0" collapsed="false">
      <c r="A2842" s="4" t="s">
        <v>94</v>
      </c>
      <c r="B2842" s="5" t="s">
        <v>95</v>
      </c>
      <c r="C2842" s="5" t="s">
        <v>96</v>
      </c>
      <c r="D2842" s="4" t="s">
        <v>16</v>
      </c>
      <c r="E2842" s="4" t="s">
        <v>3855</v>
      </c>
      <c r="F2842" s="4" t="s">
        <v>470</v>
      </c>
      <c r="G2842" s="4" t="s">
        <v>3856</v>
      </c>
      <c r="H2842" s="12" t="n">
        <v>1</v>
      </c>
      <c r="I2842" s="4" t="s">
        <v>474</v>
      </c>
      <c r="J2842" s="4" t="s">
        <v>409</v>
      </c>
      <c r="K2842" s="13" t="n">
        <v>45000</v>
      </c>
      <c r="L2842" s="6" t="n">
        <f aca="false">H2842*K2842</f>
        <v>45000</v>
      </c>
      <c r="M2842" s="4" t="s">
        <v>371</v>
      </c>
    </row>
    <row r="2843" customFormat="false" ht="23.85" hidden="false" customHeight="false" outlineLevel="0" collapsed="false">
      <c r="A2843" s="4" t="s">
        <v>94</v>
      </c>
      <c r="B2843" s="5" t="s">
        <v>95</v>
      </c>
      <c r="C2843" s="5" t="s">
        <v>96</v>
      </c>
      <c r="D2843" s="4" t="s">
        <v>16</v>
      </c>
      <c r="E2843" s="4" t="s">
        <v>3857</v>
      </c>
      <c r="F2843" s="4" t="s">
        <v>470</v>
      </c>
      <c r="G2843" s="4" t="s">
        <v>3858</v>
      </c>
      <c r="H2843" s="12" t="n">
        <v>1</v>
      </c>
      <c r="I2843" s="4" t="s">
        <v>474</v>
      </c>
      <c r="J2843" s="4" t="s">
        <v>409</v>
      </c>
      <c r="K2843" s="13" t="n">
        <v>85000</v>
      </c>
      <c r="L2843" s="6" t="n">
        <f aca="false">H2843*K2843</f>
        <v>85000</v>
      </c>
      <c r="M2843" s="4" t="s">
        <v>371</v>
      </c>
    </row>
    <row r="2844" customFormat="false" ht="23.85" hidden="false" customHeight="false" outlineLevel="0" collapsed="false">
      <c r="A2844" s="4" t="s">
        <v>94</v>
      </c>
      <c r="B2844" s="5" t="s">
        <v>95</v>
      </c>
      <c r="C2844" s="5" t="s">
        <v>96</v>
      </c>
      <c r="D2844" s="4" t="s">
        <v>16</v>
      </c>
      <c r="E2844" s="4" t="s">
        <v>1228</v>
      </c>
      <c r="F2844" s="4" t="s">
        <v>470</v>
      </c>
      <c r="G2844" s="4" t="s">
        <v>1229</v>
      </c>
      <c r="H2844" s="12" t="n">
        <v>1</v>
      </c>
      <c r="I2844" s="4" t="s">
        <v>408</v>
      </c>
      <c r="J2844" s="4" t="s">
        <v>416</v>
      </c>
      <c r="K2844" s="13" t="n">
        <v>4500</v>
      </c>
      <c r="L2844" s="6" t="n">
        <f aca="false">H2844*K2844</f>
        <v>4500</v>
      </c>
      <c r="M2844" s="4" t="s">
        <v>371</v>
      </c>
    </row>
    <row r="2845" customFormat="false" ht="23.85" hidden="false" customHeight="false" outlineLevel="0" collapsed="false">
      <c r="A2845" s="4" t="s">
        <v>94</v>
      </c>
      <c r="B2845" s="5" t="s">
        <v>95</v>
      </c>
      <c r="C2845" s="5" t="s">
        <v>96</v>
      </c>
      <c r="D2845" s="4" t="s">
        <v>16</v>
      </c>
      <c r="E2845" s="4" t="s">
        <v>1136</v>
      </c>
      <c r="F2845" s="4" t="s">
        <v>470</v>
      </c>
      <c r="G2845" s="4" t="s">
        <v>1137</v>
      </c>
      <c r="H2845" s="12" t="n">
        <v>1</v>
      </c>
      <c r="I2845" s="4" t="s">
        <v>408</v>
      </c>
      <c r="J2845" s="4" t="s">
        <v>416</v>
      </c>
      <c r="K2845" s="13" t="n">
        <v>850</v>
      </c>
      <c r="L2845" s="6" t="n">
        <f aca="false">H2845*K2845</f>
        <v>850</v>
      </c>
      <c r="M2845" s="4" t="s">
        <v>371</v>
      </c>
    </row>
    <row r="2846" customFormat="false" ht="23.85" hidden="false" customHeight="false" outlineLevel="0" collapsed="false">
      <c r="A2846" s="4" t="s">
        <v>94</v>
      </c>
      <c r="B2846" s="5" t="s">
        <v>95</v>
      </c>
      <c r="C2846" s="5" t="s">
        <v>96</v>
      </c>
      <c r="D2846" s="4" t="s">
        <v>16</v>
      </c>
      <c r="E2846" s="4" t="s">
        <v>1138</v>
      </c>
      <c r="F2846" s="4" t="s">
        <v>470</v>
      </c>
      <c r="G2846" s="4" t="s">
        <v>1139</v>
      </c>
      <c r="H2846" s="12" t="n">
        <v>1</v>
      </c>
      <c r="I2846" s="4" t="s">
        <v>408</v>
      </c>
      <c r="J2846" s="4" t="s">
        <v>416</v>
      </c>
      <c r="K2846" s="13" t="n">
        <v>2500</v>
      </c>
      <c r="L2846" s="6" t="n">
        <f aca="false">H2846*K2846</f>
        <v>2500</v>
      </c>
      <c r="M2846" s="4" t="s">
        <v>371</v>
      </c>
    </row>
    <row r="2847" customFormat="false" ht="23.85" hidden="false" customHeight="false" outlineLevel="0" collapsed="false">
      <c r="A2847" s="4" t="s">
        <v>94</v>
      </c>
      <c r="B2847" s="5" t="s">
        <v>95</v>
      </c>
      <c r="C2847" s="5" t="s">
        <v>96</v>
      </c>
      <c r="D2847" s="4" t="s">
        <v>16</v>
      </c>
      <c r="E2847" s="4" t="s">
        <v>1140</v>
      </c>
      <c r="F2847" s="4" t="s">
        <v>470</v>
      </c>
      <c r="G2847" s="4" t="s">
        <v>1141</v>
      </c>
      <c r="H2847" s="12" t="n">
        <v>1</v>
      </c>
      <c r="I2847" s="4" t="s">
        <v>408</v>
      </c>
      <c r="J2847" s="4" t="s">
        <v>409</v>
      </c>
      <c r="K2847" s="13" t="n">
        <v>350</v>
      </c>
      <c r="L2847" s="6" t="n">
        <f aca="false">H2847*K2847</f>
        <v>350</v>
      </c>
      <c r="M2847" s="4" t="s">
        <v>371</v>
      </c>
    </row>
    <row r="2848" customFormat="false" ht="23.85" hidden="false" customHeight="false" outlineLevel="0" collapsed="false">
      <c r="A2848" s="4" t="s">
        <v>94</v>
      </c>
      <c r="B2848" s="5" t="s">
        <v>95</v>
      </c>
      <c r="C2848" s="5" t="s">
        <v>96</v>
      </c>
      <c r="D2848" s="4" t="s">
        <v>16</v>
      </c>
      <c r="E2848" s="4" t="s">
        <v>1230</v>
      </c>
      <c r="F2848" s="4" t="s">
        <v>470</v>
      </c>
      <c r="G2848" s="4" t="s">
        <v>1143</v>
      </c>
      <c r="H2848" s="12" t="n">
        <v>1</v>
      </c>
      <c r="I2848" s="4" t="s">
        <v>408</v>
      </c>
      <c r="J2848" s="4" t="s">
        <v>416</v>
      </c>
      <c r="K2848" s="13" t="n">
        <v>850</v>
      </c>
      <c r="L2848" s="6" t="n">
        <f aca="false">H2848*K2848</f>
        <v>850</v>
      </c>
      <c r="M2848" s="4" t="s">
        <v>371</v>
      </c>
    </row>
    <row r="2849" customFormat="false" ht="23.85" hidden="false" customHeight="false" outlineLevel="0" collapsed="false">
      <c r="A2849" s="4" t="s">
        <v>94</v>
      </c>
      <c r="B2849" s="5" t="s">
        <v>95</v>
      </c>
      <c r="C2849" s="5" t="s">
        <v>96</v>
      </c>
      <c r="D2849" s="4" t="s">
        <v>16</v>
      </c>
      <c r="E2849" s="4" t="s">
        <v>1144</v>
      </c>
      <c r="F2849" s="4" t="s">
        <v>470</v>
      </c>
      <c r="G2849" s="4" t="s">
        <v>1145</v>
      </c>
      <c r="H2849" s="12" t="n">
        <v>1</v>
      </c>
      <c r="I2849" s="4" t="s">
        <v>408</v>
      </c>
      <c r="J2849" s="4" t="s">
        <v>416</v>
      </c>
      <c r="K2849" s="13" t="n">
        <v>3500</v>
      </c>
      <c r="L2849" s="6" t="n">
        <f aca="false">H2849*K2849</f>
        <v>3500</v>
      </c>
      <c r="M2849" s="4" t="s">
        <v>371</v>
      </c>
    </row>
    <row r="2850" customFormat="false" ht="23.85" hidden="false" customHeight="false" outlineLevel="0" collapsed="false">
      <c r="A2850" s="4" t="s">
        <v>94</v>
      </c>
      <c r="B2850" s="5" t="s">
        <v>95</v>
      </c>
      <c r="C2850" s="5" t="s">
        <v>96</v>
      </c>
      <c r="D2850" s="4" t="s">
        <v>16</v>
      </c>
      <c r="E2850" s="4" t="s">
        <v>1146</v>
      </c>
      <c r="F2850" s="4" t="s">
        <v>470</v>
      </c>
      <c r="G2850" s="4" t="s">
        <v>1147</v>
      </c>
      <c r="H2850" s="12" t="n">
        <v>1</v>
      </c>
      <c r="I2850" s="4" t="s">
        <v>408</v>
      </c>
      <c r="J2850" s="4" t="s">
        <v>416</v>
      </c>
      <c r="K2850" s="13" t="n">
        <v>2500</v>
      </c>
      <c r="L2850" s="6" t="n">
        <f aca="false">H2850*K2850</f>
        <v>2500</v>
      </c>
      <c r="M2850" s="4" t="s">
        <v>371</v>
      </c>
    </row>
    <row r="2851" customFormat="false" ht="23.85" hidden="false" customHeight="false" outlineLevel="0" collapsed="false">
      <c r="A2851" s="4" t="s">
        <v>94</v>
      </c>
      <c r="B2851" s="5" t="s">
        <v>95</v>
      </c>
      <c r="C2851" s="5" t="s">
        <v>96</v>
      </c>
      <c r="D2851" s="4" t="s">
        <v>16</v>
      </c>
      <c r="E2851" s="4" t="s">
        <v>1148</v>
      </c>
      <c r="F2851" s="4" t="s">
        <v>470</v>
      </c>
      <c r="G2851" s="4" t="s">
        <v>1149</v>
      </c>
      <c r="H2851" s="12" t="n">
        <v>1</v>
      </c>
      <c r="I2851" s="4" t="s">
        <v>408</v>
      </c>
      <c r="J2851" s="4" t="s">
        <v>409</v>
      </c>
      <c r="K2851" s="13" t="n">
        <v>450</v>
      </c>
      <c r="L2851" s="6" t="n">
        <f aca="false">H2851*K2851</f>
        <v>450</v>
      </c>
      <c r="M2851" s="4" t="s">
        <v>371</v>
      </c>
    </row>
    <row r="2852" customFormat="false" ht="23.85" hidden="false" customHeight="false" outlineLevel="0" collapsed="false">
      <c r="A2852" s="4" t="s">
        <v>94</v>
      </c>
      <c r="B2852" s="5" t="s">
        <v>95</v>
      </c>
      <c r="C2852" s="5" t="s">
        <v>96</v>
      </c>
      <c r="D2852" s="4" t="s">
        <v>16</v>
      </c>
      <c r="E2852" s="4" t="s">
        <v>1150</v>
      </c>
      <c r="F2852" s="4" t="s">
        <v>470</v>
      </c>
      <c r="G2852" s="4" t="s">
        <v>1151</v>
      </c>
      <c r="H2852" s="12" t="n">
        <v>1</v>
      </c>
      <c r="I2852" s="4" t="s">
        <v>408</v>
      </c>
      <c r="J2852" s="4" t="s">
        <v>416</v>
      </c>
      <c r="K2852" s="13" t="n">
        <v>1200</v>
      </c>
      <c r="L2852" s="6" t="n">
        <f aca="false">H2852*K2852</f>
        <v>1200</v>
      </c>
      <c r="M2852" s="4" t="s">
        <v>371</v>
      </c>
    </row>
    <row r="2853" customFormat="false" ht="23.85" hidden="false" customHeight="false" outlineLevel="0" collapsed="false">
      <c r="A2853" s="4" t="s">
        <v>94</v>
      </c>
      <c r="B2853" s="5" t="s">
        <v>95</v>
      </c>
      <c r="C2853" s="5" t="s">
        <v>96</v>
      </c>
      <c r="D2853" s="4" t="s">
        <v>16</v>
      </c>
      <c r="E2853" s="4" t="s">
        <v>1152</v>
      </c>
      <c r="F2853" s="4" t="s">
        <v>470</v>
      </c>
      <c r="G2853" s="4" t="s">
        <v>1153</v>
      </c>
      <c r="H2853" s="12" t="n">
        <v>1</v>
      </c>
      <c r="I2853" s="4" t="s">
        <v>408</v>
      </c>
      <c r="J2853" s="4" t="s">
        <v>416</v>
      </c>
      <c r="K2853" s="13" t="n">
        <v>2500</v>
      </c>
      <c r="L2853" s="6" t="n">
        <f aca="false">H2853*K2853</f>
        <v>2500</v>
      </c>
      <c r="M2853" s="4" t="s">
        <v>371</v>
      </c>
    </row>
    <row r="2854" customFormat="false" ht="23.85" hidden="false" customHeight="false" outlineLevel="0" collapsed="false">
      <c r="A2854" s="4" t="s">
        <v>94</v>
      </c>
      <c r="B2854" s="5" t="s">
        <v>95</v>
      </c>
      <c r="C2854" s="5" t="s">
        <v>96</v>
      </c>
      <c r="D2854" s="4" t="s">
        <v>16</v>
      </c>
      <c r="E2854" s="4" t="s">
        <v>1241</v>
      </c>
      <c r="F2854" s="4" t="s">
        <v>488</v>
      </c>
      <c r="G2854" s="4" t="s">
        <v>1242</v>
      </c>
      <c r="H2854" s="12" t="n">
        <v>1</v>
      </c>
      <c r="I2854" s="4" t="s">
        <v>408</v>
      </c>
      <c r="J2854" s="4" t="s">
        <v>416</v>
      </c>
      <c r="K2854" s="13" t="n">
        <v>2500</v>
      </c>
      <c r="L2854" s="6" t="n">
        <f aca="false">H2854*K2854</f>
        <v>2500</v>
      </c>
      <c r="M2854" s="4" t="s">
        <v>371</v>
      </c>
    </row>
    <row r="2855" customFormat="false" ht="23.85" hidden="false" customHeight="false" outlineLevel="0" collapsed="false">
      <c r="A2855" s="4" t="s">
        <v>94</v>
      </c>
      <c r="B2855" s="5" t="s">
        <v>95</v>
      </c>
      <c r="C2855" s="5" t="s">
        <v>96</v>
      </c>
      <c r="D2855" s="4" t="s">
        <v>16</v>
      </c>
      <c r="E2855" s="4" t="s">
        <v>1243</v>
      </c>
      <c r="F2855" s="4" t="s">
        <v>488</v>
      </c>
      <c r="G2855" s="4" t="s">
        <v>1244</v>
      </c>
      <c r="H2855" s="12" t="n">
        <v>1</v>
      </c>
      <c r="I2855" s="4" t="s">
        <v>408</v>
      </c>
      <c r="J2855" s="4" t="s">
        <v>503</v>
      </c>
      <c r="K2855" s="13" t="n">
        <v>180</v>
      </c>
      <c r="L2855" s="6" t="n">
        <f aca="false">H2855*K2855</f>
        <v>180</v>
      </c>
      <c r="M2855" s="4" t="s">
        <v>371</v>
      </c>
    </row>
    <row r="2856" customFormat="false" ht="23.85" hidden="false" customHeight="false" outlineLevel="0" collapsed="false">
      <c r="A2856" s="4" t="s">
        <v>94</v>
      </c>
      <c r="B2856" s="5" t="s">
        <v>95</v>
      </c>
      <c r="C2856" s="5" t="s">
        <v>96</v>
      </c>
      <c r="D2856" s="4" t="s">
        <v>16</v>
      </c>
      <c r="E2856" s="4" t="s">
        <v>3859</v>
      </c>
      <c r="F2856" s="4" t="s">
        <v>470</v>
      </c>
      <c r="G2856" s="4" t="s">
        <v>3860</v>
      </c>
      <c r="H2856" s="12" t="n">
        <v>10</v>
      </c>
      <c r="I2856" s="4" t="s">
        <v>474</v>
      </c>
      <c r="J2856" s="4" t="s">
        <v>416</v>
      </c>
      <c r="K2856" s="13" t="n">
        <v>3500</v>
      </c>
      <c r="L2856" s="6" t="n">
        <f aca="false">H2856*K2856</f>
        <v>35000</v>
      </c>
      <c r="M2856" s="4" t="s">
        <v>371</v>
      </c>
    </row>
    <row r="2857" customFormat="false" ht="23.85" hidden="false" customHeight="false" outlineLevel="0" collapsed="false">
      <c r="A2857" s="4" t="s">
        <v>94</v>
      </c>
      <c r="B2857" s="5" t="s">
        <v>97</v>
      </c>
      <c r="C2857" s="5" t="s">
        <v>98</v>
      </c>
      <c r="D2857" s="4" t="s">
        <v>16</v>
      </c>
      <c r="E2857" s="4" t="s">
        <v>1174</v>
      </c>
      <c r="F2857" s="4" t="s">
        <v>406</v>
      </c>
      <c r="G2857" s="4" t="s">
        <v>1175</v>
      </c>
      <c r="H2857" s="12" t="n">
        <v>1</v>
      </c>
      <c r="I2857" s="4" t="s">
        <v>408</v>
      </c>
      <c r="J2857" s="4" t="s">
        <v>416</v>
      </c>
      <c r="K2857" s="13" t="n">
        <v>350</v>
      </c>
      <c r="L2857" s="6" t="n">
        <f aca="false">H2857*K2857</f>
        <v>350</v>
      </c>
      <c r="M2857" s="14" t="s">
        <v>410</v>
      </c>
    </row>
    <row r="2858" customFormat="false" ht="23.85" hidden="false" customHeight="false" outlineLevel="0" collapsed="false">
      <c r="A2858" s="4" t="s">
        <v>94</v>
      </c>
      <c r="B2858" s="5" t="s">
        <v>97</v>
      </c>
      <c r="C2858" s="5" t="s">
        <v>98</v>
      </c>
      <c r="D2858" s="4" t="s">
        <v>16</v>
      </c>
      <c r="E2858" s="4" t="s">
        <v>1176</v>
      </c>
      <c r="F2858" s="4" t="s">
        <v>406</v>
      </c>
      <c r="G2858" s="4" t="s">
        <v>1177</v>
      </c>
      <c r="H2858" s="12" t="n">
        <v>1</v>
      </c>
      <c r="I2858" s="4" t="s">
        <v>408</v>
      </c>
      <c r="J2858" s="4" t="s">
        <v>416</v>
      </c>
      <c r="K2858" s="13" t="n">
        <v>1200</v>
      </c>
      <c r="L2858" s="6" t="n">
        <f aca="false">H2858*K2858</f>
        <v>1200</v>
      </c>
      <c r="M2858" s="14" t="s">
        <v>410</v>
      </c>
    </row>
    <row r="2859" customFormat="false" ht="23.85" hidden="false" customHeight="false" outlineLevel="0" collapsed="false">
      <c r="A2859" s="4" t="s">
        <v>94</v>
      </c>
      <c r="B2859" s="5" t="s">
        <v>97</v>
      </c>
      <c r="C2859" s="5" t="s">
        <v>98</v>
      </c>
      <c r="D2859" s="4" t="s">
        <v>16</v>
      </c>
      <c r="E2859" s="4" t="s">
        <v>1178</v>
      </c>
      <c r="F2859" s="4" t="s">
        <v>406</v>
      </c>
      <c r="G2859" s="4" t="s">
        <v>1179</v>
      </c>
      <c r="H2859" s="12" t="n">
        <v>1</v>
      </c>
      <c r="I2859" s="4" t="s">
        <v>408</v>
      </c>
      <c r="J2859" s="4" t="s">
        <v>409</v>
      </c>
      <c r="K2859" s="13" t="n">
        <v>250</v>
      </c>
      <c r="L2859" s="6" t="n">
        <f aca="false">H2859*K2859</f>
        <v>250</v>
      </c>
      <c r="M2859" s="14" t="s">
        <v>410</v>
      </c>
    </row>
    <row r="2860" customFormat="false" ht="23.85" hidden="false" customHeight="false" outlineLevel="0" collapsed="false">
      <c r="A2860" s="4" t="s">
        <v>94</v>
      </c>
      <c r="B2860" s="5" t="s">
        <v>97</v>
      </c>
      <c r="C2860" s="5" t="s">
        <v>98</v>
      </c>
      <c r="D2860" s="4" t="s">
        <v>16</v>
      </c>
      <c r="E2860" s="4" t="s">
        <v>1180</v>
      </c>
      <c r="F2860" s="4" t="s">
        <v>406</v>
      </c>
      <c r="G2860" s="4" t="s">
        <v>1181</v>
      </c>
      <c r="H2860" s="12" t="n">
        <v>1</v>
      </c>
      <c r="I2860" s="4" t="s">
        <v>408</v>
      </c>
      <c r="J2860" s="4" t="s">
        <v>409</v>
      </c>
      <c r="K2860" s="13" t="n">
        <v>850</v>
      </c>
      <c r="L2860" s="6" t="n">
        <f aca="false">H2860*K2860</f>
        <v>850</v>
      </c>
      <c r="M2860" s="14" t="s">
        <v>410</v>
      </c>
    </row>
    <row r="2861" customFormat="false" ht="23.85" hidden="false" customHeight="false" outlineLevel="0" collapsed="false">
      <c r="A2861" s="4" t="s">
        <v>94</v>
      </c>
      <c r="B2861" s="5" t="s">
        <v>97</v>
      </c>
      <c r="C2861" s="5" t="s">
        <v>98</v>
      </c>
      <c r="D2861" s="4" t="s">
        <v>16</v>
      </c>
      <c r="E2861" s="4" t="s">
        <v>1182</v>
      </c>
      <c r="F2861" s="4" t="s">
        <v>406</v>
      </c>
      <c r="G2861" s="4" t="s">
        <v>1183</v>
      </c>
      <c r="H2861" s="12" t="n">
        <v>1</v>
      </c>
      <c r="I2861" s="4" t="s">
        <v>408</v>
      </c>
      <c r="J2861" s="4" t="s">
        <v>409</v>
      </c>
      <c r="K2861" s="13" t="n">
        <v>350</v>
      </c>
      <c r="L2861" s="6" t="n">
        <f aca="false">H2861*K2861</f>
        <v>350</v>
      </c>
      <c r="M2861" s="14" t="s">
        <v>410</v>
      </c>
    </row>
    <row r="2862" customFormat="false" ht="23.85" hidden="false" customHeight="false" outlineLevel="0" collapsed="false">
      <c r="A2862" s="4" t="s">
        <v>94</v>
      </c>
      <c r="B2862" s="5" t="s">
        <v>97</v>
      </c>
      <c r="C2862" s="5" t="s">
        <v>98</v>
      </c>
      <c r="D2862" s="4" t="s">
        <v>16</v>
      </c>
      <c r="E2862" s="4" t="s">
        <v>1184</v>
      </c>
      <c r="F2862" s="4" t="s">
        <v>406</v>
      </c>
      <c r="G2862" s="4" t="s">
        <v>1185</v>
      </c>
      <c r="H2862" s="12" t="n">
        <v>1</v>
      </c>
      <c r="I2862" s="4" t="s">
        <v>408</v>
      </c>
      <c r="J2862" s="4" t="s">
        <v>409</v>
      </c>
      <c r="K2862" s="13" t="n">
        <v>350</v>
      </c>
      <c r="L2862" s="6" t="n">
        <f aca="false">H2862*K2862</f>
        <v>350</v>
      </c>
      <c r="M2862" s="14" t="s">
        <v>410</v>
      </c>
    </row>
    <row r="2863" customFormat="false" ht="23.85" hidden="false" customHeight="false" outlineLevel="0" collapsed="false">
      <c r="A2863" s="4" t="s">
        <v>94</v>
      </c>
      <c r="B2863" s="5" t="s">
        <v>97</v>
      </c>
      <c r="C2863" s="5" t="s">
        <v>98</v>
      </c>
      <c r="D2863" s="4" t="s">
        <v>16</v>
      </c>
      <c r="E2863" s="4" t="s">
        <v>1186</v>
      </c>
      <c r="F2863" s="4" t="s">
        <v>406</v>
      </c>
      <c r="G2863" s="4" t="s">
        <v>1187</v>
      </c>
      <c r="H2863" s="12" t="n">
        <v>1</v>
      </c>
      <c r="I2863" s="4" t="s">
        <v>408</v>
      </c>
      <c r="J2863" s="4" t="s">
        <v>416</v>
      </c>
      <c r="K2863" s="13" t="n">
        <v>850</v>
      </c>
      <c r="L2863" s="6" t="n">
        <f aca="false">H2863*K2863</f>
        <v>850</v>
      </c>
      <c r="M2863" s="14" t="s">
        <v>410</v>
      </c>
    </row>
    <row r="2864" customFormat="false" ht="23.85" hidden="false" customHeight="false" outlineLevel="0" collapsed="false">
      <c r="A2864" s="4" t="s">
        <v>94</v>
      </c>
      <c r="B2864" s="5" t="s">
        <v>97</v>
      </c>
      <c r="C2864" s="5" t="s">
        <v>98</v>
      </c>
      <c r="D2864" s="4" t="s">
        <v>16</v>
      </c>
      <c r="E2864" s="4" t="s">
        <v>1188</v>
      </c>
      <c r="F2864" s="4" t="s">
        <v>406</v>
      </c>
      <c r="G2864" s="4" t="s">
        <v>1189</v>
      </c>
      <c r="H2864" s="12" t="n">
        <v>1</v>
      </c>
      <c r="I2864" s="4" t="s">
        <v>408</v>
      </c>
      <c r="J2864" s="4" t="s">
        <v>416</v>
      </c>
      <c r="K2864" s="13" t="n">
        <v>1800</v>
      </c>
      <c r="L2864" s="6" t="n">
        <f aca="false">H2864*K2864</f>
        <v>1800</v>
      </c>
      <c r="M2864" s="14" t="s">
        <v>410</v>
      </c>
    </row>
    <row r="2865" customFormat="false" ht="23.85" hidden="false" customHeight="false" outlineLevel="0" collapsed="false">
      <c r="A2865" s="4" t="s">
        <v>94</v>
      </c>
      <c r="B2865" s="5" t="s">
        <v>97</v>
      </c>
      <c r="C2865" s="5" t="s">
        <v>98</v>
      </c>
      <c r="D2865" s="4" t="s">
        <v>16</v>
      </c>
      <c r="E2865" s="4" t="s">
        <v>1190</v>
      </c>
      <c r="F2865" s="4" t="s">
        <v>406</v>
      </c>
      <c r="G2865" s="4" t="s">
        <v>1191</v>
      </c>
      <c r="H2865" s="12" t="n">
        <v>1</v>
      </c>
      <c r="I2865" s="4" t="s">
        <v>408</v>
      </c>
      <c r="J2865" s="4" t="s">
        <v>416</v>
      </c>
      <c r="K2865" s="13" t="n">
        <v>1200</v>
      </c>
      <c r="L2865" s="6" t="n">
        <f aca="false">H2865*K2865</f>
        <v>1200</v>
      </c>
      <c r="M2865" s="14" t="s">
        <v>410</v>
      </c>
    </row>
    <row r="2866" customFormat="false" ht="23.85" hidden="false" customHeight="false" outlineLevel="0" collapsed="false">
      <c r="A2866" s="4" t="s">
        <v>94</v>
      </c>
      <c r="B2866" s="5" t="s">
        <v>97</v>
      </c>
      <c r="C2866" s="5" t="s">
        <v>98</v>
      </c>
      <c r="D2866" s="4" t="s">
        <v>16</v>
      </c>
      <c r="E2866" s="4" t="s">
        <v>1192</v>
      </c>
      <c r="F2866" s="4" t="s">
        <v>406</v>
      </c>
      <c r="G2866" s="4" t="s">
        <v>1193</v>
      </c>
      <c r="H2866" s="12" t="n">
        <v>1</v>
      </c>
      <c r="I2866" s="4" t="s">
        <v>408</v>
      </c>
      <c r="J2866" s="4" t="s">
        <v>416</v>
      </c>
      <c r="K2866" s="13" t="n">
        <v>450</v>
      </c>
      <c r="L2866" s="6" t="n">
        <f aca="false">H2866*K2866</f>
        <v>450</v>
      </c>
      <c r="M2866" s="14" t="s">
        <v>410</v>
      </c>
    </row>
    <row r="2867" customFormat="false" ht="23.85" hidden="false" customHeight="false" outlineLevel="0" collapsed="false">
      <c r="A2867" s="4" t="s">
        <v>94</v>
      </c>
      <c r="B2867" s="5" t="s">
        <v>97</v>
      </c>
      <c r="C2867" s="5" t="s">
        <v>98</v>
      </c>
      <c r="D2867" s="4" t="s">
        <v>16</v>
      </c>
      <c r="E2867" s="4" t="s">
        <v>970</v>
      </c>
      <c r="F2867" s="4" t="s">
        <v>406</v>
      </c>
      <c r="G2867" s="4" t="s">
        <v>971</v>
      </c>
      <c r="H2867" s="12" t="n">
        <v>1</v>
      </c>
      <c r="I2867" s="4" t="s">
        <v>408</v>
      </c>
      <c r="J2867" s="4" t="s">
        <v>409</v>
      </c>
      <c r="K2867" s="13" t="n">
        <v>1200</v>
      </c>
      <c r="L2867" s="6" t="n">
        <f aca="false">H2867*K2867</f>
        <v>1200</v>
      </c>
      <c r="M2867" s="14" t="s">
        <v>410</v>
      </c>
    </row>
    <row r="2868" customFormat="false" ht="23.85" hidden="false" customHeight="false" outlineLevel="0" collapsed="false">
      <c r="A2868" s="4" t="s">
        <v>94</v>
      </c>
      <c r="B2868" s="5" t="s">
        <v>97</v>
      </c>
      <c r="C2868" s="5" t="s">
        <v>98</v>
      </c>
      <c r="D2868" s="4" t="s">
        <v>16</v>
      </c>
      <c r="E2868" s="4" t="s">
        <v>972</v>
      </c>
      <c r="F2868" s="4" t="s">
        <v>406</v>
      </c>
      <c r="G2868" s="4" t="s">
        <v>973</v>
      </c>
      <c r="H2868" s="12" t="n">
        <v>1</v>
      </c>
      <c r="I2868" s="4" t="s">
        <v>408</v>
      </c>
      <c r="J2868" s="4" t="s">
        <v>409</v>
      </c>
      <c r="K2868" s="13" t="n">
        <v>850</v>
      </c>
      <c r="L2868" s="6" t="n">
        <f aca="false">H2868*K2868</f>
        <v>850</v>
      </c>
      <c r="M2868" s="14" t="s">
        <v>410</v>
      </c>
    </row>
    <row r="2869" customFormat="false" ht="23.85" hidden="false" customHeight="false" outlineLevel="0" collapsed="false">
      <c r="A2869" s="4" t="s">
        <v>94</v>
      </c>
      <c r="B2869" s="5" t="s">
        <v>97</v>
      </c>
      <c r="C2869" s="5" t="s">
        <v>98</v>
      </c>
      <c r="D2869" s="4" t="s">
        <v>16</v>
      </c>
      <c r="E2869" s="4" t="s">
        <v>3861</v>
      </c>
      <c r="F2869" s="4" t="s">
        <v>406</v>
      </c>
      <c r="G2869" s="4" t="s">
        <v>3862</v>
      </c>
      <c r="H2869" s="12" t="n">
        <v>1</v>
      </c>
      <c r="I2869" s="4" t="s">
        <v>408</v>
      </c>
      <c r="J2869" s="4" t="s">
        <v>409</v>
      </c>
      <c r="K2869" s="13" t="n">
        <v>1800</v>
      </c>
      <c r="L2869" s="6" t="n">
        <f aca="false">H2869*K2869</f>
        <v>1800</v>
      </c>
      <c r="M2869" s="14" t="s">
        <v>410</v>
      </c>
    </row>
    <row r="2870" customFormat="false" ht="23.85" hidden="false" customHeight="false" outlineLevel="0" collapsed="false">
      <c r="A2870" s="4" t="s">
        <v>94</v>
      </c>
      <c r="B2870" s="5" t="s">
        <v>97</v>
      </c>
      <c r="C2870" s="5" t="s">
        <v>98</v>
      </c>
      <c r="D2870" s="4" t="s">
        <v>16</v>
      </c>
      <c r="E2870" s="4" t="s">
        <v>1194</v>
      </c>
      <c r="F2870" s="4" t="s">
        <v>406</v>
      </c>
      <c r="G2870" s="4" t="s">
        <v>1195</v>
      </c>
      <c r="H2870" s="12" t="n">
        <v>1</v>
      </c>
      <c r="I2870" s="4" t="s">
        <v>408</v>
      </c>
      <c r="J2870" s="4" t="s">
        <v>409</v>
      </c>
      <c r="K2870" s="13" t="n">
        <v>450</v>
      </c>
      <c r="L2870" s="6" t="n">
        <f aca="false">H2870*K2870</f>
        <v>450</v>
      </c>
      <c r="M2870" s="14" t="s">
        <v>410</v>
      </c>
    </row>
    <row r="2871" customFormat="false" ht="23.85" hidden="false" customHeight="false" outlineLevel="0" collapsed="false">
      <c r="A2871" s="4" t="s">
        <v>94</v>
      </c>
      <c r="B2871" s="5" t="s">
        <v>97</v>
      </c>
      <c r="C2871" s="5" t="s">
        <v>98</v>
      </c>
      <c r="D2871" s="4" t="s">
        <v>16</v>
      </c>
      <c r="E2871" s="4" t="s">
        <v>1196</v>
      </c>
      <c r="F2871" s="4" t="s">
        <v>406</v>
      </c>
      <c r="G2871" s="4" t="s">
        <v>1197</v>
      </c>
      <c r="H2871" s="12" t="n">
        <v>1</v>
      </c>
      <c r="I2871" s="4" t="s">
        <v>408</v>
      </c>
      <c r="J2871" s="4" t="s">
        <v>416</v>
      </c>
      <c r="K2871" s="13" t="n">
        <v>350</v>
      </c>
      <c r="L2871" s="6" t="n">
        <f aca="false">H2871*K2871</f>
        <v>350</v>
      </c>
      <c r="M2871" s="4" t="s">
        <v>371</v>
      </c>
    </row>
    <row r="2872" customFormat="false" ht="23.85" hidden="false" customHeight="false" outlineLevel="0" collapsed="false">
      <c r="A2872" s="4" t="s">
        <v>94</v>
      </c>
      <c r="B2872" s="5" t="s">
        <v>97</v>
      </c>
      <c r="C2872" s="5" t="s">
        <v>98</v>
      </c>
      <c r="D2872" s="4" t="s">
        <v>16</v>
      </c>
      <c r="E2872" s="4" t="s">
        <v>942</v>
      </c>
      <c r="F2872" s="4" t="s">
        <v>406</v>
      </c>
      <c r="G2872" s="4" t="s">
        <v>943</v>
      </c>
      <c r="H2872" s="12" t="n">
        <v>1</v>
      </c>
      <c r="I2872" s="4" t="s">
        <v>408</v>
      </c>
      <c r="J2872" s="4" t="s">
        <v>409</v>
      </c>
      <c r="K2872" s="13" t="n">
        <v>180</v>
      </c>
      <c r="L2872" s="6" t="n">
        <f aca="false">H2872*K2872</f>
        <v>180</v>
      </c>
      <c r="M2872" s="14" t="s">
        <v>410</v>
      </c>
    </row>
    <row r="2873" customFormat="false" ht="23.85" hidden="false" customHeight="false" outlineLevel="0" collapsed="false">
      <c r="A2873" s="4" t="s">
        <v>94</v>
      </c>
      <c r="B2873" s="5" t="s">
        <v>97</v>
      </c>
      <c r="C2873" s="5" t="s">
        <v>98</v>
      </c>
      <c r="D2873" s="4" t="s">
        <v>16</v>
      </c>
      <c r="E2873" s="4" t="s">
        <v>1198</v>
      </c>
      <c r="F2873" s="4" t="s">
        <v>406</v>
      </c>
      <c r="G2873" s="4" t="s">
        <v>1199</v>
      </c>
      <c r="H2873" s="12" t="n">
        <v>1</v>
      </c>
      <c r="I2873" s="4" t="s">
        <v>408</v>
      </c>
      <c r="J2873" s="4" t="s">
        <v>409</v>
      </c>
      <c r="K2873" s="13" t="n">
        <v>450</v>
      </c>
      <c r="L2873" s="6" t="n">
        <f aca="false">H2873*K2873</f>
        <v>450</v>
      </c>
      <c r="M2873" s="14" t="s">
        <v>410</v>
      </c>
    </row>
    <row r="2874" customFormat="false" ht="23.85" hidden="false" customHeight="false" outlineLevel="0" collapsed="false">
      <c r="A2874" s="4" t="s">
        <v>94</v>
      </c>
      <c r="B2874" s="5" t="s">
        <v>97</v>
      </c>
      <c r="C2874" s="5" t="s">
        <v>98</v>
      </c>
      <c r="D2874" s="4" t="s">
        <v>16</v>
      </c>
      <c r="E2874" s="4" t="s">
        <v>3863</v>
      </c>
      <c r="F2874" s="4" t="s">
        <v>406</v>
      </c>
      <c r="G2874" s="4" t="s">
        <v>3864</v>
      </c>
      <c r="H2874" s="12" t="n">
        <v>1</v>
      </c>
      <c r="I2874" s="4" t="s">
        <v>408</v>
      </c>
      <c r="J2874" s="4" t="s">
        <v>409</v>
      </c>
      <c r="K2874" s="13" t="n">
        <v>1200</v>
      </c>
      <c r="L2874" s="6" t="n">
        <f aca="false">H2874*K2874</f>
        <v>1200</v>
      </c>
      <c r="M2874" s="14" t="s">
        <v>410</v>
      </c>
    </row>
    <row r="2875" customFormat="false" ht="23.85" hidden="false" customHeight="false" outlineLevel="0" collapsed="false">
      <c r="A2875" s="4" t="s">
        <v>94</v>
      </c>
      <c r="B2875" s="5" t="s">
        <v>97</v>
      </c>
      <c r="C2875" s="5" t="s">
        <v>98</v>
      </c>
      <c r="D2875" s="4" t="s">
        <v>16</v>
      </c>
      <c r="E2875" s="4" t="s">
        <v>3865</v>
      </c>
      <c r="F2875" s="4" t="s">
        <v>406</v>
      </c>
      <c r="G2875" s="4" t="s">
        <v>975</v>
      </c>
      <c r="H2875" s="12" t="n">
        <v>1</v>
      </c>
      <c r="I2875" s="4" t="s">
        <v>408</v>
      </c>
      <c r="J2875" s="4" t="s">
        <v>409</v>
      </c>
      <c r="K2875" s="13" t="n">
        <v>850</v>
      </c>
      <c r="L2875" s="6" t="n">
        <f aca="false">H2875*K2875</f>
        <v>850</v>
      </c>
      <c r="M2875" s="14" t="s">
        <v>410</v>
      </c>
    </row>
    <row r="2876" customFormat="false" ht="23.85" hidden="false" customHeight="false" outlineLevel="0" collapsed="false">
      <c r="A2876" s="4" t="s">
        <v>94</v>
      </c>
      <c r="B2876" s="5" t="s">
        <v>97</v>
      </c>
      <c r="C2876" s="5" t="s">
        <v>98</v>
      </c>
      <c r="D2876" s="4" t="s">
        <v>16</v>
      </c>
      <c r="E2876" s="4" t="s">
        <v>3866</v>
      </c>
      <c r="F2876" s="4" t="s">
        <v>406</v>
      </c>
      <c r="G2876" s="4" t="s">
        <v>943</v>
      </c>
      <c r="H2876" s="12" t="n">
        <v>1</v>
      </c>
      <c r="I2876" s="4" t="s">
        <v>408</v>
      </c>
      <c r="J2876" s="4" t="s">
        <v>409</v>
      </c>
      <c r="K2876" s="13" t="n">
        <v>180</v>
      </c>
      <c r="L2876" s="6" t="n">
        <f aca="false">H2876*K2876</f>
        <v>180</v>
      </c>
      <c r="M2876" s="14" t="s">
        <v>410</v>
      </c>
    </row>
    <row r="2877" customFormat="false" ht="23.85" hidden="false" customHeight="false" outlineLevel="0" collapsed="false">
      <c r="A2877" s="4" t="s">
        <v>94</v>
      </c>
      <c r="B2877" s="5" t="s">
        <v>97</v>
      </c>
      <c r="C2877" s="5" t="s">
        <v>98</v>
      </c>
      <c r="D2877" s="4" t="s">
        <v>16</v>
      </c>
      <c r="E2877" s="4" t="s">
        <v>3867</v>
      </c>
      <c r="F2877" s="4" t="s">
        <v>406</v>
      </c>
      <c r="G2877" s="4" t="s">
        <v>945</v>
      </c>
      <c r="H2877" s="12" t="n">
        <v>1</v>
      </c>
      <c r="I2877" s="4" t="s">
        <v>408</v>
      </c>
      <c r="J2877" s="4" t="s">
        <v>409</v>
      </c>
      <c r="K2877" s="13" t="n">
        <v>8500</v>
      </c>
      <c r="L2877" s="6" t="n">
        <f aca="false">H2877*K2877</f>
        <v>8500</v>
      </c>
      <c r="M2877" s="14" t="s">
        <v>410</v>
      </c>
    </row>
    <row r="2878" customFormat="false" ht="23.85" hidden="false" customHeight="false" outlineLevel="0" collapsed="false">
      <c r="A2878" s="4" t="s">
        <v>94</v>
      </c>
      <c r="B2878" s="5" t="s">
        <v>97</v>
      </c>
      <c r="C2878" s="5" t="s">
        <v>98</v>
      </c>
      <c r="D2878" s="4" t="s">
        <v>16</v>
      </c>
      <c r="E2878" s="4" t="s">
        <v>3868</v>
      </c>
      <c r="F2878" s="4" t="s">
        <v>406</v>
      </c>
      <c r="G2878" s="4" t="s">
        <v>3869</v>
      </c>
      <c r="H2878" s="12" t="n">
        <v>1</v>
      </c>
      <c r="I2878" s="4" t="s">
        <v>408</v>
      </c>
      <c r="J2878" s="4" t="s">
        <v>416</v>
      </c>
      <c r="K2878" s="13" t="n">
        <v>18000</v>
      </c>
      <c r="L2878" s="6" t="n">
        <f aca="false">H2878*K2878</f>
        <v>18000</v>
      </c>
      <c r="M2878" s="4" t="s">
        <v>371</v>
      </c>
    </row>
    <row r="2879" customFormat="false" ht="23.85" hidden="false" customHeight="false" outlineLevel="0" collapsed="false">
      <c r="A2879" s="4" t="s">
        <v>94</v>
      </c>
      <c r="B2879" s="5" t="s">
        <v>97</v>
      </c>
      <c r="C2879" s="5" t="s">
        <v>98</v>
      </c>
      <c r="D2879" s="4" t="s">
        <v>16</v>
      </c>
      <c r="E2879" s="4" t="s">
        <v>3870</v>
      </c>
      <c r="F2879" s="4" t="s">
        <v>406</v>
      </c>
      <c r="G2879" s="4" t="s">
        <v>3871</v>
      </c>
      <c r="H2879" s="12" t="n">
        <v>1</v>
      </c>
      <c r="I2879" s="4" t="s">
        <v>408</v>
      </c>
      <c r="J2879" s="4" t="s">
        <v>416</v>
      </c>
      <c r="K2879" s="13" t="n">
        <v>2500</v>
      </c>
      <c r="L2879" s="6" t="n">
        <f aca="false">H2879*K2879</f>
        <v>2500</v>
      </c>
      <c r="M2879" s="14" t="s">
        <v>410</v>
      </c>
    </row>
    <row r="2880" customFormat="false" ht="23.85" hidden="false" customHeight="false" outlineLevel="0" collapsed="false">
      <c r="A2880" s="4" t="s">
        <v>94</v>
      </c>
      <c r="B2880" s="5" t="s">
        <v>97</v>
      </c>
      <c r="C2880" s="5" t="s">
        <v>98</v>
      </c>
      <c r="D2880" s="4" t="s">
        <v>16</v>
      </c>
      <c r="E2880" s="4" t="s">
        <v>3872</v>
      </c>
      <c r="F2880" s="4" t="s">
        <v>406</v>
      </c>
      <c r="G2880" s="4" t="s">
        <v>3873</v>
      </c>
      <c r="H2880" s="12" t="n">
        <v>1</v>
      </c>
      <c r="I2880" s="4" t="s">
        <v>408</v>
      </c>
      <c r="J2880" s="4" t="s">
        <v>416</v>
      </c>
      <c r="K2880" s="13" t="n">
        <v>4500</v>
      </c>
      <c r="L2880" s="6" t="n">
        <f aca="false">H2880*K2880</f>
        <v>4500</v>
      </c>
      <c r="M2880" s="14" t="s">
        <v>410</v>
      </c>
    </row>
    <row r="2881" customFormat="false" ht="23.85" hidden="false" customHeight="false" outlineLevel="0" collapsed="false">
      <c r="A2881" s="4" t="s">
        <v>94</v>
      </c>
      <c r="B2881" s="5" t="s">
        <v>97</v>
      </c>
      <c r="C2881" s="5" t="s">
        <v>98</v>
      </c>
      <c r="D2881" s="4" t="s">
        <v>16</v>
      </c>
      <c r="E2881" s="4" t="s">
        <v>3874</v>
      </c>
      <c r="F2881" s="4" t="s">
        <v>406</v>
      </c>
      <c r="G2881" s="4" t="s">
        <v>3875</v>
      </c>
      <c r="H2881" s="12" t="n">
        <v>1</v>
      </c>
      <c r="I2881" s="4" t="s">
        <v>408</v>
      </c>
      <c r="J2881" s="4" t="s">
        <v>416</v>
      </c>
      <c r="K2881" s="13" t="n">
        <v>4500</v>
      </c>
      <c r="L2881" s="6" t="n">
        <f aca="false">H2881*K2881</f>
        <v>4500</v>
      </c>
      <c r="M2881" s="14" t="s">
        <v>410</v>
      </c>
    </row>
    <row r="2882" customFormat="false" ht="23.85" hidden="false" customHeight="false" outlineLevel="0" collapsed="false">
      <c r="A2882" s="4" t="s">
        <v>94</v>
      </c>
      <c r="B2882" s="5" t="s">
        <v>97</v>
      </c>
      <c r="C2882" s="5" t="s">
        <v>98</v>
      </c>
      <c r="D2882" s="4" t="s">
        <v>16</v>
      </c>
      <c r="E2882" s="4" t="s">
        <v>3876</v>
      </c>
      <c r="F2882" s="4" t="s">
        <v>406</v>
      </c>
      <c r="G2882" s="4" t="s">
        <v>3877</v>
      </c>
      <c r="H2882" s="12" t="n">
        <v>1</v>
      </c>
      <c r="I2882" s="4" t="s">
        <v>408</v>
      </c>
      <c r="J2882" s="4" t="s">
        <v>409</v>
      </c>
      <c r="K2882" s="13" t="n">
        <v>3500</v>
      </c>
      <c r="L2882" s="6" t="n">
        <f aca="false">H2882*K2882</f>
        <v>3500</v>
      </c>
      <c r="M2882" s="14" t="s">
        <v>410</v>
      </c>
    </row>
    <row r="2883" customFormat="false" ht="23.85" hidden="false" customHeight="false" outlineLevel="0" collapsed="false">
      <c r="A2883" s="4" t="s">
        <v>94</v>
      </c>
      <c r="B2883" s="5" t="s">
        <v>97</v>
      </c>
      <c r="C2883" s="5" t="s">
        <v>98</v>
      </c>
      <c r="D2883" s="4" t="s">
        <v>16</v>
      </c>
      <c r="E2883" s="4" t="s">
        <v>3878</v>
      </c>
      <c r="F2883" s="4" t="s">
        <v>406</v>
      </c>
      <c r="G2883" s="4" t="s">
        <v>979</v>
      </c>
      <c r="H2883" s="12" t="n">
        <v>1</v>
      </c>
      <c r="I2883" s="4" t="s">
        <v>408</v>
      </c>
      <c r="J2883" s="4" t="s">
        <v>416</v>
      </c>
      <c r="K2883" s="13" t="n">
        <v>4500</v>
      </c>
      <c r="L2883" s="6" t="n">
        <f aca="false">H2883*K2883</f>
        <v>4500</v>
      </c>
      <c r="M2883" s="14" t="s">
        <v>410</v>
      </c>
    </row>
    <row r="2884" customFormat="false" ht="23.85" hidden="false" customHeight="false" outlineLevel="0" collapsed="false">
      <c r="A2884" s="4" t="s">
        <v>94</v>
      </c>
      <c r="B2884" s="5" t="s">
        <v>97</v>
      </c>
      <c r="C2884" s="5" t="s">
        <v>98</v>
      </c>
      <c r="D2884" s="4" t="s">
        <v>16</v>
      </c>
      <c r="E2884" s="4" t="s">
        <v>3879</v>
      </c>
      <c r="F2884" s="4" t="s">
        <v>406</v>
      </c>
      <c r="G2884" s="4" t="s">
        <v>981</v>
      </c>
      <c r="H2884" s="12" t="n">
        <v>1</v>
      </c>
      <c r="I2884" s="4" t="s">
        <v>408</v>
      </c>
      <c r="J2884" s="4" t="s">
        <v>416</v>
      </c>
      <c r="K2884" s="13" t="n">
        <v>1800</v>
      </c>
      <c r="L2884" s="6" t="n">
        <f aca="false">H2884*K2884</f>
        <v>1800</v>
      </c>
      <c r="M2884" s="14" t="s">
        <v>410</v>
      </c>
    </row>
    <row r="2885" customFormat="false" ht="23.85" hidden="false" customHeight="false" outlineLevel="0" collapsed="false">
      <c r="A2885" s="4" t="s">
        <v>94</v>
      </c>
      <c r="B2885" s="5" t="s">
        <v>97</v>
      </c>
      <c r="C2885" s="5" t="s">
        <v>98</v>
      </c>
      <c r="D2885" s="4" t="s">
        <v>16</v>
      </c>
      <c r="E2885" s="4" t="s">
        <v>3880</v>
      </c>
      <c r="F2885" s="4" t="s">
        <v>406</v>
      </c>
      <c r="G2885" s="4" t="s">
        <v>983</v>
      </c>
      <c r="H2885" s="12" t="n">
        <v>1</v>
      </c>
      <c r="I2885" s="4" t="s">
        <v>408</v>
      </c>
      <c r="J2885" s="4" t="s">
        <v>416</v>
      </c>
      <c r="K2885" s="13" t="n">
        <v>1800</v>
      </c>
      <c r="L2885" s="6" t="n">
        <f aca="false">H2885*K2885</f>
        <v>1800</v>
      </c>
      <c r="M2885" s="14" t="s">
        <v>410</v>
      </c>
    </row>
    <row r="2886" customFormat="false" ht="23.85" hidden="false" customHeight="false" outlineLevel="0" collapsed="false">
      <c r="A2886" s="4" t="s">
        <v>94</v>
      </c>
      <c r="B2886" s="5" t="s">
        <v>97</v>
      </c>
      <c r="C2886" s="5" t="s">
        <v>98</v>
      </c>
      <c r="D2886" s="4" t="s">
        <v>16</v>
      </c>
      <c r="E2886" s="4" t="s">
        <v>3881</v>
      </c>
      <c r="F2886" s="4" t="s">
        <v>406</v>
      </c>
      <c r="G2886" s="4" t="s">
        <v>985</v>
      </c>
      <c r="H2886" s="12" t="n">
        <v>1</v>
      </c>
      <c r="I2886" s="4" t="s">
        <v>408</v>
      </c>
      <c r="J2886" s="4" t="s">
        <v>416</v>
      </c>
      <c r="K2886" s="13" t="n">
        <v>1800</v>
      </c>
      <c r="L2886" s="6" t="n">
        <f aca="false">H2886*K2886</f>
        <v>1800</v>
      </c>
      <c r="M2886" s="14" t="s">
        <v>410</v>
      </c>
    </row>
    <row r="2887" customFormat="false" ht="23.85" hidden="false" customHeight="false" outlineLevel="0" collapsed="false">
      <c r="A2887" s="4" t="s">
        <v>94</v>
      </c>
      <c r="B2887" s="5" t="s">
        <v>97</v>
      </c>
      <c r="C2887" s="5" t="s">
        <v>98</v>
      </c>
      <c r="D2887" s="4" t="s">
        <v>16</v>
      </c>
      <c r="E2887" s="4" t="s">
        <v>3882</v>
      </c>
      <c r="F2887" s="4" t="s">
        <v>406</v>
      </c>
      <c r="G2887" s="4" t="s">
        <v>987</v>
      </c>
      <c r="H2887" s="12" t="n">
        <v>1</v>
      </c>
      <c r="I2887" s="4" t="s">
        <v>408</v>
      </c>
      <c r="J2887" s="4" t="s">
        <v>416</v>
      </c>
      <c r="K2887" s="13" t="n">
        <v>1800</v>
      </c>
      <c r="L2887" s="6" t="n">
        <f aca="false">H2887*K2887</f>
        <v>1800</v>
      </c>
      <c r="M2887" s="14" t="s">
        <v>410</v>
      </c>
    </row>
    <row r="2888" customFormat="false" ht="23.85" hidden="false" customHeight="false" outlineLevel="0" collapsed="false">
      <c r="A2888" s="4" t="s">
        <v>94</v>
      </c>
      <c r="B2888" s="5" t="s">
        <v>97</v>
      </c>
      <c r="C2888" s="5" t="s">
        <v>98</v>
      </c>
      <c r="D2888" s="4" t="s">
        <v>16</v>
      </c>
      <c r="E2888" s="4" t="s">
        <v>3883</v>
      </c>
      <c r="F2888" s="4" t="s">
        <v>406</v>
      </c>
      <c r="G2888" s="4" t="s">
        <v>989</v>
      </c>
      <c r="H2888" s="12" t="n">
        <v>1</v>
      </c>
      <c r="I2888" s="4" t="s">
        <v>408</v>
      </c>
      <c r="J2888" s="4" t="s">
        <v>416</v>
      </c>
      <c r="K2888" s="13" t="n">
        <v>1200</v>
      </c>
      <c r="L2888" s="6" t="n">
        <f aca="false">H2888*K2888</f>
        <v>1200</v>
      </c>
      <c r="M2888" s="14" t="s">
        <v>410</v>
      </c>
    </row>
    <row r="2889" customFormat="false" ht="23.85" hidden="false" customHeight="false" outlineLevel="0" collapsed="false">
      <c r="A2889" s="4" t="s">
        <v>94</v>
      </c>
      <c r="B2889" s="5" t="s">
        <v>97</v>
      </c>
      <c r="C2889" s="5" t="s">
        <v>98</v>
      </c>
      <c r="D2889" s="4" t="s">
        <v>16</v>
      </c>
      <c r="E2889" s="4" t="s">
        <v>3884</v>
      </c>
      <c r="F2889" s="4" t="s">
        <v>406</v>
      </c>
      <c r="G2889" s="4" t="s">
        <v>991</v>
      </c>
      <c r="H2889" s="12" t="n">
        <v>1</v>
      </c>
      <c r="I2889" s="4" t="s">
        <v>408</v>
      </c>
      <c r="J2889" s="4" t="s">
        <v>416</v>
      </c>
      <c r="K2889" s="13" t="n">
        <v>1800</v>
      </c>
      <c r="L2889" s="6" t="n">
        <f aca="false">H2889*K2889</f>
        <v>1800</v>
      </c>
      <c r="M2889" s="14" t="s">
        <v>410</v>
      </c>
    </row>
    <row r="2890" customFormat="false" ht="23.85" hidden="false" customHeight="false" outlineLevel="0" collapsed="false">
      <c r="A2890" s="4" t="s">
        <v>94</v>
      </c>
      <c r="B2890" s="5" t="s">
        <v>97</v>
      </c>
      <c r="C2890" s="5" t="s">
        <v>98</v>
      </c>
      <c r="D2890" s="4" t="s">
        <v>16</v>
      </c>
      <c r="E2890" s="4" t="s">
        <v>3885</v>
      </c>
      <c r="F2890" s="4" t="s">
        <v>406</v>
      </c>
      <c r="G2890" s="4" t="s">
        <v>993</v>
      </c>
      <c r="H2890" s="12" t="n">
        <v>1</v>
      </c>
      <c r="I2890" s="4" t="s">
        <v>408</v>
      </c>
      <c r="J2890" s="4" t="s">
        <v>416</v>
      </c>
      <c r="K2890" s="13" t="n">
        <v>250</v>
      </c>
      <c r="L2890" s="6" t="n">
        <f aca="false">H2890*K2890</f>
        <v>250</v>
      </c>
      <c r="M2890" s="14" t="s">
        <v>410</v>
      </c>
    </row>
    <row r="2891" customFormat="false" ht="23.85" hidden="false" customHeight="false" outlineLevel="0" collapsed="false">
      <c r="A2891" s="4" t="s">
        <v>94</v>
      </c>
      <c r="B2891" s="5" t="s">
        <v>97</v>
      </c>
      <c r="C2891" s="5" t="s">
        <v>98</v>
      </c>
      <c r="D2891" s="4" t="s">
        <v>16</v>
      </c>
      <c r="E2891" s="4" t="s">
        <v>3886</v>
      </c>
      <c r="F2891" s="4" t="s">
        <v>406</v>
      </c>
      <c r="G2891" s="4" t="s">
        <v>995</v>
      </c>
      <c r="H2891" s="12" t="n">
        <v>1</v>
      </c>
      <c r="I2891" s="4" t="s">
        <v>408</v>
      </c>
      <c r="J2891" s="4" t="s">
        <v>416</v>
      </c>
      <c r="K2891" s="13" t="n">
        <v>4500</v>
      </c>
      <c r="L2891" s="6" t="n">
        <f aca="false">H2891*K2891</f>
        <v>4500</v>
      </c>
      <c r="M2891" s="4" t="s">
        <v>371</v>
      </c>
    </row>
    <row r="2892" customFormat="false" ht="23.85" hidden="false" customHeight="false" outlineLevel="0" collapsed="false">
      <c r="A2892" s="4" t="s">
        <v>94</v>
      </c>
      <c r="B2892" s="5" t="s">
        <v>97</v>
      </c>
      <c r="C2892" s="5" t="s">
        <v>98</v>
      </c>
      <c r="D2892" s="4" t="s">
        <v>16</v>
      </c>
      <c r="E2892" s="4" t="s">
        <v>3887</v>
      </c>
      <c r="F2892" s="4" t="s">
        <v>406</v>
      </c>
      <c r="G2892" s="4" t="s">
        <v>997</v>
      </c>
      <c r="H2892" s="12" t="n">
        <v>1</v>
      </c>
      <c r="I2892" s="4" t="s">
        <v>408</v>
      </c>
      <c r="J2892" s="4" t="s">
        <v>416</v>
      </c>
      <c r="K2892" s="13" t="n">
        <v>18000</v>
      </c>
      <c r="L2892" s="6" t="n">
        <f aca="false">H2892*K2892</f>
        <v>18000</v>
      </c>
      <c r="M2892" s="4" t="s">
        <v>371</v>
      </c>
    </row>
    <row r="2893" customFormat="false" ht="23.85" hidden="false" customHeight="false" outlineLevel="0" collapsed="false">
      <c r="A2893" s="4" t="s">
        <v>94</v>
      </c>
      <c r="B2893" s="5" t="s">
        <v>97</v>
      </c>
      <c r="C2893" s="5" t="s">
        <v>98</v>
      </c>
      <c r="D2893" s="4" t="s">
        <v>16</v>
      </c>
      <c r="E2893" s="4" t="s">
        <v>998</v>
      </c>
      <c r="F2893" s="4" t="s">
        <v>406</v>
      </c>
      <c r="G2893" s="4" t="s">
        <v>999</v>
      </c>
      <c r="H2893" s="12" t="n">
        <v>1</v>
      </c>
      <c r="I2893" s="4" t="s">
        <v>408</v>
      </c>
      <c r="J2893" s="4" t="s">
        <v>416</v>
      </c>
      <c r="K2893" s="13" t="n">
        <v>8500</v>
      </c>
      <c r="L2893" s="6" t="n">
        <f aca="false">H2893*K2893</f>
        <v>8500</v>
      </c>
      <c r="M2893" s="4" t="s">
        <v>371</v>
      </c>
    </row>
    <row r="2894" customFormat="false" ht="23.85" hidden="false" customHeight="false" outlineLevel="0" collapsed="false">
      <c r="A2894" s="4" t="s">
        <v>94</v>
      </c>
      <c r="B2894" s="5" t="s">
        <v>97</v>
      </c>
      <c r="C2894" s="5" t="s">
        <v>98</v>
      </c>
      <c r="D2894" s="4" t="s">
        <v>16</v>
      </c>
      <c r="E2894" s="4" t="s">
        <v>966</v>
      </c>
      <c r="F2894" s="4" t="s">
        <v>406</v>
      </c>
      <c r="G2894" s="4" t="s">
        <v>967</v>
      </c>
      <c r="H2894" s="12" t="n">
        <v>1</v>
      </c>
      <c r="I2894" s="4" t="s">
        <v>408</v>
      </c>
      <c r="J2894" s="4" t="s">
        <v>409</v>
      </c>
      <c r="K2894" s="13" t="n">
        <v>8500</v>
      </c>
      <c r="L2894" s="6" t="n">
        <f aca="false">H2894*K2894</f>
        <v>8500</v>
      </c>
      <c r="M2894" s="14" t="s">
        <v>410</v>
      </c>
    </row>
    <row r="2895" customFormat="false" ht="23.85" hidden="false" customHeight="false" outlineLevel="0" collapsed="false">
      <c r="A2895" s="4" t="s">
        <v>94</v>
      </c>
      <c r="B2895" s="5" t="s">
        <v>97</v>
      </c>
      <c r="C2895" s="5" t="s">
        <v>98</v>
      </c>
      <c r="D2895" s="4" t="s">
        <v>16</v>
      </c>
      <c r="E2895" s="4" t="s">
        <v>968</v>
      </c>
      <c r="F2895" s="4" t="s">
        <v>406</v>
      </c>
      <c r="G2895" s="4" t="s">
        <v>969</v>
      </c>
      <c r="H2895" s="12" t="n">
        <v>1</v>
      </c>
      <c r="I2895" s="4" t="s">
        <v>408</v>
      </c>
      <c r="J2895" s="4" t="s">
        <v>409</v>
      </c>
      <c r="K2895" s="13" t="n">
        <v>1800</v>
      </c>
      <c r="L2895" s="6" t="n">
        <f aca="false">H2895*K2895</f>
        <v>1800</v>
      </c>
      <c r="M2895" s="14" t="s">
        <v>410</v>
      </c>
    </row>
    <row r="2896" customFormat="false" ht="23.85" hidden="false" customHeight="false" outlineLevel="0" collapsed="false">
      <c r="A2896" s="4" t="s">
        <v>94</v>
      </c>
      <c r="B2896" s="5" t="s">
        <v>97</v>
      </c>
      <c r="C2896" s="5" t="s">
        <v>98</v>
      </c>
      <c r="D2896" s="4" t="s">
        <v>16</v>
      </c>
      <c r="E2896" s="4" t="s">
        <v>1206</v>
      </c>
      <c r="F2896" s="4" t="s">
        <v>406</v>
      </c>
      <c r="G2896" s="4" t="s">
        <v>1207</v>
      </c>
      <c r="H2896" s="12" t="n">
        <v>1</v>
      </c>
      <c r="I2896" s="4" t="s">
        <v>408</v>
      </c>
      <c r="J2896" s="4" t="s">
        <v>409</v>
      </c>
      <c r="K2896" s="13" t="n">
        <v>18000</v>
      </c>
      <c r="L2896" s="6" t="n">
        <f aca="false">H2896*K2896</f>
        <v>18000</v>
      </c>
      <c r="M2896" s="14" t="s">
        <v>410</v>
      </c>
    </row>
    <row r="2897" customFormat="false" ht="23.85" hidden="false" customHeight="false" outlineLevel="0" collapsed="false">
      <c r="A2897" s="4" t="s">
        <v>94</v>
      </c>
      <c r="B2897" s="5" t="s">
        <v>97</v>
      </c>
      <c r="C2897" s="5" t="s">
        <v>98</v>
      </c>
      <c r="D2897" s="4" t="s">
        <v>16</v>
      </c>
      <c r="E2897" s="4" t="s">
        <v>1208</v>
      </c>
      <c r="F2897" s="4" t="s">
        <v>406</v>
      </c>
      <c r="G2897" s="4" t="s">
        <v>1209</v>
      </c>
      <c r="H2897" s="12" t="n">
        <v>1</v>
      </c>
      <c r="I2897" s="4" t="s">
        <v>408</v>
      </c>
      <c r="J2897" s="4" t="s">
        <v>409</v>
      </c>
      <c r="K2897" s="13" t="n">
        <v>850</v>
      </c>
      <c r="L2897" s="6" t="n">
        <f aca="false">H2897*K2897</f>
        <v>850</v>
      </c>
      <c r="M2897" s="14" t="s">
        <v>410</v>
      </c>
    </row>
    <row r="2898" customFormat="false" ht="23.85" hidden="false" customHeight="false" outlineLevel="0" collapsed="false">
      <c r="A2898" s="4" t="s">
        <v>94</v>
      </c>
      <c r="B2898" s="5" t="s">
        <v>97</v>
      </c>
      <c r="C2898" s="5" t="s">
        <v>98</v>
      </c>
      <c r="D2898" s="4" t="s">
        <v>16</v>
      </c>
      <c r="E2898" s="4" t="s">
        <v>1210</v>
      </c>
      <c r="F2898" s="4" t="s">
        <v>406</v>
      </c>
      <c r="G2898" s="4" t="s">
        <v>1211</v>
      </c>
      <c r="H2898" s="12" t="n">
        <v>1</v>
      </c>
      <c r="I2898" s="4" t="s">
        <v>408</v>
      </c>
      <c r="J2898" s="4" t="s">
        <v>409</v>
      </c>
      <c r="K2898" s="13" t="n">
        <v>3500</v>
      </c>
      <c r="L2898" s="6" t="n">
        <f aca="false">H2898*K2898</f>
        <v>3500</v>
      </c>
      <c r="M2898" s="14" t="s">
        <v>410</v>
      </c>
    </row>
    <row r="2899" customFormat="false" ht="23.85" hidden="false" customHeight="false" outlineLevel="0" collapsed="false">
      <c r="A2899" s="4" t="s">
        <v>94</v>
      </c>
      <c r="B2899" s="5" t="s">
        <v>97</v>
      </c>
      <c r="C2899" s="5" t="s">
        <v>98</v>
      </c>
      <c r="D2899" s="4" t="s">
        <v>16</v>
      </c>
      <c r="E2899" s="4" t="s">
        <v>3888</v>
      </c>
      <c r="F2899" s="4" t="s">
        <v>406</v>
      </c>
      <c r="G2899" s="4" t="s">
        <v>3889</v>
      </c>
      <c r="H2899" s="12" t="n">
        <v>1</v>
      </c>
      <c r="I2899" s="4" t="s">
        <v>408</v>
      </c>
      <c r="J2899" s="4" t="s">
        <v>409</v>
      </c>
      <c r="K2899" s="13" t="n">
        <v>85000</v>
      </c>
      <c r="L2899" s="6" t="n">
        <f aca="false">H2899*K2899</f>
        <v>85000</v>
      </c>
      <c r="M2899" s="14" t="s">
        <v>410</v>
      </c>
    </row>
    <row r="2900" customFormat="false" ht="23.85" hidden="false" customHeight="false" outlineLevel="0" collapsed="false">
      <c r="A2900" s="4" t="s">
        <v>94</v>
      </c>
      <c r="B2900" s="5" t="s">
        <v>97</v>
      </c>
      <c r="C2900" s="5" t="s">
        <v>98</v>
      </c>
      <c r="D2900" s="4" t="s">
        <v>16</v>
      </c>
      <c r="E2900" s="4" t="s">
        <v>1212</v>
      </c>
      <c r="F2900" s="4" t="s">
        <v>406</v>
      </c>
      <c r="G2900" s="4" t="s">
        <v>1213</v>
      </c>
      <c r="H2900" s="12" t="n">
        <v>1</v>
      </c>
      <c r="I2900" s="4" t="s">
        <v>408</v>
      </c>
      <c r="J2900" s="4" t="s">
        <v>409</v>
      </c>
      <c r="K2900" s="13" t="n">
        <v>1200</v>
      </c>
      <c r="L2900" s="6" t="n">
        <f aca="false">H2900*K2900</f>
        <v>1200</v>
      </c>
      <c r="M2900" s="14" t="s">
        <v>410</v>
      </c>
    </row>
    <row r="2901" customFormat="false" ht="23.85" hidden="false" customHeight="false" outlineLevel="0" collapsed="false">
      <c r="A2901" s="4" t="s">
        <v>94</v>
      </c>
      <c r="B2901" s="5" t="s">
        <v>97</v>
      </c>
      <c r="C2901" s="5" t="s">
        <v>98</v>
      </c>
      <c r="D2901" s="4" t="s">
        <v>16</v>
      </c>
      <c r="E2901" s="4" t="s">
        <v>3890</v>
      </c>
      <c r="F2901" s="4" t="s">
        <v>406</v>
      </c>
      <c r="G2901" s="4" t="s">
        <v>3891</v>
      </c>
      <c r="H2901" s="12" t="n">
        <v>1</v>
      </c>
      <c r="I2901" s="4" t="s">
        <v>408</v>
      </c>
      <c r="J2901" s="4" t="s">
        <v>409</v>
      </c>
      <c r="K2901" s="13" t="n">
        <v>18000</v>
      </c>
      <c r="L2901" s="6" t="n">
        <f aca="false">H2901*K2901</f>
        <v>18000</v>
      </c>
      <c r="M2901" s="14" t="s">
        <v>410</v>
      </c>
    </row>
    <row r="2902" customFormat="false" ht="23.85" hidden="false" customHeight="false" outlineLevel="0" collapsed="false">
      <c r="A2902" s="4" t="s">
        <v>94</v>
      </c>
      <c r="B2902" s="5" t="s">
        <v>97</v>
      </c>
      <c r="C2902" s="5" t="s">
        <v>98</v>
      </c>
      <c r="D2902" s="4" t="s">
        <v>16</v>
      </c>
      <c r="E2902" s="4" t="s">
        <v>3892</v>
      </c>
      <c r="F2902" s="4" t="s">
        <v>406</v>
      </c>
      <c r="G2902" s="4" t="s">
        <v>1021</v>
      </c>
      <c r="H2902" s="12" t="n">
        <v>1</v>
      </c>
      <c r="I2902" s="4" t="s">
        <v>408</v>
      </c>
      <c r="J2902" s="4" t="s">
        <v>409</v>
      </c>
      <c r="K2902" s="13" t="n">
        <v>2500</v>
      </c>
      <c r="L2902" s="6" t="n">
        <f aca="false">H2902*K2902</f>
        <v>2500</v>
      </c>
      <c r="M2902" s="14" t="s">
        <v>410</v>
      </c>
    </row>
    <row r="2903" customFormat="false" ht="23.85" hidden="false" customHeight="false" outlineLevel="0" collapsed="false">
      <c r="A2903" s="4" t="s">
        <v>94</v>
      </c>
      <c r="B2903" s="5" t="s">
        <v>97</v>
      </c>
      <c r="C2903" s="5" t="s">
        <v>98</v>
      </c>
      <c r="D2903" s="4" t="s">
        <v>16</v>
      </c>
      <c r="E2903" s="4" t="s">
        <v>3893</v>
      </c>
      <c r="F2903" s="4" t="s">
        <v>406</v>
      </c>
      <c r="G2903" s="4" t="s">
        <v>1023</v>
      </c>
      <c r="H2903" s="12" t="n">
        <v>1</v>
      </c>
      <c r="I2903" s="4" t="s">
        <v>408</v>
      </c>
      <c r="J2903" s="4" t="s">
        <v>409</v>
      </c>
      <c r="K2903" s="13" t="n">
        <v>85000</v>
      </c>
      <c r="L2903" s="6" t="n">
        <f aca="false">H2903*K2903</f>
        <v>85000</v>
      </c>
      <c r="M2903" s="14" t="s">
        <v>410</v>
      </c>
    </row>
    <row r="2904" customFormat="false" ht="23.85" hidden="false" customHeight="false" outlineLevel="0" collapsed="false">
      <c r="A2904" s="4" t="s">
        <v>94</v>
      </c>
      <c r="B2904" s="5" t="s">
        <v>97</v>
      </c>
      <c r="C2904" s="5" t="s">
        <v>98</v>
      </c>
      <c r="D2904" s="4" t="s">
        <v>16</v>
      </c>
      <c r="E2904" s="4" t="s">
        <v>3894</v>
      </c>
      <c r="F2904" s="4" t="s">
        <v>406</v>
      </c>
      <c r="G2904" s="4" t="s">
        <v>977</v>
      </c>
      <c r="H2904" s="12" t="n">
        <v>1</v>
      </c>
      <c r="I2904" s="4" t="s">
        <v>408</v>
      </c>
      <c r="J2904" s="4" t="s">
        <v>409</v>
      </c>
      <c r="K2904" s="13" t="n">
        <v>4500</v>
      </c>
      <c r="L2904" s="6" t="n">
        <f aca="false">H2904*K2904</f>
        <v>4500</v>
      </c>
      <c r="M2904" s="14" t="s">
        <v>410</v>
      </c>
    </row>
    <row r="2905" customFormat="false" ht="23.85" hidden="false" customHeight="false" outlineLevel="0" collapsed="false">
      <c r="A2905" s="4" t="s">
        <v>94</v>
      </c>
      <c r="B2905" s="5" t="s">
        <v>97</v>
      </c>
      <c r="C2905" s="5" t="s">
        <v>98</v>
      </c>
      <c r="D2905" s="4" t="s">
        <v>16</v>
      </c>
      <c r="E2905" s="4" t="s">
        <v>3895</v>
      </c>
      <c r="F2905" s="4" t="s">
        <v>406</v>
      </c>
      <c r="G2905" s="4" t="s">
        <v>3896</v>
      </c>
      <c r="H2905" s="12" t="n">
        <v>1</v>
      </c>
      <c r="I2905" s="4" t="s">
        <v>408</v>
      </c>
      <c r="J2905" s="4" t="s">
        <v>416</v>
      </c>
      <c r="K2905" s="13" t="n">
        <v>4500</v>
      </c>
      <c r="L2905" s="6" t="n">
        <f aca="false">H2905*K2905</f>
        <v>4500</v>
      </c>
      <c r="M2905" s="14" t="s">
        <v>410</v>
      </c>
    </row>
    <row r="2906" customFormat="false" ht="23.85" hidden="false" customHeight="false" outlineLevel="0" collapsed="false">
      <c r="A2906" s="4" t="s">
        <v>94</v>
      </c>
      <c r="B2906" s="5" t="s">
        <v>97</v>
      </c>
      <c r="C2906" s="5" t="s">
        <v>98</v>
      </c>
      <c r="D2906" s="4" t="s">
        <v>16</v>
      </c>
      <c r="E2906" s="4" t="s">
        <v>3897</v>
      </c>
      <c r="F2906" s="4" t="s">
        <v>406</v>
      </c>
      <c r="G2906" s="4" t="s">
        <v>3898</v>
      </c>
      <c r="H2906" s="12" t="n">
        <v>1</v>
      </c>
      <c r="I2906" s="4" t="s">
        <v>408</v>
      </c>
      <c r="J2906" s="4" t="s">
        <v>416</v>
      </c>
      <c r="K2906" s="13" t="n">
        <v>4500</v>
      </c>
      <c r="L2906" s="6" t="n">
        <f aca="false">H2906*K2906</f>
        <v>4500</v>
      </c>
      <c r="M2906" s="14" t="s">
        <v>410</v>
      </c>
    </row>
    <row r="2907" customFormat="false" ht="23.85" hidden="false" customHeight="false" outlineLevel="0" collapsed="false">
      <c r="A2907" s="4" t="s">
        <v>94</v>
      </c>
      <c r="B2907" s="5" t="s">
        <v>97</v>
      </c>
      <c r="C2907" s="5" t="s">
        <v>98</v>
      </c>
      <c r="D2907" s="4" t="s">
        <v>16</v>
      </c>
      <c r="E2907" s="4" t="s">
        <v>3899</v>
      </c>
      <c r="F2907" s="4" t="s">
        <v>406</v>
      </c>
      <c r="G2907" s="4" t="s">
        <v>1027</v>
      </c>
      <c r="H2907" s="12" t="n">
        <v>1</v>
      </c>
      <c r="I2907" s="4" t="s">
        <v>408</v>
      </c>
      <c r="J2907" s="4" t="s">
        <v>409</v>
      </c>
      <c r="K2907" s="13" t="n">
        <v>1800</v>
      </c>
      <c r="L2907" s="6" t="n">
        <f aca="false">H2907*K2907</f>
        <v>1800</v>
      </c>
      <c r="M2907" s="14" t="s">
        <v>410</v>
      </c>
    </row>
    <row r="2908" customFormat="false" ht="23.85" hidden="false" customHeight="false" outlineLevel="0" collapsed="false">
      <c r="A2908" s="4" t="s">
        <v>94</v>
      </c>
      <c r="B2908" s="5" t="s">
        <v>97</v>
      </c>
      <c r="C2908" s="5" t="s">
        <v>98</v>
      </c>
      <c r="D2908" s="4" t="s">
        <v>16</v>
      </c>
      <c r="E2908" s="4" t="s">
        <v>3900</v>
      </c>
      <c r="F2908" s="4" t="s">
        <v>406</v>
      </c>
      <c r="G2908" s="4" t="s">
        <v>1029</v>
      </c>
      <c r="H2908" s="12" t="n">
        <v>1</v>
      </c>
      <c r="I2908" s="4" t="s">
        <v>408</v>
      </c>
      <c r="J2908" s="4" t="s">
        <v>409</v>
      </c>
      <c r="K2908" s="13" t="n">
        <v>650</v>
      </c>
      <c r="L2908" s="6" t="n">
        <f aca="false">H2908*K2908</f>
        <v>650</v>
      </c>
      <c r="M2908" s="4" t="s">
        <v>371</v>
      </c>
    </row>
    <row r="2909" customFormat="false" ht="23.85" hidden="false" customHeight="false" outlineLevel="0" collapsed="false">
      <c r="A2909" s="4" t="s">
        <v>94</v>
      </c>
      <c r="B2909" s="5" t="s">
        <v>97</v>
      </c>
      <c r="C2909" s="5" t="s">
        <v>98</v>
      </c>
      <c r="D2909" s="4" t="s">
        <v>16</v>
      </c>
      <c r="E2909" s="4" t="s">
        <v>1030</v>
      </c>
      <c r="F2909" s="4" t="s">
        <v>406</v>
      </c>
      <c r="G2909" s="4" t="s">
        <v>1031</v>
      </c>
      <c r="H2909" s="12" t="n">
        <v>1</v>
      </c>
      <c r="I2909" s="4" t="s">
        <v>408</v>
      </c>
      <c r="J2909" s="4" t="s">
        <v>409</v>
      </c>
      <c r="K2909" s="13" t="n">
        <v>850</v>
      </c>
      <c r="L2909" s="6" t="n">
        <f aca="false">H2909*K2909</f>
        <v>850</v>
      </c>
      <c r="M2909" s="14" t="s">
        <v>410</v>
      </c>
    </row>
    <row r="2910" customFormat="false" ht="23.85" hidden="false" customHeight="false" outlineLevel="0" collapsed="false">
      <c r="A2910" s="4" t="s">
        <v>94</v>
      </c>
      <c r="B2910" s="5" t="s">
        <v>97</v>
      </c>
      <c r="C2910" s="5" t="s">
        <v>98</v>
      </c>
      <c r="D2910" s="4" t="s">
        <v>16</v>
      </c>
      <c r="E2910" s="4" t="s">
        <v>3901</v>
      </c>
      <c r="F2910" s="4" t="s">
        <v>406</v>
      </c>
      <c r="G2910" s="4" t="s">
        <v>1033</v>
      </c>
      <c r="H2910" s="12" t="n">
        <v>1</v>
      </c>
      <c r="I2910" s="4" t="s">
        <v>408</v>
      </c>
      <c r="J2910" s="4" t="s">
        <v>416</v>
      </c>
      <c r="K2910" s="13" t="n">
        <v>1800</v>
      </c>
      <c r="L2910" s="6" t="n">
        <f aca="false">H2910*K2910</f>
        <v>1800</v>
      </c>
      <c r="M2910" s="4" t="s">
        <v>371</v>
      </c>
    </row>
    <row r="2911" customFormat="false" ht="23.85" hidden="false" customHeight="false" outlineLevel="0" collapsed="false">
      <c r="A2911" s="4" t="s">
        <v>94</v>
      </c>
      <c r="B2911" s="5" t="s">
        <v>97</v>
      </c>
      <c r="C2911" s="5" t="s">
        <v>98</v>
      </c>
      <c r="D2911" s="4" t="s">
        <v>16</v>
      </c>
      <c r="E2911" s="4" t="s">
        <v>3902</v>
      </c>
      <c r="F2911" s="4" t="s">
        <v>406</v>
      </c>
      <c r="G2911" s="4" t="s">
        <v>1011</v>
      </c>
      <c r="H2911" s="12" t="n">
        <v>1</v>
      </c>
      <c r="I2911" s="4" t="s">
        <v>408</v>
      </c>
      <c r="J2911" s="4" t="s">
        <v>409</v>
      </c>
      <c r="K2911" s="13" t="n">
        <v>1800</v>
      </c>
      <c r="L2911" s="6" t="n">
        <f aca="false">H2911*K2911</f>
        <v>1800</v>
      </c>
      <c r="M2911" s="14" t="s">
        <v>410</v>
      </c>
    </row>
    <row r="2912" customFormat="false" ht="23.85" hidden="false" customHeight="false" outlineLevel="0" collapsed="false">
      <c r="A2912" s="4" t="s">
        <v>94</v>
      </c>
      <c r="B2912" s="5" t="s">
        <v>97</v>
      </c>
      <c r="C2912" s="5" t="s">
        <v>98</v>
      </c>
      <c r="D2912" s="4" t="s">
        <v>16</v>
      </c>
      <c r="E2912" s="4" t="s">
        <v>3903</v>
      </c>
      <c r="F2912" s="4" t="s">
        <v>406</v>
      </c>
      <c r="G2912" s="4" t="s">
        <v>1035</v>
      </c>
      <c r="H2912" s="12" t="n">
        <v>1</v>
      </c>
      <c r="I2912" s="4" t="s">
        <v>408</v>
      </c>
      <c r="J2912" s="4" t="s">
        <v>416</v>
      </c>
      <c r="K2912" s="13" t="n">
        <v>850</v>
      </c>
      <c r="L2912" s="6" t="n">
        <f aca="false">H2912*K2912</f>
        <v>850</v>
      </c>
      <c r="M2912" s="14" t="s">
        <v>410</v>
      </c>
    </row>
    <row r="2913" customFormat="false" ht="23.85" hidden="false" customHeight="false" outlineLevel="0" collapsed="false">
      <c r="A2913" s="4" t="s">
        <v>94</v>
      </c>
      <c r="B2913" s="5" t="s">
        <v>97</v>
      </c>
      <c r="C2913" s="5" t="s">
        <v>98</v>
      </c>
      <c r="D2913" s="4" t="s">
        <v>16</v>
      </c>
      <c r="E2913" s="4" t="s">
        <v>3904</v>
      </c>
      <c r="F2913" s="4" t="s">
        <v>406</v>
      </c>
      <c r="G2913" s="4" t="s">
        <v>1037</v>
      </c>
      <c r="H2913" s="12" t="n">
        <v>1</v>
      </c>
      <c r="I2913" s="4" t="s">
        <v>408</v>
      </c>
      <c r="J2913" s="4" t="s">
        <v>409</v>
      </c>
      <c r="K2913" s="13" t="n">
        <v>1800</v>
      </c>
      <c r="L2913" s="6" t="n">
        <f aca="false">H2913*K2913</f>
        <v>1800</v>
      </c>
      <c r="M2913" s="4" t="s">
        <v>371</v>
      </c>
    </row>
    <row r="2914" customFormat="false" ht="23.85" hidden="false" customHeight="false" outlineLevel="0" collapsed="false">
      <c r="A2914" s="4" t="s">
        <v>94</v>
      </c>
      <c r="B2914" s="5" t="s">
        <v>97</v>
      </c>
      <c r="C2914" s="5" t="s">
        <v>98</v>
      </c>
      <c r="D2914" s="4" t="s">
        <v>16</v>
      </c>
      <c r="E2914" s="4" t="s">
        <v>3905</v>
      </c>
      <c r="F2914" s="4" t="s">
        <v>406</v>
      </c>
      <c r="G2914" s="4" t="s">
        <v>1039</v>
      </c>
      <c r="H2914" s="12" t="n">
        <v>1</v>
      </c>
      <c r="I2914" s="4" t="s">
        <v>408</v>
      </c>
      <c r="J2914" s="4" t="s">
        <v>409</v>
      </c>
      <c r="K2914" s="13" t="n">
        <v>4500</v>
      </c>
      <c r="L2914" s="6" t="n">
        <f aca="false">H2914*K2914</f>
        <v>4500</v>
      </c>
      <c r="M2914" s="14" t="s">
        <v>410</v>
      </c>
    </row>
    <row r="2915" customFormat="false" ht="23.85" hidden="false" customHeight="false" outlineLevel="0" collapsed="false">
      <c r="A2915" s="4" t="s">
        <v>94</v>
      </c>
      <c r="B2915" s="5" t="s">
        <v>97</v>
      </c>
      <c r="C2915" s="5" t="s">
        <v>98</v>
      </c>
      <c r="D2915" s="4" t="s">
        <v>16</v>
      </c>
      <c r="E2915" s="4" t="s">
        <v>3906</v>
      </c>
      <c r="F2915" s="4" t="s">
        <v>406</v>
      </c>
      <c r="G2915" s="4" t="s">
        <v>1041</v>
      </c>
      <c r="H2915" s="12" t="n">
        <v>1</v>
      </c>
      <c r="I2915" s="4" t="s">
        <v>408</v>
      </c>
      <c r="J2915" s="4" t="s">
        <v>409</v>
      </c>
      <c r="K2915" s="13" t="n">
        <v>850</v>
      </c>
      <c r="L2915" s="6" t="n">
        <f aca="false">H2915*K2915</f>
        <v>850</v>
      </c>
      <c r="M2915" s="4" t="s">
        <v>371</v>
      </c>
    </row>
    <row r="2916" customFormat="false" ht="23.85" hidden="false" customHeight="false" outlineLevel="0" collapsed="false">
      <c r="A2916" s="4" t="s">
        <v>94</v>
      </c>
      <c r="B2916" s="5" t="s">
        <v>97</v>
      </c>
      <c r="C2916" s="5" t="s">
        <v>98</v>
      </c>
      <c r="D2916" s="4" t="s">
        <v>16</v>
      </c>
      <c r="E2916" s="4" t="s">
        <v>3907</v>
      </c>
      <c r="F2916" s="4" t="s">
        <v>406</v>
      </c>
      <c r="G2916" s="4" t="s">
        <v>1043</v>
      </c>
      <c r="H2916" s="12" t="n">
        <v>1</v>
      </c>
      <c r="I2916" s="4" t="s">
        <v>408</v>
      </c>
      <c r="J2916" s="4" t="s">
        <v>409</v>
      </c>
      <c r="K2916" s="13" t="n">
        <v>4500</v>
      </c>
      <c r="L2916" s="6" t="n">
        <f aca="false">H2916*K2916</f>
        <v>4500</v>
      </c>
      <c r="M2916" s="14" t="s">
        <v>410</v>
      </c>
    </row>
    <row r="2917" customFormat="false" ht="23.85" hidden="false" customHeight="false" outlineLevel="0" collapsed="false">
      <c r="A2917" s="4" t="s">
        <v>94</v>
      </c>
      <c r="B2917" s="5" t="s">
        <v>97</v>
      </c>
      <c r="C2917" s="5" t="s">
        <v>98</v>
      </c>
      <c r="D2917" s="4" t="s">
        <v>16</v>
      </c>
      <c r="E2917" s="4" t="s">
        <v>3908</v>
      </c>
      <c r="F2917" s="4" t="s">
        <v>406</v>
      </c>
      <c r="G2917" s="4" t="s">
        <v>1045</v>
      </c>
      <c r="H2917" s="12" t="n">
        <v>1</v>
      </c>
      <c r="I2917" s="4" t="s">
        <v>408</v>
      </c>
      <c r="J2917" s="4" t="s">
        <v>416</v>
      </c>
      <c r="K2917" s="13" t="n">
        <v>18000</v>
      </c>
      <c r="L2917" s="6" t="n">
        <f aca="false">H2917*K2917</f>
        <v>18000</v>
      </c>
      <c r="M2917" s="4" t="s">
        <v>371</v>
      </c>
    </row>
    <row r="2918" customFormat="false" ht="23.85" hidden="false" customHeight="false" outlineLevel="0" collapsed="false">
      <c r="A2918" s="4" t="s">
        <v>94</v>
      </c>
      <c r="B2918" s="5" t="s">
        <v>97</v>
      </c>
      <c r="C2918" s="5" t="s">
        <v>98</v>
      </c>
      <c r="D2918" s="4" t="s">
        <v>16</v>
      </c>
      <c r="E2918" s="4" t="s">
        <v>3909</v>
      </c>
      <c r="F2918" s="4" t="s">
        <v>406</v>
      </c>
      <c r="G2918" s="4" t="s">
        <v>1047</v>
      </c>
      <c r="H2918" s="12" t="n">
        <v>1</v>
      </c>
      <c r="I2918" s="4" t="s">
        <v>408</v>
      </c>
      <c r="J2918" s="4" t="s">
        <v>416</v>
      </c>
      <c r="K2918" s="13" t="n">
        <v>18000</v>
      </c>
      <c r="L2918" s="6" t="n">
        <f aca="false">H2918*K2918</f>
        <v>18000</v>
      </c>
      <c r="M2918" s="14" t="s">
        <v>410</v>
      </c>
    </row>
    <row r="2919" customFormat="false" ht="23.85" hidden="false" customHeight="false" outlineLevel="0" collapsed="false">
      <c r="A2919" s="4" t="s">
        <v>94</v>
      </c>
      <c r="B2919" s="5" t="s">
        <v>97</v>
      </c>
      <c r="C2919" s="5" t="s">
        <v>98</v>
      </c>
      <c r="D2919" s="4" t="s">
        <v>16</v>
      </c>
      <c r="E2919" s="4" t="s">
        <v>3910</v>
      </c>
      <c r="F2919" s="4" t="s">
        <v>406</v>
      </c>
      <c r="G2919" s="4" t="s">
        <v>1055</v>
      </c>
      <c r="H2919" s="12" t="n">
        <v>1</v>
      </c>
      <c r="I2919" s="4" t="s">
        <v>408</v>
      </c>
      <c r="J2919" s="4" t="s">
        <v>409</v>
      </c>
      <c r="K2919" s="13" t="n">
        <v>350000</v>
      </c>
      <c r="L2919" s="6" t="n">
        <f aca="false">H2919*K2919</f>
        <v>350000</v>
      </c>
      <c r="M2919" s="14" t="s">
        <v>410</v>
      </c>
    </row>
    <row r="2920" customFormat="false" ht="23.85" hidden="false" customHeight="false" outlineLevel="0" collapsed="false">
      <c r="A2920" s="4" t="s">
        <v>94</v>
      </c>
      <c r="B2920" s="5" t="s">
        <v>97</v>
      </c>
      <c r="C2920" s="5" t="s">
        <v>98</v>
      </c>
      <c r="D2920" s="4" t="s">
        <v>16</v>
      </c>
      <c r="E2920" s="4" t="s">
        <v>3911</v>
      </c>
      <c r="F2920" s="4" t="s">
        <v>406</v>
      </c>
      <c r="G2920" s="4" t="s">
        <v>1049</v>
      </c>
      <c r="H2920" s="12" t="n">
        <v>1</v>
      </c>
      <c r="I2920" s="4" t="s">
        <v>408</v>
      </c>
      <c r="J2920" s="4" t="s">
        <v>416</v>
      </c>
      <c r="K2920" s="13" t="n">
        <v>18000</v>
      </c>
      <c r="L2920" s="6" t="n">
        <f aca="false">H2920*K2920</f>
        <v>18000</v>
      </c>
      <c r="M2920" s="14" t="s">
        <v>410</v>
      </c>
    </row>
    <row r="2921" customFormat="false" ht="23.85" hidden="false" customHeight="false" outlineLevel="0" collapsed="false">
      <c r="A2921" s="4" t="s">
        <v>94</v>
      </c>
      <c r="B2921" s="5" t="s">
        <v>97</v>
      </c>
      <c r="C2921" s="5" t="s">
        <v>98</v>
      </c>
      <c r="D2921" s="4" t="s">
        <v>16</v>
      </c>
      <c r="E2921" s="4" t="s">
        <v>3912</v>
      </c>
      <c r="F2921" s="4" t="s">
        <v>406</v>
      </c>
      <c r="G2921" s="4" t="s">
        <v>1051</v>
      </c>
      <c r="H2921" s="12" t="n">
        <v>1</v>
      </c>
      <c r="I2921" s="4" t="s">
        <v>408</v>
      </c>
      <c r="J2921" s="4" t="s">
        <v>409</v>
      </c>
      <c r="K2921" s="13" t="n">
        <v>8500</v>
      </c>
      <c r="L2921" s="6" t="n">
        <f aca="false">H2921*K2921</f>
        <v>8500</v>
      </c>
      <c r="M2921" s="14" t="s">
        <v>410</v>
      </c>
    </row>
    <row r="2922" customFormat="false" ht="23.85" hidden="false" customHeight="false" outlineLevel="0" collapsed="false">
      <c r="A2922" s="4" t="s">
        <v>94</v>
      </c>
      <c r="B2922" s="5" t="s">
        <v>97</v>
      </c>
      <c r="C2922" s="5" t="s">
        <v>98</v>
      </c>
      <c r="D2922" s="4" t="s">
        <v>16</v>
      </c>
      <c r="E2922" s="4" t="s">
        <v>1220</v>
      </c>
      <c r="F2922" s="4" t="s">
        <v>406</v>
      </c>
      <c r="G2922" s="4" t="s">
        <v>1221</v>
      </c>
      <c r="H2922" s="12" t="n">
        <v>1</v>
      </c>
      <c r="I2922" s="4" t="s">
        <v>408</v>
      </c>
      <c r="J2922" s="4" t="s">
        <v>416</v>
      </c>
      <c r="K2922" s="13" t="n">
        <v>2500</v>
      </c>
      <c r="L2922" s="6" t="n">
        <f aca="false">H2922*K2922</f>
        <v>2500</v>
      </c>
      <c r="M2922" s="14" t="s">
        <v>410</v>
      </c>
    </row>
    <row r="2923" customFormat="false" ht="23.85" hidden="false" customHeight="false" outlineLevel="0" collapsed="false">
      <c r="A2923" s="4" t="s">
        <v>94</v>
      </c>
      <c r="B2923" s="5" t="s">
        <v>97</v>
      </c>
      <c r="C2923" s="5" t="s">
        <v>98</v>
      </c>
      <c r="D2923" s="4" t="s">
        <v>16</v>
      </c>
      <c r="E2923" s="4" t="s">
        <v>1052</v>
      </c>
      <c r="F2923" s="4" t="s">
        <v>406</v>
      </c>
      <c r="G2923" s="4" t="s">
        <v>1053</v>
      </c>
      <c r="H2923" s="12" t="n">
        <v>1</v>
      </c>
      <c r="I2923" s="4" t="s">
        <v>408</v>
      </c>
      <c r="J2923" s="4" t="s">
        <v>409</v>
      </c>
      <c r="K2923" s="13" t="n">
        <v>25000</v>
      </c>
      <c r="L2923" s="6" t="n">
        <f aca="false">H2923*K2923</f>
        <v>25000</v>
      </c>
      <c r="M2923" s="14" t="s">
        <v>410</v>
      </c>
    </row>
    <row r="2924" customFormat="false" ht="23.85" hidden="false" customHeight="false" outlineLevel="0" collapsed="false">
      <c r="A2924" s="4" t="s">
        <v>94</v>
      </c>
      <c r="B2924" s="5" t="s">
        <v>97</v>
      </c>
      <c r="C2924" s="5" t="s">
        <v>98</v>
      </c>
      <c r="D2924" s="4" t="s">
        <v>16</v>
      </c>
      <c r="E2924" s="4" t="s">
        <v>3913</v>
      </c>
      <c r="F2924" s="4" t="s">
        <v>406</v>
      </c>
      <c r="G2924" s="4" t="s">
        <v>3914</v>
      </c>
      <c r="H2924" s="12" t="n">
        <v>1</v>
      </c>
      <c r="I2924" s="4" t="s">
        <v>408</v>
      </c>
      <c r="J2924" s="4" t="s">
        <v>409</v>
      </c>
      <c r="K2924" s="13" t="n">
        <v>850000</v>
      </c>
      <c r="L2924" s="6" t="n">
        <f aca="false">H2924*K2924</f>
        <v>850000</v>
      </c>
      <c r="M2924" s="14" t="s">
        <v>410</v>
      </c>
    </row>
    <row r="2925" customFormat="false" ht="23.85" hidden="false" customHeight="false" outlineLevel="0" collapsed="false">
      <c r="A2925" s="4" t="s">
        <v>94</v>
      </c>
      <c r="B2925" s="5" t="s">
        <v>97</v>
      </c>
      <c r="C2925" s="5" t="s">
        <v>98</v>
      </c>
      <c r="D2925" s="4" t="s">
        <v>16</v>
      </c>
      <c r="E2925" s="4" t="s">
        <v>3915</v>
      </c>
      <c r="F2925" s="4" t="s">
        <v>406</v>
      </c>
      <c r="G2925" s="4" t="s">
        <v>3916</v>
      </c>
      <c r="H2925" s="12" t="n">
        <v>1</v>
      </c>
      <c r="I2925" s="4" t="s">
        <v>408</v>
      </c>
      <c r="J2925" s="4" t="s">
        <v>409</v>
      </c>
      <c r="K2925" s="13" t="n">
        <v>35000</v>
      </c>
      <c r="L2925" s="6" t="n">
        <f aca="false">H2925*K2925</f>
        <v>35000</v>
      </c>
      <c r="M2925" s="14" t="s">
        <v>410</v>
      </c>
    </row>
    <row r="2926" customFormat="false" ht="23.85" hidden="false" customHeight="false" outlineLevel="0" collapsed="false">
      <c r="A2926" s="4" t="s">
        <v>94</v>
      </c>
      <c r="B2926" s="5" t="s">
        <v>97</v>
      </c>
      <c r="C2926" s="5" t="s">
        <v>98</v>
      </c>
      <c r="D2926" s="4" t="s">
        <v>16</v>
      </c>
      <c r="E2926" s="4" t="s">
        <v>3917</v>
      </c>
      <c r="F2926" s="4" t="s">
        <v>406</v>
      </c>
      <c r="G2926" s="4" t="s">
        <v>1057</v>
      </c>
      <c r="H2926" s="12" t="n">
        <v>1</v>
      </c>
      <c r="I2926" s="4" t="s">
        <v>408</v>
      </c>
      <c r="J2926" s="4" t="s">
        <v>409</v>
      </c>
      <c r="K2926" s="13" t="n">
        <v>850000</v>
      </c>
      <c r="L2926" s="6" t="n">
        <f aca="false">H2926*K2926</f>
        <v>850000</v>
      </c>
      <c r="M2926" s="14" t="s">
        <v>410</v>
      </c>
    </row>
    <row r="2927" customFormat="false" ht="23.85" hidden="false" customHeight="false" outlineLevel="0" collapsed="false">
      <c r="A2927" s="4" t="s">
        <v>94</v>
      </c>
      <c r="B2927" s="5" t="s">
        <v>97</v>
      </c>
      <c r="C2927" s="5" t="s">
        <v>98</v>
      </c>
      <c r="D2927" s="4" t="s">
        <v>16</v>
      </c>
      <c r="E2927" s="4" t="s">
        <v>1058</v>
      </c>
      <c r="F2927" s="4" t="s">
        <v>470</v>
      </c>
      <c r="G2927" s="4" t="s">
        <v>1059</v>
      </c>
      <c r="H2927" s="12" t="n">
        <v>1</v>
      </c>
      <c r="I2927" s="4" t="s">
        <v>408</v>
      </c>
      <c r="J2927" s="4" t="s">
        <v>409</v>
      </c>
      <c r="K2927" s="13" t="n">
        <v>45000</v>
      </c>
      <c r="L2927" s="6" t="n">
        <f aca="false">H2927*K2927</f>
        <v>45000</v>
      </c>
      <c r="M2927" s="14" t="s">
        <v>410</v>
      </c>
    </row>
    <row r="2928" customFormat="false" ht="23.85" hidden="false" customHeight="false" outlineLevel="0" collapsed="false">
      <c r="A2928" s="4" t="s">
        <v>94</v>
      </c>
      <c r="B2928" s="5" t="s">
        <v>97</v>
      </c>
      <c r="C2928" s="5" t="s">
        <v>98</v>
      </c>
      <c r="D2928" s="4" t="s">
        <v>16</v>
      </c>
      <c r="E2928" s="4" t="s">
        <v>1060</v>
      </c>
      <c r="F2928" s="4" t="s">
        <v>470</v>
      </c>
      <c r="G2928" s="4" t="s">
        <v>1061</v>
      </c>
      <c r="H2928" s="12" t="n">
        <v>1</v>
      </c>
      <c r="I2928" s="4" t="s">
        <v>408</v>
      </c>
      <c r="J2928" s="4" t="s">
        <v>409</v>
      </c>
      <c r="K2928" s="13" t="n">
        <v>45000</v>
      </c>
      <c r="L2928" s="6" t="n">
        <f aca="false">H2928*K2928</f>
        <v>45000</v>
      </c>
      <c r="M2928" s="14" t="s">
        <v>410</v>
      </c>
    </row>
    <row r="2929" customFormat="false" ht="23.85" hidden="false" customHeight="false" outlineLevel="0" collapsed="false">
      <c r="A2929" s="4" t="s">
        <v>94</v>
      </c>
      <c r="B2929" s="5" t="s">
        <v>97</v>
      </c>
      <c r="C2929" s="5" t="s">
        <v>98</v>
      </c>
      <c r="D2929" s="4" t="s">
        <v>16</v>
      </c>
      <c r="E2929" s="4" t="s">
        <v>1062</v>
      </c>
      <c r="F2929" s="4" t="s">
        <v>470</v>
      </c>
      <c r="G2929" s="4" t="s">
        <v>1063</v>
      </c>
      <c r="H2929" s="12" t="n">
        <v>1</v>
      </c>
      <c r="I2929" s="4" t="s">
        <v>408</v>
      </c>
      <c r="J2929" s="4" t="s">
        <v>409</v>
      </c>
      <c r="K2929" s="13" t="n">
        <v>6500</v>
      </c>
      <c r="L2929" s="6" t="n">
        <f aca="false">H2929*K2929</f>
        <v>6500</v>
      </c>
      <c r="M2929" s="14" t="s">
        <v>410</v>
      </c>
    </row>
    <row r="2930" customFormat="false" ht="23.85" hidden="false" customHeight="false" outlineLevel="0" collapsed="false">
      <c r="A2930" s="4" t="s">
        <v>94</v>
      </c>
      <c r="B2930" s="5" t="s">
        <v>97</v>
      </c>
      <c r="C2930" s="5" t="s">
        <v>98</v>
      </c>
      <c r="D2930" s="4" t="s">
        <v>16</v>
      </c>
      <c r="E2930" s="4" t="s">
        <v>3918</v>
      </c>
      <c r="F2930" s="4" t="s">
        <v>470</v>
      </c>
      <c r="G2930" s="4" t="s">
        <v>3919</v>
      </c>
      <c r="H2930" s="12" t="n">
        <v>1</v>
      </c>
      <c r="I2930" s="4" t="s">
        <v>408</v>
      </c>
      <c r="J2930" s="4" t="s">
        <v>543</v>
      </c>
      <c r="K2930" s="13" t="n">
        <v>12000</v>
      </c>
      <c r="L2930" s="6" t="n">
        <f aca="false">H2930*K2930</f>
        <v>12000</v>
      </c>
      <c r="M2930" s="4" t="s">
        <v>371</v>
      </c>
    </row>
    <row r="2931" customFormat="false" ht="23.85" hidden="false" customHeight="false" outlineLevel="0" collapsed="false">
      <c r="A2931" s="4" t="s">
        <v>94</v>
      </c>
      <c r="B2931" s="5" t="s">
        <v>97</v>
      </c>
      <c r="C2931" s="5" t="s">
        <v>98</v>
      </c>
      <c r="D2931" s="4" t="s">
        <v>16</v>
      </c>
      <c r="E2931" s="4" t="s">
        <v>1222</v>
      </c>
      <c r="F2931" s="4" t="s">
        <v>470</v>
      </c>
      <c r="G2931" s="4" t="s">
        <v>1223</v>
      </c>
      <c r="H2931" s="12" t="n">
        <v>1</v>
      </c>
      <c r="I2931" s="4" t="s">
        <v>408</v>
      </c>
      <c r="J2931" s="4" t="s">
        <v>409</v>
      </c>
      <c r="K2931" s="13" t="n">
        <v>8500</v>
      </c>
      <c r="L2931" s="6" t="n">
        <f aca="false">H2931*K2931</f>
        <v>8500</v>
      </c>
      <c r="M2931" s="4" t="s">
        <v>371</v>
      </c>
    </row>
    <row r="2932" customFormat="false" ht="23.85" hidden="false" customHeight="false" outlineLevel="0" collapsed="false">
      <c r="A2932" s="4" t="s">
        <v>94</v>
      </c>
      <c r="B2932" s="5" t="s">
        <v>97</v>
      </c>
      <c r="C2932" s="5" t="s">
        <v>98</v>
      </c>
      <c r="D2932" s="4" t="s">
        <v>16</v>
      </c>
      <c r="E2932" s="4" t="s">
        <v>3920</v>
      </c>
      <c r="F2932" s="4" t="s">
        <v>470</v>
      </c>
      <c r="G2932" s="4" t="s">
        <v>3921</v>
      </c>
      <c r="H2932" s="12" t="n">
        <v>1</v>
      </c>
      <c r="I2932" s="4" t="s">
        <v>408</v>
      </c>
      <c r="J2932" s="4" t="s">
        <v>416</v>
      </c>
      <c r="K2932" s="13" t="n">
        <v>4500</v>
      </c>
      <c r="L2932" s="6" t="n">
        <f aca="false">H2932*K2932</f>
        <v>4500</v>
      </c>
      <c r="M2932" s="4" t="s">
        <v>371</v>
      </c>
    </row>
    <row r="2933" customFormat="false" ht="23.85" hidden="false" customHeight="false" outlineLevel="0" collapsed="false">
      <c r="A2933" s="4" t="s">
        <v>94</v>
      </c>
      <c r="B2933" s="5" t="s">
        <v>97</v>
      </c>
      <c r="C2933" s="5" t="s">
        <v>98</v>
      </c>
      <c r="D2933" s="4" t="s">
        <v>16</v>
      </c>
      <c r="E2933" s="4" t="s">
        <v>3922</v>
      </c>
      <c r="F2933" s="4" t="s">
        <v>470</v>
      </c>
      <c r="G2933" s="4" t="s">
        <v>1521</v>
      </c>
      <c r="H2933" s="12" t="n">
        <v>1</v>
      </c>
      <c r="I2933" s="4" t="s">
        <v>408</v>
      </c>
      <c r="J2933" s="4" t="s">
        <v>409</v>
      </c>
      <c r="K2933" s="13" t="n">
        <v>4500</v>
      </c>
      <c r="L2933" s="6" t="n">
        <f aca="false">H2933*K2933</f>
        <v>4500</v>
      </c>
      <c r="M2933" s="4" t="s">
        <v>371</v>
      </c>
    </row>
    <row r="2934" customFormat="false" ht="23.85" hidden="false" customHeight="false" outlineLevel="0" collapsed="false">
      <c r="A2934" s="4" t="s">
        <v>94</v>
      </c>
      <c r="B2934" s="5" t="s">
        <v>97</v>
      </c>
      <c r="C2934" s="5" t="s">
        <v>98</v>
      </c>
      <c r="D2934" s="4" t="s">
        <v>16</v>
      </c>
      <c r="E2934" s="4" t="s">
        <v>3923</v>
      </c>
      <c r="F2934" s="4" t="s">
        <v>470</v>
      </c>
      <c r="G2934" s="4" t="s">
        <v>1025</v>
      </c>
      <c r="H2934" s="12" t="n">
        <v>1</v>
      </c>
      <c r="I2934" s="4" t="s">
        <v>408</v>
      </c>
      <c r="J2934" s="4" t="s">
        <v>409</v>
      </c>
      <c r="K2934" s="13" t="n">
        <v>4500</v>
      </c>
      <c r="L2934" s="6" t="n">
        <f aca="false">H2934*K2934</f>
        <v>4500</v>
      </c>
      <c r="M2934" s="14" t="s">
        <v>410</v>
      </c>
    </row>
    <row r="2935" customFormat="false" ht="23.85" hidden="false" customHeight="false" outlineLevel="0" collapsed="false">
      <c r="A2935" s="4" t="s">
        <v>94</v>
      </c>
      <c r="B2935" s="5" t="s">
        <v>97</v>
      </c>
      <c r="C2935" s="5" t="s">
        <v>98</v>
      </c>
      <c r="D2935" s="4" t="s">
        <v>16</v>
      </c>
      <c r="E2935" s="4" t="s">
        <v>472</v>
      </c>
      <c r="F2935" s="4" t="s">
        <v>470</v>
      </c>
      <c r="G2935" s="4" t="s">
        <v>473</v>
      </c>
      <c r="H2935" s="12" t="n">
        <v>1</v>
      </c>
      <c r="I2935" s="4" t="s">
        <v>408</v>
      </c>
      <c r="J2935" s="4" t="s">
        <v>475</v>
      </c>
      <c r="K2935" s="13" t="n">
        <v>180</v>
      </c>
      <c r="L2935" s="6" t="n">
        <f aca="false">H2935*K2935</f>
        <v>180</v>
      </c>
      <c r="M2935" s="4" t="s">
        <v>371</v>
      </c>
    </row>
    <row r="2936" customFormat="false" ht="23.85" hidden="false" customHeight="false" outlineLevel="0" collapsed="false">
      <c r="A2936" s="4" t="s">
        <v>94</v>
      </c>
      <c r="B2936" s="5" t="s">
        <v>97</v>
      </c>
      <c r="C2936" s="5" t="s">
        <v>98</v>
      </c>
      <c r="D2936" s="4" t="s">
        <v>16</v>
      </c>
      <c r="E2936" s="4" t="s">
        <v>1095</v>
      </c>
      <c r="F2936" s="4" t="s">
        <v>470</v>
      </c>
      <c r="G2936" s="4" t="s">
        <v>1088</v>
      </c>
      <c r="H2936" s="12" t="n">
        <v>1</v>
      </c>
      <c r="I2936" s="4" t="s">
        <v>408</v>
      </c>
      <c r="J2936" s="4" t="s">
        <v>475</v>
      </c>
      <c r="K2936" s="13" t="n">
        <v>4500</v>
      </c>
      <c r="L2936" s="6" t="n">
        <f aca="false">H2936*K2936</f>
        <v>4500</v>
      </c>
      <c r="M2936" s="4" t="s">
        <v>371</v>
      </c>
    </row>
    <row r="2937" customFormat="false" ht="23.85" hidden="false" customHeight="false" outlineLevel="0" collapsed="false">
      <c r="A2937" s="4" t="s">
        <v>94</v>
      </c>
      <c r="B2937" s="5" t="s">
        <v>97</v>
      </c>
      <c r="C2937" s="5" t="s">
        <v>98</v>
      </c>
      <c r="D2937" s="4" t="s">
        <v>16</v>
      </c>
      <c r="E2937" s="4" t="s">
        <v>3924</v>
      </c>
      <c r="F2937" s="4" t="s">
        <v>470</v>
      </c>
      <c r="G2937" s="4" t="s">
        <v>1097</v>
      </c>
      <c r="H2937" s="12" t="n">
        <v>1</v>
      </c>
      <c r="I2937" s="4" t="s">
        <v>408</v>
      </c>
      <c r="J2937" s="4" t="s">
        <v>475</v>
      </c>
      <c r="K2937" s="13" t="n">
        <v>350</v>
      </c>
      <c r="L2937" s="6" t="n">
        <f aca="false">H2937*K2937</f>
        <v>350</v>
      </c>
      <c r="M2937" s="4" t="s">
        <v>371</v>
      </c>
    </row>
    <row r="2938" customFormat="false" ht="23.85" hidden="false" customHeight="false" outlineLevel="0" collapsed="false">
      <c r="A2938" s="4" t="s">
        <v>94</v>
      </c>
      <c r="B2938" s="5" t="s">
        <v>97</v>
      </c>
      <c r="C2938" s="5" t="s">
        <v>98</v>
      </c>
      <c r="D2938" s="4" t="s">
        <v>16</v>
      </c>
      <c r="E2938" s="4" t="s">
        <v>3925</v>
      </c>
      <c r="F2938" s="4" t="s">
        <v>470</v>
      </c>
      <c r="G2938" s="4" t="s">
        <v>1099</v>
      </c>
      <c r="H2938" s="12" t="n">
        <v>1</v>
      </c>
      <c r="I2938" s="4" t="s">
        <v>408</v>
      </c>
      <c r="J2938" s="4" t="s">
        <v>475</v>
      </c>
      <c r="K2938" s="13" t="n">
        <v>120</v>
      </c>
      <c r="L2938" s="6" t="n">
        <f aca="false">H2938*K2938</f>
        <v>120</v>
      </c>
      <c r="M2938" s="4" t="s">
        <v>371</v>
      </c>
    </row>
    <row r="2939" customFormat="false" ht="23.85" hidden="false" customHeight="false" outlineLevel="0" collapsed="false">
      <c r="A2939" s="4" t="s">
        <v>94</v>
      </c>
      <c r="B2939" s="5" t="s">
        <v>97</v>
      </c>
      <c r="C2939" s="5" t="s">
        <v>98</v>
      </c>
      <c r="D2939" s="4" t="s">
        <v>16</v>
      </c>
      <c r="E2939" s="4" t="s">
        <v>3926</v>
      </c>
      <c r="F2939" s="4" t="s">
        <v>470</v>
      </c>
      <c r="G2939" s="4" t="s">
        <v>1101</v>
      </c>
      <c r="H2939" s="12" t="n">
        <v>1</v>
      </c>
      <c r="I2939" s="4" t="s">
        <v>408</v>
      </c>
      <c r="J2939" s="4" t="s">
        <v>409</v>
      </c>
      <c r="K2939" s="13" t="n">
        <v>1800</v>
      </c>
      <c r="L2939" s="6" t="n">
        <f aca="false">H2939*K2939</f>
        <v>1800</v>
      </c>
      <c r="M2939" s="4" t="s">
        <v>371</v>
      </c>
    </row>
    <row r="2940" customFormat="false" ht="23.85" hidden="false" customHeight="false" outlineLevel="0" collapsed="false">
      <c r="A2940" s="4" t="s">
        <v>94</v>
      </c>
      <c r="B2940" s="5" t="s">
        <v>97</v>
      </c>
      <c r="C2940" s="5" t="s">
        <v>98</v>
      </c>
      <c r="D2940" s="4" t="s">
        <v>16</v>
      </c>
      <c r="E2940" s="4" t="s">
        <v>1104</v>
      </c>
      <c r="F2940" s="4" t="s">
        <v>470</v>
      </c>
      <c r="G2940" s="4" t="s">
        <v>1105</v>
      </c>
      <c r="H2940" s="12" t="n">
        <v>1</v>
      </c>
      <c r="I2940" s="4" t="s">
        <v>408</v>
      </c>
      <c r="J2940" s="4" t="s">
        <v>409</v>
      </c>
      <c r="K2940" s="13" t="n">
        <v>3500</v>
      </c>
      <c r="L2940" s="6" t="n">
        <f aca="false">H2940*K2940</f>
        <v>3500</v>
      </c>
      <c r="M2940" s="4" t="s">
        <v>371</v>
      </c>
    </row>
    <row r="2941" customFormat="false" ht="23.85" hidden="false" customHeight="false" outlineLevel="0" collapsed="false">
      <c r="A2941" s="4" t="s">
        <v>94</v>
      </c>
      <c r="B2941" s="5" t="s">
        <v>97</v>
      </c>
      <c r="C2941" s="5" t="s">
        <v>98</v>
      </c>
      <c r="D2941" s="4" t="s">
        <v>16</v>
      </c>
      <c r="E2941" s="4" t="s">
        <v>1106</v>
      </c>
      <c r="F2941" s="4" t="s">
        <v>470</v>
      </c>
      <c r="G2941" s="4" t="s">
        <v>1107</v>
      </c>
      <c r="H2941" s="12" t="n">
        <v>1</v>
      </c>
      <c r="I2941" s="4" t="s">
        <v>408</v>
      </c>
      <c r="J2941" s="4" t="s">
        <v>413</v>
      </c>
      <c r="K2941" s="13" t="n">
        <v>450</v>
      </c>
      <c r="L2941" s="6" t="n">
        <f aca="false">H2941*K2941</f>
        <v>450</v>
      </c>
      <c r="M2941" s="4" t="s">
        <v>371</v>
      </c>
    </row>
    <row r="2942" customFormat="false" ht="23.85" hidden="false" customHeight="false" outlineLevel="0" collapsed="false">
      <c r="A2942" s="4" t="s">
        <v>94</v>
      </c>
      <c r="B2942" s="5" t="s">
        <v>97</v>
      </c>
      <c r="C2942" s="5" t="s">
        <v>98</v>
      </c>
      <c r="D2942" s="4" t="s">
        <v>16</v>
      </c>
      <c r="E2942" s="4" t="s">
        <v>3927</v>
      </c>
      <c r="F2942" s="4" t="s">
        <v>470</v>
      </c>
      <c r="G2942" s="4" t="s">
        <v>3928</v>
      </c>
      <c r="H2942" s="12" t="n">
        <v>1</v>
      </c>
      <c r="I2942" s="4" t="s">
        <v>408</v>
      </c>
      <c r="J2942" s="4" t="s">
        <v>416</v>
      </c>
      <c r="K2942" s="13" t="n">
        <v>150000</v>
      </c>
      <c r="L2942" s="6" t="n">
        <f aca="false">H2942*K2942</f>
        <v>150000</v>
      </c>
      <c r="M2942" s="4" t="s">
        <v>371</v>
      </c>
    </row>
    <row r="2943" customFormat="false" ht="23.85" hidden="false" customHeight="false" outlineLevel="0" collapsed="false">
      <c r="A2943" s="4" t="s">
        <v>94</v>
      </c>
      <c r="B2943" s="5" t="s">
        <v>97</v>
      </c>
      <c r="C2943" s="5" t="s">
        <v>98</v>
      </c>
      <c r="D2943" s="4" t="s">
        <v>16</v>
      </c>
      <c r="E2943" s="4" t="s">
        <v>3929</v>
      </c>
      <c r="F2943" s="4" t="s">
        <v>470</v>
      </c>
      <c r="G2943" s="4" t="s">
        <v>3930</v>
      </c>
      <c r="H2943" s="12" t="n">
        <v>1</v>
      </c>
      <c r="I2943" s="4" t="s">
        <v>408</v>
      </c>
      <c r="J2943" s="4" t="s">
        <v>416</v>
      </c>
      <c r="K2943" s="13" t="n">
        <v>8500</v>
      </c>
      <c r="L2943" s="6" t="n">
        <f aca="false">H2943*K2943</f>
        <v>8500</v>
      </c>
      <c r="M2943" s="4" t="s">
        <v>371</v>
      </c>
    </row>
    <row r="2944" customFormat="false" ht="23.85" hidden="false" customHeight="false" outlineLevel="0" collapsed="false">
      <c r="A2944" s="4" t="s">
        <v>94</v>
      </c>
      <c r="B2944" s="5" t="s">
        <v>97</v>
      </c>
      <c r="C2944" s="5" t="s">
        <v>98</v>
      </c>
      <c r="D2944" s="4" t="s">
        <v>16</v>
      </c>
      <c r="E2944" s="4" t="s">
        <v>3931</v>
      </c>
      <c r="F2944" s="4" t="s">
        <v>470</v>
      </c>
      <c r="G2944" s="4" t="s">
        <v>3932</v>
      </c>
      <c r="H2944" s="12" t="n">
        <v>1</v>
      </c>
      <c r="I2944" s="4" t="s">
        <v>408</v>
      </c>
      <c r="J2944" s="4" t="s">
        <v>416</v>
      </c>
      <c r="K2944" s="13" t="n">
        <v>85000</v>
      </c>
      <c r="L2944" s="6" t="n">
        <f aca="false">H2944*K2944</f>
        <v>85000</v>
      </c>
      <c r="M2944" s="4" t="s">
        <v>371</v>
      </c>
    </row>
    <row r="2945" customFormat="false" ht="23.85" hidden="false" customHeight="false" outlineLevel="0" collapsed="false">
      <c r="A2945" s="4" t="s">
        <v>94</v>
      </c>
      <c r="B2945" s="5" t="s">
        <v>97</v>
      </c>
      <c r="C2945" s="5" t="s">
        <v>98</v>
      </c>
      <c r="D2945" s="4" t="s">
        <v>16</v>
      </c>
      <c r="E2945" s="4" t="s">
        <v>3933</v>
      </c>
      <c r="F2945" s="4" t="s">
        <v>470</v>
      </c>
      <c r="G2945" s="4" t="s">
        <v>3934</v>
      </c>
      <c r="H2945" s="12" t="n">
        <v>1</v>
      </c>
      <c r="I2945" s="4" t="s">
        <v>408</v>
      </c>
      <c r="J2945" s="4" t="s">
        <v>416</v>
      </c>
      <c r="K2945" s="13" t="n">
        <v>18000</v>
      </c>
      <c r="L2945" s="6" t="n">
        <f aca="false">H2945*K2945</f>
        <v>18000</v>
      </c>
      <c r="M2945" s="4" t="s">
        <v>371</v>
      </c>
    </row>
    <row r="2946" customFormat="false" ht="23.85" hidden="false" customHeight="false" outlineLevel="0" collapsed="false">
      <c r="A2946" s="4" t="s">
        <v>94</v>
      </c>
      <c r="B2946" s="5" t="s">
        <v>97</v>
      </c>
      <c r="C2946" s="5" t="s">
        <v>98</v>
      </c>
      <c r="D2946" s="4" t="s">
        <v>16</v>
      </c>
      <c r="E2946" s="4" t="s">
        <v>3935</v>
      </c>
      <c r="F2946" s="4" t="s">
        <v>470</v>
      </c>
      <c r="G2946" s="4" t="s">
        <v>3936</v>
      </c>
      <c r="H2946" s="12" t="n">
        <v>1</v>
      </c>
      <c r="I2946" s="4" t="s">
        <v>408</v>
      </c>
      <c r="J2946" s="4" t="s">
        <v>543</v>
      </c>
      <c r="K2946" s="13" t="n">
        <v>85000</v>
      </c>
      <c r="L2946" s="6" t="n">
        <f aca="false">H2946*K2946</f>
        <v>85000</v>
      </c>
      <c r="M2946" s="4" t="s">
        <v>371</v>
      </c>
    </row>
    <row r="2947" customFormat="false" ht="23.85" hidden="false" customHeight="false" outlineLevel="0" collapsed="false">
      <c r="A2947" s="4" t="s">
        <v>94</v>
      </c>
      <c r="B2947" s="5" t="s">
        <v>97</v>
      </c>
      <c r="C2947" s="5" t="s">
        <v>98</v>
      </c>
      <c r="D2947" s="4" t="s">
        <v>16</v>
      </c>
      <c r="E2947" s="4" t="s">
        <v>3937</v>
      </c>
      <c r="F2947" s="4" t="s">
        <v>470</v>
      </c>
      <c r="G2947" s="4" t="s">
        <v>3938</v>
      </c>
      <c r="H2947" s="12" t="n">
        <v>1</v>
      </c>
      <c r="I2947" s="4" t="s">
        <v>408</v>
      </c>
      <c r="J2947" s="4" t="s">
        <v>416</v>
      </c>
      <c r="K2947" s="13" t="n">
        <v>45000</v>
      </c>
      <c r="L2947" s="6" t="n">
        <f aca="false">H2947*K2947</f>
        <v>45000</v>
      </c>
      <c r="M2947" s="4" t="s">
        <v>371</v>
      </c>
    </row>
    <row r="2948" customFormat="false" ht="23.85" hidden="false" customHeight="false" outlineLevel="0" collapsed="false">
      <c r="A2948" s="4" t="s">
        <v>94</v>
      </c>
      <c r="B2948" s="5" t="s">
        <v>97</v>
      </c>
      <c r="C2948" s="5" t="s">
        <v>98</v>
      </c>
      <c r="D2948" s="4" t="s">
        <v>16</v>
      </c>
      <c r="E2948" s="4" t="s">
        <v>3939</v>
      </c>
      <c r="F2948" s="4" t="s">
        <v>470</v>
      </c>
      <c r="G2948" s="4" t="s">
        <v>3940</v>
      </c>
      <c r="H2948" s="12" t="n">
        <v>1</v>
      </c>
      <c r="I2948" s="4" t="s">
        <v>408</v>
      </c>
      <c r="J2948" s="4" t="s">
        <v>416</v>
      </c>
      <c r="K2948" s="13" t="n">
        <v>18000</v>
      </c>
      <c r="L2948" s="6" t="n">
        <f aca="false">H2948*K2948</f>
        <v>18000</v>
      </c>
      <c r="M2948" s="4" t="s">
        <v>371</v>
      </c>
    </row>
    <row r="2949" customFormat="false" ht="23.85" hidden="false" customHeight="false" outlineLevel="0" collapsed="false">
      <c r="A2949" s="4" t="s">
        <v>94</v>
      </c>
      <c r="B2949" s="5" t="s">
        <v>97</v>
      </c>
      <c r="C2949" s="5" t="s">
        <v>98</v>
      </c>
      <c r="D2949" s="4" t="s">
        <v>16</v>
      </c>
      <c r="E2949" s="4" t="s">
        <v>3941</v>
      </c>
      <c r="F2949" s="4" t="s">
        <v>470</v>
      </c>
      <c r="G2949" s="4" t="s">
        <v>3942</v>
      </c>
      <c r="H2949" s="12" t="n">
        <v>1</v>
      </c>
      <c r="I2949" s="4" t="s">
        <v>408</v>
      </c>
      <c r="J2949" s="4" t="s">
        <v>416</v>
      </c>
      <c r="K2949" s="13" t="n">
        <v>45000</v>
      </c>
      <c r="L2949" s="6" t="n">
        <f aca="false">H2949*K2949</f>
        <v>45000</v>
      </c>
      <c r="M2949" s="4" t="s">
        <v>371</v>
      </c>
    </row>
    <row r="2950" customFormat="false" ht="23.85" hidden="false" customHeight="false" outlineLevel="0" collapsed="false">
      <c r="A2950" s="4" t="s">
        <v>94</v>
      </c>
      <c r="B2950" s="5" t="s">
        <v>97</v>
      </c>
      <c r="C2950" s="5" t="s">
        <v>98</v>
      </c>
      <c r="D2950" s="4" t="s">
        <v>16</v>
      </c>
      <c r="E2950" s="4" t="s">
        <v>3943</v>
      </c>
      <c r="F2950" s="4" t="s">
        <v>470</v>
      </c>
      <c r="G2950" s="4" t="s">
        <v>3944</v>
      </c>
      <c r="H2950" s="12" t="n">
        <v>1</v>
      </c>
      <c r="I2950" s="4" t="s">
        <v>408</v>
      </c>
      <c r="J2950" s="4" t="s">
        <v>416</v>
      </c>
      <c r="K2950" s="13" t="n">
        <v>85000</v>
      </c>
      <c r="L2950" s="6" t="n">
        <f aca="false">H2950*K2950</f>
        <v>85000</v>
      </c>
      <c r="M2950" s="4" t="s">
        <v>371</v>
      </c>
    </row>
    <row r="2951" customFormat="false" ht="23.85" hidden="false" customHeight="false" outlineLevel="0" collapsed="false">
      <c r="A2951" s="4" t="s">
        <v>94</v>
      </c>
      <c r="B2951" s="5" t="s">
        <v>97</v>
      </c>
      <c r="C2951" s="5" t="s">
        <v>98</v>
      </c>
      <c r="D2951" s="4" t="s">
        <v>16</v>
      </c>
      <c r="E2951" s="4" t="s">
        <v>1152</v>
      </c>
      <c r="F2951" s="4" t="s">
        <v>470</v>
      </c>
      <c r="G2951" s="4" t="s">
        <v>1153</v>
      </c>
      <c r="H2951" s="12" t="n">
        <v>1</v>
      </c>
      <c r="I2951" s="4" t="s">
        <v>408</v>
      </c>
      <c r="J2951" s="4" t="s">
        <v>416</v>
      </c>
      <c r="K2951" s="13" t="n">
        <v>2500</v>
      </c>
      <c r="L2951" s="6" t="n">
        <f aca="false">H2951*K2951</f>
        <v>2500</v>
      </c>
      <c r="M2951" s="4" t="s">
        <v>371</v>
      </c>
    </row>
    <row r="2952" customFormat="false" ht="23.85" hidden="false" customHeight="false" outlineLevel="0" collapsed="false">
      <c r="A2952" s="4" t="s">
        <v>94</v>
      </c>
      <c r="B2952" s="5" t="s">
        <v>97</v>
      </c>
      <c r="C2952" s="5" t="s">
        <v>98</v>
      </c>
      <c r="D2952" s="4" t="s">
        <v>16</v>
      </c>
      <c r="E2952" s="4" t="s">
        <v>3945</v>
      </c>
      <c r="F2952" s="4" t="s">
        <v>470</v>
      </c>
      <c r="G2952" s="4" t="s">
        <v>1123</v>
      </c>
      <c r="H2952" s="12" t="n">
        <v>1</v>
      </c>
      <c r="I2952" s="4" t="s">
        <v>408</v>
      </c>
      <c r="J2952" s="4" t="s">
        <v>409</v>
      </c>
      <c r="K2952" s="13" t="n">
        <v>450</v>
      </c>
      <c r="L2952" s="6" t="n">
        <f aca="false">H2952*K2952</f>
        <v>450</v>
      </c>
      <c r="M2952" s="4" t="s">
        <v>371</v>
      </c>
    </row>
    <row r="2953" customFormat="false" ht="23.85" hidden="false" customHeight="false" outlineLevel="0" collapsed="false">
      <c r="A2953" s="4" t="s">
        <v>94</v>
      </c>
      <c r="B2953" s="5" t="s">
        <v>97</v>
      </c>
      <c r="C2953" s="5" t="s">
        <v>98</v>
      </c>
      <c r="D2953" s="4" t="s">
        <v>16</v>
      </c>
      <c r="E2953" s="4" t="s">
        <v>3946</v>
      </c>
      <c r="F2953" s="4" t="s">
        <v>470</v>
      </c>
      <c r="G2953" s="4" t="s">
        <v>1125</v>
      </c>
      <c r="H2953" s="12" t="n">
        <v>1</v>
      </c>
      <c r="I2953" s="4" t="s">
        <v>408</v>
      </c>
      <c r="J2953" s="4" t="s">
        <v>416</v>
      </c>
      <c r="K2953" s="13" t="n">
        <v>450</v>
      </c>
      <c r="L2953" s="6" t="n">
        <f aca="false">H2953*K2953</f>
        <v>450</v>
      </c>
      <c r="M2953" s="4" t="s">
        <v>371</v>
      </c>
    </row>
    <row r="2954" customFormat="false" ht="23.85" hidden="false" customHeight="false" outlineLevel="0" collapsed="false">
      <c r="A2954" s="4" t="s">
        <v>94</v>
      </c>
      <c r="B2954" s="5" t="s">
        <v>97</v>
      </c>
      <c r="C2954" s="5" t="s">
        <v>98</v>
      </c>
      <c r="D2954" s="4" t="s">
        <v>16</v>
      </c>
      <c r="E2954" s="4" t="s">
        <v>3947</v>
      </c>
      <c r="F2954" s="4" t="s">
        <v>470</v>
      </c>
      <c r="G2954" s="4" t="s">
        <v>1127</v>
      </c>
      <c r="H2954" s="12" t="n">
        <v>1</v>
      </c>
      <c r="I2954" s="4" t="s">
        <v>408</v>
      </c>
      <c r="J2954" s="4" t="s">
        <v>409</v>
      </c>
      <c r="K2954" s="13" t="n">
        <v>3500</v>
      </c>
      <c r="L2954" s="6" t="n">
        <f aca="false">H2954*K2954</f>
        <v>3500</v>
      </c>
      <c r="M2954" s="4" t="s">
        <v>371</v>
      </c>
    </row>
    <row r="2955" customFormat="false" ht="23.85" hidden="false" customHeight="false" outlineLevel="0" collapsed="false">
      <c r="A2955" s="4" t="s">
        <v>94</v>
      </c>
      <c r="B2955" s="5" t="s">
        <v>97</v>
      </c>
      <c r="C2955" s="5" t="s">
        <v>98</v>
      </c>
      <c r="D2955" s="4" t="s">
        <v>16</v>
      </c>
      <c r="E2955" s="4" t="s">
        <v>3948</v>
      </c>
      <c r="F2955" s="4" t="s">
        <v>470</v>
      </c>
      <c r="G2955" s="4" t="s">
        <v>1129</v>
      </c>
      <c r="H2955" s="12" t="n">
        <v>1</v>
      </c>
      <c r="I2955" s="4" t="s">
        <v>408</v>
      </c>
      <c r="J2955" s="4" t="s">
        <v>475</v>
      </c>
      <c r="K2955" s="13" t="n">
        <v>1200</v>
      </c>
      <c r="L2955" s="6" t="n">
        <f aca="false">H2955*K2955</f>
        <v>1200</v>
      </c>
      <c r="M2955" s="4" t="s">
        <v>371</v>
      </c>
    </row>
    <row r="2956" customFormat="false" ht="23.85" hidden="false" customHeight="false" outlineLevel="0" collapsed="false">
      <c r="A2956" s="4" t="s">
        <v>94</v>
      </c>
      <c r="B2956" s="5" t="s">
        <v>97</v>
      </c>
      <c r="C2956" s="5" t="s">
        <v>98</v>
      </c>
      <c r="D2956" s="4" t="s">
        <v>16</v>
      </c>
      <c r="E2956" s="4" t="s">
        <v>3949</v>
      </c>
      <c r="F2956" s="4" t="s">
        <v>470</v>
      </c>
      <c r="G2956" s="4" t="s">
        <v>1131</v>
      </c>
      <c r="H2956" s="12" t="n">
        <v>1</v>
      </c>
      <c r="I2956" s="4" t="s">
        <v>408</v>
      </c>
      <c r="J2956" s="4" t="s">
        <v>475</v>
      </c>
      <c r="K2956" s="13" t="n">
        <v>1800</v>
      </c>
      <c r="L2956" s="6" t="n">
        <f aca="false">H2956*K2956</f>
        <v>1800</v>
      </c>
      <c r="M2956" s="4" t="s">
        <v>371</v>
      </c>
    </row>
    <row r="2957" customFormat="false" ht="23.85" hidden="false" customHeight="false" outlineLevel="0" collapsed="false">
      <c r="A2957" s="4" t="s">
        <v>94</v>
      </c>
      <c r="B2957" s="5" t="s">
        <v>97</v>
      </c>
      <c r="C2957" s="5" t="s">
        <v>98</v>
      </c>
      <c r="D2957" s="4" t="s">
        <v>16</v>
      </c>
      <c r="E2957" s="4" t="s">
        <v>3950</v>
      </c>
      <c r="F2957" s="4" t="s">
        <v>470</v>
      </c>
      <c r="G2957" s="4" t="s">
        <v>3951</v>
      </c>
      <c r="H2957" s="12" t="n">
        <v>1</v>
      </c>
      <c r="I2957" s="4" t="s">
        <v>408</v>
      </c>
      <c r="J2957" s="4" t="s">
        <v>409</v>
      </c>
      <c r="K2957" s="13" t="n">
        <v>450</v>
      </c>
      <c r="L2957" s="6" t="n">
        <f aca="false">H2957*K2957</f>
        <v>450</v>
      </c>
      <c r="M2957" s="4" t="s">
        <v>371</v>
      </c>
    </row>
    <row r="2958" customFormat="false" ht="23.85" hidden="false" customHeight="false" outlineLevel="0" collapsed="false">
      <c r="A2958" s="4" t="s">
        <v>94</v>
      </c>
      <c r="B2958" s="5" t="s">
        <v>97</v>
      </c>
      <c r="C2958" s="5" t="s">
        <v>98</v>
      </c>
      <c r="D2958" s="4" t="s">
        <v>16</v>
      </c>
      <c r="E2958" s="4" t="s">
        <v>3952</v>
      </c>
      <c r="F2958" s="4" t="s">
        <v>470</v>
      </c>
      <c r="G2958" s="4" t="s">
        <v>1133</v>
      </c>
      <c r="H2958" s="12" t="n">
        <v>1</v>
      </c>
      <c r="I2958" s="4" t="s">
        <v>408</v>
      </c>
      <c r="J2958" s="4" t="s">
        <v>409</v>
      </c>
      <c r="K2958" s="13" t="n">
        <v>450</v>
      </c>
      <c r="L2958" s="6" t="n">
        <f aca="false">H2958*K2958</f>
        <v>450</v>
      </c>
      <c r="M2958" s="4" t="s">
        <v>371</v>
      </c>
    </row>
    <row r="2959" customFormat="false" ht="23.85" hidden="false" customHeight="false" outlineLevel="0" collapsed="false">
      <c r="A2959" s="4" t="s">
        <v>94</v>
      </c>
      <c r="B2959" s="5" t="s">
        <v>97</v>
      </c>
      <c r="C2959" s="5" t="s">
        <v>98</v>
      </c>
      <c r="D2959" s="4" t="s">
        <v>16</v>
      </c>
      <c r="E2959" s="4" t="s">
        <v>3953</v>
      </c>
      <c r="F2959" s="4" t="s">
        <v>470</v>
      </c>
      <c r="G2959" s="4" t="s">
        <v>1135</v>
      </c>
      <c r="H2959" s="12" t="n">
        <v>1</v>
      </c>
      <c r="I2959" s="4" t="s">
        <v>408</v>
      </c>
      <c r="J2959" s="4" t="s">
        <v>409</v>
      </c>
      <c r="K2959" s="13" t="n">
        <v>4500</v>
      </c>
      <c r="L2959" s="6" t="n">
        <f aca="false">H2959*K2959</f>
        <v>4500</v>
      </c>
      <c r="M2959" s="4" t="s">
        <v>371</v>
      </c>
    </row>
    <row r="2960" customFormat="false" ht="23.85" hidden="false" customHeight="false" outlineLevel="0" collapsed="false">
      <c r="A2960" s="4" t="s">
        <v>94</v>
      </c>
      <c r="B2960" s="5" t="s">
        <v>97</v>
      </c>
      <c r="C2960" s="5" t="s">
        <v>98</v>
      </c>
      <c r="D2960" s="4" t="s">
        <v>16</v>
      </c>
      <c r="E2960" s="4" t="s">
        <v>3954</v>
      </c>
      <c r="F2960" s="4" t="s">
        <v>470</v>
      </c>
      <c r="G2960" s="4" t="s">
        <v>3955</v>
      </c>
      <c r="H2960" s="12" t="n">
        <v>1</v>
      </c>
      <c r="I2960" s="4" t="s">
        <v>408</v>
      </c>
      <c r="J2960" s="4" t="s">
        <v>416</v>
      </c>
      <c r="K2960" s="13" t="n">
        <v>1800</v>
      </c>
      <c r="L2960" s="6" t="n">
        <f aca="false">H2960*K2960</f>
        <v>1800</v>
      </c>
      <c r="M2960" s="4" t="s">
        <v>371</v>
      </c>
    </row>
    <row r="2961" customFormat="false" ht="23.85" hidden="false" customHeight="false" outlineLevel="0" collapsed="false">
      <c r="A2961" s="4" t="s">
        <v>94</v>
      </c>
      <c r="B2961" s="5" t="s">
        <v>97</v>
      </c>
      <c r="C2961" s="5" t="s">
        <v>98</v>
      </c>
      <c r="D2961" s="4" t="s">
        <v>16</v>
      </c>
      <c r="E2961" s="4" t="s">
        <v>1136</v>
      </c>
      <c r="F2961" s="4" t="s">
        <v>470</v>
      </c>
      <c r="G2961" s="4" t="s">
        <v>1137</v>
      </c>
      <c r="H2961" s="12" t="n">
        <v>1</v>
      </c>
      <c r="I2961" s="4" t="s">
        <v>408</v>
      </c>
      <c r="J2961" s="4" t="s">
        <v>416</v>
      </c>
      <c r="K2961" s="13" t="n">
        <v>850</v>
      </c>
      <c r="L2961" s="6" t="n">
        <f aca="false">H2961*K2961</f>
        <v>850</v>
      </c>
      <c r="M2961" s="4" t="s">
        <v>371</v>
      </c>
    </row>
    <row r="2962" customFormat="false" ht="23.85" hidden="false" customHeight="false" outlineLevel="0" collapsed="false">
      <c r="A2962" s="4" t="s">
        <v>94</v>
      </c>
      <c r="B2962" s="5" t="s">
        <v>97</v>
      </c>
      <c r="C2962" s="5" t="s">
        <v>98</v>
      </c>
      <c r="D2962" s="4" t="s">
        <v>16</v>
      </c>
      <c r="E2962" s="4" t="s">
        <v>1064</v>
      </c>
      <c r="F2962" s="4" t="s">
        <v>470</v>
      </c>
      <c r="G2962" s="4" t="s">
        <v>1065</v>
      </c>
      <c r="H2962" s="12" t="n">
        <v>1</v>
      </c>
      <c r="I2962" s="4" t="s">
        <v>408</v>
      </c>
      <c r="J2962" s="4" t="s">
        <v>543</v>
      </c>
      <c r="K2962" s="13" t="n">
        <v>25000</v>
      </c>
      <c r="L2962" s="6" t="n">
        <f aca="false">H2962*K2962</f>
        <v>25000</v>
      </c>
      <c r="M2962" s="4" t="s">
        <v>371</v>
      </c>
    </row>
    <row r="2963" customFormat="false" ht="23.85" hidden="false" customHeight="false" outlineLevel="0" collapsed="false">
      <c r="A2963" s="4" t="s">
        <v>94</v>
      </c>
      <c r="B2963" s="5" t="s">
        <v>97</v>
      </c>
      <c r="C2963" s="5" t="s">
        <v>98</v>
      </c>
      <c r="D2963" s="4" t="s">
        <v>16</v>
      </c>
      <c r="E2963" s="4" t="s">
        <v>1138</v>
      </c>
      <c r="F2963" s="4" t="s">
        <v>470</v>
      </c>
      <c r="G2963" s="4" t="s">
        <v>1139</v>
      </c>
      <c r="H2963" s="12" t="n">
        <v>1</v>
      </c>
      <c r="I2963" s="4" t="s">
        <v>408</v>
      </c>
      <c r="J2963" s="4" t="s">
        <v>416</v>
      </c>
      <c r="K2963" s="13" t="n">
        <v>2500</v>
      </c>
      <c r="L2963" s="6" t="n">
        <f aca="false">H2963*K2963</f>
        <v>2500</v>
      </c>
      <c r="M2963" s="4" t="s">
        <v>371</v>
      </c>
    </row>
    <row r="2964" customFormat="false" ht="23.85" hidden="false" customHeight="false" outlineLevel="0" collapsed="false">
      <c r="A2964" s="4" t="s">
        <v>94</v>
      </c>
      <c r="B2964" s="5" t="s">
        <v>97</v>
      </c>
      <c r="C2964" s="5" t="s">
        <v>98</v>
      </c>
      <c r="D2964" s="4" t="s">
        <v>16</v>
      </c>
      <c r="E2964" s="4" t="s">
        <v>1140</v>
      </c>
      <c r="F2964" s="4" t="s">
        <v>470</v>
      </c>
      <c r="G2964" s="4" t="s">
        <v>1141</v>
      </c>
      <c r="H2964" s="12" t="n">
        <v>1</v>
      </c>
      <c r="I2964" s="4" t="s">
        <v>408</v>
      </c>
      <c r="J2964" s="4" t="s">
        <v>409</v>
      </c>
      <c r="K2964" s="13" t="n">
        <v>350</v>
      </c>
      <c r="L2964" s="6" t="n">
        <f aca="false">H2964*K2964</f>
        <v>350</v>
      </c>
      <c r="M2964" s="4" t="s">
        <v>371</v>
      </c>
    </row>
    <row r="2965" customFormat="false" ht="23.85" hidden="false" customHeight="false" outlineLevel="0" collapsed="false">
      <c r="A2965" s="4" t="s">
        <v>94</v>
      </c>
      <c r="B2965" s="5" t="s">
        <v>97</v>
      </c>
      <c r="C2965" s="5" t="s">
        <v>98</v>
      </c>
      <c r="D2965" s="4" t="s">
        <v>16</v>
      </c>
      <c r="E2965" s="4" t="s">
        <v>1142</v>
      </c>
      <c r="F2965" s="4" t="s">
        <v>470</v>
      </c>
      <c r="G2965" s="4" t="s">
        <v>1143</v>
      </c>
      <c r="H2965" s="12" t="n">
        <v>1</v>
      </c>
      <c r="I2965" s="4" t="s">
        <v>408</v>
      </c>
      <c r="J2965" s="4" t="s">
        <v>416</v>
      </c>
      <c r="K2965" s="13" t="n">
        <v>850</v>
      </c>
      <c r="L2965" s="6" t="n">
        <f aca="false">H2965*K2965</f>
        <v>850</v>
      </c>
      <c r="M2965" s="4" t="s">
        <v>371</v>
      </c>
    </row>
    <row r="2966" customFormat="false" ht="23.85" hidden="false" customHeight="false" outlineLevel="0" collapsed="false">
      <c r="A2966" s="4" t="s">
        <v>94</v>
      </c>
      <c r="B2966" s="5" t="s">
        <v>97</v>
      </c>
      <c r="C2966" s="5" t="s">
        <v>98</v>
      </c>
      <c r="D2966" s="4" t="s">
        <v>16</v>
      </c>
      <c r="E2966" s="4" t="s">
        <v>1144</v>
      </c>
      <c r="F2966" s="4" t="s">
        <v>470</v>
      </c>
      <c r="G2966" s="4" t="s">
        <v>1145</v>
      </c>
      <c r="H2966" s="12" t="n">
        <v>1</v>
      </c>
      <c r="I2966" s="4" t="s">
        <v>408</v>
      </c>
      <c r="J2966" s="4" t="s">
        <v>416</v>
      </c>
      <c r="K2966" s="13" t="n">
        <v>3500</v>
      </c>
      <c r="L2966" s="6" t="n">
        <f aca="false">H2966*K2966</f>
        <v>3500</v>
      </c>
      <c r="M2966" s="4" t="s">
        <v>371</v>
      </c>
    </row>
    <row r="2967" customFormat="false" ht="23.85" hidden="false" customHeight="false" outlineLevel="0" collapsed="false">
      <c r="A2967" s="4" t="s">
        <v>94</v>
      </c>
      <c r="B2967" s="5" t="s">
        <v>97</v>
      </c>
      <c r="C2967" s="5" t="s">
        <v>98</v>
      </c>
      <c r="D2967" s="4" t="s">
        <v>16</v>
      </c>
      <c r="E2967" s="4" t="s">
        <v>1146</v>
      </c>
      <c r="F2967" s="4" t="s">
        <v>470</v>
      </c>
      <c r="G2967" s="4" t="s">
        <v>1147</v>
      </c>
      <c r="H2967" s="12" t="n">
        <v>1</v>
      </c>
      <c r="I2967" s="4" t="s">
        <v>408</v>
      </c>
      <c r="J2967" s="4" t="s">
        <v>416</v>
      </c>
      <c r="K2967" s="13" t="n">
        <v>2500</v>
      </c>
      <c r="L2967" s="6" t="n">
        <f aca="false">H2967*K2967</f>
        <v>2500</v>
      </c>
      <c r="M2967" s="4" t="s">
        <v>371</v>
      </c>
    </row>
    <row r="2968" customFormat="false" ht="23.85" hidden="false" customHeight="false" outlineLevel="0" collapsed="false">
      <c r="A2968" s="4" t="s">
        <v>94</v>
      </c>
      <c r="B2968" s="5" t="s">
        <v>97</v>
      </c>
      <c r="C2968" s="5" t="s">
        <v>98</v>
      </c>
      <c r="D2968" s="4" t="s">
        <v>16</v>
      </c>
      <c r="E2968" s="4" t="s">
        <v>1148</v>
      </c>
      <c r="F2968" s="4" t="s">
        <v>470</v>
      </c>
      <c r="G2968" s="4" t="s">
        <v>1149</v>
      </c>
      <c r="H2968" s="12" t="n">
        <v>1</v>
      </c>
      <c r="I2968" s="4" t="s">
        <v>408</v>
      </c>
      <c r="J2968" s="4" t="s">
        <v>409</v>
      </c>
      <c r="K2968" s="13" t="n">
        <v>450</v>
      </c>
      <c r="L2968" s="6" t="n">
        <f aca="false">H2968*K2968</f>
        <v>450</v>
      </c>
      <c r="M2968" s="4" t="s">
        <v>371</v>
      </c>
    </row>
    <row r="2969" customFormat="false" ht="23.85" hidden="false" customHeight="false" outlineLevel="0" collapsed="false">
      <c r="A2969" s="4" t="s">
        <v>94</v>
      </c>
      <c r="B2969" s="5" t="s">
        <v>97</v>
      </c>
      <c r="C2969" s="5" t="s">
        <v>98</v>
      </c>
      <c r="D2969" s="4" t="s">
        <v>16</v>
      </c>
      <c r="E2969" s="4" t="s">
        <v>1150</v>
      </c>
      <c r="F2969" s="4" t="s">
        <v>470</v>
      </c>
      <c r="G2969" s="4" t="s">
        <v>1151</v>
      </c>
      <c r="H2969" s="12" t="n">
        <v>1</v>
      </c>
      <c r="I2969" s="4" t="s">
        <v>408</v>
      </c>
      <c r="J2969" s="4" t="s">
        <v>416</v>
      </c>
      <c r="K2969" s="13" t="n">
        <v>1200</v>
      </c>
      <c r="L2969" s="6" t="n">
        <f aca="false">H2969*K2969</f>
        <v>1200</v>
      </c>
      <c r="M2969" s="4" t="s">
        <v>371</v>
      </c>
    </row>
    <row r="2970" customFormat="false" ht="23.85" hidden="false" customHeight="false" outlineLevel="0" collapsed="false">
      <c r="A2970" s="4" t="s">
        <v>94</v>
      </c>
      <c r="B2970" s="5" t="s">
        <v>97</v>
      </c>
      <c r="C2970" s="5" t="s">
        <v>98</v>
      </c>
      <c r="D2970" s="4" t="s">
        <v>16</v>
      </c>
      <c r="E2970" s="4" t="s">
        <v>1066</v>
      </c>
      <c r="F2970" s="4" t="s">
        <v>470</v>
      </c>
      <c r="G2970" s="4" t="s">
        <v>1067</v>
      </c>
      <c r="H2970" s="12" t="n">
        <v>1</v>
      </c>
      <c r="I2970" s="4" t="s">
        <v>408</v>
      </c>
      <c r="J2970" s="4" t="s">
        <v>543</v>
      </c>
      <c r="K2970" s="13" t="n">
        <v>25000</v>
      </c>
      <c r="L2970" s="6" t="n">
        <f aca="false">H2970*K2970</f>
        <v>25000</v>
      </c>
      <c r="M2970" s="4" t="s">
        <v>371</v>
      </c>
    </row>
    <row r="2971" customFormat="false" ht="23.85" hidden="false" customHeight="false" outlineLevel="0" collapsed="false">
      <c r="A2971" s="4" t="s">
        <v>94</v>
      </c>
      <c r="B2971" s="5" t="s">
        <v>97</v>
      </c>
      <c r="C2971" s="5" t="s">
        <v>98</v>
      </c>
      <c r="D2971" s="4" t="s">
        <v>16</v>
      </c>
      <c r="E2971" s="4" t="s">
        <v>3956</v>
      </c>
      <c r="F2971" s="4" t="s">
        <v>488</v>
      </c>
      <c r="G2971" s="4" t="s">
        <v>1155</v>
      </c>
      <c r="H2971" s="12" t="n">
        <v>1</v>
      </c>
      <c r="I2971" s="4" t="s">
        <v>408</v>
      </c>
      <c r="J2971" s="4" t="s">
        <v>432</v>
      </c>
      <c r="K2971" s="13" t="n">
        <v>60</v>
      </c>
      <c r="L2971" s="6" t="n">
        <f aca="false">H2971*K2971</f>
        <v>60</v>
      </c>
      <c r="M2971" s="4" t="s">
        <v>371</v>
      </c>
    </row>
    <row r="2972" customFormat="false" ht="23.85" hidden="false" customHeight="false" outlineLevel="0" collapsed="false">
      <c r="A2972" s="4" t="s">
        <v>94</v>
      </c>
      <c r="B2972" s="5" t="s">
        <v>97</v>
      </c>
      <c r="C2972" s="5" t="s">
        <v>98</v>
      </c>
      <c r="D2972" s="4" t="s">
        <v>16</v>
      </c>
      <c r="E2972" s="4" t="s">
        <v>3957</v>
      </c>
      <c r="F2972" s="4" t="s">
        <v>488</v>
      </c>
      <c r="G2972" s="4" t="s">
        <v>1157</v>
      </c>
      <c r="H2972" s="12" t="n">
        <v>1</v>
      </c>
      <c r="I2972" s="4" t="s">
        <v>408</v>
      </c>
      <c r="J2972" s="4" t="s">
        <v>490</v>
      </c>
      <c r="K2972" s="13" t="n">
        <v>105</v>
      </c>
      <c r="L2972" s="6" t="n">
        <f aca="false">H2972*K2972</f>
        <v>105</v>
      </c>
      <c r="M2972" s="4" t="s">
        <v>371</v>
      </c>
    </row>
    <row r="2973" customFormat="false" ht="23.85" hidden="false" customHeight="false" outlineLevel="0" collapsed="false">
      <c r="A2973" s="4" t="s">
        <v>94</v>
      </c>
      <c r="B2973" s="5" t="s">
        <v>97</v>
      </c>
      <c r="C2973" s="5" t="s">
        <v>98</v>
      </c>
      <c r="D2973" s="4" t="s">
        <v>16</v>
      </c>
      <c r="E2973" s="4" t="s">
        <v>3958</v>
      </c>
      <c r="F2973" s="4" t="s">
        <v>488</v>
      </c>
      <c r="G2973" s="4" t="s">
        <v>1159</v>
      </c>
      <c r="H2973" s="12" t="n">
        <v>1</v>
      </c>
      <c r="I2973" s="4" t="s">
        <v>408</v>
      </c>
      <c r="J2973" s="4" t="s">
        <v>490</v>
      </c>
      <c r="K2973" s="13" t="n">
        <v>350</v>
      </c>
      <c r="L2973" s="6" t="n">
        <f aca="false">H2973*K2973</f>
        <v>350</v>
      </c>
      <c r="M2973" s="4" t="s">
        <v>371</v>
      </c>
    </row>
    <row r="2974" customFormat="false" ht="23.85" hidden="false" customHeight="false" outlineLevel="0" collapsed="false">
      <c r="A2974" s="4" t="s">
        <v>94</v>
      </c>
      <c r="B2974" s="5" t="s">
        <v>97</v>
      </c>
      <c r="C2974" s="5" t="s">
        <v>98</v>
      </c>
      <c r="D2974" s="4" t="s">
        <v>16</v>
      </c>
      <c r="E2974" s="4" t="s">
        <v>3959</v>
      </c>
      <c r="F2974" s="4" t="s">
        <v>488</v>
      </c>
      <c r="G2974" s="4" t="s">
        <v>1161</v>
      </c>
      <c r="H2974" s="12" t="n">
        <v>1</v>
      </c>
      <c r="I2974" s="4" t="s">
        <v>408</v>
      </c>
      <c r="J2974" s="4" t="s">
        <v>432</v>
      </c>
      <c r="K2974" s="13" t="n">
        <v>350</v>
      </c>
      <c r="L2974" s="6" t="n">
        <f aca="false">H2974*K2974</f>
        <v>350</v>
      </c>
      <c r="M2974" s="4" t="s">
        <v>371</v>
      </c>
    </row>
    <row r="2975" customFormat="false" ht="23.85" hidden="false" customHeight="false" outlineLevel="0" collapsed="false">
      <c r="A2975" s="4" t="s">
        <v>94</v>
      </c>
      <c r="B2975" s="5" t="s">
        <v>97</v>
      </c>
      <c r="C2975" s="5" t="s">
        <v>98</v>
      </c>
      <c r="D2975" s="4" t="s">
        <v>16</v>
      </c>
      <c r="E2975" s="4" t="s">
        <v>3960</v>
      </c>
      <c r="F2975" s="4" t="s">
        <v>488</v>
      </c>
      <c r="G2975" s="4" t="s">
        <v>1163</v>
      </c>
      <c r="H2975" s="12" t="n">
        <v>1</v>
      </c>
      <c r="I2975" s="4" t="s">
        <v>408</v>
      </c>
      <c r="J2975" s="4" t="s">
        <v>409</v>
      </c>
      <c r="K2975" s="13" t="n">
        <v>250</v>
      </c>
      <c r="L2975" s="6" t="n">
        <f aca="false">H2975*K2975</f>
        <v>250</v>
      </c>
      <c r="M2975" s="14" t="s">
        <v>410</v>
      </c>
    </row>
    <row r="2976" customFormat="false" ht="23.85" hidden="false" customHeight="false" outlineLevel="0" collapsed="false">
      <c r="A2976" s="4" t="s">
        <v>94</v>
      </c>
      <c r="B2976" s="5" t="s">
        <v>97</v>
      </c>
      <c r="C2976" s="5" t="s">
        <v>98</v>
      </c>
      <c r="D2976" s="4" t="s">
        <v>16</v>
      </c>
      <c r="E2976" s="4" t="s">
        <v>3961</v>
      </c>
      <c r="F2976" s="4" t="s">
        <v>488</v>
      </c>
      <c r="G2976" s="4" t="s">
        <v>1165</v>
      </c>
      <c r="H2976" s="12" t="n">
        <v>1</v>
      </c>
      <c r="I2976" s="4" t="s">
        <v>408</v>
      </c>
      <c r="J2976" s="4" t="s">
        <v>409</v>
      </c>
      <c r="K2976" s="13" t="n">
        <v>450</v>
      </c>
      <c r="L2976" s="6" t="n">
        <f aca="false">H2976*K2976</f>
        <v>450</v>
      </c>
      <c r="M2976" s="4" t="s">
        <v>371</v>
      </c>
    </row>
    <row r="2977" customFormat="false" ht="23.85" hidden="false" customHeight="false" outlineLevel="0" collapsed="false">
      <c r="A2977" s="4" t="s">
        <v>94</v>
      </c>
      <c r="B2977" s="5" t="s">
        <v>97</v>
      </c>
      <c r="C2977" s="5" t="s">
        <v>98</v>
      </c>
      <c r="D2977" s="4" t="s">
        <v>16</v>
      </c>
      <c r="E2977" s="4" t="s">
        <v>3962</v>
      </c>
      <c r="F2977" s="4" t="s">
        <v>488</v>
      </c>
      <c r="G2977" s="4" t="s">
        <v>1167</v>
      </c>
      <c r="H2977" s="12" t="n">
        <v>1</v>
      </c>
      <c r="I2977" s="4" t="s">
        <v>408</v>
      </c>
      <c r="J2977" s="4" t="s">
        <v>409</v>
      </c>
      <c r="K2977" s="13" t="n">
        <v>450</v>
      </c>
      <c r="L2977" s="6" t="n">
        <f aca="false">H2977*K2977</f>
        <v>450</v>
      </c>
      <c r="M2977" s="4" t="s">
        <v>371</v>
      </c>
    </row>
    <row r="2978" customFormat="false" ht="23.85" hidden="false" customHeight="false" outlineLevel="0" collapsed="false">
      <c r="A2978" s="4" t="s">
        <v>94</v>
      </c>
      <c r="B2978" s="5" t="s">
        <v>97</v>
      </c>
      <c r="C2978" s="5" t="s">
        <v>98</v>
      </c>
      <c r="D2978" s="4" t="s">
        <v>16</v>
      </c>
      <c r="E2978" s="4" t="s">
        <v>3963</v>
      </c>
      <c r="F2978" s="4" t="s">
        <v>488</v>
      </c>
      <c r="G2978" s="4" t="s">
        <v>1169</v>
      </c>
      <c r="H2978" s="12" t="n">
        <v>1</v>
      </c>
      <c r="I2978" s="4" t="s">
        <v>408</v>
      </c>
      <c r="J2978" s="4" t="s">
        <v>409</v>
      </c>
      <c r="K2978" s="13" t="n">
        <v>450</v>
      </c>
      <c r="L2978" s="6" t="n">
        <f aca="false">H2978*K2978</f>
        <v>450</v>
      </c>
      <c r="M2978" s="4" t="s">
        <v>371</v>
      </c>
    </row>
    <row r="2979" customFormat="false" ht="23.85" hidden="false" customHeight="false" outlineLevel="0" collapsed="false">
      <c r="A2979" s="4" t="s">
        <v>94</v>
      </c>
      <c r="B2979" s="5" t="s">
        <v>97</v>
      </c>
      <c r="C2979" s="5" t="s">
        <v>98</v>
      </c>
      <c r="D2979" s="4" t="s">
        <v>16</v>
      </c>
      <c r="E2979" s="4" t="s">
        <v>3964</v>
      </c>
      <c r="F2979" s="4" t="s">
        <v>488</v>
      </c>
      <c r="G2979" s="4" t="s">
        <v>1171</v>
      </c>
      <c r="H2979" s="12" t="n">
        <v>1</v>
      </c>
      <c r="I2979" s="4" t="s">
        <v>408</v>
      </c>
      <c r="J2979" s="4" t="s">
        <v>409</v>
      </c>
      <c r="K2979" s="13" t="n">
        <v>450</v>
      </c>
      <c r="L2979" s="6" t="n">
        <f aca="false">H2979*K2979</f>
        <v>450</v>
      </c>
      <c r="M2979" s="4" t="s">
        <v>371</v>
      </c>
    </row>
    <row r="2980" customFormat="false" ht="23.85" hidden="false" customHeight="false" outlineLevel="0" collapsed="false">
      <c r="A2980" s="4" t="s">
        <v>94</v>
      </c>
      <c r="B2980" s="5" t="s">
        <v>97</v>
      </c>
      <c r="C2980" s="5" t="s">
        <v>98</v>
      </c>
      <c r="D2980" s="4" t="s">
        <v>16</v>
      </c>
      <c r="E2980" s="4" t="s">
        <v>3965</v>
      </c>
      <c r="F2980" s="4" t="s">
        <v>488</v>
      </c>
      <c r="G2980" s="4" t="s">
        <v>3966</v>
      </c>
      <c r="H2980" s="12" t="n">
        <v>1</v>
      </c>
      <c r="I2980" s="4" t="s">
        <v>408</v>
      </c>
      <c r="J2980" s="4" t="s">
        <v>409</v>
      </c>
      <c r="K2980" s="13" t="n">
        <v>120</v>
      </c>
      <c r="L2980" s="6" t="n">
        <f aca="false">H2980*K2980</f>
        <v>120</v>
      </c>
      <c r="M2980" s="4" t="s">
        <v>371</v>
      </c>
    </row>
    <row r="2981" customFormat="false" ht="23.85" hidden="false" customHeight="false" outlineLevel="0" collapsed="false">
      <c r="A2981" s="4" t="s">
        <v>94</v>
      </c>
      <c r="B2981" s="5" t="s">
        <v>97</v>
      </c>
      <c r="C2981" s="5" t="s">
        <v>98</v>
      </c>
      <c r="D2981" s="4" t="s">
        <v>16</v>
      </c>
      <c r="E2981" s="4" t="s">
        <v>3967</v>
      </c>
      <c r="F2981" s="4" t="s">
        <v>488</v>
      </c>
      <c r="G2981" s="4" t="s">
        <v>3968</v>
      </c>
      <c r="H2981" s="12" t="n">
        <v>1</v>
      </c>
      <c r="I2981" s="4" t="s">
        <v>408</v>
      </c>
      <c r="J2981" s="4" t="s">
        <v>2048</v>
      </c>
      <c r="K2981" s="13" t="n">
        <v>180</v>
      </c>
      <c r="L2981" s="6" t="n">
        <f aca="false">H2981*K2981</f>
        <v>180</v>
      </c>
      <c r="M2981" s="4" t="s">
        <v>371</v>
      </c>
    </row>
    <row r="2982" customFormat="false" ht="23.85" hidden="false" customHeight="false" outlineLevel="0" collapsed="false">
      <c r="A2982" s="4" t="s">
        <v>94</v>
      </c>
      <c r="B2982" s="5" t="s">
        <v>97</v>
      </c>
      <c r="C2982" s="5" t="s">
        <v>98</v>
      </c>
      <c r="D2982" s="4" t="s">
        <v>16</v>
      </c>
      <c r="E2982" s="4" t="s">
        <v>3969</v>
      </c>
      <c r="F2982" s="4" t="s">
        <v>488</v>
      </c>
      <c r="G2982" s="4" t="s">
        <v>3970</v>
      </c>
      <c r="H2982" s="12" t="n">
        <v>1</v>
      </c>
      <c r="I2982" s="4" t="s">
        <v>408</v>
      </c>
      <c r="J2982" s="4" t="s">
        <v>416</v>
      </c>
      <c r="K2982" s="13" t="n">
        <v>450</v>
      </c>
      <c r="L2982" s="6" t="n">
        <f aca="false">H2982*K2982</f>
        <v>450</v>
      </c>
      <c r="M2982" s="4" t="s">
        <v>371</v>
      </c>
    </row>
    <row r="2983" customFormat="false" ht="23.85" hidden="false" customHeight="false" outlineLevel="0" collapsed="false">
      <c r="A2983" s="4" t="s">
        <v>94</v>
      </c>
      <c r="B2983" s="5" t="s">
        <v>97</v>
      </c>
      <c r="C2983" s="5" t="s">
        <v>98</v>
      </c>
      <c r="D2983" s="4" t="s">
        <v>16</v>
      </c>
      <c r="E2983" s="4" t="s">
        <v>3946</v>
      </c>
      <c r="F2983" s="4" t="s">
        <v>488</v>
      </c>
      <c r="G2983" s="4" t="s">
        <v>1125</v>
      </c>
      <c r="H2983" s="12" t="n">
        <v>1</v>
      </c>
      <c r="I2983" s="4" t="s">
        <v>408</v>
      </c>
      <c r="J2983" s="4" t="s">
        <v>416</v>
      </c>
      <c r="K2983" s="13" t="n">
        <v>450</v>
      </c>
      <c r="L2983" s="6" t="n">
        <f aca="false">H2983*K2983</f>
        <v>450</v>
      </c>
      <c r="M2983" s="4" t="s">
        <v>371</v>
      </c>
    </row>
    <row r="2984" customFormat="false" ht="23.85" hidden="false" customHeight="false" outlineLevel="0" collapsed="false">
      <c r="A2984" s="4" t="s">
        <v>94</v>
      </c>
      <c r="B2984" s="5" t="s">
        <v>97</v>
      </c>
      <c r="C2984" s="5" t="s">
        <v>98</v>
      </c>
      <c r="D2984" s="4" t="s">
        <v>16</v>
      </c>
      <c r="E2984" s="4" t="s">
        <v>3971</v>
      </c>
      <c r="F2984" s="4" t="s">
        <v>488</v>
      </c>
      <c r="G2984" s="4" t="s">
        <v>3972</v>
      </c>
      <c r="H2984" s="12" t="n">
        <v>1</v>
      </c>
      <c r="I2984" s="4" t="s">
        <v>408</v>
      </c>
      <c r="J2984" s="4" t="s">
        <v>416</v>
      </c>
      <c r="K2984" s="13" t="n">
        <v>350</v>
      </c>
      <c r="L2984" s="6" t="n">
        <f aca="false">H2984*K2984</f>
        <v>350</v>
      </c>
      <c r="M2984" s="4" t="s">
        <v>371</v>
      </c>
    </row>
    <row r="2985" customFormat="false" ht="23.85" hidden="false" customHeight="false" outlineLevel="0" collapsed="false">
      <c r="A2985" s="4" t="s">
        <v>94</v>
      </c>
      <c r="B2985" s="5" t="s">
        <v>97</v>
      </c>
      <c r="C2985" s="5" t="s">
        <v>98</v>
      </c>
      <c r="D2985" s="4" t="s">
        <v>16</v>
      </c>
      <c r="E2985" s="4" t="s">
        <v>1243</v>
      </c>
      <c r="F2985" s="4" t="s">
        <v>488</v>
      </c>
      <c r="G2985" s="4" t="s">
        <v>1244</v>
      </c>
      <c r="H2985" s="12" t="n">
        <v>1</v>
      </c>
      <c r="I2985" s="4" t="s">
        <v>408</v>
      </c>
      <c r="J2985" s="4" t="s">
        <v>503</v>
      </c>
      <c r="K2985" s="13" t="n">
        <v>180</v>
      </c>
      <c r="L2985" s="6" t="n">
        <f aca="false">H2985*K2985</f>
        <v>180</v>
      </c>
      <c r="M2985" s="4" t="s">
        <v>371</v>
      </c>
    </row>
    <row r="2986" customFormat="false" ht="23.85" hidden="false" customHeight="false" outlineLevel="0" collapsed="false">
      <c r="A2986" s="4" t="s">
        <v>94</v>
      </c>
      <c r="B2986" s="5" t="s">
        <v>97</v>
      </c>
      <c r="C2986" s="5" t="s">
        <v>98</v>
      </c>
      <c r="D2986" s="4" t="s">
        <v>16</v>
      </c>
      <c r="E2986" s="4" t="s">
        <v>3973</v>
      </c>
      <c r="F2986" s="4" t="s">
        <v>470</v>
      </c>
      <c r="G2986" s="4" t="s">
        <v>3974</v>
      </c>
      <c r="H2986" s="12" t="n">
        <v>1</v>
      </c>
      <c r="I2986" s="4" t="s">
        <v>408</v>
      </c>
      <c r="J2986" s="4" t="s">
        <v>409</v>
      </c>
      <c r="K2986" s="13" t="n">
        <v>85000</v>
      </c>
      <c r="L2986" s="6" t="n">
        <f aca="false">H2986*K2986</f>
        <v>85000</v>
      </c>
      <c r="M2986" s="4" t="s">
        <v>371</v>
      </c>
    </row>
    <row r="2987" customFormat="false" ht="23.85" hidden="false" customHeight="false" outlineLevel="0" collapsed="false">
      <c r="A2987" s="4" t="s">
        <v>94</v>
      </c>
      <c r="B2987" s="5" t="s">
        <v>99</v>
      </c>
      <c r="C2987" s="5" t="s">
        <v>100</v>
      </c>
      <c r="D2987" s="4" t="s">
        <v>16</v>
      </c>
      <c r="E2987" s="4" t="s">
        <v>3975</v>
      </c>
      <c r="F2987" s="4" t="s">
        <v>406</v>
      </c>
      <c r="G2987" s="4" t="s">
        <v>3976</v>
      </c>
      <c r="H2987" s="12" t="n">
        <v>1</v>
      </c>
      <c r="I2987" s="4" t="s">
        <v>474</v>
      </c>
      <c r="J2987" s="4" t="s">
        <v>413</v>
      </c>
      <c r="K2987" s="13" t="n">
        <v>1800</v>
      </c>
      <c r="L2987" s="6" t="n">
        <f aca="false">H2987*K2987</f>
        <v>1800</v>
      </c>
      <c r="M2987" s="14" t="s">
        <v>410</v>
      </c>
    </row>
    <row r="2988" customFormat="false" ht="23.85" hidden="false" customHeight="false" outlineLevel="0" collapsed="false">
      <c r="A2988" s="4" t="s">
        <v>94</v>
      </c>
      <c r="B2988" s="5" t="s">
        <v>99</v>
      </c>
      <c r="C2988" s="5" t="s">
        <v>100</v>
      </c>
      <c r="D2988" s="4" t="s">
        <v>16</v>
      </c>
      <c r="E2988" s="4" t="s">
        <v>3977</v>
      </c>
      <c r="F2988" s="4" t="s">
        <v>406</v>
      </c>
      <c r="G2988" s="4" t="s">
        <v>1846</v>
      </c>
      <c r="H2988" s="12" t="n">
        <v>2</v>
      </c>
      <c r="I2988" s="4" t="s">
        <v>474</v>
      </c>
      <c r="J2988" s="4" t="s">
        <v>416</v>
      </c>
      <c r="K2988" s="13" t="n">
        <v>4500</v>
      </c>
      <c r="L2988" s="6" t="n">
        <f aca="false">H2988*K2988</f>
        <v>9000</v>
      </c>
      <c r="M2988" s="14" t="s">
        <v>410</v>
      </c>
    </row>
    <row r="2989" customFormat="false" ht="23.85" hidden="false" customHeight="false" outlineLevel="0" collapsed="false">
      <c r="A2989" s="4" t="s">
        <v>94</v>
      </c>
      <c r="B2989" s="5" t="s">
        <v>99</v>
      </c>
      <c r="C2989" s="5" t="s">
        <v>100</v>
      </c>
      <c r="D2989" s="4" t="s">
        <v>16</v>
      </c>
      <c r="E2989" s="4" t="s">
        <v>3978</v>
      </c>
      <c r="F2989" s="4" t="s">
        <v>406</v>
      </c>
      <c r="G2989" s="4" t="s">
        <v>3979</v>
      </c>
      <c r="H2989" s="12" t="n">
        <v>5</v>
      </c>
      <c r="I2989" s="4" t="s">
        <v>474</v>
      </c>
      <c r="J2989" s="4" t="s">
        <v>409</v>
      </c>
      <c r="K2989" s="13" t="n">
        <v>850</v>
      </c>
      <c r="L2989" s="6" t="n">
        <f aca="false">H2989*K2989</f>
        <v>4250</v>
      </c>
      <c r="M2989" s="14" t="s">
        <v>410</v>
      </c>
    </row>
    <row r="2990" customFormat="false" ht="23.85" hidden="false" customHeight="false" outlineLevel="0" collapsed="false">
      <c r="A2990" s="4" t="s">
        <v>94</v>
      </c>
      <c r="B2990" s="5" t="s">
        <v>99</v>
      </c>
      <c r="C2990" s="5" t="s">
        <v>100</v>
      </c>
      <c r="D2990" s="4" t="s">
        <v>16</v>
      </c>
      <c r="E2990" s="4" t="s">
        <v>3980</v>
      </c>
      <c r="F2990" s="4" t="s">
        <v>406</v>
      </c>
      <c r="G2990" s="4" t="s">
        <v>3981</v>
      </c>
      <c r="H2990" s="12" t="n">
        <v>2</v>
      </c>
      <c r="I2990" s="4" t="s">
        <v>474</v>
      </c>
      <c r="J2990" s="4" t="s">
        <v>416</v>
      </c>
      <c r="K2990" s="13" t="n">
        <v>2500</v>
      </c>
      <c r="L2990" s="6" t="n">
        <f aca="false">H2990*K2990</f>
        <v>5000</v>
      </c>
      <c r="M2990" s="14" t="s">
        <v>410</v>
      </c>
    </row>
    <row r="2991" customFormat="false" ht="23.85" hidden="false" customHeight="false" outlineLevel="0" collapsed="false">
      <c r="A2991" s="4" t="s">
        <v>94</v>
      </c>
      <c r="B2991" s="5" t="s">
        <v>99</v>
      </c>
      <c r="C2991" s="5" t="s">
        <v>100</v>
      </c>
      <c r="D2991" s="4" t="s">
        <v>16</v>
      </c>
      <c r="E2991" s="4" t="s">
        <v>3982</v>
      </c>
      <c r="F2991" s="4" t="s">
        <v>406</v>
      </c>
      <c r="G2991" s="4" t="s">
        <v>3983</v>
      </c>
      <c r="H2991" s="12" t="n">
        <v>5</v>
      </c>
      <c r="I2991" s="4" t="s">
        <v>474</v>
      </c>
      <c r="J2991" s="4" t="s">
        <v>416</v>
      </c>
      <c r="K2991" s="13" t="n">
        <v>1200</v>
      </c>
      <c r="L2991" s="6" t="n">
        <f aca="false">H2991*K2991</f>
        <v>6000</v>
      </c>
      <c r="M2991" s="14" t="s">
        <v>410</v>
      </c>
    </row>
    <row r="2992" customFormat="false" ht="23.85" hidden="false" customHeight="false" outlineLevel="0" collapsed="false">
      <c r="A2992" s="4" t="s">
        <v>94</v>
      </c>
      <c r="B2992" s="5" t="s">
        <v>99</v>
      </c>
      <c r="C2992" s="5" t="s">
        <v>100</v>
      </c>
      <c r="D2992" s="4" t="s">
        <v>16</v>
      </c>
      <c r="E2992" s="4" t="s">
        <v>3984</v>
      </c>
      <c r="F2992" s="4" t="s">
        <v>406</v>
      </c>
      <c r="G2992" s="4" t="s">
        <v>3985</v>
      </c>
      <c r="H2992" s="12" t="n">
        <v>5</v>
      </c>
      <c r="I2992" s="4" t="s">
        <v>474</v>
      </c>
      <c r="J2992" s="4" t="s">
        <v>409</v>
      </c>
      <c r="K2992" s="13" t="n">
        <v>350</v>
      </c>
      <c r="L2992" s="6" t="n">
        <f aca="false">H2992*K2992</f>
        <v>1750</v>
      </c>
      <c r="M2992" s="14" t="s">
        <v>410</v>
      </c>
    </row>
    <row r="2993" customFormat="false" ht="23.85" hidden="false" customHeight="false" outlineLevel="0" collapsed="false">
      <c r="A2993" s="4" t="s">
        <v>94</v>
      </c>
      <c r="B2993" s="5" t="s">
        <v>99</v>
      </c>
      <c r="C2993" s="5" t="s">
        <v>100</v>
      </c>
      <c r="D2993" s="4" t="s">
        <v>16</v>
      </c>
      <c r="E2993" s="4" t="s">
        <v>3986</v>
      </c>
      <c r="F2993" s="4" t="s">
        <v>406</v>
      </c>
      <c r="G2993" s="4" t="s">
        <v>3987</v>
      </c>
      <c r="H2993" s="12" t="n">
        <v>3</v>
      </c>
      <c r="I2993" s="4" t="s">
        <v>474</v>
      </c>
      <c r="J2993" s="4" t="s">
        <v>416</v>
      </c>
      <c r="K2993" s="13" t="n">
        <v>1800</v>
      </c>
      <c r="L2993" s="6" t="n">
        <f aca="false">H2993*K2993</f>
        <v>5400</v>
      </c>
      <c r="M2993" s="14" t="s">
        <v>410</v>
      </c>
    </row>
    <row r="2994" customFormat="false" ht="23.85" hidden="false" customHeight="false" outlineLevel="0" collapsed="false">
      <c r="A2994" s="4" t="s">
        <v>94</v>
      </c>
      <c r="B2994" s="5" t="s">
        <v>99</v>
      </c>
      <c r="C2994" s="5" t="s">
        <v>100</v>
      </c>
      <c r="D2994" s="4" t="s">
        <v>16</v>
      </c>
      <c r="E2994" s="4" t="s">
        <v>3988</v>
      </c>
      <c r="F2994" s="4" t="s">
        <v>406</v>
      </c>
      <c r="G2994" s="4" t="s">
        <v>3989</v>
      </c>
      <c r="H2994" s="12" t="n">
        <v>5</v>
      </c>
      <c r="I2994" s="4" t="s">
        <v>474</v>
      </c>
      <c r="J2994" s="4" t="s">
        <v>409</v>
      </c>
      <c r="K2994" s="13" t="n">
        <v>350</v>
      </c>
      <c r="L2994" s="6" t="n">
        <f aca="false">H2994*K2994</f>
        <v>1750</v>
      </c>
      <c r="M2994" s="14" t="s">
        <v>410</v>
      </c>
    </row>
    <row r="2995" customFormat="false" ht="23.85" hidden="false" customHeight="false" outlineLevel="0" collapsed="false">
      <c r="A2995" s="4" t="s">
        <v>94</v>
      </c>
      <c r="B2995" s="5" t="s">
        <v>99</v>
      </c>
      <c r="C2995" s="5" t="s">
        <v>100</v>
      </c>
      <c r="D2995" s="4" t="s">
        <v>16</v>
      </c>
      <c r="E2995" s="4" t="s">
        <v>1208</v>
      </c>
      <c r="F2995" s="4" t="s">
        <v>406</v>
      </c>
      <c r="G2995" s="4" t="s">
        <v>1209</v>
      </c>
      <c r="H2995" s="12" t="n">
        <v>2</v>
      </c>
      <c r="I2995" s="4" t="s">
        <v>474</v>
      </c>
      <c r="J2995" s="4" t="s">
        <v>409</v>
      </c>
      <c r="K2995" s="13" t="n">
        <v>850</v>
      </c>
      <c r="L2995" s="6" t="n">
        <f aca="false">H2995*K2995</f>
        <v>1700</v>
      </c>
      <c r="M2995" s="14" t="s">
        <v>410</v>
      </c>
    </row>
    <row r="2996" customFormat="false" ht="23.85" hidden="false" customHeight="false" outlineLevel="0" collapsed="false">
      <c r="A2996" s="4" t="s">
        <v>94</v>
      </c>
      <c r="B2996" s="5" t="s">
        <v>99</v>
      </c>
      <c r="C2996" s="5" t="s">
        <v>100</v>
      </c>
      <c r="D2996" s="4" t="s">
        <v>16</v>
      </c>
      <c r="E2996" s="4" t="s">
        <v>3990</v>
      </c>
      <c r="F2996" s="4" t="s">
        <v>470</v>
      </c>
      <c r="G2996" s="4" t="s">
        <v>3991</v>
      </c>
      <c r="H2996" s="12" t="n">
        <v>1</v>
      </c>
      <c r="I2996" s="4" t="s">
        <v>408</v>
      </c>
      <c r="J2996" s="4" t="s">
        <v>409</v>
      </c>
      <c r="K2996" s="13" t="n">
        <v>55000</v>
      </c>
      <c r="L2996" s="6" t="n">
        <f aca="false">H2996*K2996</f>
        <v>55000</v>
      </c>
      <c r="M2996" s="4" t="s">
        <v>371</v>
      </c>
    </row>
    <row r="2997" customFormat="false" ht="23.85" hidden="false" customHeight="false" outlineLevel="0" collapsed="false">
      <c r="A2997" s="4" t="s">
        <v>94</v>
      </c>
      <c r="B2997" s="5" t="s">
        <v>99</v>
      </c>
      <c r="C2997" s="5" t="s">
        <v>100</v>
      </c>
      <c r="D2997" s="4" t="s">
        <v>16</v>
      </c>
      <c r="E2997" s="4" t="s">
        <v>3992</v>
      </c>
      <c r="F2997" s="4" t="s">
        <v>470</v>
      </c>
      <c r="G2997" s="4" t="s">
        <v>3993</v>
      </c>
      <c r="H2997" s="12" t="n">
        <v>1</v>
      </c>
      <c r="I2997" s="4" t="s">
        <v>408</v>
      </c>
      <c r="J2997" s="4" t="s">
        <v>2810</v>
      </c>
      <c r="K2997" s="13" t="n">
        <v>0</v>
      </c>
      <c r="L2997" s="6" t="n">
        <f aca="false">H2997*K2997</f>
        <v>0</v>
      </c>
      <c r="M2997" s="4" t="s">
        <v>371</v>
      </c>
    </row>
    <row r="2998" customFormat="false" ht="23.85" hidden="false" customHeight="false" outlineLevel="0" collapsed="false">
      <c r="A2998" s="4" t="s">
        <v>94</v>
      </c>
      <c r="B2998" s="5" t="s">
        <v>99</v>
      </c>
      <c r="C2998" s="5" t="s">
        <v>100</v>
      </c>
      <c r="D2998" s="4" t="s">
        <v>16</v>
      </c>
      <c r="E2998" s="4" t="s">
        <v>3994</v>
      </c>
      <c r="F2998" s="4" t="s">
        <v>470</v>
      </c>
      <c r="G2998" s="4" t="s">
        <v>3995</v>
      </c>
      <c r="H2998" s="12" t="n">
        <v>1</v>
      </c>
      <c r="I2998" s="4" t="s">
        <v>474</v>
      </c>
      <c r="J2998" s="4" t="s">
        <v>413</v>
      </c>
      <c r="K2998" s="13" t="n">
        <v>850</v>
      </c>
      <c r="L2998" s="6" t="n">
        <f aca="false">H2998*K2998</f>
        <v>850</v>
      </c>
      <c r="M2998" s="4" t="s">
        <v>371</v>
      </c>
    </row>
    <row r="2999" customFormat="false" ht="23.85" hidden="false" customHeight="false" outlineLevel="0" collapsed="false">
      <c r="A2999" s="4" t="s">
        <v>94</v>
      </c>
      <c r="B2999" s="5" t="s">
        <v>99</v>
      </c>
      <c r="C2999" s="5" t="s">
        <v>100</v>
      </c>
      <c r="D2999" s="4" t="s">
        <v>16</v>
      </c>
      <c r="E2999" s="4" t="s">
        <v>3996</v>
      </c>
      <c r="F2999" s="4" t="s">
        <v>470</v>
      </c>
      <c r="G2999" s="4" t="s">
        <v>3997</v>
      </c>
      <c r="H2999" s="12" t="n">
        <v>3</v>
      </c>
      <c r="I2999" s="4" t="s">
        <v>474</v>
      </c>
      <c r="J2999" s="4" t="s">
        <v>413</v>
      </c>
      <c r="K2999" s="13" t="n">
        <v>4500</v>
      </c>
      <c r="L2999" s="6" t="n">
        <f aca="false">H2999*K2999</f>
        <v>13500</v>
      </c>
      <c r="M2999" s="4" t="s">
        <v>371</v>
      </c>
    </row>
    <row r="3000" customFormat="false" ht="23.85" hidden="false" customHeight="false" outlineLevel="0" collapsed="false">
      <c r="A3000" s="4" t="s">
        <v>94</v>
      </c>
      <c r="B3000" s="5" t="s">
        <v>99</v>
      </c>
      <c r="C3000" s="5" t="s">
        <v>100</v>
      </c>
      <c r="D3000" s="4" t="s">
        <v>16</v>
      </c>
      <c r="E3000" s="4" t="s">
        <v>3998</v>
      </c>
      <c r="F3000" s="4" t="s">
        <v>488</v>
      </c>
      <c r="G3000" s="4" t="s">
        <v>3999</v>
      </c>
      <c r="H3000" s="12" t="n">
        <v>10</v>
      </c>
      <c r="I3000" s="4" t="s">
        <v>474</v>
      </c>
      <c r="J3000" s="4" t="s">
        <v>416</v>
      </c>
      <c r="K3000" s="13" t="n">
        <v>350</v>
      </c>
      <c r="L3000" s="6" t="n">
        <f aca="false">H3000*K3000</f>
        <v>3500</v>
      </c>
      <c r="M3000" s="4" t="s">
        <v>371</v>
      </c>
    </row>
    <row r="3001" customFormat="false" ht="23.85" hidden="false" customHeight="false" outlineLevel="0" collapsed="false">
      <c r="A3001" s="4" t="s">
        <v>94</v>
      </c>
      <c r="B3001" s="5" t="s">
        <v>99</v>
      </c>
      <c r="C3001" s="5" t="s">
        <v>100</v>
      </c>
      <c r="D3001" s="4" t="s">
        <v>16</v>
      </c>
      <c r="E3001" s="4" t="s">
        <v>4000</v>
      </c>
      <c r="F3001" s="4" t="s">
        <v>488</v>
      </c>
      <c r="G3001" s="4" t="s">
        <v>4001</v>
      </c>
      <c r="H3001" s="12" t="n">
        <v>5</v>
      </c>
      <c r="I3001" s="4" t="s">
        <v>474</v>
      </c>
      <c r="J3001" s="4" t="s">
        <v>413</v>
      </c>
      <c r="K3001" s="13" t="n">
        <v>350</v>
      </c>
      <c r="L3001" s="6" t="n">
        <f aca="false">H3001*K3001</f>
        <v>1750</v>
      </c>
      <c r="M3001" s="4" t="s">
        <v>371</v>
      </c>
    </row>
    <row r="3002" customFormat="false" ht="23.85" hidden="false" customHeight="false" outlineLevel="0" collapsed="false">
      <c r="A3002" s="4" t="s">
        <v>94</v>
      </c>
      <c r="B3002" s="5" t="s">
        <v>105</v>
      </c>
      <c r="C3002" s="5" t="s">
        <v>106</v>
      </c>
      <c r="D3002" s="4" t="s">
        <v>16</v>
      </c>
      <c r="E3002" s="4" t="s">
        <v>1174</v>
      </c>
      <c r="F3002" s="4" t="s">
        <v>406</v>
      </c>
      <c r="G3002" s="4" t="s">
        <v>1175</v>
      </c>
      <c r="H3002" s="12" t="n">
        <v>1</v>
      </c>
      <c r="I3002" s="4" t="s">
        <v>408</v>
      </c>
      <c r="J3002" s="4" t="s">
        <v>416</v>
      </c>
      <c r="K3002" s="13" t="n">
        <v>350</v>
      </c>
      <c r="L3002" s="6" t="n">
        <f aca="false">H3002*K3002</f>
        <v>350</v>
      </c>
      <c r="M3002" s="14" t="s">
        <v>410</v>
      </c>
    </row>
    <row r="3003" customFormat="false" ht="23.85" hidden="false" customHeight="false" outlineLevel="0" collapsed="false">
      <c r="A3003" s="4" t="s">
        <v>94</v>
      </c>
      <c r="B3003" s="5" t="s">
        <v>105</v>
      </c>
      <c r="C3003" s="5" t="s">
        <v>106</v>
      </c>
      <c r="D3003" s="4" t="s">
        <v>16</v>
      </c>
      <c r="E3003" s="4" t="s">
        <v>4002</v>
      </c>
      <c r="F3003" s="4" t="s">
        <v>406</v>
      </c>
      <c r="G3003" s="4" t="s">
        <v>1177</v>
      </c>
      <c r="H3003" s="12" t="n">
        <v>1</v>
      </c>
      <c r="I3003" s="4" t="s">
        <v>408</v>
      </c>
      <c r="J3003" s="4" t="s">
        <v>416</v>
      </c>
      <c r="K3003" s="13" t="n">
        <v>1200</v>
      </c>
      <c r="L3003" s="6" t="n">
        <f aca="false">H3003*K3003</f>
        <v>1200</v>
      </c>
      <c r="M3003" s="14" t="s">
        <v>410</v>
      </c>
    </row>
    <row r="3004" customFormat="false" ht="23.85" hidden="false" customHeight="false" outlineLevel="0" collapsed="false">
      <c r="A3004" s="4" t="s">
        <v>94</v>
      </c>
      <c r="B3004" s="5" t="s">
        <v>105</v>
      </c>
      <c r="C3004" s="5" t="s">
        <v>106</v>
      </c>
      <c r="D3004" s="4" t="s">
        <v>16</v>
      </c>
      <c r="E3004" s="4" t="s">
        <v>1178</v>
      </c>
      <c r="F3004" s="4" t="s">
        <v>406</v>
      </c>
      <c r="G3004" s="4" t="s">
        <v>1179</v>
      </c>
      <c r="H3004" s="12" t="n">
        <v>1</v>
      </c>
      <c r="I3004" s="4" t="s">
        <v>408</v>
      </c>
      <c r="J3004" s="4" t="s">
        <v>409</v>
      </c>
      <c r="K3004" s="13" t="n">
        <v>250</v>
      </c>
      <c r="L3004" s="6" t="n">
        <f aca="false">H3004*K3004</f>
        <v>250</v>
      </c>
      <c r="M3004" s="14" t="s">
        <v>410</v>
      </c>
    </row>
    <row r="3005" customFormat="false" ht="23.85" hidden="false" customHeight="false" outlineLevel="0" collapsed="false">
      <c r="A3005" s="4" t="s">
        <v>94</v>
      </c>
      <c r="B3005" s="5" t="s">
        <v>105</v>
      </c>
      <c r="C3005" s="5" t="s">
        <v>106</v>
      </c>
      <c r="D3005" s="4" t="s">
        <v>16</v>
      </c>
      <c r="E3005" s="4" t="s">
        <v>1180</v>
      </c>
      <c r="F3005" s="4" t="s">
        <v>406</v>
      </c>
      <c r="G3005" s="4" t="s">
        <v>1181</v>
      </c>
      <c r="H3005" s="12" t="n">
        <v>1</v>
      </c>
      <c r="I3005" s="4" t="s">
        <v>408</v>
      </c>
      <c r="J3005" s="4" t="s">
        <v>409</v>
      </c>
      <c r="K3005" s="13" t="n">
        <v>850</v>
      </c>
      <c r="L3005" s="6" t="n">
        <f aca="false">H3005*K3005</f>
        <v>850</v>
      </c>
      <c r="M3005" s="14" t="s">
        <v>410</v>
      </c>
    </row>
    <row r="3006" customFormat="false" ht="23.85" hidden="false" customHeight="false" outlineLevel="0" collapsed="false">
      <c r="A3006" s="4" t="s">
        <v>94</v>
      </c>
      <c r="B3006" s="5" t="s">
        <v>105</v>
      </c>
      <c r="C3006" s="5" t="s">
        <v>106</v>
      </c>
      <c r="D3006" s="4" t="s">
        <v>16</v>
      </c>
      <c r="E3006" s="4" t="s">
        <v>1182</v>
      </c>
      <c r="F3006" s="4" t="s">
        <v>406</v>
      </c>
      <c r="G3006" s="4" t="s">
        <v>1183</v>
      </c>
      <c r="H3006" s="12" t="n">
        <v>1</v>
      </c>
      <c r="I3006" s="4" t="s">
        <v>408</v>
      </c>
      <c r="J3006" s="4" t="s">
        <v>409</v>
      </c>
      <c r="K3006" s="13" t="n">
        <v>350</v>
      </c>
      <c r="L3006" s="6" t="n">
        <f aca="false">H3006*K3006</f>
        <v>350</v>
      </c>
      <c r="M3006" s="14" t="s">
        <v>410</v>
      </c>
    </row>
    <row r="3007" customFormat="false" ht="23.85" hidden="false" customHeight="false" outlineLevel="0" collapsed="false">
      <c r="A3007" s="4" t="s">
        <v>94</v>
      </c>
      <c r="B3007" s="5" t="s">
        <v>105</v>
      </c>
      <c r="C3007" s="5" t="s">
        <v>106</v>
      </c>
      <c r="D3007" s="4" t="s">
        <v>16</v>
      </c>
      <c r="E3007" s="4" t="s">
        <v>1184</v>
      </c>
      <c r="F3007" s="4" t="s">
        <v>406</v>
      </c>
      <c r="G3007" s="4" t="s">
        <v>1185</v>
      </c>
      <c r="H3007" s="12" t="n">
        <v>1</v>
      </c>
      <c r="I3007" s="4" t="s">
        <v>408</v>
      </c>
      <c r="J3007" s="4" t="s">
        <v>409</v>
      </c>
      <c r="K3007" s="13" t="n">
        <v>350</v>
      </c>
      <c r="L3007" s="6" t="n">
        <f aca="false">H3007*K3007</f>
        <v>350</v>
      </c>
      <c r="M3007" s="14" t="s">
        <v>410</v>
      </c>
    </row>
    <row r="3008" customFormat="false" ht="23.85" hidden="false" customHeight="false" outlineLevel="0" collapsed="false">
      <c r="A3008" s="4" t="s">
        <v>94</v>
      </c>
      <c r="B3008" s="5" t="s">
        <v>105</v>
      </c>
      <c r="C3008" s="5" t="s">
        <v>106</v>
      </c>
      <c r="D3008" s="4" t="s">
        <v>16</v>
      </c>
      <c r="E3008" s="4" t="s">
        <v>1186</v>
      </c>
      <c r="F3008" s="4" t="s">
        <v>406</v>
      </c>
      <c r="G3008" s="4" t="s">
        <v>1187</v>
      </c>
      <c r="H3008" s="12" t="n">
        <v>1</v>
      </c>
      <c r="I3008" s="4" t="s">
        <v>408</v>
      </c>
      <c r="J3008" s="4" t="s">
        <v>416</v>
      </c>
      <c r="K3008" s="13" t="n">
        <v>850</v>
      </c>
      <c r="L3008" s="6" t="n">
        <f aca="false">H3008*K3008</f>
        <v>850</v>
      </c>
      <c r="M3008" s="14" t="s">
        <v>410</v>
      </c>
    </row>
    <row r="3009" customFormat="false" ht="23.85" hidden="false" customHeight="false" outlineLevel="0" collapsed="false">
      <c r="A3009" s="4" t="s">
        <v>94</v>
      </c>
      <c r="B3009" s="5" t="s">
        <v>105</v>
      </c>
      <c r="C3009" s="5" t="s">
        <v>106</v>
      </c>
      <c r="D3009" s="4" t="s">
        <v>16</v>
      </c>
      <c r="E3009" s="4" t="s">
        <v>1188</v>
      </c>
      <c r="F3009" s="4" t="s">
        <v>406</v>
      </c>
      <c r="G3009" s="4" t="s">
        <v>1189</v>
      </c>
      <c r="H3009" s="12" t="n">
        <v>1</v>
      </c>
      <c r="I3009" s="4" t="s">
        <v>408</v>
      </c>
      <c r="J3009" s="4" t="s">
        <v>416</v>
      </c>
      <c r="K3009" s="13" t="n">
        <v>1800</v>
      </c>
      <c r="L3009" s="6" t="n">
        <f aca="false">H3009*K3009</f>
        <v>1800</v>
      </c>
      <c r="M3009" s="14" t="s">
        <v>410</v>
      </c>
    </row>
    <row r="3010" customFormat="false" ht="23.85" hidden="false" customHeight="false" outlineLevel="0" collapsed="false">
      <c r="A3010" s="4" t="s">
        <v>94</v>
      </c>
      <c r="B3010" s="5" t="s">
        <v>105</v>
      </c>
      <c r="C3010" s="5" t="s">
        <v>106</v>
      </c>
      <c r="D3010" s="4" t="s">
        <v>16</v>
      </c>
      <c r="E3010" s="4" t="s">
        <v>1190</v>
      </c>
      <c r="F3010" s="4" t="s">
        <v>406</v>
      </c>
      <c r="G3010" s="4" t="s">
        <v>1191</v>
      </c>
      <c r="H3010" s="12" t="n">
        <v>1</v>
      </c>
      <c r="I3010" s="4" t="s">
        <v>408</v>
      </c>
      <c r="J3010" s="4" t="s">
        <v>416</v>
      </c>
      <c r="K3010" s="13" t="n">
        <v>1200</v>
      </c>
      <c r="L3010" s="6" t="n">
        <f aca="false">H3010*K3010</f>
        <v>1200</v>
      </c>
      <c r="M3010" s="14" t="s">
        <v>410</v>
      </c>
    </row>
    <row r="3011" customFormat="false" ht="23.85" hidden="false" customHeight="false" outlineLevel="0" collapsed="false">
      <c r="A3011" s="4" t="s">
        <v>94</v>
      </c>
      <c r="B3011" s="5" t="s">
        <v>105</v>
      </c>
      <c r="C3011" s="5" t="s">
        <v>106</v>
      </c>
      <c r="D3011" s="4" t="s">
        <v>16</v>
      </c>
      <c r="E3011" s="4" t="s">
        <v>1192</v>
      </c>
      <c r="F3011" s="4" t="s">
        <v>406</v>
      </c>
      <c r="G3011" s="4" t="s">
        <v>1193</v>
      </c>
      <c r="H3011" s="12" t="n">
        <v>1</v>
      </c>
      <c r="I3011" s="4" t="s">
        <v>408</v>
      </c>
      <c r="J3011" s="4" t="s">
        <v>416</v>
      </c>
      <c r="K3011" s="13" t="n">
        <v>450</v>
      </c>
      <c r="L3011" s="6" t="n">
        <f aca="false">H3011*K3011</f>
        <v>450</v>
      </c>
      <c r="M3011" s="14" t="s">
        <v>410</v>
      </c>
    </row>
    <row r="3012" customFormat="false" ht="23.85" hidden="false" customHeight="false" outlineLevel="0" collapsed="false">
      <c r="A3012" s="4" t="s">
        <v>94</v>
      </c>
      <c r="B3012" s="5" t="s">
        <v>105</v>
      </c>
      <c r="C3012" s="5" t="s">
        <v>106</v>
      </c>
      <c r="D3012" s="4" t="s">
        <v>16</v>
      </c>
      <c r="E3012" s="4" t="s">
        <v>970</v>
      </c>
      <c r="F3012" s="4" t="s">
        <v>406</v>
      </c>
      <c r="G3012" s="4" t="s">
        <v>971</v>
      </c>
      <c r="H3012" s="12" t="n">
        <v>1</v>
      </c>
      <c r="I3012" s="4" t="s">
        <v>408</v>
      </c>
      <c r="J3012" s="4" t="s">
        <v>409</v>
      </c>
      <c r="K3012" s="13" t="n">
        <v>1200</v>
      </c>
      <c r="L3012" s="6" t="n">
        <f aca="false">H3012*K3012</f>
        <v>1200</v>
      </c>
      <c r="M3012" s="14" t="s">
        <v>410</v>
      </c>
    </row>
    <row r="3013" customFormat="false" ht="23.85" hidden="false" customHeight="false" outlineLevel="0" collapsed="false">
      <c r="A3013" s="4" t="s">
        <v>94</v>
      </c>
      <c r="B3013" s="5" t="s">
        <v>105</v>
      </c>
      <c r="C3013" s="5" t="s">
        <v>106</v>
      </c>
      <c r="D3013" s="4" t="s">
        <v>16</v>
      </c>
      <c r="E3013" s="4" t="s">
        <v>972</v>
      </c>
      <c r="F3013" s="4" t="s">
        <v>406</v>
      </c>
      <c r="G3013" s="4" t="s">
        <v>973</v>
      </c>
      <c r="H3013" s="12" t="n">
        <v>1</v>
      </c>
      <c r="I3013" s="4" t="s">
        <v>408</v>
      </c>
      <c r="J3013" s="4" t="s">
        <v>409</v>
      </c>
      <c r="K3013" s="13" t="n">
        <v>850</v>
      </c>
      <c r="L3013" s="6" t="n">
        <f aca="false">H3013*K3013</f>
        <v>850</v>
      </c>
      <c r="M3013" s="14" t="s">
        <v>410</v>
      </c>
    </row>
    <row r="3014" customFormat="false" ht="23.85" hidden="false" customHeight="false" outlineLevel="0" collapsed="false">
      <c r="A3014" s="4" t="s">
        <v>94</v>
      </c>
      <c r="B3014" s="5" t="s">
        <v>105</v>
      </c>
      <c r="C3014" s="5" t="s">
        <v>106</v>
      </c>
      <c r="D3014" s="4" t="s">
        <v>16</v>
      </c>
      <c r="E3014" s="4" t="s">
        <v>1194</v>
      </c>
      <c r="F3014" s="4" t="s">
        <v>406</v>
      </c>
      <c r="G3014" s="4" t="s">
        <v>1195</v>
      </c>
      <c r="H3014" s="12" t="n">
        <v>1</v>
      </c>
      <c r="I3014" s="4" t="s">
        <v>408</v>
      </c>
      <c r="J3014" s="4" t="s">
        <v>409</v>
      </c>
      <c r="K3014" s="13" t="n">
        <v>450</v>
      </c>
      <c r="L3014" s="6" t="n">
        <f aca="false">H3014*K3014</f>
        <v>450</v>
      </c>
      <c r="M3014" s="14" t="s">
        <v>410</v>
      </c>
    </row>
    <row r="3015" customFormat="false" ht="23.85" hidden="false" customHeight="false" outlineLevel="0" collapsed="false">
      <c r="A3015" s="4" t="s">
        <v>94</v>
      </c>
      <c r="B3015" s="5" t="s">
        <v>105</v>
      </c>
      <c r="C3015" s="5" t="s">
        <v>106</v>
      </c>
      <c r="D3015" s="4" t="s">
        <v>16</v>
      </c>
      <c r="E3015" s="4" t="s">
        <v>4003</v>
      </c>
      <c r="F3015" s="4" t="s">
        <v>406</v>
      </c>
      <c r="G3015" s="4" t="s">
        <v>4004</v>
      </c>
      <c r="H3015" s="12" t="n">
        <v>1</v>
      </c>
      <c r="I3015" s="4" t="s">
        <v>408</v>
      </c>
      <c r="J3015" s="4" t="s">
        <v>409</v>
      </c>
      <c r="K3015" s="13" t="n">
        <v>250</v>
      </c>
      <c r="L3015" s="6" t="n">
        <f aca="false">H3015*K3015</f>
        <v>250</v>
      </c>
      <c r="M3015" s="14" t="s">
        <v>410</v>
      </c>
    </row>
    <row r="3016" customFormat="false" ht="23.85" hidden="false" customHeight="false" outlineLevel="0" collapsed="false">
      <c r="A3016" s="4" t="s">
        <v>94</v>
      </c>
      <c r="B3016" s="5" t="s">
        <v>105</v>
      </c>
      <c r="C3016" s="5" t="s">
        <v>106</v>
      </c>
      <c r="D3016" s="4" t="s">
        <v>16</v>
      </c>
      <c r="E3016" s="4" t="s">
        <v>4005</v>
      </c>
      <c r="F3016" s="4" t="s">
        <v>406</v>
      </c>
      <c r="G3016" s="4" t="s">
        <v>4006</v>
      </c>
      <c r="H3016" s="12" t="n">
        <v>1</v>
      </c>
      <c r="I3016" s="4" t="s">
        <v>408</v>
      </c>
      <c r="J3016" s="4" t="s">
        <v>409</v>
      </c>
      <c r="K3016" s="13" t="n">
        <v>120</v>
      </c>
      <c r="L3016" s="6" t="n">
        <f aca="false">H3016*K3016</f>
        <v>120</v>
      </c>
      <c r="M3016" s="14" t="s">
        <v>410</v>
      </c>
    </row>
    <row r="3017" customFormat="false" ht="23.85" hidden="false" customHeight="false" outlineLevel="0" collapsed="false">
      <c r="A3017" s="4" t="s">
        <v>94</v>
      </c>
      <c r="B3017" s="5" t="s">
        <v>105</v>
      </c>
      <c r="C3017" s="5" t="s">
        <v>106</v>
      </c>
      <c r="D3017" s="4" t="s">
        <v>16</v>
      </c>
      <c r="E3017" s="4" t="s">
        <v>942</v>
      </c>
      <c r="F3017" s="4" t="s">
        <v>406</v>
      </c>
      <c r="G3017" s="4" t="s">
        <v>943</v>
      </c>
      <c r="H3017" s="12" t="n">
        <v>1</v>
      </c>
      <c r="I3017" s="4" t="s">
        <v>408</v>
      </c>
      <c r="J3017" s="4" t="s">
        <v>409</v>
      </c>
      <c r="K3017" s="13" t="n">
        <v>180</v>
      </c>
      <c r="L3017" s="6" t="n">
        <f aca="false">H3017*K3017</f>
        <v>180</v>
      </c>
      <c r="M3017" s="14" t="s">
        <v>410</v>
      </c>
    </row>
    <row r="3018" customFormat="false" ht="23.85" hidden="false" customHeight="false" outlineLevel="0" collapsed="false">
      <c r="A3018" s="4" t="s">
        <v>94</v>
      </c>
      <c r="B3018" s="5" t="s">
        <v>105</v>
      </c>
      <c r="C3018" s="5" t="s">
        <v>106</v>
      </c>
      <c r="D3018" s="4" t="s">
        <v>16</v>
      </c>
      <c r="E3018" s="4" t="s">
        <v>1198</v>
      </c>
      <c r="F3018" s="4" t="s">
        <v>406</v>
      </c>
      <c r="G3018" s="4" t="s">
        <v>1199</v>
      </c>
      <c r="H3018" s="12" t="n">
        <v>1</v>
      </c>
      <c r="I3018" s="4" t="s">
        <v>408</v>
      </c>
      <c r="J3018" s="4" t="s">
        <v>409</v>
      </c>
      <c r="K3018" s="13" t="n">
        <v>450</v>
      </c>
      <c r="L3018" s="6" t="n">
        <f aca="false">H3018*K3018</f>
        <v>450</v>
      </c>
      <c r="M3018" s="14" t="s">
        <v>410</v>
      </c>
    </row>
    <row r="3019" customFormat="false" ht="23.85" hidden="false" customHeight="false" outlineLevel="0" collapsed="false">
      <c r="A3019" s="4" t="s">
        <v>94</v>
      </c>
      <c r="B3019" s="5" t="s">
        <v>105</v>
      </c>
      <c r="C3019" s="5" t="s">
        <v>106</v>
      </c>
      <c r="D3019" s="4" t="s">
        <v>16</v>
      </c>
      <c r="E3019" s="4" t="s">
        <v>4007</v>
      </c>
      <c r="F3019" s="4" t="s">
        <v>406</v>
      </c>
      <c r="G3019" s="4" t="s">
        <v>4008</v>
      </c>
      <c r="H3019" s="12" t="n">
        <v>1</v>
      </c>
      <c r="I3019" s="4" t="s">
        <v>408</v>
      </c>
      <c r="J3019" s="4" t="s">
        <v>416</v>
      </c>
      <c r="K3019" s="13" t="n">
        <v>2500</v>
      </c>
      <c r="L3019" s="6" t="n">
        <f aca="false">H3019*K3019</f>
        <v>2500</v>
      </c>
      <c r="M3019" s="4" t="s">
        <v>371</v>
      </c>
    </row>
    <row r="3020" customFormat="false" ht="23.85" hidden="false" customHeight="false" outlineLevel="0" collapsed="false">
      <c r="A3020" s="4" t="s">
        <v>94</v>
      </c>
      <c r="B3020" s="5" t="s">
        <v>105</v>
      </c>
      <c r="C3020" s="5" t="s">
        <v>106</v>
      </c>
      <c r="D3020" s="4" t="s">
        <v>16</v>
      </c>
      <c r="E3020" s="4" t="s">
        <v>974</v>
      </c>
      <c r="F3020" s="4" t="s">
        <v>406</v>
      </c>
      <c r="G3020" s="4" t="s">
        <v>975</v>
      </c>
      <c r="H3020" s="12" t="n">
        <v>1</v>
      </c>
      <c r="I3020" s="4" t="s">
        <v>408</v>
      </c>
      <c r="J3020" s="4" t="s">
        <v>409</v>
      </c>
      <c r="K3020" s="13" t="n">
        <v>850</v>
      </c>
      <c r="L3020" s="6" t="n">
        <f aca="false">H3020*K3020</f>
        <v>850</v>
      </c>
      <c r="M3020" s="14" t="s">
        <v>410</v>
      </c>
    </row>
    <row r="3021" customFormat="false" ht="23.85" hidden="false" customHeight="false" outlineLevel="0" collapsed="false">
      <c r="A3021" s="4" t="s">
        <v>94</v>
      </c>
      <c r="B3021" s="5" t="s">
        <v>105</v>
      </c>
      <c r="C3021" s="5" t="s">
        <v>106</v>
      </c>
      <c r="D3021" s="4" t="s">
        <v>16</v>
      </c>
      <c r="E3021" s="4" t="s">
        <v>942</v>
      </c>
      <c r="F3021" s="4" t="s">
        <v>406</v>
      </c>
      <c r="G3021" s="4" t="s">
        <v>943</v>
      </c>
      <c r="H3021" s="12" t="n">
        <v>1</v>
      </c>
      <c r="I3021" s="4" t="s">
        <v>408</v>
      </c>
      <c r="J3021" s="4" t="s">
        <v>409</v>
      </c>
      <c r="K3021" s="13" t="n">
        <v>180</v>
      </c>
      <c r="L3021" s="6" t="n">
        <f aca="false">H3021*K3021</f>
        <v>180</v>
      </c>
      <c r="M3021" s="14" t="s">
        <v>410</v>
      </c>
    </row>
    <row r="3022" customFormat="false" ht="23.85" hidden="false" customHeight="false" outlineLevel="0" collapsed="false">
      <c r="A3022" s="4" t="s">
        <v>94</v>
      </c>
      <c r="B3022" s="5" t="s">
        <v>105</v>
      </c>
      <c r="C3022" s="5" t="s">
        <v>106</v>
      </c>
      <c r="D3022" s="4" t="s">
        <v>16</v>
      </c>
      <c r="E3022" s="4" t="s">
        <v>944</v>
      </c>
      <c r="F3022" s="4" t="s">
        <v>406</v>
      </c>
      <c r="G3022" s="4" t="s">
        <v>945</v>
      </c>
      <c r="H3022" s="12" t="n">
        <v>1</v>
      </c>
      <c r="I3022" s="4" t="s">
        <v>408</v>
      </c>
      <c r="J3022" s="4" t="s">
        <v>409</v>
      </c>
      <c r="K3022" s="13" t="n">
        <v>8500</v>
      </c>
      <c r="L3022" s="6" t="n">
        <f aca="false">H3022*K3022</f>
        <v>8500</v>
      </c>
      <c r="M3022" s="14" t="s">
        <v>410</v>
      </c>
    </row>
    <row r="3023" customFormat="false" ht="23.85" hidden="false" customHeight="false" outlineLevel="0" collapsed="false">
      <c r="A3023" s="4" t="s">
        <v>94</v>
      </c>
      <c r="B3023" s="5" t="s">
        <v>105</v>
      </c>
      <c r="C3023" s="5" t="s">
        <v>106</v>
      </c>
      <c r="D3023" s="4" t="s">
        <v>16</v>
      </c>
      <c r="E3023" s="4" t="s">
        <v>976</v>
      </c>
      <c r="F3023" s="4" t="s">
        <v>406</v>
      </c>
      <c r="G3023" s="4" t="s">
        <v>977</v>
      </c>
      <c r="H3023" s="12" t="n">
        <v>1</v>
      </c>
      <c r="I3023" s="4" t="s">
        <v>408</v>
      </c>
      <c r="J3023" s="4" t="s">
        <v>409</v>
      </c>
      <c r="K3023" s="13" t="n">
        <v>4500</v>
      </c>
      <c r="L3023" s="6" t="n">
        <f aca="false">H3023*K3023</f>
        <v>4500</v>
      </c>
      <c r="M3023" s="14" t="s">
        <v>410</v>
      </c>
    </row>
    <row r="3024" customFormat="false" ht="23.85" hidden="false" customHeight="false" outlineLevel="0" collapsed="false">
      <c r="A3024" s="4" t="s">
        <v>94</v>
      </c>
      <c r="B3024" s="5" t="s">
        <v>105</v>
      </c>
      <c r="C3024" s="5" t="s">
        <v>106</v>
      </c>
      <c r="D3024" s="4" t="s">
        <v>16</v>
      </c>
      <c r="E3024" s="4" t="s">
        <v>978</v>
      </c>
      <c r="F3024" s="4" t="s">
        <v>406</v>
      </c>
      <c r="G3024" s="4" t="s">
        <v>979</v>
      </c>
      <c r="H3024" s="12" t="n">
        <v>1</v>
      </c>
      <c r="I3024" s="4" t="s">
        <v>408</v>
      </c>
      <c r="J3024" s="4" t="s">
        <v>416</v>
      </c>
      <c r="K3024" s="13" t="n">
        <v>4500</v>
      </c>
      <c r="L3024" s="6" t="n">
        <f aca="false">H3024*K3024</f>
        <v>4500</v>
      </c>
      <c r="M3024" s="14" t="s">
        <v>410</v>
      </c>
    </row>
    <row r="3025" customFormat="false" ht="23.85" hidden="false" customHeight="false" outlineLevel="0" collapsed="false">
      <c r="A3025" s="4" t="s">
        <v>94</v>
      </c>
      <c r="B3025" s="5" t="s">
        <v>105</v>
      </c>
      <c r="C3025" s="5" t="s">
        <v>106</v>
      </c>
      <c r="D3025" s="4" t="s">
        <v>16</v>
      </c>
      <c r="E3025" s="4" t="s">
        <v>980</v>
      </c>
      <c r="F3025" s="4" t="s">
        <v>406</v>
      </c>
      <c r="G3025" s="4" t="s">
        <v>981</v>
      </c>
      <c r="H3025" s="12" t="n">
        <v>1</v>
      </c>
      <c r="I3025" s="4" t="s">
        <v>408</v>
      </c>
      <c r="J3025" s="4" t="s">
        <v>416</v>
      </c>
      <c r="K3025" s="13" t="n">
        <v>1800</v>
      </c>
      <c r="L3025" s="6" t="n">
        <f aca="false">H3025*K3025</f>
        <v>1800</v>
      </c>
      <c r="M3025" s="14" t="s">
        <v>410</v>
      </c>
    </row>
    <row r="3026" customFormat="false" ht="23.85" hidden="false" customHeight="false" outlineLevel="0" collapsed="false">
      <c r="A3026" s="4" t="s">
        <v>94</v>
      </c>
      <c r="B3026" s="5" t="s">
        <v>105</v>
      </c>
      <c r="C3026" s="5" t="s">
        <v>106</v>
      </c>
      <c r="D3026" s="4" t="s">
        <v>16</v>
      </c>
      <c r="E3026" s="4" t="s">
        <v>982</v>
      </c>
      <c r="F3026" s="4" t="s">
        <v>406</v>
      </c>
      <c r="G3026" s="4" t="s">
        <v>983</v>
      </c>
      <c r="H3026" s="12" t="n">
        <v>1</v>
      </c>
      <c r="I3026" s="4" t="s">
        <v>408</v>
      </c>
      <c r="J3026" s="4" t="s">
        <v>416</v>
      </c>
      <c r="K3026" s="13" t="n">
        <v>1800</v>
      </c>
      <c r="L3026" s="6" t="n">
        <f aca="false">H3026*K3026</f>
        <v>1800</v>
      </c>
      <c r="M3026" s="14" t="s">
        <v>410</v>
      </c>
    </row>
    <row r="3027" customFormat="false" ht="23.85" hidden="false" customHeight="false" outlineLevel="0" collapsed="false">
      <c r="A3027" s="4" t="s">
        <v>94</v>
      </c>
      <c r="B3027" s="5" t="s">
        <v>105</v>
      </c>
      <c r="C3027" s="5" t="s">
        <v>106</v>
      </c>
      <c r="D3027" s="4" t="s">
        <v>16</v>
      </c>
      <c r="E3027" s="4" t="s">
        <v>984</v>
      </c>
      <c r="F3027" s="4" t="s">
        <v>406</v>
      </c>
      <c r="G3027" s="4" t="s">
        <v>985</v>
      </c>
      <c r="H3027" s="12" t="n">
        <v>1</v>
      </c>
      <c r="I3027" s="4" t="s">
        <v>408</v>
      </c>
      <c r="J3027" s="4" t="s">
        <v>416</v>
      </c>
      <c r="K3027" s="13" t="n">
        <v>1800</v>
      </c>
      <c r="L3027" s="6" t="n">
        <f aca="false">H3027*K3027</f>
        <v>1800</v>
      </c>
      <c r="M3027" s="14" t="s">
        <v>410</v>
      </c>
    </row>
    <row r="3028" customFormat="false" ht="23.85" hidden="false" customHeight="false" outlineLevel="0" collapsed="false">
      <c r="A3028" s="4" t="s">
        <v>94</v>
      </c>
      <c r="B3028" s="5" t="s">
        <v>105</v>
      </c>
      <c r="C3028" s="5" t="s">
        <v>106</v>
      </c>
      <c r="D3028" s="4" t="s">
        <v>16</v>
      </c>
      <c r="E3028" s="4" t="s">
        <v>986</v>
      </c>
      <c r="F3028" s="4" t="s">
        <v>406</v>
      </c>
      <c r="G3028" s="4" t="s">
        <v>987</v>
      </c>
      <c r="H3028" s="12" t="n">
        <v>1</v>
      </c>
      <c r="I3028" s="4" t="s">
        <v>408</v>
      </c>
      <c r="J3028" s="4" t="s">
        <v>416</v>
      </c>
      <c r="K3028" s="13" t="n">
        <v>1800</v>
      </c>
      <c r="L3028" s="6" t="n">
        <f aca="false">H3028*K3028</f>
        <v>1800</v>
      </c>
      <c r="M3028" s="14" t="s">
        <v>410</v>
      </c>
    </row>
    <row r="3029" customFormat="false" ht="23.85" hidden="false" customHeight="false" outlineLevel="0" collapsed="false">
      <c r="A3029" s="4" t="s">
        <v>94</v>
      </c>
      <c r="B3029" s="5" t="s">
        <v>105</v>
      </c>
      <c r="C3029" s="5" t="s">
        <v>106</v>
      </c>
      <c r="D3029" s="4" t="s">
        <v>16</v>
      </c>
      <c r="E3029" s="4" t="s">
        <v>988</v>
      </c>
      <c r="F3029" s="4" t="s">
        <v>406</v>
      </c>
      <c r="G3029" s="4" t="s">
        <v>989</v>
      </c>
      <c r="H3029" s="12" t="n">
        <v>1</v>
      </c>
      <c r="I3029" s="4" t="s">
        <v>408</v>
      </c>
      <c r="J3029" s="4" t="s">
        <v>416</v>
      </c>
      <c r="K3029" s="13" t="n">
        <v>1200</v>
      </c>
      <c r="L3029" s="6" t="n">
        <f aca="false">H3029*K3029</f>
        <v>1200</v>
      </c>
      <c r="M3029" s="14" t="s">
        <v>410</v>
      </c>
    </row>
    <row r="3030" customFormat="false" ht="23.85" hidden="false" customHeight="false" outlineLevel="0" collapsed="false">
      <c r="A3030" s="4" t="s">
        <v>94</v>
      </c>
      <c r="B3030" s="5" t="s">
        <v>105</v>
      </c>
      <c r="C3030" s="5" t="s">
        <v>106</v>
      </c>
      <c r="D3030" s="4" t="s">
        <v>16</v>
      </c>
      <c r="E3030" s="4" t="s">
        <v>990</v>
      </c>
      <c r="F3030" s="4" t="s">
        <v>406</v>
      </c>
      <c r="G3030" s="4" t="s">
        <v>991</v>
      </c>
      <c r="H3030" s="12" t="n">
        <v>1</v>
      </c>
      <c r="I3030" s="4" t="s">
        <v>408</v>
      </c>
      <c r="J3030" s="4" t="s">
        <v>416</v>
      </c>
      <c r="K3030" s="13" t="n">
        <v>1800</v>
      </c>
      <c r="L3030" s="6" t="n">
        <f aca="false">H3030*K3030</f>
        <v>1800</v>
      </c>
      <c r="M3030" s="14" t="s">
        <v>410</v>
      </c>
    </row>
    <row r="3031" customFormat="false" ht="23.85" hidden="false" customHeight="false" outlineLevel="0" collapsed="false">
      <c r="A3031" s="4" t="s">
        <v>94</v>
      </c>
      <c r="B3031" s="5" t="s">
        <v>105</v>
      </c>
      <c r="C3031" s="5" t="s">
        <v>106</v>
      </c>
      <c r="D3031" s="4" t="s">
        <v>16</v>
      </c>
      <c r="E3031" s="4" t="s">
        <v>992</v>
      </c>
      <c r="F3031" s="4" t="s">
        <v>406</v>
      </c>
      <c r="G3031" s="4" t="s">
        <v>993</v>
      </c>
      <c r="H3031" s="12" t="n">
        <v>1</v>
      </c>
      <c r="I3031" s="4" t="s">
        <v>408</v>
      </c>
      <c r="J3031" s="4" t="s">
        <v>416</v>
      </c>
      <c r="K3031" s="13" t="n">
        <v>250</v>
      </c>
      <c r="L3031" s="6" t="n">
        <f aca="false">H3031*K3031</f>
        <v>250</v>
      </c>
      <c r="M3031" s="14" t="s">
        <v>410</v>
      </c>
    </row>
    <row r="3032" customFormat="false" ht="23.85" hidden="false" customHeight="false" outlineLevel="0" collapsed="false">
      <c r="A3032" s="4" t="s">
        <v>94</v>
      </c>
      <c r="B3032" s="5" t="s">
        <v>105</v>
      </c>
      <c r="C3032" s="5" t="s">
        <v>106</v>
      </c>
      <c r="D3032" s="4" t="s">
        <v>16</v>
      </c>
      <c r="E3032" s="4" t="s">
        <v>994</v>
      </c>
      <c r="F3032" s="4" t="s">
        <v>406</v>
      </c>
      <c r="G3032" s="4" t="s">
        <v>995</v>
      </c>
      <c r="H3032" s="12" t="n">
        <v>1</v>
      </c>
      <c r="I3032" s="4" t="s">
        <v>408</v>
      </c>
      <c r="J3032" s="4" t="s">
        <v>416</v>
      </c>
      <c r="K3032" s="13" t="n">
        <v>4500</v>
      </c>
      <c r="L3032" s="6" t="n">
        <f aca="false">H3032*K3032</f>
        <v>4500</v>
      </c>
      <c r="M3032" s="4" t="s">
        <v>371</v>
      </c>
    </row>
    <row r="3033" customFormat="false" ht="23.85" hidden="false" customHeight="false" outlineLevel="0" collapsed="false">
      <c r="A3033" s="4" t="s">
        <v>94</v>
      </c>
      <c r="B3033" s="5" t="s">
        <v>105</v>
      </c>
      <c r="C3033" s="5" t="s">
        <v>106</v>
      </c>
      <c r="D3033" s="4" t="s">
        <v>16</v>
      </c>
      <c r="E3033" s="4" t="s">
        <v>996</v>
      </c>
      <c r="F3033" s="4" t="s">
        <v>406</v>
      </c>
      <c r="G3033" s="4" t="s">
        <v>997</v>
      </c>
      <c r="H3033" s="12" t="n">
        <v>1</v>
      </c>
      <c r="I3033" s="4" t="s">
        <v>408</v>
      </c>
      <c r="J3033" s="4" t="s">
        <v>416</v>
      </c>
      <c r="K3033" s="13" t="n">
        <v>18000</v>
      </c>
      <c r="L3033" s="6" t="n">
        <f aca="false">H3033*K3033</f>
        <v>18000</v>
      </c>
      <c r="M3033" s="4" t="s">
        <v>371</v>
      </c>
    </row>
    <row r="3034" customFormat="false" ht="23.85" hidden="false" customHeight="false" outlineLevel="0" collapsed="false">
      <c r="A3034" s="4" t="s">
        <v>94</v>
      </c>
      <c r="B3034" s="5" t="s">
        <v>105</v>
      </c>
      <c r="C3034" s="5" t="s">
        <v>106</v>
      </c>
      <c r="D3034" s="4" t="s">
        <v>16</v>
      </c>
      <c r="E3034" s="4" t="s">
        <v>998</v>
      </c>
      <c r="F3034" s="4" t="s">
        <v>406</v>
      </c>
      <c r="G3034" s="4" t="s">
        <v>999</v>
      </c>
      <c r="H3034" s="12" t="n">
        <v>1</v>
      </c>
      <c r="I3034" s="4" t="s">
        <v>408</v>
      </c>
      <c r="J3034" s="4" t="s">
        <v>416</v>
      </c>
      <c r="K3034" s="13" t="n">
        <v>8500</v>
      </c>
      <c r="L3034" s="6" t="n">
        <f aca="false">H3034*K3034</f>
        <v>8500</v>
      </c>
      <c r="M3034" s="4" t="s">
        <v>371</v>
      </c>
    </row>
    <row r="3035" customFormat="false" ht="23.85" hidden="false" customHeight="false" outlineLevel="0" collapsed="false">
      <c r="A3035" s="4" t="s">
        <v>94</v>
      </c>
      <c r="B3035" s="5" t="s">
        <v>105</v>
      </c>
      <c r="C3035" s="5" t="s">
        <v>106</v>
      </c>
      <c r="D3035" s="4" t="s">
        <v>16</v>
      </c>
      <c r="E3035" s="4" t="s">
        <v>1206</v>
      </c>
      <c r="F3035" s="4" t="s">
        <v>406</v>
      </c>
      <c r="G3035" s="4" t="s">
        <v>1207</v>
      </c>
      <c r="H3035" s="12" t="n">
        <v>1</v>
      </c>
      <c r="I3035" s="4" t="s">
        <v>408</v>
      </c>
      <c r="J3035" s="4" t="s">
        <v>409</v>
      </c>
      <c r="K3035" s="13" t="n">
        <v>18000</v>
      </c>
      <c r="L3035" s="6" t="n">
        <f aca="false">H3035*K3035</f>
        <v>18000</v>
      </c>
      <c r="M3035" s="14" t="s">
        <v>410</v>
      </c>
    </row>
    <row r="3036" customFormat="false" ht="23.85" hidden="false" customHeight="false" outlineLevel="0" collapsed="false">
      <c r="A3036" s="4" t="s">
        <v>94</v>
      </c>
      <c r="B3036" s="5" t="s">
        <v>105</v>
      </c>
      <c r="C3036" s="5" t="s">
        <v>106</v>
      </c>
      <c r="D3036" s="4" t="s">
        <v>16</v>
      </c>
      <c r="E3036" s="4" t="s">
        <v>1208</v>
      </c>
      <c r="F3036" s="4" t="s">
        <v>406</v>
      </c>
      <c r="G3036" s="4" t="s">
        <v>1209</v>
      </c>
      <c r="H3036" s="12" t="n">
        <v>1</v>
      </c>
      <c r="I3036" s="4" t="s">
        <v>408</v>
      </c>
      <c r="J3036" s="4" t="s">
        <v>409</v>
      </c>
      <c r="K3036" s="13" t="n">
        <v>850</v>
      </c>
      <c r="L3036" s="6" t="n">
        <f aca="false">H3036*K3036</f>
        <v>850</v>
      </c>
      <c r="M3036" s="14" t="s">
        <v>410</v>
      </c>
    </row>
    <row r="3037" customFormat="false" ht="23.85" hidden="false" customHeight="false" outlineLevel="0" collapsed="false">
      <c r="A3037" s="4" t="s">
        <v>94</v>
      </c>
      <c r="B3037" s="5" t="s">
        <v>105</v>
      </c>
      <c r="C3037" s="5" t="s">
        <v>106</v>
      </c>
      <c r="D3037" s="4" t="s">
        <v>16</v>
      </c>
      <c r="E3037" s="4" t="s">
        <v>1210</v>
      </c>
      <c r="F3037" s="4" t="s">
        <v>406</v>
      </c>
      <c r="G3037" s="4" t="s">
        <v>1211</v>
      </c>
      <c r="H3037" s="12" t="n">
        <v>1</v>
      </c>
      <c r="I3037" s="4" t="s">
        <v>408</v>
      </c>
      <c r="J3037" s="4" t="s">
        <v>409</v>
      </c>
      <c r="K3037" s="13" t="n">
        <v>3500</v>
      </c>
      <c r="L3037" s="6" t="n">
        <f aca="false">H3037*K3037</f>
        <v>3500</v>
      </c>
      <c r="M3037" s="14" t="s">
        <v>410</v>
      </c>
    </row>
    <row r="3038" customFormat="false" ht="23.85" hidden="false" customHeight="false" outlineLevel="0" collapsed="false">
      <c r="A3038" s="4" t="s">
        <v>94</v>
      </c>
      <c r="B3038" s="5" t="s">
        <v>105</v>
      </c>
      <c r="C3038" s="5" t="s">
        <v>106</v>
      </c>
      <c r="D3038" s="4" t="s">
        <v>16</v>
      </c>
      <c r="E3038" s="4" t="s">
        <v>1212</v>
      </c>
      <c r="F3038" s="4" t="s">
        <v>406</v>
      </c>
      <c r="G3038" s="4" t="s">
        <v>1213</v>
      </c>
      <c r="H3038" s="12" t="n">
        <v>1</v>
      </c>
      <c r="I3038" s="4" t="s">
        <v>408</v>
      </c>
      <c r="J3038" s="4" t="s">
        <v>409</v>
      </c>
      <c r="K3038" s="13" t="n">
        <v>1200</v>
      </c>
      <c r="L3038" s="6" t="n">
        <f aca="false">H3038*K3038</f>
        <v>1200</v>
      </c>
      <c r="M3038" s="14" t="s">
        <v>410</v>
      </c>
    </row>
    <row r="3039" customFormat="false" ht="23.85" hidden="false" customHeight="false" outlineLevel="0" collapsed="false">
      <c r="A3039" s="4" t="s">
        <v>94</v>
      </c>
      <c r="B3039" s="5" t="s">
        <v>105</v>
      </c>
      <c r="C3039" s="5" t="s">
        <v>106</v>
      </c>
      <c r="D3039" s="4" t="s">
        <v>16</v>
      </c>
      <c r="E3039" s="4" t="s">
        <v>1020</v>
      </c>
      <c r="F3039" s="4" t="s">
        <v>406</v>
      </c>
      <c r="G3039" s="4" t="s">
        <v>1021</v>
      </c>
      <c r="H3039" s="12" t="n">
        <v>1</v>
      </c>
      <c r="I3039" s="4" t="s">
        <v>408</v>
      </c>
      <c r="J3039" s="4" t="s">
        <v>409</v>
      </c>
      <c r="K3039" s="13" t="n">
        <v>2500</v>
      </c>
      <c r="L3039" s="6" t="n">
        <f aca="false">H3039*K3039</f>
        <v>2500</v>
      </c>
      <c r="M3039" s="14" t="s">
        <v>410</v>
      </c>
    </row>
    <row r="3040" customFormat="false" ht="23.85" hidden="false" customHeight="false" outlineLevel="0" collapsed="false">
      <c r="A3040" s="4" t="s">
        <v>94</v>
      </c>
      <c r="B3040" s="5" t="s">
        <v>105</v>
      </c>
      <c r="C3040" s="5" t="s">
        <v>106</v>
      </c>
      <c r="D3040" s="4" t="s">
        <v>16</v>
      </c>
      <c r="E3040" s="4" t="s">
        <v>1022</v>
      </c>
      <c r="F3040" s="4" t="s">
        <v>406</v>
      </c>
      <c r="G3040" s="4" t="s">
        <v>1023</v>
      </c>
      <c r="H3040" s="12" t="n">
        <v>1</v>
      </c>
      <c r="I3040" s="4" t="s">
        <v>408</v>
      </c>
      <c r="J3040" s="4" t="s">
        <v>409</v>
      </c>
      <c r="K3040" s="13" t="n">
        <v>85000</v>
      </c>
      <c r="L3040" s="6" t="n">
        <f aca="false">H3040*K3040</f>
        <v>85000</v>
      </c>
      <c r="M3040" s="14" t="s">
        <v>410</v>
      </c>
    </row>
    <row r="3041" customFormat="false" ht="23.85" hidden="false" customHeight="false" outlineLevel="0" collapsed="false">
      <c r="A3041" s="4" t="s">
        <v>94</v>
      </c>
      <c r="B3041" s="5" t="s">
        <v>105</v>
      </c>
      <c r="C3041" s="5" t="s">
        <v>106</v>
      </c>
      <c r="D3041" s="4" t="s">
        <v>16</v>
      </c>
      <c r="E3041" s="4" t="s">
        <v>1024</v>
      </c>
      <c r="F3041" s="4" t="s">
        <v>406</v>
      </c>
      <c r="G3041" s="4" t="s">
        <v>1025</v>
      </c>
      <c r="H3041" s="12" t="n">
        <v>1</v>
      </c>
      <c r="I3041" s="4" t="s">
        <v>408</v>
      </c>
      <c r="J3041" s="4" t="s">
        <v>409</v>
      </c>
      <c r="K3041" s="13" t="n">
        <v>4500</v>
      </c>
      <c r="L3041" s="6" t="n">
        <f aca="false">H3041*K3041</f>
        <v>4500</v>
      </c>
      <c r="M3041" s="14" t="s">
        <v>410</v>
      </c>
    </row>
    <row r="3042" customFormat="false" ht="23.85" hidden="false" customHeight="false" outlineLevel="0" collapsed="false">
      <c r="A3042" s="4" t="s">
        <v>94</v>
      </c>
      <c r="B3042" s="5" t="s">
        <v>105</v>
      </c>
      <c r="C3042" s="5" t="s">
        <v>106</v>
      </c>
      <c r="D3042" s="4" t="s">
        <v>16</v>
      </c>
      <c r="E3042" s="4" t="s">
        <v>1026</v>
      </c>
      <c r="F3042" s="4" t="s">
        <v>406</v>
      </c>
      <c r="G3042" s="4" t="s">
        <v>1027</v>
      </c>
      <c r="H3042" s="12" t="n">
        <v>1</v>
      </c>
      <c r="I3042" s="4" t="s">
        <v>408</v>
      </c>
      <c r="J3042" s="4" t="s">
        <v>409</v>
      </c>
      <c r="K3042" s="13" t="n">
        <v>1800</v>
      </c>
      <c r="L3042" s="6" t="n">
        <f aca="false">H3042*K3042</f>
        <v>1800</v>
      </c>
      <c r="M3042" s="14" t="s">
        <v>410</v>
      </c>
    </row>
    <row r="3043" customFormat="false" ht="23.85" hidden="false" customHeight="false" outlineLevel="0" collapsed="false">
      <c r="A3043" s="4" t="s">
        <v>94</v>
      </c>
      <c r="B3043" s="5" t="s">
        <v>105</v>
      </c>
      <c r="C3043" s="5" t="s">
        <v>106</v>
      </c>
      <c r="D3043" s="4" t="s">
        <v>16</v>
      </c>
      <c r="E3043" s="4" t="s">
        <v>1028</v>
      </c>
      <c r="F3043" s="4" t="s">
        <v>406</v>
      </c>
      <c r="G3043" s="4" t="s">
        <v>1029</v>
      </c>
      <c r="H3043" s="12" t="n">
        <v>1</v>
      </c>
      <c r="I3043" s="4" t="s">
        <v>408</v>
      </c>
      <c r="J3043" s="4" t="s">
        <v>409</v>
      </c>
      <c r="K3043" s="13" t="n">
        <v>650</v>
      </c>
      <c r="L3043" s="6" t="n">
        <f aca="false">H3043*K3043</f>
        <v>650</v>
      </c>
      <c r="M3043" s="4" t="s">
        <v>371</v>
      </c>
    </row>
    <row r="3044" customFormat="false" ht="23.85" hidden="false" customHeight="false" outlineLevel="0" collapsed="false">
      <c r="A3044" s="4" t="s">
        <v>94</v>
      </c>
      <c r="B3044" s="5" t="s">
        <v>105</v>
      </c>
      <c r="C3044" s="5" t="s">
        <v>106</v>
      </c>
      <c r="D3044" s="4" t="s">
        <v>16</v>
      </c>
      <c r="E3044" s="4" t="s">
        <v>1030</v>
      </c>
      <c r="F3044" s="4" t="s">
        <v>406</v>
      </c>
      <c r="G3044" s="4" t="s">
        <v>1031</v>
      </c>
      <c r="H3044" s="12" t="n">
        <v>1</v>
      </c>
      <c r="I3044" s="4" t="s">
        <v>408</v>
      </c>
      <c r="J3044" s="4" t="s">
        <v>409</v>
      </c>
      <c r="K3044" s="13" t="n">
        <v>850</v>
      </c>
      <c r="L3044" s="6" t="n">
        <f aca="false">H3044*K3044</f>
        <v>850</v>
      </c>
      <c r="M3044" s="14" t="s">
        <v>410</v>
      </c>
    </row>
    <row r="3045" customFormat="false" ht="23.85" hidden="false" customHeight="false" outlineLevel="0" collapsed="false">
      <c r="A3045" s="4" t="s">
        <v>94</v>
      </c>
      <c r="B3045" s="5" t="s">
        <v>105</v>
      </c>
      <c r="C3045" s="5" t="s">
        <v>106</v>
      </c>
      <c r="D3045" s="4" t="s">
        <v>16</v>
      </c>
      <c r="E3045" s="4" t="s">
        <v>1032</v>
      </c>
      <c r="F3045" s="4" t="s">
        <v>406</v>
      </c>
      <c r="G3045" s="4" t="s">
        <v>1033</v>
      </c>
      <c r="H3045" s="12" t="n">
        <v>1</v>
      </c>
      <c r="I3045" s="4" t="s">
        <v>408</v>
      </c>
      <c r="J3045" s="4" t="s">
        <v>416</v>
      </c>
      <c r="K3045" s="13" t="n">
        <v>1800</v>
      </c>
      <c r="L3045" s="6" t="n">
        <f aca="false">H3045*K3045</f>
        <v>1800</v>
      </c>
      <c r="M3045" s="4" t="s">
        <v>371</v>
      </c>
    </row>
    <row r="3046" customFormat="false" ht="23.85" hidden="false" customHeight="false" outlineLevel="0" collapsed="false">
      <c r="A3046" s="4" t="s">
        <v>94</v>
      </c>
      <c r="B3046" s="5" t="s">
        <v>105</v>
      </c>
      <c r="C3046" s="5" t="s">
        <v>106</v>
      </c>
      <c r="D3046" s="4" t="s">
        <v>16</v>
      </c>
      <c r="E3046" s="4" t="s">
        <v>1010</v>
      </c>
      <c r="F3046" s="4" t="s">
        <v>406</v>
      </c>
      <c r="G3046" s="4" t="s">
        <v>1011</v>
      </c>
      <c r="H3046" s="12" t="n">
        <v>1</v>
      </c>
      <c r="I3046" s="4" t="s">
        <v>408</v>
      </c>
      <c r="J3046" s="4" t="s">
        <v>409</v>
      </c>
      <c r="K3046" s="13" t="n">
        <v>1800</v>
      </c>
      <c r="L3046" s="6" t="n">
        <f aca="false">H3046*K3046</f>
        <v>1800</v>
      </c>
      <c r="M3046" s="14" t="s">
        <v>410</v>
      </c>
    </row>
    <row r="3047" customFormat="false" ht="23.85" hidden="false" customHeight="false" outlineLevel="0" collapsed="false">
      <c r="A3047" s="4" t="s">
        <v>94</v>
      </c>
      <c r="B3047" s="5" t="s">
        <v>105</v>
      </c>
      <c r="C3047" s="5" t="s">
        <v>106</v>
      </c>
      <c r="D3047" s="4" t="s">
        <v>16</v>
      </c>
      <c r="E3047" s="4" t="s">
        <v>1034</v>
      </c>
      <c r="F3047" s="4" t="s">
        <v>406</v>
      </c>
      <c r="G3047" s="4" t="s">
        <v>1035</v>
      </c>
      <c r="H3047" s="12" t="n">
        <v>1</v>
      </c>
      <c r="I3047" s="4" t="s">
        <v>408</v>
      </c>
      <c r="J3047" s="4" t="s">
        <v>416</v>
      </c>
      <c r="K3047" s="13" t="n">
        <v>850</v>
      </c>
      <c r="L3047" s="6" t="n">
        <f aca="false">H3047*K3047</f>
        <v>850</v>
      </c>
      <c r="M3047" s="14" t="s">
        <v>410</v>
      </c>
    </row>
    <row r="3048" customFormat="false" ht="23.85" hidden="false" customHeight="false" outlineLevel="0" collapsed="false">
      <c r="A3048" s="4" t="s">
        <v>94</v>
      </c>
      <c r="B3048" s="5" t="s">
        <v>105</v>
      </c>
      <c r="C3048" s="5" t="s">
        <v>106</v>
      </c>
      <c r="D3048" s="4" t="s">
        <v>16</v>
      </c>
      <c r="E3048" s="4" t="s">
        <v>1036</v>
      </c>
      <c r="F3048" s="4" t="s">
        <v>406</v>
      </c>
      <c r="G3048" s="4" t="s">
        <v>1037</v>
      </c>
      <c r="H3048" s="12" t="n">
        <v>1</v>
      </c>
      <c r="I3048" s="4" t="s">
        <v>408</v>
      </c>
      <c r="J3048" s="4" t="s">
        <v>409</v>
      </c>
      <c r="K3048" s="13" t="n">
        <v>1800</v>
      </c>
      <c r="L3048" s="6" t="n">
        <f aca="false">H3048*K3048</f>
        <v>1800</v>
      </c>
      <c r="M3048" s="4" t="s">
        <v>371</v>
      </c>
    </row>
    <row r="3049" customFormat="false" ht="23.85" hidden="false" customHeight="false" outlineLevel="0" collapsed="false">
      <c r="A3049" s="4" t="s">
        <v>94</v>
      </c>
      <c r="B3049" s="5" t="s">
        <v>105</v>
      </c>
      <c r="C3049" s="5" t="s">
        <v>106</v>
      </c>
      <c r="D3049" s="4" t="s">
        <v>16</v>
      </c>
      <c r="E3049" s="4" t="s">
        <v>1038</v>
      </c>
      <c r="F3049" s="4" t="s">
        <v>406</v>
      </c>
      <c r="G3049" s="4" t="s">
        <v>1039</v>
      </c>
      <c r="H3049" s="12" t="n">
        <v>1</v>
      </c>
      <c r="I3049" s="4" t="s">
        <v>408</v>
      </c>
      <c r="J3049" s="4" t="s">
        <v>409</v>
      </c>
      <c r="K3049" s="13" t="n">
        <v>4500</v>
      </c>
      <c r="L3049" s="6" t="n">
        <f aca="false">H3049*K3049</f>
        <v>4500</v>
      </c>
      <c r="M3049" s="14" t="s">
        <v>410</v>
      </c>
    </row>
    <row r="3050" customFormat="false" ht="23.85" hidden="false" customHeight="false" outlineLevel="0" collapsed="false">
      <c r="A3050" s="4" t="s">
        <v>94</v>
      </c>
      <c r="B3050" s="5" t="s">
        <v>105</v>
      </c>
      <c r="C3050" s="5" t="s">
        <v>106</v>
      </c>
      <c r="D3050" s="4" t="s">
        <v>16</v>
      </c>
      <c r="E3050" s="4" t="s">
        <v>1040</v>
      </c>
      <c r="F3050" s="4" t="s">
        <v>406</v>
      </c>
      <c r="G3050" s="4" t="s">
        <v>1041</v>
      </c>
      <c r="H3050" s="12" t="n">
        <v>1</v>
      </c>
      <c r="I3050" s="4" t="s">
        <v>408</v>
      </c>
      <c r="J3050" s="4" t="s">
        <v>409</v>
      </c>
      <c r="K3050" s="13" t="n">
        <v>850</v>
      </c>
      <c r="L3050" s="6" t="n">
        <f aca="false">H3050*K3050</f>
        <v>850</v>
      </c>
      <c r="M3050" s="4" t="s">
        <v>371</v>
      </c>
    </row>
    <row r="3051" customFormat="false" ht="23.85" hidden="false" customHeight="false" outlineLevel="0" collapsed="false">
      <c r="A3051" s="4" t="s">
        <v>94</v>
      </c>
      <c r="B3051" s="5" t="s">
        <v>105</v>
      </c>
      <c r="C3051" s="5" t="s">
        <v>106</v>
      </c>
      <c r="D3051" s="4" t="s">
        <v>16</v>
      </c>
      <c r="E3051" s="4" t="s">
        <v>1042</v>
      </c>
      <c r="F3051" s="4" t="s">
        <v>406</v>
      </c>
      <c r="G3051" s="4" t="s">
        <v>1043</v>
      </c>
      <c r="H3051" s="12" t="n">
        <v>1</v>
      </c>
      <c r="I3051" s="4" t="s">
        <v>408</v>
      </c>
      <c r="J3051" s="4" t="s">
        <v>409</v>
      </c>
      <c r="K3051" s="13" t="n">
        <v>4500</v>
      </c>
      <c r="L3051" s="6" t="n">
        <f aca="false">H3051*K3051</f>
        <v>4500</v>
      </c>
      <c r="M3051" s="14" t="s">
        <v>410</v>
      </c>
    </row>
    <row r="3052" customFormat="false" ht="23.85" hidden="false" customHeight="false" outlineLevel="0" collapsed="false">
      <c r="A3052" s="4" t="s">
        <v>94</v>
      </c>
      <c r="B3052" s="5" t="s">
        <v>105</v>
      </c>
      <c r="C3052" s="5" t="s">
        <v>106</v>
      </c>
      <c r="D3052" s="4" t="s">
        <v>16</v>
      </c>
      <c r="E3052" s="4" t="s">
        <v>1044</v>
      </c>
      <c r="F3052" s="4" t="s">
        <v>406</v>
      </c>
      <c r="G3052" s="4" t="s">
        <v>1045</v>
      </c>
      <c r="H3052" s="12" t="n">
        <v>1</v>
      </c>
      <c r="I3052" s="4" t="s">
        <v>408</v>
      </c>
      <c r="J3052" s="4" t="s">
        <v>416</v>
      </c>
      <c r="K3052" s="13" t="n">
        <v>18000</v>
      </c>
      <c r="L3052" s="6" t="n">
        <f aca="false">H3052*K3052</f>
        <v>18000</v>
      </c>
      <c r="M3052" s="4" t="s">
        <v>371</v>
      </c>
    </row>
    <row r="3053" customFormat="false" ht="23.85" hidden="false" customHeight="false" outlineLevel="0" collapsed="false">
      <c r="A3053" s="4" t="s">
        <v>94</v>
      </c>
      <c r="B3053" s="5" t="s">
        <v>105</v>
      </c>
      <c r="C3053" s="5" t="s">
        <v>106</v>
      </c>
      <c r="D3053" s="4" t="s">
        <v>16</v>
      </c>
      <c r="E3053" s="4" t="s">
        <v>1046</v>
      </c>
      <c r="F3053" s="4" t="s">
        <v>406</v>
      </c>
      <c r="G3053" s="4" t="s">
        <v>1047</v>
      </c>
      <c r="H3053" s="12" t="n">
        <v>1</v>
      </c>
      <c r="I3053" s="4" t="s">
        <v>408</v>
      </c>
      <c r="J3053" s="4" t="s">
        <v>416</v>
      </c>
      <c r="K3053" s="13" t="n">
        <v>18000</v>
      </c>
      <c r="L3053" s="6" t="n">
        <f aca="false">H3053*K3053</f>
        <v>18000</v>
      </c>
      <c r="M3053" s="14" t="s">
        <v>410</v>
      </c>
    </row>
    <row r="3054" customFormat="false" ht="23.85" hidden="false" customHeight="false" outlineLevel="0" collapsed="false">
      <c r="A3054" s="4" t="s">
        <v>94</v>
      </c>
      <c r="B3054" s="5" t="s">
        <v>105</v>
      </c>
      <c r="C3054" s="5" t="s">
        <v>106</v>
      </c>
      <c r="D3054" s="4" t="s">
        <v>16</v>
      </c>
      <c r="E3054" s="4" t="s">
        <v>1048</v>
      </c>
      <c r="F3054" s="4" t="s">
        <v>406</v>
      </c>
      <c r="G3054" s="4" t="s">
        <v>1049</v>
      </c>
      <c r="H3054" s="12" t="n">
        <v>1</v>
      </c>
      <c r="I3054" s="4" t="s">
        <v>408</v>
      </c>
      <c r="J3054" s="4" t="s">
        <v>416</v>
      </c>
      <c r="K3054" s="13" t="n">
        <v>18000</v>
      </c>
      <c r="L3054" s="6" t="n">
        <f aca="false">H3054*K3054</f>
        <v>18000</v>
      </c>
      <c r="M3054" s="14" t="s">
        <v>410</v>
      </c>
    </row>
    <row r="3055" customFormat="false" ht="23.85" hidden="false" customHeight="false" outlineLevel="0" collapsed="false">
      <c r="A3055" s="4" t="s">
        <v>94</v>
      </c>
      <c r="B3055" s="5" t="s">
        <v>105</v>
      </c>
      <c r="C3055" s="5" t="s">
        <v>106</v>
      </c>
      <c r="D3055" s="4" t="s">
        <v>16</v>
      </c>
      <c r="E3055" s="4" t="s">
        <v>1050</v>
      </c>
      <c r="F3055" s="4" t="s">
        <v>406</v>
      </c>
      <c r="G3055" s="4" t="s">
        <v>1051</v>
      </c>
      <c r="H3055" s="12" t="n">
        <v>1</v>
      </c>
      <c r="I3055" s="4" t="s">
        <v>408</v>
      </c>
      <c r="J3055" s="4" t="s">
        <v>409</v>
      </c>
      <c r="K3055" s="13" t="n">
        <v>8500</v>
      </c>
      <c r="L3055" s="6" t="n">
        <f aca="false">H3055*K3055</f>
        <v>8500</v>
      </c>
      <c r="M3055" s="14" t="s">
        <v>410</v>
      </c>
    </row>
    <row r="3056" customFormat="false" ht="23.85" hidden="false" customHeight="false" outlineLevel="0" collapsed="false">
      <c r="A3056" s="4" t="s">
        <v>94</v>
      </c>
      <c r="B3056" s="5" t="s">
        <v>105</v>
      </c>
      <c r="C3056" s="5" t="s">
        <v>106</v>
      </c>
      <c r="D3056" s="4" t="s">
        <v>16</v>
      </c>
      <c r="E3056" s="4" t="s">
        <v>1052</v>
      </c>
      <c r="F3056" s="4" t="s">
        <v>406</v>
      </c>
      <c r="G3056" s="4" t="s">
        <v>1053</v>
      </c>
      <c r="H3056" s="12" t="n">
        <v>1</v>
      </c>
      <c r="I3056" s="4" t="s">
        <v>408</v>
      </c>
      <c r="J3056" s="4" t="s">
        <v>409</v>
      </c>
      <c r="K3056" s="13" t="n">
        <v>25000</v>
      </c>
      <c r="L3056" s="6" t="n">
        <f aca="false">H3056*K3056</f>
        <v>25000</v>
      </c>
      <c r="M3056" s="14" t="s">
        <v>410</v>
      </c>
    </row>
    <row r="3057" customFormat="false" ht="23.85" hidden="false" customHeight="false" outlineLevel="0" collapsed="false">
      <c r="A3057" s="4" t="s">
        <v>94</v>
      </c>
      <c r="B3057" s="5" t="s">
        <v>105</v>
      </c>
      <c r="C3057" s="5" t="s">
        <v>106</v>
      </c>
      <c r="D3057" s="4" t="s">
        <v>16</v>
      </c>
      <c r="E3057" s="4" t="s">
        <v>1054</v>
      </c>
      <c r="F3057" s="4" t="s">
        <v>406</v>
      </c>
      <c r="G3057" s="4" t="s">
        <v>1055</v>
      </c>
      <c r="H3057" s="12" t="n">
        <v>1</v>
      </c>
      <c r="I3057" s="4" t="s">
        <v>408</v>
      </c>
      <c r="J3057" s="4" t="s">
        <v>409</v>
      </c>
      <c r="K3057" s="13" t="n">
        <v>350000</v>
      </c>
      <c r="L3057" s="6" t="n">
        <f aca="false">H3057*K3057</f>
        <v>350000</v>
      </c>
      <c r="M3057" s="14" t="s">
        <v>410</v>
      </c>
    </row>
    <row r="3058" customFormat="false" ht="23.85" hidden="false" customHeight="false" outlineLevel="0" collapsed="false">
      <c r="A3058" s="4" t="s">
        <v>94</v>
      </c>
      <c r="B3058" s="5" t="s">
        <v>105</v>
      </c>
      <c r="C3058" s="5" t="s">
        <v>106</v>
      </c>
      <c r="D3058" s="4" t="s">
        <v>16</v>
      </c>
      <c r="E3058" s="4" t="s">
        <v>1056</v>
      </c>
      <c r="F3058" s="4" t="s">
        <v>406</v>
      </c>
      <c r="G3058" s="4" t="s">
        <v>1057</v>
      </c>
      <c r="H3058" s="12" t="n">
        <v>1</v>
      </c>
      <c r="I3058" s="4" t="s">
        <v>408</v>
      </c>
      <c r="J3058" s="4" t="s">
        <v>409</v>
      </c>
      <c r="K3058" s="13" t="n">
        <v>850000</v>
      </c>
      <c r="L3058" s="6" t="n">
        <f aca="false">H3058*K3058</f>
        <v>850000</v>
      </c>
      <c r="M3058" s="14" t="s">
        <v>410</v>
      </c>
    </row>
    <row r="3059" customFormat="false" ht="23.85" hidden="false" customHeight="false" outlineLevel="0" collapsed="false">
      <c r="A3059" s="4" t="s">
        <v>94</v>
      </c>
      <c r="B3059" s="5" t="s">
        <v>105</v>
      </c>
      <c r="C3059" s="5" t="s">
        <v>106</v>
      </c>
      <c r="D3059" s="4" t="s">
        <v>16</v>
      </c>
      <c r="E3059" s="4" t="s">
        <v>1058</v>
      </c>
      <c r="F3059" s="4" t="s">
        <v>470</v>
      </c>
      <c r="G3059" s="4" t="s">
        <v>1059</v>
      </c>
      <c r="H3059" s="12" t="n">
        <v>1</v>
      </c>
      <c r="I3059" s="4" t="s">
        <v>408</v>
      </c>
      <c r="J3059" s="4" t="s">
        <v>409</v>
      </c>
      <c r="K3059" s="13" t="n">
        <v>45000</v>
      </c>
      <c r="L3059" s="6" t="n">
        <f aca="false">H3059*K3059</f>
        <v>45000</v>
      </c>
      <c r="M3059" s="14" t="s">
        <v>410</v>
      </c>
    </row>
    <row r="3060" customFormat="false" ht="23.85" hidden="false" customHeight="false" outlineLevel="0" collapsed="false">
      <c r="A3060" s="4" t="s">
        <v>94</v>
      </c>
      <c r="B3060" s="5" t="s">
        <v>105</v>
      </c>
      <c r="C3060" s="5" t="s">
        <v>106</v>
      </c>
      <c r="D3060" s="4" t="s">
        <v>16</v>
      </c>
      <c r="E3060" s="4" t="s">
        <v>1062</v>
      </c>
      <c r="F3060" s="4" t="s">
        <v>470</v>
      </c>
      <c r="G3060" s="4" t="s">
        <v>1063</v>
      </c>
      <c r="H3060" s="12" t="n">
        <v>1</v>
      </c>
      <c r="I3060" s="4" t="s">
        <v>408</v>
      </c>
      <c r="J3060" s="4" t="s">
        <v>409</v>
      </c>
      <c r="K3060" s="13" t="n">
        <v>6500</v>
      </c>
      <c r="L3060" s="6" t="n">
        <f aca="false">H3060*K3060</f>
        <v>6500</v>
      </c>
      <c r="M3060" s="14" t="s">
        <v>410</v>
      </c>
    </row>
    <row r="3061" customFormat="false" ht="23.85" hidden="false" customHeight="false" outlineLevel="0" collapsed="false">
      <c r="A3061" s="4" t="s">
        <v>94</v>
      </c>
      <c r="B3061" s="5" t="s">
        <v>105</v>
      </c>
      <c r="C3061" s="5" t="s">
        <v>106</v>
      </c>
      <c r="D3061" s="4" t="s">
        <v>16</v>
      </c>
      <c r="E3061" s="4" t="s">
        <v>1064</v>
      </c>
      <c r="F3061" s="4" t="s">
        <v>470</v>
      </c>
      <c r="G3061" s="4" t="s">
        <v>1065</v>
      </c>
      <c r="H3061" s="12" t="n">
        <v>1</v>
      </c>
      <c r="I3061" s="4" t="s">
        <v>408</v>
      </c>
      <c r="J3061" s="4" t="s">
        <v>543</v>
      </c>
      <c r="K3061" s="13" t="n">
        <v>25000</v>
      </c>
      <c r="L3061" s="6" t="n">
        <f aca="false">H3061*K3061</f>
        <v>25000</v>
      </c>
      <c r="M3061" s="4" t="s">
        <v>371</v>
      </c>
    </row>
    <row r="3062" customFormat="false" ht="23.85" hidden="false" customHeight="false" outlineLevel="0" collapsed="false">
      <c r="A3062" s="4" t="s">
        <v>94</v>
      </c>
      <c r="B3062" s="5" t="s">
        <v>105</v>
      </c>
      <c r="C3062" s="5" t="s">
        <v>106</v>
      </c>
      <c r="D3062" s="4" t="s">
        <v>16</v>
      </c>
      <c r="E3062" s="4" t="s">
        <v>4009</v>
      </c>
      <c r="F3062" s="4" t="s">
        <v>470</v>
      </c>
      <c r="G3062" s="4" t="s">
        <v>4010</v>
      </c>
      <c r="H3062" s="12" t="n">
        <v>1</v>
      </c>
      <c r="I3062" s="4" t="s">
        <v>408</v>
      </c>
      <c r="J3062" s="4" t="s">
        <v>543</v>
      </c>
      <c r="K3062" s="13" t="n">
        <v>25000</v>
      </c>
      <c r="L3062" s="6" t="n">
        <f aca="false">H3062*K3062</f>
        <v>25000</v>
      </c>
      <c r="M3062" s="4" t="s">
        <v>371</v>
      </c>
    </row>
    <row r="3063" customFormat="false" ht="23.85" hidden="false" customHeight="false" outlineLevel="0" collapsed="false">
      <c r="A3063" s="4" t="s">
        <v>94</v>
      </c>
      <c r="B3063" s="5" t="s">
        <v>105</v>
      </c>
      <c r="C3063" s="5" t="s">
        <v>106</v>
      </c>
      <c r="D3063" s="4" t="s">
        <v>16</v>
      </c>
      <c r="E3063" s="4" t="s">
        <v>1222</v>
      </c>
      <c r="F3063" s="4" t="s">
        <v>470</v>
      </c>
      <c r="G3063" s="4" t="s">
        <v>1223</v>
      </c>
      <c r="H3063" s="12" t="n">
        <v>1</v>
      </c>
      <c r="I3063" s="4" t="s">
        <v>408</v>
      </c>
      <c r="J3063" s="4" t="s">
        <v>409</v>
      </c>
      <c r="K3063" s="13" t="n">
        <v>8500</v>
      </c>
      <c r="L3063" s="6" t="n">
        <f aca="false">H3063*K3063</f>
        <v>8500</v>
      </c>
      <c r="M3063" s="4" t="s">
        <v>371</v>
      </c>
    </row>
    <row r="3064" customFormat="false" ht="23.85" hidden="false" customHeight="false" outlineLevel="0" collapsed="false">
      <c r="A3064" s="4" t="s">
        <v>94</v>
      </c>
      <c r="B3064" s="5" t="s">
        <v>105</v>
      </c>
      <c r="C3064" s="5" t="s">
        <v>106</v>
      </c>
      <c r="D3064" s="4" t="s">
        <v>16</v>
      </c>
      <c r="E3064" s="4" t="s">
        <v>472</v>
      </c>
      <c r="F3064" s="4" t="s">
        <v>470</v>
      </c>
      <c r="G3064" s="4" t="s">
        <v>473</v>
      </c>
      <c r="H3064" s="12" t="n">
        <v>1</v>
      </c>
      <c r="I3064" s="4" t="s">
        <v>408</v>
      </c>
      <c r="J3064" s="4" t="s">
        <v>475</v>
      </c>
      <c r="K3064" s="13" t="n">
        <v>180</v>
      </c>
      <c r="L3064" s="6" t="n">
        <f aca="false">H3064*K3064</f>
        <v>180</v>
      </c>
      <c r="M3064" s="4" t="s">
        <v>371</v>
      </c>
    </row>
    <row r="3065" customFormat="false" ht="23.85" hidden="false" customHeight="false" outlineLevel="0" collapsed="false">
      <c r="A3065" s="4" t="s">
        <v>94</v>
      </c>
      <c r="B3065" s="5" t="s">
        <v>105</v>
      </c>
      <c r="C3065" s="5" t="s">
        <v>106</v>
      </c>
      <c r="D3065" s="4" t="s">
        <v>16</v>
      </c>
      <c r="E3065" s="4" t="s">
        <v>1095</v>
      </c>
      <c r="F3065" s="4" t="s">
        <v>470</v>
      </c>
      <c r="G3065" s="4" t="s">
        <v>1088</v>
      </c>
      <c r="H3065" s="12" t="n">
        <v>1</v>
      </c>
      <c r="I3065" s="4" t="s">
        <v>408</v>
      </c>
      <c r="J3065" s="4" t="s">
        <v>475</v>
      </c>
      <c r="K3065" s="13" t="n">
        <v>4500</v>
      </c>
      <c r="L3065" s="6" t="n">
        <f aca="false">H3065*K3065</f>
        <v>4500</v>
      </c>
      <c r="M3065" s="4" t="s">
        <v>371</v>
      </c>
    </row>
    <row r="3066" customFormat="false" ht="23.85" hidden="false" customHeight="false" outlineLevel="0" collapsed="false">
      <c r="A3066" s="4" t="s">
        <v>94</v>
      </c>
      <c r="B3066" s="5" t="s">
        <v>105</v>
      </c>
      <c r="C3066" s="5" t="s">
        <v>106</v>
      </c>
      <c r="D3066" s="4" t="s">
        <v>16</v>
      </c>
      <c r="E3066" s="4" t="s">
        <v>1096</v>
      </c>
      <c r="F3066" s="4" t="s">
        <v>470</v>
      </c>
      <c r="G3066" s="4" t="s">
        <v>1097</v>
      </c>
      <c r="H3066" s="12" t="n">
        <v>1</v>
      </c>
      <c r="I3066" s="4" t="s">
        <v>408</v>
      </c>
      <c r="J3066" s="4" t="s">
        <v>475</v>
      </c>
      <c r="K3066" s="13" t="n">
        <v>350</v>
      </c>
      <c r="L3066" s="6" t="n">
        <f aca="false">H3066*K3066</f>
        <v>350</v>
      </c>
      <c r="M3066" s="4" t="s">
        <v>371</v>
      </c>
    </row>
    <row r="3067" customFormat="false" ht="23.85" hidden="false" customHeight="false" outlineLevel="0" collapsed="false">
      <c r="A3067" s="4" t="s">
        <v>94</v>
      </c>
      <c r="B3067" s="5" t="s">
        <v>105</v>
      </c>
      <c r="C3067" s="5" t="s">
        <v>106</v>
      </c>
      <c r="D3067" s="4" t="s">
        <v>16</v>
      </c>
      <c r="E3067" s="4" t="s">
        <v>1098</v>
      </c>
      <c r="F3067" s="4" t="s">
        <v>470</v>
      </c>
      <c r="G3067" s="4" t="s">
        <v>1099</v>
      </c>
      <c r="H3067" s="12" t="n">
        <v>1</v>
      </c>
      <c r="I3067" s="4" t="s">
        <v>408</v>
      </c>
      <c r="J3067" s="4" t="s">
        <v>475</v>
      </c>
      <c r="K3067" s="13" t="n">
        <v>120</v>
      </c>
      <c r="L3067" s="6" t="n">
        <f aca="false">H3067*K3067</f>
        <v>120</v>
      </c>
      <c r="M3067" s="4" t="s">
        <v>371</v>
      </c>
    </row>
    <row r="3068" customFormat="false" ht="23.85" hidden="false" customHeight="false" outlineLevel="0" collapsed="false">
      <c r="A3068" s="4" t="s">
        <v>94</v>
      </c>
      <c r="B3068" s="5" t="s">
        <v>105</v>
      </c>
      <c r="C3068" s="5" t="s">
        <v>106</v>
      </c>
      <c r="D3068" s="4" t="s">
        <v>16</v>
      </c>
      <c r="E3068" s="4" t="s">
        <v>1100</v>
      </c>
      <c r="F3068" s="4" t="s">
        <v>470</v>
      </c>
      <c r="G3068" s="4" t="s">
        <v>1101</v>
      </c>
      <c r="H3068" s="12" t="n">
        <v>1</v>
      </c>
      <c r="I3068" s="4" t="s">
        <v>408</v>
      </c>
      <c r="J3068" s="4" t="s">
        <v>409</v>
      </c>
      <c r="K3068" s="13" t="n">
        <v>1800</v>
      </c>
      <c r="L3068" s="6" t="n">
        <f aca="false">H3068*K3068</f>
        <v>1800</v>
      </c>
      <c r="M3068" s="4" t="s">
        <v>371</v>
      </c>
    </row>
    <row r="3069" customFormat="false" ht="23.85" hidden="false" customHeight="false" outlineLevel="0" collapsed="false">
      <c r="A3069" s="4" t="s">
        <v>94</v>
      </c>
      <c r="B3069" s="5" t="s">
        <v>105</v>
      </c>
      <c r="C3069" s="5" t="s">
        <v>106</v>
      </c>
      <c r="D3069" s="4" t="s">
        <v>16</v>
      </c>
      <c r="E3069" s="4" t="s">
        <v>1104</v>
      </c>
      <c r="F3069" s="4" t="s">
        <v>470</v>
      </c>
      <c r="G3069" s="4" t="s">
        <v>1105</v>
      </c>
      <c r="H3069" s="12" t="n">
        <v>1</v>
      </c>
      <c r="I3069" s="4" t="s">
        <v>408</v>
      </c>
      <c r="J3069" s="4" t="s">
        <v>409</v>
      </c>
      <c r="K3069" s="13" t="n">
        <v>3500</v>
      </c>
      <c r="L3069" s="6" t="n">
        <f aca="false">H3069*K3069</f>
        <v>3500</v>
      </c>
      <c r="M3069" s="4" t="s">
        <v>371</v>
      </c>
    </row>
    <row r="3070" customFormat="false" ht="23.85" hidden="false" customHeight="false" outlineLevel="0" collapsed="false">
      <c r="A3070" s="4" t="s">
        <v>94</v>
      </c>
      <c r="B3070" s="5" t="s">
        <v>105</v>
      </c>
      <c r="C3070" s="5" t="s">
        <v>106</v>
      </c>
      <c r="D3070" s="4" t="s">
        <v>16</v>
      </c>
      <c r="E3070" s="4" t="s">
        <v>1106</v>
      </c>
      <c r="F3070" s="4" t="s">
        <v>470</v>
      </c>
      <c r="G3070" s="4" t="s">
        <v>1107</v>
      </c>
      <c r="H3070" s="12" t="n">
        <v>1</v>
      </c>
      <c r="I3070" s="4" t="s">
        <v>408</v>
      </c>
      <c r="J3070" s="4" t="s">
        <v>413</v>
      </c>
      <c r="K3070" s="13" t="n">
        <v>450</v>
      </c>
      <c r="L3070" s="6" t="n">
        <f aca="false">H3070*K3070</f>
        <v>450</v>
      </c>
      <c r="M3070" s="4" t="s">
        <v>371</v>
      </c>
    </row>
    <row r="3071" customFormat="false" ht="23.85" hidden="false" customHeight="false" outlineLevel="0" collapsed="false">
      <c r="A3071" s="4" t="s">
        <v>94</v>
      </c>
      <c r="B3071" s="5" t="s">
        <v>105</v>
      </c>
      <c r="C3071" s="5" t="s">
        <v>106</v>
      </c>
      <c r="D3071" s="4" t="s">
        <v>16</v>
      </c>
      <c r="E3071" s="4" t="s">
        <v>1122</v>
      </c>
      <c r="F3071" s="4" t="s">
        <v>470</v>
      </c>
      <c r="G3071" s="4" t="s">
        <v>1123</v>
      </c>
      <c r="H3071" s="12" t="n">
        <v>1</v>
      </c>
      <c r="I3071" s="4" t="s">
        <v>408</v>
      </c>
      <c r="J3071" s="4" t="s">
        <v>409</v>
      </c>
      <c r="K3071" s="13" t="n">
        <v>450</v>
      </c>
      <c r="L3071" s="6" t="n">
        <f aca="false">H3071*K3071</f>
        <v>450</v>
      </c>
      <c r="M3071" s="4" t="s">
        <v>371</v>
      </c>
    </row>
    <row r="3072" customFormat="false" ht="23.85" hidden="false" customHeight="false" outlineLevel="0" collapsed="false">
      <c r="A3072" s="4" t="s">
        <v>94</v>
      </c>
      <c r="B3072" s="5" t="s">
        <v>105</v>
      </c>
      <c r="C3072" s="5" t="s">
        <v>106</v>
      </c>
      <c r="D3072" s="4" t="s">
        <v>16</v>
      </c>
      <c r="E3072" s="4" t="s">
        <v>1124</v>
      </c>
      <c r="F3072" s="4" t="s">
        <v>470</v>
      </c>
      <c r="G3072" s="4" t="s">
        <v>1125</v>
      </c>
      <c r="H3072" s="12" t="n">
        <v>1</v>
      </c>
      <c r="I3072" s="4" t="s">
        <v>408</v>
      </c>
      <c r="J3072" s="4" t="s">
        <v>416</v>
      </c>
      <c r="K3072" s="13" t="n">
        <v>450</v>
      </c>
      <c r="L3072" s="6" t="n">
        <f aca="false">H3072*K3072</f>
        <v>450</v>
      </c>
      <c r="M3072" s="4" t="s">
        <v>371</v>
      </c>
    </row>
    <row r="3073" customFormat="false" ht="23.85" hidden="false" customHeight="false" outlineLevel="0" collapsed="false">
      <c r="A3073" s="4" t="s">
        <v>94</v>
      </c>
      <c r="B3073" s="5" t="s">
        <v>105</v>
      </c>
      <c r="C3073" s="5" t="s">
        <v>106</v>
      </c>
      <c r="D3073" s="4" t="s">
        <v>16</v>
      </c>
      <c r="E3073" s="4" t="s">
        <v>1126</v>
      </c>
      <c r="F3073" s="4" t="s">
        <v>470</v>
      </c>
      <c r="G3073" s="4" t="s">
        <v>1127</v>
      </c>
      <c r="H3073" s="12" t="n">
        <v>1</v>
      </c>
      <c r="I3073" s="4" t="s">
        <v>408</v>
      </c>
      <c r="J3073" s="4" t="s">
        <v>409</v>
      </c>
      <c r="K3073" s="13" t="n">
        <v>3500</v>
      </c>
      <c r="L3073" s="6" t="n">
        <f aca="false">H3073*K3073</f>
        <v>3500</v>
      </c>
      <c r="M3073" s="4" t="s">
        <v>371</v>
      </c>
    </row>
    <row r="3074" customFormat="false" ht="23.85" hidden="false" customHeight="false" outlineLevel="0" collapsed="false">
      <c r="A3074" s="4" t="s">
        <v>94</v>
      </c>
      <c r="B3074" s="5" t="s">
        <v>105</v>
      </c>
      <c r="C3074" s="5" t="s">
        <v>106</v>
      </c>
      <c r="D3074" s="4" t="s">
        <v>16</v>
      </c>
      <c r="E3074" s="4" t="s">
        <v>1128</v>
      </c>
      <c r="F3074" s="4" t="s">
        <v>470</v>
      </c>
      <c r="G3074" s="4" t="s">
        <v>1129</v>
      </c>
      <c r="H3074" s="12" t="n">
        <v>1</v>
      </c>
      <c r="I3074" s="4" t="s">
        <v>408</v>
      </c>
      <c r="J3074" s="4" t="s">
        <v>475</v>
      </c>
      <c r="K3074" s="13" t="n">
        <v>1200</v>
      </c>
      <c r="L3074" s="6" t="n">
        <f aca="false">H3074*K3074</f>
        <v>1200</v>
      </c>
      <c r="M3074" s="4" t="s">
        <v>371</v>
      </c>
    </row>
    <row r="3075" customFormat="false" ht="23.85" hidden="false" customHeight="false" outlineLevel="0" collapsed="false">
      <c r="A3075" s="4" t="s">
        <v>94</v>
      </c>
      <c r="B3075" s="5" t="s">
        <v>105</v>
      </c>
      <c r="C3075" s="5" t="s">
        <v>106</v>
      </c>
      <c r="D3075" s="4" t="s">
        <v>16</v>
      </c>
      <c r="E3075" s="4" t="s">
        <v>1130</v>
      </c>
      <c r="F3075" s="4" t="s">
        <v>470</v>
      </c>
      <c r="G3075" s="4" t="s">
        <v>1131</v>
      </c>
      <c r="H3075" s="12" t="n">
        <v>1</v>
      </c>
      <c r="I3075" s="4" t="s">
        <v>408</v>
      </c>
      <c r="J3075" s="4" t="s">
        <v>475</v>
      </c>
      <c r="K3075" s="13" t="n">
        <v>1800</v>
      </c>
      <c r="L3075" s="6" t="n">
        <f aca="false">H3075*K3075</f>
        <v>1800</v>
      </c>
      <c r="M3075" s="4" t="s">
        <v>371</v>
      </c>
    </row>
    <row r="3076" customFormat="false" ht="23.85" hidden="false" customHeight="false" outlineLevel="0" collapsed="false">
      <c r="A3076" s="4" t="s">
        <v>94</v>
      </c>
      <c r="B3076" s="5" t="s">
        <v>105</v>
      </c>
      <c r="C3076" s="5" t="s">
        <v>106</v>
      </c>
      <c r="D3076" s="4" t="s">
        <v>16</v>
      </c>
      <c r="E3076" s="4" t="s">
        <v>4011</v>
      </c>
      <c r="F3076" s="4" t="s">
        <v>470</v>
      </c>
      <c r="G3076" s="4" t="s">
        <v>3951</v>
      </c>
      <c r="H3076" s="12" t="n">
        <v>1</v>
      </c>
      <c r="I3076" s="4" t="s">
        <v>408</v>
      </c>
      <c r="J3076" s="4" t="s">
        <v>409</v>
      </c>
      <c r="K3076" s="13" t="n">
        <v>450</v>
      </c>
      <c r="L3076" s="6" t="n">
        <f aca="false">H3076*K3076</f>
        <v>450</v>
      </c>
      <c r="M3076" s="4" t="s">
        <v>371</v>
      </c>
    </row>
    <row r="3077" customFormat="false" ht="23.85" hidden="false" customHeight="false" outlineLevel="0" collapsed="false">
      <c r="A3077" s="4" t="s">
        <v>94</v>
      </c>
      <c r="B3077" s="5" t="s">
        <v>105</v>
      </c>
      <c r="C3077" s="5" t="s">
        <v>106</v>
      </c>
      <c r="D3077" s="4" t="s">
        <v>16</v>
      </c>
      <c r="E3077" s="4" t="s">
        <v>1132</v>
      </c>
      <c r="F3077" s="4" t="s">
        <v>470</v>
      </c>
      <c r="G3077" s="4" t="s">
        <v>1133</v>
      </c>
      <c r="H3077" s="12" t="n">
        <v>1</v>
      </c>
      <c r="I3077" s="4" t="s">
        <v>408</v>
      </c>
      <c r="J3077" s="4" t="s">
        <v>409</v>
      </c>
      <c r="K3077" s="13" t="n">
        <v>450</v>
      </c>
      <c r="L3077" s="6" t="n">
        <f aca="false">H3077*K3077</f>
        <v>450</v>
      </c>
      <c r="M3077" s="4" t="s">
        <v>371</v>
      </c>
    </row>
    <row r="3078" customFormat="false" ht="23.85" hidden="false" customHeight="false" outlineLevel="0" collapsed="false">
      <c r="A3078" s="4" t="s">
        <v>94</v>
      </c>
      <c r="B3078" s="5" t="s">
        <v>105</v>
      </c>
      <c r="C3078" s="5" t="s">
        <v>106</v>
      </c>
      <c r="D3078" s="4" t="s">
        <v>16</v>
      </c>
      <c r="E3078" s="4" t="s">
        <v>1134</v>
      </c>
      <c r="F3078" s="4" t="s">
        <v>470</v>
      </c>
      <c r="G3078" s="4" t="s">
        <v>1135</v>
      </c>
      <c r="H3078" s="12" t="n">
        <v>1</v>
      </c>
      <c r="I3078" s="4" t="s">
        <v>408</v>
      </c>
      <c r="J3078" s="4" t="s">
        <v>409</v>
      </c>
      <c r="K3078" s="13" t="n">
        <v>4500</v>
      </c>
      <c r="L3078" s="6" t="n">
        <f aca="false">H3078*K3078</f>
        <v>4500</v>
      </c>
      <c r="M3078" s="4" t="s">
        <v>371</v>
      </c>
    </row>
    <row r="3079" customFormat="false" ht="23.85" hidden="false" customHeight="false" outlineLevel="0" collapsed="false">
      <c r="A3079" s="4" t="s">
        <v>94</v>
      </c>
      <c r="B3079" s="5" t="s">
        <v>105</v>
      </c>
      <c r="C3079" s="5" t="s">
        <v>106</v>
      </c>
      <c r="D3079" s="4" t="s">
        <v>16</v>
      </c>
      <c r="E3079" s="4" t="s">
        <v>1136</v>
      </c>
      <c r="F3079" s="4" t="s">
        <v>470</v>
      </c>
      <c r="G3079" s="4" t="s">
        <v>1137</v>
      </c>
      <c r="H3079" s="12" t="n">
        <v>1</v>
      </c>
      <c r="I3079" s="4" t="s">
        <v>408</v>
      </c>
      <c r="J3079" s="4" t="s">
        <v>416</v>
      </c>
      <c r="K3079" s="13" t="n">
        <v>850</v>
      </c>
      <c r="L3079" s="6" t="n">
        <f aca="false">H3079*K3079</f>
        <v>850</v>
      </c>
      <c r="M3079" s="4" t="s">
        <v>371</v>
      </c>
    </row>
    <row r="3080" customFormat="false" ht="23.85" hidden="false" customHeight="false" outlineLevel="0" collapsed="false">
      <c r="A3080" s="4" t="s">
        <v>94</v>
      </c>
      <c r="B3080" s="5" t="s">
        <v>105</v>
      </c>
      <c r="C3080" s="5" t="s">
        <v>106</v>
      </c>
      <c r="D3080" s="4" t="s">
        <v>16</v>
      </c>
      <c r="E3080" s="4" t="s">
        <v>1138</v>
      </c>
      <c r="F3080" s="4" t="s">
        <v>470</v>
      </c>
      <c r="G3080" s="4" t="s">
        <v>1139</v>
      </c>
      <c r="H3080" s="12" t="n">
        <v>1</v>
      </c>
      <c r="I3080" s="4" t="s">
        <v>408</v>
      </c>
      <c r="J3080" s="4" t="s">
        <v>416</v>
      </c>
      <c r="K3080" s="13" t="n">
        <v>2500</v>
      </c>
      <c r="L3080" s="6" t="n">
        <f aca="false">H3080*K3080</f>
        <v>2500</v>
      </c>
      <c r="M3080" s="4" t="s">
        <v>371</v>
      </c>
    </row>
    <row r="3081" customFormat="false" ht="23.85" hidden="false" customHeight="false" outlineLevel="0" collapsed="false">
      <c r="A3081" s="4" t="s">
        <v>94</v>
      </c>
      <c r="B3081" s="5" t="s">
        <v>105</v>
      </c>
      <c r="C3081" s="5" t="s">
        <v>106</v>
      </c>
      <c r="D3081" s="4" t="s">
        <v>16</v>
      </c>
      <c r="E3081" s="4" t="s">
        <v>1140</v>
      </c>
      <c r="F3081" s="4" t="s">
        <v>470</v>
      </c>
      <c r="G3081" s="4" t="s">
        <v>1141</v>
      </c>
      <c r="H3081" s="12" t="n">
        <v>1</v>
      </c>
      <c r="I3081" s="4" t="s">
        <v>408</v>
      </c>
      <c r="J3081" s="4" t="s">
        <v>409</v>
      </c>
      <c r="K3081" s="13" t="n">
        <v>350</v>
      </c>
      <c r="L3081" s="6" t="n">
        <f aca="false">H3081*K3081</f>
        <v>350</v>
      </c>
      <c r="M3081" s="4" t="s">
        <v>371</v>
      </c>
    </row>
    <row r="3082" customFormat="false" ht="23.85" hidden="false" customHeight="false" outlineLevel="0" collapsed="false">
      <c r="A3082" s="4" t="s">
        <v>94</v>
      </c>
      <c r="B3082" s="5" t="s">
        <v>105</v>
      </c>
      <c r="C3082" s="5" t="s">
        <v>106</v>
      </c>
      <c r="D3082" s="4" t="s">
        <v>16</v>
      </c>
      <c r="E3082" s="4" t="s">
        <v>1142</v>
      </c>
      <c r="F3082" s="4" t="s">
        <v>470</v>
      </c>
      <c r="G3082" s="4" t="s">
        <v>1143</v>
      </c>
      <c r="H3082" s="12" t="n">
        <v>1</v>
      </c>
      <c r="I3082" s="4" t="s">
        <v>408</v>
      </c>
      <c r="J3082" s="4" t="s">
        <v>416</v>
      </c>
      <c r="K3082" s="13" t="n">
        <v>850</v>
      </c>
      <c r="L3082" s="6" t="n">
        <f aca="false">H3082*K3082</f>
        <v>850</v>
      </c>
      <c r="M3082" s="4" t="s">
        <v>371</v>
      </c>
    </row>
    <row r="3083" customFormat="false" ht="23.85" hidden="false" customHeight="false" outlineLevel="0" collapsed="false">
      <c r="A3083" s="4" t="s">
        <v>94</v>
      </c>
      <c r="B3083" s="5" t="s">
        <v>105</v>
      </c>
      <c r="C3083" s="5" t="s">
        <v>106</v>
      </c>
      <c r="D3083" s="4" t="s">
        <v>16</v>
      </c>
      <c r="E3083" s="4" t="s">
        <v>1144</v>
      </c>
      <c r="F3083" s="4" t="s">
        <v>470</v>
      </c>
      <c r="G3083" s="4" t="s">
        <v>1145</v>
      </c>
      <c r="H3083" s="12" t="n">
        <v>1</v>
      </c>
      <c r="I3083" s="4" t="s">
        <v>408</v>
      </c>
      <c r="J3083" s="4" t="s">
        <v>416</v>
      </c>
      <c r="K3083" s="13" t="n">
        <v>3500</v>
      </c>
      <c r="L3083" s="6" t="n">
        <f aca="false">H3083*K3083</f>
        <v>3500</v>
      </c>
      <c r="M3083" s="4" t="s">
        <v>371</v>
      </c>
    </row>
    <row r="3084" customFormat="false" ht="23.85" hidden="false" customHeight="false" outlineLevel="0" collapsed="false">
      <c r="A3084" s="4" t="s">
        <v>94</v>
      </c>
      <c r="B3084" s="5" t="s">
        <v>105</v>
      </c>
      <c r="C3084" s="5" t="s">
        <v>106</v>
      </c>
      <c r="D3084" s="4" t="s">
        <v>16</v>
      </c>
      <c r="E3084" s="4" t="s">
        <v>1146</v>
      </c>
      <c r="F3084" s="4" t="s">
        <v>470</v>
      </c>
      <c r="G3084" s="4" t="s">
        <v>1147</v>
      </c>
      <c r="H3084" s="12" t="n">
        <v>1</v>
      </c>
      <c r="I3084" s="4" t="s">
        <v>408</v>
      </c>
      <c r="J3084" s="4" t="s">
        <v>416</v>
      </c>
      <c r="K3084" s="13" t="n">
        <v>2500</v>
      </c>
      <c r="L3084" s="6" t="n">
        <f aca="false">H3084*K3084</f>
        <v>2500</v>
      </c>
      <c r="M3084" s="4" t="s">
        <v>371</v>
      </c>
    </row>
    <row r="3085" customFormat="false" ht="23.85" hidden="false" customHeight="false" outlineLevel="0" collapsed="false">
      <c r="A3085" s="4" t="s">
        <v>94</v>
      </c>
      <c r="B3085" s="5" t="s">
        <v>105</v>
      </c>
      <c r="C3085" s="5" t="s">
        <v>106</v>
      </c>
      <c r="D3085" s="4" t="s">
        <v>16</v>
      </c>
      <c r="E3085" s="4" t="s">
        <v>1148</v>
      </c>
      <c r="F3085" s="4" t="s">
        <v>470</v>
      </c>
      <c r="G3085" s="4" t="s">
        <v>1149</v>
      </c>
      <c r="H3085" s="12" t="n">
        <v>1</v>
      </c>
      <c r="I3085" s="4" t="s">
        <v>408</v>
      </c>
      <c r="J3085" s="4" t="s">
        <v>409</v>
      </c>
      <c r="K3085" s="13" t="n">
        <v>450</v>
      </c>
      <c r="L3085" s="6" t="n">
        <f aca="false">H3085*K3085</f>
        <v>450</v>
      </c>
      <c r="M3085" s="4" t="s">
        <v>371</v>
      </c>
    </row>
    <row r="3086" customFormat="false" ht="23.85" hidden="false" customHeight="false" outlineLevel="0" collapsed="false">
      <c r="A3086" s="4" t="s">
        <v>94</v>
      </c>
      <c r="B3086" s="5" t="s">
        <v>105</v>
      </c>
      <c r="C3086" s="5" t="s">
        <v>106</v>
      </c>
      <c r="D3086" s="4" t="s">
        <v>16</v>
      </c>
      <c r="E3086" s="4" t="s">
        <v>1150</v>
      </c>
      <c r="F3086" s="4" t="s">
        <v>470</v>
      </c>
      <c r="G3086" s="4" t="s">
        <v>1151</v>
      </c>
      <c r="H3086" s="12" t="n">
        <v>1</v>
      </c>
      <c r="I3086" s="4" t="s">
        <v>408</v>
      </c>
      <c r="J3086" s="4" t="s">
        <v>416</v>
      </c>
      <c r="K3086" s="13" t="n">
        <v>1200</v>
      </c>
      <c r="L3086" s="6" t="n">
        <f aca="false">H3086*K3086</f>
        <v>1200</v>
      </c>
      <c r="M3086" s="4" t="s">
        <v>371</v>
      </c>
    </row>
    <row r="3087" customFormat="false" ht="23.85" hidden="false" customHeight="false" outlineLevel="0" collapsed="false">
      <c r="A3087" s="4" t="s">
        <v>94</v>
      </c>
      <c r="B3087" s="5" t="s">
        <v>105</v>
      </c>
      <c r="C3087" s="5" t="s">
        <v>106</v>
      </c>
      <c r="D3087" s="4" t="s">
        <v>16</v>
      </c>
      <c r="E3087" s="4" t="s">
        <v>1152</v>
      </c>
      <c r="F3087" s="4" t="s">
        <v>470</v>
      </c>
      <c r="G3087" s="4" t="s">
        <v>1153</v>
      </c>
      <c r="H3087" s="12" t="n">
        <v>1</v>
      </c>
      <c r="I3087" s="4" t="s">
        <v>408</v>
      </c>
      <c r="J3087" s="4" t="s">
        <v>416</v>
      </c>
      <c r="K3087" s="13" t="n">
        <v>2500</v>
      </c>
      <c r="L3087" s="6" t="n">
        <f aca="false">H3087*K3087</f>
        <v>2500</v>
      </c>
      <c r="M3087" s="4" t="s">
        <v>371</v>
      </c>
    </row>
    <row r="3088" customFormat="false" ht="23.85" hidden="false" customHeight="false" outlineLevel="0" collapsed="false">
      <c r="A3088" s="4" t="s">
        <v>94</v>
      </c>
      <c r="B3088" s="5" t="s">
        <v>105</v>
      </c>
      <c r="C3088" s="5" t="s">
        <v>106</v>
      </c>
      <c r="D3088" s="4" t="s">
        <v>16</v>
      </c>
      <c r="E3088" s="4" t="s">
        <v>1231</v>
      </c>
      <c r="F3088" s="4" t="s">
        <v>470</v>
      </c>
      <c r="G3088" s="4" t="s">
        <v>1232</v>
      </c>
      <c r="H3088" s="12" t="n">
        <v>1</v>
      </c>
      <c r="I3088" s="4" t="s">
        <v>474</v>
      </c>
      <c r="J3088" s="4" t="s">
        <v>409</v>
      </c>
      <c r="K3088" s="13" t="n">
        <v>85000</v>
      </c>
      <c r="L3088" s="6" t="n">
        <f aca="false">H3088*K3088</f>
        <v>85000</v>
      </c>
      <c r="M3088" s="4" t="s">
        <v>371</v>
      </c>
    </row>
    <row r="3089" customFormat="false" ht="23.85" hidden="false" customHeight="false" outlineLevel="0" collapsed="false">
      <c r="A3089" s="4" t="s">
        <v>94</v>
      </c>
      <c r="B3089" s="5" t="s">
        <v>105</v>
      </c>
      <c r="C3089" s="5" t="s">
        <v>106</v>
      </c>
      <c r="D3089" s="4" t="s">
        <v>16</v>
      </c>
      <c r="E3089" s="4" t="s">
        <v>1233</v>
      </c>
      <c r="F3089" s="4" t="s">
        <v>470</v>
      </c>
      <c r="G3089" s="4" t="s">
        <v>1234</v>
      </c>
      <c r="H3089" s="12" t="n">
        <v>1</v>
      </c>
      <c r="I3089" s="4" t="s">
        <v>474</v>
      </c>
      <c r="J3089" s="4" t="s">
        <v>409</v>
      </c>
      <c r="K3089" s="13" t="n">
        <v>3500</v>
      </c>
      <c r="L3089" s="6" t="n">
        <f aca="false">H3089*K3089</f>
        <v>3500</v>
      </c>
      <c r="M3089" s="4" t="s">
        <v>371</v>
      </c>
    </row>
    <row r="3090" customFormat="false" ht="23.85" hidden="false" customHeight="false" outlineLevel="0" collapsed="false">
      <c r="A3090" s="4" t="s">
        <v>94</v>
      </c>
      <c r="B3090" s="5" t="s">
        <v>105</v>
      </c>
      <c r="C3090" s="5" t="s">
        <v>106</v>
      </c>
      <c r="D3090" s="4" t="s">
        <v>16</v>
      </c>
      <c r="E3090" s="4" t="s">
        <v>1112</v>
      </c>
      <c r="F3090" s="4" t="s">
        <v>470</v>
      </c>
      <c r="G3090" s="4" t="s">
        <v>1113</v>
      </c>
      <c r="H3090" s="12" t="n">
        <v>1</v>
      </c>
      <c r="I3090" s="4" t="s">
        <v>474</v>
      </c>
      <c r="J3090" s="4" t="s">
        <v>409</v>
      </c>
      <c r="K3090" s="13" t="n">
        <v>450</v>
      </c>
      <c r="L3090" s="6" t="n">
        <f aca="false">H3090*K3090</f>
        <v>450</v>
      </c>
      <c r="M3090" s="4" t="s">
        <v>371</v>
      </c>
    </row>
    <row r="3091" customFormat="false" ht="23.85" hidden="false" customHeight="false" outlineLevel="0" collapsed="false">
      <c r="A3091" s="4" t="s">
        <v>94</v>
      </c>
      <c r="B3091" s="5" t="s">
        <v>105</v>
      </c>
      <c r="C3091" s="5" t="s">
        <v>106</v>
      </c>
      <c r="D3091" s="4" t="s">
        <v>16</v>
      </c>
      <c r="E3091" s="4" t="s">
        <v>1114</v>
      </c>
      <c r="F3091" s="4" t="s">
        <v>470</v>
      </c>
      <c r="G3091" s="4" t="s">
        <v>1115</v>
      </c>
      <c r="H3091" s="12" t="n">
        <v>1</v>
      </c>
      <c r="I3091" s="4" t="s">
        <v>474</v>
      </c>
      <c r="J3091" s="4" t="s">
        <v>409</v>
      </c>
      <c r="K3091" s="13" t="n">
        <v>450</v>
      </c>
      <c r="L3091" s="6" t="n">
        <f aca="false">H3091*K3091</f>
        <v>450</v>
      </c>
      <c r="M3091" s="4" t="s">
        <v>371</v>
      </c>
    </row>
    <row r="3092" customFormat="false" ht="23.85" hidden="false" customHeight="false" outlineLevel="0" collapsed="false">
      <c r="A3092" s="4" t="s">
        <v>94</v>
      </c>
      <c r="B3092" s="5" t="s">
        <v>105</v>
      </c>
      <c r="C3092" s="5" t="s">
        <v>106</v>
      </c>
      <c r="D3092" s="4" t="s">
        <v>16</v>
      </c>
      <c r="E3092" s="4" t="s">
        <v>1116</v>
      </c>
      <c r="F3092" s="4" t="s">
        <v>470</v>
      </c>
      <c r="G3092" s="4" t="s">
        <v>1117</v>
      </c>
      <c r="H3092" s="12" t="n">
        <v>1</v>
      </c>
      <c r="I3092" s="4" t="s">
        <v>474</v>
      </c>
      <c r="J3092" s="4" t="s">
        <v>409</v>
      </c>
      <c r="K3092" s="13" t="n">
        <v>3500</v>
      </c>
      <c r="L3092" s="6" t="n">
        <f aca="false">H3092*K3092</f>
        <v>3500</v>
      </c>
      <c r="M3092" s="4" t="s">
        <v>371</v>
      </c>
    </row>
    <row r="3093" customFormat="false" ht="23.85" hidden="false" customHeight="false" outlineLevel="0" collapsed="false">
      <c r="A3093" s="4" t="s">
        <v>94</v>
      </c>
      <c r="B3093" s="5" t="s">
        <v>105</v>
      </c>
      <c r="C3093" s="5" t="s">
        <v>106</v>
      </c>
      <c r="D3093" s="4" t="s">
        <v>16</v>
      </c>
      <c r="E3093" s="4" t="s">
        <v>4012</v>
      </c>
      <c r="F3093" s="4" t="s">
        <v>470</v>
      </c>
      <c r="G3093" s="4" t="s">
        <v>4013</v>
      </c>
      <c r="H3093" s="12" t="n">
        <v>1</v>
      </c>
      <c r="I3093" s="4" t="s">
        <v>474</v>
      </c>
      <c r="J3093" s="4" t="s">
        <v>409</v>
      </c>
      <c r="K3093" s="13" t="n">
        <v>180000</v>
      </c>
      <c r="L3093" s="6" t="n">
        <f aca="false">H3093*K3093</f>
        <v>180000</v>
      </c>
      <c r="M3093" s="4" t="s">
        <v>371</v>
      </c>
    </row>
    <row r="3094" customFormat="false" ht="23.85" hidden="false" customHeight="false" outlineLevel="0" collapsed="false">
      <c r="A3094" s="4" t="s">
        <v>94</v>
      </c>
      <c r="B3094" s="5" t="s">
        <v>105</v>
      </c>
      <c r="C3094" s="5" t="s">
        <v>106</v>
      </c>
      <c r="D3094" s="4" t="s">
        <v>16</v>
      </c>
      <c r="E3094" s="4" t="s">
        <v>1237</v>
      </c>
      <c r="F3094" s="4" t="s">
        <v>470</v>
      </c>
      <c r="G3094" s="4" t="s">
        <v>1238</v>
      </c>
      <c r="H3094" s="12" t="n">
        <v>1</v>
      </c>
      <c r="I3094" s="4" t="s">
        <v>474</v>
      </c>
      <c r="J3094" s="4" t="s">
        <v>409</v>
      </c>
      <c r="K3094" s="13" t="n">
        <v>120000</v>
      </c>
      <c r="L3094" s="6" t="n">
        <f aca="false">H3094*K3094</f>
        <v>120000</v>
      </c>
      <c r="M3094" s="4" t="s">
        <v>371</v>
      </c>
    </row>
    <row r="3095" customFormat="false" ht="23.85" hidden="false" customHeight="false" outlineLevel="0" collapsed="false">
      <c r="A3095" s="4" t="s">
        <v>94</v>
      </c>
      <c r="B3095" s="5" t="s">
        <v>105</v>
      </c>
      <c r="C3095" s="5" t="s">
        <v>106</v>
      </c>
      <c r="D3095" s="4" t="s">
        <v>16</v>
      </c>
      <c r="E3095" s="4" t="s">
        <v>1239</v>
      </c>
      <c r="F3095" s="4" t="s">
        <v>470</v>
      </c>
      <c r="G3095" s="4" t="s">
        <v>1240</v>
      </c>
      <c r="H3095" s="12" t="n">
        <v>1</v>
      </c>
      <c r="I3095" s="4" t="s">
        <v>474</v>
      </c>
      <c r="J3095" s="4" t="s">
        <v>409</v>
      </c>
      <c r="K3095" s="13" t="n">
        <v>25000</v>
      </c>
      <c r="L3095" s="6" t="n">
        <f aca="false">H3095*K3095</f>
        <v>25000</v>
      </c>
      <c r="M3095" s="4" t="s">
        <v>371</v>
      </c>
    </row>
    <row r="3096" customFormat="false" ht="23.85" hidden="false" customHeight="false" outlineLevel="0" collapsed="false">
      <c r="A3096" s="4" t="s">
        <v>94</v>
      </c>
      <c r="B3096" s="5" t="s">
        <v>105</v>
      </c>
      <c r="C3096" s="5" t="s">
        <v>106</v>
      </c>
      <c r="D3096" s="4" t="s">
        <v>16</v>
      </c>
      <c r="E3096" s="4" t="s">
        <v>1154</v>
      </c>
      <c r="F3096" s="4" t="s">
        <v>488</v>
      </c>
      <c r="G3096" s="4" t="s">
        <v>1155</v>
      </c>
      <c r="H3096" s="12" t="n">
        <v>1</v>
      </c>
      <c r="I3096" s="4" t="s">
        <v>408</v>
      </c>
      <c r="J3096" s="4" t="s">
        <v>432</v>
      </c>
      <c r="K3096" s="13" t="n">
        <v>60</v>
      </c>
      <c r="L3096" s="6" t="n">
        <f aca="false">H3096*K3096</f>
        <v>60</v>
      </c>
      <c r="M3096" s="4" t="s">
        <v>371</v>
      </c>
    </row>
    <row r="3097" customFormat="false" ht="23.85" hidden="false" customHeight="false" outlineLevel="0" collapsed="false">
      <c r="A3097" s="4" t="s">
        <v>94</v>
      </c>
      <c r="B3097" s="5" t="s">
        <v>105</v>
      </c>
      <c r="C3097" s="5" t="s">
        <v>106</v>
      </c>
      <c r="D3097" s="4" t="s">
        <v>16</v>
      </c>
      <c r="E3097" s="4" t="s">
        <v>1156</v>
      </c>
      <c r="F3097" s="4" t="s">
        <v>488</v>
      </c>
      <c r="G3097" s="4" t="s">
        <v>1157</v>
      </c>
      <c r="H3097" s="12" t="n">
        <v>1</v>
      </c>
      <c r="I3097" s="4" t="s">
        <v>408</v>
      </c>
      <c r="J3097" s="4" t="s">
        <v>490</v>
      </c>
      <c r="K3097" s="13" t="n">
        <v>105</v>
      </c>
      <c r="L3097" s="6" t="n">
        <f aca="false">H3097*K3097</f>
        <v>105</v>
      </c>
      <c r="M3097" s="4" t="s">
        <v>371</v>
      </c>
    </row>
    <row r="3098" customFormat="false" ht="23.85" hidden="false" customHeight="false" outlineLevel="0" collapsed="false">
      <c r="A3098" s="4" t="s">
        <v>94</v>
      </c>
      <c r="B3098" s="5" t="s">
        <v>105</v>
      </c>
      <c r="C3098" s="5" t="s">
        <v>106</v>
      </c>
      <c r="D3098" s="4" t="s">
        <v>16</v>
      </c>
      <c r="E3098" s="4" t="s">
        <v>1158</v>
      </c>
      <c r="F3098" s="4" t="s">
        <v>488</v>
      </c>
      <c r="G3098" s="4" t="s">
        <v>1159</v>
      </c>
      <c r="H3098" s="12" t="n">
        <v>1</v>
      </c>
      <c r="I3098" s="4" t="s">
        <v>408</v>
      </c>
      <c r="J3098" s="4" t="s">
        <v>490</v>
      </c>
      <c r="K3098" s="13" t="n">
        <v>350</v>
      </c>
      <c r="L3098" s="6" t="n">
        <f aca="false">H3098*K3098</f>
        <v>350</v>
      </c>
      <c r="M3098" s="4" t="s">
        <v>371</v>
      </c>
    </row>
    <row r="3099" customFormat="false" ht="23.85" hidden="false" customHeight="false" outlineLevel="0" collapsed="false">
      <c r="A3099" s="4" t="s">
        <v>94</v>
      </c>
      <c r="B3099" s="5" t="s">
        <v>105</v>
      </c>
      <c r="C3099" s="5" t="s">
        <v>106</v>
      </c>
      <c r="D3099" s="4" t="s">
        <v>16</v>
      </c>
      <c r="E3099" s="4" t="s">
        <v>1160</v>
      </c>
      <c r="F3099" s="4" t="s">
        <v>488</v>
      </c>
      <c r="G3099" s="4" t="s">
        <v>1161</v>
      </c>
      <c r="H3099" s="12" t="n">
        <v>1</v>
      </c>
      <c r="I3099" s="4" t="s">
        <v>408</v>
      </c>
      <c r="J3099" s="4" t="s">
        <v>432</v>
      </c>
      <c r="K3099" s="13" t="n">
        <v>350</v>
      </c>
      <c r="L3099" s="6" t="n">
        <f aca="false">H3099*K3099</f>
        <v>350</v>
      </c>
      <c r="M3099" s="4" t="s">
        <v>371</v>
      </c>
    </row>
    <row r="3100" customFormat="false" ht="23.85" hidden="false" customHeight="false" outlineLevel="0" collapsed="false">
      <c r="A3100" s="4" t="s">
        <v>94</v>
      </c>
      <c r="B3100" s="5" t="s">
        <v>105</v>
      </c>
      <c r="C3100" s="5" t="s">
        <v>106</v>
      </c>
      <c r="D3100" s="4" t="s">
        <v>16</v>
      </c>
      <c r="E3100" s="4" t="s">
        <v>1162</v>
      </c>
      <c r="F3100" s="4" t="s">
        <v>488</v>
      </c>
      <c r="G3100" s="4" t="s">
        <v>1163</v>
      </c>
      <c r="H3100" s="12" t="n">
        <v>1</v>
      </c>
      <c r="I3100" s="4" t="s">
        <v>408</v>
      </c>
      <c r="J3100" s="4" t="s">
        <v>409</v>
      </c>
      <c r="K3100" s="13" t="n">
        <v>250</v>
      </c>
      <c r="L3100" s="6" t="n">
        <f aca="false">H3100*K3100</f>
        <v>250</v>
      </c>
      <c r="M3100" s="14" t="s">
        <v>410</v>
      </c>
    </row>
    <row r="3101" customFormat="false" ht="23.85" hidden="false" customHeight="false" outlineLevel="0" collapsed="false">
      <c r="A3101" s="4" t="s">
        <v>94</v>
      </c>
      <c r="B3101" s="5" t="s">
        <v>105</v>
      </c>
      <c r="C3101" s="5" t="s">
        <v>106</v>
      </c>
      <c r="D3101" s="4" t="s">
        <v>16</v>
      </c>
      <c r="E3101" s="4" t="s">
        <v>1164</v>
      </c>
      <c r="F3101" s="4" t="s">
        <v>488</v>
      </c>
      <c r="G3101" s="4" t="s">
        <v>1165</v>
      </c>
      <c r="H3101" s="12" t="n">
        <v>1</v>
      </c>
      <c r="I3101" s="4" t="s">
        <v>408</v>
      </c>
      <c r="J3101" s="4" t="s">
        <v>409</v>
      </c>
      <c r="K3101" s="13" t="n">
        <v>450</v>
      </c>
      <c r="L3101" s="6" t="n">
        <f aca="false">H3101*K3101</f>
        <v>450</v>
      </c>
      <c r="M3101" s="4" t="s">
        <v>371</v>
      </c>
    </row>
    <row r="3102" customFormat="false" ht="23.85" hidden="false" customHeight="false" outlineLevel="0" collapsed="false">
      <c r="A3102" s="4" t="s">
        <v>94</v>
      </c>
      <c r="B3102" s="5" t="s">
        <v>105</v>
      </c>
      <c r="C3102" s="5" t="s">
        <v>106</v>
      </c>
      <c r="D3102" s="4" t="s">
        <v>16</v>
      </c>
      <c r="E3102" s="4" t="s">
        <v>1166</v>
      </c>
      <c r="F3102" s="4" t="s">
        <v>488</v>
      </c>
      <c r="G3102" s="4" t="s">
        <v>1167</v>
      </c>
      <c r="H3102" s="12" t="n">
        <v>1</v>
      </c>
      <c r="I3102" s="4" t="s">
        <v>408</v>
      </c>
      <c r="J3102" s="4" t="s">
        <v>409</v>
      </c>
      <c r="K3102" s="13" t="n">
        <v>450</v>
      </c>
      <c r="L3102" s="6" t="n">
        <f aca="false">H3102*K3102</f>
        <v>450</v>
      </c>
      <c r="M3102" s="4" t="s">
        <v>371</v>
      </c>
    </row>
    <row r="3103" customFormat="false" ht="23.85" hidden="false" customHeight="false" outlineLevel="0" collapsed="false">
      <c r="A3103" s="4" t="s">
        <v>94</v>
      </c>
      <c r="B3103" s="5" t="s">
        <v>105</v>
      </c>
      <c r="C3103" s="5" t="s">
        <v>106</v>
      </c>
      <c r="D3103" s="4" t="s">
        <v>16</v>
      </c>
      <c r="E3103" s="4" t="s">
        <v>1168</v>
      </c>
      <c r="F3103" s="4" t="s">
        <v>488</v>
      </c>
      <c r="G3103" s="4" t="s">
        <v>1169</v>
      </c>
      <c r="H3103" s="12" t="n">
        <v>1</v>
      </c>
      <c r="I3103" s="4" t="s">
        <v>408</v>
      </c>
      <c r="J3103" s="4" t="s">
        <v>409</v>
      </c>
      <c r="K3103" s="13" t="n">
        <v>450</v>
      </c>
      <c r="L3103" s="6" t="n">
        <f aca="false">H3103*K3103</f>
        <v>450</v>
      </c>
      <c r="M3103" s="4" t="s">
        <v>371</v>
      </c>
    </row>
    <row r="3104" customFormat="false" ht="23.85" hidden="false" customHeight="false" outlineLevel="0" collapsed="false">
      <c r="A3104" s="4" t="s">
        <v>94</v>
      </c>
      <c r="B3104" s="5" t="s">
        <v>105</v>
      </c>
      <c r="C3104" s="5" t="s">
        <v>106</v>
      </c>
      <c r="D3104" s="4" t="s">
        <v>16</v>
      </c>
      <c r="E3104" s="4" t="s">
        <v>1170</v>
      </c>
      <c r="F3104" s="4" t="s">
        <v>488</v>
      </c>
      <c r="G3104" s="4" t="s">
        <v>1171</v>
      </c>
      <c r="H3104" s="12" t="n">
        <v>1</v>
      </c>
      <c r="I3104" s="4" t="s">
        <v>408</v>
      </c>
      <c r="J3104" s="4" t="s">
        <v>409</v>
      </c>
      <c r="K3104" s="13" t="n">
        <v>450</v>
      </c>
      <c r="L3104" s="6" t="n">
        <f aca="false">H3104*K3104</f>
        <v>450</v>
      </c>
      <c r="M3104" s="4" t="s">
        <v>371</v>
      </c>
    </row>
    <row r="3105" customFormat="false" ht="23.85" hidden="false" customHeight="false" outlineLevel="0" collapsed="false">
      <c r="A3105" s="4" t="s">
        <v>94</v>
      </c>
      <c r="B3105" s="5" t="s">
        <v>105</v>
      </c>
      <c r="C3105" s="5" t="s">
        <v>106</v>
      </c>
      <c r="D3105" s="4" t="s">
        <v>16</v>
      </c>
      <c r="E3105" s="4" t="s">
        <v>1172</v>
      </c>
      <c r="F3105" s="4" t="s">
        <v>488</v>
      </c>
      <c r="G3105" s="4" t="s">
        <v>1173</v>
      </c>
      <c r="H3105" s="12" t="n">
        <v>1</v>
      </c>
      <c r="I3105" s="4" t="s">
        <v>408</v>
      </c>
      <c r="J3105" s="4" t="s">
        <v>416</v>
      </c>
      <c r="K3105" s="13" t="n">
        <v>1200</v>
      </c>
      <c r="L3105" s="6" t="n">
        <f aca="false">H3105*K3105</f>
        <v>1200</v>
      </c>
      <c r="M3105" s="4" t="s">
        <v>371</v>
      </c>
    </row>
    <row r="3106" customFormat="false" ht="23.85" hidden="false" customHeight="false" outlineLevel="0" collapsed="false">
      <c r="A3106" s="4" t="s">
        <v>107</v>
      </c>
      <c r="B3106" s="5" t="s">
        <v>108</v>
      </c>
      <c r="C3106" s="5" t="s">
        <v>109</v>
      </c>
      <c r="D3106" s="4" t="s">
        <v>16</v>
      </c>
      <c r="E3106" s="4" t="s">
        <v>4014</v>
      </c>
      <c r="F3106" s="4" t="s">
        <v>406</v>
      </c>
      <c r="G3106" s="4" t="s">
        <v>4015</v>
      </c>
      <c r="H3106" s="12" t="n">
        <v>1</v>
      </c>
      <c r="I3106" s="4" t="s">
        <v>408</v>
      </c>
      <c r="J3106" s="4" t="s">
        <v>409</v>
      </c>
      <c r="K3106" s="13" t="n">
        <v>8500</v>
      </c>
      <c r="L3106" s="6" t="n">
        <f aca="false">H3106*K3106</f>
        <v>8500</v>
      </c>
      <c r="M3106" s="14" t="s">
        <v>410</v>
      </c>
    </row>
    <row r="3107" customFormat="false" ht="23.85" hidden="false" customHeight="false" outlineLevel="0" collapsed="false">
      <c r="A3107" s="4" t="s">
        <v>107</v>
      </c>
      <c r="B3107" s="5" t="s">
        <v>108</v>
      </c>
      <c r="C3107" s="5" t="s">
        <v>109</v>
      </c>
      <c r="D3107" s="4" t="s">
        <v>16</v>
      </c>
      <c r="E3107" s="4" t="s">
        <v>4016</v>
      </c>
      <c r="F3107" s="4" t="s">
        <v>470</v>
      </c>
      <c r="G3107" s="4" t="s">
        <v>4017</v>
      </c>
      <c r="H3107" s="12" t="n">
        <v>1</v>
      </c>
      <c r="I3107" s="4" t="s">
        <v>408</v>
      </c>
      <c r="J3107" s="4" t="s">
        <v>409</v>
      </c>
      <c r="K3107" s="13" t="n">
        <v>55000</v>
      </c>
      <c r="L3107" s="6" t="n">
        <f aca="false">H3107*K3107</f>
        <v>55000</v>
      </c>
      <c r="M3107" s="4" t="s">
        <v>371</v>
      </c>
    </row>
    <row r="3108" customFormat="false" ht="23.85" hidden="false" customHeight="false" outlineLevel="0" collapsed="false">
      <c r="A3108" s="4" t="s">
        <v>107</v>
      </c>
      <c r="B3108" s="5" t="s">
        <v>108</v>
      </c>
      <c r="C3108" s="5" t="s">
        <v>109</v>
      </c>
      <c r="D3108" s="4" t="s">
        <v>16</v>
      </c>
      <c r="E3108" s="4" t="s">
        <v>4018</v>
      </c>
      <c r="F3108" s="4" t="s">
        <v>470</v>
      </c>
      <c r="G3108" s="4" t="s">
        <v>4019</v>
      </c>
      <c r="H3108" s="12" t="n">
        <v>1</v>
      </c>
      <c r="I3108" s="4" t="s">
        <v>408</v>
      </c>
      <c r="J3108" s="4" t="s">
        <v>416</v>
      </c>
      <c r="K3108" s="13" t="n">
        <v>18000</v>
      </c>
      <c r="L3108" s="6" t="n">
        <f aca="false">H3108*K3108</f>
        <v>18000</v>
      </c>
      <c r="M3108" s="14" t="s">
        <v>410</v>
      </c>
    </row>
    <row r="3109" customFormat="false" ht="23.85" hidden="false" customHeight="false" outlineLevel="0" collapsed="false">
      <c r="A3109" s="4" t="s">
        <v>107</v>
      </c>
      <c r="B3109" s="5" t="s">
        <v>108</v>
      </c>
      <c r="C3109" s="5" t="s">
        <v>109</v>
      </c>
      <c r="D3109" s="4" t="s">
        <v>16</v>
      </c>
      <c r="E3109" s="4" t="s">
        <v>4020</v>
      </c>
      <c r="F3109" s="4" t="s">
        <v>470</v>
      </c>
      <c r="G3109" s="4" t="s">
        <v>4021</v>
      </c>
      <c r="H3109" s="12" t="n">
        <v>1</v>
      </c>
      <c r="I3109" s="4" t="s">
        <v>408</v>
      </c>
      <c r="J3109" s="4" t="s">
        <v>416</v>
      </c>
      <c r="K3109" s="13" t="n">
        <v>8500</v>
      </c>
      <c r="L3109" s="6" t="n">
        <f aca="false">H3109*K3109</f>
        <v>8500</v>
      </c>
      <c r="M3109" s="14" t="s">
        <v>410</v>
      </c>
    </row>
    <row r="3110" customFormat="false" ht="23.85" hidden="false" customHeight="false" outlineLevel="0" collapsed="false">
      <c r="A3110" s="4" t="s">
        <v>107</v>
      </c>
      <c r="B3110" s="5" t="s">
        <v>108</v>
      </c>
      <c r="C3110" s="5" t="s">
        <v>109</v>
      </c>
      <c r="D3110" s="4" t="s">
        <v>16</v>
      </c>
      <c r="E3110" s="4" t="s">
        <v>4022</v>
      </c>
      <c r="F3110" s="4" t="s">
        <v>470</v>
      </c>
      <c r="G3110" s="4" t="s">
        <v>4023</v>
      </c>
      <c r="H3110" s="12" t="n">
        <v>1</v>
      </c>
      <c r="I3110" s="4" t="s">
        <v>408</v>
      </c>
      <c r="J3110" s="4" t="s">
        <v>409</v>
      </c>
      <c r="K3110" s="13" t="n">
        <v>6500</v>
      </c>
      <c r="L3110" s="6" t="n">
        <f aca="false">H3110*K3110</f>
        <v>6500</v>
      </c>
      <c r="M3110" s="14" t="s">
        <v>410</v>
      </c>
    </row>
    <row r="3111" customFormat="false" ht="23.85" hidden="false" customHeight="false" outlineLevel="0" collapsed="false">
      <c r="A3111" s="4" t="s">
        <v>107</v>
      </c>
      <c r="B3111" s="5" t="s">
        <v>108</v>
      </c>
      <c r="C3111" s="5" t="s">
        <v>109</v>
      </c>
      <c r="D3111" s="4" t="s">
        <v>16</v>
      </c>
      <c r="E3111" s="4" t="s">
        <v>4024</v>
      </c>
      <c r="F3111" s="4" t="s">
        <v>470</v>
      </c>
      <c r="G3111" s="4" t="s">
        <v>4025</v>
      </c>
      <c r="H3111" s="12" t="n">
        <v>1</v>
      </c>
      <c r="I3111" s="4" t="s">
        <v>408</v>
      </c>
      <c r="J3111" s="4" t="s">
        <v>543</v>
      </c>
      <c r="K3111" s="13" t="n">
        <v>85000</v>
      </c>
      <c r="L3111" s="6" t="n">
        <f aca="false">H3111*K3111</f>
        <v>85000</v>
      </c>
      <c r="M3111" s="4" t="s">
        <v>371</v>
      </c>
    </row>
    <row r="3112" customFormat="false" ht="23.85" hidden="false" customHeight="false" outlineLevel="0" collapsed="false">
      <c r="A3112" s="4" t="s">
        <v>107</v>
      </c>
      <c r="B3112" s="5" t="s">
        <v>108</v>
      </c>
      <c r="C3112" s="5" t="s">
        <v>109</v>
      </c>
      <c r="D3112" s="4" t="s">
        <v>16</v>
      </c>
      <c r="E3112" s="4" t="s">
        <v>4026</v>
      </c>
      <c r="F3112" s="4" t="s">
        <v>470</v>
      </c>
      <c r="G3112" s="4" t="s">
        <v>4027</v>
      </c>
      <c r="H3112" s="12" t="n">
        <v>1</v>
      </c>
      <c r="I3112" s="4" t="s">
        <v>408</v>
      </c>
      <c r="J3112" s="4" t="s">
        <v>543</v>
      </c>
      <c r="K3112" s="13" t="n">
        <v>18000</v>
      </c>
      <c r="L3112" s="6" t="n">
        <f aca="false">H3112*K3112</f>
        <v>18000</v>
      </c>
      <c r="M3112" s="4" t="s">
        <v>371</v>
      </c>
    </row>
    <row r="3113" customFormat="false" ht="23.85" hidden="false" customHeight="false" outlineLevel="0" collapsed="false">
      <c r="A3113" s="4" t="s">
        <v>107</v>
      </c>
      <c r="B3113" s="5" t="s">
        <v>108</v>
      </c>
      <c r="C3113" s="5" t="s">
        <v>109</v>
      </c>
      <c r="D3113" s="4" t="s">
        <v>16</v>
      </c>
      <c r="E3113" s="4" t="s">
        <v>4028</v>
      </c>
      <c r="F3113" s="4" t="s">
        <v>470</v>
      </c>
      <c r="G3113" s="4" t="s">
        <v>4029</v>
      </c>
      <c r="H3113" s="12" t="n">
        <v>1</v>
      </c>
      <c r="I3113" s="4" t="s">
        <v>408</v>
      </c>
      <c r="J3113" s="4" t="s">
        <v>543</v>
      </c>
      <c r="K3113" s="13" t="n">
        <v>25000</v>
      </c>
      <c r="L3113" s="6" t="n">
        <f aca="false">H3113*K3113</f>
        <v>25000</v>
      </c>
      <c r="M3113" s="4" t="s">
        <v>371</v>
      </c>
    </row>
    <row r="3114" customFormat="false" ht="23.85" hidden="false" customHeight="false" outlineLevel="0" collapsed="false">
      <c r="A3114" s="4" t="s">
        <v>107</v>
      </c>
      <c r="B3114" s="5" t="s">
        <v>108</v>
      </c>
      <c r="C3114" s="5" t="s">
        <v>109</v>
      </c>
      <c r="D3114" s="4" t="s">
        <v>16</v>
      </c>
      <c r="E3114" s="4" t="s">
        <v>4030</v>
      </c>
      <c r="F3114" s="4" t="s">
        <v>470</v>
      </c>
      <c r="G3114" s="4" t="s">
        <v>4031</v>
      </c>
      <c r="H3114" s="12" t="n">
        <v>1</v>
      </c>
      <c r="I3114" s="4" t="s">
        <v>408</v>
      </c>
      <c r="J3114" s="4" t="s">
        <v>543</v>
      </c>
      <c r="K3114" s="13" t="n">
        <v>150000</v>
      </c>
      <c r="L3114" s="6" t="n">
        <f aca="false">H3114*K3114</f>
        <v>150000</v>
      </c>
      <c r="M3114" s="4" t="s">
        <v>371</v>
      </c>
    </row>
    <row r="3115" customFormat="false" ht="23.85" hidden="false" customHeight="false" outlineLevel="0" collapsed="false">
      <c r="A3115" s="4" t="s">
        <v>107</v>
      </c>
      <c r="B3115" s="5" t="s">
        <v>108</v>
      </c>
      <c r="C3115" s="5" t="s">
        <v>109</v>
      </c>
      <c r="D3115" s="4" t="s">
        <v>16</v>
      </c>
      <c r="E3115" s="4" t="s">
        <v>4032</v>
      </c>
      <c r="F3115" s="4" t="s">
        <v>470</v>
      </c>
      <c r="G3115" s="4" t="s">
        <v>4033</v>
      </c>
      <c r="H3115" s="12" t="n">
        <v>1</v>
      </c>
      <c r="I3115" s="4" t="s">
        <v>408</v>
      </c>
      <c r="J3115" s="4" t="s">
        <v>543</v>
      </c>
      <c r="K3115" s="13" t="n">
        <v>18000</v>
      </c>
      <c r="L3115" s="6" t="n">
        <f aca="false">H3115*K3115</f>
        <v>18000</v>
      </c>
      <c r="M3115" s="4" t="s">
        <v>371</v>
      </c>
    </row>
    <row r="3116" customFormat="false" ht="23.85" hidden="false" customHeight="false" outlineLevel="0" collapsed="false">
      <c r="A3116" s="4" t="s">
        <v>107</v>
      </c>
      <c r="B3116" s="5" t="s">
        <v>108</v>
      </c>
      <c r="C3116" s="5" t="s">
        <v>109</v>
      </c>
      <c r="D3116" s="4" t="s">
        <v>16</v>
      </c>
      <c r="E3116" s="4" t="s">
        <v>4034</v>
      </c>
      <c r="F3116" s="4" t="s">
        <v>470</v>
      </c>
      <c r="G3116" s="4" t="s">
        <v>4035</v>
      </c>
      <c r="H3116" s="12" t="n">
        <v>1</v>
      </c>
      <c r="I3116" s="4" t="s">
        <v>408</v>
      </c>
      <c r="J3116" s="4" t="s">
        <v>543</v>
      </c>
      <c r="K3116" s="13" t="n">
        <v>18000</v>
      </c>
      <c r="L3116" s="6" t="n">
        <f aca="false">H3116*K3116</f>
        <v>18000</v>
      </c>
      <c r="M3116" s="4" t="s">
        <v>371</v>
      </c>
    </row>
    <row r="3117" customFormat="false" ht="23.85" hidden="false" customHeight="false" outlineLevel="0" collapsed="false">
      <c r="A3117" s="4" t="s">
        <v>107</v>
      </c>
      <c r="B3117" s="5" t="s">
        <v>108</v>
      </c>
      <c r="C3117" s="5" t="s">
        <v>109</v>
      </c>
      <c r="D3117" s="4" t="s">
        <v>16</v>
      </c>
      <c r="E3117" s="4" t="s">
        <v>4036</v>
      </c>
      <c r="F3117" s="4" t="s">
        <v>470</v>
      </c>
      <c r="G3117" s="4" t="s">
        <v>4037</v>
      </c>
      <c r="H3117" s="12" t="n">
        <v>1</v>
      </c>
      <c r="I3117" s="4" t="s">
        <v>408</v>
      </c>
      <c r="J3117" s="4" t="s">
        <v>543</v>
      </c>
      <c r="K3117" s="13" t="n">
        <v>12000</v>
      </c>
      <c r="L3117" s="6" t="n">
        <f aca="false">H3117*K3117</f>
        <v>12000</v>
      </c>
      <c r="M3117" s="4" t="s">
        <v>371</v>
      </c>
    </row>
    <row r="3118" customFormat="false" ht="23.85" hidden="false" customHeight="false" outlineLevel="0" collapsed="false">
      <c r="A3118" s="4" t="s">
        <v>107</v>
      </c>
      <c r="B3118" s="5" t="s">
        <v>108</v>
      </c>
      <c r="C3118" s="5" t="s">
        <v>109</v>
      </c>
      <c r="D3118" s="4" t="s">
        <v>16</v>
      </c>
      <c r="E3118" s="4" t="s">
        <v>4038</v>
      </c>
      <c r="F3118" s="4" t="s">
        <v>470</v>
      </c>
      <c r="G3118" s="4" t="s">
        <v>4039</v>
      </c>
      <c r="H3118" s="12" t="n">
        <v>1</v>
      </c>
      <c r="I3118" s="4" t="s">
        <v>408</v>
      </c>
      <c r="J3118" s="4" t="s">
        <v>543</v>
      </c>
      <c r="K3118" s="13" t="n">
        <v>25000</v>
      </c>
      <c r="L3118" s="6" t="n">
        <f aca="false">H3118*K3118</f>
        <v>25000</v>
      </c>
      <c r="M3118" s="4" t="s">
        <v>371</v>
      </c>
    </row>
    <row r="3119" customFormat="false" ht="23.85" hidden="false" customHeight="false" outlineLevel="0" collapsed="false">
      <c r="A3119" s="4" t="s">
        <v>107</v>
      </c>
      <c r="B3119" s="5" t="s">
        <v>108</v>
      </c>
      <c r="C3119" s="5" t="s">
        <v>109</v>
      </c>
      <c r="D3119" s="4" t="s">
        <v>16</v>
      </c>
      <c r="E3119" s="4" t="s">
        <v>4040</v>
      </c>
      <c r="F3119" s="4" t="s">
        <v>470</v>
      </c>
      <c r="G3119" s="4" t="s">
        <v>4041</v>
      </c>
      <c r="H3119" s="12" t="n">
        <v>1</v>
      </c>
      <c r="I3119" s="4" t="s">
        <v>408</v>
      </c>
      <c r="J3119" s="4" t="s">
        <v>543</v>
      </c>
      <c r="K3119" s="13" t="n">
        <v>25000</v>
      </c>
      <c r="L3119" s="6" t="n">
        <f aca="false">H3119*K3119</f>
        <v>25000</v>
      </c>
      <c r="M3119" s="4" t="s">
        <v>371</v>
      </c>
    </row>
    <row r="3120" customFormat="false" ht="23.85" hidden="false" customHeight="false" outlineLevel="0" collapsed="false">
      <c r="A3120" s="4" t="s">
        <v>107</v>
      </c>
      <c r="B3120" s="5" t="s">
        <v>108</v>
      </c>
      <c r="C3120" s="5" t="s">
        <v>109</v>
      </c>
      <c r="D3120" s="4" t="s">
        <v>16</v>
      </c>
      <c r="E3120" s="4" t="s">
        <v>4042</v>
      </c>
      <c r="F3120" s="4" t="s">
        <v>470</v>
      </c>
      <c r="G3120" s="4" t="s">
        <v>4043</v>
      </c>
      <c r="H3120" s="12" t="n">
        <v>1</v>
      </c>
      <c r="I3120" s="4" t="s">
        <v>408</v>
      </c>
      <c r="J3120" s="4" t="s">
        <v>543</v>
      </c>
      <c r="K3120" s="13" t="n">
        <v>25000</v>
      </c>
      <c r="L3120" s="6" t="n">
        <f aca="false">H3120*K3120</f>
        <v>25000</v>
      </c>
      <c r="M3120" s="4" t="s">
        <v>371</v>
      </c>
    </row>
    <row r="3121" customFormat="false" ht="23.85" hidden="false" customHeight="false" outlineLevel="0" collapsed="false">
      <c r="A3121" s="4" t="s">
        <v>107</v>
      </c>
      <c r="B3121" s="5" t="s">
        <v>108</v>
      </c>
      <c r="C3121" s="5" t="s">
        <v>109</v>
      </c>
      <c r="D3121" s="4" t="s">
        <v>16</v>
      </c>
      <c r="E3121" s="4" t="s">
        <v>4044</v>
      </c>
      <c r="F3121" s="4" t="s">
        <v>470</v>
      </c>
      <c r="G3121" s="4" t="s">
        <v>4045</v>
      </c>
      <c r="H3121" s="12" t="n">
        <v>1</v>
      </c>
      <c r="I3121" s="4" t="s">
        <v>408</v>
      </c>
      <c r="J3121" s="4" t="s">
        <v>543</v>
      </c>
      <c r="K3121" s="13" t="n">
        <v>25000</v>
      </c>
      <c r="L3121" s="6" t="n">
        <f aca="false">H3121*K3121</f>
        <v>25000</v>
      </c>
      <c r="M3121" s="4" t="s">
        <v>371</v>
      </c>
    </row>
    <row r="3122" customFormat="false" ht="23.85" hidden="false" customHeight="false" outlineLevel="0" collapsed="false">
      <c r="A3122" s="4" t="s">
        <v>107</v>
      </c>
      <c r="B3122" s="5" t="s">
        <v>108</v>
      </c>
      <c r="C3122" s="5" t="s">
        <v>109</v>
      </c>
      <c r="D3122" s="4" t="s">
        <v>16</v>
      </c>
      <c r="E3122" s="4" t="s">
        <v>4046</v>
      </c>
      <c r="F3122" s="4" t="s">
        <v>470</v>
      </c>
      <c r="G3122" s="4" t="s">
        <v>4047</v>
      </c>
      <c r="H3122" s="12" t="n">
        <v>1</v>
      </c>
      <c r="I3122" s="4" t="s">
        <v>408</v>
      </c>
      <c r="J3122" s="4" t="s">
        <v>409</v>
      </c>
      <c r="K3122" s="13" t="n">
        <v>8500</v>
      </c>
      <c r="L3122" s="6" t="n">
        <f aca="false">H3122*K3122</f>
        <v>8500</v>
      </c>
      <c r="M3122" s="4" t="s">
        <v>371</v>
      </c>
    </row>
    <row r="3123" customFormat="false" ht="23.85" hidden="false" customHeight="false" outlineLevel="0" collapsed="false">
      <c r="A3123" s="4" t="s">
        <v>107</v>
      </c>
      <c r="B3123" s="5" t="s">
        <v>108</v>
      </c>
      <c r="C3123" s="5" t="s">
        <v>109</v>
      </c>
      <c r="D3123" s="4" t="s">
        <v>16</v>
      </c>
      <c r="E3123" s="4" t="s">
        <v>4048</v>
      </c>
      <c r="F3123" s="4" t="s">
        <v>470</v>
      </c>
      <c r="G3123" s="4" t="s">
        <v>4049</v>
      </c>
      <c r="H3123" s="12" t="n">
        <v>1</v>
      </c>
      <c r="I3123" s="4" t="s">
        <v>408</v>
      </c>
      <c r="J3123" s="4" t="s">
        <v>409</v>
      </c>
      <c r="K3123" s="13" t="n">
        <v>1200</v>
      </c>
      <c r="L3123" s="6" t="n">
        <f aca="false">H3123*K3123</f>
        <v>1200</v>
      </c>
      <c r="M3123" s="4" t="s">
        <v>371</v>
      </c>
    </row>
    <row r="3124" customFormat="false" ht="23.85" hidden="false" customHeight="false" outlineLevel="0" collapsed="false">
      <c r="A3124" s="4" t="s">
        <v>107</v>
      </c>
      <c r="B3124" s="5" t="s">
        <v>108</v>
      </c>
      <c r="C3124" s="5" t="s">
        <v>109</v>
      </c>
      <c r="D3124" s="4" t="s">
        <v>16</v>
      </c>
      <c r="E3124" s="4" t="s">
        <v>4050</v>
      </c>
      <c r="F3124" s="4" t="s">
        <v>470</v>
      </c>
      <c r="G3124" s="4" t="s">
        <v>4051</v>
      </c>
      <c r="H3124" s="12" t="n">
        <v>1</v>
      </c>
      <c r="I3124" s="4" t="s">
        <v>408</v>
      </c>
      <c r="J3124" s="4" t="s">
        <v>416</v>
      </c>
      <c r="K3124" s="13" t="n">
        <v>850</v>
      </c>
      <c r="L3124" s="6" t="n">
        <f aca="false">H3124*K3124</f>
        <v>850</v>
      </c>
      <c r="M3124" s="4" t="s">
        <v>371</v>
      </c>
    </row>
    <row r="3125" customFormat="false" ht="23.85" hidden="false" customHeight="false" outlineLevel="0" collapsed="false">
      <c r="A3125" s="4" t="s">
        <v>107</v>
      </c>
      <c r="B3125" s="5" t="s">
        <v>108</v>
      </c>
      <c r="C3125" s="5" t="s">
        <v>109</v>
      </c>
      <c r="D3125" s="4" t="s">
        <v>16</v>
      </c>
      <c r="E3125" s="4" t="s">
        <v>4052</v>
      </c>
      <c r="F3125" s="4" t="s">
        <v>470</v>
      </c>
      <c r="G3125" s="4" t="s">
        <v>4053</v>
      </c>
      <c r="H3125" s="12" t="n">
        <v>1</v>
      </c>
      <c r="I3125" s="4" t="s">
        <v>408</v>
      </c>
      <c r="J3125" s="4" t="s">
        <v>543</v>
      </c>
      <c r="K3125" s="13" t="n">
        <v>25000</v>
      </c>
      <c r="L3125" s="6" t="n">
        <f aca="false">H3125*K3125</f>
        <v>25000</v>
      </c>
      <c r="M3125" s="4" t="s">
        <v>371</v>
      </c>
    </row>
    <row r="3126" customFormat="false" ht="23.85" hidden="false" customHeight="false" outlineLevel="0" collapsed="false">
      <c r="A3126" s="4" t="s">
        <v>107</v>
      </c>
      <c r="B3126" s="5" t="s">
        <v>108</v>
      </c>
      <c r="C3126" s="5" t="s">
        <v>109</v>
      </c>
      <c r="D3126" s="4" t="s">
        <v>16</v>
      </c>
      <c r="E3126" s="4" t="s">
        <v>4054</v>
      </c>
      <c r="F3126" s="4" t="s">
        <v>488</v>
      </c>
      <c r="G3126" s="4" t="s">
        <v>4055</v>
      </c>
      <c r="H3126" s="12" t="n">
        <v>1</v>
      </c>
      <c r="I3126" s="4" t="s">
        <v>408</v>
      </c>
      <c r="J3126" s="4" t="s">
        <v>416</v>
      </c>
      <c r="K3126" s="13" t="n">
        <v>350</v>
      </c>
      <c r="L3126" s="6" t="n">
        <f aca="false">H3126*K3126</f>
        <v>350</v>
      </c>
      <c r="M3126" s="4" t="s">
        <v>371</v>
      </c>
    </row>
    <row r="3127" customFormat="false" ht="23.85" hidden="false" customHeight="false" outlineLevel="0" collapsed="false">
      <c r="A3127" s="4" t="s">
        <v>107</v>
      </c>
      <c r="B3127" s="5" t="s">
        <v>108</v>
      </c>
      <c r="C3127" s="5" t="s">
        <v>109</v>
      </c>
      <c r="D3127" s="4" t="s">
        <v>16</v>
      </c>
      <c r="E3127" s="4" t="s">
        <v>4056</v>
      </c>
      <c r="F3127" s="4" t="s">
        <v>488</v>
      </c>
      <c r="G3127" s="4" t="s">
        <v>4057</v>
      </c>
      <c r="H3127" s="12" t="n">
        <v>1</v>
      </c>
      <c r="I3127" s="4" t="s">
        <v>408</v>
      </c>
      <c r="J3127" s="4" t="s">
        <v>416</v>
      </c>
      <c r="K3127" s="13" t="n">
        <v>250</v>
      </c>
      <c r="L3127" s="6" t="n">
        <f aca="false">H3127*K3127</f>
        <v>250</v>
      </c>
      <c r="M3127" s="4" t="s">
        <v>371</v>
      </c>
    </row>
    <row r="3128" customFormat="false" ht="23.85" hidden="false" customHeight="false" outlineLevel="0" collapsed="false">
      <c r="A3128" s="4" t="s">
        <v>107</v>
      </c>
      <c r="B3128" s="5" t="s">
        <v>110</v>
      </c>
      <c r="C3128" s="5" t="s">
        <v>111</v>
      </c>
      <c r="D3128" s="4" t="s">
        <v>16</v>
      </c>
      <c r="E3128" s="4" t="s">
        <v>4058</v>
      </c>
      <c r="F3128" s="4" t="s">
        <v>406</v>
      </c>
      <c r="G3128" s="4" t="s">
        <v>4059</v>
      </c>
      <c r="H3128" s="12" t="n">
        <v>1</v>
      </c>
      <c r="I3128" s="4" t="s">
        <v>408</v>
      </c>
      <c r="J3128" s="4" t="s">
        <v>409</v>
      </c>
      <c r="K3128" s="13" t="n">
        <v>1800</v>
      </c>
      <c r="L3128" s="6" t="n">
        <f aca="false">H3128*K3128</f>
        <v>1800</v>
      </c>
      <c r="M3128" s="14" t="s">
        <v>410</v>
      </c>
    </row>
    <row r="3129" customFormat="false" ht="23.85" hidden="false" customHeight="false" outlineLevel="0" collapsed="false">
      <c r="A3129" s="4" t="s">
        <v>107</v>
      </c>
      <c r="B3129" s="5" t="s">
        <v>110</v>
      </c>
      <c r="C3129" s="5" t="s">
        <v>111</v>
      </c>
      <c r="D3129" s="4" t="s">
        <v>16</v>
      </c>
      <c r="E3129" s="4" t="s">
        <v>4060</v>
      </c>
      <c r="F3129" s="4" t="s">
        <v>470</v>
      </c>
      <c r="G3129" s="4" t="s">
        <v>4061</v>
      </c>
      <c r="H3129" s="12" t="n">
        <v>1</v>
      </c>
      <c r="I3129" s="4" t="s">
        <v>408</v>
      </c>
      <c r="J3129" s="4" t="s">
        <v>409</v>
      </c>
      <c r="K3129" s="13" t="n">
        <v>65000</v>
      </c>
      <c r="L3129" s="6" t="n">
        <f aca="false">H3129*K3129</f>
        <v>65000</v>
      </c>
      <c r="M3129" s="4" t="s">
        <v>371</v>
      </c>
    </row>
    <row r="3130" customFormat="false" ht="23.85" hidden="false" customHeight="false" outlineLevel="0" collapsed="false">
      <c r="A3130" s="4" t="s">
        <v>107</v>
      </c>
      <c r="B3130" s="5" t="s">
        <v>110</v>
      </c>
      <c r="C3130" s="5" t="s">
        <v>111</v>
      </c>
      <c r="D3130" s="4" t="s">
        <v>16</v>
      </c>
      <c r="E3130" s="4" t="s">
        <v>4062</v>
      </c>
      <c r="F3130" s="4" t="s">
        <v>470</v>
      </c>
      <c r="G3130" s="4" t="s">
        <v>4063</v>
      </c>
      <c r="H3130" s="12" t="n">
        <v>1</v>
      </c>
      <c r="I3130" s="4" t="s">
        <v>408</v>
      </c>
      <c r="J3130" s="4" t="s">
        <v>416</v>
      </c>
      <c r="K3130" s="13" t="n">
        <v>55000</v>
      </c>
      <c r="L3130" s="6" t="n">
        <f aca="false">H3130*K3130</f>
        <v>55000</v>
      </c>
      <c r="M3130" s="4" t="s">
        <v>371</v>
      </c>
    </row>
    <row r="3131" customFormat="false" ht="23.85" hidden="false" customHeight="false" outlineLevel="0" collapsed="false">
      <c r="A3131" s="4" t="s">
        <v>107</v>
      </c>
      <c r="B3131" s="5" t="s">
        <v>110</v>
      </c>
      <c r="C3131" s="5" t="s">
        <v>111</v>
      </c>
      <c r="D3131" s="4" t="s">
        <v>16</v>
      </c>
      <c r="E3131" s="4" t="s">
        <v>4064</v>
      </c>
      <c r="F3131" s="4" t="s">
        <v>470</v>
      </c>
      <c r="G3131" s="4" t="s">
        <v>4065</v>
      </c>
      <c r="H3131" s="12" t="n">
        <v>1</v>
      </c>
      <c r="I3131" s="4" t="s">
        <v>408</v>
      </c>
      <c r="J3131" s="4" t="s">
        <v>409</v>
      </c>
      <c r="K3131" s="13" t="n">
        <v>35000</v>
      </c>
      <c r="L3131" s="6" t="n">
        <f aca="false">H3131*K3131</f>
        <v>35000</v>
      </c>
      <c r="M3131" s="4" t="s">
        <v>371</v>
      </c>
    </row>
    <row r="3132" customFormat="false" ht="23.85" hidden="false" customHeight="false" outlineLevel="0" collapsed="false">
      <c r="A3132" s="4" t="s">
        <v>107</v>
      </c>
      <c r="B3132" s="5" t="s">
        <v>110</v>
      </c>
      <c r="C3132" s="5" t="s">
        <v>111</v>
      </c>
      <c r="D3132" s="4" t="s">
        <v>16</v>
      </c>
      <c r="E3132" s="4" t="s">
        <v>4066</v>
      </c>
      <c r="F3132" s="4" t="s">
        <v>470</v>
      </c>
      <c r="G3132" s="4" t="s">
        <v>4067</v>
      </c>
      <c r="H3132" s="12" t="n">
        <v>1</v>
      </c>
      <c r="I3132" s="4" t="s">
        <v>408</v>
      </c>
      <c r="J3132" s="4" t="s">
        <v>543</v>
      </c>
      <c r="K3132" s="13" t="n">
        <v>25000</v>
      </c>
      <c r="L3132" s="6" t="n">
        <f aca="false">H3132*K3132</f>
        <v>25000</v>
      </c>
      <c r="M3132" s="4" t="s">
        <v>371</v>
      </c>
    </row>
    <row r="3133" customFormat="false" ht="23.85" hidden="false" customHeight="false" outlineLevel="0" collapsed="false">
      <c r="A3133" s="4" t="s">
        <v>107</v>
      </c>
      <c r="B3133" s="5" t="s">
        <v>110</v>
      </c>
      <c r="C3133" s="5" t="s">
        <v>111</v>
      </c>
      <c r="D3133" s="4" t="s">
        <v>16</v>
      </c>
      <c r="E3133" s="4" t="s">
        <v>4068</v>
      </c>
      <c r="F3133" s="4" t="s">
        <v>470</v>
      </c>
      <c r="G3133" s="4" t="s">
        <v>4069</v>
      </c>
      <c r="H3133" s="12" t="n">
        <v>1</v>
      </c>
      <c r="I3133" s="4" t="s">
        <v>408</v>
      </c>
      <c r="J3133" s="4" t="s">
        <v>543</v>
      </c>
      <c r="K3133" s="13" t="n">
        <v>85000</v>
      </c>
      <c r="L3133" s="6" t="n">
        <f aca="false">H3133*K3133</f>
        <v>85000</v>
      </c>
      <c r="M3133" s="4" t="s">
        <v>371</v>
      </c>
    </row>
    <row r="3134" customFormat="false" ht="23.85" hidden="false" customHeight="false" outlineLevel="0" collapsed="false">
      <c r="A3134" s="4" t="s">
        <v>107</v>
      </c>
      <c r="B3134" s="5" t="s">
        <v>110</v>
      </c>
      <c r="C3134" s="5" t="s">
        <v>111</v>
      </c>
      <c r="D3134" s="4" t="s">
        <v>16</v>
      </c>
      <c r="E3134" s="4" t="s">
        <v>4070</v>
      </c>
      <c r="F3134" s="4" t="s">
        <v>470</v>
      </c>
      <c r="G3134" s="4" t="s">
        <v>4071</v>
      </c>
      <c r="H3134" s="12" t="n">
        <v>1</v>
      </c>
      <c r="I3134" s="4" t="s">
        <v>408</v>
      </c>
      <c r="J3134" s="4" t="s">
        <v>543</v>
      </c>
      <c r="K3134" s="13" t="n">
        <v>25000</v>
      </c>
      <c r="L3134" s="6" t="n">
        <f aca="false">H3134*K3134</f>
        <v>25000</v>
      </c>
      <c r="M3134" s="4" t="s">
        <v>371</v>
      </c>
    </row>
    <row r="3135" customFormat="false" ht="23.85" hidden="false" customHeight="false" outlineLevel="0" collapsed="false">
      <c r="A3135" s="4" t="s">
        <v>107</v>
      </c>
      <c r="B3135" s="5" t="s">
        <v>110</v>
      </c>
      <c r="C3135" s="5" t="s">
        <v>111</v>
      </c>
      <c r="D3135" s="4" t="s">
        <v>16</v>
      </c>
      <c r="E3135" s="4" t="s">
        <v>1648</v>
      </c>
      <c r="F3135" s="4" t="s">
        <v>470</v>
      </c>
      <c r="G3135" s="4" t="s">
        <v>1424</v>
      </c>
      <c r="H3135" s="12" t="n">
        <v>1</v>
      </c>
      <c r="I3135" s="4" t="s">
        <v>408</v>
      </c>
      <c r="J3135" s="4" t="s">
        <v>409</v>
      </c>
      <c r="K3135" s="13" t="n">
        <v>3500</v>
      </c>
      <c r="L3135" s="6" t="n">
        <f aca="false">H3135*K3135</f>
        <v>3500</v>
      </c>
      <c r="M3135" s="4" t="s">
        <v>371</v>
      </c>
    </row>
    <row r="3136" customFormat="false" ht="23.85" hidden="false" customHeight="false" outlineLevel="0" collapsed="false">
      <c r="A3136" s="4" t="s">
        <v>107</v>
      </c>
      <c r="B3136" s="5" t="s">
        <v>110</v>
      </c>
      <c r="C3136" s="5" t="s">
        <v>111</v>
      </c>
      <c r="D3136" s="4" t="s">
        <v>16</v>
      </c>
      <c r="E3136" s="4" t="s">
        <v>4072</v>
      </c>
      <c r="F3136" s="4" t="s">
        <v>470</v>
      </c>
      <c r="G3136" s="4" t="s">
        <v>4073</v>
      </c>
      <c r="H3136" s="12" t="n">
        <v>1</v>
      </c>
      <c r="I3136" s="4" t="s">
        <v>408</v>
      </c>
      <c r="J3136" s="4" t="s">
        <v>416</v>
      </c>
      <c r="K3136" s="13" t="n">
        <v>1800</v>
      </c>
      <c r="L3136" s="6" t="n">
        <f aca="false">H3136*K3136</f>
        <v>1800</v>
      </c>
      <c r="M3136" s="4" t="s">
        <v>371</v>
      </c>
    </row>
    <row r="3137" customFormat="false" ht="23.85" hidden="false" customHeight="false" outlineLevel="0" collapsed="false">
      <c r="A3137" s="4" t="s">
        <v>107</v>
      </c>
      <c r="B3137" s="5" t="s">
        <v>110</v>
      </c>
      <c r="C3137" s="5" t="s">
        <v>111</v>
      </c>
      <c r="D3137" s="4" t="s">
        <v>16</v>
      </c>
      <c r="E3137" s="4" t="s">
        <v>4074</v>
      </c>
      <c r="F3137" s="4" t="s">
        <v>470</v>
      </c>
      <c r="G3137" s="4" t="s">
        <v>4075</v>
      </c>
      <c r="H3137" s="12" t="n">
        <v>1</v>
      </c>
      <c r="I3137" s="4" t="s">
        <v>408</v>
      </c>
      <c r="J3137" s="4" t="s">
        <v>416</v>
      </c>
      <c r="K3137" s="13" t="n">
        <v>350</v>
      </c>
      <c r="L3137" s="6" t="n">
        <f aca="false">H3137*K3137</f>
        <v>350</v>
      </c>
      <c r="M3137" s="4" t="s">
        <v>371</v>
      </c>
    </row>
    <row r="3138" customFormat="false" ht="23.85" hidden="false" customHeight="false" outlineLevel="0" collapsed="false">
      <c r="A3138" s="4" t="s">
        <v>107</v>
      </c>
      <c r="B3138" s="5" t="s">
        <v>110</v>
      </c>
      <c r="C3138" s="5" t="s">
        <v>111</v>
      </c>
      <c r="D3138" s="4" t="s">
        <v>16</v>
      </c>
      <c r="E3138" s="4" t="s">
        <v>4076</v>
      </c>
      <c r="F3138" s="4" t="s">
        <v>470</v>
      </c>
      <c r="G3138" s="4" t="s">
        <v>4077</v>
      </c>
      <c r="H3138" s="12" t="n">
        <v>1</v>
      </c>
      <c r="I3138" s="4" t="s">
        <v>408</v>
      </c>
      <c r="J3138" s="4" t="s">
        <v>543</v>
      </c>
      <c r="K3138" s="13" t="n">
        <v>850</v>
      </c>
      <c r="L3138" s="6" t="n">
        <f aca="false">H3138*K3138</f>
        <v>850</v>
      </c>
      <c r="M3138" s="4" t="s">
        <v>371</v>
      </c>
    </row>
    <row r="3139" customFormat="false" ht="23.85" hidden="false" customHeight="false" outlineLevel="0" collapsed="false">
      <c r="A3139" s="4" t="s">
        <v>107</v>
      </c>
      <c r="B3139" s="5" t="s">
        <v>110</v>
      </c>
      <c r="C3139" s="5" t="s">
        <v>111</v>
      </c>
      <c r="D3139" s="4" t="s">
        <v>16</v>
      </c>
      <c r="E3139" s="4" t="s">
        <v>4078</v>
      </c>
      <c r="F3139" s="4" t="s">
        <v>470</v>
      </c>
      <c r="G3139" s="4" t="s">
        <v>4079</v>
      </c>
      <c r="H3139" s="12" t="n">
        <v>1</v>
      </c>
      <c r="I3139" s="4" t="s">
        <v>408</v>
      </c>
      <c r="J3139" s="4" t="s">
        <v>416</v>
      </c>
      <c r="K3139" s="13" t="n">
        <v>850</v>
      </c>
      <c r="L3139" s="6" t="n">
        <f aca="false">H3139*K3139</f>
        <v>850</v>
      </c>
      <c r="M3139" s="4" t="s">
        <v>371</v>
      </c>
    </row>
    <row r="3140" customFormat="false" ht="23.85" hidden="false" customHeight="false" outlineLevel="0" collapsed="false">
      <c r="A3140" s="4" t="s">
        <v>107</v>
      </c>
      <c r="B3140" s="5" t="s">
        <v>110</v>
      </c>
      <c r="C3140" s="5" t="s">
        <v>111</v>
      </c>
      <c r="D3140" s="4" t="s">
        <v>16</v>
      </c>
      <c r="E3140" s="4" t="s">
        <v>4080</v>
      </c>
      <c r="F3140" s="4" t="s">
        <v>470</v>
      </c>
      <c r="G3140" s="4" t="s">
        <v>4081</v>
      </c>
      <c r="H3140" s="12" t="n">
        <v>1</v>
      </c>
      <c r="I3140" s="4" t="s">
        <v>408</v>
      </c>
      <c r="J3140" s="4" t="s">
        <v>543</v>
      </c>
      <c r="K3140" s="13" t="n">
        <v>25000</v>
      </c>
      <c r="L3140" s="6" t="n">
        <f aca="false">H3140*K3140</f>
        <v>25000</v>
      </c>
      <c r="M3140" s="4" t="s">
        <v>371</v>
      </c>
    </row>
    <row r="3141" customFormat="false" ht="23.85" hidden="false" customHeight="false" outlineLevel="0" collapsed="false">
      <c r="A3141" s="4" t="s">
        <v>107</v>
      </c>
      <c r="B3141" s="5" t="s">
        <v>110</v>
      </c>
      <c r="C3141" s="5" t="s">
        <v>111</v>
      </c>
      <c r="D3141" s="4" t="s">
        <v>16</v>
      </c>
      <c r="E3141" s="4" t="s">
        <v>4082</v>
      </c>
      <c r="F3141" s="4" t="s">
        <v>470</v>
      </c>
      <c r="G3141" s="4" t="s">
        <v>4083</v>
      </c>
      <c r="H3141" s="12" t="n">
        <v>1</v>
      </c>
      <c r="I3141" s="4" t="s">
        <v>408</v>
      </c>
      <c r="J3141" s="4" t="s">
        <v>416</v>
      </c>
      <c r="K3141" s="13" t="n">
        <v>850</v>
      </c>
      <c r="L3141" s="6" t="n">
        <f aca="false">H3141*K3141</f>
        <v>850</v>
      </c>
      <c r="M3141" s="4" t="s">
        <v>371</v>
      </c>
    </row>
    <row r="3142" customFormat="false" ht="23.85" hidden="false" customHeight="false" outlineLevel="0" collapsed="false">
      <c r="A3142" s="4" t="s">
        <v>107</v>
      </c>
      <c r="B3142" s="5" t="s">
        <v>110</v>
      </c>
      <c r="C3142" s="5" t="s">
        <v>111</v>
      </c>
      <c r="D3142" s="4" t="s">
        <v>16</v>
      </c>
      <c r="E3142" s="4" t="s">
        <v>4084</v>
      </c>
      <c r="F3142" s="4" t="s">
        <v>470</v>
      </c>
      <c r="G3142" s="4" t="s">
        <v>4085</v>
      </c>
      <c r="H3142" s="12" t="n">
        <v>1</v>
      </c>
      <c r="I3142" s="4" t="s">
        <v>408</v>
      </c>
      <c r="J3142" s="4" t="s">
        <v>543</v>
      </c>
      <c r="K3142" s="13" t="n">
        <v>18000</v>
      </c>
      <c r="L3142" s="6" t="n">
        <f aca="false">H3142*K3142</f>
        <v>18000</v>
      </c>
      <c r="M3142" s="4" t="s">
        <v>371</v>
      </c>
    </row>
    <row r="3143" customFormat="false" ht="23.85" hidden="false" customHeight="false" outlineLevel="0" collapsed="false">
      <c r="A3143" s="4" t="s">
        <v>107</v>
      </c>
      <c r="B3143" s="5" t="s">
        <v>110</v>
      </c>
      <c r="C3143" s="5" t="s">
        <v>111</v>
      </c>
      <c r="D3143" s="4" t="s">
        <v>16</v>
      </c>
      <c r="E3143" s="4" t="s">
        <v>2157</v>
      </c>
      <c r="F3143" s="4" t="s">
        <v>488</v>
      </c>
      <c r="G3143" s="4" t="s">
        <v>2158</v>
      </c>
      <c r="H3143" s="12" t="n">
        <v>1</v>
      </c>
      <c r="I3143" s="4" t="s">
        <v>408</v>
      </c>
      <c r="J3143" s="4" t="s">
        <v>506</v>
      </c>
      <c r="K3143" s="13" t="n">
        <v>120</v>
      </c>
      <c r="L3143" s="6" t="n">
        <f aca="false">H3143*K3143</f>
        <v>120</v>
      </c>
      <c r="M3143" s="4" t="s">
        <v>371</v>
      </c>
    </row>
    <row r="3144" customFormat="false" ht="23.85" hidden="false" customHeight="false" outlineLevel="0" collapsed="false">
      <c r="A3144" s="4" t="s">
        <v>107</v>
      </c>
      <c r="B3144" s="5" t="s">
        <v>110</v>
      </c>
      <c r="C3144" s="5" t="s">
        <v>111</v>
      </c>
      <c r="D3144" s="4" t="s">
        <v>16</v>
      </c>
      <c r="E3144" s="4" t="s">
        <v>4086</v>
      </c>
      <c r="F3144" s="4" t="s">
        <v>470</v>
      </c>
      <c r="G3144" s="4" t="s">
        <v>4087</v>
      </c>
      <c r="H3144" s="12" t="n">
        <v>1</v>
      </c>
      <c r="I3144" s="4" t="s">
        <v>408</v>
      </c>
      <c r="J3144" s="4" t="s">
        <v>543</v>
      </c>
      <c r="K3144" s="13" t="n">
        <v>25000</v>
      </c>
      <c r="L3144" s="6" t="n">
        <f aca="false">H3144*K3144</f>
        <v>25000</v>
      </c>
      <c r="M3144" s="4" t="s">
        <v>371</v>
      </c>
    </row>
    <row r="3145" customFormat="false" ht="15" hidden="false" customHeight="false" outlineLevel="0" collapsed="false">
      <c r="A3145" s="4" t="s">
        <v>107</v>
      </c>
      <c r="B3145" s="5" t="s">
        <v>112</v>
      </c>
      <c r="C3145" s="5" t="s">
        <v>113</v>
      </c>
      <c r="D3145" s="4" t="s">
        <v>16</v>
      </c>
      <c r="E3145" s="4" t="s">
        <v>1245</v>
      </c>
      <c r="F3145" s="4" t="s">
        <v>406</v>
      </c>
      <c r="G3145" s="4" t="s">
        <v>1246</v>
      </c>
      <c r="H3145" s="12" t="n">
        <v>1</v>
      </c>
      <c r="I3145" s="4" t="s">
        <v>408</v>
      </c>
      <c r="J3145" s="4" t="s">
        <v>409</v>
      </c>
      <c r="K3145" s="13" t="n">
        <v>6500</v>
      </c>
      <c r="L3145" s="6" t="n">
        <f aca="false">H3145*K3145</f>
        <v>6500</v>
      </c>
      <c r="M3145" s="4" t="s">
        <v>371</v>
      </c>
    </row>
    <row r="3146" customFormat="false" ht="15" hidden="false" customHeight="false" outlineLevel="0" collapsed="false">
      <c r="A3146" s="4" t="s">
        <v>107</v>
      </c>
      <c r="B3146" s="5" t="s">
        <v>112</v>
      </c>
      <c r="C3146" s="5" t="s">
        <v>113</v>
      </c>
      <c r="D3146" s="4" t="s">
        <v>16</v>
      </c>
      <c r="E3146" s="4" t="s">
        <v>1247</v>
      </c>
      <c r="F3146" s="4" t="s">
        <v>470</v>
      </c>
      <c r="G3146" s="4" t="s">
        <v>1248</v>
      </c>
      <c r="H3146" s="12" t="n">
        <v>1</v>
      </c>
      <c r="I3146" s="4" t="s">
        <v>408</v>
      </c>
      <c r="J3146" s="4" t="s">
        <v>409</v>
      </c>
      <c r="K3146" s="13" t="n">
        <v>35000</v>
      </c>
      <c r="L3146" s="6" t="n">
        <f aca="false">H3146*K3146</f>
        <v>35000</v>
      </c>
      <c r="M3146" s="14" t="s">
        <v>410</v>
      </c>
    </row>
    <row r="3147" customFormat="false" ht="15" hidden="false" customHeight="false" outlineLevel="0" collapsed="false">
      <c r="A3147" s="4" t="s">
        <v>107</v>
      </c>
      <c r="B3147" s="5" t="s">
        <v>112</v>
      </c>
      <c r="C3147" s="5" t="s">
        <v>113</v>
      </c>
      <c r="D3147" s="4" t="s">
        <v>16</v>
      </c>
      <c r="E3147" s="4" t="s">
        <v>1249</v>
      </c>
      <c r="F3147" s="4" t="s">
        <v>470</v>
      </c>
      <c r="G3147" s="4" t="s">
        <v>1250</v>
      </c>
      <c r="H3147" s="12" t="n">
        <v>1</v>
      </c>
      <c r="I3147" s="4" t="s">
        <v>408</v>
      </c>
      <c r="J3147" s="4" t="s">
        <v>409</v>
      </c>
      <c r="K3147" s="13" t="n">
        <v>55000</v>
      </c>
      <c r="L3147" s="6" t="n">
        <f aca="false">H3147*K3147</f>
        <v>55000</v>
      </c>
      <c r="M3147" s="4" t="s">
        <v>371</v>
      </c>
    </row>
    <row r="3148" customFormat="false" ht="15" hidden="false" customHeight="false" outlineLevel="0" collapsed="false">
      <c r="A3148" s="4" t="s">
        <v>107</v>
      </c>
      <c r="B3148" s="5" t="s">
        <v>112</v>
      </c>
      <c r="C3148" s="5" t="s">
        <v>113</v>
      </c>
      <c r="D3148" s="4" t="s">
        <v>16</v>
      </c>
      <c r="E3148" s="4" t="s">
        <v>1251</v>
      </c>
      <c r="F3148" s="4" t="s">
        <v>470</v>
      </c>
      <c r="G3148" s="4" t="s">
        <v>1252</v>
      </c>
      <c r="H3148" s="12" t="n">
        <v>1</v>
      </c>
      <c r="I3148" s="4" t="s">
        <v>408</v>
      </c>
      <c r="J3148" s="4" t="s">
        <v>543</v>
      </c>
      <c r="K3148" s="13" t="n">
        <v>12000</v>
      </c>
      <c r="L3148" s="6" t="n">
        <f aca="false">H3148*K3148</f>
        <v>12000</v>
      </c>
      <c r="M3148" s="4" t="s">
        <v>371</v>
      </c>
    </row>
    <row r="3149" customFormat="false" ht="15" hidden="false" customHeight="false" outlineLevel="0" collapsed="false">
      <c r="A3149" s="4" t="s">
        <v>107</v>
      </c>
      <c r="B3149" s="5" t="s">
        <v>112</v>
      </c>
      <c r="C3149" s="5" t="s">
        <v>113</v>
      </c>
      <c r="D3149" s="4" t="s">
        <v>16</v>
      </c>
      <c r="E3149" s="4" t="s">
        <v>1253</v>
      </c>
      <c r="F3149" s="4" t="s">
        <v>470</v>
      </c>
      <c r="G3149" s="4" t="s">
        <v>1254</v>
      </c>
      <c r="H3149" s="12" t="n">
        <v>1</v>
      </c>
      <c r="I3149" s="4" t="s">
        <v>408</v>
      </c>
      <c r="J3149" s="4" t="s">
        <v>409</v>
      </c>
      <c r="K3149" s="13" t="n">
        <v>8500</v>
      </c>
      <c r="L3149" s="6" t="n">
        <f aca="false">H3149*K3149</f>
        <v>8500</v>
      </c>
      <c r="M3149" s="14" t="s">
        <v>410</v>
      </c>
    </row>
    <row r="3150" customFormat="false" ht="15" hidden="false" customHeight="false" outlineLevel="0" collapsed="false">
      <c r="A3150" s="4" t="s">
        <v>107</v>
      </c>
      <c r="B3150" s="5" t="s">
        <v>112</v>
      </c>
      <c r="C3150" s="5" t="s">
        <v>113</v>
      </c>
      <c r="D3150" s="4" t="s">
        <v>16</v>
      </c>
      <c r="E3150" s="4" t="s">
        <v>1255</v>
      </c>
      <c r="F3150" s="4" t="s">
        <v>470</v>
      </c>
      <c r="G3150" s="4" t="s">
        <v>1256</v>
      </c>
      <c r="H3150" s="12" t="n">
        <v>1</v>
      </c>
      <c r="I3150" s="4" t="s">
        <v>408</v>
      </c>
      <c r="J3150" s="4" t="s">
        <v>409</v>
      </c>
      <c r="K3150" s="13" t="n">
        <v>65000</v>
      </c>
      <c r="L3150" s="6" t="n">
        <f aca="false">H3150*K3150</f>
        <v>65000</v>
      </c>
      <c r="M3150" s="14" t="s">
        <v>410</v>
      </c>
    </row>
    <row r="3151" customFormat="false" ht="15" hidden="false" customHeight="false" outlineLevel="0" collapsed="false">
      <c r="A3151" s="4" t="s">
        <v>107</v>
      </c>
      <c r="B3151" s="5" t="s">
        <v>112</v>
      </c>
      <c r="C3151" s="5" t="s">
        <v>113</v>
      </c>
      <c r="D3151" s="4" t="s">
        <v>16</v>
      </c>
      <c r="E3151" s="4" t="s">
        <v>1257</v>
      </c>
      <c r="F3151" s="4" t="s">
        <v>470</v>
      </c>
      <c r="G3151" s="4" t="s">
        <v>1258</v>
      </c>
      <c r="H3151" s="12" t="n">
        <v>1</v>
      </c>
      <c r="I3151" s="4" t="s">
        <v>408</v>
      </c>
      <c r="J3151" s="4" t="s">
        <v>409</v>
      </c>
      <c r="K3151" s="13" t="n">
        <v>8500</v>
      </c>
      <c r="L3151" s="6" t="n">
        <f aca="false">H3151*K3151</f>
        <v>8500</v>
      </c>
      <c r="M3151" s="4" t="s">
        <v>371</v>
      </c>
    </row>
    <row r="3152" customFormat="false" ht="15" hidden="false" customHeight="false" outlineLevel="0" collapsed="false">
      <c r="A3152" s="4" t="s">
        <v>107</v>
      </c>
      <c r="B3152" s="5" t="s">
        <v>112</v>
      </c>
      <c r="C3152" s="5" t="s">
        <v>113</v>
      </c>
      <c r="D3152" s="4" t="s">
        <v>16</v>
      </c>
      <c r="E3152" s="4" t="s">
        <v>1259</v>
      </c>
      <c r="F3152" s="4" t="s">
        <v>488</v>
      </c>
      <c r="G3152" s="4" t="s">
        <v>1260</v>
      </c>
      <c r="H3152" s="12" t="n">
        <v>1</v>
      </c>
      <c r="I3152" s="4" t="s">
        <v>408</v>
      </c>
      <c r="J3152" s="4" t="s">
        <v>409</v>
      </c>
      <c r="K3152" s="13" t="n">
        <v>25</v>
      </c>
      <c r="L3152" s="6" t="n">
        <f aca="false">H3152*K3152</f>
        <v>25</v>
      </c>
      <c r="M3152" s="4" t="s">
        <v>371</v>
      </c>
    </row>
    <row r="3153" customFormat="false" ht="23.85" hidden="false" customHeight="false" outlineLevel="0" collapsed="false">
      <c r="A3153" s="4" t="s">
        <v>107</v>
      </c>
      <c r="B3153" s="5" t="s">
        <v>114</v>
      </c>
      <c r="C3153" s="5" t="s">
        <v>115</v>
      </c>
      <c r="D3153" s="4" t="s">
        <v>16</v>
      </c>
      <c r="E3153" s="4" t="s">
        <v>4014</v>
      </c>
      <c r="F3153" s="4" t="s">
        <v>406</v>
      </c>
      <c r="G3153" s="4" t="s">
        <v>4015</v>
      </c>
      <c r="H3153" s="12" t="n">
        <v>1</v>
      </c>
      <c r="I3153" s="4" t="s">
        <v>408</v>
      </c>
      <c r="J3153" s="4" t="s">
        <v>409</v>
      </c>
      <c r="K3153" s="13" t="n">
        <v>8500</v>
      </c>
      <c r="L3153" s="6" t="n">
        <f aca="false">H3153*K3153</f>
        <v>8500</v>
      </c>
      <c r="M3153" s="14" t="s">
        <v>410</v>
      </c>
    </row>
    <row r="3154" customFormat="false" ht="23.85" hidden="false" customHeight="false" outlineLevel="0" collapsed="false">
      <c r="A3154" s="4" t="s">
        <v>107</v>
      </c>
      <c r="B3154" s="5" t="s">
        <v>114</v>
      </c>
      <c r="C3154" s="5" t="s">
        <v>115</v>
      </c>
      <c r="D3154" s="4" t="s">
        <v>16</v>
      </c>
      <c r="E3154" s="4" t="s">
        <v>4016</v>
      </c>
      <c r="F3154" s="4" t="s">
        <v>470</v>
      </c>
      <c r="G3154" s="4" t="s">
        <v>4017</v>
      </c>
      <c r="H3154" s="12" t="n">
        <v>1</v>
      </c>
      <c r="I3154" s="4" t="s">
        <v>408</v>
      </c>
      <c r="J3154" s="4" t="s">
        <v>409</v>
      </c>
      <c r="K3154" s="13" t="n">
        <v>55000</v>
      </c>
      <c r="L3154" s="6" t="n">
        <f aca="false">H3154*K3154</f>
        <v>55000</v>
      </c>
      <c r="M3154" s="4" t="s">
        <v>371</v>
      </c>
    </row>
    <row r="3155" customFormat="false" ht="23.85" hidden="false" customHeight="false" outlineLevel="0" collapsed="false">
      <c r="A3155" s="4" t="s">
        <v>107</v>
      </c>
      <c r="B3155" s="5" t="s">
        <v>114</v>
      </c>
      <c r="C3155" s="5" t="s">
        <v>115</v>
      </c>
      <c r="D3155" s="4" t="s">
        <v>16</v>
      </c>
      <c r="E3155" s="4" t="s">
        <v>4018</v>
      </c>
      <c r="F3155" s="4" t="s">
        <v>470</v>
      </c>
      <c r="G3155" s="4" t="s">
        <v>4019</v>
      </c>
      <c r="H3155" s="12" t="n">
        <v>1</v>
      </c>
      <c r="I3155" s="4" t="s">
        <v>408</v>
      </c>
      <c r="J3155" s="4" t="s">
        <v>416</v>
      </c>
      <c r="K3155" s="13" t="n">
        <v>18000</v>
      </c>
      <c r="L3155" s="6" t="n">
        <f aca="false">H3155*K3155</f>
        <v>18000</v>
      </c>
      <c r="M3155" s="14" t="s">
        <v>410</v>
      </c>
    </row>
    <row r="3156" customFormat="false" ht="23.85" hidden="false" customHeight="false" outlineLevel="0" collapsed="false">
      <c r="A3156" s="4" t="s">
        <v>107</v>
      </c>
      <c r="B3156" s="5" t="s">
        <v>114</v>
      </c>
      <c r="C3156" s="5" t="s">
        <v>115</v>
      </c>
      <c r="D3156" s="4" t="s">
        <v>16</v>
      </c>
      <c r="E3156" s="4" t="s">
        <v>4020</v>
      </c>
      <c r="F3156" s="4" t="s">
        <v>470</v>
      </c>
      <c r="G3156" s="4" t="s">
        <v>4021</v>
      </c>
      <c r="H3156" s="12" t="n">
        <v>1</v>
      </c>
      <c r="I3156" s="4" t="s">
        <v>408</v>
      </c>
      <c r="J3156" s="4" t="s">
        <v>416</v>
      </c>
      <c r="K3156" s="13" t="n">
        <v>8500</v>
      </c>
      <c r="L3156" s="6" t="n">
        <f aca="false">H3156*K3156</f>
        <v>8500</v>
      </c>
      <c r="M3156" s="14" t="s">
        <v>410</v>
      </c>
    </row>
    <row r="3157" customFormat="false" ht="23.85" hidden="false" customHeight="false" outlineLevel="0" collapsed="false">
      <c r="A3157" s="4" t="s">
        <v>107</v>
      </c>
      <c r="B3157" s="5" t="s">
        <v>114</v>
      </c>
      <c r="C3157" s="5" t="s">
        <v>115</v>
      </c>
      <c r="D3157" s="4" t="s">
        <v>16</v>
      </c>
      <c r="E3157" s="4" t="s">
        <v>4022</v>
      </c>
      <c r="F3157" s="4" t="s">
        <v>470</v>
      </c>
      <c r="G3157" s="4" t="s">
        <v>4023</v>
      </c>
      <c r="H3157" s="12" t="n">
        <v>1</v>
      </c>
      <c r="I3157" s="4" t="s">
        <v>408</v>
      </c>
      <c r="J3157" s="4" t="s">
        <v>409</v>
      </c>
      <c r="K3157" s="13" t="n">
        <v>6500</v>
      </c>
      <c r="L3157" s="6" t="n">
        <f aca="false">H3157*K3157</f>
        <v>6500</v>
      </c>
      <c r="M3157" s="14" t="s">
        <v>410</v>
      </c>
    </row>
    <row r="3158" customFormat="false" ht="23.85" hidden="false" customHeight="false" outlineLevel="0" collapsed="false">
      <c r="A3158" s="4" t="s">
        <v>107</v>
      </c>
      <c r="B3158" s="5" t="s">
        <v>114</v>
      </c>
      <c r="C3158" s="5" t="s">
        <v>115</v>
      </c>
      <c r="D3158" s="4" t="s">
        <v>16</v>
      </c>
      <c r="E3158" s="4" t="s">
        <v>4024</v>
      </c>
      <c r="F3158" s="4" t="s">
        <v>470</v>
      </c>
      <c r="G3158" s="4" t="s">
        <v>4025</v>
      </c>
      <c r="H3158" s="12" t="n">
        <v>1</v>
      </c>
      <c r="I3158" s="4" t="s">
        <v>408</v>
      </c>
      <c r="J3158" s="4" t="s">
        <v>543</v>
      </c>
      <c r="K3158" s="13" t="n">
        <v>85000</v>
      </c>
      <c r="L3158" s="6" t="n">
        <f aca="false">H3158*K3158</f>
        <v>85000</v>
      </c>
      <c r="M3158" s="4" t="s">
        <v>371</v>
      </c>
    </row>
    <row r="3159" customFormat="false" ht="23.85" hidden="false" customHeight="false" outlineLevel="0" collapsed="false">
      <c r="A3159" s="4" t="s">
        <v>107</v>
      </c>
      <c r="B3159" s="5" t="s">
        <v>114</v>
      </c>
      <c r="C3159" s="5" t="s">
        <v>115</v>
      </c>
      <c r="D3159" s="4" t="s">
        <v>16</v>
      </c>
      <c r="E3159" s="4" t="s">
        <v>4028</v>
      </c>
      <c r="F3159" s="4" t="s">
        <v>470</v>
      </c>
      <c r="G3159" s="4" t="s">
        <v>4029</v>
      </c>
      <c r="H3159" s="12" t="n">
        <v>1</v>
      </c>
      <c r="I3159" s="4" t="s">
        <v>408</v>
      </c>
      <c r="J3159" s="4" t="s">
        <v>543</v>
      </c>
      <c r="K3159" s="13" t="n">
        <v>25000</v>
      </c>
      <c r="L3159" s="6" t="n">
        <f aca="false">H3159*K3159</f>
        <v>25000</v>
      </c>
      <c r="M3159" s="4" t="s">
        <v>371</v>
      </c>
    </row>
    <row r="3160" customFormat="false" ht="23.85" hidden="false" customHeight="false" outlineLevel="0" collapsed="false">
      <c r="A3160" s="4" t="s">
        <v>107</v>
      </c>
      <c r="B3160" s="5" t="s">
        <v>114</v>
      </c>
      <c r="C3160" s="5" t="s">
        <v>115</v>
      </c>
      <c r="D3160" s="4" t="s">
        <v>16</v>
      </c>
      <c r="E3160" s="4" t="s">
        <v>4032</v>
      </c>
      <c r="F3160" s="4" t="s">
        <v>470</v>
      </c>
      <c r="G3160" s="4" t="s">
        <v>4033</v>
      </c>
      <c r="H3160" s="12" t="n">
        <v>1</v>
      </c>
      <c r="I3160" s="4" t="s">
        <v>408</v>
      </c>
      <c r="J3160" s="4" t="s">
        <v>543</v>
      </c>
      <c r="K3160" s="13" t="n">
        <v>18000</v>
      </c>
      <c r="L3160" s="6" t="n">
        <f aca="false">H3160*K3160</f>
        <v>18000</v>
      </c>
      <c r="M3160" s="4" t="s">
        <v>371</v>
      </c>
    </row>
    <row r="3161" customFormat="false" ht="23.85" hidden="false" customHeight="false" outlineLevel="0" collapsed="false">
      <c r="A3161" s="4" t="s">
        <v>107</v>
      </c>
      <c r="B3161" s="5" t="s">
        <v>114</v>
      </c>
      <c r="C3161" s="5" t="s">
        <v>115</v>
      </c>
      <c r="D3161" s="4" t="s">
        <v>16</v>
      </c>
      <c r="E3161" s="4" t="s">
        <v>4034</v>
      </c>
      <c r="F3161" s="4" t="s">
        <v>470</v>
      </c>
      <c r="G3161" s="4" t="s">
        <v>4035</v>
      </c>
      <c r="H3161" s="12" t="n">
        <v>1</v>
      </c>
      <c r="I3161" s="4" t="s">
        <v>408</v>
      </c>
      <c r="J3161" s="4" t="s">
        <v>543</v>
      </c>
      <c r="K3161" s="13" t="n">
        <v>18000</v>
      </c>
      <c r="L3161" s="6" t="n">
        <f aca="false">H3161*K3161</f>
        <v>18000</v>
      </c>
      <c r="M3161" s="4" t="s">
        <v>371</v>
      </c>
    </row>
    <row r="3162" customFormat="false" ht="23.85" hidden="false" customHeight="false" outlineLevel="0" collapsed="false">
      <c r="A3162" s="4" t="s">
        <v>107</v>
      </c>
      <c r="B3162" s="5" t="s">
        <v>114</v>
      </c>
      <c r="C3162" s="5" t="s">
        <v>115</v>
      </c>
      <c r="D3162" s="4" t="s">
        <v>16</v>
      </c>
      <c r="E3162" s="4" t="s">
        <v>4036</v>
      </c>
      <c r="F3162" s="4" t="s">
        <v>470</v>
      </c>
      <c r="G3162" s="4" t="s">
        <v>4037</v>
      </c>
      <c r="H3162" s="12" t="n">
        <v>1</v>
      </c>
      <c r="I3162" s="4" t="s">
        <v>408</v>
      </c>
      <c r="J3162" s="4" t="s">
        <v>543</v>
      </c>
      <c r="K3162" s="13" t="n">
        <v>12000</v>
      </c>
      <c r="L3162" s="6" t="n">
        <f aca="false">H3162*K3162</f>
        <v>12000</v>
      </c>
      <c r="M3162" s="4" t="s">
        <v>371</v>
      </c>
    </row>
    <row r="3163" customFormat="false" ht="23.85" hidden="false" customHeight="false" outlineLevel="0" collapsed="false">
      <c r="A3163" s="4" t="s">
        <v>107</v>
      </c>
      <c r="B3163" s="5" t="s">
        <v>114</v>
      </c>
      <c r="C3163" s="5" t="s">
        <v>115</v>
      </c>
      <c r="D3163" s="4" t="s">
        <v>16</v>
      </c>
      <c r="E3163" s="4" t="s">
        <v>4038</v>
      </c>
      <c r="F3163" s="4" t="s">
        <v>470</v>
      </c>
      <c r="G3163" s="4" t="s">
        <v>4039</v>
      </c>
      <c r="H3163" s="12" t="n">
        <v>1</v>
      </c>
      <c r="I3163" s="4" t="s">
        <v>408</v>
      </c>
      <c r="J3163" s="4" t="s">
        <v>543</v>
      </c>
      <c r="K3163" s="13" t="n">
        <v>25000</v>
      </c>
      <c r="L3163" s="6" t="n">
        <f aca="false">H3163*K3163</f>
        <v>25000</v>
      </c>
      <c r="M3163" s="4" t="s">
        <v>371</v>
      </c>
    </row>
    <row r="3164" customFormat="false" ht="23.85" hidden="false" customHeight="false" outlineLevel="0" collapsed="false">
      <c r="A3164" s="4" t="s">
        <v>107</v>
      </c>
      <c r="B3164" s="5" t="s">
        <v>114</v>
      </c>
      <c r="C3164" s="5" t="s">
        <v>115</v>
      </c>
      <c r="D3164" s="4" t="s">
        <v>16</v>
      </c>
      <c r="E3164" s="4" t="s">
        <v>4040</v>
      </c>
      <c r="F3164" s="4" t="s">
        <v>470</v>
      </c>
      <c r="G3164" s="4" t="s">
        <v>4041</v>
      </c>
      <c r="H3164" s="12" t="n">
        <v>1</v>
      </c>
      <c r="I3164" s="4" t="s">
        <v>408</v>
      </c>
      <c r="J3164" s="4" t="s">
        <v>543</v>
      </c>
      <c r="K3164" s="13" t="n">
        <v>25000</v>
      </c>
      <c r="L3164" s="6" t="n">
        <f aca="false">H3164*K3164</f>
        <v>25000</v>
      </c>
      <c r="M3164" s="4" t="s">
        <v>371</v>
      </c>
    </row>
    <row r="3165" customFormat="false" ht="23.85" hidden="false" customHeight="false" outlineLevel="0" collapsed="false">
      <c r="A3165" s="4" t="s">
        <v>107</v>
      </c>
      <c r="B3165" s="5" t="s">
        <v>114</v>
      </c>
      <c r="C3165" s="5" t="s">
        <v>115</v>
      </c>
      <c r="D3165" s="4" t="s">
        <v>16</v>
      </c>
      <c r="E3165" s="4" t="s">
        <v>4046</v>
      </c>
      <c r="F3165" s="4" t="s">
        <v>470</v>
      </c>
      <c r="G3165" s="4" t="s">
        <v>4047</v>
      </c>
      <c r="H3165" s="12" t="n">
        <v>1</v>
      </c>
      <c r="I3165" s="4" t="s">
        <v>408</v>
      </c>
      <c r="J3165" s="4" t="s">
        <v>409</v>
      </c>
      <c r="K3165" s="13" t="n">
        <v>8500</v>
      </c>
      <c r="L3165" s="6" t="n">
        <f aca="false">H3165*K3165</f>
        <v>8500</v>
      </c>
      <c r="M3165" s="4" t="s">
        <v>371</v>
      </c>
    </row>
    <row r="3166" customFormat="false" ht="23.85" hidden="false" customHeight="false" outlineLevel="0" collapsed="false">
      <c r="A3166" s="4" t="s">
        <v>107</v>
      </c>
      <c r="B3166" s="5" t="s">
        <v>114</v>
      </c>
      <c r="C3166" s="5" t="s">
        <v>115</v>
      </c>
      <c r="D3166" s="4" t="s">
        <v>16</v>
      </c>
      <c r="E3166" s="4" t="s">
        <v>4048</v>
      </c>
      <c r="F3166" s="4" t="s">
        <v>470</v>
      </c>
      <c r="G3166" s="4" t="s">
        <v>4049</v>
      </c>
      <c r="H3166" s="12" t="n">
        <v>1</v>
      </c>
      <c r="I3166" s="4" t="s">
        <v>408</v>
      </c>
      <c r="J3166" s="4" t="s">
        <v>409</v>
      </c>
      <c r="K3166" s="13" t="n">
        <v>1200</v>
      </c>
      <c r="L3166" s="6" t="n">
        <f aca="false">H3166*K3166</f>
        <v>1200</v>
      </c>
      <c r="M3166" s="4" t="s">
        <v>371</v>
      </c>
    </row>
    <row r="3167" customFormat="false" ht="23.85" hidden="false" customHeight="false" outlineLevel="0" collapsed="false">
      <c r="A3167" s="4" t="s">
        <v>107</v>
      </c>
      <c r="B3167" s="5" t="s">
        <v>114</v>
      </c>
      <c r="C3167" s="5" t="s">
        <v>115</v>
      </c>
      <c r="D3167" s="4" t="s">
        <v>16</v>
      </c>
      <c r="E3167" s="4" t="s">
        <v>4052</v>
      </c>
      <c r="F3167" s="4" t="s">
        <v>470</v>
      </c>
      <c r="G3167" s="4" t="s">
        <v>4053</v>
      </c>
      <c r="H3167" s="12" t="n">
        <v>1</v>
      </c>
      <c r="I3167" s="4" t="s">
        <v>408</v>
      </c>
      <c r="J3167" s="4" t="s">
        <v>543</v>
      </c>
      <c r="K3167" s="13" t="n">
        <v>25000</v>
      </c>
      <c r="L3167" s="6" t="n">
        <f aca="false">H3167*K3167</f>
        <v>25000</v>
      </c>
      <c r="M3167" s="4" t="s">
        <v>371</v>
      </c>
    </row>
    <row r="3168" customFormat="false" ht="23.85" hidden="false" customHeight="false" outlineLevel="0" collapsed="false">
      <c r="A3168" s="4" t="s">
        <v>107</v>
      </c>
      <c r="B3168" s="5" t="s">
        <v>114</v>
      </c>
      <c r="C3168" s="5" t="s">
        <v>115</v>
      </c>
      <c r="D3168" s="4" t="s">
        <v>16</v>
      </c>
      <c r="E3168" s="4" t="s">
        <v>4054</v>
      </c>
      <c r="F3168" s="4" t="s">
        <v>488</v>
      </c>
      <c r="G3168" s="4" t="s">
        <v>4055</v>
      </c>
      <c r="H3168" s="12" t="n">
        <v>1</v>
      </c>
      <c r="I3168" s="4" t="s">
        <v>408</v>
      </c>
      <c r="J3168" s="4" t="s">
        <v>416</v>
      </c>
      <c r="K3168" s="13" t="n">
        <v>350</v>
      </c>
      <c r="L3168" s="6" t="n">
        <f aca="false">H3168*K3168</f>
        <v>350</v>
      </c>
      <c r="M3168" s="4" t="s">
        <v>371</v>
      </c>
    </row>
    <row r="3169" customFormat="false" ht="23.85" hidden="false" customHeight="false" outlineLevel="0" collapsed="false">
      <c r="A3169" s="4" t="s">
        <v>107</v>
      </c>
      <c r="B3169" s="5" t="s">
        <v>114</v>
      </c>
      <c r="C3169" s="5" t="s">
        <v>115</v>
      </c>
      <c r="D3169" s="4" t="s">
        <v>16</v>
      </c>
      <c r="E3169" s="4" t="s">
        <v>4056</v>
      </c>
      <c r="F3169" s="4" t="s">
        <v>488</v>
      </c>
      <c r="G3169" s="4" t="s">
        <v>4057</v>
      </c>
      <c r="H3169" s="12" t="n">
        <v>1</v>
      </c>
      <c r="I3169" s="4" t="s">
        <v>408</v>
      </c>
      <c r="J3169" s="4" t="s">
        <v>416</v>
      </c>
      <c r="K3169" s="13" t="n">
        <v>250</v>
      </c>
      <c r="L3169" s="6" t="n">
        <f aca="false">H3169*K3169</f>
        <v>250</v>
      </c>
      <c r="M3169" s="4" t="s">
        <v>371</v>
      </c>
    </row>
    <row r="3170" customFormat="false" ht="23.85" hidden="false" customHeight="false" outlineLevel="0" collapsed="false">
      <c r="A3170" s="4" t="s">
        <v>107</v>
      </c>
      <c r="B3170" s="5" t="s">
        <v>114</v>
      </c>
      <c r="C3170" s="5" t="s">
        <v>115</v>
      </c>
      <c r="D3170" s="4" t="s">
        <v>16</v>
      </c>
      <c r="E3170" s="4" t="s">
        <v>4050</v>
      </c>
      <c r="F3170" s="4" t="s">
        <v>488</v>
      </c>
      <c r="G3170" s="4" t="s">
        <v>4051</v>
      </c>
      <c r="H3170" s="12" t="n">
        <v>1</v>
      </c>
      <c r="I3170" s="4" t="s">
        <v>408</v>
      </c>
      <c r="J3170" s="4" t="s">
        <v>416</v>
      </c>
      <c r="K3170" s="13" t="n">
        <v>850</v>
      </c>
      <c r="L3170" s="6" t="n">
        <f aca="false">H3170*K3170</f>
        <v>850</v>
      </c>
      <c r="M3170" s="4" t="s">
        <v>371</v>
      </c>
    </row>
    <row r="3171" customFormat="false" ht="23.85" hidden="false" customHeight="false" outlineLevel="0" collapsed="false">
      <c r="A3171" s="4" t="s">
        <v>107</v>
      </c>
      <c r="B3171" s="5" t="s">
        <v>116</v>
      </c>
      <c r="C3171" s="5" t="s">
        <v>117</v>
      </c>
      <c r="D3171" s="4" t="s">
        <v>16</v>
      </c>
      <c r="E3171" s="4" t="s">
        <v>4014</v>
      </c>
      <c r="F3171" s="4" t="s">
        <v>406</v>
      </c>
      <c r="G3171" s="4" t="s">
        <v>4015</v>
      </c>
      <c r="H3171" s="12" t="n">
        <v>1</v>
      </c>
      <c r="I3171" s="4" t="s">
        <v>408</v>
      </c>
      <c r="J3171" s="4" t="s">
        <v>409</v>
      </c>
      <c r="K3171" s="13" t="n">
        <v>8500</v>
      </c>
      <c r="L3171" s="6" t="n">
        <f aca="false">H3171*K3171</f>
        <v>8500</v>
      </c>
      <c r="M3171" s="14" t="s">
        <v>410</v>
      </c>
    </row>
    <row r="3172" customFormat="false" ht="23.85" hidden="false" customHeight="false" outlineLevel="0" collapsed="false">
      <c r="A3172" s="4" t="s">
        <v>107</v>
      </c>
      <c r="B3172" s="5" t="s">
        <v>116</v>
      </c>
      <c r="C3172" s="5" t="s">
        <v>117</v>
      </c>
      <c r="D3172" s="4" t="s">
        <v>16</v>
      </c>
      <c r="E3172" s="4" t="s">
        <v>4016</v>
      </c>
      <c r="F3172" s="4" t="s">
        <v>470</v>
      </c>
      <c r="G3172" s="4" t="s">
        <v>4017</v>
      </c>
      <c r="H3172" s="12" t="n">
        <v>1</v>
      </c>
      <c r="I3172" s="4" t="s">
        <v>408</v>
      </c>
      <c r="J3172" s="4" t="s">
        <v>409</v>
      </c>
      <c r="K3172" s="13" t="n">
        <v>55000</v>
      </c>
      <c r="L3172" s="6" t="n">
        <f aca="false">H3172*K3172</f>
        <v>55000</v>
      </c>
      <c r="M3172" s="4" t="s">
        <v>371</v>
      </c>
    </row>
    <row r="3173" customFormat="false" ht="23.85" hidden="false" customHeight="false" outlineLevel="0" collapsed="false">
      <c r="A3173" s="4" t="s">
        <v>107</v>
      </c>
      <c r="B3173" s="5" t="s">
        <v>116</v>
      </c>
      <c r="C3173" s="5" t="s">
        <v>117</v>
      </c>
      <c r="D3173" s="4" t="s">
        <v>16</v>
      </c>
      <c r="E3173" s="4" t="s">
        <v>4018</v>
      </c>
      <c r="F3173" s="4" t="s">
        <v>470</v>
      </c>
      <c r="G3173" s="4" t="s">
        <v>4019</v>
      </c>
      <c r="H3173" s="12" t="n">
        <v>1</v>
      </c>
      <c r="I3173" s="4" t="s">
        <v>408</v>
      </c>
      <c r="J3173" s="4" t="s">
        <v>416</v>
      </c>
      <c r="K3173" s="13" t="n">
        <v>18000</v>
      </c>
      <c r="L3173" s="6" t="n">
        <f aca="false">H3173*K3173</f>
        <v>18000</v>
      </c>
      <c r="M3173" s="14" t="s">
        <v>410</v>
      </c>
    </row>
    <row r="3174" customFormat="false" ht="23.85" hidden="false" customHeight="false" outlineLevel="0" collapsed="false">
      <c r="A3174" s="4" t="s">
        <v>107</v>
      </c>
      <c r="B3174" s="5" t="s">
        <v>116</v>
      </c>
      <c r="C3174" s="5" t="s">
        <v>117</v>
      </c>
      <c r="D3174" s="4" t="s">
        <v>16</v>
      </c>
      <c r="E3174" s="4" t="s">
        <v>4088</v>
      </c>
      <c r="F3174" s="4" t="s">
        <v>470</v>
      </c>
      <c r="G3174" s="4" t="s">
        <v>4089</v>
      </c>
      <c r="H3174" s="12" t="n">
        <v>1</v>
      </c>
      <c r="I3174" s="4" t="s">
        <v>408</v>
      </c>
      <c r="J3174" s="4" t="s">
        <v>416</v>
      </c>
      <c r="K3174" s="13" t="n">
        <v>8500</v>
      </c>
      <c r="L3174" s="6" t="n">
        <f aca="false">H3174*K3174</f>
        <v>8500</v>
      </c>
      <c r="M3174" s="4" t="s">
        <v>371</v>
      </c>
    </row>
    <row r="3175" customFormat="false" ht="23.85" hidden="false" customHeight="false" outlineLevel="0" collapsed="false">
      <c r="A3175" s="4" t="s">
        <v>107</v>
      </c>
      <c r="B3175" s="5" t="s">
        <v>116</v>
      </c>
      <c r="C3175" s="5" t="s">
        <v>117</v>
      </c>
      <c r="D3175" s="4" t="s">
        <v>16</v>
      </c>
      <c r="E3175" s="4" t="s">
        <v>4022</v>
      </c>
      <c r="F3175" s="4" t="s">
        <v>470</v>
      </c>
      <c r="G3175" s="4" t="s">
        <v>4023</v>
      </c>
      <c r="H3175" s="12" t="n">
        <v>1</v>
      </c>
      <c r="I3175" s="4" t="s">
        <v>408</v>
      </c>
      <c r="J3175" s="4" t="s">
        <v>409</v>
      </c>
      <c r="K3175" s="13" t="n">
        <v>6500</v>
      </c>
      <c r="L3175" s="6" t="n">
        <f aca="false">H3175*K3175</f>
        <v>6500</v>
      </c>
      <c r="M3175" s="14" t="s">
        <v>410</v>
      </c>
    </row>
    <row r="3176" customFormat="false" ht="23.85" hidden="false" customHeight="false" outlineLevel="0" collapsed="false">
      <c r="A3176" s="4" t="s">
        <v>107</v>
      </c>
      <c r="B3176" s="5" t="s">
        <v>116</v>
      </c>
      <c r="C3176" s="5" t="s">
        <v>117</v>
      </c>
      <c r="D3176" s="4" t="s">
        <v>16</v>
      </c>
      <c r="E3176" s="4" t="s">
        <v>1697</v>
      </c>
      <c r="F3176" s="4" t="s">
        <v>470</v>
      </c>
      <c r="G3176" s="4" t="s">
        <v>1698</v>
      </c>
      <c r="H3176" s="12" t="n">
        <v>1</v>
      </c>
      <c r="I3176" s="4" t="s">
        <v>408</v>
      </c>
      <c r="J3176" s="4" t="s">
        <v>409</v>
      </c>
      <c r="K3176" s="13" t="n">
        <v>45000</v>
      </c>
      <c r="L3176" s="6" t="n">
        <f aca="false">H3176*K3176</f>
        <v>45000</v>
      </c>
      <c r="M3176" s="14" t="s">
        <v>410</v>
      </c>
    </row>
    <row r="3177" customFormat="false" ht="23.85" hidden="false" customHeight="false" outlineLevel="0" collapsed="false">
      <c r="A3177" s="4" t="s">
        <v>107</v>
      </c>
      <c r="B3177" s="5" t="s">
        <v>116</v>
      </c>
      <c r="C3177" s="5" t="s">
        <v>117</v>
      </c>
      <c r="D3177" s="4" t="s">
        <v>16</v>
      </c>
      <c r="E3177" s="4" t="s">
        <v>4090</v>
      </c>
      <c r="F3177" s="4" t="s">
        <v>470</v>
      </c>
      <c r="G3177" s="4" t="s">
        <v>4091</v>
      </c>
      <c r="H3177" s="12" t="n">
        <v>1</v>
      </c>
      <c r="I3177" s="4" t="s">
        <v>408</v>
      </c>
      <c r="J3177" s="4" t="s">
        <v>409</v>
      </c>
      <c r="K3177" s="13" t="n">
        <v>55000</v>
      </c>
      <c r="L3177" s="6" t="n">
        <f aca="false">H3177*K3177</f>
        <v>55000</v>
      </c>
      <c r="M3177" s="4" t="s">
        <v>371</v>
      </c>
    </row>
    <row r="3178" customFormat="false" ht="23.85" hidden="false" customHeight="false" outlineLevel="0" collapsed="false">
      <c r="A3178" s="4" t="s">
        <v>107</v>
      </c>
      <c r="B3178" s="5" t="s">
        <v>116</v>
      </c>
      <c r="C3178" s="5" t="s">
        <v>117</v>
      </c>
      <c r="D3178" s="4" t="s">
        <v>16</v>
      </c>
      <c r="E3178" s="4" t="s">
        <v>4092</v>
      </c>
      <c r="F3178" s="4" t="s">
        <v>470</v>
      </c>
      <c r="G3178" s="4" t="s">
        <v>4093</v>
      </c>
      <c r="H3178" s="12" t="n">
        <v>1</v>
      </c>
      <c r="I3178" s="4" t="s">
        <v>408</v>
      </c>
      <c r="J3178" s="4" t="s">
        <v>416</v>
      </c>
      <c r="K3178" s="13" t="n">
        <v>1200</v>
      </c>
      <c r="L3178" s="6" t="n">
        <f aca="false">H3178*K3178</f>
        <v>1200</v>
      </c>
      <c r="M3178" s="14" t="s">
        <v>410</v>
      </c>
    </row>
    <row r="3179" customFormat="false" ht="23.85" hidden="false" customHeight="false" outlineLevel="0" collapsed="false">
      <c r="A3179" s="4" t="s">
        <v>107</v>
      </c>
      <c r="B3179" s="5" t="s">
        <v>116</v>
      </c>
      <c r="C3179" s="5" t="s">
        <v>117</v>
      </c>
      <c r="D3179" s="4" t="s">
        <v>16</v>
      </c>
      <c r="E3179" s="4" t="s">
        <v>4094</v>
      </c>
      <c r="F3179" s="4" t="s">
        <v>470</v>
      </c>
      <c r="G3179" s="4" t="s">
        <v>4095</v>
      </c>
      <c r="H3179" s="12" t="n">
        <v>1</v>
      </c>
      <c r="I3179" s="4" t="s">
        <v>408</v>
      </c>
      <c r="J3179" s="4" t="s">
        <v>543</v>
      </c>
      <c r="K3179" s="13" t="n">
        <v>85000</v>
      </c>
      <c r="L3179" s="6" t="n">
        <f aca="false">H3179*K3179</f>
        <v>85000</v>
      </c>
      <c r="M3179" s="4" t="s">
        <v>371</v>
      </c>
    </row>
    <row r="3180" customFormat="false" ht="23.85" hidden="false" customHeight="false" outlineLevel="0" collapsed="false">
      <c r="A3180" s="4" t="s">
        <v>107</v>
      </c>
      <c r="B3180" s="5" t="s">
        <v>116</v>
      </c>
      <c r="C3180" s="5" t="s">
        <v>117</v>
      </c>
      <c r="D3180" s="4" t="s">
        <v>16</v>
      </c>
      <c r="E3180" s="4" t="s">
        <v>4096</v>
      </c>
      <c r="F3180" s="4" t="s">
        <v>470</v>
      </c>
      <c r="G3180" s="4" t="s">
        <v>4097</v>
      </c>
      <c r="H3180" s="12" t="n">
        <v>1</v>
      </c>
      <c r="I3180" s="4" t="s">
        <v>408</v>
      </c>
      <c r="J3180" s="4" t="s">
        <v>543</v>
      </c>
      <c r="K3180" s="13" t="n">
        <v>18000</v>
      </c>
      <c r="L3180" s="6" t="n">
        <f aca="false">H3180*K3180</f>
        <v>18000</v>
      </c>
      <c r="M3180" s="4" t="s">
        <v>371</v>
      </c>
    </row>
    <row r="3181" customFormat="false" ht="23.85" hidden="false" customHeight="false" outlineLevel="0" collapsed="false">
      <c r="A3181" s="4" t="s">
        <v>107</v>
      </c>
      <c r="B3181" s="5" t="s">
        <v>116</v>
      </c>
      <c r="C3181" s="5" t="s">
        <v>117</v>
      </c>
      <c r="D3181" s="4" t="s">
        <v>16</v>
      </c>
      <c r="E3181" s="4" t="s">
        <v>4098</v>
      </c>
      <c r="F3181" s="4" t="s">
        <v>470</v>
      </c>
      <c r="G3181" s="4" t="s">
        <v>4099</v>
      </c>
      <c r="H3181" s="12" t="n">
        <v>1</v>
      </c>
      <c r="I3181" s="4" t="s">
        <v>408</v>
      </c>
      <c r="J3181" s="4" t="s">
        <v>543</v>
      </c>
      <c r="K3181" s="13" t="n">
        <v>18000</v>
      </c>
      <c r="L3181" s="6" t="n">
        <f aca="false">H3181*K3181</f>
        <v>18000</v>
      </c>
      <c r="M3181" s="4" t="s">
        <v>371</v>
      </c>
    </row>
    <row r="3182" customFormat="false" ht="23.85" hidden="false" customHeight="false" outlineLevel="0" collapsed="false">
      <c r="A3182" s="4" t="s">
        <v>107</v>
      </c>
      <c r="B3182" s="5" t="s">
        <v>116</v>
      </c>
      <c r="C3182" s="5" t="s">
        <v>117</v>
      </c>
      <c r="D3182" s="4" t="s">
        <v>16</v>
      </c>
      <c r="E3182" s="4" t="s">
        <v>4100</v>
      </c>
      <c r="F3182" s="4" t="s">
        <v>470</v>
      </c>
      <c r="G3182" s="4" t="s">
        <v>4101</v>
      </c>
      <c r="H3182" s="12" t="n">
        <v>1</v>
      </c>
      <c r="I3182" s="4" t="s">
        <v>408</v>
      </c>
      <c r="J3182" s="4" t="s">
        <v>543</v>
      </c>
      <c r="K3182" s="13" t="n">
        <v>18000</v>
      </c>
      <c r="L3182" s="6" t="n">
        <f aca="false">H3182*K3182</f>
        <v>18000</v>
      </c>
      <c r="M3182" s="4" t="s">
        <v>371</v>
      </c>
    </row>
    <row r="3183" customFormat="false" ht="23.85" hidden="false" customHeight="false" outlineLevel="0" collapsed="false">
      <c r="A3183" s="4" t="s">
        <v>107</v>
      </c>
      <c r="B3183" s="5" t="s">
        <v>116</v>
      </c>
      <c r="C3183" s="5" t="s">
        <v>117</v>
      </c>
      <c r="D3183" s="4" t="s">
        <v>16</v>
      </c>
      <c r="E3183" s="4" t="s">
        <v>4102</v>
      </c>
      <c r="F3183" s="4" t="s">
        <v>470</v>
      </c>
      <c r="G3183" s="4" t="s">
        <v>4103</v>
      </c>
      <c r="H3183" s="12" t="n">
        <v>1</v>
      </c>
      <c r="I3183" s="4" t="s">
        <v>408</v>
      </c>
      <c r="J3183" s="4" t="s">
        <v>543</v>
      </c>
      <c r="K3183" s="13" t="n">
        <v>12000</v>
      </c>
      <c r="L3183" s="6" t="n">
        <f aca="false">H3183*K3183</f>
        <v>12000</v>
      </c>
      <c r="M3183" s="4" t="s">
        <v>371</v>
      </c>
    </row>
    <row r="3184" customFormat="false" ht="23.85" hidden="false" customHeight="false" outlineLevel="0" collapsed="false">
      <c r="A3184" s="4" t="s">
        <v>107</v>
      </c>
      <c r="B3184" s="5" t="s">
        <v>116</v>
      </c>
      <c r="C3184" s="5" t="s">
        <v>117</v>
      </c>
      <c r="D3184" s="4" t="s">
        <v>16</v>
      </c>
      <c r="E3184" s="4" t="s">
        <v>4038</v>
      </c>
      <c r="F3184" s="4" t="s">
        <v>470</v>
      </c>
      <c r="G3184" s="4" t="s">
        <v>4039</v>
      </c>
      <c r="H3184" s="12" t="n">
        <v>1</v>
      </c>
      <c r="I3184" s="4" t="s">
        <v>408</v>
      </c>
      <c r="J3184" s="4" t="s">
        <v>543</v>
      </c>
      <c r="K3184" s="13" t="n">
        <v>25000</v>
      </c>
      <c r="L3184" s="6" t="n">
        <f aca="false">H3184*K3184</f>
        <v>25000</v>
      </c>
      <c r="M3184" s="4" t="s">
        <v>371</v>
      </c>
    </row>
    <row r="3185" customFormat="false" ht="23.85" hidden="false" customHeight="false" outlineLevel="0" collapsed="false">
      <c r="A3185" s="4" t="s">
        <v>107</v>
      </c>
      <c r="B3185" s="5" t="s">
        <v>116</v>
      </c>
      <c r="C3185" s="5" t="s">
        <v>117</v>
      </c>
      <c r="D3185" s="4" t="s">
        <v>16</v>
      </c>
      <c r="E3185" s="4" t="s">
        <v>4104</v>
      </c>
      <c r="F3185" s="4" t="s">
        <v>470</v>
      </c>
      <c r="G3185" s="4" t="s">
        <v>4105</v>
      </c>
      <c r="H3185" s="12" t="n">
        <v>1</v>
      </c>
      <c r="I3185" s="4" t="s">
        <v>408</v>
      </c>
      <c r="J3185" s="4" t="s">
        <v>543</v>
      </c>
      <c r="K3185" s="13" t="n">
        <v>25000</v>
      </c>
      <c r="L3185" s="6" t="n">
        <f aca="false">H3185*K3185</f>
        <v>25000</v>
      </c>
      <c r="M3185" s="4" t="s">
        <v>371</v>
      </c>
    </row>
    <row r="3186" customFormat="false" ht="23.85" hidden="false" customHeight="false" outlineLevel="0" collapsed="false">
      <c r="A3186" s="4" t="s">
        <v>107</v>
      </c>
      <c r="B3186" s="5" t="s">
        <v>116</v>
      </c>
      <c r="C3186" s="5" t="s">
        <v>117</v>
      </c>
      <c r="D3186" s="4" t="s">
        <v>16</v>
      </c>
      <c r="E3186" s="4" t="s">
        <v>4046</v>
      </c>
      <c r="F3186" s="4" t="s">
        <v>470</v>
      </c>
      <c r="G3186" s="4" t="s">
        <v>4047</v>
      </c>
      <c r="H3186" s="12" t="n">
        <v>1</v>
      </c>
      <c r="I3186" s="4" t="s">
        <v>408</v>
      </c>
      <c r="J3186" s="4" t="s">
        <v>409</v>
      </c>
      <c r="K3186" s="13" t="n">
        <v>8500</v>
      </c>
      <c r="L3186" s="6" t="n">
        <f aca="false">H3186*K3186</f>
        <v>8500</v>
      </c>
      <c r="M3186" s="4" t="s">
        <v>371</v>
      </c>
    </row>
    <row r="3187" customFormat="false" ht="23.85" hidden="false" customHeight="false" outlineLevel="0" collapsed="false">
      <c r="A3187" s="4" t="s">
        <v>107</v>
      </c>
      <c r="B3187" s="5" t="s">
        <v>116</v>
      </c>
      <c r="C3187" s="5" t="s">
        <v>117</v>
      </c>
      <c r="D3187" s="4" t="s">
        <v>16</v>
      </c>
      <c r="E3187" s="4" t="s">
        <v>4048</v>
      </c>
      <c r="F3187" s="4" t="s">
        <v>470</v>
      </c>
      <c r="G3187" s="4" t="s">
        <v>4049</v>
      </c>
      <c r="H3187" s="12" t="n">
        <v>1</v>
      </c>
      <c r="I3187" s="4" t="s">
        <v>408</v>
      </c>
      <c r="J3187" s="4" t="s">
        <v>409</v>
      </c>
      <c r="K3187" s="13" t="n">
        <v>1200</v>
      </c>
      <c r="L3187" s="6" t="n">
        <f aca="false">H3187*K3187</f>
        <v>1200</v>
      </c>
      <c r="M3187" s="4" t="s">
        <v>371</v>
      </c>
    </row>
    <row r="3188" customFormat="false" ht="23.85" hidden="false" customHeight="false" outlineLevel="0" collapsed="false">
      <c r="A3188" s="4" t="s">
        <v>107</v>
      </c>
      <c r="B3188" s="5" t="s">
        <v>116</v>
      </c>
      <c r="C3188" s="5" t="s">
        <v>117</v>
      </c>
      <c r="D3188" s="4" t="s">
        <v>16</v>
      </c>
      <c r="E3188" s="4" t="s">
        <v>4106</v>
      </c>
      <c r="F3188" s="4" t="s">
        <v>470</v>
      </c>
      <c r="G3188" s="4" t="s">
        <v>4107</v>
      </c>
      <c r="H3188" s="12" t="n">
        <v>1</v>
      </c>
      <c r="I3188" s="4" t="s">
        <v>408</v>
      </c>
      <c r="J3188" s="4" t="s">
        <v>543</v>
      </c>
      <c r="K3188" s="13" t="n">
        <v>25000</v>
      </c>
      <c r="L3188" s="6" t="n">
        <f aca="false">H3188*K3188</f>
        <v>25000</v>
      </c>
      <c r="M3188" s="4" t="s">
        <v>371</v>
      </c>
    </row>
    <row r="3189" customFormat="false" ht="23.85" hidden="false" customHeight="false" outlineLevel="0" collapsed="false">
      <c r="A3189" s="4" t="s">
        <v>107</v>
      </c>
      <c r="B3189" s="5" t="s">
        <v>116</v>
      </c>
      <c r="C3189" s="5" t="s">
        <v>117</v>
      </c>
      <c r="D3189" s="4" t="s">
        <v>16</v>
      </c>
      <c r="E3189" s="4" t="s">
        <v>1648</v>
      </c>
      <c r="F3189" s="4" t="s">
        <v>470</v>
      </c>
      <c r="G3189" s="4" t="s">
        <v>1424</v>
      </c>
      <c r="H3189" s="12" t="n">
        <v>1</v>
      </c>
      <c r="I3189" s="4" t="s">
        <v>408</v>
      </c>
      <c r="J3189" s="4" t="s">
        <v>409</v>
      </c>
      <c r="K3189" s="13" t="n">
        <v>3500</v>
      </c>
      <c r="L3189" s="6" t="n">
        <f aca="false">H3189*K3189</f>
        <v>3500</v>
      </c>
      <c r="M3189" s="4" t="s">
        <v>371</v>
      </c>
    </row>
    <row r="3190" customFormat="false" ht="23.85" hidden="false" customHeight="false" outlineLevel="0" collapsed="false">
      <c r="A3190" s="4" t="s">
        <v>107</v>
      </c>
      <c r="B3190" s="5" t="s">
        <v>116</v>
      </c>
      <c r="C3190" s="5" t="s">
        <v>117</v>
      </c>
      <c r="D3190" s="4" t="s">
        <v>16</v>
      </c>
      <c r="E3190" s="4" t="s">
        <v>4108</v>
      </c>
      <c r="F3190" s="4" t="s">
        <v>470</v>
      </c>
      <c r="G3190" s="4" t="s">
        <v>4109</v>
      </c>
      <c r="H3190" s="12" t="n">
        <v>1</v>
      </c>
      <c r="I3190" s="4" t="s">
        <v>408</v>
      </c>
      <c r="J3190" s="4" t="s">
        <v>409</v>
      </c>
      <c r="K3190" s="13" t="n">
        <v>1800</v>
      </c>
      <c r="L3190" s="6" t="n">
        <f aca="false">H3190*K3190</f>
        <v>1800</v>
      </c>
      <c r="M3190" s="4" t="s">
        <v>371</v>
      </c>
    </row>
    <row r="3191" customFormat="false" ht="23.85" hidden="false" customHeight="false" outlineLevel="0" collapsed="false">
      <c r="A3191" s="4" t="s">
        <v>107</v>
      </c>
      <c r="B3191" s="5" t="s">
        <v>116</v>
      </c>
      <c r="C3191" s="5" t="s">
        <v>117</v>
      </c>
      <c r="D3191" s="4" t="s">
        <v>16</v>
      </c>
      <c r="E3191" s="4" t="s">
        <v>3077</v>
      </c>
      <c r="F3191" s="4" t="s">
        <v>470</v>
      </c>
      <c r="G3191" s="4" t="s">
        <v>3078</v>
      </c>
      <c r="H3191" s="12" t="n">
        <v>1</v>
      </c>
      <c r="I3191" s="4" t="s">
        <v>408</v>
      </c>
      <c r="J3191" s="4" t="s">
        <v>409</v>
      </c>
      <c r="K3191" s="13" t="n">
        <v>120</v>
      </c>
      <c r="L3191" s="6" t="n">
        <f aca="false">H3191*K3191</f>
        <v>120</v>
      </c>
      <c r="M3191" s="14" t="s">
        <v>410</v>
      </c>
    </row>
    <row r="3192" customFormat="false" ht="23.85" hidden="false" customHeight="false" outlineLevel="0" collapsed="false">
      <c r="A3192" s="4" t="s">
        <v>107</v>
      </c>
      <c r="B3192" s="5" t="s">
        <v>116</v>
      </c>
      <c r="C3192" s="5" t="s">
        <v>117</v>
      </c>
      <c r="D3192" s="4" t="s">
        <v>16</v>
      </c>
      <c r="E3192" s="4" t="s">
        <v>1257</v>
      </c>
      <c r="F3192" s="4" t="s">
        <v>470</v>
      </c>
      <c r="G3192" s="4" t="s">
        <v>1258</v>
      </c>
      <c r="H3192" s="12" t="n">
        <v>1</v>
      </c>
      <c r="I3192" s="4" t="s">
        <v>408</v>
      </c>
      <c r="J3192" s="4" t="s">
        <v>409</v>
      </c>
      <c r="K3192" s="13" t="n">
        <v>8500</v>
      </c>
      <c r="L3192" s="6" t="n">
        <f aca="false">H3192*K3192</f>
        <v>8500</v>
      </c>
      <c r="M3192" s="4" t="s">
        <v>371</v>
      </c>
    </row>
    <row r="3193" customFormat="false" ht="23.85" hidden="false" customHeight="false" outlineLevel="0" collapsed="false">
      <c r="A3193" s="4" t="s">
        <v>107</v>
      </c>
      <c r="B3193" s="5" t="s">
        <v>116</v>
      </c>
      <c r="C3193" s="5" t="s">
        <v>117</v>
      </c>
      <c r="D3193" s="4" t="s">
        <v>16</v>
      </c>
      <c r="E3193" s="4" t="s">
        <v>4110</v>
      </c>
      <c r="F3193" s="4" t="s">
        <v>470</v>
      </c>
      <c r="G3193" s="4" t="s">
        <v>4111</v>
      </c>
      <c r="H3193" s="12" t="n">
        <v>1</v>
      </c>
      <c r="I3193" s="4" t="s">
        <v>408</v>
      </c>
      <c r="J3193" s="4" t="s">
        <v>543</v>
      </c>
      <c r="K3193" s="13" t="n">
        <v>12000</v>
      </c>
      <c r="L3193" s="6" t="n">
        <f aca="false">H3193*K3193</f>
        <v>12000</v>
      </c>
      <c r="M3193" s="4" t="s">
        <v>371</v>
      </c>
    </row>
    <row r="3194" customFormat="false" ht="23.85" hidden="false" customHeight="false" outlineLevel="0" collapsed="false">
      <c r="A3194" s="4" t="s">
        <v>107</v>
      </c>
      <c r="B3194" s="5" t="s">
        <v>116</v>
      </c>
      <c r="C3194" s="5" t="s">
        <v>117</v>
      </c>
      <c r="D3194" s="4" t="s">
        <v>16</v>
      </c>
      <c r="E3194" s="4" t="s">
        <v>4112</v>
      </c>
      <c r="F3194" s="4" t="s">
        <v>488</v>
      </c>
      <c r="G3194" s="4" t="s">
        <v>4113</v>
      </c>
      <c r="H3194" s="12" t="n">
        <v>1</v>
      </c>
      <c r="I3194" s="4" t="s">
        <v>408</v>
      </c>
      <c r="J3194" s="4" t="s">
        <v>416</v>
      </c>
      <c r="K3194" s="13" t="n">
        <v>350</v>
      </c>
      <c r="L3194" s="6" t="n">
        <f aca="false">H3194*K3194</f>
        <v>350</v>
      </c>
      <c r="M3194" s="4" t="s">
        <v>371</v>
      </c>
    </row>
    <row r="3195" customFormat="false" ht="23.85" hidden="false" customHeight="false" outlineLevel="0" collapsed="false">
      <c r="A3195" s="4" t="s">
        <v>107</v>
      </c>
      <c r="B3195" s="5" t="s">
        <v>116</v>
      </c>
      <c r="C3195" s="5" t="s">
        <v>117</v>
      </c>
      <c r="D3195" s="4" t="s">
        <v>16</v>
      </c>
      <c r="E3195" s="4" t="s">
        <v>4056</v>
      </c>
      <c r="F3195" s="4" t="s">
        <v>488</v>
      </c>
      <c r="G3195" s="4" t="s">
        <v>4057</v>
      </c>
      <c r="H3195" s="12" t="n">
        <v>1</v>
      </c>
      <c r="I3195" s="4" t="s">
        <v>408</v>
      </c>
      <c r="J3195" s="4" t="s">
        <v>416</v>
      </c>
      <c r="K3195" s="13" t="n">
        <v>250</v>
      </c>
      <c r="L3195" s="6" t="n">
        <f aca="false">H3195*K3195</f>
        <v>250</v>
      </c>
      <c r="M3195" s="4" t="s">
        <v>371</v>
      </c>
    </row>
    <row r="3196" customFormat="false" ht="23.85" hidden="false" customHeight="false" outlineLevel="0" collapsed="false">
      <c r="A3196" s="4" t="s">
        <v>107</v>
      </c>
      <c r="B3196" s="5" t="s">
        <v>116</v>
      </c>
      <c r="C3196" s="5" t="s">
        <v>117</v>
      </c>
      <c r="D3196" s="4" t="s">
        <v>16</v>
      </c>
      <c r="E3196" s="4" t="s">
        <v>4114</v>
      </c>
      <c r="F3196" s="4" t="s">
        <v>488</v>
      </c>
      <c r="G3196" s="4" t="s">
        <v>4115</v>
      </c>
      <c r="H3196" s="12" t="n">
        <v>1</v>
      </c>
      <c r="I3196" s="4" t="s">
        <v>408</v>
      </c>
      <c r="J3196" s="4" t="s">
        <v>416</v>
      </c>
      <c r="K3196" s="13" t="n">
        <v>350</v>
      </c>
      <c r="L3196" s="6" t="n">
        <f aca="false">H3196*K3196</f>
        <v>350</v>
      </c>
      <c r="M3196" s="4" t="s">
        <v>371</v>
      </c>
    </row>
    <row r="3197" customFormat="false" ht="23.85" hidden="false" customHeight="false" outlineLevel="0" collapsed="false">
      <c r="A3197" s="4" t="s">
        <v>107</v>
      </c>
      <c r="B3197" s="5" t="s">
        <v>116</v>
      </c>
      <c r="C3197" s="5" t="s">
        <v>117</v>
      </c>
      <c r="D3197" s="4" t="s">
        <v>16</v>
      </c>
      <c r="E3197" s="4" t="s">
        <v>2157</v>
      </c>
      <c r="F3197" s="4" t="s">
        <v>488</v>
      </c>
      <c r="G3197" s="4" t="s">
        <v>2158</v>
      </c>
      <c r="H3197" s="12" t="n">
        <v>1</v>
      </c>
      <c r="I3197" s="4" t="s">
        <v>408</v>
      </c>
      <c r="J3197" s="4" t="s">
        <v>506</v>
      </c>
      <c r="K3197" s="13" t="n">
        <v>120</v>
      </c>
      <c r="L3197" s="6" t="n">
        <f aca="false">H3197*K3197</f>
        <v>120</v>
      </c>
      <c r="M3197" s="4" t="s">
        <v>371</v>
      </c>
    </row>
    <row r="3198" customFormat="false" ht="15" hidden="false" customHeight="false" outlineLevel="0" collapsed="false">
      <c r="A3198" s="4" t="s">
        <v>120</v>
      </c>
      <c r="B3198" s="5" t="s">
        <v>127</v>
      </c>
      <c r="C3198" s="5" t="s">
        <v>128</v>
      </c>
      <c r="D3198" s="4" t="s">
        <v>16</v>
      </c>
      <c r="E3198" s="4" t="s">
        <v>1261</v>
      </c>
      <c r="F3198" s="4" t="s">
        <v>406</v>
      </c>
      <c r="G3198" s="4" t="s">
        <v>1262</v>
      </c>
      <c r="H3198" s="12" t="n">
        <v>1</v>
      </c>
      <c r="I3198" s="4" t="s">
        <v>408</v>
      </c>
      <c r="J3198" s="4" t="s">
        <v>409</v>
      </c>
      <c r="K3198" s="13" t="n">
        <v>80</v>
      </c>
      <c r="L3198" s="6" t="n">
        <f aca="false">H3198*K3198</f>
        <v>80</v>
      </c>
      <c r="M3198" s="14" t="s">
        <v>410</v>
      </c>
    </row>
    <row r="3199" customFormat="false" ht="15" hidden="false" customHeight="false" outlineLevel="0" collapsed="false">
      <c r="A3199" s="4" t="s">
        <v>120</v>
      </c>
      <c r="B3199" s="5" t="s">
        <v>127</v>
      </c>
      <c r="C3199" s="5" t="s">
        <v>128</v>
      </c>
      <c r="D3199" s="4" t="s">
        <v>16</v>
      </c>
      <c r="E3199" s="4" t="s">
        <v>1263</v>
      </c>
      <c r="F3199" s="4" t="s">
        <v>406</v>
      </c>
      <c r="G3199" s="4" t="s">
        <v>1264</v>
      </c>
      <c r="H3199" s="12" t="n">
        <v>1</v>
      </c>
      <c r="I3199" s="4" t="s">
        <v>408</v>
      </c>
      <c r="J3199" s="4" t="s">
        <v>409</v>
      </c>
      <c r="K3199" s="13" t="n">
        <v>80</v>
      </c>
      <c r="L3199" s="6" t="n">
        <f aca="false">H3199*K3199</f>
        <v>80</v>
      </c>
      <c r="M3199" s="14" t="s">
        <v>410</v>
      </c>
    </row>
    <row r="3200" customFormat="false" ht="15" hidden="false" customHeight="false" outlineLevel="0" collapsed="false">
      <c r="A3200" s="4" t="s">
        <v>120</v>
      </c>
      <c r="B3200" s="5" t="s">
        <v>127</v>
      </c>
      <c r="C3200" s="5" t="s">
        <v>128</v>
      </c>
      <c r="D3200" s="4" t="s">
        <v>16</v>
      </c>
      <c r="E3200" s="4" t="s">
        <v>1265</v>
      </c>
      <c r="F3200" s="4" t="s">
        <v>406</v>
      </c>
      <c r="G3200" s="4" t="s">
        <v>1266</v>
      </c>
      <c r="H3200" s="12" t="n">
        <v>1</v>
      </c>
      <c r="I3200" s="4" t="s">
        <v>408</v>
      </c>
      <c r="J3200" s="4" t="s">
        <v>409</v>
      </c>
      <c r="K3200" s="13" t="n">
        <v>120</v>
      </c>
      <c r="L3200" s="6" t="n">
        <f aca="false">H3200*K3200</f>
        <v>120</v>
      </c>
      <c r="M3200" s="14" t="s">
        <v>410</v>
      </c>
    </row>
    <row r="3201" customFormat="false" ht="15" hidden="false" customHeight="false" outlineLevel="0" collapsed="false">
      <c r="A3201" s="4" t="s">
        <v>120</v>
      </c>
      <c r="B3201" s="5" t="s">
        <v>127</v>
      </c>
      <c r="C3201" s="5" t="s">
        <v>128</v>
      </c>
      <c r="D3201" s="4" t="s">
        <v>16</v>
      </c>
      <c r="E3201" s="4" t="s">
        <v>1267</v>
      </c>
      <c r="F3201" s="4" t="s">
        <v>406</v>
      </c>
      <c r="G3201" s="4" t="s">
        <v>1268</v>
      </c>
      <c r="H3201" s="12" t="n">
        <v>1</v>
      </c>
      <c r="I3201" s="4" t="s">
        <v>408</v>
      </c>
      <c r="J3201" s="4" t="s">
        <v>409</v>
      </c>
      <c r="K3201" s="13" t="n">
        <v>180</v>
      </c>
      <c r="L3201" s="6" t="n">
        <f aca="false">H3201*K3201</f>
        <v>180</v>
      </c>
      <c r="M3201" s="14" t="s">
        <v>410</v>
      </c>
    </row>
    <row r="3202" customFormat="false" ht="15" hidden="false" customHeight="false" outlineLevel="0" collapsed="false">
      <c r="A3202" s="4" t="s">
        <v>120</v>
      </c>
      <c r="B3202" s="5" t="s">
        <v>127</v>
      </c>
      <c r="C3202" s="5" t="s">
        <v>128</v>
      </c>
      <c r="D3202" s="4" t="s">
        <v>16</v>
      </c>
      <c r="E3202" s="4" t="s">
        <v>1269</v>
      </c>
      <c r="F3202" s="4" t="s">
        <v>406</v>
      </c>
      <c r="G3202" s="4" t="s">
        <v>1270</v>
      </c>
      <c r="H3202" s="12" t="n">
        <v>1</v>
      </c>
      <c r="I3202" s="4" t="s">
        <v>408</v>
      </c>
      <c r="J3202" s="4" t="s">
        <v>409</v>
      </c>
      <c r="K3202" s="13" t="n">
        <v>80</v>
      </c>
      <c r="L3202" s="6" t="n">
        <f aca="false">H3202*K3202</f>
        <v>80</v>
      </c>
      <c r="M3202" s="14" t="s">
        <v>410</v>
      </c>
    </row>
    <row r="3203" customFormat="false" ht="15" hidden="false" customHeight="false" outlineLevel="0" collapsed="false">
      <c r="A3203" s="4" t="s">
        <v>120</v>
      </c>
      <c r="B3203" s="5" t="s">
        <v>127</v>
      </c>
      <c r="C3203" s="5" t="s">
        <v>128</v>
      </c>
      <c r="D3203" s="4" t="s">
        <v>16</v>
      </c>
      <c r="E3203" s="4" t="s">
        <v>1271</v>
      </c>
      <c r="F3203" s="4" t="s">
        <v>406</v>
      </c>
      <c r="G3203" s="4" t="s">
        <v>1272</v>
      </c>
      <c r="H3203" s="12" t="n">
        <v>1</v>
      </c>
      <c r="I3203" s="4" t="s">
        <v>408</v>
      </c>
      <c r="J3203" s="4" t="s">
        <v>409</v>
      </c>
      <c r="K3203" s="13" t="n">
        <v>450</v>
      </c>
      <c r="L3203" s="6" t="n">
        <f aca="false">H3203*K3203</f>
        <v>450</v>
      </c>
      <c r="M3203" s="14" t="s">
        <v>410</v>
      </c>
    </row>
    <row r="3204" customFormat="false" ht="15" hidden="false" customHeight="false" outlineLevel="0" collapsed="false">
      <c r="A3204" s="4" t="s">
        <v>120</v>
      </c>
      <c r="B3204" s="5" t="s">
        <v>127</v>
      </c>
      <c r="C3204" s="5" t="s">
        <v>128</v>
      </c>
      <c r="D3204" s="4" t="s">
        <v>16</v>
      </c>
      <c r="E3204" s="4" t="s">
        <v>1273</v>
      </c>
      <c r="F3204" s="4" t="s">
        <v>406</v>
      </c>
      <c r="G3204" s="4" t="s">
        <v>1274</v>
      </c>
      <c r="H3204" s="12" t="n">
        <v>1</v>
      </c>
      <c r="I3204" s="4" t="s">
        <v>408</v>
      </c>
      <c r="J3204" s="4" t="s">
        <v>409</v>
      </c>
      <c r="K3204" s="13" t="n">
        <v>120</v>
      </c>
      <c r="L3204" s="6" t="n">
        <f aca="false">H3204*K3204</f>
        <v>120</v>
      </c>
      <c r="M3204" s="14" t="s">
        <v>410</v>
      </c>
    </row>
    <row r="3205" customFormat="false" ht="15" hidden="false" customHeight="false" outlineLevel="0" collapsed="false">
      <c r="A3205" s="4" t="s">
        <v>120</v>
      </c>
      <c r="B3205" s="5" t="s">
        <v>127</v>
      </c>
      <c r="C3205" s="5" t="s">
        <v>128</v>
      </c>
      <c r="D3205" s="4" t="s">
        <v>16</v>
      </c>
      <c r="E3205" s="4" t="s">
        <v>1275</v>
      </c>
      <c r="F3205" s="4" t="s">
        <v>406</v>
      </c>
      <c r="G3205" s="4" t="s">
        <v>1276</v>
      </c>
      <c r="H3205" s="12" t="n">
        <v>1</v>
      </c>
      <c r="I3205" s="4" t="s">
        <v>408</v>
      </c>
      <c r="J3205" s="4" t="s">
        <v>416</v>
      </c>
      <c r="K3205" s="13" t="n">
        <v>450</v>
      </c>
      <c r="L3205" s="6" t="n">
        <f aca="false">H3205*K3205</f>
        <v>450</v>
      </c>
      <c r="M3205" s="4" t="s">
        <v>371</v>
      </c>
    </row>
    <row r="3206" customFormat="false" ht="15" hidden="false" customHeight="false" outlineLevel="0" collapsed="false">
      <c r="A3206" s="4" t="s">
        <v>120</v>
      </c>
      <c r="B3206" s="5" t="s">
        <v>127</v>
      </c>
      <c r="C3206" s="5" t="s">
        <v>128</v>
      </c>
      <c r="D3206" s="4" t="s">
        <v>16</v>
      </c>
      <c r="E3206" s="4" t="s">
        <v>1277</v>
      </c>
      <c r="F3206" s="4" t="s">
        <v>406</v>
      </c>
      <c r="G3206" s="4" t="s">
        <v>1278</v>
      </c>
      <c r="H3206" s="12" t="n">
        <v>1</v>
      </c>
      <c r="I3206" s="4" t="s">
        <v>408</v>
      </c>
      <c r="J3206" s="4" t="s">
        <v>416</v>
      </c>
      <c r="K3206" s="13" t="n">
        <v>1800</v>
      </c>
      <c r="L3206" s="6" t="n">
        <f aca="false">H3206*K3206</f>
        <v>1800</v>
      </c>
      <c r="M3206" s="14" t="s">
        <v>410</v>
      </c>
    </row>
    <row r="3207" customFormat="false" ht="15" hidden="false" customHeight="false" outlineLevel="0" collapsed="false">
      <c r="A3207" s="4" t="s">
        <v>120</v>
      </c>
      <c r="B3207" s="5" t="s">
        <v>127</v>
      </c>
      <c r="C3207" s="5" t="s">
        <v>128</v>
      </c>
      <c r="D3207" s="4" t="s">
        <v>16</v>
      </c>
      <c r="E3207" s="4" t="s">
        <v>1500</v>
      </c>
      <c r="F3207" s="4" t="s">
        <v>406</v>
      </c>
      <c r="G3207" s="4" t="s">
        <v>1501</v>
      </c>
      <c r="H3207" s="12" t="n">
        <v>1</v>
      </c>
      <c r="I3207" s="4" t="s">
        <v>408</v>
      </c>
      <c r="J3207" s="4" t="s">
        <v>416</v>
      </c>
      <c r="K3207" s="13" t="n">
        <v>450</v>
      </c>
      <c r="L3207" s="6" t="n">
        <f aca="false">H3207*K3207</f>
        <v>450</v>
      </c>
      <c r="M3207" s="4" t="s">
        <v>371</v>
      </c>
    </row>
    <row r="3208" customFormat="false" ht="15" hidden="false" customHeight="false" outlineLevel="0" collapsed="false">
      <c r="A3208" s="4" t="s">
        <v>120</v>
      </c>
      <c r="B3208" s="5" t="s">
        <v>127</v>
      </c>
      <c r="C3208" s="5" t="s">
        <v>128</v>
      </c>
      <c r="D3208" s="4" t="s">
        <v>16</v>
      </c>
      <c r="E3208" s="4" t="s">
        <v>1281</v>
      </c>
      <c r="F3208" s="4" t="s">
        <v>406</v>
      </c>
      <c r="G3208" s="4" t="s">
        <v>1282</v>
      </c>
      <c r="H3208" s="12" t="n">
        <v>1</v>
      </c>
      <c r="I3208" s="4" t="s">
        <v>408</v>
      </c>
      <c r="J3208" s="4" t="s">
        <v>416</v>
      </c>
      <c r="K3208" s="13" t="n">
        <v>1800</v>
      </c>
      <c r="L3208" s="6" t="n">
        <f aca="false">H3208*K3208</f>
        <v>1800</v>
      </c>
      <c r="M3208" s="4" t="s">
        <v>371</v>
      </c>
    </row>
    <row r="3209" customFormat="false" ht="15" hidden="false" customHeight="false" outlineLevel="0" collapsed="false">
      <c r="A3209" s="4" t="s">
        <v>120</v>
      </c>
      <c r="B3209" s="5" t="s">
        <v>127</v>
      </c>
      <c r="C3209" s="5" t="s">
        <v>128</v>
      </c>
      <c r="D3209" s="4" t="s">
        <v>16</v>
      </c>
      <c r="E3209" s="4" t="s">
        <v>1283</v>
      </c>
      <c r="F3209" s="4" t="s">
        <v>406</v>
      </c>
      <c r="G3209" s="4" t="s">
        <v>1284</v>
      </c>
      <c r="H3209" s="12" t="n">
        <v>1</v>
      </c>
      <c r="I3209" s="4" t="s">
        <v>408</v>
      </c>
      <c r="J3209" s="4" t="s">
        <v>409</v>
      </c>
      <c r="K3209" s="13" t="n">
        <v>350</v>
      </c>
      <c r="L3209" s="6" t="n">
        <f aca="false">H3209*K3209</f>
        <v>350</v>
      </c>
      <c r="M3209" s="14" t="s">
        <v>410</v>
      </c>
    </row>
    <row r="3210" customFormat="false" ht="15" hidden="false" customHeight="false" outlineLevel="0" collapsed="false">
      <c r="A3210" s="4" t="s">
        <v>120</v>
      </c>
      <c r="B3210" s="5" t="s">
        <v>127</v>
      </c>
      <c r="C3210" s="5" t="s">
        <v>128</v>
      </c>
      <c r="D3210" s="4" t="s">
        <v>16</v>
      </c>
      <c r="E3210" s="4" t="s">
        <v>1285</v>
      </c>
      <c r="F3210" s="4" t="s">
        <v>406</v>
      </c>
      <c r="G3210" s="4" t="s">
        <v>1286</v>
      </c>
      <c r="H3210" s="12" t="n">
        <v>1</v>
      </c>
      <c r="I3210" s="4" t="s">
        <v>408</v>
      </c>
      <c r="J3210" s="4" t="s">
        <v>409</v>
      </c>
      <c r="K3210" s="13" t="n">
        <v>120</v>
      </c>
      <c r="L3210" s="6" t="n">
        <f aca="false">H3210*K3210</f>
        <v>120</v>
      </c>
      <c r="M3210" s="14" t="s">
        <v>410</v>
      </c>
    </row>
    <row r="3211" customFormat="false" ht="15" hidden="false" customHeight="false" outlineLevel="0" collapsed="false">
      <c r="A3211" s="4" t="s">
        <v>120</v>
      </c>
      <c r="B3211" s="5" t="s">
        <v>127</v>
      </c>
      <c r="C3211" s="5" t="s">
        <v>128</v>
      </c>
      <c r="D3211" s="4" t="s">
        <v>16</v>
      </c>
      <c r="E3211" s="4" t="s">
        <v>1287</v>
      </c>
      <c r="F3211" s="4" t="s">
        <v>406</v>
      </c>
      <c r="G3211" s="4" t="s">
        <v>1288</v>
      </c>
      <c r="H3211" s="12" t="n">
        <v>1</v>
      </c>
      <c r="I3211" s="4" t="s">
        <v>408</v>
      </c>
      <c r="J3211" s="4" t="s">
        <v>409</v>
      </c>
      <c r="K3211" s="13" t="n">
        <v>250</v>
      </c>
      <c r="L3211" s="6" t="n">
        <f aca="false">H3211*K3211</f>
        <v>250</v>
      </c>
      <c r="M3211" s="14" t="s">
        <v>410</v>
      </c>
    </row>
    <row r="3212" customFormat="false" ht="15" hidden="false" customHeight="false" outlineLevel="0" collapsed="false">
      <c r="A3212" s="4" t="s">
        <v>120</v>
      </c>
      <c r="B3212" s="5" t="s">
        <v>127</v>
      </c>
      <c r="C3212" s="5" t="s">
        <v>128</v>
      </c>
      <c r="D3212" s="4" t="s">
        <v>16</v>
      </c>
      <c r="E3212" s="4" t="s">
        <v>1289</v>
      </c>
      <c r="F3212" s="4" t="s">
        <v>406</v>
      </c>
      <c r="G3212" s="4" t="s">
        <v>1290</v>
      </c>
      <c r="H3212" s="12" t="n">
        <v>1</v>
      </c>
      <c r="I3212" s="4" t="s">
        <v>408</v>
      </c>
      <c r="J3212" s="4" t="s">
        <v>409</v>
      </c>
      <c r="K3212" s="13" t="n">
        <v>180</v>
      </c>
      <c r="L3212" s="6" t="n">
        <f aca="false">H3212*K3212</f>
        <v>180</v>
      </c>
      <c r="M3212" s="14" t="s">
        <v>410</v>
      </c>
    </row>
    <row r="3213" customFormat="false" ht="15" hidden="false" customHeight="false" outlineLevel="0" collapsed="false">
      <c r="A3213" s="4" t="s">
        <v>120</v>
      </c>
      <c r="B3213" s="5" t="s">
        <v>127</v>
      </c>
      <c r="C3213" s="5" t="s">
        <v>128</v>
      </c>
      <c r="D3213" s="4" t="s">
        <v>16</v>
      </c>
      <c r="E3213" s="4" t="s">
        <v>1291</v>
      </c>
      <c r="F3213" s="4" t="s">
        <v>406</v>
      </c>
      <c r="G3213" s="4" t="s">
        <v>1292</v>
      </c>
      <c r="H3213" s="12" t="n">
        <v>1</v>
      </c>
      <c r="I3213" s="4" t="s">
        <v>408</v>
      </c>
      <c r="J3213" s="4" t="s">
        <v>409</v>
      </c>
      <c r="K3213" s="13" t="n">
        <v>250</v>
      </c>
      <c r="L3213" s="6" t="n">
        <f aca="false">H3213*K3213</f>
        <v>250</v>
      </c>
      <c r="M3213" s="14" t="s">
        <v>410</v>
      </c>
    </row>
    <row r="3214" customFormat="false" ht="15" hidden="false" customHeight="false" outlineLevel="0" collapsed="false">
      <c r="A3214" s="4" t="s">
        <v>120</v>
      </c>
      <c r="B3214" s="5" t="s">
        <v>127</v>
      </c>
      <c r="C3214" s="5" t="s">
        <v>128</v>
      </c>
      <c r="D3214" s="4" t="s">
        <v>16</v>
      </c>
      <c r="E3214" s="4" t="s">
        <v>1293</v>
      </c>
      <c r="F3214" s="4" t="s">
        <v>406</v>
      </c>
      <c r="G3214" s="4" t="s">
        <v>1294</v>
      </c>
      <c r="H3214" s="12" t="n">
        <v>1</v>
      </c>
      <c r="I3214" s="4" t="s">
        <v>408</v>
      </c>
      <c r="J3214" s="4" t="s">
        <v>416</v>
      </c>
      <c r="K3214" s="13" t="n">
        <v>180</v>
      </c>
      <c r="L3214" s="6" t="n">
        <f aca="false">H3214*K3214</f>
        <v>180</v>
      </c>
      <c r="M3214" s="14" t="s">
        <v>410</v>
      </c>
    </row>
    <row r="3215" customFormat="false" ht="15" hidden="false" customHeight="false" outlineLevel="0" collapsed="false">
      <c r="A3215" s="4" t="s">
        <v>120</v>
      </c>
      <c r="B3215" s="5" t="s">
        <v>127</v>
      </c>
      <c r="C3215" s="5" t="s">
        <v>128</v>
      </c>
      <c r="D3215" s="4" t="s">
        <v>16</v>
      </c>
      <c r="E3215" s="4" t="s">
        <v>1295</v>
      </c>
      <c r="F3215" s="4" t="s">
        <v>406</v>
      </c>
      <c r="G3215" s="4" t="s">
        <v>1296</v>
      </c>
      <c r="H3215" s="12" t="n">
        <v>1</v>
      </c>
      <c r="I3215" s="4" t="s">
        <v>408</v>
      </c>
      <c r="J3215" s="4" t="s">
        <v>409</v>
      </c>
      <c r="K3215" s="13" t="n">
        <v>250</v>
      </c>
      <c r="L3215" s="6" t="n">
        <f aca="false">H3215*K3215</f>
        <v>250</v>
      </c>
      <c r="M3215" s="14" t="s">
        <v>410</v>
      </c>
    </row>
    <row r="3216" customFormat="false" ht="15" hidden="false" customHeight="false" outlineLevel="0" collapsed="false">
      <c r="A3216" s="4" t="s">
        <v>120</v>
      </c>
      <c r="B3216" s="5" t="s">
        <v>127</v>
      </c>
      <c r="C3216" s="5" t="s">
        <v>128</v>
      </c>
      <c r="D3216" s="4" t="s">
        <v>16</v>
      </c>
      <c r="E3216" s="4" t="s">
        <v>1297</v>
      </c>
      <c r="F3216" s="4" t="s">
        <v>406</v>
      </c>
      <c r="G3216" s="4" t="s">
        <v>1298</v>
      </c>
      <c r="H3216" s="12" t="n">
        <v>1</v>
      </c>
      <c r="I3216" s="4" t="s">
        <v>408</v>
      </c>
      <c r="J3216" s="4" t="s">
        <v>409</v>
      </c>
      <c r="K3216" s="13" t="n">
        <v>120</v>
      </c>
      <c r="L3216" s="6" t="n">
        <f aca="false">H3216*K3216</f>
        <v>120</v>
      </c>
      <c r="M3216" s="14" t="s">
        <v>410</v>
      </c>
    </row>
    <row r="3217" customFormat="false" ht="15" hidden="false" customHeight="false" outlineLevel="0" collapsed="false">
      <c r="A3217" s="4" t="s">
        <v>120</v>
      </c>
      <c r="B3217" s="5" t="s">
        <v>127</v>
      </c>
      <c r="C3217" s="5" t="s">
        <v>128</v>
      </c>
      <c r="D3217" s="4" t="s">
        <v>16</v>
      </c>
      <c r="E3217" s="4" t="s">
        <v>1299</v>
      </c>
      <c r="F3217" s="4" t="s">
        <v>406</v>
      </c>
      <c r="G3217" s="4" t="s">
        <v>1300</v>
      </c>
      <c r="H3217" s="12" t="n">
        <v>1</v>
      </c>
      <c r="I3217" s="4" t="s">
        <v>408</v>
      </c>
      <c r="J3217" s="4" t="s">
        <v>409</v>
      </c>
      <c r="K3217" s="13" t="n">
        <v>350</v>
      </c>
      <c r="L3217" s="6" t="n">
        <f aca="false">H3217*K3217</f>
        <v>350</v>
      </c>
      <c r="M3217" s="14" t="s">
        <v>410</v>
      </c>
    </row>
    <row r="3218" customFormat="false" ht="15" hidden="false" customHeight="false" outlineLevel="0" collapsed="false">
      <c r="A3218" s="4" t="s">
        <v>120</v>
      </c>
      <c r="B3218" s="5" t="s">
        <v>127</v>
      </c>
      <c r="C3218" s="5" t="s">
        <v>128</v>
      </c>
      <c r="D3218" s="4" t="s">
        <v>16</v>
      </c>
      <c r="E3218" s="4" t="s">
        <v>1301</v>
      </c>
      <c r="F3218" s="4" t="s">
        <v>406</v>
      </c>
      <c r="G3218" s="4" t="s">
        <v>1302</v>
      </c>
      <c r="H3218" s="12" t="n">
        <v>1</v>
      </c>
      <c r="I3218" s="4" t="s">
        <v>408</v>
      </c>
      <c r="J3218" s="4" t="s">
        <v>416</v>
      </c>
      <c r="K3218" s="13" t="n">
        <v>850</v>
      </c>
      <c r="L3218" s="6" t="n">
        <f aca="false">H3218*K3218</f>
        <v>850</v>
      </c>
      <c r="M3218" s="4" t="s">
        <v>371</v>
      </c>
    </row>
    <row r="3219" customFormat="false" ht="15" hidden="false" customHeight="false" outlineLevel="0" collapsed="false">
      <c r="A3219" s="4" t="s">
        <v>120</v>
      </c>
      <c r="B3219" s="5" t="s">
        <v>127</v>
      </c>
      <c r="C3219" s="5" t="s">
        <v>128</v>
      </c>
      <c r="D3219" s="4" t="s">
        <v>16</v>
      </c>
      <c r="E3219" s="4" t="s">
        <v>1303</v>
      </c>
      <c r="F3219" s="4" t="s">
        <v>406</v>
      </c>
      <c r="G3219" s="4" t="s">
        <v>1304</v>
      </c>
      <c r="H3219" s="12" t="n">
        <v>1</v>
      </c>
      <c r="I3219" s="4" t="s">
        <v>408</v>
      </c>
      <c r="J3219" s="4" t="s">
        <v>416</v>
      </c>
      <c r="K3219" s="13" t="n">
        <v>850</v>
      </c>
      <c r="L3219" s="6" t="n">
        <f aca="false">H3219*K3219</f>
        <v>850</v>
      </c>
      <c r="M3219" s="4" t="s">
        <v>371</v>
      </c>
    </row>
    <row r="3220" customFormat="false" ht="15" hidden="false" customHeight="false" outlineLevel="0" collapsed="false">
      <c r="A3220" s="4" t="s">
        <v>120</v>
      </c>
      <c r="B3220" s="5" t="s">
        <v>127</v>
      </c>
      <c r="C3220" s="5" t="s">
        <v>128</v>
      </c>
      <c r="D3220" s="4" t="s">
        <v>16</v>
      </c>
      <c r="E3220" s="4" t="s">
        <v>1305</v>
      </c>
      <c r="F3220" s="4" t="s">
        <v>406</v>
      </c>
      <c r="G3220" s="4" t="s">
        <v>1306</v>
      </c>
      <c r="H3220" s="12" t="n">
        <v>1</v>
      </c>
      <c r="I3220" s="4" t="s">
        <v>408</v>
      </c>
      <c r="J3220" s="4" t="s">
        <v>409</v>
      </c>
      <c r="K3220" s="13" t="n">
        <v>120</v>
      </c>
      <c r="L3220" s="6" t="n">
        <f aca="false">H3220*K3220</f>
        <v>120</v>
      </c>
      <c r="M3220" s="14" t="s">
        <v>410</v>
      </c>
    </row>
    <row r="3221" customFormat="false" ht="15" hidden="false" customHeight="false" outlineLevel="0" collapsed="false">
      <c r="A3221" s="4" t="s">
        <v>120</v>
      </c>
      <c r="B3221" s="5" t="s">
        <v>127</v>
      </c>
      <c r="C3221" s="5" t="s">
        <v>128</v>
      </c>
      <c r="D3221" s="4" t="s">
        <v>16</v>
      </c>
      <c r="E3221" s="4" t="s">
        <v>1307</v>
      </c>
      <c r="F3221" s="4" t="s">
        <v>406</v>
      </c>
      <c r="G3221" s="4" t="s">
        <v>1308</v>
      </c>
      <c r="H3221" s="12" t="n">
        <v>1</v>
      </c>
      <c r="I3221" s="4" t="s">
        <v>408</v>
      </c>
      <c r="J3221" s="4" t="s">
        <v>409</v>
      </c>
      <c r="K3221" s="13" t="n">
        <v>350</v>
      </c>
      <c r="L3221" s="6" t="n">
        <f aca="false">H3221*K3221</f>
        <v>350</v>
      </c>
      <c r="M3221" s="14" t="s">
        <v>410</v>
      </c>
    </row>
    <row r="3222" customFormat="false" ht="15" hidden="false" customHeight="false" outlineLevel="0" collapsed="false">
      <c r="A3222" s="4" t="s">
        <v>120</v>
      </c>
      <c r="B3222" s="5" t="s">
        <v>127</v>
      </c>
      <c r="C3222" s="5" t="s">
        <v>128</v>
      </c>
      <c r="D3222" s="4" t="s">
        <v>16</v>
      </c>
      <c r="E3222" s="4" t="s">
        <v>1309</v>
      </c>
      <c r="F3222" s="4" t="s">
        <v>406</v>
      </c>
      <c r="G3222" s="4" t="s">
        <v>1310</v>
      </c>
      <c r="H3222" s="12" t="n">
        <v>1</v>
      </c>
      <c r="I3222" s="4" t="s">
        <v>408</v>
      </c>
      <c r="J3222" s="4" t="s">
        <v>409</v>
      </c>
      <c r="K3222" s="13" t="n">
        <v>850</v>
      </c>
      <c r="L3222" s="6" t="n">
        <f aca="false">H3222*K3222</f>
        <v>850</v>
      </c>
      <c r="M3222" s="14" t="s">
        <v>410</v>
      </c>
    </row>
    <row r="3223" customFormat="false" ht="15" hidden="false" customHeight="false" outlineLevel="0" collapsed="false">
      <c r="A3223" s="4" t="s">
        <v>120</v>
      </c>
      <c r="B3223" s="5" t="s">
        <v>127</v>
      </c>
      <c r="C3223" s="5" t="s">
        <v>128</v>
      </c>
      <c r="D3223" s="4" t="s">
        <v>16</v>
      </c>
      <c r="E3223" s="4" t="s">
        <v>1311</v>
      </c>
      <c r="F3223" s="4" t="s">
        <v>406</v>
      </c>
      <c r="G3223" s="4" t="s">
        <v>1312</v>
      </c>
      <c r="H3223" s="12" t="n">
        <v>1</v>
      </c>
      <c r="I3223" s="4" t="s">
        <v>408</v>
      </c>
      <c r="J3223" s="4" t="s">
        <v>416</v>
      </c>
      <c r="K3223" s="13" t="n">
        <v>850</v>
      </c>
      <c r="L3223" s="6" t="n">
        <f aca="false">H3223*K3223</f>
        <v>850</v>
      </c>
      <c r="M3223" s="14" t="s">
        <v>410</v>
      </c>
    </row>
    <row r="3224" customFormat="false" ht="15" hidden="false" customHeight="false" outlineLevel="0" collapsed="false">
      <c r="A3224" s="4" t="s">
        <v>120</v>
      </c>
      <c r="B3224" s="5" t="s">
        <v>127</v>
      </c>
      <c r="C3224" s="5" t="s">
        <v>128</v>
      </c>
      <c r="D3224" s="4" t="s">
        <v>16</v>
      </c>
      <c r="E3224" s="4" t="s">
        <v>1313</v>
      </c>
      <c r="F3224" s="4" t="s">
        <v>406</v>
      </c>
      <c r="G3224" s="4" t="s">
        <v>1314</v>
      </c>
      <c r="H3224" s="12" t="n">
        <v>1</v>
      </c>
      <c r="I3224" s="4" t="s">
        <v>408</v>
      </c>
      <c r="J3224" s="4" t="s">
        <v>416</v>
      </c>
      <c r="K3224" s="13" t="n">
        <v>350</v>
      </c>
      <c r="L3224" s="6" t="n">
        <f aca="false">H3224*K3224</f>
        <v>350</v>
      </c>
      <c r="M3224" s="4" t="s">
        <v>371</v>
      </c>
    </row>
    <row r="3225" customFormat="false" ht="15" hidden="false" customHeight="false" outlineLevel="0" collapsed="false">
      <c r="A3225" s="4" t="s">
        <v>120</v>
      </c>
      <c r="B3225" s="5" t="s">
        <v>127</v>
      </c>
      <c r="C3225" s="5" t="s">
        <v>128</v>
      </c>
      <c r="D3225" s="4" t="s">
        <v>16</v>
      </c>
      <c r="E3225" s="4" t="s">
        <v>1315</v>
      </c>
      <c r="F3225" s="4" t="s">
        <v>406</v>
      </c>
      <c r="G3225" s="4" t="s">
        <v>1316</v>
      </c>
      <c r="H3225" s="12" t="n">
        <v>1</v>
      </c>
      <c r="I3225" s="4" t="s">
        <v>408</v>
      </c>
      <c r="J3225" s="4" t="s">
        <v>416</v>
      </c>
      <c r="K3225" s="13" t="n">
        <v>350</v>
      </c>
      <c r="L3225" s="6" t="n">
        <f aca="false">H3225*K3225</f>
        <v>350</v>
      </c>
      <c r="M3225" s="4" t="s">
        <v>371</v>
      </c>
    </row>
    <row r="3226" customFormat="false" ht="15" hidden="false" customHeight="false" outlineLevel="0" collapsed="false">
      <c r="A3226" s="4" t="s">
        <v>120</v>
      </c>
      <c r="B3226" s="5" t="s">
        <v>127</v>
      </c>
      <c r="C3226" s="5" t="s">
        <v>128</v>
      </c>
      <c r="D3226" s="4" t="s">
        <v>16</v>
      </c>
      <c r="E3226" s="4" t="s">
        <v>1317</v>
      </c>
      <c r="F3226" s="4" t="s">
        <v>406</v>
      </c>
      <c r="G3226" s="4" t="s">
        <v>1318</v>
      </c>
      <c r="H3226" s="12" t="n">
        <v>1</v>
      </c>
      <c r="I3226" s="4" t="s">
        <v>408</v>
      </c>
      <c r="J3226" s="4" t="s">
        <v>416</v>
      </c>
      <c r="K3226" s="13" t="n">
        <v>250</v>
      </c>
      <c r="L3226" s="6" t="n">
        <f aca="false">H3226*K3226</f>
        <v>250</v>
      </c>
      <c r="M3226" s="14" t="s">
        <v>410</v>
      </c>
    </row>
    <row r="3227" customFormat="false" ht="15" hidden="false" customHeight="false" outlineLevel="0" collapsed="false">
      <c r="A3227" s="4" t="s">
        <v>120</v>
      </c>
      <c r="B3227" s="5" t="s">
        <v>127</v>
      </c>
      <c r="C3227" s="5" t="s">
        <v>128</v>
      </c>
      <c r="D3227" s="4" t="s">
        <v>16</v>
      </c>
      <c r="E3227" s="4" t="s">
        <v>1319</v>
      </c>
      <c r="F3227" s="4" t="s">
        <v>406</v>
      </c>
      <c r="G3227" s="4" t="s">
        <v>1320</v>
      </c>
      <c r="H3227" s="12" t="n">
        <v>1</v>
      </c>
      <c r="I3227" s="4" t="s">
        <v>408</v>
      </c>
      <c r="J3227" s="4" t="s">
        <v>409</v>
      </c>
      <c r="K3227" s="13" t="n">
        <v>250</v>
      </c>
      <c r="L3227" s="6" t="n">
        <f aca="false">H3227*K3227</f>
        <v>250</v>
      </c>
      <c r="M3227" s="4" t="s">
        <v>371</v>
      </c>
    </row>
    <row r="3228" customFormat="false" ht="15" hidden="false" customHeight="false" outlineLevel="0" collapsed="false">
      <c r="A3228" s="4" t="s">
        <v>120</v>
      </c>
      <c r="B3228" s="5" t="s">
        <v>127</v>
      </c>
      <c r="C3228" s="5" t="s">
        <v>128</v>
      </c>
      <c r="D3228" s="4" t="s">
        <v>16</v>
      </c>
      <c r="E3228" s="4" t="s">
        <v>1321</v>
      </c>
      <c r="F3228" s="4" t="s">
        <v>406</v>
      </c>
      <c r="G3228" s="4" t="s">
        <v>1322</v>
      </c>
      <c r="H3228" s="12" t="n">
        <v>1</v>
      </c>
      <c r="I3228" s="4" t="s">
        <v>408</v>
      </c>
      <c r="J3228" s="4" t="s">
        <v>416</v>
      </c>
      <c r="K3228" s="13" t="n">
        <v>850</v>
      </c>
      <c r="L3228" s="6" t="n">
        <f aca="false">H3228*K3228</f>
        <v>850</v>
      </c>
      <c r="M3228" s="14" t="s">
        <v>410</v>
      </c>
    </row>
    <row r="3229" customFormat="false" ht="15" hidden="false" customHeight="false" outlineLevel="0" collapsed="false">
      <c r="A3229" s="4" t="s">
        <v>120</v>
      </c>
      <c r="B3229" s="5" t="s">
        <v>127</v>
      </c>
      <c r="C3229" s="5" t="s">
        <v>128</v>
      </c>
      <c r="D3229" s="4" t="s">
        <v>16</v>
      </c>
      <c r="E3229" s="4" t="s">
        <v>1323</v>
      </c>
      <c r="F3229" s="4" t="s">
        <v>406</v>
      </c>
      <c r="G3229" s="4" t="s">
        <v>1324</v>
      </c>
      <c r="H3229" s="12" t="n">
        <v>1</v>
      </c>
      <c r="I3229" s="4" t="s">
        <v>408</v>
      </c>
      <c r="J3229" s="4" t="s">
        <v>409</v>
      </c>
      <c r="K3229" s="13" t="n">
        <v>250</v>
      </c>
      <c r="L3229" s="6" t="n">
        <f aca="false">H3229*K3229</f>
        <v>250</v>
      </c>
      <c r="M3229" s="14" t="s">
        <v>410</v>
      </c>
    </row>
    <row r="3230" customFormat="false" ht="15" hidden="false" customHeight="false" outlineLevel="0" collapsed="false">
      <c r="A3230" s="4" t="s">
        <v>120</v>
      </c>
      <c r="B3230" s="5" t="s">
        <v>127</v>
      </c>
      <c r="C3230" s="5" t="s">
        <v>128</v>
      </c>
      <c r="D3230" s="4" t="s">
        <v>16</v>
      </c>
      <c r="E3230" s="4" t="s">
        <v>1325</v>
      </c>
      <c r="F3230" s="4" t="s">
        <v>406</v>
      </c>
      <c r="G3230" s="4" t="s">
        <v>1326</v>
      </c>
      <c r="H3230" s="12" t="n">
        <v>1</v>
      </c>
      <c r="I3230" s="4" t="s">
        <v>408</v>
      </c>
      <c r="J3230" s="4" t="s">
        <v>409</v>
      </c>
      <c r="K3230" s="13" t="n">
        <v>150</v>
      </c>
      <c r="L3230" s="6" t="n">
        <f aca="false">H3230*K3230</f>
        <v>150</v>
      </c>
      <c r="M3230" s="14" t="s">
        <v>410</v>
      </c>
    </row>
    <row r="3231" customFormat="false" ht="15" hidden="false" customHeight="false" outlineLevel="0" collapsed="false">
      <c r="A3231" s="4" t="s">
        <v>120</v>
      </c>
      <c r="B3231" s="5" t="s">
        <v>127</v>
      </c>
      <c r="C3231" s="5" t="s">
        <v>128</v>
      </c>
      <c r="D3231" s="4" t="s">
        <v>16</v>
      </c>
      <c r="E3231" s="4" t="s">
        <v>1327</v>
      </c>
      <c r="F3231" s="4" t="s">
        <v>406</v>
      </c>
      <c r="G3231" s="4" t="s">
        <v>1328</v>
      </c>
      <c r="H3231" s="12" t="n">
        <v>1</v>
      </c>
      <c r="I3231" s="4" t="s">
        <v>408</v>
      </c>
      <c r="J3231" s="4" t="s">
        <v>416</v>
      </c>
      <c r="K3231" s="13" t="n">
        <v>850</v>
      </c>
      <c r="L3231" s="6" t="n">
        <f aca="false">H3231*K3231</f>
        <v>850</v>
      </c>
      <c r="M3231" s="14" t="s">
        <v>410</v>
      </c>
    </row>
    <row r="3232" customFormat="false" ht="15" hidden="false" customHeight="false" outlineLevel="0" collapsed="false">
      <c r="A3232" s="4" t="s">
        <v>120</v>
      </c>
      <c r="B3232" s="5" t="s">
        <v>127</v>
      </c>
      <c r="C3232" s="5" t="s">
        <v>128</v>
      </c>
      <c r="D3232" s="4" t="s">
        <v>16</v>
      </c>
      <c r="E3232" s="4" t="s">
        <v>1329</v>
      </c>
      <c r="F3232" s="4" t="s">
        <v>406</v>
      </c>
      <c r="G3232" s="4" t="s">
        <v>1330</v>
      </c>
      <c r="H3232" s="12" t="n">
        <v>1</v>
      </c>
      <c r="I3232" s="4" t="s">
        <v>408</v>
      </c>
      <c r="J3232" s="4" t="s">
        <v>409</v>
      </c>
      <c r="K3232" s="13" t="n">
        <v>150</v>
      </c>
      <c r="L3232" s="6" t="n">
        <f aca="false">H3232*K3232</f>
        <v>150</v>
      </c>
      <c r="M3232" s="14" t="s">
        <v>410</v>
      </c>
    </row>
    <row r="3233" customFormat="false" ht="15" hidden="false" customHeight="false" outlineLevel="0" collapsed="false">
      <c r="A3233" s="4" t="s">
        <v>120</v>
      </c>
      <c r="B3233" s="5" t="s">
        <v>127</v>
      </c>
      <c r="C3233" s="5" t="s">
        <v>128</v>
      </c>
      <c r="D3233" s="4" t="s">
        <v>16</v>
      </c>
      <c r="E3233" s="4" t="s">
        <v>1331</v>
      </c>
      <c r="F3233" s="4" t="s">
        <v>406</v>
      </c>
      <c r="G3233" s="4" t="s">
        <v>1332</v>
      </c>
      <c r="H3233" s="12" t="n">
        <v>1</v>
      </c>
      <c r="I3233" s="4" t="s">
        <v>408</v>
      </c>
      <c r="J3233" s="4" t="s">
        <v>416</v>
      </c>
      <c r="K3233" s="13" t="n">
        <v>120</v>
      </c>
      <c r="L3233" s="6" t="n">
        <f aca="false">H3233*K3233</f>
        <v>120</v>
      </c>
      <c r="M3233" s="14" t="s">
        <v>410</v>
      </c>
    </row>
    <row r="3234" customFormat="false" ht="15" hidden="false" customHeight="false" outlineLevel="0" collapsed="false">
      <c r="A3234" s="4" t="s">
        <v>120</v>
      </c>
      <c r="B3234" s="5" t="s">
        <v>127</v>
      </c>
      <c r="C3234" s="5" t="s">
        <v>128</v>
      </c>
      <c r="D3234" s="4" t="s">
        <v>16</v>
      </c>
      <c r="E3234" s="4" t="s">
        <v>1333</v>
      </c>
      <c r="F3234" s="4" t="s">
        <v>406</v>
      </c>
      <c r="G3234" s="4" t="s">
        <v>1334</v>
      </c>
      <c r="H3234" s="12" t="n">
        <v>1</v>
      </c>
      <c r="I3234" s="4" t="s">
        <v>408</v>
      </c>
      <c r="J3234" s="4" t="s">
        <v>416</v>
      </c>
      <c r="K3234" s="13" t="n">
        <v>650</v>
      </c>
      <c r="L3234" s="6" t="n">
        <f aca="false">H3234*K3234</f>
        <v>650</v>
      </c>
      <c r="M3234" s="14" t="s">
        <v>410</v>
      </c>
    </row>
    <row r="3235" customFormat="false" ht="15" hidden="false" customHeight="false" outlineLevel="0" collapsed="false">
      <c r="A3235" s="4" t="s">
        <v>120</v>
      </c>
      <c r="B3235" s="5" t="s">
        <v>127</v>
      </c>
      <c r="C3235" s="5" t="s">
        <v>128</v>
      </c>
      <c r="D3235" s="4" t="s">
        <v>16</v>
      </c>
      <c r="E3235" s="4" t="s">
        <v>1439</v>
      </c>
      <c r="F3235" s="4" t="s">
        <v>406</v>
      </c>
      <c r="G3235" s="4" t="s">
        <v>1440</v>
      </c>
      <c r="H3235" s="12" t="n">
        <v>1</v>
      </c>
      <c r="I3235" s="4" t="s">
        <v>408</v>
      </c>
      <c r="J3235" s="4" t="s">
        <v>409</v>
      </c>
      <c r="K3235" s="13" t="n">
        <v>120</v>
      </c>
      <c r="L3235" s="6" t="n">
        <f aca="false">H3235*K3235</f>
        <v>120</v>
      </c>
      <c r="M3235" s="14" t="s">
        <v>410</v>
      </c>
    </row>
    <row r="3236" customFormat="false" ht="15" hidden="false" customHeight="false" outlineLevel="0" collapsed="false">
      <c r="A3236" s="4" t="s">
        <v>120</v>
      </c>
      <c r="B3236" s="5" t="s">
        <v>127</v>
      </c>
      <c r="C3236" s="5" t="s">
        <v>128</v>
      </c>
      <c r="D3236" s="4" t="s">
        <v>16</v>
      </c>
      <c r="E3236" s="4" t="s">
        <v>1335</v>
      </c>
      <c r="F3236" s="4" t="s">
        <v>406</v>
      </c>
      <c r="G3236" s="4" t="s">
        <v>1336</v>
      </c>
      <c r="H3236" s="12" t="n">
        <v>1</v>
      </c>
      <c r="I3236" s="4" t="s">
        <v>408</v>
      </c>
      <c r="J3236" s="4" t="s">
        <v>475</v>
      </c>
      <c r="K3236" s="13" t="n">
        <v>180</v>
      </c>
      <c r="L3236" s="6" t="n">
        <f aca="false">H3236*K3236</f>
        <v>180</v>
      </c>
      <c r="M3236" s="14" t="s">
        <v>410</v>
      </c>
    </row>
    <row r="3237" customFormat="false" ht="15" hidden="false" customHeight="false" outlineLevel="0" collapsed="false">
      <c r="A3237" s="4" t="s">
        <v>120</v>
      </c>
      <c r="B3237" s="5" t="s">
        <v>127</v>
      </c>
      <c r="C3237" s="5" t="s">
        <v>128</v>
      </c>
      <c r="D3237" s="4" t="s">
        <v>16</v>
      </c>
      <c r="E3237" s="4" t="s">
        <v>1337</v>
      </c>
      <c r="F3237" s="4" t="s">
        <v>406</v>
      </c>
      <c r="G3237" s="4" t="s">
        <v>1338</v>
      </c>
      <c r="H3237" s="12" t="n">
        <v>1</v>
      </c>
      <c r="I3237" s="4" t="s">
        <v>408</v>
      </c>
      <c r="J3237" s="4" t="s">
        <v>416</v>
      </c>
      <c r="K3237" s="13" t="n">
        <v>250</v>
      </c>
      <c r="L3237" s="6" t="n">
        <f aca="false">H3237*K3237</f>
        <v>250</v>
      </c>
      <c r="M3237" s="4" t="s">
        <v>371</v>
      </c>
    </row>
    <row r="3238" customFormat="false" ht="15" hidden="false" customHeight="false" outlineLevel="0" collapsed="false">
      <c r="A3238" s="4" t="s">
        <v>120</v>
      </c>
      <c r="B3238" s="5" t="s">
        <v>127</v>
      </c>
      <c r="C3238" s="5" t="s">
        <v>128</v>
      </c>
      <c r="D3238" s="4" t="s">
        <v>16</v>
      </c>
      <c r="E3238" s="4" t="s">
        <v>1339</v>
      </c>
      <c r="F3238" s="4" t="s">
        <v>406</v>
      </c>
      <c r="G3238" s="4" t="s">
        <v>1340</v>
      </c>
      <c r="H3238" s="12" t="n">
        <v>1</v>
      </c>
      <c r="I3238" s="4" t="s">
        <v>408</v>
      </c>
      <c r="J3238" s="4" t="s">
        <v>409</v>
      </c>
      <c r="K3238" s="13" t="n">
        <v>150</v>
      </c>
      <c r="L3238" s="6" t="n">
        <f aca="false">H3238*K3238</f>
        <v>150</v>
      </c>
      <c r="M3238" s="14" t="s">
        <v>410</v>
      </c>
    </row>
    <row r="3239" customFormat="false" ht="15" hidden="false" customHeight="false" outlineLevel="0" collapsed="false">
      <c r="A3239" s="4" t="s">
        <v>120</v>
      </c>
      <c r="B3239" s="5" t="s">
        <v>127</v>
      </c>
      <c r="C3239" s="5" t="s">
        <v>128</v>
      </c>
      <c r="D3239" s="4" t="s">
        <v>16</v>
      </c>
      <c r="E3239" s="4" t="s">
        <v>1341</v>
      </c>
      <c r="F3239" s="4" t="s">
        <v>406</v>
      </c>
      <c r="G3239" s="4" t="s">
        <v>1342</v>
      </c>
      <c r="H3239" s="12" t="n">
        <v>1</v>
      </c>
      <c r="I3239" s="4" t="s">
        <v>408</v>
      </c>
      <c r="J3239" s="4" t="s">
        <v>409</v>
      </c>
      <c r="K3239" s="13" t="n">
        <v>150</v>
      </c>
      <c r="L3239" s="6" t="n">
        <f aca="false">H3239*K3239</f>
        <v>150</v>
      </c>
      <c r="M3239" s="14" t="s">
        <v>410</v>
      </c>
    </row>
    <row r="3240" customFormat="false" ht="15" hidden="false" customHeight="false" outlineLevel="0" collapsed="false">
      <c r="A3240" s="4" t="s">
        <v>120</v>
      </c>
      <c r="B3240" s="5" t="s">
        <v>127</v>
      </c>
      <c r="C3240" s="5" t="s">
        <v>128</v>
      </c>
      <c r="D3240" s="4" t="s">
        <v>16</v>
      </c>
      <c r="E3240" s="4" t="s">
        <v>1345</v>
      </c>
      <c r="F3240" s="4" t="s">
        <v>406</v>
      </c>
      <c r="G3240" s="4" t="s">
        <v>1346</v>
      </c>
      <c r="H3240" s="12" t="n">
        <v>1</v>
      </c>
      <c r="I3240" s="4" t="s">
        <v>408</v>
      </c>
      <c r="J3240" s="4" t="s">
        <v>409</v>
      </c>
      <c r="K3240" s="13" t="n">
        <v>80</v>
      </c>
      <c r="L3240" s="6" t="n">
        <f aca="false">H3240*K3240</f>
        <v>80</v>
      </c>
      <c r="M3240" s="14" t="s">
        <v>410</v>
      </c>
    </row>
    <row r="3241" customFormat="false" ht="15" hidden="false" customHeight="false" outlineLevel="0" collapsed="false">
      <c r="A3241" s="4" t="s">
        <v>120</v>
      </c>
      <c r="B3241" s="5" t="s">
        <v>127</v>
      </c>
      <c r="C3241" s="5" t="s">
        <v>128</v>
      </c>
      <c r="D3241" s="4" t="s">
        <v>16</v>
      </c>
      <c r="E3241" s="4" t="s">
        <v>1347</v>
      </c>
      <c r="F3241" s="4" t="s">
        <v>406</v>
      </c>
      <c r="G3241" s="4" t="s">
        <v>1348</v>
      </c>
      <c r="H3241" s="12" t="n">
        <v>1</v>
      </c>
      <c r="I3241" s="4" t="s">
        <v>408</v>
      </c>
      <c r="J3241" s="4" t="s">
        <v>409</v>
      </c>
      <c r="K3241" s="13" t="n">
        <v>650</v>
      </c>
      <c r="L3241" s="6" t="n">
        <f aca="false">H3241*K3241</f>
        <v>650</v>
      </c>
      <c r="M3241" s="14" t="s">
        <v>410</v>
      </c>
    </row>
    <row r="3242" customFormat="false" ht="15" hidden="false" customHeight="false" outlineLevel="0" collapsed="false">
      <c r="A3242" s="4" t="s">
        <v>120</v>
      </c>
      <c r="B3242" s="5" t="s">
        <v>127</v>
      </c>
      <c r="C3242" s="5" t="s">
        <v>128</v>
      </c>
      <c r="D3242" s="4" t="s">
        <v>16</v>
      </c>
      <c r="E3242" s="4" t="s">
        <v>1349</v>
      </c>
      <c r="F3242" s="4" t="s">
        <v>406</v>
      </c>
      <c r="G3242" s="4" t="s">
        <v>1350</v>
      </c>
      <c r="H3242" s="12" t="n">
        <v>1</v>
      </c>
      <c r="I3242" s="4" t="s">
        <v>408</v>
      </c>
      <c r="J3242" s="4" t="s">
        <v>409</v>
      </c>
      <c r="K3242" s="13" t="n">
        <v>180</v>
      </c>
      <c r="L3242" s="6" t="n">
        <f aca="false">H3242*K3242</f>
        <v>180</v>
      </c>
      <c r="M3242" s="14" t="s">
        <v>410</v>
      </c>
    </row>
    <row r="3243" customFormat="false" ht="15" hidden="false" customHeight="false" outlineLevel="0" collapsed="false">
      <c r="A3243" s="4" t="s">
        <v>120</v>
      </c>
      <c r="B3243" s="5" t="s">
        <v>127</v>
      </c>
      <c r="C3243" s="5" t="s">
        <v>128</v>
      </c>
      <c r="D3243" s="4" t="s">
        <v>16</v>
      </c>
      <c r="E3243" s="4" t="s">
        <v>1351</v>
      </c>
      <c r="F3243" s="4" t="s">
        <v>406</v>
      </c>
      <c r="G3243" s="4" t="s">
        <v>1352</v>
      </c>
      <c r="H3243" s="12" t="n">
        <v>1</v>
      </c>
      <c r="I3243" s="4" t="s">
        <v>408</v>
      </c>
      <c r="J3243" s="4" t="s">
        <v>409</v>
      </c>
      <c r="K3243" s="13" t="n">
        <v>150</v>
      </c>
      <c r="L3243" s="6" t="n">
        <f aca="false">H3243*K3243</f>
        <v>150</v>
      </c>
      <c r="M3243" s="14" t="s">
        <v>410</v>
      </c>
    </row>
    <row r="3244" customFormat="false" ht="15" hidden="false" customHeight="false" outlineLevel="0" collapsed="false">
      <c r="A3244" s="4" t="s">
        <v>120</v>
      </c>
      <c r="B3244" s="5" t="s">
        <v>127</v>
      </c>
      <c r="C3244" s="5" t="s">
        <v>128</v>
      </c>
      <c r="D3244" s="4" t="s">
        <v>16</v>
      </c>
      <c r="E3244" s="4" t="s">
        <v>1353</v>
      </c>
      <c r="F3244" s="4" t="s">
        <v>406</v>
      </c>
      <c r="G3244" s="4" t="s">
        <v>1354</v>
      </c>
      <c r="H3244" s="12" t="n">
        <v>1</v>
      </c>
      <c r="I3244" s="4" t="s">
        <v>408</v>
      </c>
      <c r="J3244" s="4" t="s">
        <v>409</v>
      </c>
      <c r="K3244" s="13" t="n">
        <v>120</v>
      </c>
      <c r="L3244" s="6" t="n">
        <f aca="false">H3244*K3244</f>
        <v>120</v>
      </c>
      <c r="M3244" s="14" t="s">
        <v>410</v>
      </c>
    </row>
    <row r="3245" customFormat="false" ht="15" hidden="false" customHeight="false" outlineLevel="0" collapsed="false">
      <c r="A3245" s="4" t="s">
        <v>120</v>
      </c>
      <c r="B3245" s="5" t="s">
        <v>127</v>
      </c>
      <c r="C3245" s="5" t="s">
        <v>128</v>
      </c>
      <c r="D3245" s="4" t="s">
        <v>16</v>
      </c>
      <c r="E3245" s="4" t="s">
        <v>1355</v>
      </c>
      <c r="F3245" s="4" t="s">
        <v>406</v>
      </c>
      <c r="G3245" s="4" t="s">
        <v>1356</v>
      </c>
      <c r="H3245" s="12" t="n">
        <v>1</v>
      </c>
      <c r="I3245" s="4" t="s">
        <v>408</v>
      </c>
      <c r="J3245" s="4" t="s">
        <v>409</v>
      </c>
      <c r="K3245" s="13" t="n">
        <v>45000</v>
      </c>
      <c r="L3245" s="6" t="n">
        <f aca="false">H3245*K3245</f>
        <v>45000</v>
      </c>
      <c r="M3245" s="4" t="s">
        <v>371</v>
      </c>
    </row>
    <row r="3246" customFormat="false" ht="15" hidden="false" customHeight="false" outlineLevel="0" collapsed="false">
      <c r="A3246" s="4" t="s">
        <v>120</v>
      </c>
      <c r="B3246" s="5" t="s">
        <v>127</v>
      </c>
      <c r="C3246" s="5" t="s">
        <v>128</v>
      </c>
      <c r="D3246" s="4" t="s">
        <v>16</v>
      </c>
      <c r="E3246" s="4" t="s">
        <v>1357</v>
      </c>
      <c r="F3246" s="4" t="s">
        <v>406</v>
      </c>
      <c r="G3246" s="4" t="s">
        <v>1358</v>
      </c>
      <c r="H3246" s="12" t="n">
        <v>1</v>
      </c>
      <c r="I3246" s="4" t="s">
        <v>408</v>
      </c>
      <c r="J3246" s="4" t="s">
        <v>409</v>
      </c>
      <c r="K3246" s="13" t="n">
        <v>850</v>
      </c>
      <c r="L3246" s="6" t="n">
        <f aca="false">H3246*K3246</f>
        <v>850</v>
      </c>
      <c r="M3246" s="14" t="s">
        <v>410</v>
      </c>
    </row>
    <row r="3247" customFormat="false" ht="15" hidden="false" customHeight="false" outlineLevel="0" collapsed="false">
      <c r="A3247" s="4" t="s">
        <v>120</v>
      </c>
      <c r="B3247" s="5" t="s">
        <v>127</v>
      </c>
      <c r="C3247" s="5" t="s">
        <v>128</v>
      </c>
      <c r="D3247" s="4" t="s">
        <v>16</v>
      </c>
      <c r="E3247" s="4" t="s">
        <v>1359</v>
      </c>
      <c r="F3247" s="4" t="s">
        <v>406</v>
      </c>
      <c r="G3247" s="4" t="s">
        <v>1360</v>
      </c>
      <c r="H3247" s="12" t="n">
        <v>1</v>
      </c>
      <c r="I3247" s="4" t="s">
        <v>408</v>
      </c>
      <c r="J3247" s="4" t="s">
        <v>409</v>
      </c>
      <c r="K3247" s="13" t="n">
        <v>1200</v>
      </c>
      <c r="L3247" s="6" t="n">
        <f aca="false">H3247*K3247</f>
        <v>1200</v>
      </c>
      <c r="M3247" s="14" t="s">
        <v>410</v>
      </c>
    </row>
    <row r="3248" customFormat="false" ht="15" hidden="false" customHeight="false" outlineLevel="0" collapsed="false">
      <c r="A3248" s="4" t="s">
        <v>120</v>
      </c>
      <c r="B3248" s="5" t="s">
        <v>127</v>
      </c>
      <c r="C3248" s="5" t="s">
        <v>128</v>
      </c>
      <c r="D3248" s="4" t="s">
        <v>16</v>
      </c>
      <c r="E3248" s="4" t="s">
        <v>1361</v>
      </c>
      <c r="F3248" s="4" t="s">
        <v>406</v>
      </c>
      <c r="G3248" s="4" t="s">
        <v>1362</v>
      </c>
      <c r="H3248" s="12" t="n">
        <v>1</v>
      </c>
      <c r="I3248" s="4" t="s">
        <v>408</v>
      </c>
      <c r="J3248" s="4" t="s">
        <v>409</v>
      </c>
      <c r="K3248" s="13" t="n">
        <v>4500</v>
      </c>
      <c r="L3248" s="6" t="n">
        <f aca="false">H3248*K3248</f>
        <v>4500</v>
      </c>
      <c r="M3248" s="14" t="s">
        <v>410</v>
      </c>
    </row>
    <row r="3249" customFormat="false" ht="15" hidden="false" customHeight="false" outlineLevel="0" collapsed="false">
      <c r="A3249" s="4" t="s">
        <v>120</v>
      </c>
      <c r="B3249" s="5" t="s">
        <v>127</v>
      </c>
      <c r="C3249" s="5" t="s">
        <v>128</v>
      </c>
      <c r="D3249" s="4" t="s">
        <v>16</v>
      </c>
      <c r="E3249" s="4" t="s">
        <v>1363</v>
      </c>
      <c r="F3249" s="4" t="s">
        <v>406</v>
      </c>
      <c r="G3249" s="4" t="s">
        <v>1364</v>
      </c>
      <c r="H3249" s="12" t="n">
        <v>1</v>
      </c>
      <c r="I3249" s="4" t="s">
        <v>408</v>
      </c>
      <c r="J3249" s="4" t="s">
        <v>409</v>
      </c>
      <c r="K3249" s="13" t="n">
        <v>1200</v>
      </c>
      <c r="L3249" s="6" t="n">
        <f aca="false">H3249*K3249</f>
        <v>1200</v>
      </c>
      <c r="M3249" s="14" t="s">
        <v>410</v>
      </c>
    </row>
    <row r="3250" customFormat="false" ht="15" hidden="false" customHeight="false" outlineLevel="0" collapsed="false">
      <c r="A3250" s="4" t="s">
        <v>120</v>
      </c>
      <c r="B3250" s="5" t="s">
        <v>127</v>
      </c>
      <c r="C3250" s="5" t="s">
        <v>128</v>
      </c>
      <c r="D3250" s="4" t="s">
        <v>16</v>
      </c>
      <c r="E3250" s="4" t="s">
        <v>1365</v>
      </c>
      <c r="F3250" s="4" t="s">
        <v>406</v>
      </c>
      <c r="G3250" s="4" t="s">
        <v>1366</v>
      </c>
      <c r="H3250" s="12" t="n">
        <v>1</v>
      </c>
      <c r="I3250" s="4" t="s">
        <v>408</v>
      </c>
      <c r="J3250" s="4" t="s">
        <v>409</v>
      </c>
      <c r="K3250" s="13" t="n">
        <v>18000</v>
      </c>
      <c r="L3250" s="6" t="n">
        <f aca="false">H3250*K3250</f>
        <v>18000</v>
      </c>
      <c r="M3250" s="14" t="s">
        <v>410</v>
      </c>
    </row>
    <row r="3251" customFormat="false" ht="15" hidden="false" customHeight="false" outlineLevel="0" collapsed="false">
      <c r="A3251" s="4" t="s">
        <v>120</v>
      </c>
      <c r="B3251" s="5" t="s">
        <v>127</v>
      </c>
      <c r="C3251" s="5" t="s">
        <v>128</v>
      </c>
      <c r="D3251" s="4" t="s">
        <v>16</v>
      </c>
      <c r="E3251" s="4" t="s">
        <v>1367</v>
      </c>
      <c r="F3251" s="4" t="s">
        <v>406</v>
      </c>
      <c r="G3251" s="4" t="s">
        <v>1368</v>
      </c>
      <c r="H3251" s="12" t="n">
        <v>1</v>
      </c>
      <c r="I3251" s="4" t="s">
        <v>408</v>
      </c>
      <c r="J3251" s="4" t="s">
        <v>409</v>
      </c>
      <c r="K3251" s="13" t="n">
        <v>1800</v>
      </c>
      <c r="L3251" s="6" t="n">
        <f aca="false">H3251*K3251</f>
        <v>1800</v>
      </c>
      <c r="M3251" s="14" t="s">
        <v>410</v>
      </c>
    </row>
    <row r="3252" customFormat="false" ht="15" hidden="false" customHeight="false" outlineLevel="0" collapsed="false">
      <c r="A3252" s="4" t="s">
        <v>120</v>
      </c>
      <c r="B3252" s="5" t="s">
        <v>127</v>
      </c>
      <c r="C3252" s="5" t="s">
        <v>128</v>
      </c>
      <c r="D3252" s="4" t="s">
        <v>16</v>
      </c>
      <c r="E3252" s="4" t="s">
        <v>1369</v>
      </c>
      <c r="F3252" s="4" t="s">
        <v>406</v>
      </c>
      <c r="G3252" s="4" t="s">
        <v>1370</v>
      </c>
      <c r="H3252" s="12" t="n">
        <v>1</v>
      </c>
      <c r="I3252" s="4" t="s">
        <v>408</v>
      </c>
      <c r="J3252" s="4" t="s">
        <v>409</v>
      </c>
      <c r="K3252" s="13" t="n">
        <v>4500</v>
      </c>
      <c r="L3252" s="6" t="n">
        <f aca="false">H3252*K3252</f>
        <v>4500</v>
      </c>
      <c r="M3252" s="14" t="s">
        <v>410</v>
      </c>
    </row>
    <row r="3253" customFormat="false" ht="15" hidden="false" customHeight="false" outlineLevel="0" collapsed="false">
      <c r="A3253" s="4" t="s">
        <v>120</v>
      </c>
      <c r="B3253" s="5" t="s">
        <v>127</v>
      </c>
      <c r="C3253" s="5" t="s">
        <v>128</v>
      </c>
      <c r="D3253" s="4" t="s">
        <v>16</v>
      </c>
      <c r="E3253" s="4" t="s">
        <v>1371</v>
      </c>
      <c r="F3253" s="4" t="s">
        <v>406</v>
      </c>
      <c r="G3253" s="4" t="s">
        <v>1372</v>
      </c>
      <c r="H3253" s="12" t="n">
        <v>1</v>
      </c>
      <c r="I3253" s="4" t="s">
        <v>408</v>
      </c>
      <c r="J3253" s="4" t="s">
        <v>409</v>
      </c>
      <c r="K3253" s="13" t="n">
        <v>18000</v>
      </c>
      <c r="L3253" s="6" t="n">
        <f aca="false">H3253*K3253</f>
        <v>18000</v>
      </c>
      <c r="M3253" s="14" t="s">
        <v>410</v>
      </c>
    </row>
    <row r="3254" customFormat="false" ht="15" hidden="false" customHeight="false" outlineLevel="0" collapsed="false">
      <c r="A3254" s="4" t="s">
        <v>120</v>
      </c>
      <c r="B3254" s="5" t="s">
        <v>127</v>
      </c>
      <c r="C3254" s="5" t="s">
        <v>128</v>
      </c>
      <c r="D3254" s="4" t="s">
        <v>16</v>
      </c>
      <c r="E3254" s="4" t="s">
        <v>1373</v>
      </c>
      <c r="F3254" s="4" t="s">
        <v>406</v>
      </c>
      <c r="G3254" s="4" t="s">
        <v>1374</v>
      </c>
      <c r="H3254" s="12" t="n">
        <v>1</v>
      </c>
      <c r="I3254" s="4" t="s">
        <v>408</v>
      </c>
      <c r="J3254" s="4" t="s">
        <v>409</v>
      </c>
      <c r="K3254" s="13" t="n">
        <v>1800</v>
      </c>
      <c r="L3254" s="6" t="n">
        <f aca="false">H3254*K3254</f>
        <v>1800</v>
      </c>
      <c r="M3254" s="14" t="s">
        <v>410</v>
      </c>
    </row>
    <row r="3255" customFormat="false" ht="15" hidden="false" customHeight="false" outlineLevel="0" collapsed="false">
      <c r="A3255" s="4" t="s">
        <v>120</v>
      </c>
      <c r="B3255" s="5" t="s">
        <v>127</v>
      </c>
      <c r="C3255" s="5" t="s">
        <v>128</v>
      </c>
      <c r="D3255" s="4" t="s">
        <v>16</v>
      </c>
      <c r="E3255" s="4" t="s">
        <v>1375</v>
      </c>
      <c r="F3255" s="4" t="s">
        <v>406</v>
      </c>
      <c r="G3255" s="4" t="s">
        <v>1376</v>
      </c>
      <c r="H3255" s="12" t="n">
        <v>1</v>
      </c>
      <c r="I3255" s="4" t="s">
        <v>408</v>
      </c>
      <c r="J3255" s="4" t="s">
        <v>409</v>
      </c>
      <c r="K3255" s="13" t="n">
        <v>4500</v>
      </c>
      <c r="L3255" s="6" t="n">
        <f aca="false">H3255*K3255</f>
        <v>4500</v>
      </c>
      <c r="M3255" s="14" t="s">
        <v>410</v>
      </c>
    </row>
    <row r="3256" customFormat="false" ht="15" hidden="false" customHeight="false" outlineLevel="0" collapsed="false">
      <c r="A3256" s="4" t="s">
        <v>120</v>
      </c>
      <c r="B3256" s="5" t="s">
        <v>127</v>
      </c>
      <c r="C3256" s="5" t="s">
        <v>128</v>
      </c>
      <c r="D3256" s="4" t="s">
        <v>16</v>
      </c>
      <c r="E3256" s="4" t="s">
        <v>1377</v>
      </c>
      <c r="F3256" s="4" t="s">
        <v>406</v>
      </c>
      <c r="G3256" s="4" t="s">
        <v>1378</v>
      </c>
      <c r="H3256" s="12" t="n">
        <v>1</v>
      </c>
      <c r="I3256" s="4" t="s">
        <v>408</v>
      </c>
      <c r="J3256" s="4" t="s">
        <v>409</v>
      </c>
      <c r="K3256" s="13" t="n">
        <v>1800</v>
      </c>
      <c r="L3256" s="6" t="n">
        <f aca="false">H3256*K3256</f>
        <v>1800</v>
      </c>
      <c r="M3256" s="14" t="s">
        <v>410</v>
      </c>
    </row>
    <row r="3257" customFormat="false" ht="15" hidden="false" customHeight="false" outlineLevel="0" collapsed="false">
      <c r="A3257" s="4" t="s">
        <v>120</v>
      </c>
      <c r="B3257" s="5" t="s">
        <v>127</v>
      </c>
      <c r="C3257" s="5" t="s">
        <v>128</v>
      </c>
      <c r="D3257" s="4" t="s">
        <v>16</v>
      </c>
      <c r="E3257" s="4" t="s">
        <v>1379</v>
      </c>
      <c r="F3257" s="4" t="s">
        <v>406</v>
      </c>
      <c r="G3257" s="4" t="s">
        <v>1380</v>
      </c>
      <c r="H3257" s="12" t="n">
        <v>1</v>
      </c>
      <c r="I3257" s="4" t="s">
        <v>408</v>
      </c>
      <c r="J3257" s="4" t="s">
        <v>409</v>
      </c>
      <c r="K3257" s="13" t="n">
        <v>2500</v>
      </c>
      <c r="L3257" s="6" t="n">
        <f aca="false">H3257*K3257</f>
        <v>2500</v>
      </c>
      <c r="M3257" s="14" t="s">
        <v>410</v>
      </c>
    </row>
    <row r="3258" customFormat="false" ht="15" hidden="false" customHeight="false" outlineLevel="0" collapsed="false">
      <c r="A3258" s="4" t="s">
        <v>120</v>
      </c>
      <c r="B3258" s="5" t="s">
        <v>127</v>
      </c>
      <c r="C3258" s="5" t="s">
        <v>128</v>
      </c>
      <c r="D3258" s="4" t="s">
        <v>16</v>
      </c>
      <c r="E3258" s="4" t="s">
        <v>1385</v>
      </c>
      <c r="F3258" s="4" t="s">
        <v>406</v>
      </c>
      <c r="G3258" s="4" t="s">
        <v>1386</v>
      </c>
      <c r="H3258" s="12" t="n">
        <v>1</v>
      </c>
      <c r="I3258" s="4" t="s">
        <v>408</v>
      </c>
      <c r="J3258" s="4" t="s">
        <v>409</v>
      </c>
      <c r="K3258" s="13" t="n">
        <v>8500</v>
      </c>
      <c r="L3258" s="6" t="n">
        <f aca="false">H3258*K3258</f>
        <v>8500</v>
      </c>
      <c r="M3258" s="14" t="s">
        <v>410</v>
      </c>
    </row>
    <row r="3259" customFormat="false" ht="15" hidden="false" customHeight="false" outlineLevel="0" collapsed="false">
      <c r="A3259" s="4" t="s">
        <v>120</v>
      </c>
      <c r="B3259" s="5" t="s">
        <v>127</v>
      </c>
      <c r="C3259" s="5" t="s">
        <v>128</v>
      </c>
      <c r="D3259" s="4" t="s">
        <v>16</v>
      </c>
      <c r="E3259" s="4" t="s">
        <v>1343</v>
      </c>
      <c r="F3259" s="4" t="s">
        <v>406</v>
      </c>
      <c r="G3259" s="4" t="s">
        <v>1344</v>
      </c>
      <c r="H3259" s="12" t="n">
        <v>1</v>
      </c>
      <c r="I3259" s="4" t="s">
        <v>408</v>
      </c>
      <c r="J3259" s="4" t="s">
        <v>416</v>
      </c>
      <c r="K3259" s="13" t="n">
        <v>4500</v>
      </c>
      <c r="L3259" s="6" t="n">
        <f aca="false">H3259*K3259</f>
        <v>4500</v>
      </c>
      <c r="M3259" s="14" t="s">
        <v>410</v>
      </c>
    </row>
    <row r="3260" customFormat="false" ht="15" hidden="false" customHeight="false" outlineLevel="0" collapsed="false">
      <c r="A3260" s="4" t="s">
        <v>120</v>
      </c>
      <c r="B3260" s="5" t="s">
        <v>127</v>
      </c>
      <c r="C3260" s="5" t="s">
        <v>128</v>
      </c>
      <c r="D3260" s="4" t="s">
        <v>16</v>
      </c>
      <c r="E3260" s="4" t="s">
        <v>1387</v>
      </c>
      <c r="F3260" s="4" t="s">
        <v>406</v>
      </c>
      <c r="G3260" s="4" t="s">
        <v>1388</v>
      </c>
      <c r="H3260" s="12" t="n">
        <v>1</v>
      </c>
      <c r="I3260" s="4" t="s">
        <v>408</v>
      </c>
      <c r="J3260" s="4" t="s">
        <v>409</v>
      </c>
      <c r="K3260" s="13" t="n">
        <v>1800</v>
      </c>
      <c r="L3260" s="6" t="n">
        <f aca="false">H3260*K3260</f>
        <v>1800</v>
      </c>
      <c r="M3260" s="14" t="s">
        <v>410</v>
      </c>
    </row>
    <row r="3261" customFormat="false" ht="15" hidden="false" customHeight="false" outlineLevel="0" collapsed="false">
      <c r="A3261" s="4" t="s">
        <v>120</v>
      </c>
      <c r="B3261" s="5" t="s">
        <v>127</v>
      </c>
      <c r="C3261" s="5" t="s">
        <v>128</v>
      </c>
      <c r="D3261" s="4" t="s">
        <v>16</v>
      </c>
      <c r="E3261" s="4" t="s">
        <v>1389</v>
      </c>
      <c r="F3261" s="4" t="s">
        <v>406</v>
      </c>
      <c r="G3261" s="4" t="s">
        <v>1390</v>
      </c>
      <c r="H3261" s="12" t="n">
        <v>1</v>
      </c>
      <c r="I3261" s="4" t="s">
        <v>408</v>
      </c>
      <c r="J3261" s="4" t="s">
        <v>409</v>
      </c>
      <c r="K3261" s="13" t="n">
        <v>350</v>
      </c>
      <c r="L3261" s="6" t="n">
        <f aca="false">H3261*K3261</f>
        <v>350</v>
      </c>
      <c r="M3261" s="14" t="s">
        <v>410</v>
      </c>
    </row>
    <row r="3262" customFormat="false" ht="15" hidden="false" customHeight="false" outlineLevel="0" collapsed="false">
      <c r="A3262" s="4" t="s">
        <v>120</v>
      </c>
      <c r="B3262" s="5" t="s">
        <v>127</v>
      </c>
      <c r="C3262" s="5" t="s">
        <v>128</v>
      </c>
      <c r="D3262" s="4" t="s">
        <v>16</v>
      </c>
      <c r="E3262" s="4" t="s">
        <v>1391</v>
      </c>
      <c r="F3262" s="4" t="s">
        <v>470</v>
      </c>
      <c r="G3262" s="4" t="s">
        <v>1392</v>
      </c>
      <c r="H3262" s="12" t="n">
        <v>1</v>
      </c>
      <c r="I3262" s="4" t="s">
        <v>408</v>
      </c>
      <c r="J3262" s="4" t="s">
        <v>409</v>
      </c>
      <c r="K3262" s="13" t="n">
        <v>45000</v>
      </c>
      <c r="L3262" s="6" t="n">
        <f aca="false">H3262*K3262</f>
        <v>45000</v>
      </c>
      <c r="M3262" s="14" t="s">
        <v>410</v>
      </c>
    </row>
    <row r="3263" customFormat="false" ht="15" hidden="false" customHeight="false" outlineLevel="0" collapsed="false">
      <c r="A3263" s="4" t="s">
        <v>120</v>
      </c>
      <c r="B3263" s="5" t="s">
        <v>127</v>
      </c>
      <c r="C3263" s="5" t="s">
        <v>128</v>
      </c>
      <c r="D3263" s="4" t="s">
        <v>16</v>
      </c>
      <c r="E3263" s="4" t="s">
        <v>1393</v>
      </c>
      <c r="F3263" s="4" t="s">
        <v>470</v>
      </c>
      <c r="G3263" s="4" t="s">
        <v>1394</v>
      </c>
      <c r="H3263" s="12" t="n">
        <v>1</v>
      </c>
      <c r="I3263" s="4" t="s">
        <v>408</v>
      </c>
      <c r="J3263" s="4" t="s">
        <v>409</v>
      </c>
      <c r="K3263" s="13" t="n">
        <v>6500</v>
      </c>
      <c r="L3263" s="6" t="n">
        <f aca="false">H3263*K3263</f>
        <v>6500</v>
      </c>
      <c r="M3263" s="4" t="s">
        <v>371</v>
      </c>
    </row>
    <row r="3264" customFormat="false" ht="15" hidden="false" customHeight="false" outlineLevel="0" collapsed="false">
      <c r="A3264" s="4" t="s">
        <v>120</v>
      </c>
      <c r="B3264" s="5" t="s">
        <v>127</v>
      </c>
      <c r="C3264" s="5" t="s">
        <v>128</v>
      </c>
      <c r="D3264" s="4" t="s">
        <v>16</v>
      </c>
      <c r="E3264" s="4" t="s">
        <v>1395</v>
      </c>
      <c r="F3264" s="4" t="s">
        <v>470</v>
      </c>
      <c r="G3264" s="4" t="s">
        <v>1396</v>
      </c>
      <c r="H3264" s="12" t="n">
        <v>1</v>
      </c>
      <c r="I3264" s="4" t="s">
        <v>408</v>
      </c>
      <c r="J3264" s="4" t="s">
        <v>409</v>
      </c>
      <c r="K3264" s="13" t="n">
        <v>18000</v>
      </c>
      <c r="L3264" s="6" t="n">
        <f aca="false">H3264*K3264</f>
        <v>18000</v>
      </c>
      <c r="M3264" s="4" t="s">
        <v>371</v>
      </c>
    </row>
    <row r="3265" customFormat="false" ht="15" hidden="false" customHeight="false" outlineLevel="0" collapsed="false">
      <c r="A3265" s="4" t="s">
        <v>120</v>
      </c>
      <c r="B3265" s="5" t="s">
        <v>127</v>
      </c>
      <c r="C3265" s="5" t="s">
        <v>128</v>
      </c>
      <c r="D3265" s="4" t="s">
        <v>16</v>
      </c>
      <c r="E3265" s="4" t="s">
        <v>1397</v>
      </c>
      <c r="F3265" s="4" t="s">
        <v>470</v>
      </c>
      <c r="G3265" s="4" t="s">
        <v>1398</v>
      </c>
      <c r="H3265" s="12" t="n">
        <v>1</v>
      </c>
      <c r="I3265" s="4" t="s">
        <v>408</v>
      </c>
      <c r="J3265" s="4" t="s">
        <v>409</v>
      </c>
      <c r="K3265" s="13" t="n">
        <v>18000</v>
      </c>
      <c r="L3265" s="6" t="n">
        <f aca="false">H3265*K3265</f>
        <v>18000</v>
      </c>
      <c r="M3265" s="4" t="s">
        <v>371</v>
      </c>
    </row>
    <row r="3266" customFormat="false" ht="15" hidden="false" customHeight="false" outlineLevel="0" collapsed="false">
      <c r="A3266" s="4" t="s">
        <v>120</v>
      </c>
      <c r="B3266" s="5" t="s">
        <v>127</v>
      </c>
      <c r="C3266" s="5" t="s">
        <v>128</v>
      </c>
      <c r="D3266" s="4" t="s">
        <v>16</v>
      </c>
      <c r="E3266" s="4" t="s">
        <v>4116</v>
      </c>
      <c r="F3266" s="4" t="s">
        <v>470</v>
      </c>
      <c r="G3266" s="4" t="s">
        <v>1400</v>
      </c>
      <c r="H3266" s="12" t="n">
        <v>1</v>
      </c>
      <c r="I3266" s="4" t="s">
        <v>408</v>
      </c>
      <c r="J3266" s="4" t="s">
        <v>409</v>
      </c>
      <c r="K3266" s="13" t="n">
        <v>8500</v>
      </c>
      <c r="L3266" s="6" t="n">
        <f aca="false">H3266*K3266</f>
        <v>8500</v>
      </c>
      <c r="M3266" s="4" t="s">
        <v>371</v>
      </c>
    </row>
    <row r="3267" customFormat="false" ht="15" hidden="false" customHeight="false" outlineLevel="0" collapsed="false">
      <c r="A3267" s="4" t="s">
        <v>120</v>
      </c>
      <c r="B3267" s="5" t="s">
        <v>127</v>
      </c>
      <c r="C3267" s="5" t="s">
        <v>128</v>
      </c>
      <c r="D3267" s="4" t="s">
        <v>16</v>
      </c>
      <c r="E3267" s="4" t="s">
        <v>1401</v>
      </c>
      <c r="F3267" s="4" t="s">
        <v>470</v>
      </c>
      <c r="G3267" s="4" t="s">
        <v>1402</v>
      </c>
      <c r="H3267" s="12" t="n">
        <v>1</v>
      </c>
      <c r="I3267" s="4" t="s">
        <v>408</v>
      </c>
      <c r="J3267" s="4" t="s">
        <v>409</v>
      </c>
      <c r="K3267" s="13" t="n">
        <v>8500</v>
      </c>
      <c r="L3267" s="6" t="n">
        <f aca="false">H3267*K3267</f>
        <v>8500</v>
      </c>
      <c r="M3267" s="4" t="s">
        <v>371</v>
      </c>
    </row>
    <row r="3268" customFormat="false" ht="15" hidden="false" customHeight="false" outlineLevel="0" collapsed="false">
      <c r="A3268" s="4" t="s">
        <v>120</v>
      </c>
      <c r="B3268" s="5" t="s">
        <v>127</v>
      </c>
      <c r="C3268" s="5" t="s">
        <v>128</v>
      </c>
      <c r="D3268" s="4" t="s">
        <v>16</v>
      </c>
      <c r="E3268" s="4" t="s">
        <v>1403</v>
      </c>
      <c r="F3268" s="4" t="s">
        <v>470</v>
      </c>
      <c r="G3268" s="4" t="s">
        <v>1404</v>
      </c>
      <c r="H3268" s="12" t="n">
        <v>5</v>
      </c>
      <c r="I3268" s="4" t="s">
        <v>474</v>
      </c>
      <c r="J3268" s="4" t="s">
        <v>409</v>
      </c>
      <c r="K3268" s="13" t="n">
        <v>8500</v>
      </c>
      <c r="L3268" s="6" t="n">
        <f aca="false">H3268*K3268</f>
        <v>42500</v>
      </c>
      <c r="M3268" s="4" t="s">
        <v>371</v>
      </c>
    </row>
    <row r="3269" customFormat="false" ht="15" hidden="false" customHeight="false" outlineLevel="0" collapsed="false">
      <c r="A3269" s="4" t="s">
        <v>120</v>
      </c>
      <c r="B3269" s="5" t="s">
        <v>127</v>
      </c>
      <c r="C3269" s="5" t="s">
        <v>128</v>
      </c>
      <c r="D3269" s="4" t="s">
        <v>16</v>
      </c>
      <c r="E3269" s="4" t="s">
        <v>1405</v>
      </c>
      <c r="F3269" s="4" t="s">
        <v>470</v>
      </c>
      <c r="G3269" s="4" t="s">
        <v>1406</v>
      </c>
      <c r="H3269" s="12" t="n">
        <v>1</v>
      </c>
      <c r="I3269" s="4" t="s">
        <v>408</v>
      </c>
      <c r="J3269" s="4" t="s">
        <v>409</v>
      </c>
      <c r="K3269" s="13" t="n">
        <v>1800</v>
      </c>
      <c r="L3269" s="6" t="n">
        <f aca="false">H3269*K3269</f>
        <v>1800</v>
      </c>
      <c r="M3269" s="4" t="s">
        <v>371</v>
      </c>
    </row>
    <row r="3270" customFormat="false" ht="15" hidden="false" customHeight="false" outlineLevel="0" collapsed="false">
      <c r="A3270" s="4" t="s">
        <v>120</v>
      </c>
      <c r="B3270" s="5" t="s">
        <v>127</v>
      </c>
      <c r="C3270" s="5" t="s">
        <v>128</v>
      </c>
      <c r="D3270" s="4" t="s">
        <v>16</v>
      </c>
      <c r="E3270" s="4" t="s">
        <v>1409</v>
      </c>
      <c r="F3270" s="4" t="s">
        <v>470</v>
      </c>
      <c r="G3270" s="4" t="s">
        <v>1410</v>
      </c>
      <c r="H3270" s="12" t="n">
        <v>1</v>
      </c>
      <c r="I3270" s="4" t="s">
        <v>408</v>
      </c>
      <c r="J3270" s="4" t="s">
        <v>409</v>
      </c>
      <c r="K3270" s="13" t="n">
        <v>8500</v>
      </c>
      <c r="L3270" s="6" t="n">
        <f aca="false">H3270*K3270</f>
        <v>8500</v>
      </c>
      <c r="M3270" s="4" t="s">
        <v>371</v>
      </c>
    </row>
    <row r="3271" customFormat="false" ht="15" hidden="false" customHeight="false" outlineLevel="0" collapsed="false">
      <c r="A3271" s="4" t="s">
        <v>120</v>
      </c>
      <c r="B3271" s="5" t="s">
        <v>127</v>
      </c>
      <c r="C3271" s="5" t="s">
        <v>128</v>
      </c>
      <c r="D3271" s="4" t="s">
        <v>16</v>
      </c>
      <c r="E3271" s="4" t="s">
        <v>1411</v>
      </c>
      <c r="F3271" s="4" t="s">
        <v>470</v>
      </c>
      <c r="G3271" s="4" t="s">
        <v>1412</v>
      </c>
      <c r="H3271" s="12" t="n">
        <v>1</v>
      </c>
      <c r="I3271" s="4" t="s">
        <v>408</v>
      </c>
      <c r="J3271" s="4" t="s">
        <v>416</v>
      </c>
      <c r="K3271" s="13" t="n">
        <v>8500</v>
      </c>
      <c r="L3271" s="6" t="n">
        <f aca="false">H3271*K3271</f>
        <v>8500</v>
      </c>
      <c r="M3271" s="4" t="s">
        <v>371</v>
      </c>
    </row>
    <row r="3272" customFormat="false" ht="15" hidden="false" customHeight="false" outlineLevel="0" collapsed="false">
      <c r="A3272" s="4" t="s">
        <v>120</v>
      </c>
      <c r="B3272" s="5" t="s">
        <v>127</v>
      </c>
      <c r="C3272" s="5" t="s">
        <v>128</v>
      </c>
      <c r="D3272" s="4" t="s">
        <v>16</v>
      </c>
      <c r="E3272" s="4" t="s">
        <v>1381</v>
      </c>
      <c r="F3272" s="4" t="s">
        <v>470</v>
      </c>
      <c r="G3272" s="4" t="s">
        <v>1382</v>
      </c>
      <c r="H3272" s="12" t="n">
        <v>1</v>
      </c>
      <c r="I3272" s="4" t="s">
        <v>408</v>
      </c>
      <c r="J3272" s="4" t="s">
        <v>409</v>
      </c>
      <c r="K3272" s="13" t="n">
        <v>18000</v>
      </c>
      <c r="L3272" s="6" t="n">
        <f aca="false">H3272*K3272</f>
        <v>18000</v>
      </c>
      <c r="M3272" s="14" t="s">
        <v>410</v>
      </c>
    </row>
    <row r="3273" customFormat="false" ht="15" hidden="false" customHeight="false" outlineLevel="0" collapsed="false">
      <c r="A3273" s="4" t="s">
        <v>120</v>
      </c>
      <c r="B3273" s="5" t="s">
        <v>127</v>
      </c>
      <c r="C3273" s="5" t="s">
        <v>128</v>
      </c>
      <c r="D3273" s="4" t="s">
        <v>16</v>
      </c>
      <c r="E3273" s="4" t="s">
        <v>1383</v>
      </c>
      <c r="F3273" s="4" t="s">
        <v>470</v>
      </c>
      <c r="G3273" s="4" t="s">
        <v>1384</v>
      </c>
      <c r="H3273" s="12" t="n">
        <v>1</v>
      </c>
      <c r="I3273" s="4" t="s">
        <v>408</v>
      </c>
      <c r="J3273" s="4" t="s">
        <v>409</v>
      </c>
      <c r="K3273" s="13" t="n">
        <v>25000</v>
      </c>
      <c r="L3273" s="6" t="n">
        <f aca="false">H3273*K3273</f>
        <v>25000</v>
      </c>
      <c r="M3273" s="14" t="s">
        <v>410</v>
      </c>
    </row>
    <row r="3274" customFormat="false" ht="15" hidden="false" customHeight="false" outlineLevel="0" collapsed="false">
      <c r="A3274" s="4" t="s">
        <v>120</v>
      </c>
      <c r="B3274" s="5" t="s">
        <v>127</v>
      </c>
      <c r="C3274" s="5" t="s">
        <v>128</v>
      </c>
      <c r="D3274" s="4" t="s">
        <v>16</v>
      </c>
      <c r="E3274" s="4" t="s">
        <v>1413</v>
      </c>
      <c r="F3274" s="4" t="s">
        <v>470</v>
      </c>
      <c r="G3274" s="4" t="s">
        <v>1414</v>
      </c>
      <c r="H3274" s="12" t="n">
        <v>1</v>
      </c>
      <c r="I3274" s="4" t="s">
        <v>408</v>
      </c>
      <c r="J3274" s="4" t="s">
        <v>409</v>
      </c>
      <c r="K3274" s="13" t="n">
        <v>1200</v>
      </c>
      <c r="L3274" s="6" t="n">
        <f aca="false">H3274*K3274</f>
        <v>1200</v>
      </c>
      <c r="M3274" s="4" t="s">
        <v>371</v>
      </c>
    </row>
    <row r="3275" customFormat="false" ht="15" hidden="false" customHeight="false" outlineLevel="0" collapsed="false">
      <c r="A3275" s="4" t="s">
        <v>120</v>
      </c>
      <c r="B3275" s="5" t="s">
        <v>127</v>
      </c>
      <c r="C3275" s="5" t="s">
        <v>128</v>
      </c>
      <c r="D3275" s="4" t="s">
        <v>16</v>
      </c>
      <c r="E3275" s="4" t="s">
        <v>1415</v>
      </c>
      <c r="F3275" s="4" t="s">
        <v>470</v>
      </c>
      <c r="G3275" s="4" t="s">
        <v>1416</v>
      </c>
      <c r="H3275" s="12" t="n">
        <v>1</v>
      </c>
      <c r="I3275" s="4" t="s">
        <v>408</v>
      </c>
      <c r="J3275" s="4" t="s">
        <v>416</v>
      </c>
      <c r="K3275" s="13" t="n">
        <v>4500</v>
      </c>
      <c r="L3275" s="6" t="n">
        <f aca="false">H3275*K3275</f>
        <v>4500</v>
      </c>
      <c r="M3275" s="4" t="s">
        <v>371</v>
      </c>
    </row>
    <row r="3276" customFormat="false" ht="15" hidden="false" customHeight="false" outlineLevel="0" collapsed="false">
      <c r="A3276" s="4" t="s">
        <v>120</v>
      </c>
      <c r="B3276" s="5" t="s">
        <v>127</v>
      </c>
      <c r="C3276" s="5" t="s">
        <v>128</v>
      </c>
      <c r="D3276" s="4" t="s">
        <v>16</v>
      </c>
      <c r="E3276" s="4" t="s">
        <v>1417</v>
      </c>
      <c r="F3276" s="4" t="s">
        <v>470</v>
      </c>
      <c r="G3276" s="4" t="s">
        <v>1418</v>
      </c>
      <c r="H3276" s="12" t="n">
        <v>1</v>
      </c>
      <c r="I3276" s="4" t="s">
        <v>408</v>
      </c>
      <c r="J3276" s="4" t="s">
        <v>416</v>
      </c>
      <c r="K3276" s="13" t="n">
        <v>2500</v>
      </c>
      <c r="L3276" s="6" t="n">
        <f aca="false">H3276*K3276</f>
        <v>2500</v>
      </c>
      <c r="M3276" s="4" t="s">
        <v>371</v>
      </c>
    </row>
    <row r="3277" customFormat="false" ht="15" hidden="false" customHeight="false" outlineLevel="0" collapsed="false">
      <c r="A3277" s="4" t="s">
        <v>120</v>
      </c>
      <c r="B3277" s="5" t="s">
        <v>127</v>
      </c>
      <c r="C3277" s="5" t="s">
        <v>128</v>
      </c>
      <c r="D3277" s="4" t="s">
        <v>16</v>
      </c>
      <c r="E3277" s="4" t="s">
        <v>1458</v>
      </c>
      <c r="F3277" s="4" t="s">
        <v>470</v>
      </c>
      <c r="G3277" s="4" t="s">
        <v>1459</v>
      </c>
      <c r="H3277" s="12" t="n">
        <v>1</v>
      </c>
      <c r="I3277" s="4" t="s">
        <v>408</v>
      </c>
      <c r="J3277" s="4" t="s">
        <v>416</v>
      </c>
      <c r="K3277" s="13" t="n">
        <v>8500</v>
      </c>
      <c r="L3277" s="6" t="n">
        <f aca="false">H3277*K3277</f>
        <v>8500</v>
      </c>
      <c r="M3277" s="4" t="s">
        <v>371</v>
      </c>
    </row>
    <row r="3278" customFormat="false" ht="15" hidden="false" customHeight="false" outlineLevel="0" collapsed="false">
      <c r="A3278" s="4" t="s">
        <v>120</v>
      </c>
      <c r="B3278" s="5" t="s">
        <v>127</v>
      </c>
      <c r="C3278" s="5" t="s">
        <v>128</v>
      </c>
      <c r="D3278" s="4" t="s">
        <v>16</v>
      </c>
      <c r="E3278" s="4" t="s">
        <v>1421</v>
      </c>
      <c r="F3278" s="4" t="s">
        <v>470</v>
      </c>
      <c r="G3278" s="4" t="s">
        <v>1422</v>
      </c>
      <c r="H3278" s="12" t="n">
        <v>1</v>
      </c>
      <c r="I3278" s="4" t="s">
        <v>408</v>
      </c>
      <c r="J3278" s="4" t="s">
        <v>416</v>
      </c>
      <c r="K3278" s="13" t="n">
        <v>2500</v>
      </c>
      <c r="L3278" s="6" t="n">
        <f aca="false">H3278*K3278</f>
        <v>2500</v>
      </c>
      <c r="M3278" s="4" t="s">
        <v>371</v>
      </c>
    </row>
    <row r="3279" customFormat="false" ht="15" hidden="false" customHeight="false" outlineLevel="0" collapsed="false">
      <c r="A3279" s="4" t="s">
        <v>120</v>
      </c>
      <c r="B3279" s="5" t="s">
        <v>127</v>
      </c>
      <c r="C3279" s="5" t="s">
        <v>128</v>
      </c>
      <c r="D3279" s="4" t="s">
        <v>16</v>
      </c>
      <c r="E3279" s="4" t="s">
        <v>1423</v>
      </c>
      <c r="F3279" s="4" t="s">
        <v>470</v>
      </c>
      <c r="G3279" s="4" t="s">
        <v>1424</v>
      </c>
      <c r="H3279" s="12" t="n">
        <v>1</v>
      </c>
      <c r="I3279" s="4" t="s">
        <v>408</v>
      </c>
      <c r="J3279" s="4" t="s">
        <v>409</v>
      </c>
      <c r="K3279" s="13" t="n">
        <v>3500</v>
      </c>
      <c r="L3279" s="6" t="n">
        <f aca="false">H3279*K3279</f>
        <v>3500</v>
      </c>
      <c r="M3279" s="4" t="s">
        <v>371</v>
      </c>
    </row>
    <row r="3280" customFormat="false" ht="15" hidden="false" customHeight="false" outlineLevel="0" collapsed="false">
      <c r="A3280" s="4" t="s">
        <v>120</v>
      </c>
      <c r="B3280" s="5" t="s">
        <v>127</v>
      </c>
      <c r="C3280" s="5" t="s">
        <v>128</v>
      </c>
      <c r="D3280" s="4" t="s">
        <v>16</v>
      </c>
      <c r="E3280" s="4" t="s">
        <v>1425</v>
      </c>
      <c r="F3280" s="4" t="s">
        <v>488</v>
      </c>
      <c r="G3280" s="4" t="s">
        <v>1426</v>
      </c>
      <c r="H3280" s="12" t="n">
        <v>1</v>
      </c>
      <c r="I3280" s="4" t="s">
        <v>408</v>
      </c>
      <c r="J3280" s="4" t="s">
        <v>506</v>
      </c>
      <c r="K3280" s="13" t="n">
        <v>100</v>
      </c>
      <c r="L3280" s="6" t="n">
        <f aca="false">H3280*K3280</f>
        <v>100</v>
      </c>
      <c r="M3280" s="4" t="s">
        <v>371</v>
      </c>
    </row>
    <row r="3281" customFormat="false" ht="15" hidden="false" customHeight="false" outlineLevel="0" collapsed="false">
      <c r="A3281" s="4" t="s">
        <v>120</v>
      </c>
      <c r="B3281" s="5" t="s">
        <v>127</v>
      </c>
      <c r="C3281" s="5" t="s">
        <v>128</v>
      </c>
      <c r="D3281" s="4" t="s">
        <v>16</v>
      </c>
      <c r="E3281" s="4" t="s">
        <v>1427</v>
      </c>
      <c r="F3281" s="4" t="s">
        <v>488</v>
      </c>
      <c r="G3281" s="4" t="s">
        <v>1428</v>
      </c>
      <c r="H3281" s="12" t="n">
        <v>1</v>
      </c>
      <c r="I3281" s="4" t="s">
        <v>408</v>
      </c>
      <c r="J3281" s="4" t="s">
        <v>480</v>
      </c>
      <c r="K3281" s="13" t="n">
        <v>100</v>
      </c>
      <c r="L3281" s="6" t="n">
        <f aca="false">H3281*K3281</f>
        <v>100</v>
      </c>
      <c r="M3281" s="4" t="s">
        <v>371</v>
      </c>
    </row>
    <row r="3282" customFormat="false" ht="15" hidden="false" customHeight="false" outlineLevel="0" collapsed="false">
      <c r="A3282" s="4" t="s">
        <v>120</v>
      </c>
      <c r="B3282" s="5" t="s">
        <v>127</v>
      </c>
      <c r="C3282" s="5" t="s">
        <v>128</v>
      </c>
      <c r="D3282" s="4" t="s">
        <v>16</v>
      </c>
      <c r="E3282" s="4" t="s">
        <v>1429</v>
      </c>
      <c r="F3282" s="4" t="s">
        <v>488</v>
      </c>
      <c r="G3282" s="4" t="s">
        <v>1430</v>
      </c>
      <c r="H3282" s="12" t="n">
        <v>1</v>
      </c>
      <c r="I3282" s="4" t="s">
        <v>408</v>
      </c>
      <c r="J3282" s="4" t="s">
        <v>506</v>
      </c>
      <c r="K3282" s="13" t="n">
        <v>120</v>
      </c>
      <c r="L3282" s="6" t="n">
        <f aca="false">H3282*K3282</f>
        <v>120</v>
      </c>
      <c r="M3282" s="4" t="s">
        <v>371</v>
      </c>
    </row>
    <row r="3283" customFormat="false" ht="15" hidden="false" customHeight="false" outlineLevel="0" collapsed="false">
      <c r="A3283" s="4" t="s">
        <v>120</v>
      </c>
      <c r="B3283" s="5" t="s">
        <v>127</v>
      </c>
      <c r="C3283" s="5" t="s">
        <v>128</v>
      </c>
      <c r="D3283" s="4" t="s">
        <v>16</v>
      </c>
      <c r="E3283" s="4" t="s">
        <v>1431</v>
      </c>
      <c r="F3283" s="4" t="s">
        <v>488</v>
      </c>
      <c r="G3283" s="4" t="s">
        <v>1432</v>
      </c>
      <c r="H3283" s="12" t="n">
        <v>1</v>
      </c>
      <c r="I3283" s="4" t="s">
        <v>408</v>
      </c>
      <c r="J3283" s="4" t="s">
        <v>480</v>
      </c>
      <c r="K3283" s="13" t="n">
        <v>80</v>
      </c>
      <c r="L3283" s="6" t="n">
        <f aca="false">H3283*K3283</f>
        <v>80</v>
      </c>
      <c r="M3283" s="4" t="s">
        <v>371</v>
      </c>
    </row>
    <row r="3284" customFormat="false" ht="15" hidden="false" customHeight="false" outlineLevel="0" collapsed="false">
      <c r="A3284" s="4" t="s">
        <v>120</v>
      </c>
      <c r="B3284" s="5" t="s">
        <v>127</v>
      </c>
      <c r="C3284" s="5" t="s">
        <v>128</v>
      </c>
      <c r="D3284" s="4" t="s">
        <v>16</v>
      </c>
      <c r="E3284" s="4" t="s">
        <v>1433</v>
      </c>
      <c r="F3284" s="4" t="s">
        <v>488</v>
      </c>
      <c r="G3284" s="4" t="s">
        <v>1434</v>
      </c>
      <c r="H3284" s="12" t="n">
        <v>1</v>
      </c>
      <c r="I3284" s="4" t="s">
        <v>408</v>
      </c>
      <c r="J3284" s="4" t="s">
        <v>480</v>
      </c>
      <c r="K3284" s="13" t="n">
        <v>80</v>
      </c>
      <c r="L3284" s="6" t="n">
        <f aca="false">H3284*K3284</f>
        <v>80</v>
      </c>
      <c r="M3284" s="4" t="s">
        <v>371</v>
      </c>
    </row>
    <row r="3285" customFormat="false" ht="15" hidden="false" customHeight="false" outlineLevel="0" collapsed="false">
      <c r="A3285" s="4" t="s">
        <v>120</v>
      </c>
      <c r="B3285" s="5" t="s">
        <v>127</v>
      </c>
      <c r="C3285" s="5" t="s">
        <v>128</v>
      </c>
      <c r="D3285" s="4" t="s">
        <v>16</v>
      </c>
      <c r="E3285" s="4" t="s">
        <v>1435</v>
      </c>
      <c r="F3285" s="4" t="s">
        <v>488</v>
      </c>
      <c r="G3285" s="4" t="s">
        <v>1436</v>
      </c>
      <c r="H3285" s="12" t="n">
        <v>1</v>
      </c>
      <c r="I3285" s="4" t="s">
        <v>408</v>
      </c>
      <c r="J3285" s="4" t="s">
        <v>416</v>
      </c>
      <c r="K3285" s="13" t="n">
        <v>180</v>
      </c>
      <c r="L3285" s="6" t="n">
        <f aca="false">H3285*K3285</f>
        <v>180</v>
      </c>
      <c r="M3285" s="4" t="s">
        <v>371</v>
      </c>
    </row>
    <row r="3286" customFormat="false" ht="15" hidden="false" customHeight="false" outlineLevel="0" collapsed="false">
      <c r="A3286" s="4" t="s">
        <v>120</v>
      </c>
      <c r="B3286" s="5" t="s">
        <v>127</v>
      </c>
      <c r="C3286" s="5" t="s">
        <v>128</v>
      </c>
      <c r="D3286" s="4" t="s">
        <v>16</v>
      </c>
      <c r="E3286" s="4" t="s">
        <v>1437</v>
      </c>
      <c r="F3286" s="4" t="s">
        <v>488</v>
      </c>
      <c r="G3286" s="4" t="s">
        <v>1438</v>
      </c>
      <c r="H3286" s="12" t="n">
        <v>1</v>
      </c>
      <c r="I3286" s="4" t="s">
        <v>408</v>
      </c>
      <c r="J3286" s="4" t="s">
        <v>480</v>
      </c>
      <c r="K3286" s="13" t="n">
        <v>120</v>
      </c>
      <c r="L3286" s="6" t="n">
        <f aca="false">H3286*K3286</f>
        <v>120</v>
      </c>
      <c r="M3286" s="4" t="s">
        <v>371</v>
      </c>
    </row>
    <row r="3287" customFormat="false" ht="15" hidden="false" customHeight="false" outlineLevel="0" collapsed="false">
      <c r="A3287" s="4" t="s">
        <v>120</v>
      </c>
      <c r="B3287" s="5" t="s">
        <v>127</v>
      </c>
      <c r="C3287" s="5" t="s">
        <v>128</v>
      </c>
      <c r="D3287" s="4" t="s">
        <v>16</v>
      </c>
      <c r="E3287" s="4" t="s">
        <v>1441</v>
      </c>
      <c r="F3287" s="4" t="s">
        <v>488</v>
      </c>
      <c r="G3287" s="4" t="s">
        <v>1442</v>
      </c>
      <c r="H3287" s="12" t="n">
        <v>1</v>
      </c>
      <c r="I3287" s="4" t="s">
        <v>408</v>
      </c>
      <c r="J3287" s="4" t="s">
        <v>409</v>
      </c>
      <c r="K3287" s="13" t="n">
        <v>15</v>
      </c>
      <c r="L3287" s="6" t="n">
        <f aca="false">H3287*K3287</f>
        <v>15</v>
      </c>
      <c r="M3287" s="4" t="s">
        <v>371</v>
      </c>
    </row>
    <row r="3288" customFormat="false" ht="15" hidden="false" customHeight="false" outlineLevel="0" collapsed="false">
      <c r="A3288" s="4" t="s">
        <v>120</v>
      </c>
      <c r="B3288" s="5" t="s">
        <v>127</v>
      </c>
      <c r="C3288" s="5" t="s">
        <v>128</v>
      </c>
      <c r="D3288" s="4" t="s">
        <v>16</v>
      </c>
      <c r="E3288" s="4" t="s">
        <v>1443</v>
      </c>
      <c r="F3288" s="4" t="s">
        <v>470</v>
      </c>
      <c r="G3288" s="4" t="s">
        <v>1444</v>
      </c>
      <c r="H3288" s="12" t="n">
        <v>1</v>
      </c>
      <c r="I3288" s="4" t="s">
        <v>408</v>
      </c>
      <c r="J3288" s="4" t="s">
        <v>409</v>
      </c>
      <c r="K3288" s="13" t="n">
        <v>450</v>
      </c>
      <c r="L3288" s="6" t="n">
        <f aca="false">H3288*K3288</f>
        <v>450</v>
      </c>
      <c r="M3288" s="4" t="s">
        <v>371</v>
      </c>
    </row>
    <row r="3289" customFormat="false" ht="15" hidden="false" customHeight="false" outlineLevel="0" collapsed="false">
      <c r="A3289" s="4" t="s">
        <v>120</v>
      </c>
      <c r="B3289" s="5" t="s">
        <v>127</v>
      </c>
      <c r="C3289" s="5" t="s">
        <v>128</v>
      </c>
      <c r="D3289" s="4" t="s">
        <v>16</v>
      </c>
      <c r="E3289" s="4" t="s">
        <v>1445</v>
      </c>
      <c r="F3289" s="4" t="s">
        <v>470</v>
      </c>
      <c r="G3289" s="4" t="s">
        <v>1446</v>
      </c>
      <c r="H3289" s="12" t="n">
        <v>1</v>
      </c>
      <c r="I3289" s="4" t="s">
        <v>408</v>
      </c>
      <c r="J3289" s="4" t="s">
        <v>409</v>
      </c>
      <c r="K3289" s="13" t="n">
        <v>450</v>
      </c>
      <c r="L3289" s="6" t="n">
        <f aca="false">H3289*K3289</f>
        <v>450</v>
      </c>
      <c r="M3289" s="4" t="s">
        <v>371</v>
      </c>
    </row>
    <row r="3290" customFormat="false" ht="15" hidden="false" customHeight="false" outlineLevel="0" collapsed="false">
      <c r="A3290" s="4" t="s">
        <v>120</v>
      </c>
      <c r="B3290" s="5" t="s">
        <v>129</v>
      </c>
      <c r="C3290" s="5" t="s">
        <v>130</v>
      </c>
      <c r="D3290" s="4" t="s">
        <v>16</v>
      </c>
      <c r="E3290" s="4" t="s">
        <v>4117</v>
      </c>
      <c r="F3290" s="4" t="s">
        <v>406</v>
      </c>
      <c r="G3290" s="4" t="s">
        <v>4118</v>
      </c>
      <c r="H3290" s="12" t="n">
        <v>1</v>
      </c>
      <c r="I3290" s="4" t="s">
        <v>408</v>
      </c>
      <c r="J3290" s="4" t="s">
        <v>506</v>
      </c>
      <c r="K3290" s="13" t="n">
        <v>120</v>
      </c>
      <c r="L3290" s="6" t="n">
        <f aca="false">H3290*K3290</f>
        <v>120</v>
      </c>
      <c r="M3290" s="14" t="s">
        <v>410</v>
      </c>
    </row>
    <row r="3291" customFormat="false" ht="15" hidden="false" customHeight="false" outlineLevel="0" collapsed="false">
      <c r="A3291" s="4" t="s">
        <v>120</v>
      </c>
      <c r="B3291" s="5" t="s">
        <v>129</v>
      </c>
      <c r="C3291" s="5" t="s">
        <v>130</v>
      </c>
      <c r="D3291" s="4" t="s">
        <v>16</v>
      </c>
      <c r="E3291" s="4" t="s">
        <v>4119</v>
      </c>
      <c r="F3291" s="4" t="s">
        <v>406</v>
      </c>
      <c r="G3291" s="4" t="s">
        <v>4120</v>
      </c>
      <c r="H3291" s="12" t="n">
        <v>1</v>
      </c>
      <c r="I3291" s="4" t="s">
        <v>408</v>
      </c>
      <c r="J3291" s="4" t="s">
        <v>416</v>
      </c>
      <c r="K3291" s="13" t="n">
        <v>450</v>
      </c>
      <c r="L3291" s="6" t="n">
        <f aca="false">H3291*K3291</f>
        <v>450</v>
      </c>
      <c r="M3291" s="4" t="s">
        <v>371</v>
      </c>
    </row>
    <row r="3292" customFormat="false" ht="15" hidden="false" customHeight="false" outlineLevel="0" collapsed="false">
      <c r="A3292" s="4" t="s">
        <v>120</v>
      </c>
      <c r="B3292" s="5" t="s">
        <v>129</v>
      </c>
      <c r="C3292" s="5" t="s">
        <v>130</v>
      </c>
      <c r="D3292" s="4" t="s">
        <v>16</v>
      </c>
      <c r="E3292" s="4" t="s">
        <v>4121</v>
      </c>
      <c r="F3292" s="4" t="s">
        <v>406</v>
      </c>
      <c r="G3292" s="4" t="s">
        <v>4122</v>
      </c>
      <c r="H3292" s="12" t="n">
        <v>1</v>
      </c>
      <c r="I3292" s="4" t="s">
        <v>408</v>
      </c>
      <c r="J3292" s="4" t="s">
        <v>416</v>
      </c>
      <c r="K3292" s="13" t="n">
        <v>650</v>
      </c>
      <c r="L3292" s="6" t="n">
        <f aca="false">H3292*K3292</f>
        <v>650</v>
      </c>
      <c r="M3292" s="4" t="s">
        <v>371</v>
      </c>
    </row>
    <row r="3293" customFormat="false" ht="15" hidden="false" customHeight="false" outlineLevel="0" collapsed="false">
      <c r="A3293" s="4" t="s">
        <v>120</v>
      </c>
      <c r="B3293" s="5" t="s">
        <v>129</v>
      </c>
      <c r="C3293" s="5" t="s">
        <v>130</v>
      </c>
      <c r="D3293" s="4" t="s">
        <v>16</v>
      </c>
      <c r="E3293" s="4" t="s">
        <v>1480</v>
      </c>
      <c r="F3293" s="4" t="s">
        <v>406</v>
      </c>
      <c r="G3293" s="4" t="s">
        <v>1481</v>
      </c>
      <c r="H3293" s="12" t="n">
        <v>1</v>
      </c>
      <c r="I3293" s="4" t="s">
        <v>408</v>
      </c>
      <c r="J3293" s="4" t="s">
        <v>416</v>
      </c>
      <c r="K3293" s="13" t="n">
        <v>350</v>
      </c>
      <c r="L3293" s="6" t="n">
        <f aca="false">H3293*K3293</f>
        <v>350</v>
      </c>
      <c r="M3293" s="14" t="s">
        <v>410</v>
      </c>
    </row>
    <row r="3294" customFormat="false" ht="15" hidden="false" customHeight="false" outlineLevel="0" collapsed="false">
      <c r="A3294" s="4" t="s">
        <v>120</v>
      </c>
      <c r="B3294" s="5" t="s">
        <v>129</v>
      </c>
      <c r="C3294" s="5" t="s">
        <v>130</v>
      </c>
      <c r="D3294" s="4" t="s">
        <v>16</v>
      </c>
      <c r="E3294" s="4" t="s">
        <v>1482</v>
      </c>
      <c r="F3294" s="4" t="s">
        <v>406</v>
      </c>
      <c r="G3294" s="4" t="s">
        <v>1483</v>
      </c>
      <c r="H3294" s="12" t="n">
        <v>1</v>
      </c>
      <c r="I3294" s="4" t="s">
        <v>408</v>
      </c>
      <c r="J3294" s="4" t="s">
        <v>409</v>
      </c>
      <c r="K3294" s="13" t="n">
        <v>350</v>
      </c>
      <c r="L3294" s="6" t="n">
        <f aca="false">H3294*K3294</f>
        <v>350</v>
      </c>
      <c r="M3294" s="14" t="s">
        <v>410</v>
      </c>
    </row>
    <row r="3295" customFormat="false" ht="15" hidden="false" customHeight="false" outlineLevel="0" collapsed="false">
      <c r="A3295" s="4" t="s">
        <v>120</v>
      </c>
      <c r="B3295" s="5" t="s">
        <v>129</v>
      </c>
      <c r="C3295" s="5" t="s">
        <v>130</v>
      </c>
      <c r="D3295" s="4" t="s">
        <v>16</v>
      </c>
      <c r="E3295" s="4" t="s">
        <v>1484</v>
      </c>
      <c r="F3295" s="4" t="s">
        <v>406</v>
      </c>
      <c r="G3295" s="4" t="s">
        <v>1485</v>
      </c>
      <c r="H3295" s="12" t="n">
        <v>1</v>
      </c>
      <c r="I3295" s="4" t="s">
        <v>408</v>
      </c>
      <c r="J3295" s="4" t="s">
        <v>409</v>
      </c>
      <c r="K3295" s="13" t="n">
        <v>180</v>
      </c>
      <c r="L3295" s="6" t="n">
        <f aca="false">H3295*K3295</f>
        <v>180</v>
      </c>
      <c r="M3295" s="14" t="s">
        <v>410</v>
      </c>
    </row>
    <row r="3296" customFormat="false" ht="15" hidden="false" customHeight="false" outlineLevel="0" collapsed="false">
      <c r="A3296" s="4" t="s">
        <v>120</v>
      </c>
      <c r="B3296" s="5" t="s">
        <v>129</v>
      </c>
      <c r="C3296" s="5" t="s">
        <v>130</v>
      </c>
      <c r="D3296" s="4" t="s">
        <v>16</v>
      </c>
      <c r="E3296" s="4" t="s">
        <v>1486</v>
      </c>
      <c r="F3296" s="4" t="s">
        <v>406</v>
      </c>
      <c r="G3296" s="4" t="s">
        <v>1487</v>
      </c>
      <c r="H3296" s="12" t="n">
        <v>1</v>
      </c>
      <c r="I3296" s="4" t="s">
        <v>408</v>
      </c>
      <c r="J3296" s="4" t="s">
        <v>409</v>
      </c>
      <c r="K3296" s="13" t="n">
        <v>80</v>
      </c>
      <c r="L3296" s="6" t="n">
        <f aca="false">H3296*K3296</f>
        <v>80</v>
      </c>
      <c r="M3296" s="14" t="s">
        <v>410</v>
      </c>
    </row>
    <row r="3297" customFormat="false" ht="15" hidden="false" customHeight="false" outlineLevel="0" collapsed="false">
      <c r="A3297" s="4" t="s">
        <v>120</v>
      </c>
      <c r="B3297" s="5" t="s">
        <v>129</v>
      </c>
      <c r="C3297" s="5" t="s">
        <v>130</v>
      </c>
      <c r="D3297" s="4" t="s">
        <v>16</v>
      </c>
      <c r="E3297" s="4" t="s">
        <v>1488</v>
      </c>
      <c r="F3297" s="4" t="s">
        <v>406</v>
      </c>
      <c r="G3297" s="4" t="s">
        <v>1489</v>
      </c>
      <c r="H3297" s="12" t="n">
        <v>1</v>
      </c>
      <c r="I3297" s="4" t="s">
        <v>408</v>
      </c>
      <c r="J3297" s="4" t="s">
        <v>416</v>
      </c>
      <c r="K3297" s="13" t="n">
        <v>450</v>
      </c>
      <c r="L3297" s="6" t="n">
        <f aca="false">H3297*K3297</f>
        <v>450</v>
      </c>
      <c r="M3297" s="14" t="s">
        <v>410</v>
      </c>
    </row>
    <row r="3298" customFormat="false" ht="15" hidden="false" customHeight="false" outlineLevel="0" collapsed="false">
      <c r="A3298" s="4" t="s">
        <v>120</v>
      </c>
      <c r="B3298" s="5" t="s">
        <v>129</v>
      </c>
      <c r="C3298" s="5" t="s">
        <v>130</v>
      </c>
      <c r="D3298" s="4" t="s">
        <v>16</v>
      </c>
      <c r="E3298" s="4" t="s">
        <v>1490</v>
      </c>
      <c r="F3298" s="4" t="s">
        <v>406</v>
      </c>
      <c r="G3298" s="4" t="s">
        <v>1491</v>
      </c>
      <c r="H3298" s="12" t="n">
        <v>1</v>
      </c>
      <c r="I3298" s="4" t="s">
        <v>408</v>
      </c>
      <c r="J3298" s="4" t="s">
        <v>416</v>
      </c>
      <c r="K3298" s="13" t="n">
        <v>250</v>
      </c>
      <c r="L3298" s="6" t="n">
        <f aca="false">H3298*K3298</f>
        <v>250</v>
      </c>
      <c r="M3298" s="14" t="s">
        <v>410</v>
      </c>
    </row>
    <row r="3299" customFormat="false" ht="15" hidden="false" customHeight="false" outlineLevel="0" collapsed="false">
      <c r="A3299" s="4" t="s">
        <v>120</v>
      </c>
      <c r="B3299" s="5" t="s">
        <v>129</v>
      </c>
      <c r="C3299" s="5" t="s">
        <v>130</v>
      </c>
      <c r="D3299" s="4" t="s">
        <v>16</v>
      </c>
      <c r="E3299" s="4" t="s">
        <v>4123</v>
      </c>
      <c r="F3299" s="4" t="s">
        <v>406</v>
      </c>
      <c r="G3299" s="4" t="s">
        <v>4124</v>
      </c>
      <c r="H3299" s="12" t="n">
        <v>1</v>
      </c>
      <c r="I3299" s="4" t="s">
        <v>408</v>
      </c>
      <c r="J3299" s="4" t="s">
        <v>506</v>
      </c>
      <c r="K3299" s="13" t="n">
        <v>120</v>
      </c>
      <c r="L3299" s="6" t="n">
        <f aca="false">H3299*K3299</f>
        <v>120</v>
      </c>
      <c r="M3299" s="4" t="s">
        <v>371</v>
      </c>
    </row>
    <row r="3300" customFormat="false" ht="15" hidden="false" customHeight="false" outlineLevel="0" collapsed="false">
      <c r="A3300" s="4" t="s">
        <v>120</v>
      </c>
      <c r="B3300" s="5" t="s">
        <v>129</v>
      </c>
      <c r="C3300" s="5" t="s">
        <v>130</v>
      </c>
      <c r="D3300" s="4" t="s">
        <v>16</v>
      </c>
      <c r="E3300" s="4" t="s">
        <v>1530</v>
      </c>
      <c r="F3300" s="4" t="s">
        <v>406</v>
      </c>
      <c r="G3300" s="4" t="s">
        <v>1531</v>
      </c>
      <c r="H3300" s="12" t="n">
        <v>1</v>
      </c>
      <c r="I3300" s="4" t="s">
        <v>408</v>
      </c>
      <c r="J3300" s="4" t="s">
        <v>409</v>
      </c>
      <c r="K3300" s="13" t="n">
        <v>180</v>
      </c>
      <c r="L3300" s="6" t="n">
        <f aca="false">H3300*K3300</f>
        <v>180</v>
      </c>
      <c r="M3300" s="14" t="s">
        <v>410</v>
      </c>
    </row>
    <row r="3301" customFormat="false" ht="15" hidden="false" customHeight="false" outlineLevel="0" collapsed="false">
      <c r="A3301" s="4" t="s">
        <v>120</v>
      </c>
      <c r="B3301" s="5" t="s">
        <v>129</v>
      </c>
      <c r="C3301" s="5" t="s">
        <v>130</v>
      </c>
      <c r="D3301" s="4" t="s">
        <v>16</v>
      </c>
      <c r="E3301" s="4" t="s">
        <v>4125</v>
      </c>
      <c r="F3301" s="4" t="s">
        <v>406</v>
      </c>
      <c r="G3301" s="4" t="s">
        <v>4126</v>
      </c>
      <c r="H3301" s="12" t="n">
        <v>1</v>
      </c>
      <c r="I3301" s="4" t="s">
        <v>408</v>
      </c>
      <c r="J3301" s="4" t="s">
        <v>416</v>
      </c>
      <c r="K3301" s="13" t="n">
        <v>250</v>
      </c>
      <c r="L3301" s="6" t="n">
        <f aca="false">H3301*K3301</f>
        <v>250</v>
      </c>
      <c r="M3301" s="4" t="s">
        <v>371</v>
      </c>
    </row>
    <row r="3302" customFormat="false" ht="15" hidden="false" customHeight="false" outlineLevel="0" collapsed="false">
      <c r="A3302" s="4" t="s">
        <v>120</v>
      </c>
      <c r="B3302" s="5" t="s">
        <v>129</v>
      </c>
      <c r="C3302" s="5" t="s">
        <v>130</v>
      </c>
      <c r="D3302" s="4" t="s">
        <v>16</v>
      </c>
      <c r="E3302" s="4" t="s">
        <v>1279</v>
      </c>
      <c r="F3302" s="4" t="s">
        <v>406</v>
      </c>
      <c r="G3302" s="4" t="s">
        <v>1280</v>
      </c>
      <c r="H3302" s="12" t="n">
        <v>1</v>
      </c>
      <c r="I3302" s="4" t="s">
        <v>408</v>
      </c>
      <c r="J3302" s="4" t="s">
        <v>416</v>
      </c>
      <c r="K3302" s="13" t="n">
        <v>450</v>
      </c>
      <c r="L3302" s="6" t="n">
        <f aca="false">H3302*K3302</f>
        <v>450</v>
      </c>
      <c r="M3302" s="14" t="s">
        <v>410</v>
      </c>
    </row>
    <row r="3303" customFormat="false" ht="15" hidden="false" customHeight="false" outlineLevel="0" collapsed="false">
      <c r="A3303" s="4" t="s">
        <v>120</v>
      </c>
      <c r="B3303" s="5" t="s">
        <v>129</v>
      </c>
      <c r="C3303" s="5" t="s">
        <v>130</v>
      </c>
      <c r="D3303" s="4" t="s">
        <v>16</v>
      </c>
      <c r="E3303" s="4" t="s">
        <v>1283</v>
      </c>
      <c r="F3303" s="4" t="s">
        <v>406</v>
      </c>
      <c r="G3303" s="4" t="s">
        <v>1284</v>
      </c>
      <c r="H3303" s="12" t="n">
        <v>1</v>
      </c>
      <c r="I3303" s="4" t="s">
        <v>408</v>
      </c>
      <c r="J3303" s="4" t="s">
        <v>409</v>
      </c>
      <c r="K3303" s="13" t="n">
        <v>350</v>
      </c>
      <c r="L3303" s="6" t="n">
        <f aca="false">H3303*K3303</f>
        <v>350</v>
      </c>
      <c r="M3303" s="14" t="s">
        <v>410</v>
      </c>
    </row>
    <row r="3304" customFormat="false" ht="15" hidden="false" customHeight="false" outlineLevel="0" collapsed="false">
      <c r="A3304" s="4" t="s">
        <v>120</v>
      </c>
      <c r="B3304" s="5" t="s">
        <v>129</v>
      </c>
      <c r="C3304" s="5" t="s">
        <v>130</v>
      </c>
      <c r="D3304" s="4" t="s">
        <v>16</v>
      </c>
      <c r="E3304" s="4" t="s">
        <v>1289</v>
      </c>
      <c r="F3304" s="4" t="s">
        <v>406</v>
      </c>
      <c r="G3304" s="4" t="s">
        <v>1290</v>
      </c>
      <c r="H3304" s="12" t="n">
        <v>1</v>
      </c>
      <c r="I3304" s="4" t="s">
        <v>408</v>
      </c>
      <c r="J3304" s="4" t="s">
        <v>409</v>
      </c>
      <c r="K3304" s="13" t="n">
        <v>180</v>
      </c>
      <c r="L3304" s="6" t="n">
        <f aca="false">H3304*K3304</f>
        <v>180</v>
      </c>
      <c r="M3304" s="14" t="s">
        <v>410</v>
      </c>
    </row>
    <row r="3305" customFormat="false" ht="15" hidden="false" customHeight="false" outlineLevel="0" collapsed="false">
      <c r="A3305" s="4" t="s">
        <v>120</v>
      </c>
      <c r="B3305" s="5" t="s">
        <v>129</v>
      </c>
      <c r="C3305" s="5" t="s">
        <v>130</v>
      </c>
      <c r="D3305" s="4" t="s">
        <v>16</v>
      </c>
      <c r="E3305" s="4" t="s">
        <v>1295</v>
      </c>
      <c r="F3305" s="4" t="s">
        <v>406</v>
      </c>
      <c r="G3305" s="4" t="s">
        <v>1296</v>
      </c>
      <c r="H3305" s="12" t="n">
        <v>1</v>
      </c>
      <c r="I3305" s="4" t="s">
        <v>408</v>
      </c>
      <c r="J3305" s="4" t="s">
        <v>409</v>
      </c>
      <c r="K3305" s="13" t="n">
        <v>250</v>
      </c>
      <c r="L3305" s="6" t="n">
        <f aca="false">H3305*K3305</f>
        <v>250</v>
      </c>
      <c r="M3305" s="14" t="s">
        <v>410</v>
      </c>
    </row>
    <row r="3306" customFormat="false" ht="15" hidden="false" customHeight="false" outlineLevel="0" collapsed="false">
      <c r="A3306" s="4" t="s">
        <v>120</v>
      </c>
      <c r="B3306" s="5" t="s">
        <v>129</v>
      </c>
      <c r="C3306" s="5" t="s">
        <v>130</v>
      </c>
      <c r="D3306" s="4" t="s">
        <v>16</v>
      </c>
      <c r="E3306" s="4" t="s">
        <v>1297</v>
      </c>
      <c r="F3306" s="4" t="s">
        <v>406</v>
      </c>
      <c r="G3306" s="4" t="s">
        <v>1298</v>
      </c>
      <c r="H3306" s="12" t="n">
        <v>1</v>
      </c>
      <c r="I3306" s="4" t="s">
        <v>408</v>
      </c>
      <c r="J3306" s="4" t="s">
        <v>409</v>
      </c>
      <c r="K3306" s="13" t="n">
        <v>120</v>
      </c>
      <c r="L3306" s="6" t="n">
        <f aca="false">H3306*K3306</f>
        <v>120</v>
      </c>
      <c r="M3306" s="14" t="s">
        <v>410</v>
      </c>
    </row>
    <row r="3307" customFormat="false" ht="15" hidden="false" customHeight="false" outlineLevel="0" collapsed="false">
      <c r="A3307" s="4" t="s">
        <v>120</v>
      </c>
      <c r="B3307" s="5" t="s">
        <v>129</v>
      </c>
      <c r="C3307" s="5" t="s">
        <v>130</v>
      </c>
      <c r="D3307" s="4" t="s">
        <v>16</v>
      </c>
      <c r="E3307" s="4" t="s">
        <v>1299</v>
      </c>
      <c r="F3307" s="4" t="s">
        <v>406</v>
      </c>
      <c r="G3307" s="4" t="s">
        <v>1300</v>
      </c>
      <c r="H3307" s="12" t="n">
        <v>1</v>
      </c>
      <c r="I3307" s="4" t="s">
        <v>408</v>
      </c>
      <c r="J3307" s="4" t="s">
        <v>409</v>
      </c>
      <c r="K3307" s="13" t="n">
        <v>350</v>
      </c>
      <c r="L3307" s="6" t="n">
        <f aca="false">H3307*K3307</f>
        <v>350</v>
      </c>
      <c r="M3307" s="14" t="s">
        <v>410</v>
      </c>
    </row>
    <row r="3308" customFormat="false" ht="15" hidden="false" customHeight="false" outlineLevel="0" collapsed="false">
      <c r="A3308" s="4" t="s">
        <v>120</v>
      </c>
      <c r="B3308" s="5" t="s">
        <v>129</v>
      </c>
      <c r="C3308" s="5" t="s">
        <v>130</v>
      </c>
      <c r="D3308" s="4" t="s">
        <v>16</v>
      </c>
      <c r="E3308" s="4" t="s">
        <v>1301</v>
      </c>
      <c r="F3308" s="4" t="s">
        <v>406</v>
      </c>
      <c r="G3308" s="4" t="s">
        <v>1302</v>
      </c>
      <c r="H3308" s="12" t="n">
        <v>1</v>
      </c>
      <c r="I3308" s="4" t="s">
        <v>408</v>
      </c>
      <c r="J3308" s="4" t="s">
        <v>416</v>
      </c>
      <c r="K3308" s="13" t="n">
        <v>850</v>
      </c>
      <c r="L3308" s="6" t="n">
        <f aca="false">H3308*K3308</f>
        <v>850</v>
      </c>
      <c r="M3308" s="4" t="s">
        <v>371</v>
      </c>
    </row>
    <row r="3309" customFormat="false" ht="15" hidden="false" customHeight="false" outlineLevel="0" collapsed="false">
      <c r="A3309" s="4" t="s">
        <v>120</v>
      </c>
      <c r="B3309" s="5" t="s">
        <v>129</v>
      </c>
      <c r="C3309" s="5" t="s">
        <v>130</v>
      </c>
      <c r="D3309" s="4" t="s">
        <v>16</v>
      </c>
      <c r="E3309" s="4" t="s">
        <v>1303</v>
      </c>
      <c r="F3309" s="4" t="s">
        <v>406</v>
      </c>
      <c r="G3309" s="4" t="s">
        <v>1304</v>
      </c>
      <c r="H3309" s="12" t="n">
        <v>1</v>
      </c>
      <c r="I3309" s="4" t="s">
        <v>408</v>
      </c>
      <c r="J3309" s="4" t="s">
        <v>416</v>
      </c>
      <c r="K3309" s="13" t="n">
        <v>850</v>
      </c>
      <c r="L3309" s="6" t="n">
        <f aca="false">H3309*K3309</f>
        <v>850</v>
      </c>
      <c r="M3309" s="4" t="s">
        <v>371</v>
      </c>
    </row>
    <row r="3310" customFormat="false" ht="15" hidden="false" customHeight="false" outlineLevel="0" collapsed="false">
      <c r="A3310" s="4" t="s">
        <v>120</v>
      </c>
      <c r="B3310" s="5" t="s">
        <v>129</v>
      </c>
      <c r="C3310" s="5" t="s">
        <v>130</v>
      </c>
      <c r="D3310" s="4" t="s">
        <v>16</v>
      </c>
      <c r="E3310" s="4" t="s">
        <v>1305</v>
      </c>
      <c r="F3310" s="4" t="s">
        <v>406</v>
      </c>
      <c r="G3310" s="4" t="s">
        <v>1306</v>
      </c>
      <c r="H3310" s="12" t="n">
        <v>1</v>
      </c>
      <c r="I3310" s="4" t="s">
        <v>408</v>
      </c>
      <c r="J3310" s="4" t="s">
        <v>409</v>
      </c>
      <c r="K3310" s="13" t="n">
        <v>120</v>
      </c>
      <c r="L3310" s="6" t="n">
        <f aca="false">H3310*K3310</f>
        <v>120</v>
      </c>
      <c r="M3310" s="14" t="s">
        <v>410</v>
      </c>
    </row>
    <row r="3311" customFormat="false" ht="15" hidden="false" customHeight="false" outlineLevel="0" collapsed="false">
      <c r="A3311" s="4" t="s">
        <v>120</v>
      </c>
      <c r="B3311" s="5" t="s">
        <v>129</v>
      </c>
      <c r="C3311" s="5" t="s">
        <v>130</v>
      </c>
      <c r="D3311" s="4" t="s">
        <v>16</v>
      </c>
      <c r="E3311" s="4" t="s">
        <v>1313</v>
      </c>
      <c r="F3311" s="4" t="s">
        <v>406</v>
      </c>
      <c r="G3311" s="4" t="s">
        <v>1314</v>
      </c>
      <c r="H3311" s="12" t="n">
        <v>1</v>
      </c>
      <c r="I3311" s="4" t="s">
        <v>408</v>
      </c>
      <c r="J3311" s="4" t="s">
        <v>416</v>
      </c>
      <c r="K3311" s="13" t="n">
        <v>350</v>
      </c>
      <c r="L3311" s="6" t="n">
        <f aca="false">H3311*K3311</f>
        <v>350</v>
      </c>
      <c r="M3311" s="4" t="s">
        <v>371</v>
      </c>
    </row>
    <row r="3312" customFormat="false" ht="15" hidden="false" customHeight="false" outlineLevel="0" collapsed="false">
      <c r="A3312" s="4" t="s">
        <v>120</v>
      </c>
      <c r="B3312" s="5" t="s">
        <v>129</v>
      </c>
      <c r="C3312" s="5" t="s">
        <v>130</v>
      </c>
      <c r="D3312" s="4" t="s">
        <v>16</v>
      </c>
      <c r="E3312" s="4" t="s">
        <v>1315</v>
      </c>
      <c r="F3312" s="4" t="s">
        <v>406</v>
      </c>
      <c r="G3312" s="4" t="s">
        <v>1316</v>
      </c>
      <c r="H3312" s="12" t="n">
        <v>1</v>
      </c>
      <c r="I3312" s="4" t="s">
        <v>408</v>
      </c>
      <c r="J3312" s="4" t="s">
        <v>416</v>
      </c>
      <c r="K3312" s="13" t="n">
        <v>350</v>
      </c>
      <c r="L3312" s="6" t="n">
        <f aca="false">H3312*K3312</f>
        <v>350</v>
      </c>
      <c r="M3312" s="4" t="s">
        <v>371</v>
      </c>
    </row>
    <row r="3313" customFormat="false" ht="15" hidden="false" customHeight="false" outlineLevel="0" collapsed="false">
      <c r="A3313" s="4" t="s">
        <v>120</v>
      </c>
      <c r="B3313" s="5" t="s">
        <v>129</v>
      </c>
      <c r="C3313" s="5" t="s">
        <v>130</v>
      </c>
      <c r="D3313" s="4" t="s">
        <v>16</v>
      </c>
      <c r="E3313" s="4" t="s">
        <v>1317</v>
      </c>
      <c r="F3313" s="4" t="s">
        <v>406</v>
      </c>
      <c r="G3313" s="4" t="s">
        <v>1318</v>
      </c>
      <c r="H3313" s="12" t="n">
        <v>1</v>
      </c>
      <c r="I3313" s="4" t="s">
        <v>408</v>
      </c>
      <c r="J3313" s="4" t="s">
        <v>416</v>
      </c>
      <c r="K3313" s="13" t="n">
        <v>250</v>
      </c>
      <c r="L3313" s="6" t="n">
        <f aca="false">H3313*K3313</f>
        <v>250</v>
      </c>
      <c r="M3313" s="14" t="s">
        <v>410</v>
      </c>
    </row>
    <row r="3314" customFormat="false" ht="15" hidden="false" customHeight="false" outlineLevel="0" collapsed="false">
      <c r="A3314" s="4" t="s">
        <v>120</v>
      </c>
      <c r="B3314" s="5" t="s">
        <v>129</v>
      </c>
      <c r="C3314" s="5" t="s">
        <v>130</v>
      </c>
      <c r="D3314" s="4" t="s">
        <v>16</v>
      </c>
      <c r="E3314" s="4" t="s">
        <v>1319</v>
      </c>
      <c r="F3314" s="4" t="s">
        <v>406</v>
      </c>
      <c r="G3314" s="4" t="s">
        <v>1320</v>
      </c>
      <c r="H3314" s="12" t="n">
        <v>1</v>
      </c>
      <c r="I3314" s="4" t="s">
        <v>408</v>
      </c>
      <c r="J3314" s="4" t="s">
        <v>409</v>
      </c>
      <c r="K3314" s="13" t="n">
        <v>250</v>
      </c>
      <c r="L3314" s="6" t="n">
        <f aca="false">H3314*K3314</f>
        <v>250</v>
      </c>
      <c r="M3314" s="4" t="s">
        <v>371</v>
      </c>
    </row>
    <row r="3315" customFormat="false" ht="15" hidden="false" customHeight="false" outlineLevel="0" collapsed="false">
      <c r="A3315" s="4" t="s">
        <v>120</v>
      </c>
      <c r="B3315" s="5" t="s">
        <v>129</v>
      </c>
      <c r="C3315" s="5" t="s">
        <v>130</v>
      </c>
      <c r="D3315" s="4" t="s">
        <v>16</v>
      </c>
      <c r="E3315" s="4" t="s">
        <v>1321</v>
      </c>
      <c r="F3315" s="4" t="s">
        <v>406</v>
      </c>
      <c r="G3315" s="4" t="s">
        <v>1322</v>
      </c>
      <c r="H3315" s="12" t="n">
        <v>1</v>
      </c>
      <c r="I3315" s="4" t="s">
        <v>408</v>
      </c>
      <c r="J3315" s="4" t="s">
        <v>416</v>
      </c>
      <c r="K3315" s="13" t="n">
        <v>850</v>
      </c>
      <c r="L3315" s="6" t="n">
        <f aca="false">H3315*K3315</f>
        <v>850</v>
      </c>
      <c r="M3315" s="14" t="s">
        <v>410</v>
      </c>
    </row>
    <row r="3316" customFormat="false" ht="15" hidden="false" customHeight="false" outlineLevel="0" collapsed="false">
      <c r="A3316" s="4" t="s">
        <v>120</v>
      </c>
      <c r="B3316" s="5" t="s">
        <v>129</v>
      </c>
      <c r="C3316" s="5" t="s">
        <v>130</v>
      </c>
      <c r="D3316" s="4" t="s">
        <v>16</v>
      </c>
      <c r="E3316" s="4" t="s">
        <v>1323</v>
      </c>
      <c r="F3316" s="4" t="s">
        <v>406</v>
      </c>
      <c r="G3316" s="4" t="s">
        <v>1324</v>
      </c>
      <c r="H3316" s="12" t="n">
        <v>1</v>
      </c>
      <c r="I3316" s="4" t="s">
        <v>408</v>
      </c>
      <c r="J3316" s="4" t="s">
        <v>409</v>
      </c>
      <c r="K3316" s="13" t="n">
        <v>250</v>
      </c>
      <c r="L3316" s="6" t="n">
        <f aca="false">H3316*K3316</f>
        <v>250</v>
      </c>
      <c r="M3316" s="14" t="s">
        <v>410</v>
      </c>
    </row>
    <row r="3317" customFormat="false" ht="15" hidden="false" customHeight="false" outlineLevel="0" collapsed="false">
      <c r="A3317" s="4" t="s">
        <v>120</v>
      </c>
      <c r="B3317" s="5" t="s">
        <v>129</v>
      </c>
      <c r="C3317" s="5" t="s">
        <v>130</v>
      </c>
      <c r="D3317" s="4" t="s">
        <v>16</v>
      </c>
      <c r="E3317" s="4" t="s">
        <v>1325</v>
      </c>
      <c r="F3317" s="4" t="s">
        <v>406</v>
      </c>
      <c r="G3317" s="4" t="s">
        <v>1326</v>
      </c>
      <c r="H3317" s="12" t="n">
        <v>1</v>
      </c>
      <c r="I3317" s="4" t="s">
        <v>408</v>
      </c>
      <c r="J3317" s="4" t="s">
        <v>409</v>
      </c>
      <c r="K3317" s="13" t="n">
        <v>150</v>
      </c>
      <c r="L3317" s="6" t="n">
        <f aca="false">H3317*K3317</f>
        <v>150</v>
      </c>
      <c r="M3317" s="14" t="s">
        <v>410</v>
      </c>
    </row>
    <row r="3318" customFormat="false" ht="15" hidden="false" customHeight="false" outlineLevel="0" collapsed="false">
      <c r="A3318" s="4" t="s">
        <v>120</v>
      </c>
      <c r="B3318" s="5" t="s">
        <v>129</v>
      </c>
      <c r="C3318" s="5" t="s">
        <v>130</v>
      </c>
      <c r="D3318" s="4" t="s">
        <v>16</v>
      </c>
      <c r="E3318" s="4" t="s">
        <v>1329</v>
      </c>
      <c r="F3318" s="4" t="s">
        <v>406</v>
      </c>
      <c r="G3318" s="4" t="s">
        <v>1330</v>
      </c>
      <c r="H3318" s="12" t="n">
        <v>1</v>
      </c>
      <c r="I3318" s="4" t="s">
        <v>408</v>
      </c>
      <c r="J3318" s="4" t="s">
        <v>409</v>
      </c>
      <c r="K3318" s="13" t="n">
        <v>150</v>
      </c>
      <c r="L3318" s="6" t="n">
        <f aca="false">H3318*K3318</f>
        <v>150</v>
      </c>
      <c r="M3318" s="14" t="s">
        <v>410</v>
      </c>
    </row>
    <row r="3319" customFormat="false" ht="15" hidden="false" customHeight="false" outlineLevel="0" collapsed="false">
      <c r="A3319" s="4" t="s">
        <v>120</v>
      </c>
      <c r="B3319" s="5" t="s">
        <v>129</v>
      </c>
      <c r="C3319" s="5" t="s">
        <v>130</v>
      </c>
      <c r="D3319" s="4" t="s">
        <v>16</v>
      </c>
      <c r="E3319" s="4" t="s">
        <v>1437</v>
      </c>
      <c r="F3319" s="4" t="s">
        <v>406</v>
      </c>
      <c r="G3319" s="4" t="s">
        <v>1438</v>
      </c>
      <c r="H3319" s="12" t="n">
        <v>1</v>
      </c>
      <c r="I3319" s="4" t="s">
        <v>408</v>
      </c>
      <c r="J3319" s="4" t="s">
        <v>480</v>
      </c>
      <c r="K3319" s="13" t="n">
        <v>120</v>
      </c>
      <c r="L3319" s="6" t="n">
        <f aca="false">H3319*K3319</f>
        <v>120</v>
      </c>
      <c r="M3319" s="4" t="s">
        <v>371</v>
      </c>
    </row>
    <row r="3320" customFormat="false" ht="15" hidden="false" customHeight="false" outlineLevel="0" collapsed="false">
      <c r="A3320" s="4" t="s">
        <v>120</v>
      </c>
      <c r="B3320" s="5" t="s">
        <v>129</v>
      </c>
      <c r="C3320" s="5" t="s">
        <v>130</v>
      </c>
      <c r="D3320" s="4" t="s">
        <v>16</v>
      </c>
      <c r="E3320" s="4" t="s">
        <v>1331</v>
      </c>
      <c r="F3320" s="4" t="s">
        <v>406</v>
      </c>
      <c r="G3320" s="4" t="s">
        <v>1332</v>
      </c>
      <c r="H3320" s="12" t="n">
        <v>1</v>
      </c>
      <c r="I3320" s="4" t="s">
        <v>408</v>
      </c>
      <c r="J3320" s="4" t="s">
        <v>416</v>
      </c>
      <c r="K3320" s="13" t="n">
        <v>120</v>
      </c>
      <c r="L3320" s="6" t="n">
        <f aca="false">H3320*K3320</f>
        <v>120</v>
      </c>
      <c r="M3320" s="14" t="s">
        <v>410</v>
      </c>
    </row>
    <row r="3321" customFormat="false" ht="15" hidden="false" customHeight="false" outlineLevel="0" collapsed="false">
      <c r="A3321" s="4" t="s">
        <v>120</v>
      </c>
      <c r="B3321" s="5" t="s">
        <v>129</v>
      </c>
      <c r="C3321" s="5" t="s">
        <v>130</v>
      </c>
      <c r="D3321" s="4" t="s">
        <v>16</v>
      </c>
      <c r="E3321" s="4" t="s">
        <v>1333</v>
      </c>
      <c r="F3321" s="4" t="s">
        <v>406</v>
      </c>
      <c r="G3321" s="4" t="s">
        <v>1334</v>
      </c>
      <c r="H3321" s="12" t="n">
        <v>1</v>
      </c>
      <c r="I3321" s="4" t="s">
        <v>408</v>
      </c>
      <c r="J3321" s="4" t="s">
        <v>416</v>
      </c>
      <c r="K3321" s="13" t="n">
        <v>650</v>
      </c>
      <c r="L3321" s="6" t="n">
        <f aca="false">H3321*K3321</f>
        <v>650</v>
      </c>
      <c r="M3321" s="14" t="s">
        <v>410</v>
      </c>
    </row>
    <row r="3322" customFormat="false" ht="15" hidden="false" customHeight="false" outlineLevel="0" collapsed="false">
      <c r="A3322" s="4" t="s">
        <v>120</v>
      </c>
      <c r="B3322" s="5" t="s">
        <v>129</v>
      </c>
      <c r="C3322" s="5" t="s">
        <v>130</v>
      </c>
      <c r="D3322" s="4" t="s">
        <v>16</v>
      </c>
      <c r="E3322" s="4" t="s">
        <v>1335</v>
      </c>
      <c r="F3322" s="4" t="s">
        <v>406</v>
      </c>
      <c r="G3322" s="4" t="s">
        <v>1336</v>
      </c>
      <c r="H3322" s="12" t="n">
        <v>1</v>
      </c>
      <c r="I3322" s="4" t="s">
        <v>408</v>
      </c>
      <c r="J3322" s="4" t="s">
        <v>475</v>
      </c>
      <c r="K3322" s="13" t="n">
        <v>180</v>
      </c>
      <c r="L3322" s="6" t="n">
        <f aca="false">H3322*K3322</f>
        <v>180</v>
      </c>
      <c r="M3322" s="14" t="s">
        <v>410</v>
      </c>
    </row>
    <row r="3323" customFormat="false" ht="15" hidden="false" customHeight="false" outlineLevel="0" collapsed="false">
      <c r="A3323" s="4" t="s">
        <v>120</v>
      </c>
      <c r="B3323" s="5" t="s">
        <v>129</v>
      </c>
      <c r="C3323" s="5" t="s">
        <v>130</v>
      </c>
      <c r="D3323" s="4" t="s">
        <v>16</v>
      </c>
      <c r="E3323" s="4" t="s">
        <v>1337</v>
      </c>
      <c r="F3323" s="4" t="s">
        <v>406</v>
      </c>
      <c r="G3323" s="4" t="s">
        <v>1338</v>
      </c>
      <c r="H3323" s="12" t="n">
        <v>1</v>
      </c>
      <c r="I3323" s="4" t="s">
        <v>408</v>
      </c>
      <c r="J3323" s="4" t="s">
        <v>416</v>
      </c>
      <c r="K3323" s="13" t="n">
        <v>250</v>
      </c>
      <c r="L3323" s="6" t="n">
        <f aca="false">H3323*K3323</f>
        <v>250</v>
      </c>
      <c r="M3323" s="4" t="s">
        <v>371</v>
      </c>
    </row>
    <row r="3324" customFormat="false" ht="15" hidden="false" customHeight="false" outlineLevel="0" collapsed="false">
      <c r="A3324" s="4" t="s">
        <v>120</v>
      </c>
      <c r="B3324" s="5" t="s">
        <v>129</v>
      </c>
      <c r="C3324" s="5" t="s">
        <v>130</v>
      </c>
      <c r="D3324" s="4" t="s">
        <v>16</v>
      </c>
      <c r="E3324" s="4" t="s">
        <v>1339</v>
      </c>
      <c r="F3324" s="4" t="s">
        <v>406</v>
      </c>
      <c r="G3324" s="4" t="s">
        <v>1340</v>
      </c>
      <c r="H3324" s="12" t="n">
        <v>1</v>
      </c>
      <c r="I3324" s="4" t="s">
        <v>408</v>
      </c>
      <c r="J3324" s="4" t="s">
        <v>409</v>
      </c>
      <c r="K3324" s="13" t="n">
        <v>150</v>
      </c>
      <c r="L3324" s="6" t="n">
        <f aca="false">H3324*K3324</f>
        <v>150</v>
      </c>
      <c r="M3324" s="14" t="s">
        <v>410</v>
      </c>
    </row>
    <row r="3325" customFormat="false" ht="15" hidden="false" customHeight="false" outlineLevel="0" collapsed="false">
      <c r="A3325" s="4" t="s">
        <v>120</v>
      </c>
      <c r="B3325" s="5" t="s">
        <v>129</v>
      </c>
      <c r="C3325" s="5" t="s">
        <v>130</v>
      </c>
      <c r="D3325" s="4" t="s">
        <v>16</v>
      </c>
      <c r="E3325" s="4" t="s">
        <v>1341</v>
      </c>
      <c r="F3325" s="4" t="s">
        <v>406</v>
      </c>
      <c r="G3325" s="4" t="s">
        <v>1342</v>
      </c>
      <c r="H3325" s="12" t="n">
        <v>1</v>
      </c>
      <c r="I3325" s="4" t="s">
        <v>408</v>
      </c>
      <c r="J3325" s="4" t="s">
        <v>409</v>
      </c>
      <c r="K3325" s="13" t="n">
        <v>150</v>
      </c>
      <c r="L3325" s="6" t="n">
        <f aca="false">H3325*K3325</f>
        <v>150</v>
      </c>
      <c r="M3325" s="14" t="s">
        <v>410</v>
      </c>
    </row>
    <row r="3326" customFormat="false" ht="15" hidden="false" customHeight="false" outlineLevel="0" collapsed="false">
      <c r="A3326" s="4" t="s">
        <v>120</v>
      </c>
      <c r="B3326" s="5" t="s">
        <v>129</v>
      </c>
      <c r="C3326" s="5" t="s">
        <v>130</v>
      </c>
      <c r="D3326" s="4" t="s">
        <v>16</v>
      </c>
      <c r="E3326" s="4" t="s">
        <v>4127</v>
      </c>
      <c r="F3326" s="4" t="s">
        <v>406</v>
      </c>
      <c r="G3326" s="4" t="s">
        <v>4128</v>
      </c>
      <c r="H3326" s="12" t="n">
        <v>1</v>
      </c>
      <c r="I3326" s="4" t="s">
        <v>408</v>
      </c>
      <c r="J3326" s="4" t="s">
        <v>416</v>
      </c>
      <c r="K3326" s="13" t="n">
        <v>180</v>
      </c>
      <c r="L3326" s="6" t="n">
        <f aca="false">H3326*K3326</f>
        <v>180</v>
      </c>
      <c r="M3326" s="4" t="s">
        <v>371</v>
      </c>
    </row>
    <row r="3327" customFormat="false" ht="15" hidden="false" customHeight="false" outlineLevel="0" collapsed="false">
      <c r="A3327" s="4" t="s">
        <v>120</v>
      </c>
      <c r="B3327" s="5" t="s">
        <v>129</v>
      </c>
      <c r="C3327" s="5" t="s">
        <v>130</v>
      </c>
      <c r="D3327" s="4" t="s">
        <v>16</v>
      </c>
      <c r="E3327" s="4" t="s">
        <v>4129</v>
      </c>
      <c r="F3327" s="4" t="s">
        <v>406</v>
      </c>
      <c r="G3327" s="4" t="s">
        <v>4130</v>
      </c>
      <c r="H3327" s="12" t="n">
        <v>1</v>
      </c>
      <c r="I3327" s="4" t="s">
        <v>408</v>
      </c>
      <c r="J3327" s="4" t="s">
        <v>416</v>
      </c>
      <c r="K3327" s="13" t="n">
        <v>1200</v>
      </c>
      <c r="L3327" s="6" t="n">
        <f aca="false">H3327*K3327</f>
        <v>1200</v>
      </c>
      <c r="M3327" s="4" t="s">
        <v>371</v>
      </c>
    </row>
    <row r="3328" customFormat="false" ht="15" hidden="false" customHeight="false" outlineLevel="0" collapsed="false">
      <c r="A3328" s="4" t="s">
        <v>120</v>
      </c>
      <c r="B3328" s="5" t="s">
        <v>129</v>
      </c>
      <c r="C3328" s="5" t="s">
        <v>130</v>
      </c>
      <c r="D3328" s="4" t="s">
        <v>16</v>
      </c>
      <c r="E3328" s="4" t="s">
        <v>1349</v>
      </c>
      <c r="F3328" s="4" t="s">
        <v>406</v>
      </c>
      <c r="G3328" s="4" t="s">
        <v>1350</v>
      </c>
      <c r="H3328" s="12" t="n">
        <v>1</v>
      </c>
      <c r="I3328" s="4" t="s">
        <v>408</v>
      </c>
      <c r="J3328" s="4" t="s">
        <v>409</v>
      </c>
      <c r="K3328" s="13" t="n">
        <v>180</v>
      </c>
      <c r="L3328" s="6" t="n">
        <f aca="false">H3328*K3328</f>
        <v>180</v>
      </c>
      <c r="M3328" s="14" t="s">
        <v>410</v>
      </c>
    </row>
    <row r="3329" customFormat="false" ht="15" hidden="false" customHeight="false" outlineLevel="0" collapsed="false">
      <c r="A3329" s="4" t="s">
        <v>120</v>
      </c>
      <c r="B3329" s="5" t="s">
        <v>129</v>
      </c>
      <c r="C3329" s="5" t="s">
        <v>130</v>
      </c>
      <c r="D3329" s="4" t="s">
        <v>16</v>
      </c>
      <c r="E3329" s="4" t="s">
        <v>1353</v>
      </c>
      <c r="F3329" s="4" t="s">
        <v>406</v>
      </c>
      <c r="G3329" s="4" t="s">
        <v>1354</v>
      </c>
      <c r="H3329" s="12" t="n">
        <v>1</v>
      </c>
      <c r="I3329" s="4" t="s">
        <v>408</v>
      </c>
      <c r="J3329" s="4" t="s">
        <v>409</v>
      </c>
      <c r="K3329" s="13" t="n">
        <v>120</v>
      </c>
      <c r="L3329" s="6" t="n">
        <f aca="false">H3329*K3329</f>
        <v>120</v>
      </c>
      <c r="M3329" s="14" t="s">
        <v>410</v>
      </c>
    </row>
    <row r="3330" customFormat="false" ht="15" hidden="false" customHeight="false" outlineLevel="0" collapsed="false">
      <c r="A3330" s="4" t="s">
        <v>120</v>
      </c>
      <c r="B3330" s="5" t="s">
        <v>129</v>
      </c>
      <c r="C3330" s="5" t="s">
        <v>130</v>
      </c>
      <c r="D3330" s="4" t="s">
        <v>16</v>
      </c>
      <c r="E3330" s="4" t="s">
        <v>1504</v>
      </c>
      <c r="F3330" s="4" t="s">
        <v>406</v>
      </c>
      <c r="G3330" s="4" t="s">
        <v>1505</v>
      </c>
      <c r="H3330" s="12" t="n">
        <v>1</v>
      </c>
      <c r="I3330" s="4" t="s">
        <v>408</v>
      </c>
      <c r="J3330" s="4" t="s">
        <v>409</v>
      </c>
      <c r="K3330" s="13" t="n">
        <v>1800</v>
      </c>
      <c r="L3330" s="6" t="n">
        <f aca="false">H3330*K3330</f>
        <v>1800</v>
      </c>
      <c r="M3330" s="4" t="s">
        <v>371</v>
      </c>
    </row>
    <row r="3331" customFormat="false" ht="15" hidden="false" customHeight="false" outlineLevel="0" collapsed="false">
      <c r="A3331" s="4" t="s">
        <v>120</v>
      </c>
      <c r="B3331" s="5" t="s">
        <v>129</v>
      </c>
      <c r="C3331" s="5" t="s">
        <v>130</v>
      </c>
      <c r="D3331" s="4" t="s">
        <v>16</v>
      </c>
      <c r="E3331" s="4" t="s">
        <v>1506</v>
      </c>
      <c r="F3331" s="4" t="s">
        <v>406</v>
      </c>
      <c r="G3331" s="4" t="s">
        <v>1507</v>
      </c>
      <c r="H3331" s="12" t="n">
        <v>1</v>
      </c>
      <c r="I3331" s="4" t="s">
        <v>408</v>
      </c>
      <c r="J3331" s="4" t="s">
        <v>409</v>
      </c>
      <c r="K3331" s="13" t="n">
        <v>8500</v>
      </c>
      <c r="L3331" s="6" t="n">
        <f aca="false">H3331*K3331</f>
        <v>8500</v>
      </c>
      <c r="M3331" s="4" t="s">
        <v>371</v>
      </c>
    </row>
    <row r="3332" customFormat="false" ht="15" hidden="false" customHeight="false" outlineLevel="0" collapsed="false">
      <c r="A3332" s="4" t="s">
        <v>120</v>
      </c>
      <c r="B3332" s="5" t="s">
        <v>129</v>
      </c>
      <c r="C3332" s="5" t="s">
        <v>130</v>
      </c>
      <c r="D3332" s="4" t="s">
        <v>16</v>
      </c>
      <c r="E3332" s="4" t="s">
        <v>1508</v>
      </c>
      <c r="F3332" s="4" t="s">
        <v>406</v>
      </c>
      <c r="G3332" s="4" t="s">
        <v>1509</v>
      </c>
      <c r="H3332" s="12" t="n">
        <v>1</v>
      </c>
      <c r="I3332" s="4" t="s">
        <v>408</v>
      </c>
      <c r="J3332" s="4" t="s">
        <v>409</v>
      </c>
      <c r="K3332" s="13" t="n">
        <v>35000</v>
      </c>
      <c r="L3332" s="6" t="n">
        <f aca="false">H3332*K3332</f>
        <v>35000</v>
      </c>
      <c r="M3332" s="14" t="s">
        <v>410</v>
      </c>
    </row>
    <row r="3333" customFormat="false" ht="15" hidden="false" customHeight="false" outlineLevel="0" collapsed="false">
      <c r="A3333" s="4" t="s">
        <v>120</v>
      </c>
      <c r="B3333" s="5" t="s">
        <v>129</v>
      </c>
      <c r="C3333" s="5" t="s">
        <v>130</v>
      </c>
      <c r="D3333" s="4" t="s">
        <v>16</v>
      </c>
      <c r="E3333" s="4" t="s">
        <v>1510</v>
      </c>
      <c r="F3333" s="4" t="s">
        <v>406</v>
      </c>
      <c r="G3333" s="4" t="s">
        <v>1511</v>
      </c>
      <c r="H3333" s="12" t="n">
        <v>1</v>
      </c>
      <c r="I3333" s="4" t="s">
        <v>408</v>
      </c>
      <c r="J3333" s="4" t="s">
        <v>416</v>
      </c>
      <c r="K3333" s="13" t="n">
        <v>850</v>
      </c>
      <c r="L3333" s="6" t="n">
        <f aca="false">H3333*K3333</f>
        <v>850</v>
      </c>
      <c r="M3333" s="14" t="s">
        <v>410</v>
      </c>
    </row>
    <row r="3334" customFormat="false" ht="15" hidden="false" customHeight="false" outlineLevel="0" collapsed="false">
      <c r="A3334" s="4" t="s">
        <v>120</v>
      </c>
      <c r="B3334" s="5" t="s">
        <v>129</v>
      </c>
      <c r="C3334" s="5" t="s">
        <v>130</v>
      </c>
      <c r="D3334" s="4" t="s">
        <v>16</v>
      </c>
      <c r="E3334" s="4" t="s">
        <v>1512</v>
      </c>
      <c r="F3334" s="4" t="s">
        <v>406</v>
      </c>
      <c r="G3334" s="4" t="s">
        <v>1513</v>
      </c>
      <c r="H3334" s="12" t="n">
        <v>1</v>
      </c>
      <c r="I3334" s="4" t="s">
        <v>408</v>
      </c>
      <c r="J3334" s="4" t="s">
        <v>409</v>
      </c>
      <c r="K3334" s="13" t="n">
        <v>4500</v>
      </c>
      <c r="L3334" s="6" t="n">
        <f aca="false">H3334*K3334</f>
        <v>4500</v>
      </c>
      <c r="M3334" s="14" t="s">
        <v>410</v>
      </c>
    </row>
    <row r="3335" customFormat="false" ht="15" hidden="false" customHeight="false" outlineLevel="0" collapsed="false">
      <c r="A3335" s="4" t="s">
        <v>120</v>
      </c>
      <c r="B3335" s="5" t="s">
        <v>129</v>
      </c>
      <c r="C3335" s="5" t="s">
        <v>130</v>
      </c>
      <c r="D3335" s="4" t="s">
        <v>16</v>
      </c>
      <c r="E3335" s="4" t="s">
        <v>1514</v>
      </c>
      <c r="F3335" s="4" t="s">
        <v>406</v>
      </c>
      <c r="G3335" s="4" t="s">
        <v>1515</v>
      </c>
      <c r="H3335" s="12" t="n">
        <v>1</v>
      </c>
      <c r="I3335" s="4" t="s">
        <v>408</v>
      </c>
      <c r="J3335" s="4" t="s">
        <v>409</v>
      </c>
      <c r="K3335" s="13" t="n">
        <v>4500</v>
      </c>
      <c r="L3335" s="6" t="n">
        <f aca="false">H3335*K3335</f>
        <v>4500</v>
      </c>
      <c r="M3335" s="4" t="s">
        <v>371</v>
      </c>
    </row>
    <row r="3336" customFormat="false" ht="15" hidden="false" customHeight="false" outlineLevel="0" collapsed="false">
      <c r="A3336" s="4" t="s">
        <v>120</v>
      </c>
      <c r="B3336" s="5" t="s">
        <v>129</v>
      </c>
      <c r="C3336" s="5" t="s">
        <v>130</v>
      </c>
      <c r="D3336" s="4" t="s">
        <v>16</v>
      </c>
      <c r="E3336" s="4" t="s">
        <v>1357</v>
      </c>
      <c r="F3336" s="4" t="s">
        <v>406</v>
      </c>
      <c r="G3336" s="4" t="s">
        <v>1358</v>
      </c>
      <c r="H3336" s="12" t="n">
        <v>1</v>
      </c>
      <c r="I3336" s="4" t="s">
        <v>408</v>
      </c>
      <c r="J3336" s="4" t="s">
        <v>409</v>
      </c>
      <c r="K3336" s="13" t="n">
        <v>850</v>
      </c>
      <c r="L3336" s="6" t="n">
        <f aca="false">H3336*K3336</f>
        <v>850</v>
      </c>
      <c r="M3336" s="14" t="s">
        <v>410</v>
      </c>
    </row>
    <row r="3337" customFormat="false" ht="15" hidden="false" customHeight="false" outlineLevel="0" collapsed="false">
      <c r="A3337" s="4" t="s">
        <v>120</v>
      </c>
      <c r="B3337" s="5" t="s">
        <v>129</v>
      </c>
      <c r="C3337" s="5" t="s">
        <v>130</v>
      </c>
      <c r="D3337" s="4" t="s">
        <v>16</v>
      </c>
      <c r="E3337" s="4" t="s">
        <v>1359</v>
      </c>
      <c r="F3337" s="4" t="s">
        <v>406</v>
      </c>
      <c r="G3337" s="4" t="s">
        <v>1360</v>
      </c>
      <c r="H3337" s="12" t="n">
        <v>1</v>
      </c>
      <c r="I3337" s="4" t="s">
        <v>408</v>
      </c>
      <c r="J3337" s="4" t="s">
        <v>409</v>
      </c>
      <c r="K3337" s="13" t="n">
        <v>1200</v>
      </c>
      <c r="L3337" s="6" t="n">
        <f aca="false">H3337*K3337</f>
        <v>1200</v>
      </c>
      <c r="M3337" s="14" t="s">
        <v>410</v>
      </c>
    </row>
    <row r="3338" customFormat="false" ht="15" hidden="false" customHeight="false" outlineLevel="0" collapsed="false">
      <c r="A3338" s="4" t="s">
        <v>120</v>
      </c>
      <c r="B3338" s="5" t="s">
        <v>129</v>
      </c>
      <c r="C3338" s="5" t="s">
        <v>130</v>
      </c>
      <c r="D3338" s="4" t="s">
        <v>16</v>
      </c>
      <c r="E3338" s="4" t="s">
        <v>1516</v>
      </c>
      <c r="F3338" s="4" t="s">
        <v>406</v>
      </c>
      <c r="G3338" s="4" t="s">
        <v>1517</v>
      </c>
      <c r="H3338" s="12" t="n">
        <v>1</v>
      </c>
      <c r="I3338" s="4" t="s">
        <v>408</v>
      </c>
      <c r="J3338" s="4" t="s">
        <v>409</v>
      </c>
      <c r="K3338" s="13" t="n">
        <v>850</v>
      </c>
      <c r="L3338" s="6" t="n">
        <f aca="false">H3338*K3338</f>
        <v>850</v>
      </c>
      <c r="M3338" s="14" t="s">
        <v>410</v>
      </c>
    </row>
    <row r="3339" customFormat="false" ht="15" hidden="false" customHeight="false" outlineLevel="0" collapsed="false">
      <c r="A3339" s="4" t="s">
        <v>120</v>
      </c>
      <c r="B3339" s="5" t="s">
        <v>129</v>
      </c>
      <c r="C3339" s="5" t="s">
        <v>130</v>
      </c>
      <c r="D3339" s="4" t="s">
        <v>16</v>
      </c>
      <c r="E3339" s="4" t="s">
        <v>1363</v>
      </c>
      <c r="F3339" s="4" t="s">
        <v>406</v>
      </c>
      <c r="G3339" s="4" t="s">
        <v>1364</v>
      </c>
      <c r="H3339" s="12" t="n">
        <v>1</v>
      </c>
      <c r="I3339" s="4" t="s">
        <v>408</v>
      </c>
      <c r="J3339" s="4" t="s">
        <v>409</v>
      </c>
      <c r="K3339" s="13" t="n">
        <v>1200</v>
      </c>
      <c r="L3339" s="6" t="n">
        <f aca="false">H3339*K3339</f>
        <v>1200</v>
      </c>
      <c r="M3339" s="14" t="s">
        <v>410</v>
      </c>
    </row>
    <row r="3340" customFormat="false" ht="15" hidden="false" customHeight="false" outlineLevel="0" collapsed="false">
      <c r="A3340" s="4" t="s">
        <v>120</v>
      </c>
      <c r="B3340" s="5" t="s">
        <v>129</v>
      </c>
      <c r="C3340" s="5" t="s">
        <v>130</v>
      </c>
      <c r="D3340" s="4" t="s">
        <v>16</v>
      </c>
      <c r="E3340" s="4" t="s">
        <v>4131</v>
      </c>
      <c r="F3340" s="4" t="s">
        <v>406</v>
      </c>
      <c r="G3340" s="4" t="s">
        <v>4132</v>
      </c>
      <c r="H3340" s="12" t="n">
        <v>1</v>
      </c>
      <c r="I3340" s="4" t="s">
        <v>408</v>
      </c>
      <c r="J3340" s="4" t="s">
        <v>409</v>
      </c>
      <c r="K3340" s="13" t="n">
        <v>18000</v>
      </c>
      <c r="L3340" s="6" t="n">
        <f aca="false">H3340*K3340</f>
        <v>18000</v>
      </c>
      <c r="M3340" s="14" t="s">
        <v>410</v>
      </c>
    </row>
    <row r="3341" customFormat="false" ht="15" hidden="false" customHeight="false" outlineLevel="0" collapsed="false">
      <c r="A3341" s="4" t="s">
        <v>120</v>
      </c>
      <c r="B3341" s="5" t="s">
        <v>129</v>
      </c>
      <c r="C3341" s="5" t="s">
        <v>130</v>
      </c>
      <c r="D3341" s="4" t="s">
        <v>16</v>
      </c>
      <c r="E3341" s="4" t="s">
        <v>1518</v>
      </c>
      <c r="F3341" s="4" t="s">
        <v>406</v>
      </c>
      <c r="G3341" s="4" t="s">
        <v>1519</v>
      </c>
      <c r="H3341" s="12" t="n">
        <v>1</v>
      </c>
      <c r="I3341" s="4" t="s">
        <v>408</v>
      </c>
      <c r="J3341" s="4" t="s">
        <v>409</v>
      </c>
      <c r="K3341" s="13" t="n">
        <v>4500</v>
      </c>
      <c r="L3341" s="6" t="n">
        <f aca="false">H3341*K3341</f>
        <v>4500</v>
      </c>
      <c r="M3341" s="14" t="s">
        <v>410</v>
      </c>
    </row>
    <row r="3342" customFormat="false" ht="15" hidden="false" customHeight="false" outlineLevel="0" collapsed="false">
      <c r="A3342" s="4" t="s">
        <v>120</v>
      </c>
      <c r="B3342" s="5" t="s">
        <v>129</v>
      </c>
      <c r="C3342" s="5" t="s">
        <v>130</v>
      </c>
      <c r="D3342" s="4" t="s">
        <v>16</v>
      </c>
      <c r="E3342" s="4" t="s">
        <v>4133</v>
      </c>
      <c r="F3342" s="4" t="s">
        <v>406</v>
      </c>
      <c r="G3342" s="4" t="s">
        <v>4134</v>
      </c>
      <c r="H3342" s="12" t="n">
        <v>1</v>
      </c>
      <c r="I3342" s="4" t="s">
        <v>408</v>
      </c>
      <c r="J3342" s="4" t="s">
        <v>409</v>
      </c>
      <c r="K3342" s="13" t="n">
        <v>1800</v>
      </c>
      <c r="L3342" s="6" t="n">
        <f aca="false">H3342*K3342</f>
        <v>1800</v>
      </c>
      <c r="M3342" s="4" t="s">
        <v>371</v>
      </c>
    </row>
    <row r="3343" customFormat="false" ht="15" hidden="false" customHeight="false" outlineLevel="0" collapsed="false">
      <c r="A3343" s="4" t="s">
        <v>120</v>
      </c>
      <c r="B3343" s="5" t="s">
        <v>129</v>
      </c>
      <c r="C3343" s="5" t="s">
        <v>130</v>
      </c>
      <c r="D3343" s="4" t="s">
        <v>16</v>
      </c>
      <c r="E3343" s="4" t="s">
        <v>1375</v>
      </c>
      <c r="F3343" s="4" t="s">
        <v>406</v>
      </c>
      <c r="G3343" s="4" t="s">
        <v>1376</v>
      </c>
      <c r="H3343" s="12" t="n">
        <v>1</v>
      </c>
      <c r="I3343" s="4" t="s">
        <v>408</v>
      </c>
      <c r="J3343" s="4" t="s">
        <v>409</v>
      </c>
      <c r="K3343" s="13" t="n">
        <v>4500</v>
      </c>
      <c r="L3343" s="6" t="n">
        <f aca="false">H3343*K3343</f>
        <v>4500</v>
      </c>
      <c r="M3343" s="14" t="s">
        <v>410</v>
      </c>
    </row>
    <row r="3344" customFormat="false" ht="15" hidden="false" customHeight="false" outlineLevel="0" collapsed="false">
      <c r="A3344" s="4" t="s">
        <v>120</v>
      </c>
      <c r="B3344" s="5" t="s">
        <v>129</v>
      </c>
      <c r="C3344" s="5" t="s">
        <v>130</v>
      </c>
      <c r="D3344" s="4" t="s">
        <v>16</v>
      </c>
      <c r="E3344" s="4" t="s">
        <v>1381</v>
      </c>
      <c r="F3344" s="4" t="s">
        <v>406</v>
      </c>
      <c r="G3344" s="4" t="s">
        <v>1382</v>
      </c>
      <c r="H3344" s="12" t="n">
        <v>1</v>
      </c>
      <c r="I3344" s="4" t="s">
        <v>408</v>
      </c>
      <c r="J3344" s="4" t="s">
        <v>409</v>
      </c>
      <c r="K3344" s="13" t="n">
        <v>18000</v>
      </c>
      <c r="L3344" s="6" t="n">
        <f aca="false">H3344*K3344</f>
        <v>18000</v>
      </c>
      <c r="M3344" s="14" t="s">
        <v>410</v>
      </c>
    </row>
    <row r="3345" customFormat="false" ht="15" hidden="false" customHeight="false" outlineLevel="0" collapsed="false">
      <c r="A3345" s="4" t="s">
        <v>120</v>
      </c>
      <c r="B3345" s="5" t="s">
        <v>129</v>
      </c>
      <c r="C3345" s="5" t="s">
        <v>130</v>
      </c>
      <c r="D3345" s="4" t="s">
        <v>16</v>
      </c>
      <c r="E3345" s="4" t="s">
        <v>1383</v>
      </c>
      <c r="F3345" s="4" t="s">
        <v>406</v>
      </c>
      <c r="G3345" s="4" t="s">
        <v>1384</v>
      </c>
      <c r="H3345" s="12" t="n">
        <v>1</v>
      </c>
      <c r="I3345" s="4" t="s">
        <v>408</v>
      </c>
      <c r="J3345" s="4" t="s">
        <v>409</v>
      </c>
      <c r="K3345" s="13" t="n">
        <v>25000</v>
      </c>
      <c r="L3345" s="6" t="n">
        <f aca="false">H3345*K3345</f>
        <v>25000</v>
      </c>
      <c r="M3345" s="14" t="s">
        <v>410</v>
      </c>
    </row>
    <row r="3346" customFormat="false" ht="15" hidden="false" customHeight="false" outlineLevel="0" collapsed="false">
      <c r="A3346" s="4" t="s">
        <v>120</v>
      </c>
      <c r="B3346" s="5" t="s">
        <v>129</v>
      </c>
      <c r="C3346" s="5" t="s">
        <v>130</v>
      </c>
      <c r="D3346" s="4" t="s">
        <v>16</v>
      </c>
      <c r="E3346" s="4" t="s">
        <v>1385</v>
      </c>
      <c r="F3346" s="4" t="s">
        <v>406</v>
      </c>
      <c r="G3346" s="4" t="s">
        <v>1386</v>
      </c>
      <c r="H3346" s="12" t="n">
        <v>1</v>
      </c>
      <c r="I3346" s="4" t="s">
        <v>408</v>
      </c>
      <c r="J3346" s="4" t="s">
        <v>409</v>
      </c>
      <c r="K3346" s="13" t="n">
        <v>8500</v>
      </c>
      <c r="L3346" s="6" t="n">
        <f aca="false">H3346*K3346</f>
        <v>8500</v>
      </c>
      <c r="M3346" s="14" t="s">
        <v>410</v>
      </c>
    </row>
    <row r="3347" customFormat="false" ht="15" hidden="false" customHeight="false" outlineLevel="0" collapsed="false">
      <c r="A3347" s="4" t="s">
        <v>120</v>
      </c>
      <c r="B3347" s="5" t="s">
        <v>129</v>
      </c>
      <c r="C3347" s="5" t="s">
        <v>130</v>
      </c>
      <c r="D3347" s="4" t="s">
        <v>16</v>
      </c>
      <c r="E3347" s="4" t="s">
        <v>1387</v>
      </c>
      <c r="F3347" s="4" t="s">
        <v>406</v>
      </c>
      <c r="G3347" s="4" t="s">
        <v>1388</v>
      </c>
      <c r="H3347" s="12" t="n">
        <v>1</v>
      </c>
      <c r="I3347" s="4" t="s">
        <v>408</v>
      </c>
      <c r="J3347" s="4" t="s">
        <v>409</v>
      </c>
      <c r="K3347" s="13" t="n">
        <v>1800</v>
      </c>
      <c r="L3347" s="6" t="n">
        <f aca="false">H3347*K3347</f>
        <v>1800</v>
      </c>
      <c r="M3347" s="14" t="s">
        <v>410</v>
      </c>
    </row>
    <row r="3348" customFormat="false" ht="15" hidden="false" customHeight="false" outlineLevel="0" collapsed="false">
      <c r="A3348" s="4" t="s">
        <v>120</v>
      </c>
      <c r="B3348" s="5" t="s">
        <v>129</v>
      </c>
      <c r="C3348" s="5" t="s">
        <v>130</v>
      </c>
      <c r="D3348" s="4" t="s">
        <v>16</v>
      </c>
      <c r="E3348" s="4" t="s">
        <v>1389</v>
      </c>
      <c r="F3348" s="4" t="s">
        <v>406</v>
      </c>
      <c r="G3348" s="4" t="s">
        <v>1390</v>
      </c>
      <c r="H3348" s="12" t="n">
        <v>1</v>
      </c>
      <c r="I3348" s="4" t="s">
        <v>408</v>
      </c>
      <c r="J3348" s="4" t="s">
        <v>409</v>
      </c>
      <c r="K3348" s="13" t="n">
        <v>350</v>
      </c>
      <c r="L3348" s="6" t="n">
        <f aca="false">H3348*K3348</f>
        <v>350</v>
      </c>
      <c r="M3348" s="14" t="s">
        <v>410</v>
      </c>
    </row>
    <row r="3349" customFormat="false" ht="15" hidden="false" customHeight="false" outlineLevel="0" collapsed="false">
      <c r="A3349" s="4" t="s">
        <v>120</v>
      </c>
      <c r="B3349" s="5" t="s">
        <v>129</v>
      </c>
      <c r="C3349" s="5" t="s">
        <v>130</v>
      </c>
      <c r="D3349" s="4" t="s">
        <v>16</v>
      </c>
      <c r="E3349" s="4" t="s">
        <v>1391</v>
      </c>
      <c r="F3349" s="4" t="s">
        <v>470</v>
      </c>
      <c r="G3349" s="4" t="s">
        <v>1392</v>
      </c>
      <c r="H3349" s="12" t="n">
        <v>1</v>
      </c>
      <c r="I3349" s="4" t="s">
        <v>408</v>
      </c>
      <c r="J3349" s="4" t="s">
        <v>409</v>
      </c>
      <c r="K3349" s="13" t="n">
        <v>45000</v>
      </c>
      <c r="L3349" s="6" t="n">
        <f aca="false">H3349*K3349</f>
        <v>45000</v>
      </c>
      <c r="M3349" s="14" t="s">
        <v>410</v>
      </c>
    </row>
    <row r="3350" customFormat="false" ht="15" hidden="false" customHeight="false" outlineLevel="0" collapsed="false">
      <c r="A3350" s="4" t="s">
        <v>120</v>
      </c>
      <c r="B3350" s="5" t="s">
        <v>129</v>
      </c>
      <c r="C3350" s="5" t="s">
        <v>130</v>
      </c>
      <c r="D3350" s="4" t="s">
        <v>16</v>
      </c>
      <c r="E3350" s="4" t="s">
        <v>1520</v>
      </c>
      <c r="F3350" s="4" t="s">
        <v>470</v>
      </c>
      <c r="G3350" s="4" t="s">
        <v>1521</v>
      </c>
      <c r="H3350" s="12" t="n">
        <v>1</v>
      </c>
      <c r="I3350" s="4" t="s">
        <v>408</v>
      </c>
      <c r="J3350" s="4" t="s">
        <v>409</v>
      </c>
      <c r="K3350" s="13" t="n">
        <v>4500</v>
      </c>
      <c r="L3350" s="6" t="n">
        <f aca="false">H3350*K3350</f>
        <v>4500</v>
      </c>
      <c r="M3350" s="4" t="s">
        <v>371</v>
      </c>
    </row>
    <row r="3351" customFormat="false" ht="15" hidden="false" customHeight="false" outlineLevel="0" collapsed="false">
      <c r="A3351" s="4" t="s">
        <v>120</v>
      </c>
      <c r="B3351" s="5" t="s">
        <v>129</v>
      </c>
      <c r="C3351" s="5" t="s">
        <v>130</v>
      </c>
      <c r="D3351" s="4" t="s">
        <v>16</v>
      </c>
      <c r="E3351" s="4" t="s">
        <v>4116</v>
      </c>
      <c r="F3351" s="4" t="s">
        <v>470</v>
      </c>
      <c r="G3351" s="4" t="s">
        <v>1400</v>
      </c>
      <c r="H3351" s="12" t="n">
        <v>1</v>
      </c>
      <c r="I3351" s="4" t="s">
        <v>408</v>
      </c>
      <c r="J3351" s="4" t="s">
        <v>409</v>
      </c>
      <c r="K3351" s="13" t="n">
        <v>8500</v>
      </c>
      <c r="L3351" s="6" t="n">
        <f aca="false">H3351*K3351</f>
        <v>8500</v>
      </c>
      <c r="M3351" s="4" t="s">
        <v>371</v>
      </c>
    </row>
    <row r="3352" customFormat="false" ht="15" hidden="false" customHeight="false" outlineLevel="0" collapsed="false">
      <c r="A3352" s="4" t="s">
        <v>120</v>
      </c>
      <c r="B3352" s="5" t="s">
        <v>129</v>
      </c>
      <c r="C3352" s="5" t="s">
        <v>130</v>
      </c>
      <c r="D3352" s="4" t="s">
        <v>16</v>
      </c>
      <c r="E3352" s="4" t="s">
        <v>1401</v>
      </c>
      <c r="F3352" s="4" t="s">
        <v>470</v>
      </c>
      <c r="G3352" s="4" t="s">
        <v>1402</v>
      </c>
      <c r="H3352" s="12" t="n">
        <v>1</v>
      </c>
      <c r="I3352" s="4" t="s">
        <v>408</v>
      </c>
      <c r="J3352" s="4" t="s">
        <v>409</v>
      </c>
      <c r="K3352" s="13" t="n">
        <v>8500</v>
      </c>
      <c r="L3352" s="6" t="n">
        <f aca="false">H3352*K3352</f>
        <v>8500</v>
      </c>
      <c r="M3352" s="4" t="s">
        <v>371</v>
      </c>
    </row>
    <row r="3353" customFormat="false" ht="15" hidden="false" customHeight="false" outlineLevel="0" collapsed="false">
      <c r="A3353" s="4" t="s">
        <v>120</v>
      </c>
      <c r="B3353" s="5" t="s">
        <v>129</v>
      </c>
      <c r="C3353" s="5" t="s">
        <v>130</v>
      </c>
      <c r="D3353" s="4" t="s">
        <v>16</v>
      </c>
      <c r="E3353" s="4" t="s">
        <v>1403</v>
      </c>
      <c r="F3353" s="4" t="s">
        <v>470</v>
      </c>
      <c r="G3353" s="4" t="s">
        <v>1404</v>
      </c>
      <c r="H3353" s="12" t="n">
        <v>5</v>
      </c>
      <c r="I3353" s="4" t="s">
        <v>474</v>
      </c>
      <c r="J3353" s="4" t="s">
        <v>409</v>
      </c>
      <c r="K3353" s="13" t="n">
        <v>8500</v>
      </c>
      <c r="L3353" s="6" t="n">
        <f aca="false">H3353*K3353</f>
        <v>42500</v>
      </c>
      <c r="M3353" s="4" t="s">
        <v>371</v>
      </c>
    </row>
    <row r="3354" customFormat="false" ht="15" hidden="false" customHeight="false" outlineLevel="0" collapsed="false">
      <c r="A3354" s="4" t="s">
        <v>120</v>
      </c>
      <c r="B3354" s="5" t="s">
        <v>129</v>
      </c>
      <c r="C3354" s="5" t="s">
        <v>130</v>
      </c>
      <c r="D3354" s="4" t="s">
        <v>16</v>
      </c>
      <c r="E3354" s="4" t="s">
        <v>1405</v>
      </c>
      <c r="F3354" s="4" t="s">
        <v>470</v>
      </c>
      <c r="G3354" s="4" t="s">
        <v>1406</v>
      </c>
      <c r="H3354" s="12" t="n">
        <v>1</v>
      </c>
      <c r="I3354" s="4" t="s">
        <v>408</v>
      </c>
      <c r="J3354" s="4" t="s">
        <v>409</v>
      </c>
      <c r="K3354" s="13" t="n">
        <v>1800</v>
      </c>
      <c r="L3354" s="6" t="n">
        <f aca="false">H3354*K3354</f>
        <v>1800</v>
      </c>
      <c r="M3354" s="4" t="s">
        <v>371</v>
      </c>
    </row>
    <row r="3355" customFormat="false" ht="15" hidden="false" customHeight="false" outlineLevel="0" collapsed="false">
      <c r="A3355" s="4" t="s">
        <v>120</v>
      </c>
      <c r="B3355" s="5" t="s">
        <v>129</v>
      </c>
      <c r="C3355" s="5" t="s">
        <v>130</v>
      </c>
      <c r="D3355" s="4" t="s">
        <v>16</v>
      </c>
      <c r="E3355" s="4" t="s">
        <v>1413</v>
      </c>
      <c r="F3355" s="4" t="s">
        <v>470</v>
      </c>
      <c r="G3355" s="4" t="s">
        <v>1414</v>
      </c>
      <c r="H3355" s="12" t="n">
        <v>1</v>
      </c>
      <c r="I3355" s="4" t="s">
        <v>408</v>
      </c>
      <c r="J3355" s="4" t="s">
        <v>409</v>
      </c>
      <c r="K3355" s="13" t="n">
        <v>1200</v>
      </c>
      <c r="L3355" s="6" t="n">
        <f aca="false">H3355*K3355</f>
        <v>1200</v>
      </c>
      <c r="M3355" s="4" t="s">
        <v>371</v>
      </c>
    </row>
    <row r="3356" customFormat="false" ht="15" hidden="false" customHeight="false" outlineLevel="0" collapsed="false">
      <c r="A3356" s="4" t="s">
        <v>120</v>
      </c>
      <c r="B3356" s="5" t="s">
        <v>129</v>
      </c>
      <c r="C3356" s="5" t="s">
        <v>130</v>
      </c>
      <c r="D3356" s="4" t="s">
        <v>16</v>
      </c>
      <c r="E3356" s="4" t="s">
        <v>4135</v>
      </c>
      <c r="F3356" s="4" t="s">
        <v>470</v>
      </c>
      <c r="G3356" s="4" t="s">
        <v>4136</v>
      </c>
      <c r="H3356" s="12" t="n">
        <v>1</v>
      </c>
      <c r="I3356" s="4" t="s">
        <v>408</v>
      </c>
      <c r="J3356" s="4" t="s">
        <v>416</v>
      </c>
      <c r="K3356" s="13" t="n">
        <v>850</v>
      </c>
      <c r="L3356" s="6" t="n">
        <f aca="false">H3356*K3356</f>
        <v>850</v>
      </c>
      <c r="M3356" s="4" t="s">
        <v>371</v>
      </c>
    </row>
    <row r="3357" customFormat="false" ht="15" hidden="false" customHeight="false" outlineLevel="0" collapsed="false">
      <c r="A3357" s="4" t="s">
        <v>120</v>
      </c>
      <c r="B3357" s="5" t="s">
        <v>129</v>
      </c>
      <c r="C3357" s="5" t="s">
        <v>130</v>
      </c>
      <c r="D3357" s="4" t="s">
        <v>16</v>
      </c>
      <c r="E3357" s="4" t="s">
        <v>1454</v>
      </c>
      <c r="F3357" s="4" t="s">
        <v>470</v>
      </c>
      <c r="G3357" s="4" t="s">
        <v>1455</v>
      </c>
      <c r="H3357" s="12" t="n">
        <v>1</v>
      </c>
      <c r="I3357" s="4" t="s">
        <v>408</v>
      </c>
      <c r="J3357" s="4" t="s">
        <v>416</v>
      </c>
      <c r="K3357" s="13" t="n">
        <v>850</v>
      </c>
      <c r="L3357" s="6" t="n">
        <f aca="false">H3357*K3357</f>
        <v>850</v>
      </c>
      <c r="M3357" s="4" t="s">
        <v>371</v>
      </c>
    </row>
    <row r="3358" customFormat="false" ht="15" hidden="false" customHeight="false" outlineLevel="0" collapsed="false">
      <c r="A3358" s="4" t="s">
        <v>120</v>
      </c>
      <c r="B3358" s="5" t="s">
        <v>129</v>
      </c>
      <c r="C3358" s="5" t="s">
        <v>130</v>
      </c>
      <c r="D3358" s="4" t="s">
        <v>16</v>
      </c>
      <c r="E3358" s="4" t="s">
        <v>1417</v>
      </c>
      <c r="F3358" s="4" t="s">
        <v>470</v>
      </c>
      <c r="G3358" s="4" t="s">
        <v>1418</v>
      </c>
      <c r="H3358" s="12" t="n">
        <v>1</v>
      </c>
      <c r="I3358" s="4" t="s">
        <v>408</v>
      </c>
      <c r="J3358" s="4" t="s">
        <v>416</v>
      </c>
      <c r="K3358" s="13" t="n">
        <v>2500</v>
      </c>
      <c r="L3358" s="6" t="n">
        <f aca="false">H3358*K3358</f>
        <v>2500</v>
      </c>
      <c r="M3358" s="4" t="s">
        <v>371</v>
      </c>
    </row>
    <row r="3359" customFormat="false" ht="15" hidden="false" customHeight="false" outlineLevel="0" collapsed="false">
      <c r="A3359" s="4" t="s">
        <v>120</v>
      </c>
      <c r="B3359" s="5" t="s">
        <v>129</v>
      </c>
      <c r="C3359" s="5" t="s">
        <v>130</v>
      </c>
      <c r="D3359" s="4" t="s">
        <v>16</v>
      </c>
      <c r="E3359" s="4" t="s">
        <v>1458</v>
      </c>
      <c r="F3359" s="4" t="s">
        <v>470</v>
      </c>
      <c r="G3359" s="4" t="s">
        <v>1459</v>
      </c>
      <c r="H3359" s="12" t="n">
        <v>1</v>
      </c>
      <c r="I3359" s="4" t="s">
        <v>408</v>
      </c>
      <c r="J3359" s="4" t="s">
        <v>416</v>
      </c>
      <c r="K3359" s="13" t="n">
        <v>8500</v>
      </c>
      <c r="L3359" s="6" t="n">
        <f aca="false">H3359*K3359</f>
        <v>8500</v>
      </c>
      <c r="M3359" s="4" t="s">
        <v>371</v>
      </c>
    </row>
    <row r="3360" customFormat="false" ht="15" hidden="false" customHeight="false" outlineLevel="0" collapsed="false">
      <c r="A3360" s="4" t="s">
        <v>120</v>
      </c>
      <c r="B3360" s="5" t="s">
        <v>129</v>
      </c>
      <c r="C3360" s="5" t="s">
        <v>130</v>
      </c>
      <c r="D3360" s="4" t="s">
        <v>16</v>
      </c>
      <c r="E3360" s="4" t="s">
        <v>1423</v>
      </c>
      <c r="F3360" s="4" t="s">
        <v>470</v>
      </c>
      <c r="G3360" s="4" t="s">
        <v>1424</v>
      </c>
      <c r="H3360" s="12" t="n">
        <v>1</v>
      </c>
      <c r="I3360" s="4" t="s">
        <v>408</v>
      </c>
      <c r="J3360" s="4" t="s">
        <v>409</v>
      </c>
      <c r="K3360" s="13" t="n">
        <v>3500</v>
      </c>
      <c r="L3360" s="6" t="n">
        <f aca="false">H3360*K3360</f>
        <v>3500</v>
      </c>
      <c r="M3360" s="4" t="s">
        <v>371</v>
      </c>
    </row>
    <row r="3361" customFormat="false" ht="15" hidden="false" customHeight="false" outlineLevel="0" collapsed="false">
      <c r="A3361" s="4" t="s">
        <v>120</v>
      </c>
      <c r="B3361" s="5" t="s">
        <v>129</v>
      </c>
      <c r="C3361" s="5" t="s">
        <v>130</v>
      </c>
      <c r="D3361" s="4" t="s">
        <v>16</v>
      </c>
      <c r="E3361" s="4" t="s">
        <v>1526</v>
      </c>
      <c r="F3361" s="4" t="s">
        <v>488</v>
      </c>
      <c r="G3361" s="4" t="s">
        <v>1527</v>
      </c>
      <c r="H3361" s="12" t="n">
        <v>1</v>
      </c>
      <c r="I3361" s="4" t="s">
        <v>408</v>
      </c>
      <c r="J3361" s="4" t="s">
        <v>807</v>
      </c>
      <c r="K3361" s="13" t="n">
        <v>120</v>
      </c>
      <c r="L3361" s="6" t="n">
        <f aca="false">H3361*K3361</f>
        <v>120</v>
      </c>
      <c r="M3361" s="4" t="s">
        <v>371</v>
      </c>
    </row>
    <row r="3362" customFormat="false" ht="15" hidden="false" customHeight="false" outlineLevel="0" collapsed="false">
      <c r="A3362" s="4" t="s">
        <v>120</v>
      </c>
      <c r="B3362" s="5" t="s">
        <v>129</v>
      </c>
      <c r="C3362" s="5" t="s">
        <v>130</v>
      </c>
      <c r="D3362" s="4" t="s">
        <v>16</v>
      </c>
      <c r="E3362" s="4" t="s">
        <v>1528</v>
      </c>
      <c r="F3362" s="4" t="s">
        <v>488</v>
      </c>
      <c r="G3362" s="4" t="s">
        <v>1529</v>
      </c>
      <c r="H3362" s="12" t="n">
        <v>1</v>
      </c>
      <c r="I3362" s="4" t="s">
        <v>408</v>
      </c>
      <c r="J3362" s="4" t="s">
        <v>807</v>
      </c>
      <c r="K3362" s="13" t="n">
        <v>120</v>
      </c>
      <c r="L3362" s="6" t="n">
        <f aca="false">H3362*K3362</f>
        <v>120</v>
      </c>
      <c r="M3362" s="4" t="s">
        <v>371</v>
      </c>
    </row>
    <row r="3363" customFormat="false" ht="15" hidden="false" customHeight="false" outlineLevel="0" collapsed="false">
      <c r="A3363" s="4" t="s">
        <v>120</v>
      </c>
      <c r="B3363" s="5" t="s">
        <v>129</v>
      </c>
      <c r="C3363" s="5" t="s">
        <v>130</v>
      </c>
      <c r="D3363" s="4" t="s">
        <v>16</v>
      </c>
      <c r="E3363" s="4" t="s">
        <v>1532</v>
      </c>
      <c r="F3363" s="4" t="s">
        <v>488</v>
      </c>
      <c r="G3363" s="4" t="s">
        <v>1533</v>
      </c>
      <c r="H3363" s="12" t="n">
        <v>1</v>
      </c>
      <c r="I3363" s="4" t="s">
        <v>408</v>
      </c>
      <c r="J3363" s="4" t="s">
        <v>506</v>
      </c>
      <c r="K3363" s="13" t="n">
        <v>100</v>
      </c>
      <c r="L3363" s="6" t="n">
        <f aca="false">H3363*K3363</f>
        <v>100</v>
      </c>
      <c r="M3363" s="4" t="s">
        <v>371</v>
      </c>
    </row>
    <row r="3364" customFormat="false" ht="15" hidden="false" customHeight="false" outlineLevel="0" collapsed="false">
      <c r="A3364" s="4" t="s">
        <v>120</v>
      </c>
      <c r="B3364" s="5" t="s">
        <v>129</v>
      </c>
      <c r="C3364" s="5" t="s">
        <v>130</v>
      </c>
      <c r="D3364" s="4" t="s">
        <v>16</v>
      </c>
      <c r="E3364" s="4" t="s">
        <v>1534</v>
      </c>
      <c r="F3364" s="4" t="s">
        <v>488</v>
      </c>
      <c r="G3364" s="4" t="s">
        <v>1535</v>
      </c>
      <c r="H3364" s="12" t="n">
        <v>1</v>
      </c>
      <c r="I3364" s="4" t="s">
        <v>408</v>
      </c>
      <c r="J3364" s="4" t="s">
        <v>506</v>
      </c>
      <c r="K3364" s="13" t="n">
        <v>120</v>
      </c>
      <c r="L3364" s="6" t="n">
        <f aca="false">H3364*K3364</f>
        <v>120</v>
      </c>
      <c r="M3364" s="4" t="s">
        <v>371</v>
      </c>
    </row>
    <row r="3365" customFormat="false" ht="15" hidden="false" customHeight="false" outlineLevel="0" collapsed="false">
      <c r="A3365" s="4" t="s">
        <v>120</v>
      </c>
      <c r="B3365" s="5" t="s">
        <v>129</v>
      </c>
      <c r="C3365" s="5" t="s">
        <v>130</v>
      </c>
      <c r="D3365" s="4" t="s">
        <v>16</v>
      </c>
      <c r="E3365" s="4" t="s">
        <v>4137</v>
      </c>
      <c r="F3365" s="4" t="s">
        <v>488</v>
      </c>
      <c r="G3365" s="4" t="s">
        <v>4138</v>
      </c>
      <c r="H3365" s="12" t="n">
        <v>1</v>
      </c>
      <c r="I3365" s="4" t="s">
        <v>408</v>
      </c>
      <c r="J3365" s="4" t="s">
        <v>409</v>
      </c>
      <c r="K3365" s="13" t="n">
        <v>180</v>
      </c>
      <c r="L3365" s="6" t="n">
        <f aca="false">H3365*K3365</f>
        <v>180</v>
      </c>
      <c r="M3365" s="4" t="s">
        <v>371</v>
      </c>
    </row>
    <row r="3366" customFormat="false" ht="15" hidden="false" customHeight="false" outlineLevel="0" collapsed="false">
      <c r="A3366" s="4" t="s">
        <v>120</v>
      </c>
      <c r="B3366" s="5" t="s">
        <v>129</v>
      </c>
      <c r="C3366" s="5" t="s">
        <v>130</v>
      </c>
      <c r="D3366" s="4" t="s">
        <v>16</v>
      </c>
      <c r="E3366" s="4" t="s">
        <v>1538</v>
      </c>
      <c r="F3366" s="4" t="s">
        <v>488</v>
      </c>
      <c r="G3366" s="4" t="s">
        <v>1539</v>
      </c>
      <c r="H3366" s="12" t="n">
        <v>1</v>
      </c>
      <c r="I3366" s="4" t="s">
        <v>408</v>
      </c>
      <c r="J3366" s="4" t="s">
        <v>506</v>
      </c>
      <c r="K3366" s="13" t="n">
        <v>80</v>
      </c>
      <c r="L3366" s="6" t="n">
        <f aca="false">H3366*K3366</f>
        <v>80</v>
      </c>
      <c r="M3366" s="4" t="s">
        <v>371</v>
      </c>
    </row>
    <row r="3367" customFormat="false" ht="15" hidden="false" customHeight="false" outlineLevel="0" collapsed="false">
      <c r="A3367" s="4" t="s">
        <v>120</v>
      </c>
      <c r="B3367" s="5" t="s">
        <v>129</v>
      </c>
      <c r="C3367" s="5" t="s">
        <v>130</v>
      </c>
      <c r="D3367" s="4" t="s">
        <v>16</v>
      </c>
      <c r="E3367" s="4" t="s">
        <v>1540</v>
      </c>
      <c r="F3367" s="4" t="s">
        <v>488</v>
      </c>
      <c r="G3367" s="4" t="s">
        <v>1541</v>
      </c>
      <c r="H3367" s="12" t="n">
        <v>1</v>
      </c>
      <c r="I3367" s="4" t="s">
        <v>408</v>
      </c>
      <c r="J3367" s="4" t="s">
        <v>480</v>
      </c>
      <c r="K3367" s="13" t="n">
        <v>180</v>
      </c>
      <c r="L3367" s="6" t="n">
        <f aca="false">H3367*K3367</f>
        <v>180</v>
      </c>
      <c r="M3367" s="4" t="s">
        <v>371</v>
      </c>
    </row>
    <row r="3368" customFormat="false" ht="15" hidden="false" customHeight="false" outlineLevel="0" collapsed="false">
      <c r="A3368" s="4" t="s">
        <v>120</v>
      </c>
      <c r="B3368" s="5" t="s">
        <v>129</v>
      </c>
      <c r="C3368" s="5" t="s">
        <v>130</v>
      </c>
      <c r="D3368" s="4" t="s">
        <v>16</v>
      </c>
      <c r="E3368" s="4" t="s">
        <v>1425</v>
      </c>
      <c r="F3368" s="4" t="s">
        <v>488</v>
      </c>
      <c r="G3368" s="4" t="s">
        <v>1426</v>
      </c>
      <c r="H3368" s="12" t="n">
        <v>1</v>
      </c>
      <c r="I3368" s="4" t="s">
        <v>408</v>
      </c>
      <c r="J3368" s="4" t="s">
        <v>506</v>
      </c>
      <c r="K3368" s="13" t="n">
        <v>100</v>
      </c>
      <c r="L3368" s="6" t="n">
        <f aca="false">H3368*K3368</f>
        <v>100</v>
      </c>
      <c r="M3368" s="4" t="s">
        <v>371</v>
      </c>
    </row>
    <row r="3369" customFormat="false" ht="15" hidden="false" customHeight="false" outlineLevel="0" collapsed="false">
      <c r="A3369" s="4" t="s">
        <v>120</v>
      </c>
      <c r="B3369" s="5" t="s">
        <v>129</v>
      </c>
      <c r="C3369" s="5" t="s">
        <v>130</v>
      </c>
      <c r="D3369" s="4" t="s">
        <v>16</v>
      </c>
      <c r="E3369" s="4" t="s">
        <v>1427</v>
      </c>
      <c r="F3369" s="4" t="s">
        <v>488</v>
      </c>
      <c r="G3369" s="4" t="s">
        <v>1428</v>
      </c>
      <c r="H3369" s="12" t="n">
        <v>1</v>
      </c>
      <c r="I3369" s="4" t="s">
        <v>408</v>
      </c>
      <c r="J3369" s="4" t="s">
        <v>480</v>
      </c>
      <c r="K3369" s="13" t="n">
        <v>100</v>
      </c>
      <c r="L3369" s="6" t="n">
        <f aca="false">H3369*K3369</f>
        <v>100</v>
      </c>
      <c r="M3369" s="4" t="s">
        <v>371</v>
      </c>
    </row>
    <row r="3370" customFormat="false" ht="15" hidden="false" customHeight="false" outlineLevel="0" collapsed="false">
      <c r="A3370" s="4" t="s">
        <v>120</v>
      </c>
      <c r="B3370" s="5" t="s">
        <v>129</v>
      </c>
      <c r="C3370" s="5" t="s">
        <v>130</v>
      </c>
      <c r="D3370" s="4" t="s">
        <v>16</v>
      </c>
      <c r="E3370" s="4" t="s">
        <v>1431</v>
      </c>
      <c r="F3370" s="4" t="s">
        <v>488</v>
      </c>
      <c r="G3370" s="4" t="s">
        <v>1432</v>
      </c>
      <c r="H3370" s="12" t="n">
        <v>1</v>
      </c>
      <c r="I3370" s="4" t="s">
        <v>408</v>
      </c>
      <c r="J3370" s="4" t="s">
        <v>480</v>
      </c>
      <c r="K3370" s="13" t="n">
        <v>80</v>
      </c>
      <c r="L3370" s="6" t="n">
        <f aca="false">H3370*K3370</f>
        <v>80</v>
      </c>
      <c r="M3370" s="4" t="s">
        <v>371</v>
      </c>
    </row>
    <row r="3371" customFormat="false" ht="15" hidden="false" customHeight="false" outlineLevel="0" collapsed="false">
      <c r="A3371" s="4" t="s">
        <v>120</v>
      </c>
      <c r="B3371" s="5" t="s">
        <v>129</v>
      </c>
      <c r="C3371" s="5" t="s">
        <v>130</v>
      </c>
      <c r="D3371" s="4" t="s">
        <v>16</v>
      </c>
      <c r="E3371" s="4" t="s">
        <v>1433</v>
      </c>
      <c r="F3371" s="4" t="s">
        <v>488</v>
      </c>
      <c r="G3371" s="4" t="s">
        <v>1434</v>
      </c>
      <c r="H3371" s="12" t="n">
        <v>1</v>
      </c>
      <c r="I3371" s="4" t="s">
        <v>408</v>
      </c>
      <c r="J3371" s="4" t="s">
        <v>480</v>
      </c>
      <c r="K3371" s="13" t="n">
        <v>80</v>
      </c>
      <c r="L3371" s="6" t="n">
        <f aca="false">H3371*K3371</f>
        <v>80</v>
      </c>
      <c r="M3371" s="4" t="s">
        <v>371</v>
      </c>
    </row>
    <row r="3372" customFormat="false" ht="15" hidden="false" customHeight="false" outlineLevel="0" collapsed="false">
      <c r="A3372" s="4" t="s">
        <v>120</v>
      </c>
      <c r="B3372" s="5" t="s">
        <v>129</v>
      </c>
      <c r="C3372" s="5" t="s">
        <v>130</v>
      </c>
      <c r="D3372" s="4" t="s">
        <v>16</v>
      </c>
      <c r="E3372" s="4" t="s">
        <v>1439</v>
      </c>
      <c r="F3372" s="4" t="s">
        <v>488</v>
      </c>
      <c r="G3372" s="4" t="s">
        <v>1440</v>
      </c>
      <c r="H3372" s="12" t="n">
        <v>1</v>
      </c>
      <c r="I3372" s="4" t="s">
        <v>408</v>
      </c>
      <c r="J3372" s="4" t="s">
        <v>409</v>
      </c>
      <c r="K3372" s="13" t="n">
        <v>120</v>
      </c>
      <c r="L3372" s="6" t="n">
        <f aca="false">H3372*K3372</f>
        <v>120</v>
      </c>
      <c r="M3372" s="14" t="s">
        <v>410</v>
      </c>
    </row>
    <row r="3373" customFormat="false" ht="15" hidden="false" customHeight="false" outlineLevel="0" collapsed="false">
      <c r="A3373" s="4" t="s">
        <v>120</v>
      </c>
      <c r="B3373" s="5" t="s">
        <v>129</v>
      </c>
      <c r="C3373" s="5" t="s">
        <v>130</v>
      </c>
      <c r="D3373" s="4" t="s">
        <v>16</v>
      </c>
      <c r="E3373" s="4" t="s">
        <v>1441</v>
      </c>
      <c r="F3373" s="4" t="s">
        <v>488</v>
      </c>
      <c r="G3373" s="4" t="s">
        <v>1442</v>
      </c>
      <c r="H3373" s="12" t="n">
        <v>1</v>
      </c>
      <c r="I3373" s="4" t="s">
        <v>408</v>
      </c>
      <c r="J3373" s="4" t="s">
        <v>409</v>
      </c>
      <c r="K3373" s="13" t="n">
        <v>15</v>
      </c>
      <c r="L3373" s="6" t="n">
        <f aca="false">H3373*K3373</f>
        <v>15</v>
      </c>
      <c r="M3373" s="4" t="s">
        <v>371</v>
      </c>
    </row>
    <row r="3374" customFormat="false" ht="15" hidden="false" customHeight="false" outlineLevel="0" collapsed="false">
      <c r="A3374" s="4" t="s">
        <v>120</v>
      </c>
      <c r="B3374" s="5" t="s">
        <v>129</v>
      </c>
      <c r="C3374" s="5" t="s">
        <v>130</v>
      </c>
      <c r="D3374" s="4" t="s">
        <v>16</v>
      </c>
      <c r="E3374" s="4" t="s">
        <v>1443</v>
      </c>
      <c r="F3374" s="4" t="s">
        <v>470</v>
      </c>
      <c r="G3374" s="4" t="s">
        <v>1444</v>
      </c>
      <c r="H3374" s="12" t="n">
        <v>1</v>
      </c>
      <c r="I3374" s="4" t="s">
        <v>408</v>
      </c>
      <c r="J3374" s="4" t="s">
        <v>409</v>
      </c>
      <c r="K3374" s="13" t="n">
        <v>450</v>
      </c>
      <c r="L3374" s="6" t="n">
        <f aca="false">H3374*K3374</f>
        <v>450</v>
      </c>
      <c r="M3374" s="4" t="s">
        <v>371</v>
      </c>
    </row>
    <row r="3375" customFormat="false" ht="15" hidden="false" customHeight="false" outlineLevel="0" collapsed="false">
      <c r="A3375" s="4" t="s">
        <v>120</v>
      </c>
      <c r="B3375" s="5" t="s">
        <v>129</v>
      </c>
      <c r="C3375" s="5" t="s">
        <v>130</v>
      </c>
      <c r="D3375" s="4" t="s">
        <v>16</v>
      </c>
      <c r="E3375" s="4" t="s">
        <v>1472</v>
      </c>
      <c r="F3375" s="4" t="s">
        <v>470</v>
      </c>
      <c r="G3375" s="4" t="s">
        <v>1473</v>
      </c>
      <c r="H3375" s="12" t="n">
        <v>1</v>
      </c>
      <c r="I3375" s="4" t="s">
        <v>408</v>
      </c>
      <c r="J3375" s="4" t="s">
        <v>416</v>
      </c>
      <c r="K3375" s="13" t="n">
        <v>350</v>
      </c>
      <c r="L3375" s="6" t="n">
        <f aca="false">H3375*K3375</f>
        <v>350</v>
      </c>
      <c r="M3375" s="4" t="s">
        <v>371</v>
      </c>
    </row>
    <row r="3376" customFormat="false" ht="15" hidden="false" customHeight="false" outlineLevel="0" collapsed="false">
      <c r="A3376" s="4" t="s">
        <v>120</v>
      </c>
      <c r="B3376" s="5" t="s">
        <v>131</v>
      </c>
      <c r="C3376" s="5" t="s">
        <v>132</v>
      </c>
      <c r="D3376" s="4" t="s">
        <v>16</v>
      </c>
      <c r="E3376" s="4" t="s">
        <v>4139</v>
      </c>
      <c r="F3376" s="4" t="s">
        <v>406</v>
      </c>
      <c r="G3376" s="4" t="s">
        <v>4140</v>
      </c>
      <c r="H3376" s="12" t="n">
        <v>1</v>
      </c>
      <c r="I3376" s="4" t="s">
        <v>408</v>
      </c>
      <c r="J3376" s="4" t="s">
        <v>409</v>
      </c>
      <c r="K3376" s="13" t="n">
        <v>650</v>
      </c>
      <c r="L3376" s="6" t="n">
        <f aca="false">H3376*K3376</f>
        <v>650</v>
      </c>
      <c r="M3376" s="14" t="s">
        <v>410</v>
      </c>
    </row>
    <row r="3377" customFormat="false" ht="15" hidden="false" customHeight="false" outlineLevel="0" collapsed="false">
      <c r="A3377" s="4" t="s">
        <v>120</v>
      </c>
      <c r="B3377" s="5" t="s">
        <v>131</v>
      </c>
      <c r="C3377" s="5" t="s">
        <v>132</v>
      </c>
      <c r="D3377" s="4" t="s">
        <v>16</v>
      </c>
      <c r="E3377" s="4" t="s">
        <v>4141</v>
      </c>
      <c r="F3377" s="4" t="s">
        <v>406</v>
      </c>
      <c r="G3377" s="4" t="s">
        <v>4142</v>
      </c>
      <c r="H3377" s="12" t="n">
        <v>1</v>
      </c>
      <c r="I3377" s="4" t="s">
        <v>408</v>
      </c>
      <c r="J3377" s="4" t="s">
        <v>416</v>
      </c>
      <c r="K3377" s="13" t="n">
        <v>350</v>
      </c>
      <c r="L3377" s="6" t="n">
        <f aca="false">H3377*K3377</f>
        <v>350</v>
      </c>
      <c r="M3377" s="14" t="s">
        <v>410</v>
      </c>
    </row>
    <row r="3378" customFormat="false" ht="15" hidden="false" customHeight="false" outlineLevel="0" collapsed="false">
      <c r="A3378" s="4" t="s">
        <v>120</v>
      </c>
      <c r="B3378" s="5" t="s">
        <v>131</v>
      </c>
      <c r="C3378" s="5" t="s">
        <v>132</v>
      </c>
      <c r="D3378" s="4" t="s">
        <v>16</v>
      </c>
      <c r="E3378" s="4" t="s">
        <v>4143</v>
      </c>
      <c r="F3378" s="4" t="s">
        <v>406</v>
      </c>
      <c r="G3378" s="4" t="s">
        <v>4144</v>
      </c>
      <c r="H3378" s="12" t="n">
        <v>1</v>
      </c>
      <c r="I3378" s="4" t="s">
        <v>408</v>
      </c>
      <c r="J3378" s="4" t="s">
        <v>409</v>
      </c>
      <c r="K3378" s="13" t="n">
        <v>1200</v>
      </c>
      <c r="L3378" s="6" t="n">
        <f aca="false">H3378*K3378</f>
        <v>1200</v>
      </c>
      <c r="M3378" s="14" t="s">
        <v>410</v>
      </c>
    </row>
    <row r="3379" customFormat="false" ht="15" hidden="false" customHeight="false" outlineLevel="0" collapsed="false">
      <c r="A3379" s="4" t="s">
        <v>120</v>
      </c>
      <c r="B3379" s="5" t="s">
        <v>131</v>
      </c>
      <c r="C3379" s="5" t="s">
        <v>132</v>
      </c>
      <c r="D3379" s="4" t="s">
        <v>16</v>
      </c>
      <c r="E3379" s="4" t="s">
        <v>4145</v>
      </c>
      <c r="F3379" s="4" t="s">
        <v>406</v>
      </c>
      <c r="G3379" s="4" t="s">
        <v>4146</v>
      </c>
      <c r="H3379" s="12" t="n">
        <v>1</v>
      </c>
      <c r="I3379" s="4" t="s">
        <v>408</v>
      </c>
      <c r="J3379" s="4" t="s">
        <v>416</v>
      </c>
      <c r="K3379" s="13" t="n">
        <v>850</v>
      </c>
      <c r="L3379" s="6" t="n">
        <f aca="false">H3379*K3379</f>
        <v>850</v>
      </c>
      <c r="M3379" s="14" t="s">
        <v>410</v>
      </c>
    </row>
    <row r="3380" customFormat="false" ht="15" hidden="false" customHeight="false" outlineLevel="0" collapsed="false">
      <c r="A3380" s="4" t="s">
        <v>120</v>
      </c>
      <c r="B3380" s="5" t="s">
        <v>131</v>
      </c>
      <c r="C3380" s="5" t="s">
        <v>132</v>
      </c>
      <c r="D3380" s="4" t="s">
        <v>16</v>
      </c>
      <c r="E3380" s="4" t="s">
        <v>4147</v>
      </c>
      <c r="F3380" s="4" t="s">
        <v>406</v>
      </c>
      <c r="G3380" s="4" t="s">
        <v>4148</v>
      </c>
      <c r="H3380" s="12" t="n">
        <v>1</v>
      </c>
      <c r="I3380" s="4" t="s">
        <v>408</v>
      </c>
      <c r="J3380" s="4" t="s">
        <v>409</v>
      </c>
      <c r="K3380" s="13" t="n">
        <v>850</v>
      </c>
      <c r="L3380" s="6" t="n">
        <f aca="false">H3380*K3380</f>
        <v>850</v>
      </c>
      <c r="M3380" s="14" t="s">
        <v>410</v>
      </c>
    </row>
    <row r="3381" customFormat="false" ht="15" hidden="false" customHeight="false" outlineLevel="0" collapsed="false">
      <c r="A3381" s="4" t="s">
        <v>120</v>
      </c>
      <c r="B3381" s="5" t="s">
        <v>131</v>
      </c>
      <c r="C3381" s="5" t="s">
        <v>132</v>
      </c>
      <c r="D3381" s="4" t="s">
        <v>16</v>
      </c>
      <c r="E3381" s="4" t="s">
        <v>4149</v>
      </c>
      <c r="F3381" s="4" t="s">
        <v>406</v>
      </c>
      <c r="G3381" s="4" t="s">
        <v>4150</v>
      </c>
      <c r="H3381" s="12" t="n">
        <v>1</v>
      </c>
      <c r="I3381" s="4" t="s">
        <v>408</v>
      </c>
      <c r="J3381" s="4" t="s">
        <v>409</v>
      </c>
      <c r="K3381" s="13" t="n">
        <v>800</v>
      </c>
      <c r="L3381" s="6" t="n">
        <f aca="false">H3381*K3381</f>
        <v>800</v>
      </c>
      <c r="M3381" s="14" t="s">
        <v>410</v>
      </c>
    </row>
    <row r="3382" customFormat="false" ht="15" hidden="false" customHeight="false" outlineLevel="0" collapsed="false">
      <c r="A3382" s="4" t="s">
        <v>120</v>
      </c>
      <c r="B3382" s="5" t="s">
        <v>131</v>
      </c>
      <c r="C3382" s="5" t="s">
        <v>132</v>
      </c>
      <c r="D3382" s="4" t="s">
        <v>16</v>
      </c>
      <c r="E3382" s="4" t="s">
        <v>4151</v>
      </c>
      <c r="F3382" s="4" t="s">
        <v>406</v>
      </c>
      <c r="G3382" s="4" t="s">
        <v>4152</v>
      </c>
      <c r="H3382" s="12" t="n">
        <v>1</v>
      </c>
      <c r="I3382" s="4" t="s">
        <v>408</v>
      </c>
      <c r="J3382" s="4" t="s">
        <v>409</v>
      </c>
      <c r="K3382" s="13" t="n">
        <v>250</v>
      </c>
      <c r="L3382" s="6" t="n">
        <f aca="false">H3382*K3382</f>
        <v>250</v>
      </c>
      <c r="M3382" s="14" t="s">
        <v>410</v>
      </c>
    </row>
    <row r="3383" customFormat="false" ht="15" hidden="false" customHeight="false" outlineLevel="0" collapsed="false">
      <c r="A3383" s="4" t="s">
        <v>120</v>
      </c>
      <c r="B3383" s="5" t="s">
        <v>131</v>
      </c>
      <c r="C3383" s="5" t="s">
        <v>132</v>
      </c>
      <c r="D3383" s="4" t="s">
        <v>16</v>
      </c>
      <c r="E3383" s="4" t="s">
        <v>4153</v>
      </c>
      <c r="F3383" s="4" t="s">
        <v>406</v>
      </c>
      <c r="G3383" s="4" t="s">
        <v>4154</v>
      </c>
      <c r="H3383" s="12" t="n">
        <v>1</v>
      </c>
      <c r="I3383" s="4" t="s">
        <v>408</v>
      </c>
      <c r="J3383" s="4" t="s">
        <v>409</v>
      </c>
      <c r="K3383" s="13" t="n">
        <v>650</v>
      </c>
      <c r="L3383" s="6" t="n">
        <f aca="false">H3383*K3383</f>
        <v>650</v>
      </c>
      <c r="M3383" s="14" t="s">
        <v>410</v>
      </c>
    </row>
    <row r="3384" customFormat="false" ht="15" hidden="false" customHeight="false" outlineLevel="0" collapsed="false">
      <c r="A3384" s="4" t="s">
        <v>120</v>
      </c>
      <c r="B3384" s="5" t="s">
        <v>131</v>
      </c>
      <c r="C3384" s="5" t="s">
        <v>132</v>
      </c>
      <c r="D3384" s="4" t="s">
        <v>16</v>
      </c>
      <c r="E3384" s="4" t="s">
        <v>4155</v>
      </c>
      <c r="F3384" s="4" t="s">
        <v>406</v>
      </c>
      <c r="G3384" s="4" t="s">
        <v>4156</v>
      </c>
      <c r="H3384" s="12" t="n">
        <v>1</v>
      </c>
      <c r="I3384" s="4" t="s">
        <v>408</v>
      </c>
      <c r="J3384" s="4" t="s">
        <v>409</v>
      </c>
      <c r="K3384" s="13" t="n">
        <v>350</v>
      </c>
      <c r="L3384" s="6" t="n">
        <f aca="false">H3384*K3384</f>
        <v>350</v>
      </c>
      <c r="M3384" s="14" t="s">
        <v>410</v>
      </c>
    </row>
    <row r="3385" customFormat="false" ht="15" hidden="false" customHeight="false" outlineLevel="0" collapsed="false">
      <c r="A3385" s="4" t="s">
        <v>120</v>
      </c>
      <c r="B3385" s="5" t="s">
        <v>131</v>
      </c>
      <c r="C3385" s="5" t="s">
        <v>132</v>
      </c>
      <c r="D3385" s="4" t="s">
        <v>16</v>
      </c>
      <c r="E3385" s="4" t="s">
        <v>2756</v>
      </c>
      <c r="F3385" s="4" t="s">
        <v>406</v>
      </c>
      <c r="G3385" s="4" t="s">
        <v>2757</v>
      </c>
      <c r="H3385" s="12" t="n">
        <v>1</v>
      </c>
      <c r="I3385" s="4" t="s">
        <v>408</v>
      </c>
      <c r="J3385" s="4" t="s">
        <v>409</v>
      </c>
      <c r="K3385" s="13" t="n">
        <v>350</v>
      </c>
      <c r="L3385" s="6" t="n">
        <f aca="false">H3385*K3385</f>
        <v>350</v>
      </c>
      <c r="M3385" s="14" t="s">
        <v>410</v>
      </c>
    </row>
    <row r="3386" customFormat="false" ht="15" hidden="false" customHeight="false" outlineLevel="0" collapsed="false">
      <c r="A3386" s="4" t="s">
        <v>120</v>
      </c>
      <c r="B3386" s="5" t="s">
        <v>131</v>
      </c>
      <c r="C3386" s="5" t="s">
        <v>132</v>
      </c>
      <c r="D3386" s="4" t="s">
        <v>16</v>
      </c>
      <c r="E3386" s="4" t="s">
        <v>4157</v>
      </c>
      <c r="F3386" s="4" t="s">
        <v>406</v>
      </c>
      <c r="G3386" s="4" t="s">
        <v>4158</v>
      </c>
      <c r="H3386" s="12" t="n">
        <v>1</v>
      </c>
      <c r="I3386" s="4" t="s">
        <v>408</v>
      </c>
      <c r="J3386" s="4" t="s">
        <v>416</v>
      </c>
      <c r="K3386" s="13" t="n">
        <v>12000</v>
      </c>
      <c r="L3386" s="6" t="n">
        <f aca="false">H3386*K3386</f>
        <v>12000</v>
      </c>
      <c r="M3386" s="4" t="s">
        <v>371</v>
      </c>
    </row>
    <row r="3387" customFormat="false" ht="15" hidden="false" customHeight="false" outlineLevel="0" collapsed="false">
      <c r="A3387" s="4" t="s">
        <v>120</v>
      </c>
      <c r="B3387" s="5" t="s">
        <v>131</v>
      </c>
      <c r="C3387" s="5" t="s">
        <v>132</v>
      </c>
      <c r="D3387" s="4" t="s">
        <v>16</v>
      </c>
      <c r="E3387" s="4" t="s">
        <v>4159</v>
      </c>
      <c r="F3387" s="4" t="s">
        <v>406</v>
      </c>
      <c r="G3387" s="4" t="s">
        <v>4160</v>
      </c>
      <c r="H3387" s="12" t="n">
        <v>1</v>
      </c>
      <c r="I3387" s="4" t="s">
        <v>408</v>
      </c>
      <c r="J3387" s="4" t="s">
        <v>416</v>
      </c>
      <c r="K3387" s="13" t="n">
        <v>12000</v>
      </c>
      <c r="L3387" s="6" t="n">
        <f aca="false">H3387*K3387</f>
        <v>12000</v>
      </c>
      <c r="M3387" s="4" t="s">
        <v>371</v>
      </c>
    </row>
    <row r="3388" customFormat="false" ht="15" hidden="false" customHeight="false" outlineLevel="0" collapsed="false">
      <c r="A3388" s="4" t="s">
        <v>120</v>
      </c>
      <c r="B3388" s="5" t="s">
        <v>131</v>
      </c>
      <c r="C3388" s="5" t="s">
        <v>132</v>
      </c>
      <c r="D3388" s="4" t="s">
        <v>16</v>
      </c>
      <c r="E3388" s="4" t="s">
        <v>4161</v>
      </c>
      <c r="F3388" s="4" t="s">
        <v>406</v>
      </c>
      <c r="G3388" s="4" t="s">
        <v>4162</v>
      </c>
      <c r="H3388" s="12" t="n">
        <v>1</v>
      </c>
      <c r="I3388" s="4" t="s">
        <v>408</v>
      </c>
      <c r="J3388" s="4" t="s">
        <v>416</v>
      </c>
      <c r="K3388" s="13" t="n">
        <v>18000</v>
      </c>
      <c r="L3388" s="6" t="n">
        <f aca="false">H3388*K3388</f>
        <v>18000</v>
      </c>
      <c r="M3388" s="4" t="s">
        <v>371</v>
      </c>
    </row>
    <row r="3389" customFormat="false" ht="15" hidden="false" customHeight="false" outlineLevel="0" collapsed="false">
      <c r="A3389" s="4" t="s">
        <v>120</v>
      </c>
      <c r="B3389" s="5" t="s">
        <v>131</v>
      </c>
      <c r="C3389" s="5" t="s">
        <v>132</v>
      </c>
      <c r="D3389" s="4" t="s">
        <v>16</v>
      </c>
      <c r="E3389" s="4" t="s">
        <v>4163</v>
      </c>
      <c r="F3389" s="4" t="s">
        <v>470</v>
      </c>
      <c r="G3389" s="4" t="s">
        <v>4164</v>
      </c>
      <c r="H3389" s="12" t="n">
        <v>1</v>
      </c>
      <c r="I3389" s="4" t="s">
        <v>408</v>
      </c>
      <c r="J3389" s="4" t="s">
        <v>416</v>
      </c>
      <c r="K3389" s="13" t="n">
        <v>45000</v>
      </c>
      <c r="L3389" s="6" t="n">
        <f aca="false">H3389*K3389</f>
        <v>45000</v>
      </c>
      <c r="M3389" s="14" t="s">
        <v>410</v>
      </c>
    </row>
    <row r="3390" customFormat="false" ht="15" hidden="false" customHeight="false" outlineLevel="0" collapsed="false">
      <c r="A3390" s="4" t="s">
        <v>120</v>
      </c>
      <c r="B3390" s="5" t="s">
        <v>131</v>
      </c>
      <c r="C3390" s="5" t="s">
        <v>132</v>
      </c>
      <c r="D3390" s="4" t="s">
        <v>16</v>
      </c>
      <c r="E3390" s="4" t="s">
        <v>3768</v>
      </c>
      <c r="F3390" s="4" t="s">
        <v>470</v>
      </c>
      <c r="G3390" s="4" t="s">
        <v>3769</v>
      </c>
      <c r="H3390" s="12" t="n">
        <v>1</v>
      </c>
      <c r="I3390" s="4" t="s">
        <v>408</v>
      </c>
      <c r="J3390" s="4" t="s">
        <v>409</v>
      </c>
      <c r="K3390" s="13" t="n">
        <v>1800</v>
      </c>
      <c r="L3390" s="6" t="n">
        <f aca="false">H3390*K3390</f>
        <v>1800</v>
      </c>
      <c r="M3390" s="4" t="s">
        <v>371</v>
      </c>
    </row>
    <row r="3391" customFormat="false" ht="15" hidden="false" customHeight="false" outlineLevel="0" collapsed="false">
      <c r="A3391" s="4" t="s">
        <v>120</v>
      </c>
      <c r="B3391" s="5" t="s">
        <v>131</v>
      </c>
      <c r="C3391" s="5" t="s">
        <v>132</v>
      </c>
      <c r="D3391" s="4" t="s">
        <v>16</v>
      </c>
      <c r="E3391" s="4" t="s">
        <v>4165</v>
      </c>
      <c r="F3391" s="4" t="s">
        <v>488</v>
      </c>
      <c r="G3391" s="4" t="s">
        <v>4166</v>
      </c>
      <c r="H3391" s="12" t="n">
        <v>1</v>
      </c>
      <c r="I3391" s="4" t="s">
        <v>408</v>
      </c>
      <c r="J3391" s="4" t="s">
        <v>506</v>
      </c>
      <c r="K3391" s="13" t="n">
        <v>150</v>
      </c>
      <c r="L3391" s="6" t="n">
        <f aca="false">H3391*K3391</f>
        <v>150</v>
      </c>
      <c r="M3391" s="4" t="s">
        <v>371</v>
      </c>
    </row>
    <row r="3392" customFormat="false" ht="15" hidden="false" customHeight="false" outlineLevel="0" collapsed="false">
      <c r="A3392" s="4" t="s">
        <v>120</v>
      </c>
      <c r="B3392" s="5" t="s">
        <v>131</v>
      </c>
      <c r="C3392" s="5" t="s">
        <v>132</v>
      </c>
      <c r="D3392" s="4" t="s">
        <v>16</v>
      </c>
      <c r="E3392" s="4" t="s">
        <v>4167</v>
      </c>
      <c r="F3392" s="4" t="s">
        <v>488</v>
      </c>
      <c r="G3392" s="4" t="s">
        <v>4168</v>
      </c>
      <c r="H3392" s="12" t="n">
        <v>1</v>
      </c>
      <c r="I3392" s="4" t="s">
        <v>408</v>
      </c>
      <c r="J3392" s="4" t="s">
        <v>506</v>
      </c>
      <c r="K3392" s="13" t="n">
        <v>80</v>
      </c>
      <c r="L3392" s="6" t="n">
        <f aca="false">H3392*K3392</f>
        <v>80</v>
      </c>
      <c r="M3392" s="4" t="s">
        <v>371</v>
      </c>
    </row>
    <row r="3393" customFormat="false" ht="15" hidden="false" customHeight="false" outlineLevel="0" collapsed="false">
      <c r="A3393" s="4" t="s">
        <v>120</v>
      </c>
      <c r="B3393" s="5" t="s">
        <v>131</v>
      </c>
      <c r="C3393" s="5" t="s">
        <v>132</v>
      </c>
      <c r="D3393" s="4" t="s">
        <v>16</v>
      </c>
      <c r="E3393" s="4" t="s">
        <v>4169</v>
      </c>
      <c r="F3393" s="4" t="s">
        <v>488</v>
      </c>
      <c r="G3393" s="4" t="s">
        <v>4170</v>
      </c>
      <c r="H3393" s="12" t="n">
        <v>1</v>
      </c>
      <c r="I3393" s="4" t="s">
        <v>408</v>
      </c>
      <c r="J3393" s="4" t="s">
        <v>409</v>
      </c>
      <c r="K3393" s="13" t="n">
        <v>60</v>
      </c>
      <c r="L3393" s="6" t="n">
        <f aca="false">H3393*K3393</f>
        <v>60</v>
      </c>
      <c r="M3393" s="4" t="s">
        <v>371</v>
      </c>
    </row>
    <row r="3394" customFormat="false" ht="15" hidden="false" customHeight="false" outlineLevel="0" collapsed="false">
      <c r="A3394" s="4" t="s">
        <v>120</v>
      </c>
      <c r="B3394" s="5" t="s">
        <v>131</v>
      </c>
      <c r="C3394" s="5" t="s">
        <v>132</v>
      </c>
      <c r="D3394" s="4" t="s">
        <v>16</v>
      </c>
      <c r="E3394" s="4" t="s">
        <v>4171</v>
      </c>
      <c r="F3394" s="4" t="s">
        <v>488</v>
      </c>
      <c r="G3394" s="4" t="s">
        <v>4172</v>
      </c>
      <c r="H3394" s="12" t="n">
        <v>1</v>
      </c>
      <c r="I3394" s="4" t="s">
        <v>408</v>
      </c>
      <c r="J3394" s="4" t="s">
        <v>503</v>
      </c>
      <c r="K3394" s="13" t="n">
        <v>180</v>
      </c>
      <c r="L3394" s="6" t="n">
        <f aca="false">H3394*K3394</f>
        <v>180</v>
      </c>
      <c r="M3394" s="4" t="s">
        <v>371</v>
      </c>
    </row>
    <row r="3395" customFormat="false" ht="15" hidden="false" customHeight="false" outlineLevel="0" collapsed="false">
      <c r="A3395" s="4" t="s">
        <v>120</v>
      </c>
      <c r="B3395" s="5" t="s">
        <v>131</v>
      </c>
      <c r="C3395" s="5" t="s">
        <v>132</v>
      </c>
      <c r="D3395" s="4" t="s">
        <v>16</v>
      </c>
      <c r="E3395" s="4" t="s">
        <v>4173</v>
      </c>
      <c r="F3395" s="4" t="s">
        <v>488</v>
      </c>
      <c r="G3395" s="4" t="s">
        <v>4174</v>
      </c>
      <c r="H3395" s="12" t="n">
        <v>1</v>
      </c>
      <c r="I3395" s="4" t="s">
        <v>408</v>
      </c>
      <c r="J3395" s="4" t="s">
        <v>503</v>
      </c>
      <c r="K3395" s="13" t="n">
        <v>120</v>
      </c>
      <c r="L3395" s="6" t="n">
        <f aca="false">H3395*K3395</f>
        <v>120</v>
      </c>
      <c r="M3395" s="4" t="s">
        <v>371</v>
      </c>
    </row>
    <row r="3396" customFormat="false" ht="15" hidden="false" customHeight="false" outlineLevel="0" collapsed="false">
      <c r="A3396" s="4" t="s">
        <v>120</v>
      </c>
      <c r="B3396" s="5" t="s">
        <v>131</v>
      </c>
      <c r="C3396" s="5" t="s">
        <v>132</v>
      </c>
      <c r="D3396" s="4" t="s">
        <v>16</v>
      </c>
      <c r="E3396" s="4" t="s">
        <v>4175</v>
      </c>
      <c r="F3396" s="4" t="s">
        <v>470</v>
      </c>
      <c r="G3396" s="4" t="s">
        <v>4176</v>
      </c>
      <c r="H3396" s="12" t="n">
        <v>1</v>
      </c>
      <c r="I3396" s="4" t="s">
        <v>408</v>
      </c>
      <c r="J3396" s="4" t="s">
        <v>416</v>
      </c>
      <c r="K3396" s="13" t="n">
        <v>1800</v>
      </c>
      <c r="L3396" s="6" t="n">
        <f aca="false">H3396*K3396</f>
        <v>1800</v>
      </c>
      <c r="M3396" s="4" t="s">
        <v>371</v>
      </c>
    </row>
    <row r="3397" customFormat="false" ht="15" hidden="false" customHeight="false" outlineLevel="0" collapsed="false">
      <c r="A3397" s="4" t="s">
        <v>120</v>
      </c>
      <c r="B3397" s="5" t="s">
        <v>131</v>
      </c>
      <c r="C3397" s="5" t="s">
        <v>132</v>
      </c>
      <c r="D3397" s="4" t="s">
        <v>16</v>
      </c>
      <c r="E3397" s="4" t="s">
        <v>4177</v>
      </c>
      <c r="F3397" s="4" t="s">
        <v>470</v>
      </c>
      <c r="G3397" s="4" t="s">
        <v>4178</v>
      </c>
      <c r="H3397" s="12" t="n">
        <v>1</v>
      </c>
      <c r="I3397" s="4" t="s">
        <v>408</v>
      </c>
      <c r="J3397" s="4" t="s">
        <v>409</v>
      </c>
      <c r="K3397" s="13" t="n">
        <v>120</v>
      </c>
      <c r="L3397" s="6" t="n">
        <f aca="false">H3397*K3397</f>
        <v>120</v>
      </c>
      <c r="M3397" s="4" t="s">
        <v>371</v>
      </c>
    </row>
    <row r="3398" customFormat="false" ht="15" hidden="false" customHeight="false" outlineLevel="0" collapsed="false">
      <c r="A3398" s="4" t="s">
        <v>120</v>
      </c>
      <c r="B3398" s="5" t="s">
        <v>131</v>
      </c>
      <c r="C3398" s="5" t="s">
        <v>132</v>
      </c>
      <c r="D3398" s="4" t="s">
        <v>16</v>
      </c>
      <c r="E3398" s="4" t="s">
        <v>4179</v>
      </c>
      <c r="F3398" s="4" t="s">
        <v>470</v>
      </c>
      <c r="G3398" s="4" t="s">
        <v>4180</v>
      </c>
      <c r="H3398" s="12" t="n">
        <v>1</v>
      </c>
      <c r="I3398" s="4" t="s">
        <v>408</v>
      </c>
      <c r="J3398" s="4" t="s">
        <v>409</v>
      </c>
      <c r="K3398" s="13" t="n">
        <v>350</v>
      </c>
      <c r="L3398" s="6" t="n">
        <f aca="false">H3398*K3398</f>
        <v>350</v>
      </c>
      <c r="M3398" s="4" t="s">
        <v>371</v>
      </c>
    </row>
    <row r="3399" customFormat="false" ht="15" hidden="false" customHeight="false" outlineLevel="0" collapsed="false">
      <c r="A3399" s="4" t="s">
        <v>133</v>
      </c>
      <c r="B3399" s="5" t="s">
        <v>134</v>
      </c>
      <c r="C3399" s="5" t="s">
        <v>135</v>
      </c>
      <c r="D3399" s="4" t="s">
        <v>16</v>
      </c>
      <c r="E3399" s="4" t="s">
        <v>4181</v>
      </c>
      <c r="F3399" s="4" t="s">
        <v>406</v>
      </c>
      <c r="G3399" s="4" t="s">
        <v>4182</v>
      </c>
      <c r="H3399" s="12" t="n">
        <v>1</v>
      </c>
      <c r="I3399" s="4" t="s">
        <v>474</v>
      </c>
      <c r="J3399" s="4" t="s">
        <v>409</v>
      </c>
      <c r="K3399" s="13" t="n">
        <v>50</v>
      </c>
      <c r="L3399" s="6" t="n">
        <f aca="false">H3399*K3399</f>
        <v>50</v>
      </c>
      <c r="M3399" s="4" t="s">
        <v>371</v>
      </c>
    </row>
    <row r="3400" customFormat="false" ht="15" hidden="false" customHeight="false" outlineLevel="0" collapsed="false">
      <c r="A3400" s="4" t="s">
        <v>133</v>
      </c>
      <c r="B3400" s="5" t="s">
        <v>134</v>
      </c>
      <c r="C3400" s="5" t="s">
        <v>135</v>
      </c>
      <c r="D3400" s="4" t="s">
        <v>16</v>
      </c>
      <c r="E3400" s="4" t="s">
        <v>4183</v>
      </c>
      <c r="F3400" s="4" t="s">
        <v>406</v>
      </c>
      <c r="G3400" s="4" t="s">
        <v>4184</v>
      </c>
      <c r="H3400" s="12" t="n">
        <v>1</v>
      </c>
      <c r="I3400" s="4" t="s">
        <v>474</v>
      </c>
      <c r="J3400" s="4" t="s">
        <v>416</v>
      </c>
      <c r="K3400" s="13" t="n">
        <v>450</v>
      </c>
      <c r="L3400" s="6" t="n">
        <f aca="false">H3400*K3400</f>
        <v>450</v>
      </c>
      <c r="M3400" s="14" t="s">
        <v>410</v>
      </c>
    </row>
    <row r="3401" customFormat="false" ht="15" hidden="false" customHeight="false" outlineLevel="0" collapsed="false">
      <c r="A3401" s="4" t="s">
        <v>133</v>
      </c>
      <c r="B3401" s="5" t="s">
        <v>134</v>
      </c>
      <c r="C3401" s="5" t="s">
        <v>135</v>
      </c>
      <c r="D3401" s="4" t="s">
        <v>16</v>
      </c>
      <c r="E3401" s="4" t="s">
        <v>4185</v>
      </c>
      <c r="F3401" s="4" t="s">
        <v>406</v>
      </c>
      <c r="G3401" s="4" t="s">
        <v>4186</v>
      </c>
      <c r="H3401" s="12" t="n">
        <v>1</v>
      </c>
      <c r="I3401" s="4" t="s">
        <v>474</v>
      </c>
      <c r="J3401" s="4" t="s">
        <v>409</v>
      </c>
      <c r="K3401" s="13" t="n">
        <v>180</v>
      </c>
      <c r="L3401" s="6" t="n">
        <f aca="false">H3401*K3401</f>
        <v>180</v>
      </c>
      <c r="M3401" s="14" t="s">
        <v>410</v>
      </c>
    </row>
    <row r="3402" customFormat="false" ht="15" hidden="false" customHeight="false" outlineLevel="0" collapsed="false">
      <c r="A3402" s="4" t="s">
        <v>133</v>
      </c>
      <c r="B3402" s="5" t="s">
        <v>134</v>
      </c>
      <c r="C3402" s="5" t="s">
        <v>135</v>
      </c>
      <c r="D3402" s="4" t="s">
        <v>16</v>
      </c>
      <c r="E3402" s="4" t="s">
        <v>4187</v>
      </c>
      <c r="F3402" s="4" t="s">
        <v>406</v>
      </c>
      <c r="G3402" s="4" t="s">
        <v>4188</v>
      </c>
      <c r="H3402" s="12" t="n">
        <v>1</v>
      </c>
      <c r="I3402" s="4" t="s">
        <v>474</v>
      </c>
      <c r="J3402" s="4" t="s">
        <v>409</v>
      </c>
      <c r="K3402" s="13" t="n">
        <v>350</v>
      </c>
      <c r="L3402" s="6" t="n">
        <f aca="false">H3402*K3402</f>
        <v>350</v>
      </c>
      <c r="M3402" s="14" t="s">
        <v>410</v>
      </c>
    </row>
    <row r="3403" customFormat="false" ht="15" hidden="false" customHeight="false" outlineLevel="0" collapsed="false">
      <c r="A3403" s="4" t="s">
        <v>133</v>
      </c>
      <c r="B3403" s="5" t="s">
        <v>134</v>
      </c>
      <c r="C3403" s="5" t="s">
        <v>135</v>
      </c>
      <c r="D3403" s="4" t="s">
        <v>16</v>
      </c>
      <c r="E3403" s="4" t="s">
        <v>4189</v>
      </c>
      <c r="F3403" s="4" t="s">
        <v>406</v>
      </c>
      <c r="G3403" s="4" t="s">
        <v>4190</v>
      </c>
      <c r="H3403" s="12" t="n">
        <v>1</v>
      </c>
      <c r="I3403" s="4" t="s">
        <v>474</v>
      </c>
      <c r="J3403" s="4" t="s">
        <v>416</v>
      </c>
      <c r="K3403" s="13" t="n">
        <v>350</v>
      </c>
      <c r="L3403" s="6" t="n">
        <f aca="false">H3403*K3403</f>
        <v>350</v>
      </c>
      <c r="M3403" s="14" t="s">
        <v>410</v>
      </c>
    </row>
    <row r="3404" customFormat="false" ht="15" hidden="false" customHeight="false" outlineLevel="0" collapsed="false">
      <c r="A3404" s="4" t="s">
        <v>133</v>
      </c>
      <c r="B3404" s="5" t="s">
        <v>134</v>
      </c>
      <c r="C3404" s="5" t="s">
        <v>135</v>
      </c>
      <c r="D3404" s="4" t="s">
        <v>16</v>
      </c>
      <c r="E3404" s="4" t="s">
        <v>1855</v>
      </c>
      <c r="F3404" s="4" t="s">
        <v>406</v>
      </c>
      <c r="G3404" s="4" t="s">
        <v>1856</v>
      </c>
      <c r="H3404" s="12" t="n">
        <v>1</v>
      </c>
      <c r="I3404" s="4" t="s">
        <v>474</v>
      </c>
      <c r="J3404" s="4" t="s">
        <v>409</v>
      </c>
      <c r="K3404" s="13" t="n">
        <v>180</v>
      </c>
      <c r="L3404" s="6" t="n">
        <f aca="false">H3404*K3404</f>
        <v>180</v>
      </c>
      <c r="M3404" s="14" t="s">
        <v>410</v>
      </c>
    </row>
    <row r="3405" customFormat="false" ht="15" hidden="false" customHeight="false" outlineLevel="0" collapsed="false">
      <c r="A3405" s="4" t="s">
        <v>133</v>
      </c>
      <c r="B3405" s="5" t="s">
        <v>134</v>
      </c>
      <c r="C3405" s="5" t="s">
        <v>135</v>
      </c>
      <c r="D3405" s="4" t="s">
        <v>16</v>
      </c>
      <c r="E3405" s="4" t="s">
        <v>4191</v>
      </c>
      <c r="F3405" s="4" t="s">
        <v>406</v>
      </c>
      <c r="G3405" s="4" t="s">
        <v>4192</v>
      </c>
      <c r="H3405" s="12" t="n">
        <v>1</v>
      </c>
      <c r="I3405" s="4" t="s">
        <v>474</v>
      </c>
      <c r="J3405" s="4" t="s">
        <v>409</v>
      </c>
      <c r="K3405" s="13" t="n">
        <v>250</v>
      </c>
      <c r="L3405" s="6" t="n">
        <f aca="false">H3405*K3405</f>
        <v>250</v>
      </c>
      <c r="M3405" s="14" t="s">
        <v>410</v>
      </c>
    </row>
    <row r="3406" customFormat="false" ht="15" hidden="false" customHeight="false" outlineLevel="0" collapsed="false">
      <c r="A3406" s="4" t="s">
        <v>133</v>
      </c>
      <c r="B3406" s="5" t="s">
        <v>134</v>
      </c>
      <c r="C3406" s="5" t="s">
        <v>135</v>
      </c>
      <c r="D3406" s="4" t="s">
        <v>16</v>
      </c>
      <c r="E3406" s="4" t="s">
        <v>4193</v>
      </c>
      <c r="F3406" s="4" t="s">
        <v>406</v>
      </c>
      <c r="G3406" s="4" t="s">
        <v>4194</v>
      </c>
      <c r="H3406" s="12" t="n">
        <v>1</v>
      </c>
      <c r="I3406" s="4" t="s">
        <v>474</v>
      </c>
      <c r="J3406" s="4" t="s">
        <v>409</v>
      </c>
      <c r="K3406" s="13" t="n">
        <v>120</v>
      </c>
      <c r="L3406" s="6" t="n">
        <f aca="false">H3406*K3406</f>
        <v>120</v>
      </c>
      <c r="M3406" s="14" t="s">
        <v>410</v>
      </c>
    </row>
    <row r="3407" customFormat="false" ht="15" hidden="false" customHeight="false" outlineLevel="0" collapsed="false">
      <c r="A3407" s="4" t="s">
        <v>133</v>
      </c>
      <c r="B3407" s="5" t="s">
        <v>134</v>
      </c>
      <c r="C3407" s="5" t="s">
        <v>135</v>
      </c>
      <c r="D3407" s="4" t="s">
        <v>16</v>
      </c>
      <c r="E3407" s="4" t="s">
        <v>4195</v>
      </c>
      <c r="F3407" s="4" t="s">
        <v>406</v>
      </c>
      <c r="G3407" s="4" t="s">
        <v>4196</v>
      </c>
      <c r="H3407" s="12" t="n">
        <v>1</v>
      </c>
      <c r="I3407" s="4" t="s">
        <v>474</v>
      </c>
      <c r="J3407" s="4" t="s">
        <v>416</v>
      </c>
      <c r="K3407" s="13" t="n">
        <v>650</v>
      </c>
      <c r="L3407" s="6" t="n">
        <f aca="false">H3407*K3407</f>
        <v>650</v>
      </c>
      <c r="M3407" s="4" t="s">
        <v>371</v>
      </c>
    </row>
    <row r="3408" customFormat="false" ht="15" hidden="false" customHeight="false" outlineLevel="0" collapsed="false">
      <c r="A3408" s="4" t="s">
        <v>133</v>
      </c>
      <c r="B3408" s="5" t="s">
        <v>134</v>
      </c>
      <c r="C3408" s="5" t="s">
        <v>135</v>
      </c>
      <c r="D3408" s="4" t="s">
        <v>16</v>
      </c>
      <c r="E3408" s="4" t="s">
        <v>4197</v>
      </c>
      <c r="F3408" s="4" t="s">
        <v>406</v>
      </c>
      <c r="G3408" s="4" t="s">
        <v>4198</v>
      </c>
      <c r="H3408" s="12" t="n">
        <v>1</v>
      </c>
      <c r="I3408" s="4" t="s">
        <v>474</v>
      </c>
      <c r="J3408" s="4" t="s">
        <v>409</v>
      </c>
      <c r="K3408" s="13" t="n">
        <v>4500</v>
      </c>
      <c r="L3408" s="6" t="n">
        <f aca="false">H3408*K3408</f>
        <v>4500</v>
      </c>
      <c r="M3408" s="14" t="s">
        <v>410</v>
      </c>
    </row>
    <row r="3409" customFormat="false" ht="15" hidden="false" customHeight="false" outlineLevel="0" collapsed="false">
      <c r="A3409" s="4" t="s">
        <v>133</v>
      </c>
      <c r="B3409" s="5" t="s">
        <v>134</v>
      </c>
      <c r="C3409" s="5" t="s">
        <v>135</v>
      </c>
      <c r="D3409" s="4" t="s">
        <v>16</v>
      </c>
      <c r="E3409" s="4" t="s">
        <v>4199</v>
      </c>
      <c r="F3409" s="4" t="s">
        <v>406</v>
      </c>
      <c r="G3409" s="4" t="s">
        <v>4200</v>
      </c>
      <c r="H3409" s="12" t="n">
        <v>1</v>
      </c>
      <c r="I3409" s="4" t="s">
        <v>474</v>
      </c>
      <c r="J3409" s="4" t="s">
        <v>409</v>
      </c>
      <c r="K3409" s="13" t="n">
        <v>180</v>
      </c>
      <c r="L3409" s="6" t="n">
        <f aca="false">H3409*K3409</f>
        <v>180</v>
      </c>
      <c r="M3409" s="14" t="s">
        <v>410</v>
      </c>
    </row>
    <row r="3410" customFormat="false" ht="15" hidden="false" customHeight="false" outlineLevel="0" collapsed="false">
      <c r="A3410" s="4" t="s">
        <v>133</v>
      </c>
      <c r="B3410" s="5" t="s">
        <v>134</v>
      </c>
      <c r="C3410" s="5" t="s">
        <v>135</v>
      </c>
      <c r="D3410" s="4" t="s">
        <v>16</v>
      </c>
      <c r="E3410" s="4" t="s">
        <v>4201</v>
      </c>
      <c r="F3410" s="4" t="s">
        <v>406</v>
      </c>
      <c r="G3410" s="4" t="s">
        <v>4202</v>
      </c>
      <c r="H3410" s="12" t="n">
        <v>1</v>
      </c>
      <c r="I3410" s="4" t="s">
        <v>474</v>
      </c>
      <c r="J3410" s="4" t="s">
        <v>409</v>
      </c>
      <c r="K3410" s="13" t="n">
        <v>350</v>
      </c>
      <c r="L3410" s="6" t="n">
        <f aca="false">H3410*K3410</f>
        <v>350</v>
      </c>
      <c r="M3410" s="14" t="s">
        <v>410</v>
      </c>
    </row>
    <row r="3411" customFormat="false" ht="15" hidden="false" customHeight="false" outlineLevel="0" collapsed="false">
      <c r="A3411" s="4" t="s">
        <v>133</v>
      </c>
      <c r="B3411" s="5" t="s">
        <v>134</v>
      </c>
      <c r="C3411" s="5" t="s">
        <v>135</v>
      </c>
      <c r="D3411" s="4" t="s">
        <v>16</v>
      </c>
      <c r="E3411" s="4" t="s">
        <v>4203</v>
      </c>
      <c r="F3411" s="4" t="s">
        <v>406</v>
      </c>
      <c r="G3411" s="4" t="s">
        <v>4204</v>
      </c>
      <c r="H3411" s="12" t="n">
        <v>1</v>
      </c>
      <c r="I3411" s="4" t="s">
        <v>474</v>
      </c>
      <c r="J3411" s="4" t="s">
        <v>416</v>
      </c>
      <c r="K3411" s="13" t="n">
        <v>650</v>
      </c>
      <c r="L3411" s="6" t="n">
        <f aca="false">H3411*K3411</f>
        <v>650</v>
      </c>
      <c r="M3411" s="14" t="s">
        <v>410</v>
      </c>
    </row>
    <row r="3412" customFormat="false" ht="15" hidden="false" customHeight="false" outlineLevel="0" collapsed="false">
      <c r="A3412" s="4" t="s">
        <v>133</v>
      </c>
      <c r="B3412" s="5" t="s">
        <v>134</v>
      </c>
      <c r="C3412" s="5" t="s">
        <v>135</v>
      </c>
      <c r="D3412" s="4" t="s">
        <v>16</v>
      </c>
      <c r="E3412" s="4" t="s">
        <v>4205</v>
      </c>
      <c r="F3412" s="4" t="s">
        <v>406</v>
      </c>
      <c r="G3412" s="4" t="s">
        <v>4206</v>
      </c>
      <c r="H3412" s="12" t="n">
        <v>1</v>
      </c>
      <c r="I3412" s="4" t="s">
        <v>474</v>
      </c>
      <c r="J3412" s="4" t="s">
        <v>409</v>
      </c>
      <c r="K3412" s="13" t="n">
        <v>18000</v>
      </c>
      <c r="L3412" s="6" t="n">
        <f aca="false">H3412*K3412</f>
        <v>18000</v>
      </c>
      <c r="M3412" s="14" t="s">
        <v>410</v>
      </c>
    </row>
    <row r="3413" customFormat="false" ht="15" hidden="false" customHeight="false" outlineLevel="0" collapsed="false">
      <c r="A3413" s="4" t="s">
        <v>133</v>
      </c>
      <c r="B3413" s="5" t="s">
        <v>134</v>
      </c>
      <c r="C3413" s="5" t="s">
        <v>135</v>
      </c>
      <c r="D3413" s="4" t="s">
        <v>16</v>
      </c>
      <c r="E3413" s="4" t="s">
        <v>4207</v>
      </c>
      <c r="F3413" s="4" t="s">
        <v>406</v>
      </c>
      <c r="G3413" s="4" t="s">
        <v>4208</v>
      </c>
      <c r="H3413" s="12" t="n">
        <v>1</v>
      </c>
      <c r="I3413" s="4" t="s">
        <v>474</v>
      </c>
      <c r="J3413" s="4" t="s">
        <v>409</v>
      </c>
      <c r="K3413" s="13" t="n">
        <v>45000</v>
      </c>
      <c r="L3413" s="6" t="n">
        <f aca="false">H3413*K3413</f>
        <v>45000</v>
      </c>
      <c r="M3413" s="14" t="s">
        <v>410</v>
      </c>
    </row>
    <row r="3414" customFormat="false" ht="15" hidden="false" customHeight="false" outlineLevel="0" collapsed="false">
      <c r="A3414" s="4" t="s">
        <v>133</v>
      </c>
      <c r="B3414" s="5" t="s">
        <v>134</v>
      </c>
      <c r="C3414" s="5" t="s">
        <v>135</v>
      </c>
      <c r="D3414" s="4" t="s">
        <v>16</v>
      </c>
      <c r="E3414" s="4" t="s">
        <v>4209</v>
      </c>
      <c r="F3414" s="4" t="s">
        <v>470</v>
      </c>
      <c r="G3414" s="4" t="s">
        <v>4210</v>
      </c>
      <c r="H3414" s="12" t="n">
        <v>1</v>
      </c>
      <c r="I3414" s="4" t="s">
        <v>408</v>
      </c>
      <c r="J3414" s="4" t="s">
        <v>543</v>
      </c>
      <c r="K3414" s="13" t="n">
        <v>120000</v>
      </c>
      <c r="L3414" s="6" t="n">
        <f aca="false">H3414*K3414</f>
        <v>120000</v>
      </c>
      <c r="M3414" s="4" t="s">
        <v>371</v>
      </c>
    </row>
    <row r="3415" customFormat="false" ht="15" hidden="false" customHeight="false" outlineLevel="0" collapsed="false">
      <c r="A3415" s="4" t="s">
        <v>133</v>
      </c>
      <c r="B3415" s="5" t="s">
        <v>134</v>
      </c>
      <c r="C3415" s="5" t="s">
        <v>135</v>
      </c>
      <c r="D3415" s="4" t="s">
        <v>16</v>
      </c>
      <c r="E3415" s="4" t="s">
        <v>4211</v>
      </c>
      <c r="F3415" s="4" t="s">
        <v>470</v>
      </c>
      <c r="G3415" s="4" t="s">
        <v>4212</v>
      </c>
      <c r="H3415" s="12" t="n">
        <v>1</v>
      </c>
      <c r="I3415" s="4" t="s">
        <v>408</v>
      </c>
      <c r="J3415" s="4" t="s">
        <v>543</v>
      </c>
      <c r="K3415" s="13" t="n">
        <v>180000</v>
      </c>
      <c r="L3415" s="6" t="n">
        <f aca="false">H3415*K3415</f>
        <v>180000</v>
      </c>
      <c r="M3415" s="4" t="s">
        <v>371</v>
      </c>
    </row>
    <row r="3416" customFormat="false" ht="15" hidden="false" customHeight="false" outlineLevel="0" collapsed="false">
      <c r="A3416" s="4" t="s">
        <v>133</v>
      </c>
      <c r="B3416" s="5" t="s">
        <v>134</v>
      </c>
      <c r="C3416" s="5" t="s">
        <v>135</v>
      </c>
      <c r="D3416" s="4" t="s">
        <v>16</v>
      </c>
      <c r="E3416" s="4" t="s">
        <v>4213</v>
      </c>
      <c r="F3416" s="4" t="s">
        <v>470</v>
      </c>
      <c r="G3416" s="4" t="s">
        <v>4214</v>
      </c>
      <c r="H3416" s="12" t="n">
        <v>1</v>
      </c>
      <c r="I3416" s="4" t="s">
        <v>408</v>
      </c>
      <c r="J3416" s="4" t="s">
        <v>2810</v>
      </c>
      <c r="K3416" s="13" t="n">
        <v>0</v>
      </c>
      <c r="L3416" s="6" t="n">
        <f aca="false">H3416*K3416</f>
        <v>0</v>
      </c>
      <c r="M3416" s="4" t="s">
        <v>371</v>
      </c>
    </row>
    <row r="3417" customFormat="false" ht="15" hidden="false" customHeight="false" outlineLevel="0" collapsed="false">
      <c r="A3417" s="4" t="s">
        <v>133</v>
      </c>
      <c r="B3417" s="5" t="s">
        <v>134</v>
      </c>
      <c r="C3417" s="5" t="s">
        <v>135</v>
      </c>
      <c r="D3417" s="4" t="s">
        <v>16</v>
      </c>
      <c r="E3417" s="4" t="s">
        <v>4215</v>
      </c>
      <c r="F3417" s="4" t="s">
        <v>470</v>
      </c>
      <c r="G3417" s="4" t="s">
        <v>4216</v>
      </c>
      <c r="H3417" s="12" t="n">
        <v>1</v>
      </c>
      <c r="I3417" s="4" t="s">
        <v>474</v>
      </c>
      <c r="J3417" s="4" t="s">
        <v>409</v>
      </c>
      <c r="K3417" s="13" t="n">
        <v>12000</v>
      </c>
      <c r="L3417" s="6" t="n">
        <f aca="false">H3417*K3417</f>
        <v>12000</v>
      </c>
      <c r="M3417" s="4" t="s">
        <v>371</v>
      </c>
    </row>
    <row r="3418" customFormat="false" ht="15" hidden="false" customHeight="false" outlineLevel="0" collapsed="false">
      <c r="A3418" s="4" t="s">
        <v>133</v>
      </c>
      <c r="B3418" s="5" t="s">
        <v>134</v>
      </c>
      <c r="C3418" s="5" t="s">
        <v>135</v>
      </c>
      <c r="D3418" s="4" t="s">
        <v>16</v>
      </c>
      <c r="E3418" s="4" t="s">
        <v>4217</v>
      </c>
      <c r="F3418" s="4" t="s">
        <v>470</v>
      </c>
      <c r="G3418" s="4" t="s">
        <v>4218</v>
      </c>
      <c r="H3418" s="12" t="n">
        <v>1</v>
      </c>
      <c r="I3418" s="4" t="s">
        <v>474</v>
      </c>
      <c r="J3418" s="4" t="s">
        <v>409</v>
      </c>
      <c r="K3418" s="13" t="n">
        <v>4500</v>
      </c>
      <c r="L3418" s="6" t="n">
        <f aca="false">H3418*K3418</f>
        <v>4500</v>
      </c>
      <c r="M3418" s="4" t="s">
        <v>371</v>
      </c>
    </row>
    <row r="3419" customFormat="false" ht="15" hidden="false" customHeight="false" outlineLevel="0" collapsed="false">
      <c r="A3419" s="4" t="s">
        <v>133</v>
      </c>
      <c r="B3419" s="5" t="s">
        <v>134</v>
      </c>
      <c r="C3419" s="5" t="s">
        <v>135</v>
      </c>
      <c r="D3419" s="4" t="s">
        <v>16</v>
      </c>
      <c r="E3419" s="4" t="s">
        <v>4219</v>
      </c>
      <c r="F3419" s="4" t="s">
        <v>488</v>
      </c>
      <c r="G3419" s="4" t="s">
        <v>4220</v>
      </c>
      <c r="H3419" s="12" t="n">
        <v>10</v>
      </c>
      <c r="I3419" s="4" t="s">
        <v>474</v>
      </c>
      <c r="J3419" s="4" t="s">
        <v>796</v>
      </c>
      <c r="K3419" s="13" t="n">
        <v>25</v>
      </c>
      <c r="L3419" s="6" t="n">
        <f aca="false">H3419*K3419</f>
        <v>250</v>
      </c>
      <c r="M3419" s="4" t="s">
        <v>371</v>
      </c>
    </row>
    <row r="3420" customFormat="false" ht="15" hidden="false" customHeight="false" outlineLevel="0" collapsed="false">
      <c r="A3420" s="4" t="s">
        <v>133</v>
      </c>
      <c r="B3420" s="5" t="s">
        <v>134</v>
      </c>
      <c r="C3420" s="5" t="s">
        <v>135</v>
      </c>
      <c r="D3420" s="4" t="s">
        <v>16</v>
      </c>
      <c r="E3420" s="4" t="s">
        <v>3708</v>
      </c>
      <c r="F3420" s="4" t="s">
        <v>488</v>
      </c>
      <c r="G3420" s="4" t="s">
        <v>3709</v>
      </c>
      <c r="H3420" s="12" t="n">
        <v>1</v>
      </c>
      <c r="I3420" s="4" t="s">
        <v>474</v>
      </c>
      <c r="J3420" s="4" t="s">
        <v>807</v>
      </c>
      <c r="K3420" s="13" t="n">
        <v>80</v>
      </c>
      <c r="L3420" s="6" t="n">
        <f aca="false">H3420*K3420</f>
        <v>80</v>
      </c>
      <c r="M3420" s="4" t="s">
        <v>371</v>
      </c>
    </row>
    <row r="3421" customFormat="false" ht="15" hidden="false" customHeight="false" outlineLevel="0" collapsed="false">
      <c r="A3421" s="4" t="s">
        <v>133</v>
      </c>
      <c r="B3421" s="5" t="s">
        <v>134</v>
      </c>
      <c r="C3421" s="5" t="s">
        <v>135</v>
      </c>
      <c r="D3421" s="4" t="s">
        <v>16</v>
      </c>
      <c r="E3421" s="4" t="s">
        <v>2439</v>
      </c>
      <c r="F3421" s="4" t="s">
        <v>488</v>
      </c>
      <c r="G3421" s="4" t="s">
        <v>2440</v>
      </c>
      <c r="H3421" s="12" t="n">
        <v>1</v>
      </c>
      <c r="I3421" s="4" t="s">
        <v>474</v>
      </c>
      <c r="J3421" s="4" t="s">
        <v>409</v>
      </c>
      <c r="K3421" s="13" t="n">
        <v>10</v>
      </c>
      <c r="L3421" s="6" t="n">
        <f aca="false">H3421*K3421</f>
        <v>10</v>
      </c>
      <c r="M3421" s="4" t="s">
        <v>371</v>
      </c>
    </row>
    <row r="3422" customFormat="false" ht="15" hidden="false" customHeight="false" outlineLevel="0" collapsed="false">
      <c r="A3422" s="4" t="s">
        <v>133</v>
      </c>
      <c r="B3422" s="5" t="s">
        <v>134</v>
      </c>
      <c r="C3422" s="5" t="s">
        <v>135</v>
      </c>
      <c r="D3422" s="4" t="s">
        <v>16</v>
      </c>
      <c r="E3422" s="4" t="s">
        <v>4221</v>
      </c>
      <c r="F3422" s="4" t="s">
        <v>488</v>
      </c>
      <c r="G3422" s="4" t="s">
        <v>4222</v>
      </c>
      <c r="H3422" s="12" t="n">
        <v>5</v>
      </c>
      <c r="I3422" s="4" t="s">
        <v>474</v>
      </c>
      <c r="J3422" s="4" t="s">
        <v>409</v>
      </c>
      <c r="K3422" s="13" t="n">
        <v>25</v>
      </c>
      <c r="L3422" s="6" t="n">
        <f aca="false">H3422*K3422</f>
        <v>125</v>
      </c>
      <c r="M3422" s="4" t="s">
        <v>371</v>
      </c>
    </row>
    <row r="3423" customFormat="false" ht="15" hidden="false" customHeight="false" outlineLevel="0" collapsed="false">
      <c r="A3423" s="4" t="s">
        <v>133</v>
      </c>
      <c r="B3423" s="5" t="s">
        <v>134</v>
      </c>
      <c r="C3423" s="5" t="s">
        <v>135</v>
      </c>
      <c r="D3423" s="4" t="s">
        <v>16</v>
      </c>
      <c r="E3423" s="4" t="s">
        <v>4223</v>
      </c>
      <c r="F3423" s="4" t="s">
        <v>488</v>
      </c>
      <c r="G3423" s="4" t="s">
        <v>4224</v>
      </c>
      <c r="H3423" s="12" t="n">
        <v>1</v>
      </c>
      <c r="I3423" s="4" t="s">
        <v>474</v>
      </c>
      <c r="J3423" s="4" t="s">
        <v>503</v>
      </c>
      <c r="K3423" s="13" t="n">
        <v>120</v>
      </c>
      <c r="L3423" s="6" t="n">
        <f aca="false">H3423*K3423</f>
        <v>120</v>
      </c>
      <c r="M3423" s="4" t="s">
        <v>371</v>
      </c>
    </row>
    <row r="3424" customFormat="false" ht="15" hidden="false" customHeight="false" outlineLevel="0" collapsed="false">
      <c r="A3424" s="4" t="s">
        <v>133</v>
      </c>
      <c r="B3424" s="5" t="s">
        <v>134</v>
      </c>
      <c r="C3424" s="5" t="s">
        <v>135</v>
      </c>
      <c r="D3424" s="4" t="s">
        <v>16</v>
      </c>
      <c r="E3424" s="4" t="s">
        <v>4225</v>
      </c>
      <c r="F3424" s="4" t="s">
        <v>488</v>
      </c>
      <c r="G3424" s="4" t="s">
        <v>4226</v>
      </c>
      <c r="H3424" s="12" t="n">
        <v>1</v>
      </c>
      <c r="I3424" s="4" t="s">
        <v>474</v>
      </c>
      <c r="J3424" s="4" t="s">
        <v>416</v>
      </c>
      <c r="K3424" s="13" t="n">
        <v>180</v>
      </c>
      <c r="L3424" s="6" t="n">
        <f aca="false">H3424*K3424</f>
        <v>180</v>
      </c>
      <c r="M3424" s="4" t="s">
        <v>371</v>
      </c>
    </row>
    <row r="3425" customFormat="false" ht="15" hidden="false" customHeight="false" outlineLevel="0" collapsed="false">
      <c r="A3425" s="4" t="s">
        <v>133</v>
      </c>
      <c r="B3425" s="5" t="s">
        <v>134</v>
      </c>
      <c r="C3425" s="5" t="s">
        <v>135</v>
      </c>
      <c r="D3425" s="4" t="s">
        <v>16</v>
      </c>
      <c r="E3425" s="4" t="s">
        <v>836</v>
      </c>
      <c r="F3425" s="4" t="s">
        <v>488</v>
      </c>
      <c r="G3425" s="4" t="s">
        <v>837</v>
      </c>
      <c r="H3425" s="12" t="n">
        <v>1</v>
      </c>
      <c r="I3425" s="4" t="s">
        <v>474</v>
      </c>
      <c r="J3425" s="4" t="s">
        <v>796</v>
      </c>
      <c r="K3425" s="13" t="n">
        <v>15</v>
      </c>
      <c r="L3425" s="6" t="n">
        <f aca="false">H3425*K3425</f>
        <v>15</v>
      </c>
      <c r="M3425" s="4" t="s">
        <v>371</v>
      </c>
    </row>
    <row r="3426" customFormat="false" ht="15" hidden="false" customHeight="false" outlineLevel="0" collapsed="false">
      <c r="A3426" s="4" t="s">
        <v>133</v>
      </c>
      <c r="B3426" s="5" t="s">
        <v>134</v>
      </c>
      <c r="C3426" s="5" t="s">
        <v>135</v>
      </c>
      <c r="D3426" s="4" t="s">
        <v>16</v>
      </c>
      <c r="E3426" s="4" t="s">
        <v>4227</v>
      </c>
      <c r="F3426" s="4" t="s">
        <v>488</v>
      </c>
      <c r="G3426" s="4" t="s">
        <v>4228</v>
      </c>
      <c r="H3426" s="12" t="n">
        <v>1</v>
      </c>
      <c r="I3426" s="4" t="s">
        <v>474</v>
      </c>
      <c r="J3426" s="4" t="s">
        <v>807</v>
      </c>
      <c r="K3426" s="13" t="n">
        <v>120</v>
      </c>
      <c r="L3426" s="6" t="n">
        <f aca="false">H3426*K3426</f>
        <v>120</v>
      </c>
      <c r="M3426" s="4" t="s">
        <v>371</v>
      </c>
    </row>
    <row r="3427" customFormat="false" ht="23.85" hidden="false" customHeight="false" outlineLevel="0" collapsed="false">
      <c r="A3427" s="4" t="s">
        <v>183</v>
      </c>
      <c r="B3427" s="5" t="s">
        <v>186</v>
      </c>
      <c r="C3427" s="5" t="s">
        <v>187</v>
      </c>
      <c r="D3427" s="4" t="s">
        <v>16</v>
      </c>
      <c r="E3427" s="4" t="s">
        <v>1845</v>
      </c>
      <c r="F3427" s="4" t="s">
        <v>406</v>
      </c>
      <c r="G3427" s="4" t="s">
        <v>1846</v>
      </c>
      <c r="H3427" s="12" t="n">
        <v>1</v>
      </c>
      <c r="I3427" s="4" t="s">
        <v>408</v>
      </c>
      <c r="J3427" s="4" t="s">
        <v>416</v>
      </c>
      <c r="K3427" s="13" t="n">
        <v>4500</v>
      </c>
      <c r="L3427" s="6" t="n">
        <f aca="false">H3427*K3427</f>
        <v>4500</v>
      </c>
      <c r="M3427" s="14" t="s">
        <v>410</v>
      </c>
    </row>
    <row r="3428" customFormat="false" ht="23.85" hidden="false" customHeight="false" outlineLevel="0" collapsed="false">
      <c r="A3428" s="4" t="s">
        <v>183</v>
      </c>
      <c r="B3428" s="5" t="s">
        <v>186</v>
      </c>
      <c r="C3428" s="5" t="s">
        <v>187</v>
      </c>
      <c r="D3428" s="4" t="s">
        <v>16</v>
      </c>
      <c r="E3428" s="4" t="s">
        <v>4229</v>
      </c>
      <c r="F3428" s="4" t="s">
        <v>406</v>
      </c>
      <c r="G3428" s="4" t="s">
        <v>4230</v>
      </c>
      <c r="H3428" s="12" t="n">
        <v>1</v>
      </c>
      <c r="I3428" s="4" t="s">
        <v>408</v>
      </c>
      <c r="J3428" s="4" t="s">
        <v>416</v>
      </c>
      <c r="K3428" s="13" t="n">
        <v>3500</v>
      </c>
      <c r="L3428" s="6" t="n">
        <f aca="false">H3428*K3428</f>
        <v>3500</v>
      </c>
      <c r="M3428" s="14" t="s">
        <v>410</v>
      </c>
    </row>
    <row r="3429" customFormat="false" ht="23.85" hidden="false" customHeight="false" outlineLevel="0" collapsed="false">
      <c r="A3429" s="4" t="s">
        <v>183</v>
      </c>
      <c r="B3429" s="5" t="s">
        <v>186</v>
      </c>
      <c r="C3429" s="5" t="s">
        <v>187</v>
      </c>
      <c r="D3429" s="4" t="s">
        <v>16</v>
      </c>
      <c r="E3429" s="4" t="s">
        <v>4231</v>
      </c>
      <c r="F3429" s="4" t="s">
        <v>406</v>
      </c>
      <c r="G3429" s="4" t="s">
        <v>4232</v>
      </c>
      <c r="H3429" s="12" t="n">
        <v>1</v>
      </c>
      <c r="I3429" s="4" t="s">
        <v>408</v>
      </c>
      <c r="J3429" s="4" t="s">
        <v>416</v>
      </c>
      <c r="K3429" s="13" t="n">
        <v>4500</v>
      </c>
      <c r="L3429" s="6" t="n">
        <f aca="false">H3429*K3429</f>
        <v>4500</v>
      </c>
      <c r="M3429" s="14" t="s">
        <v>410</v>
      </c>
    </row>
    <row r="3430" customFormat="false" ht="23.85" hidden="false" customHeight="false" outlineLevel="0" collapsed="false">
      <c r="A3430" s="4" t="s">
        <v>183</v>
      </c>
      <c r="B3430" s="5" t="s">
        <v>186</v>
      </c>
      <c r="C3430" s="5" t="s">
        <v>187</v>
      </c>
      <c r="D3430" s="4" t="s">
        <v>16</v>
      </c>
      <c r="E3430" s="4" t="s">
        <v>4233</v>
      </c>
      <c r="F3430" s="4" t="s">
        <v>406</v>
      </c>
      <c r="G3430" s="4" t="s">
        <v>4234</v>
      </c>
      <c r="H3430" s="12" t="n">
        <v>1</v>
      </c>
      <c r="I3430" s="4" t="s">
        <v>408</v>
      </c>
      <c r="J3430" s="4" t="s">
        <v>416</v>
      </c>
      <c r="K3430" s="13" t="n">
        <v>1800</v>
      </c>
      <c r="L3430" s="6" t="n">
        <f aca="false">H3430*K3430</f>
        <v>1800</v>
      </c>
      <c r="M3430" s="14" t="s">
        <v>410</v>
      </c>
    </row>
    <row r="3431" customFormat="false" ht="23.85" hidden="false" customHeight="false" outlineLevel="0" collapsed="false">
      <c r="A3431" s="4" t="s">
        <v>183</v>
      </c>
      <c r="B3431" s="5" t="s">
        <v>186</v>
      </c>
      <c r="C3431" s="5" t="s">
        <v>187</v>
      </c>
      <c r="D3431" s="4" t="s">
        <v>16</v>
      </c>
      <c r="E3431" s="4" t="s">
        <v>4235</v>
      </c>
      <c r="F3431" s="4" t="s">
        <v>406</v>
      </c>
      <c r="G3431" s="4" t="s">
        <v>4236</v>
      </c>
      <c r="H3431" s="12" t="n">
        <v>1</v>
      </c>
      <c r="I3431" s="4" t="s">
        <v>408</v>
      </c>
      <c r="J3431" s="4" t="s">
        <v>475</v>
      </c>
      <c r="K3431" s="13" t="n">
        <v>450</v>
      </c>
      <c r="L3431" s="6" t="n">
        <f aca="false">H3431*K3431</f>
        <v>450</v>
      </c>
      <c r="M3431" s="14" t="s">
        <v>410</v>
      </c>
    </row>
    <row r="3432" customFormat="false" ht="23.85" hidden="false" customHeight="false" outlineLevel="0" collapsed="false">
      <c r="A3432" s="4" t="s">
        <v>183</v>
      </c>
      <c r="B3432" s="5" t="s">
        <v>186</v>
      </c>
      <c r="C3432" s="5" t="s">
        <v>187</v>
      </c>
      <c r="D3432" s="4" t="s">
        <v>16</v>
      </c>
      <c r="E3432" s="4" t="s">
        <v>1864</v>
      </c>
      <c r="F3432" s="4" t="s">
        <v>406</v>
      </c>
      <c r="G3432" s="4" t="s">
        <v>1865</v>
      </c>
      <c r="H3432" s="12" t="n">
        <v>1</v>
      </c>
      <c r="I3432" s="4" t="s">
        <v>408</v>
      </c>
      <c r="J3432" s="4" t="s">
        <v>409</v>
      </c>
      <c r="K3432" s="13" t="n">
        <v>450</v>
      </c>
      <c r="L3432" s="6" t="n">
        <f aca="false">H3432*K3432</f>
        <v>450</v>
      </c>
      <c r="M3432" s="14" t="s">
        <v>410</v>
      </c>
    </row>
    <row r="3433" customFormat="false" ht="23.85" hidden="false" customHeight="false" outlineLevel="0" collapsed="false">
      <c r="A3433" s="4" t="s">
        <v>183</v>
      </c>
      <c r="B3433" s="5" t="s">
        <v>186</v>
      </c>
      <c r="C3433" s="5" t="s">
        <v>187</v>
      </c>
      <c r="D3433" s="4" t="s">
        <v>16</v>
      </c>
      <c r="E3433" s="4" t="s">
        <v>1866</v>
      </c>
      <c r="F3433" s="4" t="s">
        <v>406</v>
      </c>
      <c r="G3433" s="4" t="s">
        <v>1867</v>
      </c>
      <c r="H3433" s="12" t="n">
        <v>1</v>
      </c>
      <c r="I3433" s="4" t="s">
        <v>408</v>
      </c>
      <c r="J3433" s="4" t="s">
        <v>409</v>
      </c>
      <c r="K3433" s="13" t="n">
        <v>450</v>
      </c>
      <c r="L3433" s="6" t="n">
        <f aca="false">H3433*K3433</f>
        <v>450</v>
      </c>
      <c r="M3433" s="14" t="s">
        <v>410</v>
      </c>
    </row>
    <row r="3434" customFormat="false" ht="23.85" hidden="false" customHeight="false" outlineLevel="0" collapsed="false">
      <c r="A3434" s="4" t="s">
        <v>183</v>
      </c>
      <c r="B3434" s="5" t="s">
        <v>186</v>
      </c>
      <c r="C3434" s="5" t="s">
        <v>187</v>
      </c>
      <c r="D3434" s="4" t="s">
        <v>16</v>
      </c>
      <c r="E3434" s="4" t="s">
        <v>1847</v>
      </c>
      <c r="F3434" s="4" t="s">
        <v>406</v>
      </c>
      <c r="G3434" s="4" t="s">
        <v>1848</v>
      </c>
      <c r="H3434" s="12" t="n">
        <v>1</v>
      </c>
      <c r="I3434" s="4" t="s">
        <v>408</v>
      </c>
      <c r="J3434" s="4" t="s">
        <v>409</v>
      </c>
      <c r="K3434" s="13" t="n">
        <v>450</v>
      </c>
      <c r="L3434" s="6" t="n">
        <f aca="false">H3434*K3434</f>
        <v>450</v>
      </c>
      <c r="M3434" s="14" t="s">
        <v>410</v>
      </c>
    </row>
    <row r="3435" customFormat="false" ht="23.85" hidden="false" customHeight="false" outlineLevel="0" collapsed="false">
      <c r="A3435" s="4" t="s">
        <v>183</v>
      </c>
      <c r="B3435" s="5" t="s">
        <v>186</v>
      </c>
      <c r="C3435" s="5" t="s">
        <v>187</v>
      </c>
      <c r="D3435" s="4" t="s">
        <v>16</v>
      </c>
      <c r="E3435" s="4" t="s">
        <v>4237</v>
      </c>
      <c r="F3435" s="4" t="s">
        <v>406</v>
      </c>
      <c r="G3435" s="4" t="s">
        <v>3370</v>
      </c>
      <c r="H3435" s="12" t="n">
        <v>1</v>
      </c>
      <c r="I3435" s="4" t="s">
        <v>408</v>
      </c>
      <c r="J3435" s="4" t="s">
        <v>409</v>
      </c>
      <c r="K3435" s="13" t="n">
        <v>450</v>
      </c>
      <c r="L3435" s="6" t="n">
        <f aca="false">H3435*K3435</f>
        <v>450</v>
      </c>
      <c r="M3435" s="14" t="s">
        <v>410</v>
      </c>
    </row>
    <row r="3436" customFormat="false" ht="23.85" hidden="false" customHeight="false" outlineLevel="0" collapsed="false">
      <c r="A3436" s="4" t="s">
        <v>183</v>
      </c>
      <c r="B3436" s="5" t="s">
        <v>186</v>
      </c>
      <c r="C3436" s="5" t="s">
        <v>187</v>
      </c>
      <c r="D3436" s="4" t="s">
        <v>16</v>
      </c>
      <c r="E3436" s="4" t="s">
        <v>4238</v>
      </c>
      <c r="F3436" s="4" t="s">
        <v>406</v>
      </c>
      <c r="G3436" s="4" t="s">
        <v>4239</v>
      </c>
      <c r="H3436" s="12" t="n">
        <v>1</v>
      </c>
      <c r="I3436" s="4" t="s">
        <v>408</v>
      </c>
      <c r="J3436" s="4" t="s">
        <v>409</v>
      </c>
      <c r="K3436" s="13" t="n">
        <v>850</v>
      </c>
      <c r="L3436" s="6" t="n">
        <f aca="false">H3436*K3436</f>
        <v>850</v>
      </c>
      <c r="M3436" s="4" t="s">
        <v>371</v>
      </c>
    </row>
    <row r="3437" customFormat="false" ht="23.85" hidden="false" customHeight="false" outlineLevel="0" collapsed="false">
      <c r="A3437" s="4" t="s">
        <v>183</v>
      </c>
      <c r="B3437" s="5" t="s">
        <v>186</v>
      </c>
      <c r="C3437" s="5" t="s">
        <v>187</v>
      </c>
      <c r="D3437" s="4" t="s">
        <v>16</v>
      </c>
      <c r="E3437" s="4" t="s">
        <v>1882</v>
      </c>
      <c r="F3437" s="4" t="s">
        <v>406</v>
      </c>
      <c r="G3437" s="4" t="s">
        <v>1883</v>
      </c>
      <c r="H3437" s="12" t="n">
        <v>1</v>
      </c>
      <c r="I3437" s="4" t="s">
        <v>408</v>
      </c>
      <c r="J3437" s="4" t="s">
        <v>409</v>
      </c>
      <c r="K3437" s="13" t="n">
        <v>1800</v>
      </c>
      <c r="L3437" s="6" t="n">
        <f aca="false">H3437*K3437</f>
        <v>1800</v>
      </c>
      <c r="M3437" s="14" t="s">
        <v>410</v>
      </c>
    </row>
    <row r="3438" customFormat="false" ht="23.85" hidden="false" customHeight="false" outlineLevel="0" collapsed="false">
      <c r="A3438" s="4" t="s">
        <v>183</v>
      </c>
      <c r="B3438" s="5" t="s">
        <v>186</v>
      </c>
      <c r="C3438" s="5" t="s">
        <v>187</v>
      </c>
      <c r="D3438" s="4" t="s">
        <v>16</v>
      </c>
      <c r="E3438" s="4" t="s">
        <v>3371</v>
      </c>
      <c r="F3438" s="4" t="s">
        <v>406</v>
      </c>
      <c r="G3438" s="4" t="s">
        <v>1871</v>
      </c>
      <c r="H3438" s="12" t="n">
        <v>1</v>
      </c>
      <c r="I3438" s="4" t="s">
        <v>408</v>
      </c>
      <c r="J3438" s="4" t="s">
        <v>416</v>
      </c>
      <c r="K3438" s="13" t="n">
        <v>2500</v>
      </c>
      <c r="L3438" s="6" t="n">
        <f aca="false">H3438*K3438</f>
        <v>2500</v>
      </c>
      <c r="M3438" s="14" t="s">
        <v>410</v>
      </c>
    </row>
    <row r="3439" customFormat="false" ht="23.85" hidden="false" customHeight="false" outlineLevel="0" collapsed="false">
      <c r="A3439" s="4" t="s">
        <v>183</v>
      </c>
      <c r="B3439" s="5" t="s">
        <v>186</v>
      </c>
      <c r="C3439" s="5" t="s">
        <v>187</v>
      </c>
      <c r="D3439" s="4" t="s">
        <v>16</v>
      </c>
      <c r="E3439" s="4" t="s">
        <v>4240</v>
      </c>
      <c r="F3439" s="4" t="s">
        <v>406</v>
      </c>
      <c r="G3439" s="4" t="s">
        <v>4241</v>
      </c>
      <c r="H3439" s="12" t="n">
        <v>1</v>
      </c>
      <c r="I3439" s="4" t="s">
        <v>408</v>
      </c>
      <c r="J3439" s="4" t="s">
        <v>416</v>
      </c>
      <c r="K3439" s="13" t="n">
        <v>650</v>
      </c>
      <c r="L3439" s="6" t="n">
        <f aca="false">H3439*K3439</f>
        <v>650</v>
      </c>
      <c r="M3439" s="4" t="s">
        <v>371</v>
      </c>
    </row>
    <row r="3440" customFormat="false" ht="23.85" hidden="false" customHeight="false" outlineLevel="0" collapsed="false">
      <c r="A3440" s="4" t="s">
        <v>183</v>
      </c>
      <c r="B3440" s="5" t="s">
        <v>186</v>
      </c>
      <c r="C3440" s="5" t="s">
        <v>187</v>
      </c>
      <c r="D3440" s="4" t="s">
        <v>16</v>
      </c>
      <c r="E3440" s="4" t="s">
        <v>1674</v>
      </c>
      <c r="F3440" s="4" t="s">
        <v>406</v>
      </c>
      <c r="G3440" s="4" t="s">
        <v>778</v>
      </c>
      <c r="H3440" s="12" t="n">
        <v>1</v>
      </c>
      <c r="I3440" s="4" t="s">
        <v>408</v>
      </c>
      <c r="J3440" s="4" t="s">
        <v>409</v>
      </c>
      <c r="K3440" s="13" t="n">
        <v>120</v>
      </c>
      <c r="L3440" s="6" t="n">
        <f aca="false">H3440*K3440</f>
        <v>120</v>
      </c>
      <c r="M3440" s="14" t="s">
        <v>410</v>
      </c>
    </row>
    <row r="3441" customFormat="false" ht="23.85" hidden="false" customHeight="false" outlineLevel="0" collapsed="false">
      <c r="A3441" s="4" t="s">
        <v>183</v>
      </c>
      <c r="B3441" s="5" t="s">
        <v>186</v>
      </c>
      <c r="C3441" s="5" t="s">
        <v>187</v>
      </c>
      <c r="D3441" s="4" t="s">
        <v>16</v>
      </c>
      <c r="E3441" s="4" t="s">
        <v>1878</v>
      </c>
      <c r="F3441" s="4" t="s">
        <v>406</v>
      </c>
      <c r="G3441" s="4" t="s">
        <v>1879</v>
      </c>
      <c r="H3441" s="12" t="n">
        <v>1</v>
      </c>
      <c r="I3441" s="4" t="s">
        <v>408</v>
      </c>
      <c r="J3441" s="4" t="s">
        <v>409</v>
      </c>
      <c r="K3441" s="13" t="n">
        <v>180</v>
      </c>
      <c r="L3441" s="6" t="n">
        <f aca="false">H3441*K3441</f>
        <v>180</v>
      </c>
      <c r="M3441" s="14" t="s">
        <v>410</v>
      </c>
    </row>
    <row r="3442" customFormat="false" ht="23.85" hidden="false" customHeight="false" outlineLevel="0" collapsed="false">
      <c r="A3442" s="4" t="s">
        <v>183</v>
      </c>
      <c r="B3442" s="5" t="s">
        <v>186</v>
      </c>
      <c r="C3442" s="5" t="s">
        <v>187</v>
      </c>
      <c r="D3442" s="4" t="s">
        <v>16</v>
      </c>
      <c r="E3442" s="4" t="s">
        <v>1880</v>
      </c>
      <c r="F3442" s="4" t="s">
        <v>406</v>
      </c>
      <c r="G3442" s="4" t="s">
        <v>1881</v>
      </c>
      <c r="H3442" s="12" t="n">
        <v>1</v>
      </c>
      <c r="I3442" s="4" t="s">
        <v>408</v>
      </c>
      <c r="J3442" s="4" t="s">
        <v>409</v>
      </c>
      <c r="K3442" s="13" t="n">
        <v>650</v>
      </c>
      <c r="L3442" s="6" t="n">
        <f aca="false">H3442*K3442</f>
        <v>650</v>
      </c>
      <c r="M3442" s="14" t="s">
        <v>410</v>
      </c>
    </row>
    <row r="3443" customFormat="false" ht="23.85" hidden="false" customHeight="false" outlineLevel="0" collapsed="false">
      <c r="A3443" s="4" t="s">
        <v>183</v>
      </c>
      <c r="B3443" s="5" t="s">
        <v>186</v>
      </c>
      <c r="C3443" s="5" t="s">
        <v>187</v>
      </c>
      <c r="D3443" s="4" t="s">
        <v>16</v>
      </c>
      <c r="E3443" s="4" t="s">
        <v>4242</v>
      </c>
      <c r="F3443" s="4" t="s">
        <v>406</v>
      </c>
      <c r="G3443" s="4" t="s">
        <v>4243</v>
      </c>
      <c r="H3443" s="12" t="n">
        <v>1</v>
      </c>
      <c r="I3443" s="4" t="s">
        <v>408</v>
      </c>
      <c r="J3443" s="4" t="s">
        <v>409</v>
      </c>
      <c r="K3443" s="13" t="n">
        <v>1800</v>
      </c>
      <c r="L3443" s="6" t="n">
        <f aca="false">H3443*K3443</f>
        <v>1800</v>
      </c>
      <c r="M3443" s="4" t="s">
        <v>371</v>
      </c>
    </row>
    <row r="3444" customFormat="false" ht="23.85" hidden="false" customHeight="false" outlineLevel="0" collapsed="false">
      <c r="A3444" s="4" t="s">
        <v>183</v>
      </c>
      <c r="B3444" s="5" t="s">
        <v>186</v>
      </c>
      <c r="C3444" s="5" t="s">
        <v>187</v>
      </c>
      <c r="D3444" s="4" t="s">
        <v>16</v>
      </c>
      <c r="E3444" s="4" t="s">
        <v>1561</v>
      </c>
      <c r="F3444" s="4" t="s">
        <v>406</v>
      </c>
      <c r="G3444" s="4" t="s">
        <v>1562</v>
      </c>
      <c r="H3444" s="12" t="n">
        <v>1</v>
      </c>
      <c r="I3444" s="4" t="s">
        <v>408</v>
      </c>
      <c r="J3444" s="4" t="s">
        <v>409</v>
      </c>
      <c r="K3444" s="13" t="n">
        <v>250</v>
      </c>
      <c r="L3444" s="6" t="n">
        <f aca="false">H3444*K3444</f>
        <v>250</v>
      </c>
      <c r="M3444" s="14" t="s">
        <v>410</v>
      </c>
    </row>
    <row r="3445" customFormat="false" ht="23.85" hidden="false" customHeight="false" outlineLevel="0" collapsed="false">
      <c r="A3445" s="4" t="s">
        <v>183</v>
      </c>
      <c r="B3445" s="5" t="s">
        <v>186</v>
      </c>
      <c r="C3445" s="5" t="s">
        <v>187</v>
      </c>
      <c r="D3445" s="4" t="s">
        <v>16</v>
      </c>
      <c r="E3445" s="4" t="s">
        <v>1874</v>
      </c>
      <c r="F3445" s="4" t="s">
        <v>406</v>
      </c>
      <c r="G3445" s="4" t="s">
        <v>1875</v>
      </c>
      <c r="H3445" s="12" t="n">
        <v>1</v>
      </c>
      <c r="I3445" s="4" t="s">
        <v>408</v>
      </c>
      <c r="J3445" s="4" t="s">
        <v>409</v>
      </c>
      <c r="K3445" s="13" t="n">
        <v>350</v>
      </c>
      <c r="L3445" s="6" t="n">
        <f aca="false">H3445*K3445</f>
        <v>350</v>
      </c>
      <c r="M3445" s="14" t="s">
        <v>410</v>
      </c>
    </row>
    <row r="3446" customFormat="false" ht="23.85" hidden="false" customHeight="false" outlineLevel="0" collapsed="false">
      <c r="A3446" s="4" t="s">
        <v>183</v>
      </c>
      <c r="B3446" s="5" t="s">
        <v>186</v>
      </c>
      <c r="C3446" s="5" t="s">
        <v>187</v>
      </c>
      <c r="D3446" s="4" t="s">
        <v>16</v>
      </c>
      <c r="E3446" s="4" t="s">
        <v>4244</v>
      </c>
      <c r="F3446" s="4" t="s">
        <v>406</v>
      </c>
      <c r="G3446" s="4" t="s">
        <v>4245</v>
      </c>
      <c r="H3446" s="12" t="n">
        <v>1</v>
      </c>
      <c r="I3446" s="4" t="s">
        <v>408</v>
      </c>
      <c r="J3446" s="4" t="s">
        <v>409</v>
      </c>
      <c r="K3446" s="13" t="n">
        <v>650</v>
      </c>
      <c r="L3446" s="6" t="n">
        <f aca="false">H3446*K3446</f>
        <v>650</v>
      </c>
      <c r="M3446" s="4" t="s">
        <v>371</v>
      </c>
    </row>
    <row r="3447" customFormat="false" ht="23.85" hidden="false" customHeight="false" outlineLevel="0" collapsed="false">
      <c r="A3447" s="4" t="s">
        <v>183</v>
      </c>
      <c r="B3447" s="5" t="s">
        <v>186</v>
      </c>
      <c r="C3447" s="5" t="s">
        <v>187</v>
      </c>
      <c r="D3447" s="4" t="s">
        <v>16</v>
      </c>
      <c r="E3447" s="4" t="s">
        <v>4246</v>
      </c>
      <c r="F3447" s="4" t="s">
        <v>406</v>
      </c>
      <c r="G3447" s="4" t="s">
        <v>4247</v>
      </c>
      <c r="H3447" s="12" t="n">
        <v>1</v>
      </c>
      <c r="I3447" s="4" t="s">
        <v>408</v>
      </c>
      <c r="J3447" s="4" t="s">
        <v>409</v>
      </c>
      <c r="K3447" s="13" t="n">
        <v>250</v>
      </c>
      <c r="L3447" s="6" t="n">
        <f aca="false">H3447*K3447</f>
        <v>250</v>
      </c>
      <c r="M3447" s="14" t="s">
        <v>410</v>
      </c>
    </row>
    <row r="3448" customFormat="false" ht="23.85" hidden="false" customHeight="false" outlineLevel="0" collapsed="false">
      <c r="A3448" s="4" t="s">
        <v>183</v>
      </c>
      <c r="B3448" s="5" t="s">
        <v>186</v>
      </c>
      <c r="C3448" s="5" t="s">
        <v>187</v>
      </c>
      <c r="D3448" s="4" t="s">
        <v>16</v>
      </c>
      <c r="E3448" s="4" t="s">
        <v>4248</v>
      </c>
      <c r="F3448" s="4" t="s">
        <v>406</v>
      </c>
      <c r="G3448" s="4" t="s">
        <v>4249</v>
      </c>
      <c r="H3448" s="12" t="n">
        <v>1</v>
      </c>
      <c r="I3448" s="4" t="s">
        <v>408</v>
      </c>
      <c r="J3448" s="4" t="s">
        <v>409</v>
      </c>
      <c r="K3448" s="13" t="n">
        <v>250</v>
      </c>
      <c r="L3448" s="6" t="n">
        <f aca="false">H3448*K3448</f>
        <v>250</v>
      </c>
      <c r="M3448" s="14" t="s">
        <v>410</v>
      </c>
    </row>
    <row r="3449" customFormat="false" ht="23.85" hidden="false" customHeight="false" outlineLevel="0" collapsed="false">
      <c r="A3449" s="4" t="s">
        <v>183</v>
      </c>
      <c r="B3449" s="5" t="s">
        <v>186</v>
      </c>
      <c r="C3449" s="5" t="s">
        <v>187</v>
      </c>
      <c r="D3449" s="4" t="s">
        <v>16</v>
      </c>
      <c r="E3449" s="4" t="s">
        <v>4250</v>
      </c>
      <c r="F3449" s="4" t="s">
        <v>406</v>
      </c>
      <c r="G3449" s="4" t="s">
        <v>4251</v>
      </c>
      <c r="H3449" s="12" t="n">
        <v>1</v>
      </c>
      <c r="I3449" s="4" t="s">
        <v>408</v>
      </c>
      <c r="J3449" s="4" t="s">
        <v>409</v>
      </c>
      <c r="K3449" s="13" t="n">
        <v>250</v>
      </c>
      <c r="L3449" s="6" t="n">
        <f aca="false">H3449*K3449</f>
        <v>250</v>
      </c>
      <c r="M3449" s="14" t="s">
        <v>410</v>
      </c>
    </row>
    <row r="3450" customFormat="false" ht="23.85" hidden="false" customHeight="false" outlineLevel="0" collapsed="false">
      <c r="A3450" s="4" t="s">
        <v>183</v>
      </c>
      <c r="B3450" s="5" t="s">
        <v>186</v>
      </c>
      <c r="C3450" s="5" t="s">
        <v>187</v>
      </c>
      <c r="D3450" s="4" t="s">
        <v>16</v>
      </c>
      <c r="E3450" s="4" t="s">
        <v>4252</v>
      </c>
      <c r="F3450" s="4" t="s">
        <v>406</v>
      </c>
      <c r="G3450" s="4" t="s">
        <v>4253</v>
      </c>
      <c r="H3450" s="12" t="n">
        <v>1</v>
      </c>
      <c r="I3450" s="4" t="s">
        <v>408</v>
      </c>
      <c r="J3450" s="4" t="s">
        <v>409</v>
      </c>
      <c r="K3450" s="13" t="n">
        <v>650</v>
      </c>
      <c r="L3450" s="6" t="n">
        <f aca="false">H3450*K3450</f>
        <v>650</v>
      </c>
      <c r="M3450" s="14" t="s">
        <v>410</v>
      </c>
    </row>
    <row r="3451" customFormat="false" ht="23.85" hidden="false" customHeight="false" outlineLevel="0" collapsed="false">
      <c r="A3451" s="4" t="s">
        <v>183</v>
      </c>
      <c r="B3451" s="5" t="s">
        <v>186</v>
      </c>
      <c r="C3451" s="5" t="s">
        <v>187</v>
      </c>
      <c r="D3451" s="4" t="s">
        <v>16</v>
      </c>
      <c r="E3451" s="4" t="s">
        <v>1851</v>
      </c>
      <c r="F3451" s="4" t="s">
        <v>406</v>
      </c>
      <c r="G3451" s="4" t="s">
        <v>1852</v>
      </c>
      <c r="H3451" s="12" t="n">
        <v>1</v>
      </c>
      <c r="I3451" s="4" t="s">
        <v>408</v>
      </c>
      <c r="J3451" s="4" t="s">
        <v>409</v>
      </c>
      <c r="K3451" s="13" t="n">
        <v>250</v>
      </c>
      <c r="L3451" s="6" t="n">
        <f aca="false">H3451*K3451</f>
        <v>250</v>
      </c>
      <c r="M3451" s="14" t="s">
        <v>410</v>
      </c>
    </row>
    <row r="3452" customFormat="false" ht="23.85" hidden="false" customHeight="false" outlineLevel="0" collapsed="false">
      <c r="A3452" s="4" t="s">
        <v>183</v>
      </c>
      <c r="B3452" s="5" t="s">
        <v>186</v>
      </c>
      <c r="C3452" s="5" t="s">
        <v>187</v>
      </c>
      <c r="D3452" s="4" t="s">
        <v>16</v>
      </c>
      <c r="E3452" s="4" t="s">
        <v>914</v>
      </c>
      <c r="F3452" s="4" t="s">
        <v>406</v>
      </c>
      <c r="G3452" s="4" t="s">
        <v>915</v>
      </c>
      <c r="H3452" s="12" t="n">
        <v>1</v>
      </c>
      <c r="I3452" s="4" t="s">
        <v>408</v>
      </c>
      <c r="J3452" s="4" t="s">
        <v>506</v>
      </c>
      <c r="K3452" s="13" t="n">
        <v>350</v>
      </c>
      <c r="L3452" s="6" t="n">
        <f aca="false">H3452*K3452</f>
        <v>350</v>
      </c>
      <c r="M3452" s="4" t="s">
        <v>371</v>
      </c>
    </row>
    <row r="3453" customFormat="false" ht="23.85" hidden="false" customHeight="false" outlineLevel="0" collapsed="false">
      <c r="A3453" s="4" t="s">
        <v>183</v>
      </c>
      <c r="B3453" s="5" t="s">
        <v>186</v>
      </c>
      <c r="C3453" s="5" t="s">
        <v>187</v>
      </c>
      <c r="D3453" s="4" t="s">
        <v>16</v>
      </c>
      <c r="E3453" s="4" t="s">
        <v>4254</v>
      </c>
      <c r="F3453" s="4" t="s">
        <v>406</v>
      </c>
      <c r="G3453" s="4" t="s">
        <v>1195</v>
      </c>
      <c r="H3453" s="12" t="n">
        <v>1</v>
      </c>
      <c r="I3453" s="4" t="s">
        <v>408</v>
      </c>
      <c r="J3453" s="4" t="s">
        <v>409</v>
      </c>
      <c r="K3453" s="13" t="n">
        <v>450</v>
      </c>
      <c r="L3453" s="6" t="n">
        <f aca="false">H3453*K3453</f>
        <v>450</v>
      </c>
      <c r="M3453" s="14" t="s">
        <v>410</v>
      </c>
    </row>
    <row r="3454" customFormat="false" ht="23.85" hidden="false" customHeight="false" outlineLevel="0" collapsed="false">
      <c r="A3454" s="4" t="s">
        <v>183</v>
      </c>
      <c r="B3454" s="5" t="s">
        <v>186</v>
      </c>
      <c r="C3454" s="5" t="s">
        <v>187</v>
      </c>
      <c r="D3454" s="4" t="s">
        <v>16</v>
      </c>
      <c r="E3454" s="4" t="s">
        <v>1610</v>
      </c>
      <c r="F3454" s="4" t="s">
        <v>406</v>
      </c>
      <c r="G3454" s="4" t="s">
        <v>1611</v>
      </c>
      <c r="H3454" s="12" t="n">
        <v>1</v>
      </c>
      <c r="I3454" s="4" t="s">
        <v>408</v>
      </c>
      <c r="J3454" s="4" t="s">
        <v>409</v>
      </c>
      <c r="K3454" s="13" t="n">
        <v>350</v>
      </c>
      <c r="L3454" s="6" t="n">
        <f aca="false">H3454*K3454</f>
        <v>350</v>
      </c>
      <c r="M3454" s="14" t="s">
        <v>410</v>
      </c>
    </row>
    <row r="3455" customFormat="false" ht="23.85" hidden="false" customHeight="false" outlineLevel="0" collapsed="false">
      <c r="A3455" s="4" t="s">
        <v>183</v>
      </c>
      <c r="B3455" s="5" t="s">
        <v>186</v>
      </c>
      <c r="C3455" s="5" t="s">
        <v>187</v>
      </c>
      <c r="D3455" s="4" t="s">
        <v>16</v>
      </c>
      <c r="E3455" s="4" t="s">
        <v>1661</v>
      </c>
      <c r="F3455" s="4" t="s">
        <v>406</v>
      </c>
      <c r="G3455" s="4" t="s">
        <v>1662</v>
      </c>
      <c r="H3455" s="12" t="n">
        <v>1</v>
      </c>
      <c r="I3455" s="4" t="s">
        <v>408</v>
      </c>
      <c r="J3455" s="4" t="s">
        <v>409</v>
      </c>
      <c r="K3455" s="13" t="n">
        <v>250</v>
      </c>
      <c r="L3455" s="6" t="n">
        <f aca="false">H3455*K3455</f>
        <v>250</v>
      </c>
      <c r="M3455" s="14" t="s">
        <v>410</v>
      </c>
    </row>
    <row r="3456" customFormat="false" ht="23.85" hidden="false" customHeight="false" outlineLevel="0" collapsed="false">
      <c r="A3456" s="4" t="s">
        <v>183</v>
      </c>
      <c r="B3456" s="5" t="s">
        <v>186</v>
      </c>
      <c r="C3456" s="5" t="s">
        <v>187</v>
      </c>
      <c r="D3456" s="4" t="s">
        <v>16</v>
      </c>
      <c r="E3456" s="4" t="s">
        <v>1672</v>
      </c>
      <c r="F3456" s="4" t="s">
        <v>406</v>
      </c>
      <c r="G3456" s="4" t="s">
        <v>1673</v>
      </c>
      <c r="H3456" s="12" t="n">
        <v>1</v>
      </c>
      <c r="I3456" s="4" t="s">
        <v>408</v>
      </c>
      <c r="J3456" s="4" t="s">
        <v>409</v>
      </c>
      <c r="K3456" s="13" t="n">
        <v>3500</v>
      </c>
      <c r="L3456" s="6" t="n">
        <f aca="false">H3456*K3456</f>
        <v>3500</v>
      </c>
      <c r="M3456" s="14" t="s">
        <v>410</v>
      </c>
    </row>
    <row r="3457" customFormat="false" ht="23.85" hidden="false" customHeight="false" outlineLevel="0" collapsed="false">
      <c r="A3457" s="4" t="s">
        <v>183</v>
      </c>
      <c r="B3457" s="5" t="s">
        <v>186</v>
      </c>
      <c r="C3457" s="5" t="s">
        <v>187</v>
      </c>
      <c r="D3457" s="4" t="s">
        <v>16</v>
      </c>
      <c r="E3457" s="4" t="s">
        <v>4255</v>
      </c>
      <c r="F3457" s="4" t="s">
        <v>406</v>
      </c>
      <c r="G3457" s="4" t="s">
        <v>4256</v>
      </c>
      <c r="H3457" s="12" t="n">
        <v>1</v>
      </c>
      <c r="I3457" s="4" t="s">
        <v>408</v>
      </c>
      <c r="J3457" s="4" t="s">
        <v>409</v>
      </c>
      <c r="K3457" s="13" t="n">
        <v>6500</v>
      </c>
      <c r="L3457" s="6" t="n">
        <f aca="false">H3457*K3457</f>
        <v>6500</v>
      </c>
      <c r="M3457" s="4" t="s">
        <v>371</v>
      </c>
    </row>
    <row r="3458" customFormat="false" ht="23.85" hidden="false" customHeight="false" outlineLevel="0" collapsed="false">
      <c r="A3458" s="4" t="s">
        <v>183</v>
      </c>
      <c r="B3458" s="5" t="s">
        <v>186</v>
      </c>
      <c r="C3458" s="5" t="s">
        <v>187</v>
      </c>
      <c r="D3458" s="4" t="s">
        <v>16</v>
      </c>
      <c r="E3458" s="4" t="s">
        <v>1903</v>
      </c>
      <c r="F3458" s="4" t="s">
        <v>406</v>
      </c>
      <c r="G3458" s="4" t="s">
        <v>1904</v>
      </c>
      <c r="H3458" s="12" t="n">
        <v>1</v>
      </c>
      <c r="I3458" s="4" t="s">
        <v>408</v>
      </c>
      <c r="J3458" s="4" t="s">
        <v>409</v>
      </c>
      <c r="K3458" s="13" t="n">
        <v>8500</v>
      </c>
      <c r="L3458" s="6" t="n">
        <f aca="false">H3458*K3458</f>
        <v>8500</v>
      </c>
      <c r="M3458" s="14" t="s">
        <v>410</v>
      </c>
    </row>
    <row r="3459" customFormat="false" ht="23.85" hidden="false" customHeight="false" outlineLevel="0" collapsed="false">
      <c r="A3459" s="4" t="s">
        <v>183</v>
      </c>
      <c r="B3459" s="5" t="s">
        <v>186</v>
      </c>
      <c r="C3459" s="5" t="s">
        <v>187</v>
      </c>
      <c r="D3459" s="4" t="s">
        <v>16</v>
      </c>
      <c r="E3459" s="4" t="s">
        <v>1902</v>
      </c>
      <c r="F3459" s="4" t="s">
        <v>406</v>
      </c>
      <c r="G3459" s="4" t="s">
        <v>1680</v>
      </c>
      <c r="H3459" s="12" t="n">
        <v>1</v>
      </c>
      <c r="I3459" s="4" t="s">
        <v>408</v>
      </c>
      <c r="J3459" s="4" t="s">
        <v>409</v>
      </c>
      <c r="K3459" s="13" t="n">
        <v>8500</v>
      </c>
      <c r="L3459" s="6" t="n">
        <f aca="false">H3459*K3459</f>
        <v>8500</v>
      </c>
      <c r="M3459" s="14" t="s">
        <v>410</v>
      </c>
    </row>
    <row r="3460" customFormat="false" ht="23.85" hidden="false" customHeight="false" outlineLevel="0" collapsed="false">
      <c r="A3460" s="4" t="s">
        <v>183</v>
      </c>
      <c r="B3460" s="5" t="s">
        <v>186</v>
      </c>
      <c r="C3460" s="5" t="s">
        <v>187</v>
      </c>
      <c r="D3460" s="4" t="s">
        <v>16</v>
      </c>
      <c r="E3460" s="4" t="s">
        <v>2853</v>
      </c>
      <c r="F3460" s="4" t="s">
        <v>406</v>
      </c>
      <c r="G3460" s="4" t="s">
        <v>1209</v>
      </c>
      <c r="H3460" s="12" t="n">
        <v>1</v>
      </c>
      <c r="I3460" s="4" t="s">
        <v>408</v>
      </c>
      <c r="J3460" s="4" t="s">
        <v>409</v>
      </c>
      <c r="K3460" s="13" t="n">
        <v>850</v>
      </c>
      <c r="L3460" s="6" t="n">
        <f aca="false">H3460*K3460</f>
        <v>850</v>
      </c>
      <c r="M3460" s="14" t="s">
        <v>410</v>
      </c>
    </row>
    <row r="3461" customFormat="false" ht="23.85" hidden="false" customHeight="false" outlineLevel="0" collapsed="false">
      <c r="A3461" s="4" t="s">
        <v>183</v>
      </c>
      <c r="B3461" s="5" t="s">
        <v>186</v>
      </c>
      <c r="C3461" s="5" t="s">
        <v>187</v>
      </c>
      <c r="D3461" s="4" t="s">
        <v>16</v>
      </c>
      <c r="E3461" s="4" t="s">
        <v>4257</v>
      </c>
      <c r="F3461" s="4" t="s">
        <v>406</v>
      </c>
      <c r="G3461" s="4" t="s">
        <v>4258</v>
      </c>
      <c r="H3461" s="12" t="n">
        <v>1</v>
      </c>
      <c r="I3461" s="4" t="s">
        <v>408</v>
      </c>
      <c r="J3461" s="4" t="s">
        <v>409</v>
      </c>
      <c r="K3461" s="13" t="n">
        <v>4500</v>
      </c>
      <c r="L3461" s="6" t="n">
        <f aca="false">H3461*K3461</f>
        <v>4500</v>
      </c>
      <c r="M3461" s="14" t="s">
        <v>410</v>
      </c>
    </row>
    <row r="3462" customFormat="false" ht="23.85" hidden="false" customHeight="false" outlineLevel="0" collapsed="false">
      <c r="A3462" s="4" t="s">
        <v>183</v>
      </c>
      <c r="B3462" s="5" t="s">
        <v>186</v>
      </c>
      <c r="C3462" s="5" t="s">
        <v>187</v>
      </c>
      <c r="D3462" s="4" t="s">
        <v>16</v>
      </c>
      <c r="E3462" s="4" t="s">
        <v>3375</v>
      </c>
      <c r="F3462" s="4" t="s">
        <v>406</v>
      </c>
      <c r="G3462" s="4" t="s">
        <v>3376</v>
      </c>
      <c r="H3462" s="12" t="n">
        <v>1</v>
      </c>
      <c r="I3462" s="4" t="s">
        <v>408</v>
      </c>
      <c r="J3462" s="4" t="s">
        <v>409</v>
      </c>
      <c r="K3462" s="13" t="n">
        <v>650</v>
      </c>
      <c r="L3462" s="6" t="n">
        <f aca="false">H3462*K3462</f>
        <v>650</v>
      </c>
      <c r="M3462" s="14" t="s">
        <v>410</v>
      </c>
    </row>
    <row r="3463" customFormat="false" ht="23.85" hidden="false" customHeight="false" outlineLevel="0" collapsed="false">
      <c r="A3463" s="4" t="s">
        <v>183</v>
      </c>
      <c r="B3463" s="5" t="s">
        <v>186</v>
      </c>
      <c r="C3463" s="5" t="s">
        <v>187</v>
      </c>
      <c r="D3463" s="4" t="s">
        <v>16</v>
      </c>
      <c r="E3463" s="4" t="s">
        <v>4259</v>
      </c>
      <c r="F3463" s="4" t="s">
        <v>406</v>
      </c>
      <c r="G3463" s="4" t="s">
        <v>4260</v>
      </c>
      <c r="H3463" s="12" t="n">
        <v>1</v>
      </c>
      <c r="I3463" s="4" t="s">
        <v>408</v>
      </c>
      <c r="J3463" s="4" t="s">
        <v>409</v>
      </c>
      <c r="K3463" s="13" t="n">
        <v>85000</v>
      </c>
      <c r="L3463" s="6" t="n">
        <f aca="false">H3463*K3463</f>
        <v>85000</v>
      </c>
      <c r="M3463" s="4" t="s">
        <v>371</v>
      </c>
    </row>
    <row r="3464" customFormat="false" ht="23.85" hidden="false" customHeight="false" outlineLevel="0" collapsed="false">
      <c r="A3464" s="4" t="s">
        <v>183</v>
      </c>
      <c r="B3464" s="5" t="s">
        <v>186</v>
      </c>
      <c r="C3464" s="5" t="s">
        <v>187</v>
      </c>
      <c r="D3464" s="4" t="s">
        <v>16</v>
      </c>
      <c r="E3464" s="4" t="s">
        <v>4261</v>
      </c>
      <c r="F3464" s="4" t="s">
        <v>406</v>
      </c>
      <c r="G3464" s="4" t="s">
        <v>4262</v>
      </c>
      <c r="H3464" s="12" t="n">
        <v>1</v>
      </c>
      <c r="I3464" s="4" t="s">
        <v>408</v>
      </c>
      <c r="J3464" s="4" t="s">
        <v>409</v>
      </c>
      <c r="K3464" s="13" t="n">
        <v>2500</v>
      </c>
      <c r="L3464" s="6" t="n">
        <f aca="false">H3464*K3464</f>
        <v>2500</v>
      </c>
      <c r="M3464" s="4" t="s">
        <v>371</v>
      </c>
    </row>
    <row r="3465" customFormat="false" ht="23.85" hidden="false" customHeight="false" outlineLevel="0" collapsed="false">
      <c r="A3465" s="4" t="s">
        <v>183</v>
      </c>
      <c r="B3465" s="5" t="s">
        <v>186</v>
      </c>
      <c r="C3465" s="5" t="s">
        <v>187</v>
      </c>
      <c r="D3465" s="4" t="s">
        <v>16</v>
      </c>
      <c r="E3465" s="4" t="s">
        <v>1697</v>
      </c>
      <c r="F3465" s="4" t="s">
        <v>470</v>
      </c>
      <c r="G3465" s="4" t="s">
        <v>1698</v>
      </c>
      <c r="H3465" s="12" t="n">
        <v>1</v>
      </c>
      <c r="I3465" s="4" t="s">
        <v>408</v>
      </c>
      <c r="J3465" s="4" t="s">
        <v>409</v>
      </c>
      <c r="K3465" s="13" t="n">
        <v>45000</v>
      </c>
      <c r="L3465" s="6" t="n">
        <f aca="false">H3465*K3465</f>
        <v>45000</v>
      </c>
      <c r="M3465" s="14" t="s">
        <v>410</v>
      </c>
    </row>
    <row r="3466" customFormat="false" ht="23.85" hidden="false" customHeight="false" outlineLevel="0" collapsed="false">
      <c r="A3466" s="4" t="s">
        <v>183</v>
      </c>
      <c r="B3466" s="5" t="s">
        <v>186</v>
      </c>
      <c r="C3466" s="5" t="s">
        <v>187</v>
      </c>
      <c r="D3466" s="4" t="s">
        <v>16</v>
      </c>
      <c r="E3466" s="4" t="s">
        <v>4263</v>
      </c>
      <c r="F3466" s="4" t="s">
        <v>470</v>
      </c>
      <c r="G3466" s="4" t="s">
        <v>4264</v>
      </c>
      <c r="H3466" s="12" t="n">
        <v>1</v>
      </c>
      <c r="I3466" s="4" t="s">
        <v>408</v>
      </c>
      <c r="J3466" s="4" t="s">
        <v>409</v>
      </c>
      <c r="K3466" s="13" t="n">
        <v>45000</v>
      </c>
      <c r="L3466" s="6" t="n">
        <f aca="false">H3466*K3466</f>
        <v>45000</v>
      </c>
      <c r="M3466" s="4" t="s">
        <v>371</v>
      </c>
    </row>
    <row r="3467" customFormat="false" ht="23.85" hidden="false" customHeight="false" outlineLevel="0" collapsed="false">
      <c r="A3467" s="4" t="s">
        <v>183</v>
      </c>
      <c r="B3467" s="5" t="s">
        <v>186</v>
      </c>
      <c r="C3467" s="5" t="s">
        <v>187</v>
      </c>
      <c r="D3467" s="4" t="s">
        <v>16</v>
      </c>
      <c r="E3467" s="4" t="s">
        <v>4265</v>
      </c>
      <c r="F3467" s="4" t="s">
        <v>470</v>
      </c>
      <c r="G3467" s="4" t="s">
        <v>4266</v>
      </c>
      <c r="H3467" s="12" t="n">
        <v>1</v>
      </c>
      <c r="I3467" s="4" t="s">
        <v>408</v>
      </c>
      <c r="J3467" s="4" t="s">
        <v>543</v>
      </c>
      <c r="K3467" s="13" t="n">
        <v>12000</v>
      </c>
      <c r="L3467" s="6" t="n">
        <f aca="false">H3467*K3467</f>
        <v>12000</v>
      </c>
      <c r="M3467" s="4" t="s">
        <v>371</v>
      </c>
    </row>
    <row r="3468" customFormat="false" ht="23.85" hidden="false" customHeight="false" outlineLevel="0" collapsed="false">
      <c r="A3468" s="4" t="s">
        <v>183</v>
      </c>
      <c r="B3468" s="5" t="s">
        <v>186</v>
      </c>
      <c r="C3468" s="5" t="s">
        <v>187</v>
      </c>
      <c r="D3468" s="4" t="s">
        <v>16</v>
      </c>
      <c r="E3468" s="4" t="s">
        <v>1915</v>
      </c>
      <c r="F3468" s="4" t="s">
        <v>470</v>
      </c>
      <c r="G3468" s="4" t="s">
        <v>1916</v>
      </c>
      <c r="H3468" s="12" t="n">
        <v>1</v>
      </c>
      <c r="I3468" s="4" t="s">
        <v>408</v>
      </c>
      <c r="J3468" s="4" t="s">
        <v>409</v>
      </c>
      <c r="K3468" s="13" t="n">
        <v>850</v>
      </c>
      <c r="L3468" s="6" t="n">
        <f aca="false">H3468*K3468</f>
        <v>850</v>
      </c>
      <c r="M3468" s="4" t="s">
        <v>371</v>
      </c>
    </row>
    <row r="3469" customFormat="false" ht="23.85" hidden="false" customHeight="false" outlineLevel="0" collapsed="false">
      <c r="A3469" s="4" t="s">
        <v>183</v>
      </c>
      <c r="B3469" s="5" t="s">
        <v>186</v>
      </c>
      <c r="C3469" s="5" t="s">
        <v>187</v>
      </c>
      <c r="D3469" s="4" t="s">
        <v>16</v>
      </c>
      <c r="E3469" s="4" t="s">
        <v>1087</v>
      </c>
      <c r="F3469" s="4" t="s">
        <v>470</v>
      </c>
      <c r="G3469" s="4" t="s">
        <v>1088</v>
      </c>
      <c r="H3469" s="12" t="n">
        <v>1</v>
      </c>
      <c r="I3469" s="4" t="s">
        <v>408</v>
      </c>
      <c r="J3469" s="4" t="s">
        <v>475</v>
      </c>
      <c r="K3469" s="13" t="n">
        <v>4500</v>
      </c>
      <c r="L3469" s="6" t="n">
        <f aca="false">H3469*K3469</f>
        <v>4500</v>
      </c>
      <c r="M3469" s="4" t="s">
        <v>371</v>
      </c>
    </row>
    <row r="3470" customFormat="false" ht="23.85" hidden="false" customHeight="false" outlineLevel="0" collapsed="false">
      <c r="A3470" s="4" t="s">
        <v>183</v>
      </c>
      <c r="B3470" s="5" t="s">
        <v>186</v>
      </c>
      <c r="C3470" s="5" t="s">
        <v>187</v>
      </c>
      <c r="D3470" s="4" t="s">
        <v>16</v>
      </c>
      <c r="E3470" s="4" t="s">
        <v>1917</v>
      </c>
      <c r="F3470" s="4" t="s">
        <v>470</v>
      </c>
      <c r="G3470" s="4" t="s">
        <v>1918</v>
      </c>
      <c r="H3470" s="12" t="n">
        <v>1</v>
      </c>
      <c r="I3470" s="4" t="s">
        <v>408</v>
      </c>
      <c r="J3470" s="4" t="s">
        <v>409</v>
      </c>
      <c r="K3470" s="13" t="n">
        <v>3500</v>
      </c>
      <c r="L3470" s="6" t="n">
        <f aca="false">H3470*K3470</f>
        <v>3500</v>
      </c>
      <c r="M3470" s="4" t="s">
        <v>371</v>
      </c>
    </row>
    <row r="3471" customFormat="false" ht="23.85" hidden="false" customHeight="false" outlineLevel="0" collapsed="false">
      <c r="A3471" s="4" t="s">
        <v>183</v>
      </c>
      <c r="B3471" s="5" t="s">
        <v>186</v>
      </c>
      <c r="C3471" s="5" t="s">
        <v>187</v>
      </c>
      <c r="D3471" s="4" t="s">
        <v>16</v>
      </c>
      <c r="E3471" s="4" t="s">
        <v>1919</v>
      </c>
      <c r="F3471" s="4" t="s">
        <v>470</v>
      </c>
      <c r="G3471" s="4" t="s">
        <v>1920</v>
      </c>
      <c r="H3471" s="12" t="n">
        <v>1</v>
      </c>
      <c r="I3471" s="4" t="s">
        <v>408</v>
      </c>
      <c r="J3471" s="4" t="s">
        <v>409</v>
      </c>
      <c r="K3471" s="13" t="n">
        <v>80</v>
      </c>
      <c r="L3471" s="6" t="n">
        <f aca="false">H3471*K3471</f>
        <v>80</v>
      </c>
      <c r="M3471" s="4" t="s">
        <v>371</v>
      </c>
    </row>
    <row r="3472" customFormat="false" ht="23.85" hidden="false" customHeight="false" outlineLevel="0" collapsed="false">
      <c r="A3472" s="4" t="s">
        <v>183</v>
      </c>
      <c r="B3472" s="5" t="s">
        <v>186</v>
      </c>
      <c r="C3472" s="5" t="s">
        <v>187</v>
      </c>
      <c r="D3472" s="4" t="s">
        <v>16</v>
      </c>
      <c r="E3472" s="4" t="s">
        <v>1921</v>
      </c>
      <c r="F3472" s="4" t="s">
        <v>470</v>
      </c>
      <c r="G3472" s="4" t="s">
        <v>1922</v>
      </c>
      <c r="H3472" s="12" t="n">
        <v>1</v>
      </c>
      <c r="I3472" s="4" t="s">
        <v>408</v>
      </c>
      <c r="J3472" s="4" t="s">
        <v>475</v>
      </c>
      <c r="K3472" s="13" t="n">
        <v>350</v>
      </c>
      <c r="L3472" s="6" t="n">
        <f aca="false">H3472*K3472</f>
        <v>350</v>
      </c>
      <c r="M3472" s="4" t="s">
        <v>371</v>
      </c>
    </row>
    <row r="3473" customFormat="false" ht="23.85" hidden="false" customHeight="false" outlineLevel="0" collapsed="false">
      <c r="A3473" s="4" t="s">
        <v>183</v>
      </c>
      <c r="B3473" s="5" t="s">
        <v>186</v>
      </c>
      <c r="C3473" s="5" t="s">
        <v>187</v>
      </c>
      <c r="D3473" s="4" t="s">
        <v>16</v>
      </c>
      <c r="E3473" s="4" t="s">
        <v>1923</v>
      </c>
      <c r="F3473" s="4" t="s">
        <v>470</v>
      </c>
      <c r="G3473" s="4" t="s">
        <v>1924</v>
      </c>
      <c r="H3473" s="12" t="n">
        <v>1</v>
      </c>
      <c r="I3473" s="4" t="s">
        <v>408</v>
      </c>
      <c r="J3473" s="4" t="s">
        <v>475</v>
      </c>
      <c r="K3473" s="13" t="n">
        <v>180</v>
      </c>
      <c r="L3473" s="6" t="n">
        <f aca="false">H3473*K3473</f>
        <v>180</v>
      </c>
      <c r="M3473" s="4" t="s">
        <v>371</v>
      </c>
    </row>
    <row r="3474" customFormat="false" ht="23.85" hidden="false" customHeight="false" outlineLevel="0" collapsed="false">
      <c r="A3474" s="4" t="s">
        <v>183</v>
      </c>
      <c r="B3474" s="5" t="s">
        <v>186</v>
      </c>
      <c r="C3474" s="5" t="s">
        <v>187</v>
      </c>
      <c r="D3474" s="4" t="s">
        <v>16</v>
      </c>
      <c r="E3474" s="4" t="s">
        <v>4267</v>
      </c>
      <c r="F3474" s="4" t="s">
        <v>470</v>
      </c>
      <c r="G3474" s="4" t="s">
        <v>4268</v>
      </c>
      <c r="H3474" s="12" t="n">
        <v>1</v>
      </c>
      <c r="I3474" s="4" t="s">
        <v>408</v>
      </c>
      <c r="J3474" s="4" t="s">
        <v>475</v>
      </c>
      <c r="K3474" s="13" t="n">
        <v>3500</v>
      </c>
      <c r="L3474" s="6" t="n">
        <f aca="false">H3474*K3474</f>
        <v>3500</v>
      </c>
      <c r="M3474" s="4" t="s">
        <v>371</v>
      </c>
    </row>
    <row r="3475" customFormat="false" ht="23.85" hidden="false" customHeight="false" outlineLevel="0" collapsed="false">
      <c r="A3475" s="4" t="s">
        <v>183</v>
      </c>
      <c r="B3475" s="5" t="s">
        <v>186</v>
      </c>
      <c r="C3475" s="5" t="s">
        <v>187</v>
      </c>
      <c r="D3475" s="4" t="s">
        <v>16</v>
      </c>
      <c r="E3475" s="4" t="s">
        <v>1925</v>
      </c>
      <c r="F3475" s="4" t="s">
        <v>470</v>
      </c>
      <c r="G3475" s="4" t="s">
        <v>1926</v>
      </c>
      <c r="H3475" s="12" t="n">
        <v>1</v>
      </c>
      <c r="I3475" s="4" t="s">
        <v>408</v>
      </c>
      <c r="J3475" s="4" t="s">
        <v>475</v>
      </c>
      <c r="K3475" s="13" t="n">
        <v>180</v>
      </c>
      <c r="L3475" s="6" t="n">
        <f aca="false">H3475*K3475</f>
        <v>180</v>
      </c>
      <c r="M3475" s="4" t="s">
        <v>371</v>
      </c>
    </row>
    <row r="3476" customFormat="false" ht="23.85" hidden="false" customHeight="false" outlineLevel="0" collapsed="false">
      <c r="A3476" s="4" t="s">
        <v>183</v>
      </c>
      <c r="B3476" s="5" t="s">
        <v>186</v>
      </c>
      <c r="C3476" s="5" t="s">
        <v>187</v>
      </c>
      <c r="D3476" s="4" t="s">
        <v>16</v>
      </c>
      <c r="E3476" s="4" t="s">
        <v>4269</v>
      </c>
      <c r="F3476" s="4" t="s">
        <v>470</v>
      </c>
      <c r="G3476" s="4" t="s">
        <v>4270</v>
      </c>
      <c r="H3476" s="12" t="n">
        <v>1</v>
      </c>
      <c r="I3476" s="4" t="s">
        <v>408</v>
      </c>
      <c r="J3476" s="4" t="s">
        <v>409</v>
      </c>
      <c r="K3476" s="13" t="n">
        <v>850</v>
      </c>
      <c r="L3476" s="6" t="n">
        <f aca="false">H3476*K3476</f>
        <v>850</v>
      </c>
      <c r="M3476" s="4" t="s">
        <v>371</v>
      </c>
    </row>
    <row r="3477" customFormat="false" ht="23.85" hidden="false" customHeight="false" outlineLevel="0" collapsed="false">
      <c r="A3477" s="4" t="s">
        <v>183</v>
      </c>
      <c r="B3477" s="5" t="s">
        <v>186</v>
      </c>
      <c r="C3477" s="5" t="s">
        <v>187</v>
      </c>
      <c r="D3477" s="4" t="s">
        <v>16</v>
      </c>
      <c r="E3477" s="4" t="s">
        <v>4271</v>
      </c>
      <c r="F3477" s="4" t="s">
        <v>470</v>
      </c>
      <c r="G3477" s="4" t="s">
        <v>4272</v>
      </c>
      <c r="H3477" s="12" t="n">
        <v>1</v>
      </c>
      <c r="I3477" s="4" t="s">
        <v>408</v>
      </c>
      <c r="J3477" s="4" t="s">
        <v>475</v>
      </c>
      <c r="K3477" s="13" t="n">
        <v>3500</v>
      </c>
      <c r="L3477" s="6" t="n">
        <f aca="false">H3477*K3477</f>
        <v>3500</v>
      </c>
      <c r="M3477" s="4" t="s">
        <v>371</v>
      </c>
    </row>
    <row r="3478" customFormat="false" ht="23.85" hidden="false" customHeight="false" outlineLevel="0" collapsed="false">
      <c r="A3478" s="4" t="s">
        <v>183</v>
      </c>
      <c r="B3478" s="5" t="s">
        <v>186</v>
      </c>
      <c r="C3478" s="5" t="s">
        <v>187</v>
      </c>
      <c r="D3478" s="4" t="s">
        <v>16</v>
      </c>
      <c r="E3478" s="4" t="s">
        <v>4271</v>
      </c>
      <c r="F3478" s="4" t="s">
        <v>470</v>
      </c>
      <c r="G3478" s="4" t="s">
        <v>4272</v>
      </c>
      <c r="H3478" s="12" t="n">
        <v>1</v>
      </c>
      <c r="I3478" s="4" t="s">
        <v>408</v>
      </c>
      <c r="J3478" s="4" t="s">
        <v>475</v>
      </c>
      <c r="K3478" s="13" t="n">
        <v>3500</v>
      </c>
      <c r="L3478" s="6" t="n">
        <f aca="false">H3478*K3478</f>
        <v>3500</v>
      </c>
      <c r="M3478" s="4" t="s">
        <v>371</v>
      </c>
    </row>
    <row r="3479" customFormat="false" ht="23.85" hidden="false" customHeight="false" outlineLevel="0" collapsed="false">
      <c r="A3479" s="4" t="s">
        <v>183</v>
      </c>
      <c r="B3479" s="5" t="s">
        <v>186</v>
      </c>
      <c r="C3479" s="5" t="s">
        <v>187</v>
      </c>
      <c r="D3479" s="4" t="s">
        <v>16</v>
      </c>
      <c r="E3479" s="4" t="s">
        <v>1648</v>
      </c>
      <c r="F3479" s="4" t="s">
        <v>470</v>
      </c>
      <c r="G3479" s="4" t="s">
        <v>1424</v>
      </c>
      <c r="H3479" s="12" t="n">
        <v>1</v>
      </c>
      <c r="I3479" s="4" t="s">
        <v>408</v>
      </c>
      <c r="J3479" s="4" t="s">
        <v>409</v>
      </c>
      <c r="K3479" s="13" t="n">
        <v>3500</v>
      </c>
      <c r="L3479" s="6" t="n">
        <f aca="false">H3479*K3479</f>
        <v>3500</v>
      </c>
      <c r="M3479" s="4" t="s">
        <v>371</v>
      </c>
    </row>
    <row r="3480" customFormat="false" ht="23.85" hidden="false" customHeight="false" outlineLevel="0" collapsed="false">
      <c r="A3480" s="4" t="s">
        <v>183</v>
      </c>
      <c r="B3480" s="5" t="s">
        <v>186</v>
      </c>
      <c r="C3480" s="5" t="s">
        <v>187</v>
      </c>
      <c r="D3480" s="4" t="s">
        <v>16</v>
      </c>
      <c r="E3480" s="4" t="s">
        <v>4273</v>
      </c>
      <c r="F3480" s="4" t="s">
        <v>488</v>
      </c>
      <c r="G3480" s="4" t="s">
        <v>1873</v>
      </c>
      <c r="H3480" s="12" t="n">
        <v>1</v>
      </c>
      <c r="I3480" s="4" t="s">
        <v>408</v>
      </c>
      <c r="J3480" s="4" t="s">
        <v>807</v>
      </c>
      <c r="K3480" s="13" t="n">
        <v>250</v>
      </c>
      <c r="L3480" s="6" t="n">
        <f aca="false">H3480*K3480</f>
        <v>250</v>
      </c>
      <c r="M3480" s="14" t="s">
        <v>410</v>
      </c>
    </row>
    <row r="3481" customFormat="false" ht="23.85" hidden="false" customHeight="false" outlineLevel="0" collapsed="false">
      <c r="A3481" s="4" t="s">
        <v>183</v>
      </c>
      <c r="B3481" s="5" t="s">
        <v>186</v>
      </c>
      <c r="C3481" s="5" t="s">
        <v>187</v>
      </c>
      <c r="D3481" s="4" t="s">
        <v>16</v>
      </c>
      <c r="E3481" s="4" t="s">
        <v>4274</v>
      </c>
      <c r="F3481" s="4" t="s">
        <v>488</v>
      </c>
      <c r="G3481" s="4" t="s">
        <v>1937</v>
      </c>
      <c r="H3481" s="12" t="n">
        <v>1</v>
      </c>
      <c r="I3481" s="4" t="s">
        <v>408</v>
      </c>
      <c r="J3481" s="4" t="s">
        <v>409</v>
      </c>
      <c r="K3481" s="13" t="n">
        <v>850</v>
      </c>
      <c r="L3481" s="6" t="n">
        <f aca="false">H3481*K3481</f>
        <v>850</v>
      </c>
      <c r="M3481" s="4" t="s">
        <v>371</v>
      </c>
    </row>
    <row r="3482" customFormat="false" ht="23.85" hidden="false" customHeight="false" outlineLevel="0" collapsed="false">
      <c r="A3482" s="4" t="s">
        <v>183</v>
      </c>
      <c r="B3482" s="5" t="s">
        <v>186</v>
      </c>
      <c r="C3482" s="5" t="s">
        <v>187</v>
      </c>
      <c r="D3482" s="4" t="s">
        <v>16</v>
      </c>
      <c r="E3482" s="4" t="s">
        <v>1938</v>
      </c>
      <c r="F3482" s="4" t="s">
        <v>488</v>
      </c>
      <c r="G3482" s="4" t="s">
        <v>1939</v>
      </c>
      <c r="H3482" s="12" t="n">
        <v>1</v>
      </c>
      <c r="I3482" s="4" t="s">
        <v>408</v>
      </c>
      <c r="J3482" s="4" t="s">
        <v>432</v>
      </c>
      <c r="K3482" s="13" t="n">
        <v>250</v>
      </c>
      <c r="L3482" s="6" t="n">
        <f aca="false">H3482*K3482</f>
        <v>250</v>
      </c>
      <c r="M3482" s="4" t="s">
        <v>371</v>
      </c>
    </row>
    <row r="3483" customFormat="false" ht="15" hidden="false" customHeight="false" outlineLevel="0" collapsed="false">
      <c r="A3483" s="4" t="s">
        <v>136</v>
      </c>
      <c r="B3483" s="5" t="s">
        <v>139</v>
      </c>
      <c r="C3483" s="5" t="s">
        <v>140</v>
      </c>
      <c r="D3483" s="4" t="s">
        <v>16</v>
      </c>
      <c r="E3483" s="4" t="s">
        <v>1542</v>
      </c>
      <c r="F3483" s="4" t="s">
        <v>406</v>
      </c>
      <c r="G3483" s="4" t="s">
        <v>1543</v>
      </c>
      <c r="H3483" s="12" t="n">
        <v>1</v>
      </c>
      <c r="I3483" s="4" t="s">
        <v>408</v>
      </c>
      <c r="J3483" s="4" t="s">
        <v>409</v>
      </c>
      <c r="K3483" s="13" t="n">
        <v>250</v>
      </c>
      <c r="L3483" s="6" t="n">
        <f aca="false">H3483*K3483</f>
        <v>250</v>
      </c>
      <c r="M3483" s="4" t="s">
        <v>371</v>
      </c>
    </row>
    <row r="3484" customFormat="false" ht="15" hidden="false" customHeight="false" outlineLevel="0" collapsed="false">
      <c r="A3484" s="4" t="s">
        <v>136</v>
      </c>
      <c r="B3484" s="5" t="s">
        <v>139</v>
      </c>
      <c r="C3484" s="5" t="s">
        <v>140</v>
      </c>
      <c r="D3484" s="4" t="s">
        <v>16</v>
      </c>
      <c r="E3484" s="4" t="s">
        <v>1544</v>
      </c>
      <c r="F3484" s="4" t="s">
        <v>406</v>
      </c>
      <c r="G3484" s="4" t="s">
        <v>1545</v>
      </c>
      <c r="H3484" s="12" t="n">
        <v>1</v>
      </c>
      <c r="I3484" s="4" t="s">
        <v>408</v>
      </c>
      <c r="J3484" s="4" t="s">
        <v>416</v>
      </c>
      <c r="K3484" s="13" t="n">
        <v>650</v>
      </c>
      <c r="L3484" s="6" t="n">
        <f aca="false">H3484*K3484</f>
        <v>650</v>
      </c>
      <c r="M3484" s="14" t="s">
        <v>410</v>
      </c>
    </row>
    <row r="3485" customFormat="false" ht="15" hidden="false" customHeight="false" outlineLevel="0" collapsed="false">
      <c r="A3485" s="4" t="s">
        <v>136</v>
      </c>
      <c r="B3485" s="5" t="s">
        <v>139</v>
      </c>
      <c r="C3485" s="5" t="s">
        <v>140</v>
      </c>
      <c r="D3485" s="4" t="s">
        <v>16</v>
      </c>
      <c r="E3485" s="4" t="s">
        <v>1546</v>
      </c>
      <c r="F3485" s="4" t="s">
        <v>406</v>
      </c>
      <c r="G3485" s="4" t="s">
        <v>1547</v>
      </c>
      <c r="H3485" s="12" t="n">
        <v>1</v>
      </c>
      <c r="I3485" s="4" t="s">
        <v>408</v>
      </c>
      <c r="J3485" s="4" t="s">
        <v>409</v>
      </c>
      <c r="K3485" s="13" t="n">
        <v>650</v>
      </c>
      <c r="L3485" s="6" t="n">
        <f aca="false">H3485*K3485</f>
        <v>650</v>
      </c>
      <c r="M3485" s="14" t="s">
        <v>410</v>
      </c>
    </row>
    <row r="3486" customFormat="false" ht="15" hidden="false" customHeight="false" outlineLevel="0" collapsed="false">
      <c r="A3486" s="4" t="s">
        <v>136</v>
      </c>
      <c r="B3486" s="5" t="s">
        <v>139</v>
      </c>
      <c r="C3486" s="5" t="s">
        <v>140</v>
      </c>
      <c r="D3486" s="4" t="s">
        <v>16</v>
      </c>
      <c r="E3486" s="4" t="s">
        <v>1548</v>
      </c>
      <c r="F3486" s="4" t="s">
        <v>406</v>
      </c>
      <c r="G3486" s="4" t="s">
        <v>1549</v>
      </c>
      <c r="H3486" s="12" t="n">
        <v>1</v>
      </c>
      <c r="I3486" s="4" t="s">
        <v>408</v>
      </c>
      <c r="J3486" s="4" t="s">
        <v>409</v>
      </c>
      <c r="K3486" s="13" t="n">
        <v>350</v>
      </c>
      <c r="L3486" s="6" t="n">
        <f aca="false">H3486*K3486</f>
        <v>350</v>
      </c>
      <c r="M3486" s="14" t="s">
        <v>410</v>
      </c>
    </row>
    <row r="3487" customFormat="false" ht="15" hidden="false" customHeight="false" outlineLevel="0" collapsed="false">
      <c r="A3487" s="4" t="s">
        <v>136</v>
      </c>
      <c r="B3487" s="5" t="s">
        <v>139</v>
      </c>
      <c r="C3487" s="5" t="s">
        <v>140</v>
      </c>
      <c r="D3487" s="4" t="s">
        <v>16</v>
      </c>
      <c r="E3487" s="4" t="s">
        <v>1550</v>
      </c>
      <c r="F3487" s="4" t="s">
        <v>406</v>
      </c>
      <c r="G3487" s="4" t="s">
        <v>1551</v>
      </c>
      <c r="H3487" s="12" t="n">
        <v>1</v>
      </c>
      <c r="I3487" s="4" t="s">
        <v>408</v>
      </c>
      <c r="J3487" s="4" t="s">
        <v>416</v>
      </c>
      <c r="K3487" s="13" t="n">
        <v>450</v>
      </c>
      <c r="L3487" s="6" t="n">
        <f aca="false">H3487*K3487</f>
        <v>450</v>
      </c>
      <c r="M3487" s="14" t="s">
        <v>410</v>
      </c>
    </row>
    <row r="3488" customFormat="false" ht="15" hidden="false" customHeight="false" outlineLevel="0" collapsed="false">
      <c r="A3488" s="4" t="s">
        <v>136</v>
      </c>
      <c r="B3488" s="5" t="s">
        <v>139</v>
      </c>
      <c r="C3488" s="5" t="s">
        <v>140</v>
      </c>
      <c r="D3488" s="4" t="s">
        <v>16</v>
      </c>
      <c r="E3488" s="4" t="s">
        <v>1552</v>
      </c>
      <c r="F3488" s="4" t="s">
        <v>406</v>
      </c>
      <c r="G3488" s="4" t="s">
        <v>1553</v>
      </c>
      <c r="H3488" s="12" t="n">
        <v>1</v>
      </c>
      <c r="I3488" s="4" t="s">
        <v>408</v>
      </c>
      <c r="J3488" s="4" t="s">
        <v>409</v>
      </c>
      <c r="K3488" s="13" t="n">
        <v>850</v>
      </c>
      <c r="L3488" s="6" t="n">
        <f aca="false">H3488*K3488</f>
        <v>850</v>
      </c>
      <c r="M3488" s="14" t="s">
        <v>410</v>
      </c>
    </row>
    <row r="3489" customFormat="false" ht="15" hidden="false" customHeight="false" outlineLevel="0" collapsed="false">
      <c r="A3489" s="4" t="s">
        <v>136</v>
      </c>
      <c r="B3489" s="5" t="s">
        <v>139</v>
      </c>
      <c r="C3489" s="5" t="s">
        <v>140</v>
      </c>
      <c r="D3489" s="4" t="s">
        <v>16</v>
      </c>
      <c r="E3489" s="4" t="s">
        <v>1554</v>
      </c>
      <c r="F3489" s="4" t="s">
        <v>406</v>
      </c>
      <c r="G3489" s="4" t="s">
        <v>1555</v>
      </c>
      <c r="H3489" s="12" t="n">
        <v>1</v>
      </c>
      <c r="I3489" s="4" t="s">
        <v>408</v>
      </c>
      <c r="J3489" s="4" t="s">
        <v>409</v>
      </c>
      <c r="K3489" s="13" t="n">
        <v>850</v>
      </c>
      <c r="L3489" s="6" t="n">
        <f aca="false">H3489*K3489</f>
        <v>850</v>
      </c>
      <c r="M3489" s="14" t="s">
        <v>410</v>
      </c>
    </row>
    <row r="3490" customFormat="false" ht="15" hidden="false" customHeight="false" outlineLevel="0" collapsed="false">
      <c r="A3490" s="4" t="s">
        <v>136</v>
      </c>
      <c r="B3490" s="5" t="s">
        <v>139</v>
      </c>
      <c r="C3490" s="5" t="s">
        <v>140</v>
      </c>
      <c r="D3490" s="4" t="s">
        <v>16</v>
      </c>
      <c r="E3490" s="4" t="s">
        <v>1556</v>
      </c>
      <c r="F3490" s="4" t="s">
        <v>406</v>
      </c>
      <c r="G3490" s="4" t="s">
        <v>1557</v>
      </c>
      <c r="H3490" s="12" t="n">
        <v>1</v>
      </c>
      <c r="I3490" s="4" t="s">
        <v>408</v>
      </c>
      <c r="J3490" s="4" t="s">
        <v>409</v>
      </c>
      <c r="K3490" s="13" t="n">
        <v>350</v>
      </c>
      <c r="L3490" s="6" t="n">
        <f aca="false">H3490*K3490</f>
        <v>350</v>
      </c>
      <c r="M3490" s="14" t="s">
        <v>410</v>
      </c>
    </row>
    <row r="3491" customFormat="false" ht="15" hidden="false" customHeight="false" outlineLevel="0" collapsed="false">
      <c r="A3491" s="4" t="s">
        <v>136</v>
      </c>
      <c r="B3491" s="5" t="s">
        <v>139</v>
      </c>
      <c r="C3491" s="5" t="s">
        <v>140</v>
      </c>
      <c r="D3491" s="4" t="s">
        <v>16</v>
      </c>
      <c r="E3491" s="4" t="s">
        <v>1558</v>
      </c>
      <c r="F3491" s="4" t="s">
        <v>406</v>
      </c>
      <c r="G3491" s="4" t="s">
        <v>1559</v>
      </c>
      <c r="H3491" s="12" t="n">
        <v>1</v>
      </c>
      <c r="I3491" s="4" t="s">
        <v>408</v>
      </c>
      <c r="J3491" s="4" t="s">
        <v>409</v>
      </c>
      <c r="K3491" s="13" t="n">
        <v>850</v>
      </c>
      <c r="L3491" s="6" t="n">
        <f aca="false">H3491*K3491</f>
        <v>850</v>
      </c>
      <c r="M3491" s="14" t="s">
        <v>410</v>
      </c>
    </row>
    <row r="3492" customFormat="false" ht="15" hidden="false" customHeight="false" outlineLevel="0" collapsed="false">
      <c r="A3492" s="4" t="s">
        <v>136</v>
      </c>
      <c r="B3492" s="5" t="s">
        <v>139</v>
      </c>
      <c r="C3492" s="5" t="s">
        <v>140</v>
      </c>
      <c r="D3492" s="4" t="s">
        <v>16</v>
      </c>
      <c r="E3492" s="4" t="s">
        <v>1561</v>
      </c>
      <c r="F3492" s="4" t="s">
        <v>406</v>
      </c>
      <c r="G3492" s="4" t="s">
        <v>1562</v>
      </c>
      <c r="H3492" s="12" t="n">
        <v>1</v>
      </c>
      <c r="I3492" s="4" t="s">
        <v>408</v>
      </c>
      <c r="J3492" s="4" t="s">
        <v>409</v>
      </c>
      <c r="K3492" s="13" t="n">
        <v>250</v>
      </c>
      <c r="L3492" s="6" t="n">
        <f aca="false">H3492*K3492</f>
        <v>250</v>
      </c>
      <c r="M3492" s="14" t="s">
        <v>410</v>
      </c>
    </row>
    <row r="3493" customFormat="false" ht="15" hidden="false" customHeight="false" outlineLevel="0" collapsed="false">
      <c r="A3493" s="4" t="s">
        <v>136</v>
      </c>
      <c r="B3493" s="5" t="s">
        <v>139</v>
      </c>
      <c r="C3493" s="5" t="s">
        <v>140</v>
      </c>
      <c r="D3493" s="4" t="s">
        <v>16</v>
      </c>
      <c r="E3493" s="4" t="s">
        <v>1563</v>
      </c>
      <c r="F3493" s="4" t="s">
        <v>406</v>
      </c>
      <c r="G3493" s="4" t="s">
        <v>1564</v>
      </c>
      <c r="H3493" s="12" t="n">
        <v>1</v>
      </c>
      <c r="I3493" s="4" t="s">
        <v>408</v>
      </c>
      <c r="J3493" s="4" t="s">
        <v>409</v>
      </c>
      <c r="K3493" s="13" t="n">
        <v>650</v>
      </c>
      <c r="L3493" s="6" t="n">
        <f aca="false">H3493*K3493</f>
        <v>650</v>
      </c>
      <c r="M3493" s="14" t="s">
        <v>410</v>
      </c>
    </row>
    <row r="3494" customFormat="false" ht="15" hidden="false" customHeight="false" outlineLevel="0" collapsed="false">
      <c r="A3494" s="4" t="s">
        <v>136</v>
      </c>
      <c r="B3494" s="5" t="s">
        <v>139</v>
      </c>
      <c r="C3494" s="5" t="s">
        <v>140</v>
      </c>
      <c r="D3494" s="4" t="s">
        <v>16</v>
      </c>
      <c r="E3494" s="4" t="s">
        <v>1565</v>
      </c>
      <c r="F3494" s="4" t="s">
        <v>406</v>
      </c>
      <c r="G3494" s="4" t="s">
        <v>1566</v>
      </c>
      <c r="H3494" s="12" t="n">
        <v>1</v>
      </c>
      <c r="I3494" s="4" t="s">
        <v>408</v>
      </c>
      <c r="J3494" s="4" t="s">
        <v>409</v>
      </c>
      <c r="K3494" s="13" t="n">
        <v>850</v>
      </c>
      <c r="L3494" s="6" t="n">
        <f aca="false">H3494*K3494</f>
        <v>850</v>
      </c>
      <c r="M3494" s="14" t="s">
        <v>410</v>
      </c>
    </row>
    <row r="3495" customFormat="false" ht="15" hidden="false" customHeight="false" outlineLevel="0" collapsed="false">
      <c r="A3495" s="4" t="s">
        <v>136</v>
      </c>
      <c r="B3495" s="5" t="s">
        <v>139</v>
      </c>
      <c r="C3495" s="5" t="s">
        <v>140</v>
      </c>
      <c r="D3495" s="4" t="s">
        <v>16</v>
      </c>
      <c r="E3495" s="4" t="s">
        <v>1567</v>
      </c>
      <c r="F3495" s="4" t="s">
        <v>406</v>
      </c>
      <c r="G3495" s="4" t="s">
        <v>1568</v>
      </c>
      <c r="H3495" s="12" t="n">
        <v>1</v>
      </c>
      <c r="I3495" s="4" t="s">
        <v>408</v>
      </c>
      <c r="J3495" s="4" t="s">
        <v>409</v>
      </c>
      <c r="K3495" s="13" t="n">
        <v>850</v>
      </c>
      <c r="L3495" s="6" t="n">
        <f aca="false">H3495*K3495</f>
        <v>850</v>
      </c>
      <c r="M3495" s="14" t="s">
        <v>410</v>
      </c>
    </row>
    <row r="3496" customFormat="false" ht="15" hidden="false" customHeight="false" outlineLevel="0" collapsed="false">
      <c r="A3496" s="4" t="s">
        <v>136</v>
      </c>
      <c r="B3496" s="5" t="s">
        <v>139</v>
      </c>
      <c r="C3496" s="5" t="s">
        <v>140</v>
      </c>
      <c r="D3496" s="4" t="s">
        <v>16</v>
      </c>
      <c r="E3496" s="4" t="s">
        <v>1569</v>
      </c>
      <c r="F3496" s="4" t="s">
        <v>406</v>
      </c>
      <c r="G3496" s="4" t="s">
        <v>1570</v>
      </c>
      <c r="H3496" s="12" t="n">
        <v>1</v>
      </c>
      <c r="I3496" s="4" t="s">
        <v>408</v>
      </c>
      <c r="J3496" s="4" t="s">
        <v>409</v>
      </c>
      <c r="K3496" s="13" t="n">
        <v>850</v>
      </c>
      <c r="L3496" s="6" t="n">
        <f aca="false">H3496*K3496</f>
        <v>850</v>
      </c>
      <c r="M3496" s="14" t="s">
        <v>410</v>
      </c>
    </row>
    <row r="3497" customFormat="false" ht="15" hidden="false" customHeight="false" outlineLevel="0" collapsed="false">
      <c r="A3497" s="4" t="s">
        <v>136</v>
      </c>
      <c r="B3497" s="5" t="s">
        <v>139</v>
      </c>
      <c r="C3497" s="5" t="s">
        <v>140</v>
      </c>
      <c r="D3497" s="4" t="s">
        <v>16</v>
      </c>
      <c r="E3497" s="4" t="s">
        <v>1571</v>
      </c>
      <c r="F3497" s="4" t="s">
        <v>406</v>
      </c>
      <c r="G3497" s="4" t="s">
        <v>1572</v>
      </c>
      <c r="H3497" s="12" t="n">
        <v>1</v>
      </c>
      <c r="I3497" s="4" t="s">
        <v>408</v>
      </c>
      <c r="J3497" s="4" t="s">
        <v>409</v>
      </c>
      <c r="K3497" s="13" t="n">
        <v>850</v>
      </c>
      <c r="L3497" s="6" t="n">
        <f aca="false">H3497*K3497</f>
        <v>850</v>
      </c>
      <c r="M3497" s="14" t="s">
        <v>410</v>
      </c>
    </row>
    <row r="3498" customFormat="false" ht="15" hidden="false" customHeight="false" outlineLevel="0" collapsed="false">
      <c r="A3498" s="4" t="s">
        <v>136</v>
      </c>
      <c r="B3498" s="5" t="s">
        <v>139</v>
      </c>
      <c r="C3498" s="5" t="s">
        <v>140</v>
      </c>
      <c r="D3498" s="4" t="s">
        <v>16</v>
      </c>
      <c r="E3498" s="4" t="s">
        <v>604</v>
      </c>
      <c r="F3498" s="4" t="s">
        <v>406</v>
      </c>
      <c r="G3498" s="4" t="s">
        <v>605</v>
      </c>
      <c r="H3498" s="12" t="n">
        <v>1</v>
      </c>
      <c r="I3498" s="4" t="s">
        <v>408</v>
      </c>
      <c r="J3498" s="4" t="s">
        <v>409</v>
      </c>
      <c r="K3498" s="13" t="n">
        <v>650</v>
      </c>
      <c r="L3498" s="6" t="n">
        <f aca="false">H3498*K3498</f>
        <v>650</v>
      </c>
      <c r="M3498" s="14" t="s">
        <v>410</v>
      </c>
    </row>
    <row r="3499" customFormat="false" ht="15" hidden="false" customHeight="false" outlineLevel="0" collapsed="false">
      <c r="A3499" s="4" t="s">
        <v>136</v>
      </c>
      <c r="B3499" s="5" t="s">
        <v>139</v>
      </c>
      <c r="C3499" s="5" t="s">
        <v>140</v>
      </c>
      <c r="D3499" s="4" t="s">
        <v>16</v>
      </c>
      <c r="E3499" s="4" t="s">
        <v>1573</v>
      </c>
      <c r="F3499" s="4" t="s">
        <v>406</v>
      </c>
      <c r="G3499" s="4" t="s">
        <v>1574</v>
      </c>
      <c r="H3499" s="12" t="n">
        <v>1</v>
      </c>
      <c r="I3499" s="4" t="s">
        <v>408</v>
      </c>
      <c r="J3499" s="4" t="s">
        <v>416</v>
      </c>
      <c r="K3499" s="13" t="n">
        <v>650</v>
      </c>
      <c r="L3499" s="6" t="n">
        <f aca="false">H3499*K3499</f>
        <v>650</v>
      </c>
      <c r="M3499" s="14" t="s">
        <v>410</v>
      </c>
    </row>
    <row r="3500" customFormat="false" ht="15" hidden="false" customHeight="false" outlineLevel="0" collapsed="false">
      <c r="A3500" s="4" t="s">
        <v>136</v>
      </c>
      <c r="B3500" s="5" t="s">
        <v>139</v>
      </c>
      <c r="C3500" s="5" t="s">
        <v>140</v>
      </c>
      <c r="D3500" s="4" t="s">
        <v>16</v>
      </c>
      <c r="E3500" s="4" t="s">
        <v>1575</v>
      </c>
      <c r="F3500" s="4" t="s">
        <v>406</v>
      </c>
      <c r="G3500" s="4" t="s">
        <v>1576</v>
      </c>
      <c r="H3500" s="12" t="n">
        <v>1</v>
      </c>
      <c r="I3500" s="4" t="s">
        <v>408</v>
      </c>
      <c r="J3500" s="4" t="s">
        <v>409</v>
      </c>
      <c r="K3500" s="13" t="n">
        <v>350</v>
      </c>
      <c r="L3500" s="6" t="n">
        <f aca="false">H3500*K3500</f>
        <v>350</v>
      </c>
      <c r="M3500" s="14" t="s">
        <v>410</v>
      </c>
    </row>
    <row r="3501" customFormat="false" ht="15" hidden="false" customHeight="false" outlineLevel="0" collapsed="false">
      <c r="A3501" s="4" t="s">
        <v>136</v>
      </c>
      <c r="B3501" s="5" t="s">
        <v>139</v>
      </c>
      <c r="C3501" s="5" t="s">
        <v>140</v>
      </c>
      <c r="D3501" s="4" t="s">
        <v>16</v>
      </c>
      <c r="E3501" s="4" t="s">
        <v>1577</v>
      </c>
      <c r="F3501" s="4" t="s">
        <v>406</v>
      </c>
      <c r="G3501" s="4" t="s">
        <v>1578</v>
      </c>
      <c r="H3501" s="12" t="n">
        <v>1</v>
      </c>
      <c r="I3501" s="4" t="s">
        <v>408</v>
      </c>
      <c r="J3501" s="4" t="s">
        <v>409</v>
      </c>
      <c r="K3501" s="13" t="n">
        <v>250</v>
      </c>
      <c r="L3501" s="6" t="n">
        <f aca="false">H3501*K3501</f>
        <v>250</v>
      </c>
      <c r="M3501" s="14" t="s">
        <v>410</v>
      </c>
    </row>
    <row r="3502" customFormat="false" ht="15" hidden="false" customHeight="false" outlineLevel="0" collapsed="false">
      <c r="A3502" s="4" t="s">
        <v>136</v>
      </c>
      <c r="B3502" s="5" t="s">
        <v>139</v>
      </c>
      <c r="C3502" s="5" t="s">
        <v>140</v>
      </c>
      <c r="D3502" s="4" t="s">
        <v>16</v>
      </c>
      <c r="E3502" s="4" t="s">
        <v>1579</v>
      </c>
      <c r="F3502" s="4" t="s">
        <v>406</v>
      </c>
      <c r="G3502" s="4" t="s">
        <v>1580</v>
      </c>
      <c r="H3502" s="12" t="n">
        <v>1</v>
      </c>
      <c r="I3502" s="4" t="s">
        <v>408</v>
      </c>
      <c r="J3502" s="4" t="s">
        <v>409</v>
      </c>
      <c r="K3502" s="13" t="n">
        <v>450</v>
      </c>
      <c r="L3502" s="6" t="n">
        <f aca="false">H3502*K3502</f>
        <v>450</v>
      </c>
      <c r="M3502" s="14" t="s">
        <v>410</v>
      </c>
    </row>
    <row r="3503" customFormat="false" ht="15" hidden="false" customHeight="false" outlineLevel="0" collapsed="false">
      <c r="A3503" s="4" t="s">
        <v>136</v>
      </c>
      <c r="B3503" s="5" t="s">
        <v>139</v>
      </c>
      <c r="C3503" s="5" t="s">
        <v>140</v>
      </c>
      <c r="D3503" s="4" t="s">
        <v>16</v>
      </c>
      <c r="E3503" s="4" t="s">
        <v>4275</v>
      </c>
      <c r="F3503" s="4" t="s">
        <v>406</v>
      </c>
      <c r="G3503" s="4" t="s">
        <v>4276</v>
      </c>
      <c r="H3503" s="12" t="n">
        <v>1</v>
      </c>
      <c r="I3503" s="4" t="s">
        <v>408</v>
      </c>
      <c r="J3503" s="4" t="s">
        <v>409</v>
      </c>
      <c r="K3503" s="13" t="n">
        <v>350</v>
      </c>
      <c r="L3503" s="6" t="n">
        <f aca="false">H3503*K3503</f>
        <v>350</v>
      </c>
      <c r="M3503" s="4" t="s">
        <v>371</v>
      </c>
    </row>
    <row r="3504" customFormat="false" ht="15" hidden="false" customHeight="false" outlineLevel="0" collapsed="false">
      <c r="A3504" s="4" t="s">
        <v>136</v>
      </c>
      <c r="B3504" s="5" t="s">
        <v>139</v>
      </c>
      <c r="C3504" s="5" t="s">
        <v>140</v>
      </c>
      <c r="D3504" s="4" t="s">
        <v>16</v>
      </c>
      <c r="E3504" s="4" t="s">
        <v>1583</v>
      </c>
      <c r="F3504" s="4" t="s">
        <v>406</v>
      </c>
      <c r="G3504" s="4" t="s">
        <v>1584</v>
      </c>
      <c r="H3504" s="12" t="n">
        <v>1</v>
      </c>
      <c r="I3504" s="4" t="s">
        <v>408</v>
      </c>
      <c r="J3504" s="4" t="s">
        <v>409</v>
      </c>
      <c r="K3504" s="13" t="n">
        <v>450</v>
      </c>
      <c r="L3504" s="6" t="n">
        <f aca="false">H3504*K3504</f>
        <v>450</v>
      </c>
      <c r="M3504" s="14" t="s">
        <v>410</v>
      </c>
    </row>
    <row r="3505" customFormat="false" ht="15" hidden="false" customHeight="false" outlineLevel="0" collapsed="false">
      <c r="A3505" s="4" t="s">
        <v>136</v>
      </c>
      <c r="B3505" s="5" t="s">
        <v>139</v>
      </c>
      <c r="C3505" s="5" t="s">
        <v>140</v>
      </c>
      <c r="D3505" s="4" t="s">
        <v>16</v>
      </c>
      <c r="E3505" s="4" t="s">
        <v>1585</v>
      </c>
      <c r="F3505" s="4" t="s">
        <v>406</v>
      </c>
      <c r="G3505" s="4" t="s">
        <v>1586</v>
      </c>
      <c r="H3505" s="12" t="n">
        <v>1</v>
      </c>
      <c r="I3505" s="4" t="s">
        <v>408</v>
      </c>
      <c r="J3505" s="4" t="s">
        <v>409</v>
      </c>
      <c r="K3505" s="13" t="n">
        <v>250</v>
      </c>
      <c r="L3505" s="6" t="n">
        <f aca="false">H3505*K3505</f>
        <v>250</v>
      </c>
      <c r="M3505" s="14" t="s">
        <v>410</v>
      </c>
    </row>
    <row r="3506" customFormat="false" ht="15" hidden="false" customHeight="false" outlineLevel="0" collapsed="false">
      <c r="A3506" s="4" t="s">
        <v>136</v>
      </c>
      <c r="B3506" s="5" t="s">
        <v>139</v>
      </c>
      <c r="C3506" s="5" t="s">
        <v>140</v>
      </c>
      <c r="D3506" s="4" t="s">
        <v>16</v>
      </c>
      <c r="E3506" s="4" t="s">
        <v>604</v>
      </c>
      <c r="F3506" s="4" t="s">
        <v>406</v>
      </c>
      <c r="G3506" s="4" t="s">
        <v>605</v>
      </c>
      <c r="H3506" s="12" t="n">
        <v>1</v>
      </c>
      <c r="I3506" s="4" t="s">
        <v>408</v>
      </c>
      <c r="J3506" s="4" t="s">
        <v>409</v>
      </c>
      <c r="K3506" s="13" t="n">
        <v>650</v>
      </c>
      <c r="L3506" s="6" t="n">
        <f aca="false">H3506*K3506</f>
        <v>650</v>
      </c>
      <c r="M3506" s="14" t="s">
        <v>410</v>
      </c>
    </row>
    <row r="3507" customFormat="false" ht="15" hidden="false" customHeight="false" outlineLevel="0" collapsed="false">
      <c r="A3507" s="4" t="s">
        <v>136</v>
      </c>
      <c r="B3507" s="5" t="s">
        <v>139</v>
      </c>
      <c r="C3507" s="5" t="s">
        <v>140</v>
      </c>
      <c r="D3507" s="4" t="s">
        <v>16</v>
      </c>
      <c r="E3507" s="4" t="s">
        <v>1587</v>
      </c>
      <c r="F3507" s="4" t="s">
        <v>406</v>
      </c>
      <c r="G3507" s="4" t="s">
        <v>1588</v>
      </c>
      <c r="H3507" s="12" t="n">
        <v>1</v>
      </c>
      <c r="I3507" s="4" t="s">
        <v>408</v>
      </c>
      <c r="J3507" s="4" t="s">
        <v>409</v>
      </c>
      <c r="K3507" s="13" t="n">
        <v>180</v>
      </c>
      <c r="L3507" s="6" t="n">
        <f aca="false">H3507*K3507</f>
        <v>180</v>
      </c>
      <c r="M3507" s="14" t="s">
        <v>410</v>
      </c>
    </row>
    <row r="3508" customFormat="false" ht="15" hidden="false" customHeight="false" outlineLevel="0" collapsed="false">
      <c r="A3508" s="4" t="s">
        <v>136</v>
      </c>
      <c r="B3508" s="5" t="s">
        <v>139</v>
      </c>
      <c r="C3508" s="5" t="s">
        <v>140</v>
      </c>
      <c r="D3508" s="4" t="s">
        <v>16</v>
      </c>
      <c r="E3508" s="4" t="s">
        <v>1589</v>
      </c>
      <c r="F3508" s="4" t="s">
        <v>488</v>
      </c>
      <c r="G3508" s="4" t="s">
        <v>1590</v>
      </c>
      <c r="H3508" s="12" t="n">
        <v>1</v>
      </c>
      <c r="I3508" s="4" t="s">
        <v>408</v>
      </c>
      <c r="J3508" s="4" t="s">
        <v>409</v>
      </c>
      <c r="K3508" s="13" t="n">
        <v>15</v>
      </c>
      <c r="L3508" s="6" t="n">
        <f aca="false">H3508*K3508</f>
        <v>15</v>
      </c>
      <c r="M3508" s="4" t="s">
        <v>371</v>
      </c>
    </row>
    <row r="3509" customFormat="false" ht="15" hidden="false" customHeight="false" outlineLevel="0" collapsed="false">
      <c r="A3509" s="4" t="s">
        <v>136</v>
      </c>
      <c r="B3509" s="5" t="s">
        <v>139</v>
      </c>
      <c r="C3509" s="5" t="s">
        <v>140</v>
      </c>
      <c r="D3509" s="4" t="s">
        <v>16</v>
      </c>
      <c r="E3509" s="4" t="s">
        <v>1591</v>
      </c>
      <c r="F3509" s="4" t="s">
        <v>488</v>
      </c>
      <c r="G3509" s="4" t="s">
        <v>1592</v>
      </c>
      <c r="H3509" s="12" t="n">
        <v>1</v>
      </c>
      <c r="I3509" s="4" t="s">
        <v>408</v>
      </c>
      <c r="J3509" s="4" t="s">
        <v>432</v>
      </c>
      <c r="K3509" s="13" t="n">
        <v>25</v>
      </c>
      <c r="L3509" s="6" t="n">
        <f aca="false">H3509*K3509</f>
        <v>25</v>
      </c>
      <c r="M3509" s="4" t="s">
        <v>371</v>
      </c>
    </row>
    <row r="3510" customFormat="false" ht="15" hidden="false" customHeight="false" outlineLevel="0" collapsed="false">
      <c r="A3510" s="4" t="s">
        <v>136</v>
      </c>
      <c r="B3510" s="5" t="s">
        <v>139</v>
      </c>
      <c r="C3510" s="5" t="s">
        <v>140</v>
      </c>
      <c r="D3510" s="4" t="s">
        <v>16</v>
      </c>
      <c r="E3510" s="4" t="s">
        <v>1593</v>
      </c>
      <c r="F3510" s="4" t="s">
        <v>488</v>
      </c>
      <c r="G3510" s="4" t="s">
        <v>1594</v>
      </c>
      <c r="H3510" s="12" t="n">
        <v>1</v>
      </c>
      <c r="I3510" s="4" t="s">
        <v>408</v>
      </c>
      <c r="J3510" s="4" t="s">
        <v>432</v>
      </c>
      <c r="K3510" s="13" t="n">
        <v>8</v>
      </c>
      <c r="L3510" s="6" t="n">
        <f aca="false">H3510*K3510</f>
        <v>8</v>
      </c>
      <c r="M3510" s="4" t="s">
        <v>371</v>
      </c>
    </row>
    <row r="3511" customFormat="false" ht="15" hidden="false" customHeight="false" outlineLevel="0" collapsed="false">
      <c r="A3511" s="4" t="s">
        <v>136</v>
      </c>
      <c r="B3511" s="5" t="s">
        <v>139</v>
      </c>
      <c r="C3511" s="5" t="s">
        <v>140</v>
      </c>
      <c r="D3511" s="4" t="s">
        <v>16</v>
      </c>
      <c r="E3511" s="4" t="s">
        <v>1595</v>
      </c>
      <c r="F3511" s="4" t="s">
        <v>488</v>
      </c>
      <c r="G3511" s="4" t="s">
        <v>1596</v>
      </c>
      <c r="H3511" s="12" t="n">
        <v>1</v>
      </c>
      <c r="I3511" s="4" t="s">
        <v>408</v>
      </c>
      <c r="J3511" s="4" t="s">
        <v>409</v>
      </c>
      <c r="K3511" s="13" t="n">
        <v>55</v>
      </c>
      <c r="L3511" s="6" t="n">
        <f aca="false">H3511*K3511</f>
        <v>55</v>
      </c>
      <c r="M3511" s="4" t="s">
        <v>371</v>
      </c>
    </row>
    <row r="3512" customFormat="false" ht="15" hidden="false" customHeight="false" outlineLevel="0" collapsed="false">
      <c r="A3512" s="4" t="s">
        <v>136</v>
      </c>
      <c r="B3512" s="5" t="s">
        <v>139</v>
      </c>
      <c r="C3512" s="5" t="s">
        <v>140</v>
      </c>
      <c r="D3512" s="4" t="s">
        <v>16</v>
      </c>
      <c r="E3512" s="4" t="s">
        <v>1597</v>
      </c>
      <c r="F3512" s="4" t="s">
        <v>488</v>
      </c>
      <c r="G3512" s="4" t="s">
        <v>1598</v>
      </c>
      <c r="H3512" s="12" t="n">
        <v>1</v>
      </c>
      <c r="I3512" s="4" t="s">
        <v>408</v>
      </c>
      <c r="J3512" s="4" t="s">
        <v>432</v>
      </c>
      <c r="K3512" s="13" t="n">
        <v>9</v>
      </c>
      <c r="L3512" s="6" t="n">
        <f aca="false">H3512*K3512</f>
        <v>9</v>
      </c>
      <c r="M3512" s="4" t="s">
        <v>371</v>
      </c>
    </row>
    <row r="3513" customFormat="false" ht="15" hidden="false" customHeight="false" outlineLevel="0" collapsed="false">
      <c r="A3513" s="4" t="s">
        <v>136</v>
      </c>
      <c r="B3513" s="5" t="s">
        <v>139</v>
      </c>
      <c r="C3513" s="5" t="s">
        <v>140</v>
      </c>
      <c r="D3513" s="4" t="s">
        <v>16</v>
      </c>
      <c r="E3513" s="4" t="s">
        <v>1599</v>
      </c>
      <c r="F3513" s="4" t="s">
        <v>488</v>
      </c>
      <c r="G3513" s="4" t="s">
        <v>1600</v>
      </c>
      <c r="H3513" s="12" t="n">
        <v>1</v>
      </c>
      <c r="I3513" s="4" t="s">
        <v>408</v>
      </c>
      <c r="J3513" s="4" t="s">
        <v>490</v>
      </c>
      <c r="K3513" s="13" t="n">
        <v>2</v>
      </c>
      <c r="L3513" s="6" t="n">
        <f aca="false">H3513*K3513</f>
        <v>2</v>
      </c>
      <c r="M3513" s="4" t="s">
        <v>371</v>
      </c>
    </row>
    <row r="3514" customFormat="false" ht="15" hidden="false" customHeight="false" outlineLevel="0" collapsed="false">
      <c r="A3514" s="4" t="s">
        <v>136</v>
      </c>
      <c r="B3514" s="5" t="s">
        <v>141</v>
      </c>
      <c r="C3514" s="5" t="s">
        <v>142</v>
      </c>
      <c r="D3514" s="4" t="s">
        <v>16</v>
      </c>
      <c r="E3514" s="4" t="s">
        <v>4277</v>
      </c>
      <c r="F3514" s="4" t="s">
        <v>406</v>
      </c>
      <c r="G3514" s="4" t="s">
        <v>4278</v>
      </c>
      <c r="H3514" s="12" t="n">
        <v>1</v>
      </c>
      <c r="I3514" s="4" t="s">
        <v>408</v>
      </c>
      <c r="J3514" s="4" t="s">
        <v>409</v>
      </c>
      <c r="K3514" s="13" t="n">
        <v>120</v>
      </c>
      <c r="L3514" s="6" t="n">
        <f aca="false">H3514*K3514</f>
        <v>120</v>
      </c>
      <c r="M3514" s="14" t="s">
        <v>410</v>
      </c>
    </row>
    <row r="3515" customFormat="false" ht="15" hidden="false" customHeight="false" outlineLevel="0" collapsed="false">
      <c r="A3515" s="4" t="s">
        <v>136</v>
      </c>
      <c r="B3515" s="5" t="s">
        <v>141</v>
      </c>
      <c r="C3515" s="5" t="s">
        <v>142</v>
      </c>
      <c r="D3515" s="4" t="s">
        <v>16</v>
      </c>
      <c r="E3515" s="4" t="s">
        <v>2217</v>
      </c>
      <c r="F3515" s="4" t="s">
        <v>406</v>
      </c>
      <c r="G3515" s="4" t="s">
        <v>2218</v>
      </c>
      <c r="H3515" s="12" t="n">
        <v>1</v>
      </c>
      <c r="I3515" s="4" t="s">
        <v>408</v>
      </c>
      <c r="J3515" s="4" t="s">
        <v>409</v>
      </c>
      <c r="K3515" s="13" t="n">
        <v>4500</v>
      </c>
      <c r="L3515" s="6" t="n">
        <f aca="false">H3515*K3515</f>
        <v>4500</v>
      </c>
      <c r="M3515" s="14" t="s">
        <v>410</v>
      </c>
    </row>
    <row r="3516" customFormat="false" ht="15" hidden="false" customHeight="false" outlineLevel="0" collapsed="false">
      <c r="A3516" s="4" t="s">
        <v>136</v>
      </c>
      <c r="B3516" s="5" t="s">
        <v>141</v>
      </c>
      <c r="C3516" s="5" t="s">
        <v>142</v>
      </c>
      <c r="D3516" s="4" t="s">
        <v>16</v>
      </c>
      <c r="E3516" s="4" t="s">
        <v>4279</v>
      </c>
      <c r="F3516" s="4" t="s">
        <v>406</v>
      </c>
      <c r="G3516" s="4" t="s">
        <v>4280</v>
      </c>
      <c r="H3516" s="12" t="n">
        <v>1</v>
      </c>
      <c r="I3516" s="4" t="s">
        <v>408</v>
      </c>
      <c r="J3516" s="4" t="s">
        <v>409</v>
      </c>
      <c r="K3516" s="13" t="n">
        <v>250</v>
      </c>
      <c r="L3516" s="6" t="n">
        <f aca="false">H3516*K3516</f>
        <v>250</v>
      </c>
      <c r="M3516" s="14" t="s">
        <v>410</v>
      </c>
    </row>
    <row r="3517" customFormat="false" ht="15" hidden="false" customHeight="false" outlineLevel="0" collapsed="false">
      <c r="A3517" s="4" t="s">
        <v>136</v>
      </c>
      <c r="B3517" s="5" t="s">
        <v>141</v>
      </c>
      <c r="C3517" s="5" t="s">
        <v>142</v>
      </c>
      <c r="D3517" s="4" t="s">
        <v>16</v>
      </c>
      <c r="E3517" s="4" t="s">
        <v>1548</v>
      </c>
      <c r="F3517" s="4" t="s">
        <v>406</v>
      </c>
      <c r="G3517" s="4" t="s">
        <v>1549</v>
      </c>
      <c r="H3517" s="12" t="n">
        <v>1</v>
      </c>
      <c r="I3517" s="4" t="s">
        <v>408</v>
      </c>
      <c r="J3517" s="4" t="s">
        <v>409</v>
      </c>
      <c r="K3517" s="13" t="n">
        <v>350</v>
      </c>
      <c r="L3517" s="6" t="n">
        <f aca="false">H3517*K3517</f>
        <v>350</v>
      </c>
      <c r="M3517" s="14" t="s">
        <v>410</v>
      </c>
    </row>
    <row r="3518" customFormat="false" ht="15" hidden="false" customHeight="false" outlineLevel="0" collapsed="false">
      <c r="A3518" s="4" t="s">
        <v>136</v>
      </c>
      <c r="B3518" s="5" t="s">
        <v>141</v>
      </c>
      <c r="C3518" s="5" t="s">
        <v>142</v>
      </c>
      <c r="D3518" s="4" t="s">
        <v>16</v>
      </c>
      <c r="E3518" s="4" t="s">
        <v>4281</v>
      </c>
      <c r="F3518" s="4" t="s">
        <v>406</v>
      </c>
      <c r="G3518" s="4" t="s">
        <v>4282</v>
      </c>
      <c r="H3518" s="12" t="n">
        <v>1</v>
      </c>
      <c r="I3518" s="4" t="s">
        <v>408</v>
      </c>
      <c r="J3518" s="4" t="s">
        <v>429</v>
      </c>
      <c r="K3518" s="13" t="n">
        <v>180</v>
      </c>
      <c r="L3518" s="6" t="n">
        <f aca="false">H3518*K3518</f>
        <v>180</v>
      </c>
      <c r="M3518" s="14" t="s">
        <v>410</v>
      </c>
    </row>
    <row r="3519" customFormat="false" ht="15" hidden="false" customHeight="false" outlineLevel="0" collapsed="false">
      <c r="A3519" s="4" t="s">
        <v>136</v>
      </c>
      <c r="B3519" s="5" t="s">
        <v>141</v>
      </c>
      <c r="C3519" s="5" t="s">
        <v>142</v>
      </c>
      <c r="D3519" s="4" t="s">
        <v>16</v>
      </c>
      <c r="E3519" s="4" t="s">
        <v>2540</v>
      </c>
      <c r="F3519" s="4" t="s">
        <v>406</v>
      </c>
      <c r="G3519" s="4" t="s">
        <v>1547</v>
      </c>
      <c r="H3519" s="12" t="n">
        <v>1</v>
      </c>
      <c r="I3519" s="4" t="s">
        <v>408</v>
      </c>
      <c r="J3519" s="4" t="s">
        <v>409</v>
      </c>
      <c r="K3519" s="13" t="n">
        <v>650</v>
      </c>
      <c r="L3519" s="6" t="n">
        <f aca="false">H3519*K3519</f>
        <v>650</v>
      </c>
      <c r="M3519" s="14" t="s">
        <v>410</v>
      </c>
    </row>
    <row r="3520" customFormat="false" ht="15" hidden="false" customHeight="false" outlineLevel="0" collapsed="false">
      <c r="A3520" s="4" t="s">
        <v>136</v>
      </c>
      <c r="B3520" s="5" t="s">
        <v>141</v>
      </c>
      <c r="C3520" s="5" t="s">
        <v>142</v>
      </c>
      <c r="D3520" s="4" t="s">
        <v>16</v>
      </c>
      <c r="E3520" s="4" t="s">
        <v>4283</v>
      </c>
      <c r="F3520" s="4" t="s">
        <v>406</v>
      </c>
      <c r="G3520" s="4" t="s">
        <v>1875</v>
      </c>
      <c r="H3520" s="12" t="n">
        <v>1</v>
      </c>
      <c r="I3520" s="4" t="s">
        <v>408</v>
      </c>
      <c r="J3520" s="4" t="s">
        <v>409</v>
      </c>
      <c r="K3520" s="13" t="n">
        <v>350</v>
      </c>
      <c r="L3520" s="6" t="n">
        <f aca="false">H3520*K3520</f>
        <v>350</v>
      </c>
      <c r="M3520" s="14" t="s">
        <v>410</v>
      </c>
    </row>
    <row r="3521" customFormat="false" ht="15" hidden="false" customHeight="false" outlineLevel="0" collapsed="false">
      <c r="A3521" s="4" t="s">
        <v>136</v>
      </c>
      <c r="B3521" s="5" t="s">
        <v>141</v>
      </c>
      <c r="C3521" s="5" t="s">
        <v>142</v>
      </c>
      <c r="D3521" s="4" t="s">
        <v>16</v>
      </c>
      <c r="E3521" s="4" t="s">
        <v>4284</v>
      </c>
      <c r="F3521" s="4" t="s">
        <v>406</v>
      </c>
      <c r="G3521" s="4" t="s">
        <v>4285</v>
      </c>
      <c r="H3521" s="12" t="n">
        <v>1</v>
      </c>
      <c r="I3521" s="4" t="s">
        <v>408</v>
      </c>
      <c r="J3521" s="4" t="s">
        <v>409</v>
      </c>
      <c r="K3521" s="13" t="n">
        <v>350</v>
      </c>
      <c r="L3521" s="6" t="n">
        <f aca="false">H3521*K3521</f>
        <v>350</v>
      </c>
      <c r="M3521" s="14" t="s">
        <v>410</v>
      </c>
    </row>
    <row r="3522" customFormat="false" ht="15" hidden="false" customHeight="false" outlineLevel="0" collapsed="false">
      <c r="A3522" s="4" t="s">
        <v>136</v>
      </c>
      <c r="B3522" s="5" t="s">
        <v>141</v>
      </c>
      <c r="C3522" s="5" t="s">
        <v>142</v>
      </c>
      <c r="D3522" s="4" t="s">
        <v>16</v>
      </c>
      <c r="E3522" s="4" t="s">
        <v>3248</v>
      </c>
      <c r="F3522" s="4" t="s">
        <v>406</v>
      </c>
      <c r="G3522" s="4" t="s">
        <v>3249</v>
      </c>
      <c r="H3522" s="12" t="n">
        <v>1</v>
      </c>
      <c r="I3522" s="4" t="s">
        <v>408</v>
      </c>
      <c r="J3522" s="4" t="s">
        <v>416</v>
      </c>
      <c r="K3522" s="13" t="n">
        <v>350</v>
      </c>
      <c r="L3522" s="6" t="n">
        <f aca="false">H3522*K3522</f>
        <v>350</v>
      </c>
      <c r="M3522" s="14" t="s">
        <v>410</v>
      </c>
    </row>
    <row r="3523" customFormat="false" ht="15" hidden="false" customHeight="false" outlineLevel="0" collapsed="false">
      <c r="A3523" s="4" t="s">
        <v>136</v>
      </c>
      <c r="B3523" s="5" t="s">
        <v>141</v>
      </c>
      <c r="C3523" s="5" t="s">
        <v>142</v>
      </c>
      <c r="D3523" s="4" t="s">
        <v>16</v>
      </c>
      <c r="E3523" s="4" t="s">
        <v>4286</v>
      </c>
      <c r="F3523" s="4" t="s">
        <v>406</v>
      </c>
      <c r="G3523" s="4" t="s">
        <v>4287</v>
      </c>
      <c r="H3523" s="12" t="n">
        <v>1</v>
      </c>
      <c r="I3523" s="4" t="s">
        <v>408</v>
      </c>
      <c r="J3523" s="4" t="s">
        <v>409</v>
      </c>
      <c r="K3523" s="13" t="n">
        <v>250</v>
      </c>
      <c r="L3523" s="6" t="n">
        <f aca="false">H3523*K3523</f>
        <v>250</v>
      </c>
      <c r="M3523" s="14" t="s">
        <v>410</v>
      </c>
    </row>
    <row r="3524" customFormat="false" ht="15" hidden="false" customHeight="false" outlineLevel="0" collapsed="false">
      <c r="A3524" s="4" t="s">
        <v>136</v>
      </c>
      <c r="B3524" s="5" t="s">
        <v>141</v>
      </c>
      <c r="C3524" s="5" t="s">
        <v>142</v>
      </c>
      <c r="D3524" s="4" t="s">
        <v>16</v>
      </c>
      <c r="E3524" s="4" t="s">
        <v>4288</v>
      </c>
      <c r="F3524" s="4" t="s">
        <v>406</v>
      </c>
      <c r="G3524" s="4" t="s">
        <v>4289</v>
      </c>
      <c r="H3524" s="12" t="n">
        <v>1</v>
      </c>
      <c r="I3524" s="4" t="s">
        <v>408</v>
      </c>
      <c r="J3524" s="4" t="s">
        <v>409</v>
      </c>
      <c r="K3524" s="13" t="n">
        <v>80</v>
      </c>
      <c r="L3524" s="6" t="n">
        <f aca="false">H3524*K3524</f>
        <v>80</v>
      </c>
      <c r="M3524" s="14" t="s">
        <v>410</v>
      </c>
    </row>
    <row r="3525" customFormat="false" ht="15" hidden="false" customHeight="false" outlineLevel="0" collapsed="false">
      <c r="A3525" s="4" t="s">
        <v>136</v>
      </c>
      <c r="B3525" s="5" t="s">
        <v>141</v>
      </c>
      <c r="C3525" s="5" t="s">
        <v>142</v>
      </c>
      <c r="D3525" s="4" t="s">
        <v>16</v>
      </c>
      <c r="E3525" s="4" t="s">
        <v>4290</v>
      </c>
      <c r="F3525" s="4" t="s">
        <v>406</v>
      </c>
      <c r="G3525" s="4" t="s">
        <v>4291</v>
      </c>
      <c r="H3525" s="12" t="n">
        <v>1</v>
      </c>
      <c r="I3525" s="4" t="s">
        <v>408</v>
      </c>
      <c r="J3525" s="4" t="s">
        <v>416</v>
      </c>
      <c r="K3525" s="13" t="n">
        <v>650</v>
      </c>
      <c r="L3525" s="6" t="n">
        <f aca="false">H3525*K3525</f>
        <v>650</v>
      </c>
      <c r="M3525" s="14" t="s">
        <v>410</v>
      </c>
    </row>
    <row r="3526" customFormat="false" ht="15" hidden="false" customHeight="false" outlineLevel="0" collapsed="false">
      <c r="A3526" s="4" t="s">
        <v>136</v>
      </c>
      <c r="B3526" s="5" t="s">
        <v>141</v>
      </c>
      <c r="C3526" s="5" t="s">
        <v>142</v>
      </c>
      <c r="D3526" s="4" t="s">
        <v>16</v>
      </c>
      <c r="E3526" s="4" t="s">
        <v>4292</v>
      </c>
      <c r="F3526" s="4" t="s">
        <v>406</v>
      </c>
      <c r="G3526" s="4" t="s">
        <v>4293</v>
      </c>
      <c r="H3526" s="12" t="n">
        <v>1</v>
      </c>
      <c r="I3526" s="4" t="s">
        <v>408</v>
      </c>
      <c r="J3526" s="4" t="s">
        <v>409</v>
      </c>
      <c r="K3526" s="13" t="n">
        <v>180</v>
      </c>
      <c r="L3526" s="6" t="n">
        <f aca="false">H3526*K3526</f>
        <v>180</v>
      </c>
      <c r="M3526" s="14" t="s">
        <v>410</v>
      </c>
    </row>
    <row r="3527" customFormat="false" ht="15" hidden="false" customHeight="false" outlineLevel="0" collapsed="false">
      <c r="A3527" s="4" t="s">
        <v>136</v>
      </c>
      <c r="B3527" s="5" t="s">
        <v>141</v>
      </c>
      <c r="C3527" s="5" t="s">
        <v>142</v>
      </c>
      <c r="D3527" s="4" t="s">
        <v>16</v>
      </c>
      <c r="E3527" s="4" t="s">
        <v>4294</v>
      </c>
      <c r="F3527" s="4" t="s">
        <v>406</v>
      </c>
      <c r="G3527" s="4" t="s">
        <v>4295</v>
      </c>
      <c r="H3527" s="12" t="n">
        <v>1</v>
      </c>
      <c r="I3527" s="4" t="s">
        <v>408</v>
      </c>
      <c r="J3527" s="4" t="s">
        <v>409</v>
      </c>
      <c r="K3527" s="13" t="n">
        <v>350</v>
      </c>
      <c r="L3527" s="6" t="n">
        <f aca="false">H3527*K3527</f>
        <v>350</v>
      </c>
      <c r="M3527" s="14" t="s">
        <v>410</v>
      </c>
    </row>
    <row r="3528" customFormat="false" ht="15" hidden="false" customHeight="false" outlineLevel="0" collapsed="false">
      <c r="A3528" s="4" t="s">
        <v>136</v>
      </c>
      <c r="B3528" s="5" t="s">
        <v>141</v>
      </c>
      <c r="C3528" s="5" t="s">
        <v>142</v>
      </c>
      <c r="D3528" s="4" t="s">
        <v>16</v>
      </c>
      <c r="E3528" s="4" t="s">
        <v>4296</v>
      </c>
      <c r="F3528" s="4" t="s">
        <v>406</v>
      </c>
      <c r="G3528" s="4" t="s">
        <v>4297</v>
      </c>
      <c r="H3528" s="12" t="n">
        <v>1</v>
      </c>
      <c r="I3528" s="4" t="s">
        <v>408</v>
      </c>
      <c r="J3528" s="4" t="s">
        <v>409</v>
      </c>
      <c r="K3528" s="13" t="n">
        <v>350</v>
      </c>
      <c r="L3528" s="6" t="n">
        <f aca="false">H3528*K3528</f>
        <v>350</v>
      </c>
      <c r="M3528" s="14" t="s">
        <v>410</v>
      </c>
    </row>
    <row r="3529" customFormat="false" ht="15" hidden="false" customHeight="false" outlineLevel="0" collapsed="false">
      <c r="A3529" s="4" t="s">
        <v>136</v>
      </c>
      <c r="B3529" s="5" t="s">
        <v>141</v>
      </c>
      <c r="C3529" s="5" t="s">
        <v>142</v>
      </c>
      <c r="D3529" s="4" t="s">
        <v>16</v>
      </c>
      <c r="E3529" s="4" t="s">
        <v>4298</v>
      </c>
      <c r="F3529" s="4" t="s">
        <v>406</v>
      </c>
      <c r="G3529" s="4" t="s">
        <v>4299</v>
      </c>
      <c r="H3529" s="12" t="n">
        <v>1</v>
      </c>
      <c r="I3529" s="4" t="s">
        <v>408</v>
      </c>
      <c r="J3529" s="4" t="s">
        <v>409</v>
      </c>
      <c r="K3529" s="13" t="n">
        <v>180</v>
      </c>
      <c r="L3529" s="6" t="n">
        <f aca="false">H3529*K3529</f>
        <v>180</v>
      </c>
      <c r="M3529" s="14" t="s">
        <v>410</v>
      </c>
    </row>
    <row r="3530" customFormat="false" ht="15" hidden="false" customHeight="false" outlineLevel="0" collapsed="false">
      <c r="A3530" s="4" t="s">
        <v>136</v>
      </c>
      <c r="B3530" s="5" t="s">
        <v>141</v>
      </c>
      <c r="C3530" s="5" t="s">
        <v>142</v>
      </c>
      <c r="D3530" s="4" t="s">
        <v>16</v>
      </c>
      <c r="E3530" s="4" t="s">
        <v>1194</v>
      </c>
      <c r="F3530" s="4" t="s">
        <v>406</v>
      </c>
      <c r="G3530" s="4" t="s">
        <v>1195</v>
      </c>
      <c r="H3530" s="12" t="n">
        <v>1</v>
      </c>
      <c r="I3530" s="4" t="s">
        <v>408</v>
      </c>
      <c r="J3530" s="4" t="s">
        <v>409</v>
      </c>
      <c r="K3530" s="13" t="n">
        <v>450</v>
      </c>
      <c r="L3530" s="6" t="n">
        <f aca="false">H3530*K3530</f>
        <v>450</v>
      </c>
      <c r="M3530" s="14" t="s">
        <v>410</v>
      </c>
    </row>
    <row r="3531" customFormat="false" ht="15" hidden="false" customHeight="false" outlineLevel="0" collapsed="false">
      <c r="A3531" s="4" t="s">
        <v>136</v>
      </c>
      <c r="B3531" s="5" t="s">
        <v>141</v>
      </c>
      <c r="C3531" s="5" t="s">
        <v>142</v>
      </c>
      <c r="D3531" s="4" t="s">
        <v>16</v>
      </c>
      <c r="E3531" s="4" t="s">
        <v>4300</v>
      </c>
      <c r="F3531" s="4" t="s">
        <v>406</v>
      </c>
      <c r="G3531" s="4" t="s">
        <v>4301</v>
      </c>
      <c r="H3531" s="12" t="n">
        <v>1</v>
      </c>
      <c r="I3531" s="4" t="s">
        <v>408</v>
      </c>
      <c r="J3531" s="4" t="s">
        <v>409</v>
      </c>
      <c r="K3531" s="13" t="n">
        <v>180</v>
      </c>
      <c r="L3531" s="6" t="n">
        <f aca="false">H3531*K3531</f>
        <v>180</v>
      </c>
      <c r="M3531" s="14" t="s">
        <v>410</v>
      </c>
    </row>
    <row r="3532" customFormat="false" ht="15" hidden="false" customHeight="false" outlineLevel="0" collapsed="false">
      <c r="A3532" s="4" t="s">
        <v>136</v>
      </c>
      <c r="B3532" s="5" t="s">
        <v>141</v>
      </c>
      <c r="C3532" s="5" t="s">
        <v>142</v>
      </c>
      <c r="D3532" s="4" t="s">
        <v>16</v>
      </c>
      <c r="E3532" s="4" t="s">
        <v>4302</v>
      </c>
      <c r="F3532" s="4" t="s">
        <v>406</v>
      </c>
      <c r="G3532" s="4" t="s">
        <v>4303</v>
      </c>
      <c r="H3532" s="12" t="n">
        <v>1</v>
      </c>
      <c r="I3532" s="4" t="s">
        <v>408</v>
      </c>
      <c r="J3532" s="4" t="s">
        <v>409</v>
      </c>
      <c r="K3532" s="13" t="n">
        <v>250</v>
      </c>
      <c r="L3532" s="6" t="n">
        <f aca="false">H3532*K3532</f>
        <v>250</v>
      </c>
      <c r="M3532" s="14" t="s">
        <v>410</v>
      </c>
    </row>
    <row r="3533" customFormat="false" ht="15" hidden="false" customHeight="false" outlineLevel="0" collapsed="false">
      <c r="A3533" s="4" t="s">
        <v>136</v>
      </c>
      <c r="B3533" s="5" t="s">
        <v>141</v>
      </c>
      <c r="C3533" s="5" t="s">
        <v>142</v>
      </c>
      <c r="D3533" s="4" t="s">
        <v>16</v>
      </c>
      <c r="E3533" s="4" t="s">
        <v>4304</v>
      </c>
      <c r="F3533" s="4" t="s">
        <v>406</v>
      </c>
      <c r="G3533" s="4" t="s">
        <v>4305</v>
      </c>
      <c r="H3533" s="12" t="n">
        <v>1</v>
      </c>
      <c r="I3533" s="4" t="s">
        <v>408</v>
      </c>
      <c r="J3533" s="4" t="s">
        <v>409</v>
      </c>
      <c r="K3533" s="13" t="n">
        <v>450</v>
      </c>
      <c r="L3533" s="6" t="n">
        <f aca="false">H3533*K3533</f>
        <v>450</v>
      </c>
      <c r="M3533" s="14" t="s">
        <v>410</v>
      </c>
    </row>
    <row r="3534" customFormat="false" ht="15" hidden="false" customHeight="false" outlineLevel="0" collapsed="false">
      <c r="A3534" s="4" t="s">
        <v>136</v>
      </c>
      <c r="B3534" s="5" t="s">
        <v>141</v>
      </c>
      <c r="C3534" s="5" t="s">
        <v>142</v>
      </c>
      <c r="D3534" s="4" t="s">
        <v>16</v>
      </c>
      <c r="E3534" s="4" t="s">
        <v>4306</v>
      </c>
      <c r="F3534" s="4" t="s">
        <v>406</v>
      </c>
      <c r="G3534" s="4" t="s">
        <v>4307</v>
      </c>
      <c r="H3534" s="12" t="n">
        <v>1</v>
      </c>
      <c r="I3534" s="4" t="s">
        <v>408</v>
      </c>
      <c r="J3534" s="4" t="s">
        <v>409</v>
      </c>
      <c r="K3534" s="13" t="n">
        <v>850</v>
      </c>
      <c r="L3534" s="6" t="n">
        <f aca="false">H3534*K3534</f>
        <v>850</v>
      </c>
      <c r="M3534" s="14" t="s">
        <v>410</v>
      </c>
    </row>
    <row r="3535" customFormat="false" ht="15" hidden="false" customHeight="false" outlineLevel="0" collapsed="false">
      <c r="A3535" s="4" t="s">
        <v>136</v>
      </c>
      <c r="B3535" s="5" t="s">
        <v>141</v>
      </c>
      <c r="C3535" s="5" t="s">
        <v>142</v>
      </c>
      <c r="D3535" s="4" t="s">
        <v>16</v>
      </c>
      <c r="E3535" s="4" t="s">
        <v>4308</v>
      </c>
      <c r="F3535" s="4" t="s">
        <v>406</v>
      </c>
      <c r="G3535" s="4" t="s">
        <v>4309</v>
      </c>
      <c r="H3535" s="12" t="n">
        <v>1</v>
      </c>
      <c r="I3535" s="4" t="s">
        <v>408</v>
      </c>
      <c r="J3535" s="4" t="s">
        <v>409</v>
      </c>
      <c r="K3535" s="13" t="n">
        <v>250</v>
      </c>
      <c r="L3535" s="6" t="n">
        <f aca="false">H3535*K3535</f>
        <v>250</v>
      </c>
      <c r="M3535" s="14" t="s">
        <v>410</v>
      </c>
    </row>
    <row r="3536" customFormat="false" ht="15" hidden="false" customHeight="false" outlineLevel="0" collapsed="false">
      <c r="A3536" s="4" t="s">
        <v>136</v>
      </c>
      <c r="B3536" s="5" t="s">
        <v>141</v>
      </c>
      <c r="C3536" s="5" t="s">
        <v>142</v>
      </c>
      <c r="D3536" s="4" t="s">
        <v>16</v>
      </c>
      <c r="E3536" s="4" t="s">
        <v>4310</v>
      </c>
      <c r="F3536" s="4" t="s">
        <v>406</v>
      </c>
      <c r="G3536" s="4" t="s">
        <v>4311</v>
      </c>
      <c r="H3536" s="12" t="n">
        <v>1</v>
      </c>
      <c r="I3536" s="4" t="s">
        <v>408</v>
      </c>
      <c r="J3536" s="4" t="s">
        <v>416</v>
      </c>
      <c r="K3536" s="13" t="n">
        <v>18000</v>
      </c>
      <c r="L3536" s="6" t="n">
        <f aca="false">H3536*K3536</f>
        <v>18000</v>
      </c>
      <c r="M3536" s="14" t="s">
        <v>410</v>
      </c>
    </row>
    <row r="3537" customFormat="false" ht="15" hidden="false" customHeight="false" outlineLevel="0" collapsed="false">
      <c r="A3537" s="4" t="s">
        <v>136</v>
      </c>
      <c r="B3537" s="5" t="s">
        <v>141</v>
      </c>
      <c r="C3537" s="5" t="s">
        <v>142</v>
      </c>
      <c r="D3537" s="4" t="s">
        <v>16</v>
      </c>
      <c r="E3537" s="4" t="s">
        <v>4312</v>
      </c>
      <c r="F3537" s="4" t="s">
        <v>470</v>
      </c>
      <c r="G3537" s="4" t="s">
        <v>4313</v>
      </c>
      <c r="H3537" s="12" t="n">
        <v>1</v>
      </c>
      <c r="I3537" s="4" t="s">
        <v>408</v>
      </c>
      <c r="J3537" s="4" t="s">
        <v>416</v>
      </c>
      <c r="K3537" s="13" t="n">
        <v>45000</v>
      </c>
      <c r="L3537" s="6" t="n">
        <f aca="false">H3537*K3537</f>
        <v>45000</v>
      </c>
      <c r="M3537" s="14" t="s">
        <v>410</v>
      </c>
    </row>
    <row r="3538" customFormat="false" ht="15" hidden="false" customHeight="false" outlineLevel="0" collapsed="false">
      <c r="A3538" s="4" t="s">
        <v>136</v>
      </c>
      <c r="B3538" s="5" t="s">
        <v>141</v>
      </c>
      <c r="C3538" s="5" t="s">
        <v>142</v>
      </c>
      <c r="D3538" s="4" t="s">
        <v>16</v>
      </c>
      <c r="E3538" s="4" t="s">
        <v>1060</v>
      </c>
      <c r="F3538" s="4" t="s">
        <v>470</v>
      </c>
      <c r="G3538" s="4" t="s">
        <v>1061</v>
      </c>
      <c r="H3538" s="12" t="n">
        <v>1</v>
      </c>
      <c r="I3538" s="4" t="s">
        <v>408</v>
      </c>
      <c r="J3538" s="4" t="s">
        <v>409</v>
      </c>
      <c r="K3538" s="13" t="n">
        <v>45000</v>
      </c>
      <c r="L3538" s="6" t="n">
        <f aca="false">H3538*K3538</f>
        <v>45000</v>
      </c>
      <c r="M3538" s="14" t="s">
        <v>410</v>
      </c>
    </row>
    <row r="3539" customFormat="false" ht="15" hidden="false" customHeight="false" outlineLevel="0" collapsed="false">
      <c r="A3539" s="4" t="s">
        <v>136</v>
      </c>
      <c r="B3539" s="5" t="s">
        <v>141</v>
      </c>
      <c r="C3539" s="5" t="s">
        <v>142</v>
      </c>
      <c r="D3539" s="4" t="s">
        <v>16</v>
      </c>
      <c r="E3539" s="4" t="s">
        <v>4314</v>
      </c>
      <c r="F3539" s="4" t="s">
        <v>470</v>
      </c>
      <c r="G3539" s="4" t="s">
        <v>4315</v>
      </c>
      <c r="H3539" s="12" t="n">
        <v>1</v>
      </c>
      <c r="I3539" s="4" t="s">
        <v>408</v>
      </c>
      <c r="J3539" s="4" t="s">
        <v>409</v>
      </c>
      <c r="K3539" s="13" t="n">
        <v>35</v>
      </c>
      <c r="L3539" s="6" t="n">
        <f aca="false">H3539*K3539</f>
        <v>35</v>
      </c>
      <c r="M3539" s="4" t="s">
        <v>371</v>
      </c>
    </row>
    <row r="3540" customFormat="false" ht="15" hidden="false" customHeight="false" outlineLevel="0" collapsed="false">
      <c r="A3540" s="4" t="s">
        <v>136</v>
      </c>
      <c r="B3540" s="5" t="s">
        <v>141</v>
      </c>
      <c r="C3540" s="5" t="s">
        <v>142</v>
      </c>
      <c r="D3540" s="4" t="s">
        <v>16</v>
      </c>
      <c r="E3540" s="4" t="s">
        <v>2660</v>
      </c>
      <c r="F3540" s="4" t="s">
        <v>470</v>
      </c>
      <c r="G3540" s="4" t="s">
        <v>2661</v>
      </c>
      <c r="H3540" s="12" t="n">
        <v>1</v>
      </c>
      <c r="I3540" s="4" t="s">
        <v>408</v>
      </c>
      <c r="J3540" s="4" t="s">
        <v>409</v>
      </c>
      <c r="K3540" s="13" t="n">
        <v>850</v>
      </c>
      <c r="L3540" s="6" t="n">
        <f aca="false">H3540*K3540</f>
        <v>850</v>
      </c>
      <c r="M3540" s="4" t="s">
        <v>371</v>
      </c>
    </row>
    <row r="3541" customFormat="false" ht="15" hidden="false" customHeight="false" outlineLevel="0" collapsed="false">
      <c r="A3541" s="4" t="s">
        <v>136</v>
      </c>
      <c r="B3541" s="5" t="s">
        <v>141</v>
      </c>
      <c r="C3541" s="5" t="s">
        <v>142</v>
      </c>
      <c r="D3541" s="4" t="s">
        <v>16</v>
      </c>
      <c r="E3541" s="4" t="s">
        <v>4316</v>
      </c>
      <c r="F3541" s="4" t="s">
        <v>470</v>
      </c>
      <c r="G3541" s="4" t="s">
        <v>4317</v>
      </c>
      <c r="H3541" s="12" t="n">
        <v>1</v>
      </c>
      <c r="I3541" s="4" t="s">
        <v>408</v>
      </c>
      <c r="J3541" s="4" t="s">
        <v>475</v>
      </c>
      <c r="K3541" s="13" t="n">
        <v>180</v>
      </c>
      <c r="L3541" s="6" t="n">
        <f aca="false">H3541*K3541</f>
        <v>180</v>
      </c>
      <c r="M3541" s="4" t="s">
        <v>371</v>
      </c>
    </row>
    <row r="3542" customFormat="false" ht="15" hidden="false" customHeight="false" outlineLevel="0" collapsed="false">
      <c r="A3542" s="4" t="s">
        <v>136</v>
      </c>
      <c r="B3542" s="5" t="s">
        <v>141</v>
      </c>
      <c r="C3542" s="5" t="s">
        <v>142</v>
      </c>
      <c r="D3542" s="4" t="s">
        <v>16</v>
      </c>
      <c r="E3542" s="4" t="s">
        <v>469</v>
      </c>
      <c r="F3542" s="4" t="s">
        <v>470</v>
      </c>
      <c r="G3542" s="4" t="s">
        <v>471</v>
      </c>
      <c r="H3542" s="12" t="n">
        <v>1</v>
      </c>
      <c r="I3542" s="4" t="s">
        <v>408</v>
      </c>
      <c r="J3542" s="4" t="s">
        <v>409</v>
      </c>
      <c r="K3542" s="13" t="n">
        <v>350</v>
      </c>
      <c r="L3542" s="6" t="n">
        <f aca="false">H3542*K3542</f>
        <v>350</v>
      </c>
      <c r="M3542" s="4" t="s">
        <v>371</v>
      </c>
    </row>
    <row r="3543" customFormat="false" ht="15" hidden="false" customHeight="false" outlineLevel="0" collapsed="false">
      <c r="A3543" s="4" t="s">
        <v>136</v>
      </c>
      <c r="B3543" s="5" t="s">
        <v>141</v>
      </c>
      <c r="C3543" s="5" t="s">
        <v>142</v>
      </c>
      <c r="D3543" s="4" t="s">
        <v>16</v>
      </c>
      <c r="E3543" s="4" t="s">
        <v>1096</v>
      </c>
      <c r="F3543" s="4" t="s">
        <v>470</v>
      </c>
      <c r="G3543" s="4" t="s">
        <v>1097</v>
      </c>
      <c r="H3543" s="12" t="n">
        <v>1</v>
      </c>
      <c r="I3543" s="4" t="s">
        <v>408</v>
      </c>
      <c r="J3543" s="4" t="s">
        <v>475</v>
      </c>
      <c r="K3543" s="13" t="n">
        <v>350</v>
      </c>
      <c r="L3543" s="6" t="n">
        <f aca="false">H3543*K3543</f>
        <v>350</v>
      </c>
      <c r="M3543" s="4" t="s">
        <v>371</v>
      </c>
    </row>
    <row r="3544" customFormat="false" ht="15" hidden="false" customHeight="false" outlineLevel="0" collapsed="false">
      <c r="A3544" s="4" t="s">
        <v>136</v>
      </c>
      <c r="B3544" s="5" t="s">
        <v>141</v>
      </c>
      <c r="C3544" s="5" t="s">
        <v>142</v>
      </c>
      <c r="D3544" s="4" t="s">
        <v>16</v>
      </c>
      <c r="E3544" s="4" t="s">
        <v>1087</v>
      </c>
      <c r="F3544" s="4" t="s">
        <v>470</v>
      </c>
      <c r="G3544" s="4" t="s">
        <v>1088</v>
      </c>
      <c r="H3544" s="12" t="n">
        <v>1</v>
      </c>
      <c r="I3544" s="4" t="s">
        <v>408</v>
      </c>
      <c r="J3544" s="4" t="s">
        <v>475</v>
      </c>
      <c r="K3544" s="13" t="n">
        <v>4500</v>
      </c>
      <c r="L3544" s="6" t="n">
        <f aca="false">H3544*K3544</f>
        <v>4500</v>
      </c>
      <c r="M3544" s="4" t="s">
        <v>371</v>
      </c>
    </row>
    <row r="3545" customFormat="false" ht="15" hidden="false" customHeight="false" outlineLevel="0" collapsed="false">
      <c r="A3545" s="4" t="s">
        <v>136</v>
      </c>
      <c r="B3545" s="5" t="s">
        <v>141</v>
      </c>
      <c r="C3545" s="5" t="s">
        <v>142</v>
      </c>
      <c r="D3545" s="4" t="s">
        <v>16</v>
      </c>
      <c r="E3545" s="4" t="s">
        <v>4318</v>
      </c>
      <c r="F3545" s="4" t="s">
        <v>470</v>
      </c>
      <c r="G3545" s="4" t="s">
        <v>4319</v>
      </c>
      <c r="H3545" s="12" t="n">
        <v>1</v>
      </c>
      <c r="I3545" s="4" t="s">
        <v>408</v>
      </c>
      <c r="J3545" s="4" t="s">
        <v>409</v>
      </c>
      <c r="K3545" s="13" t="n">
        <v>3500</v>
      </c>
      <c r="L3545" s="6" t="n">
        <f aca="false">H3545*K3545</f>
        <v>3500</v>
      </c>
      <c r="M3545" s="4" t="s">
        <v>371</v>
      </c>
    </row>
    <row r="3546" customFormat="false" ht="15" hidden="false" customHeight="false" outlineLevel="0" collapsed="false">
      <c r="A3546" s="4" t="s">
        <v>136</v>
      </c>
      <c r="B3546" s="5" t="s">
        <v>141</v>
      </c>
      <c r="C3546" s="5" t="s">
        <v>142</v>
      </c>
      <c r="D3546" s="4" t="s">
        <v>16</v>
      </c>
      <c r="E3546" s="4" t="s">
        <v>1919</v>
      </c>
      <c r="F3546" s="4" t="s">
        <v>470</v>
      </c>
      <c r="G3546" s="4" t="s">
        <v>1920</v>
      </c>
      <c r="H3546" s="12" t="n">
        <v>1</v>
      </c>
      <c r="I3546" s="4" t="s">
        <v>408</v>
      </c>
      <c r="J3546" s="4" t="s">
        <v>409</v>
      </c>
      <c r="K3546" s="13" t="n">
        <v>80</v>
      </c>
      <c r="L3546" s="6" t="n">
        <f aca="false">H3546*K3546</f>
        <v>80</v>
      </c>
      <c r="M3546" s="4" t="s">
        <v>371</v>
      </c>
    </row>
    <row r="3547" customFormat="false" ht="15" hidden="false" customHeight="false" outlineLevel="0" collapsed="false">
      <c r="A3547" s="4" t="s">
        <v>136</v>
      </c>
      <c r="B3547" s="5" t="s">
        <v>141</v>
      </c>
      <c r="C3547" s="5" t="s">
        <v>142</v>
      </c>
      <c r="D3547" s="4" t="s">
        <v>16</v>
      </c>
      <c r="E3547" s="4" t="s">
        <v>4320</v>
      </c>
      <c r="F3547" s="4" t="s">
        <v>470</v>
      </c>
      <c r="G3547" s="4" t="s">
        <v>4321</v>
      </c>
      <c r="H3547" s="12" t="n">
        <v>1</v>
      </c>
      <c r="I3547" s="4" t="s">
        <v>408</v>
      </c>
      <c r="J3547" s="4" t="s">
        <v>475</v>
      </c>
      <c r="K3547" s="13" t="n">
        <v>850</v>
      </c>
      <c r="L3547" s="6" t="n">
        <f aca="false">H3547*K3547</f>
        <v>850</v>
      </c>
      <c r="M3547" s="4" t="s">
        <v>371</v>
      </c>
    </row>
    <row r="3548" customFormat="false" ht="15" hidden="false" customHeight="false" outlineLevel="0" collapsed="false">
      <c r="A3548" s="4" t="s">
        <v>136</v>
      </c>
      <c r="B3548" s="5" t="s">
        <v>141</v>
      </c>
      <c r="C3548" s="5" t="s">
        <v>142</v>
      </c>
      <c r="D3548" s="4" t="s">
        <v>16</v>
      </c>
      <c r="E3548" s="4" t="s">
        <v>4322</v>
      </c>
      <c r="F3548" s="4" t="s">
        <v>470</v>
      </c>
      <c r="G3548" s="4" t="s">
        <v>4323</v>
      </c>
      <c r="H3548" s="12" t="n">
        <v>1</v>
      </c>
      <c r="I3548" s="4" t="s">
        <v>408</v>
      </c>
      <c r="J3548" s="4" t="s">
        <v>409</v>
      </c>
      <c r="K3548" s="13" t="n">
        <v>850</v>
      </c>
      <c r="L3548" s="6" t="n">
        <f aca="false">H3548*K3548</f>
        <v>850</v>
      </c>
      <c r="M3548" s="4" t="s">
        <v>371</v>
      </c>
    </row>
    <row r="3549" customFormat="false" ht="15" hidden="false" customHeight="false" outlineLevel="0" collapsed="false">
      <c r="A3549" s="4" t="s">
        <v>136</v>
      </c>
      <c r="B3549" s="5" t="s">
        <v>141</v>
      </c>
      <c r="C3549" s="5" t="s">
        <v>142</v>
      </c>
      <c r="D3549" s="4" t="s">
        <v>16</v>
      </c>
      <c r="E3549" s="4" t="s">
        <v>1104</v>
      </c>
      <c r="F3549" s="4" t="s">
        <v>470</v>
      </c>
      <c r="G3549" s="4" t="s">
        <v>1105</v>
      </c>
      <c r="H3549" s="12" t="n">
        <v>1</v>
      </c>
      <c r="I3549" s="4" t="s">
        <v>408</v>
      </c>
      <c r="J3549" s="4" t="s">
        <v>409</v>
      </c>
      <c r="K3549" s="13" t="n">
        <v>3500</v>
      </c>
      <c r="L3549" s="6" t="n">
        <f aca="false">H3549*K3549</f>
        <v>3500</v>
      </c>
      <c r="M3549" s="4" t="s">
        <v>371</v>
      </c>
    </row>
    <row r="3550" customFormat="false" ht="15" hidden="false" customHeight="false" outlineLevel="0" collapsed="false">
      <c r="A3550" s="4" t="s">
        <v>136</v>
      </c>
      <c r="B3550" s="5" t="s">
        <v>141</v>
      </c>
      <c r="C3550" s="5" t="s">
        <v>142</v>
      </c>
      <c r="D3550" s="4" t="s">
        <v>16</v>
      </c>
      <c r="E3550" s="4" t="s">
        <v>4324</v>
      </c>
      <c r="F3550" s="4" t="s">
        <v>470</v>
      </c>
      <c r="G3550" s="4" t="s">
        <v>4325</v>
      </c>
      <c r="H3550" s="12" t="n">
        <v>1</v>
      </c>
      <c r="I3550" s="4" t="s">
        <v>408</v>
      </c>
      <c r="J3550" s="4" t="s">
        <v>807</v>
      </c>
      <c r="K3550" s="13" t="n">
        <v>180</v>
      </c>
      <c r="L3550" s="6" t="n">
        <f aca="false">H3550*K3550</f>
        <v>180</v>
      </c>
      <c r="M3550" s="4" t="s">
        <v>371</v>
      </c>
    </row>
    <row r="3551" customFormat="false" ht="15" hidden="false" customHeight="false" outlineLevel="0" collapsed="false">
      <c r="A3551" s="4" t="s">
        <v>136</v>
      </c>
      <c r="B3551" s="5" t="s">
        <v>141</v>
      </c>
      <c r="C3551" s="5" t="s">
        <v>142</v>
      </c>
      <c r="D3551" s="4" t="s">
        <v>16</v>
      </c>
      <c r="E3551" s="4" t="s">
        <v>2289</v>
      </c>
      <c r="F3551" s="4" t="s">
        <v>470</v>
      </c>
      <c r="G3551" s="4" t="s">
        <v>2290</v>
      </c>
      <c r="H3551" s="12" t="n">
        <v>1</v>
      </c>
      <c r="I3551" s="4" t="s">
        <v>408</v>
      </c>
      <c r="J3551" s="4" t="s">
        <v>409</v>
      </c>
      <c r="K3551" s="13" t="n">
        <v>2500</v>
      </c>
      <c r="L3551" s="6" t="n">
        <f aca="false">H3551*K3551</f>
        <v>2500</v>
      </c>
      <c r="M3551" s="4" t="s">
        <v>371</v>
      </c>
    </row>
    <row r="3552" customFormat="false" ht="15" hidden="false" customHeight="false" outlineLevel="0" collapsed="false">
      <c r="A3552" s="4" t="s">
        <v>136</v>
      </c>
      <c r="B3552" s="5" t="s">
        <v>141</v>
      </c>
      <c r="C3552" s="5" t="s">
        <v>142</v>
      </c>
      <c r="D3552" s="4" t="s">
        <v>16</v>
      </c>
      <c r="E3552" s="4" t="s">
        <v>4326</v>
      </c>
      <c r="F3552" s="4" t="s">
        <v>470</v>
      </c>
      <c r="G3552" s="4" t="s">
        <v>4327</v>
      </c>
      <c r="H3552" s="12" t="n">
        <v>1</v>
      </c>
      <c r="I3552" s="4" t="s">
        <v>408</v>
      </c>
      <c r="J3552" s="4" t="s">
        <v>409</v>
      </c>
      <c r="K3552" s="13" t="n">
        <v>4500</v>
      </c>
      <c r="L3552" s="6" t="n">
        <f aca="false">H3552*K3552</f>
        <v>4500</v>
      </c>
      <c r="M3552" s="4" t="s">
        <v>371</v>
      </c>
    </row>
    <row r="3553" customFormat="false" ht="15" hidden="false" customHeight="false" outlineLevel="0" collapsed="false">
      <c r="A3553" s="4" t="s">
        <v>136</v>
      </c>
      <c r="B3553" s="5" t="s">
        <v>141</v>
      </c>
      <c r="C3553" s="5" t="s">
        <v>142</v>
      </c>
      <c r="D3553" s="4" t="s">
        <v>16</v>
      </c>
      <c r="E3553" s="4" t="s">
        <v>4328</v>
      </c>
      <c r="F3553" s="4" t="s">
        <v>470</v>
      </c>
      <c r="G3553" s="4" t="s">
        <v>4329</v>
      </c>
      <c r="H3553" s="12" t="n">
        <v>1</v>
      </c>
      <c r="I3553" s="4" t="s">
        <v>408</v>
      </c>
      <c r="J3553" s="4" t="s">
        <v>543</v>
      </c>
      <c r="K3553" s="13" t="n">
        <v>25000</v>
      </c>
      <c r="L3553" s="6" t="n">
        <f aca="false">H3553*K3553</f>
        <v>25000</v>
      </c>
      <c r="M3553" s="4" t="s">
        <v>371</v>
      </c>
    </row>
    <row r="3554" customFormat="false" ht="15" hidden="false" customHeight="false" outlineLevel="0" collapsed="false">
      <c r="A3554" s="4" t="s">
        <v>136</v>
      </c>
      <c r="B3554" s="5" t="s">
        <v>141</v>
      </c>
      <c r="C3554" s="5" t="s">
        <v>142</v>
      </c>
      <c r="D3554" s="4" t="s">
        <v>16</v>
      </c>
      <c r="E3554" s="4" t="s">
        <v>4330</v>
      </c>
      <c r="F3554" s="4" t="s">
        <v>470</v>
      </c>
      <c r="G3554" s="4" t="s">
        <v>4331</v>
      </c>
      <c r="H3554" s="12" t="n">
        <v>1</v>
      </c>
      <c r="I3554" s="4" t="s">
        <v>408</v>
      </c>
      <c r="J3554" s="4" t="s">
        <v>409</v>
      </c>
      <c r="K3554" s="13" t="n">
        <v>450</v>
      </c>
      <c r="L3554" s="6" t="n">
        <f aca="false">H3554*K3554</f>
        <v>450</v>
      </c>
      <c r="M3554" s="4" t="s">
        <v>371</v>
      </c>
    </row>
    <row r="3555" customFormat="false" ht="15" hidden="false" customHeight="false" outlineLevel="0" collapsed="false">
      <c r="A3555" s="4" t="s">
        <v>136</v>
      </c>
      <c r="B3555" s="5" t="s">
        <v>141</v>
      </c>
      <c r="C3555" s="5" t="s">
        <v>142</v>
      </c>
      <c r="D3555" s="4" t="s">
        <v>16</v>
      </c>
      <c r="E3555" s="4" t="s">
        <v>4332</v>
      </c>
      <c r="F3555" s="4" t="s">
        <v>470</v>
      </c>
      <c r="G3555" s="4" t="s">
        <v>4333</v>
      </c>
      <c r="H3555" s="12" t="n">
        <v>1</v>
      </c>
      <c r="I3555" s="4" t="s">
        <v>408</v>
      </c>
      <c r="J3555" s="4" t="s">
        <v>409</v>
      </c>
      <c r="K3555" s="13" t="n">
        <v>80</v>
      </c>
      <c r="L3555" s="6" t="n">
        <f aca="false">H3555*K3555</f>
        <v>80</v>
      </c>
      <c r="M3555" s="4" t="s">
        <v>371</v>
      </c>
    </row>
    <row r="3556" customFormat="false" ht="15" hidden="false" customHeight="false" outlineLevel="0" collapsed="false">
      <c r="A3556" s="4" t="s">
        <v>136</v>
      </c>
      <c r="B3556" s="5" t="s">
        <v>141</v>
      </c>
      <c r="C3556" s="5" t="s">
        <v>142</v>
      </c>
      <c r="D3556" s="4" t="s">
        <v>16</v>
      </c>
      <c r="E3556" s="4" t="s">
        <v>4334</v>
      </c>
      <c r="F3556" s="4" t="s">
        <v>470</v>
      </c>
      <c r="G3556" s="4" t="s">
        <v>4335</v>
      </c>
      <c r="H3556" s="12" t="n">
        <v>1</v>
      </c>
      <c r="I3556" s="4" t="s">
        <v>408</v>
      </c>
      <c r="J3556" s="4" t="s">
        <v>409</v>
      </c>
      <c r="K3556" s="13" t="n">
        <v>2500</v>
      </c>
      <c r="L3556" s="6" t="n">
        <f aca="false">H3556*K3556</f>
        <v>2500</v>
      </c>
      <c r="M3556" s="4" t="s">
        <v>371</v>
      </c>
    </row>
    <row r="3557" customFormat="false" ht="15" hidden="false" customHeight="false" outlineLevel="0" collapsed="false">
      <c r="A3557" s="4" t="s">
        <v>136</v>
      </c>
      <c r="B3557" s="5" t="s">
        <v>141</v>
      </c>
      <c r="C3557" s="5" t="s">
        <v>142</v>
      </c>
      <c r="D3557" s="4" t="s">
        <v>16</v>
      </c>
      <c r="E3557" s="4" t="s">
        <v>4336</v>
      </c>
      <c r="F3557" s="4" t="s">
        <v>470</v>
      </c>
      <c r="G3557" s="4" t="s">
        <v>4337</v>
      </c>
      <c r="H3557" s="12" t="n">
        <v>1</v>
      </c>
      <c r="I3557" s="4" t="s">
        <v>408</v>
      </c>
      <c r="J3557" s="4" t="s">
        <v>416</v>
      </c>
      <c r="K3557" s="13" t="n">
        <v>850</v>
      </c>
      <c r="L3557" s="6" t="n">
        <f aca="false">H3557*K3557</f>
        <v>850</v>
      </c>
      <c r="M3557" s="4" t="s">
        <v>371</v>
      </c>
    </row>
    <row r="3558" customFormat="false" ht="15" hidden="false" customHeight="false" outlineLevel="0" collapsed="false">
      <c r="A3558" s="4" t="s">
        <v>136</v>
      </c>
      <c r="B3558" s="5" t="s">
        <v>141</v>
      </c>
      <c r="C3558" s="5" t="s">
        <v>142</v>
      </c>
      <c r="D3558" s="4" t="s">
        <v>16</v>
      </c>
      <c r="E3558" s="4" t="s">
        <v>4338</v>
      </c>
      <c r="F3558" s="4" t="s">
        <v>488</v>
      </c>
      <c r="G3558" s="4" t="s">
        <v>4339</v>
      </c>
      <c r="H3558" s="12" t="n">
        <v>1</v>
      </c>
      <c r="I3558" s="4" t="s">
        <v>408</v>
      </c>
      <c r="J3558" s="4" t="s">
        <v>409</v>
      </c>
      <c r="K3558" s="13" t="n">
        <v>35</v>
      </c>
      <c r="L3558" s="6" t="n">
        <f aca="false">H3558*K3558</f>
        <v>35</v>
      </c>
      <c r="M3558" s="4" t="s">
        <v>371</v>
      </c>
    </row>
    <row r="3559" customFormat="false" ht="15" hidden="false" customHeight="false" outlineLevel="0" collapsed="false">
      <c r="A3559" s="4" t="s">
        <v>136</v>
      </c>
      <c r="B3559" s="5" t="s">
        <v>141</v>
      </c>
      <c r="C3559" s="5" t="s">
        <v>142</v>
      </c>
      <c r="D3559" s="4" t="s">
        <v>16</v>
      </c>
      <c r="E3559" s="4" t="s">
        <v>4340</v>
      </c>
      <c r="F3559" s="4" t="s">
        <v>488</v>
      </c>
      <c r="G3559" s="4" t="s">
        <v>4341</v>
      </c>
      <c r="H3559" s="12" t="n">
        <v>1</v>
      </c>
      <c r="I3559" s="4" t="s">
        <v>408</v>
      </c>
      <c r="J3559" s="4" t="s">
        <v>506</v>
      </c>
      <c r="K3559" s="13" t="n">
        <v>180</v>
      </c>
      <c r="L3559" s="6" t="n">
        <f aca="false">H3559*K3559</f>
        <v>180</v>
      </c>
      <c r="M3559" s="4" t="s">
        <v>371</v>
      </c>
    </row>
    <row r="3560" customFormat="false" ht="15" hidden="false" customHeight="false" outlineLevel="0" collapsed="false">
      <c r="A3560" s="4" t="s">
        <v>136</v>
      </c>
      <c r="B3560" s="5" t="s">
        <v>141</v>
      </c>
      <c r="C3560" s="5" t="s">
        <v>142</v>
      </c>
      <c r="D3560" s="4" t="s">
        <v>16</v>
      </c>
      <c r="E3560" s="4" t="s">
        <v>4342</v>
      </c>
      <c r="F3560" s="4" t="s">
        <v>488</v>
      </c>
      <c r="G3560" s="4" t="s">
        <v>4343</v>
      </c>
      <c r="H3560" s="12" t="n">
        <v>1</v>
      </c>
      <c r="I3560" s="4" t="s">
        <v>408</v>
      </c>
      <c r="J3560" s="4" t="s">
        <v>796</v>
      </c>
      <c r="K3560" s="13" t="n">
        <v>15</v>
      </c>
      <c r="L3560" s="6" t="n">
        <f aca="false">H3560*K3560</f>
        <v>15</v>
      </c>
      <c r="M3560" s="4" t="s">
        <v>371</v>
      </c>
    </row>
    <row r="3561" customFormat="false" ht="15" hidden="false" customHeight="false" outlineLevel="0" collapsed="false">
      <c r="A3561" s="4" t="s">
        <v>136</v>
      </c>
      <c r="B3561" s="5" t="s">
        <v>141</v>
      </c>
      <c r="C3561" s="5" t="s">
        <v>142</v>
      </c>
      <c r="D3561" s="4" t="s">
        <v>16</v>
      </c>
      <c r="E3561" s="4" t="s">
        <v>4344</v>
      </c>
      <c r="F3561" s="4" t="s">
        <v>488</v>
      </c>
      <c r="G3561" s="4" t="s">
        <v>3709</v>
      </c>
      <c r="H3561" s="12" t="n">
        <v>1</v>
      </c>
      <c r="I3561" s="4" t="s">
        <v>408</v>
      </c>
      <c r="J3561" s="4" t="s">
        <v>807</v>
      </c>
      <c r="K3561" s="13" t="n">
        <v>80</v>
      </c>
      <c r="L3561" s="6" t="n">
        <f aca="false">H3561*K3561</f>
        <v>80</v>
      </c>
      <c r="M3561" s="4" t="s">
        <v>371</v>
      </c>
    </row>
    <row r="3562" customFormat="false" ht="15" hidden="false" customHeight="false" outlineLevel="0" collapsed="false">
      <c r="A3562" s="4" t="s">
        <v>136</v>
      </c>
      <c r="B3562" s="5" t="s">
        <v>141</v>
      </c>
      <c r="C3562" s="5" t="s">
        <v>142</v>
      </c>
      <c r="D3562" s="4" t="s">
        <v>16</v>
      </c>
      <c r="E3562" s="4" t="s">
        <v>1723</v>
      </c>
      <c r="F3562" s="4" t="s">
        <v>488</v>
      </c>
      <c r="G3562" s="4" t="s">
        <v>1724</v>
      </c>
      <c r="H3562" s="12" t="n">
        <v>1</v>
      </c>
      <c r="I3562" s="4" t="s">
        <v>408</v>
      </c>
      <c r="J3562" s="4" t="s">
        <v>409</v>
      </c>
      <c r="K3562" s="13" t="n">
        <v>25</v>
      </c>
      <c r="L3562" s="6" t="n">
        <f aca="false">H3562*K3562</f>
        <v>25</v>
      </c>
      <c r="M3562" s="4" t="s">
        <v>371</v>
      </c>
    </row>
    <row r="3563" customFormat="false" ht="23.85" hidden="false" customHeight="false" outlineLevel="0" collapsed="false">
      <c r="A3563" s="4" t="s">
        <v>136</v>
      </c>
      <c r="B3563" s="5" t="s">
        <v>143</v>
      </c>
      <c r="C3563" s="5" t="s">
        <v>144</v>
      </c>
      <c r="D3563" s="4" t="s">
        <v>16</v>
      </c>
      <c r="E3563" s="4" t="s">
        <v>4345</v>
      </c>
      <c r="F3563" s="4" t="s">
        <v>406</v>
      </c>
      <c r="G3563" s="4" t="s">
        <v>4346</v>
      </c>
      <c r="H3563" s="12" t="n">
        <v>1</v>
      </c>
      <c r="I3563" s="4" t="s">
        <v>408</v>
      </c>
      <c r="J3563" s="4" t="s">
        <v>416</v>
      </c>
      <c r="K3563" s="13" t="n">
        <v>1200</v>
      </c>
      <c r="L3563" s="6" t="n">
        <f aca="false">H3563*K3563</f>
        <v>1200</v>
      </c>
      <c r="M3563" s="4" t="s">
        <v>371</v>
      </c>
    </row>
    <row r="3564" customFormat="false" ht="23.85" hidden="false" customHeight="false" outlineLevel="0" collapsed="false">
      <c r="A3564" s="4" t="s">
        <v>136</v>
      </c>
      <c r="B3564" s="5" t="s">
        <v>143</v>
      </c>
      <c r="C3564" s="5" t="s">
        <v>144</v>
      </c>
      <c r="D3564" s="4" t="s">
        <v>16</v>
      </c>
      <c r="E3564" s="4" t="s">
        <v>4347</v>
      </c>
      <c r="F3564" s="4" t="s">
        <v>406</v>
      </c>
      <c r="G3564" s="4" t="s">
        <v>4348</v>
      </c>
      <c r="H3564" s="12" t="n">
        <v>1</v>
      </c>
      <c r="I3564" s="4" t="s">
        <v>408</v>
      </c>
      <c r="J3564" s="4" t="s">
        <v>2815</v>
      </c>
      <c r="K3564" s="13" t="n">
        <v>450</v>
      </c>
      <c r="L3564" s="6" t="n">
        <f aca="false">H3564*K3564</f>
        <v>450</v>
      </c>
      <c r="M3564" s="14" t="s">
        <v>410</v>
      </c>
    </row>
    <row r="3565" customFormat="false" ht="23.85" hidden="false" customHeight="false" outlineLevel="0" collapsed="false">
      <c r="A3565" s="4" t="s">
        <v>136</v>
      </c>
      <c r="B3565" s="5" t="s">
        <v>143</v>
      </c>
      <c r="C3565" s="5" t="s">
        <v>144</v>
      </c>
      <c r="D3565" s="4" t="s">
        <v>16</v>
      </c>
      <c r="E3565" s="4" t="s">
        <v>3038</v>
      </c>
      <c r="F3565" s="4" t="s">
        <v>406</v>
      </c>
      <c r="G3565" s="4" t="s">
        <v>3039</v>
      </c>
      <c r="H3565" s="12" t="n">
        <v>1</v>
      </c>
      <c r="I3565" s="4" t="s">
        <v>408</v>
      </c>
      <c r="J3565" s="4" t="s">
        <v>506</v>
      </c>
      <c r="K3565" s="13" t="n">
        <v>150</v>
      </c>
      <c r="L3565" s="6" t="n">
        <f aca="false">H3565*K3565</f>
        <v>150</v>
      </c>
      <c r="M3565" s="14" t="s">
        <v>410</v>
      </c>
    </row>
    <row r="3566" customFormat="false" ht="23.85" hidden="false" customHeight="false" outlineLevel="0" collapsed="false">
      <c r="A3566" s="4" t="s">
        <v>136</v>
      </c>
      <c r="B3566" s="5" t="s">
        <v>143</v>
      </c>
      <c r="C3566" s="5" t="s">
        <v>144</v>
      </c>
      <c r="D3566" s="4" t="s">
        <v>16</v>
      </c>
      <c r="E3566" s="4" t="s">
        <v>4349</v>
      </c>
      <c r="F3566" s="4" t="s">
        <v>406</v>
      </c>
      <c r="G3566" s="4" t="s">
        <v>3041</v>
      </c>
      <c r="H3566" s="12" t="n">
        <v>1</v>
      </c>
      <c r="I3566" s="4" t="s">
        <v>408</v>
      </c>
      <c r="J3566" s="4" t="s">
        <v>409</v>
      </c>
      <c r="K3566" s="13" t="n">
        <v>650</v>
      </c>
      <c r="L3566" s="6" t="n">
        <f aca="false">H3566*K3566</f>
        <v>650</v>
      </c>
      <c r="M3566" s="14" t="s">
        <v>410</v>
      </c>
    </row>
    <row r="3567" customFormat="false" ht="23.85" hidden="false" customHeight="false" outlineLevel="0" collapsed="false">
      <c r="A3567" s="4" t="s">
        <v>136</v>
      </c>
      <c r="B3567" s="5" t="s">
        <v>143</v>
      </c>
      <c r="C3567" s="5" t="s">
        <v>144</v>
      </c>
      <c r="D3567" s="4" t="s">
        <v>16</v>
      </c>
      <c r="E3567" s="4" t="s">
        <v>4350</v>
      </c>
      <c r="F3567" s="4" t="s">
        <v>406</v>
      </c>
      <c r="G3567" s="4" t="s">
        <v>4351</v>
      </c>
      <c r="H3567" s="12" t="n">
        <v>1</v>
      </c>
      <c r="I3567" s="4" t="s">
        <v>408</v>
      </c>
      <c r="J3567" s="4" t="s">
        <v>409</v>
      </c>
      <c r="K3567" s="13" t="n">
        <v>850</v>
      </c>
      <c r="L3567" s="6" t="n">
        <f aca="false">H3567*K3567</f>
        <v>850</v>
      </c>
      <c r="M3567" s="14" t="s">
        <v>410</v>
      </c>
    </row>
    <row r="3568" customFormat="false" ht="23.85" hidden="false" customHeight="false" outlineLevel="0" collapsed="false">
      <c r="A3568" s="4" t="s">
        <v>136</v>
      </c>
      <c r="B3568" s="5" t="s">
        <v>143</v>
      </c>
      <c r="C3568" s="5" t="s">
        <v>144</v>
      </c>
      <c r="D3568" s="4" t="s">
        <v>16</v>
      </c>
      <c r="E3568" s="4" t="s">
        <v>1874</v>
      </c>
      <c r="F3568" s="4" t="s">
        <v>406</v>
      </c>
      <c r="G3568" s="4" t="s">
        <v>1875</v>
      </c>
      <c r="H3568" s="12" t="n">
        <v>1</v>
      </c>
      <c r="I3568" s="4" t="s">
        <v>408</v>
      </c>
      <c r="J3568" s="4" t="s">
        <v>409</v>
      </c>
      <c r="K3568" s="13" t="n">
        <v>350</v>
      </c>
      <c r="L3568" s="6" t="n">
        <f aca="false">H3568*K3568</f>
        <v>350</v>
      </c>
      <c r="M3568" s="14" t="s">
        <v>410</v>
      </c>
    </row>
    <row r="3569" customFormat="false" ht="23.85" hidden="false" customHeight="false" outlineLevel="0" collapsed="false">
      <c r="A3569" s="4" t="s">
        <v>136</v>
      </c>
      <c r="B3569" s="5" t="s">
        <v>143</v>
      </c>
      <c r="C3569" s="5" t="s">
        <v>144</v>
      </c>
      <c r="D3569" s="4" t="s">
        <v>16</v>
      </c>
      <c r="E3569" s="4" t="s">
        <v>4352</v>
      </c>
      <c r="F3569" s="4" t="s">
        <v>406</v>
      </c>
      <c r="G3569" s="4" t="s">
        <v>4353</v>
      </c>
      <c r="H3569" s="12" t="n">
        <v>1</v>
      </c>
      <c r="I3569" s="4" t="s">
        <v>408</v>
      </c>
      <c r="J3569" s="4" t="s">
        <v>409</v>
      </c>
      <c r="K3569" s="13" t="n">
        <v>1800</v>
      </c>
      <c r="L3569" s="6" t="n">
        <f aca="false">H3569*K3569</f>
        <v>1800</v>
      </c>
      <c r="M3569" s="14" t="s">
        <v>410</v>
      </c>
    </row>
    <row r="3570" customFormat="false" ht="23.85" hidden="false" customHeight="false" outlineLevel="0" collapsed="false">
      <c r="A3570" s="4" t="s">
        <v>136</v>
      </c>
      <c r="B3570" s="5" t="s">
        <v>143</v>
      </c>
      <c r="C3570" s="5" t="s">
        <v>144</v>
      </c>
      <c r="D3570" s="4" t="s">
        <v>16</v>
      </c>
      <c r="E3570" s="4" t="s">
        <v>4181</v>
      </c>
      <c r="F3570" s="4" t="s">
        <v>406</v>
      </c>
      <c r="G3570" s="4" t="s">
        <v>4182</v>
      </c>
      <c r="H3570" s="12" t="n">
        <v>1</v>
      </c>
      <c r="I3570" s="4" t="s">
        <v>474</v>
      </c>
      <c r="J3570" s="4" t="s">
        <v>409</v>
      </c>
      <c r="K3570" s="13" t="n">
        <v>50</v>
      </c>
      <c r="L3570" s="6" t="n">
        <f aca="false">H3570*K3570</f>
        <v>50</v>
      </c>
      <c r="M3570" s="4" t="s">
        <v>371</v>
      </c>
    </row>
    <row r="3571" customFormat="false" ht="23.85" hidden="false" customHeight="false" outlineLevel="0" collapsed="false">
      <c r="A3571" s="4" t="s">
        <v>136</v>
      </c>
      <c r="B3571" s="5" t="s">
        <v>143</v>
      </c>
      <c r="C3571" s="5" t="s">
        <v>144</v>
      </c>
      <c r="D3571" s="4" t="s">
        <v>16</v>
      </c>
      <c r="E3571" s="4" t="s">
        <v>4183</v>
      </c>
      <c r="F3571" s="4" t="s">
        <v>406</v>
      </c>
      <c r="G3571" s="4" t="s">
        <v>4184</v>
      </c>
      <c r="H3571" s="12" t="n">
        <v>1</v>
      </c>
      <c r="I3571" s="4" t="s">
        <v>474</v>
      </c>
      <c r="J3571" s="4" t="s">
        <v>416</v>
      </c>
      <c r="K3571" s="13" t="n">
        <v>450</v>
      </c>
      <c r="L3571" s="6" t="n">
        <f aca="false">H3571*K3571</f>
        <v>450</v>
      </c>
      <c r="M3571" s="14" t="s">
        <v>410</v>
      </c>
    </row>
    <row r="3572" customFormat="false" ht="23.85" hidden="false" customHeight="false" outlineLevel="0" collapsed="false">
      <c r="A3572" s="4" t="s">
        <v>136</v>
      </c>
      <c r="B3572" s="5" t="s">
        <v>143</v>
      </c>
      <c r="C3572" s="5" t="s">
        <v>144</v>
      </c>
      <c r="D3572" s="4" t="s">
        <v>16</v>
      </c>
      <c r="E3572" s="4" t="s">
        <v>4185</v>
      </c>
      <c r="F3572" s="4" t="s">
        <v>406</v>
      </c>
      <c r="G3572" s="4" t="s">
        <v>4186</v>
      </c>
      <c r="H3572" s="12" t="n">
        <v>1</v>
      </c>
      <c r="I3572" s="4" t="s">
        <v>474</v>
      </c>
      <c r="J3572" s="4" t="s">
        <v>409</v>
      </c>
      <c r="K3572" s="13" t="n">
        <v>180</v>
      </c>
      <c r="L3572" s="6" t="n">
        <f aca="false">H3572*K3572</f>
        <v>180</v>
      </c>
      <c r="M3572" s="14" t="s">
        <v>410</v>
      </c>
    </row>
    <row r="3573" customFormat="false" ht="23.85" hidden="false" customHeight="false" outlineLevel="0" collapsed="false">
      <c r="A3573" s="4" t="s">
        <v>136</v>
      </c>
      <c r="B3573" s="5" t="s">
        <v>143</v>
      </c>
      <c r="C3573" s="5" t="s">
        <v>144</v>
      </c>
      <c r="D3573" s="4" t="s">
        <v>16</v>
      </c>
      <c r="E3573" s="4" t="s">
        <v>4187</v>
      </c>
      <c r="F3573" s="4" t="s">
        <v>406</v>
      </c>
      <c r="G3573" s="4" t="s">
        <v>4188</v>
      </c>
      <c r="H3573" s="12" t="n">
        <v>1</v>
      </c>
      <c r="I3573" s="4" t="s">
        <v>474</v>
      </c>
      <c r="J3573" s="4" t="s">
        <v>409</v>
      </c>
      <c r="K3573" s="13" t="n">
        <v>350</v>
      </c>
      <c r="L3573" s="6" t="n">
        <f aca="false">H3573*K3573</f>
        <v>350</v>
      </c>
      <c r="M3573" s="14" t="s">
        <v>410</v>
      </c>
    </row>
    <row r="3574" customFormat="false" ht="23.85" hidden="false" customHeight="false" outlineLevel="0" collapsed="false">
      <c r="A3574" s="4" t="s">
        <v>136</v>
      </c>
      <c r="B3574" s="5" t="s">
        <v>143</v>
      </c>
      <c r="C3574" s="5" t="s">
        <v>144</v>
      </c>
      <c r="D3574" s="4" t="s">
        <v>16</v>
      </c>
      <c r="E3574" s="4" t="s">
        <v>4189</v>
      </c>
      <c r="F3574" s="4" t="s">
        <v>406</v>
      </c>
      <c r="G3574" s="4" t="s">
        <v>4190</v>
      </c>
      <c r="H3574" s="12" t="n">
        <v>1</v>
      </c>
      <c r="I3574" s="4" t="s">
        <v>474</v>
      </c>
      <c r="J3574" s="4" t="s">
        <v>416</v>
      </c>
      <c r="K3574" s="13" t="n">
        <v>350</v>
      </c>
      <c r="L3574" s="6" t="n">
        <f aca="false">H3574*K3574</f>
        <v>350</v>
      </c>
      <c r="M3574" s="14" t="s">
        <v>410</v>
      </c>
    </row>
    <row r="3575" customFormat="false" ht="23.85" hidden="false" customHeight="false" outlineLevel="0" collapsed="false">
      <c r="A3575" s="4" t="s">
        <v>136</v>
      </c>
      <c r="B3575" s="5" t="s">
        <v>143</v>
      </c>
      <c r="C3575" s="5" t="s">
        <v>144</v>
      </c>
      <c r="D3575" s="4" t="s">
        <v>16</v>
      </c>
      <c r="E3575" s="4" t="s">
        <v>1855</v>
      </c>
      <c r="F3575" s="4" t="s">
        <v>406</v>
      </c>
      <c r="G3575" s="4" t="s">
        <v>1856</v>
      </c>
      <c r="H3575" s="12" t="n">
        <v>1</v>
      </c>
      <c r="I3575" s="4" t="s">
        <v>474</v>
      </c>
      <c r="J3575" s="4" t="s">
        <v>409</v>
      </c>
      <c r="K3575" s="13" t="n">
        <v>180</v>
      </c>
      <c r="L3575" s="6" t="n">
        <f aca="false">H3575*K3575</f>
        <v>180</v>
      </c>
      <c r="M3575" s="14" t="s">
        <v>410</v>
      </c>
    </row>
    <row r="3576" customFormat="false" ht="23.85" hidden="false" customHeight="false" outlineLevel="0" collapsed="false">
      <c r="A3576" s="4" t="s">
        <v>136</v>
      </c>
      <c r="B3576" s="5" t="s">
        <v>143</v>
      </c>
      <c r="C3576" s="5" t="s">
        <v>144</v>
      </c>
      <c r="D3576" s="4" t="s">
        <v>16</v>
      </c>
      <c r="E3576" s="4" t="s">
        <v>4191</v>
      </c>
      <c r="F3576" s="4" t="s">
        <v>406</v>
      </c>
      <c r="G3576" s="4" t="s">
        <v>4192</v>
      </c>
      <c r="H3576" s="12" t="n">
        <v>1</v>
      </c>
      <c r="I3576" s="4" t="s">
        <v>474</v>
      </c>
      <c r="J3576" s="4" t="s">
        <v>409</v>
      </c>
      <c r="K3576" s="13" t="n">
        <v>250</v>
      </c>
      <c r="L3576" s="6" t="n">
        <f aca="false">H3576*K3576</f>
        <v>250</v>
      </c>
      <c r="M3576" s="14" t="s">
        <v>410</v>
      </c>
    </row>
    <row r="3577" customFormat="false" ht="23.85" hidden="false" customHeight="false" outlineLevel="0" collapsed="false">
      <c r="A3577" s="4" t="s">
        <v>136</v>
      </c>
      <c r="B3577" s="5" t="s">
        <v>143</v>
      </c>
      <c r="C3577" s="5" t="s">
        <v>144</v>
      </c>
      <c r="D3577" s="4" t="s">
        <v>16</v>
      </c>
      <c r="E3577" s="4" t="s">
        <v>4193</v>
      </c>
      <c r="F3577" s="4" t="s">
        <v>406</v>
      </c>
      <c r="G3577" s="4" t="s">
        <v>4194</v>
      </c>
      <c r="H3577" s="12" t="n">
        <v>1</v>
      </c>
      <c r="I3577" s="4" t="s">
        <v>474</v>
      </c>
      <c r="J3577" s="4" t="s">
        <v>409</v>
      </c>
      <c r="K3577" s="13" t="n">
        <v>120</v>
      </c>
      <c r="L3577" s="6" t="n">
        <f aca="false">H3577*K3577</f>
        <v>120</v>
      </c>
      <c r="M3577" s="14" t="s">
        <v>410</v>
      </c>
    </row>
    <row r="3578" customFormat="false" ht="23.85" hidden="false" customHeight="false" outlineLevel="0" collapsed="false">
      <c r="A3578" s="4" t="s">
        <v>136</v>
      </c>
      <c r="B3578" s="5" t="s">
        <v>143</v>
      </c>
      <c r="C3578" s="5" t="s">
        <v>144</v>
      </c>
      <c r="D3578" s="4" t="s">
        <v>16</v>
      </c>
      <c r="E3578" s="4" t="s">
        <v>4195</v>
      </c>
      <c r="F3578" s="4" t="s">
        <v>406</v>
      </c>
      <c r="G3578" s="4" t="s">
        <v>4196</v>
      </c>
      <c r="H3578" s="12" t="n">
        <v>1</v>
      </c>
      <c r="I3578" s="4" t="s">
        <v>474</v>
      </c>
      <c r="J3578" s="4" t="s">
        <v>416</v>
      </c>
      <c r="K3578" s="13" t="n">
        <v>650</v>
      </c>
      <c r="L3578" s="6" t="n">
        <f aca="false">H3578*K3578</f>
        <v>650</v>
      </c>
      <c r="M3578" s="4" t="s">
        <v>371</v>
      </c>
    </row>
    <row r="3579" customFormat="false" ht="23.85" hidden="false" customHeight="false" outlineLevel="0" collapsed="false">
      <c r="A3579" s="4" t="s">
        <v>136</v>
      </c>
      <c r="B3579" s="5" t="s">
        <v>143</v>
      </c>
      <c r="C3579" s="5" t="s">
        <v>144</v>
      </c>
      <c r="D3579" s="4" t="s">
        <v>16</v>
      </c>
      <c r="E3579" s="4" t="s">
        <v>4197</v>
      </c>
      <c r="F3579" s="4" t="s">
        <v>406</v>
      </c>
      <c r="G3579" s="4" t="s">
        <v>4198</v>
      </c>
      <c r="H3579" s="12" t="n">
        <v>1</v>
      </c>
      <c r="I3579" s="4" t="s">
        <v>474</v>
      </c>
      <c r="J3579" s="4" t="s">
        <v>409</v>
      </c>
      <c r="K3579" s="13" t="n">
        <v>4500</v>
      </c>
      <c r="L3579" s="6" t="n">
        <f aca="false">H3579*K3579</f>
        <v>4500</v>
      </c>
      <c r="M3579" s="14" t="s">
        <v>410</v>
      </c>
    </row>
    <row r="3580" customFormat="false" ht="23.85" hidden="false" customHeight="false" outlineLevel="0" collapsed="false">
      <c r="A3580" s="4" t="s">
        <v>136</v>
      </c>
      <c r="B3580" s="5" t="s">
        <v>143</v>
      </c>
      <c r="C3580" s="5" t="s">
        <v>144</v>
      </c>
      <c r="D3580" s="4" t="s">
        <v>16</v>
      </c>
      <c r="E3580" s="4" t="s">
        <v>4199</v>
      </c>
      <c r="F3580" s="4" t="s">
        <v>406</v>
      </c>
      <c r="G3580" s="4" t="s">
        <v>4200</v>
      </c>
      <c r="H3580" s="12" t="n">
        <v>1</v>
      </c>
      <c r="I3580" s="4" t="s">
        <v>474</v>
      </c>
      <c r="J3580" s="4" t="s">
        <v>409</v>
      </c>
      <c r="K3580" s="13" t="n">
        <v>180</v>
      </c>
      <c r="L3580" s="6" t="n">
        <f aca="false">H3580*K3580</f>
        <v>180</v>
      </c>
      <c r="M3580" s="14" t="s">
        <v>410</v>
      </c>
    </row>
    <row r="3581" customFormat="false" ht="23.85" hidden="false" customHeight="false" outlineLevel="0" collapsed="false">
      <c r="A3581" s="4" t="s">
        <v>136</v>
      </c>
      <c r="B3581" s="5" t="s">
        <v>143</v>
      </c>
      <c r="C3581" s="5" t="s">
        <v>144</v>
      </c>
      <c r="D3581" s="4" t="s">
        <v>16</v>
      </c>
      <c r="E3581" s="4" t="s">
        <v>4201</v>
      </c>
      <c r="F3581" s="4" t="s">
        <v>406</v>
      </c>
      <c r="G3581" s="4" t="s">
        <v>4202</v>
      </c>
      <c r="H3581" s="12" t="n">
        <v>1</v>
      </c>
      <c r="I3581" s="4" t="s">
        <v>474</v>
      </c>
      <c r="J3581" s="4" t="s">
        <v>409</v>
      </c>
      <c r="K3581" s="13" t="n">
        <v>350</v>
      </c>
      <c r="L3581" s="6" t="n">
        <f aca="false">H3581*K3581</f>
        <v>350</v>
      </c>
      <c r="M3581" s="14" t="s">
        <v>410</v>
      </c>
    </row>
    <row r="3582" customFormat="false" ht="23.85" hidden="false" customHeight="false" outlineLevel="0" collapsed="false">
      <c r="A3582" s="4" t="s">
        <v>136</v>
      </c>
      <c r="B3582" s="5" t="s">
        <v>143</v>
      </c>
      <c r="C3582" s="5" t="s">
        <v>144</v>
      </c>
      <c r="D3582" s="4" t="s">
        <v>16</v>
      </c>
      <c r="E3582" s="4" t="s">
        <v>4203</v>
      </c>
      <c r="F3582" s="4" t="s">
        <v>406</v>
      </c>
      <c r="G3582" s="4" t="s">
        <v>4204</v>
      </c>
      <c r="H3582" s="12" t="n">
        <v>1</v>
      </c>
      <c r="I3582" s="4" t="s">
        <v>474</v>
      </c>
      <c r="J3582" s="4" t="s">
        <v>416</v>
      </c>
      <c r="K3582" s="13" t="n">
        <v>650</v>
      </c>
      <c r="L3582" s="6" t="n">
        <f aca="false">H3582*K3582</f>
        <v>650</v>
      </c>
      <c r="M3582" s="14" t="s">
        <v>410</v>
      </c>
    </row>
    <row r="3583" customFormat="false" ht="23.85" hidden="false" customHeight="false" outlineLevel="0" collapsed="false">
      <c r="A3583" s="4" t="s">
        <v>136</v>
      </c>
      <c r="B3583" s="5" t="s">
        <v>143</v>
      </c>
      <c r="C3583" s="5" t="s">
        <v>144</v>
      </c>
      <c r="D3583" s="4" t="s">
        <v>16</v>
      </c>
      <c r="E3583" s="4" t="s">
        <v>1220</v>
      </c>
      <c r="F3583" s="4" t="s">
        <v>406</v>
      </c>
      <c r="G3583" s="4" t="s">
        <v>1221</v>
      </c>
      <c r="H3583" s="12" t="n">
        <v>1</v>
      </c>
      <c r="I3583" s="4" t="s">
        <v>408</v>
      </c>
      <c r="J3583" s="4" t="s">
        <v>416</v>
      </c>
      <c r="K3583" s="13" t="n">
        <v>2500</v>
      </c>
      <c r="L3583" s="6" t="n">
        <f aca="false">H3583*K3583</f>
        <v>2500</v>
      </c>
      <c r="M3583" s="14" t="s">
        <v>410</v>
      </c>
    </row>
    <row r="3584" customFormat="false" ht="23.85" hidden="false" customHeight="false" outlineLevel="0" collapsed="false">
      <c r="A3584" s="4" t="s">
        <v>136</v>
      </c>
      <c r="B3584" s="5" t="s">
        <v>143</v>
      </c>
      <c r="C3584" s="5" t="s">
        <v>144</v>
      </c>
      <c r="D3584" s="4" t="s">
        <v>16</v>
      </c>
      <c r="E3584" s="4" t="s">
        <v>3012</v>
      </c>
      <c r="F3584" s="4" t="s">
        <v>406</v>
      </c>
      <c r="G3584" s="4" t="s">
        <v>3013</v>
      </c>
      <c r="H3584" s="12" t="n">
        <v>1</v>
      </c>
      <c r="I3584" s="4" t="s">
        <v>408</v>
      </c>
      <c r="J3584" s="4" t="s">
        <v>409</v>
      </c>
      <c r="K3584" s="13" t="n">
        <v>850</v>
      </c>
      <c r="L3584" s="6" t="n">
        <f aca="false">H3584*K3584</f>
        <v>850</v>
      </c>
      <c r="M3584" s="14" t="s">
        <v>410</v>
      </c>
    </row>
    <row r="3585" customFormat="false" ht="23.85" hidden="false" customHeight="false" outlineLevel="0" collapsed="false">
      <c r="A3585" s="4" t="s">
        <v>136</v>
      </c>
      <c r="B3585" s="5" t="s">
        <v>143</v>
      </c>
      <c r="C3585" s="5" t="s">
        <v>144</v>
      </c>
      <c r="D3585" s="4" t="s">
        <v>16</v>
      </c>
      <c r="E3585" s="4" t="s">
        <v>4354</v>
      </c>
      <c r="F3585" s="4" t="s">
        <v>406</v>
      </c>
      <c r="G3585" s="4" t="s">
        <v>4355</v>
      </c>
      <c r="H3585" s="12" t="n">
        <v>1</v>
      </c>
      <c r="I3585" s="4" t="s">
        <v>408</v>
      </c>
      <c r="J3585" s="4" t="s">
        <v>416</v>
      </c>
      <c r="K3585" s="13" t="n">
        <v>8500</v>
      </c>
      <c r="L3585" s="6" t="n">
        <f aca="false">H3585*K3585</f>
        <v>8500</v>
      </c>
      <c r="M3585" s="14" t="s">
        <v>410</v>
      </c>
    </row>
    <row r="3586" customFormat="false" ht="23.85" hidden="false" customHeight="false" outlineLevel="0" collapsed="false">
      <c r="A3586" s="4" t="s">
        <v>136</v>
      </c>
      <c r="B3586" s="5" t="s">
        <v>143</v>
      </c>
      <c r="C3586" s="5" t="s">
        <v>144</v>
      </c>
      <c r="D3586" s="4" t="s">
        <v>16</v>
      </c>
      <c r="E3586" s="4" t="s">
        <v>4356</v>
      </c>
      <c r="F3586" s="4" t="s">
        <v>406</v>
      </c>
      <c r="G3586" s="4" t="s">
        <v>4357</v>
      </c>
      <c r="H3586" s="12" t="n">
        <v>1</v>
      </c>
      <c r="I3586" s="4" t="s">
        <v>408</v>
      </c>
      <c r="J3586" s="4" t="s">
        <v>409</v>
      </c>
      <c r="K3586" s="13" t="n">
        <v>3500</v>
      </c>
      <c r="L3586" s="6" t="n">
        <f aca="false">H3586*K3586</f>
        <v>3500</v>
      </c>
      <c r="M3586" s="14" t="s">
        <v>410</v>
      </c>
    </row>
    <row r="3587" customFormat="false" ht="23.85" hidden="false" customHeight="false" outlineLevel="0" collapsed="false">
      <c r="A3587" s="4" t="s">
        <v>136</v>
      </c>
      <c r="B3587" s="5" t="s">
        <v>143</v>
      </c>
      <c r="C3587" s="5" t="s">
        <v>144</v>
      </c>
      <c r="D3587" s="4" t="s">
        <v>16</v>
      </c>
      <c r="E3587" s="4" t="s">
        <v>4358</v>
      </c>
      <c r="F3587" s="4" t="s">
        <v>406</v>
      </c>
      <c r="G3587" s="4" t="s">
        <v>4359</v>
      </c>
      <c r="H3587" s="12" t="n">
        <v>1</v>
      </c>
      <c r="I3587" s="4" t="s">
        <v>408</v>
      </c>
      <c r="J3587" s="4" t="s">
        <v>409</v>
      </c>
      <c r="K3587" s="13" t="n">
        <v>8500</v>
      </c>
      <c r="L3587" s="6" t="n">
        <f aca="false">H3587*K3587</f>
        <v>8500</v>
      </c>
      <c r="M3587" s="14" t="s">
        <v>410</v>
      </c>
    </row>
    <row r="3588" customFormat="false" ht="23.85" hidden="false" customHeight="false" outlineLevel="0" collapsed="false">
      <c r="A3588" s="4" t="s">
        <v>136</v>
      </c>
      <c r="B3588" s="5" t="s">
        <v>143</v>
      </c>
      <c r="C3588" s="5" t="s">
        <v>144</v>
      </c>
      <c r="D3588" s="4" t="s">
        <v>16</v>
      </c>
      <c r="E3588" s="4" t="s">
        <v>4360</v>
      </c>
      <c r="F3588" s="4" t="s">
        <v>406</v>
      </c>
      <c r="G3588" s="4" t="s">
        <v>4361</v>
      </c>
      <c r="H3588" s="12" t="n">
        <v>1</v>
      </c>
      <c r="I3588" s="4" t="s">
        <v>408</v>
      </c>
      <c r="J3588" s="4" t="s">
        <v>416</v>
      </c>
      <c r="K3588" s="13" t="n">
        <v>180000</v>
      </c>
      <c r="L3588" s="6" t="n">
        <f aca="false">H3588*K3588</f>
        <v>180000</v>
      </c>
      <c r="M3588" s="4" t="s">
        <v>371</v>
      </c>
    </row>
    <row r="3589" customFormat="false" ht="23.85" hidden="false" customHeight="false" outlineLevel="0" collapsed="false">
      <c r="A3589" s="4" t="s">
        <v>136</v>
      </c>
      <c r="B3589" s="5" t="s">
        <v>143</v>
      </c>
      <c r="C3589" s="5" t="s">
        <v>144</v>
      </c>
      <c r="D3589" s="4" t="s">
        <v>16</v>
      </c>
      <c r="E3589" s="4" t="s">
        <v>4205</v>
      </c>
      <c r="F3589" s="4" t="s">
        <v>406</v>
      </c>
      <c r="G3589" s="4" t="s">
        <v>4206</v>
      </c>
      <c r="H3589" s="12" t="n">
        <v>1</v>
      </c>
      <c r="I3589" s="4" t="s">
        <v>474</v>
      </c>
      <c r="J3589" s="4" t="s">
        <v>409</v>
      </c>
      <c r="K3589" s="13" t="n">
        <v>18000</v>
      </c>
      <c r="L3589" s="6" t="n">
        <f aca="false">H3589*K3589</f>
        <v>18000</v>
      </c>
      <c r="M3589" s="14" t="s">
        <v>410</v>
      </c>
    </row>
    <row r="3590" customFormat="false" ht="23.85" hidden="false" customHeight="false" outlineLevel="0" collapsed="false">
      <c r="A3590" s="4" t="s">
        <v>136</v>
      </c>
      <c r="B3590" s="5" t="s">
        <v>143</v>
      </c>
      <c r="C3590" s="5" t="s">
        <v>144</v>
      </c>
      <c r="D3590" s="4" t="s">
        <v>16</v>
      </c>
      <c r="E3590" s="4" t="s">
        <v>4207</v>
      </c>
      <c r="F3590" s="4" t="s">
        <v>406</v>
      </c>
      <c r="G3590" s="4" t="s">
        <v>4208</v>
      </c>
      <c r="H3590" s="12" t="n">
        <v>1</v>
      </c>
      <c r="I3590" s="4" t="s">
        <v>474</v>
      </c>
      <c r="J3590" s="4" t="s">
        <v>409</v>
      </c>
      <c r="K3590" s="13" t="n">
        <v>45000</v>
      </c>
      <c r="L3590" s="6" t="n">
        <f aca="false">H3590*K3590</f>
        <v>45000</v>
      </c>
      <c r="M3590" s="14" t="s">
        <v>410</v>
      </c>
    </row>
    <row r="3591" customFormat="false" ht="23.85" hidden="false" customHeight="false" outlineLevel="0" collapsed="false">
      <c r="A3591" s="4" t="s">
        <v>136</v>
      </c>
      <c r="B3591" s="5" t="s">
        <v>143</v>
      </c>
      <c r="C3591" s="5" t="s">
        <v>144</v>
      </c>
      <c r="D3591" s="4" t="s">
        <v>16</v>
      </c>
      <c r="E3591" s="4" t="s">
        <v>1058</v>
      </c>
      <c r="F3591" s="4" t="s">
        <v>470</v>
      </c>
      <c r="G3591" s="4" t="s">
        <v>1059</v>
      </c>
      <c r="H3591" s="12" t="n">
        <v>1</v>
      </c>
      <c r="I3591" s="4" t="s">
        <v>408</v>
      </c>
      <c r="J3591" s="4" t="s">
        <v>409</v>
      </c>
      <c r="K3591" s="13" t="n">
        <v>45000</v>
      </c>
      <c r="L3591" s="6" t="n">
        <f aca="false">H3591*K3591</f>
        <v>45000</v>
      </c>
      <c r="M3591" s="14" t="s">
        <v>410</v>
      </c>
    </row>
    <row r="3592" customFormat="false" ht="23.85" hidden="false" customHeight="false" outlineLevel="0" collapsed="false">
      <c r="A3592" s="4" t="s">
        <v>136</v>
      </c>
      <c r="B3592" s="5" t="s">
        <v>143</v>
      </c>
      <c r="C3592" s="5" t="s">
        <v>144</v>
      </c>
      <c r="D3592" s="4" t="s">
        <v>16</v>
      </c>
      <c r="E3592" s="4" t="s">
        <v>4209</v>
      </c>
      <c r="F3592" s="4" t="s">
        <v>470</v>
      </c>
      <c r="G3592" s="4" t="s">
        <v>4210</v>
      </c>
      <c r="H3592" s="12" t="n">
        <v>1</v>
      </c>
      <c r="I3592" s="4" t="s">
        <v>408</v>
      </c>
      <c r="J3592" s="4" t="s">
        <v>543</v>
      </c>
      <c r="K3592" s="13" t="n">
        <v>120000</v>
      </c>
      <c r="L3592" s="6" t="n">
        <f aca="false">H3592*K3592</f>
        <v>120000</v>
      </c>
      <c r="M3592" s="4" t="s">
        <v>371</v>
      </c>
    </row>
    <row r="3593" customFormat="false" ht="23.85" hidden="false" customHeight="false" outlineLevel="0" collapsed="false">
      <c r="A3593" s="4" t="s">
        <v>136</v>
      </c>
      <c r="B3593" s="5" t="s">
        <v>143</v>
      </c>
      <c r="C3593" s="5" t="s">
        <v>144</v>
      </c>
      <c r="D3593" s="4" t="s">
        <v>16</v>
      </c>
      <c r="E3593" s="4" t="s">
        <v>4362</v>
      </c>
      <c r="F3593" s="4" t="s">
        <v>470</v>
      </c>
      <c r="G3593" s="4" t="s">
        <v>3843</v>
      </c>
      <c r="H3593" s="12" t="n">
        <v>1</v>
      </c>
      <c r="I3593" s="4" t="s">
        <v>408</v>
      </c>
      <c r="J3593" s="4" t="s">
        <v>543</v>
      </c>
      <c r="K3593" s="13" t="n">
        <v>120000</v>
      </c>
      <c r="L3593" s="6" t="n">
        <f aca="false">H3593*K3593</f>
        <v>120000</v>
      </c>
      <c r="M3593" s="4" t="s">
        <v>371</v>
      </c>
    </row>
    <row r="3594" customFormat="false" ht="23.85" hidden="false" customHeight="false" outlineLevel="0" collapsed="false">
      <c r="A3594" s="4" t="s">
        <v>136</v>
      </c>
      <c r="B3594" s="5" t="s">
        <v>143</v>
      </c>
      <c r="C3594" s="5" t="s">
        <v>144</v>
      </c>
      <c r="D3594" s="4" t="s">
        <v>16</v>
      </c>
      <c r="E3594" s="4" t="s">
        <v>4215</v>
      </c>
      <c r="F3594" s="4" t="s">
        <v>470</v>
      </c>
      <c r="G3594" s="4" t="s">
        <v>4216</v>
      </c>
      <c r="H3594" s="12" t="n">
        <v>1</v>
      </c>
      <c r="I3594" s="4" t="s">
        <v>474</v>
      </c>
      <c r="J3594" s="4" t="s">
        <v>409</v>
      </c>
      <c r="K3594" s="13" t="n">
        <v>12000</v>
      </c>
      <c r="L3594" s="6" t="n">
        <f aca="false">H3594*K3594</f>
        <v>12000</v>
      </c>
      <c r="M3594" s="4" t="s">
        <v>371</v>
      </c>
    </row>
    <row r="3595" customFormat="false" ht="23.85" hidden="false" customHeight="false" outlineLevel="0" collapsed="false">
      <c r="A3595" s="4" t="s">
        <v>136</v>
      </c>
      <c r="B3595" s="5" t="s">
        <v>143</v>
      </c>
      <c r="C3595" s="5" t="s">
        <v>144</v>
      </c>
      <c r="D3595" s="4" t="s">
        <v>16</v>
      </c>
      <c r="E3595" s="4" t="s">
        <v>4217</v>
      </c>
      <c r="F3595" s="4" t="s">
        <v>470</v>
      </c>
      <c r="G3595" s="4" t="s">
        <v>4218</v>
      </c>
      <c r="H3595" s="12" t="n">
        <v>1</v>
      </c>
      <c r="I3595" s="4" t="s">
        <v>474</v>
      </c>
      <c r="J3595" s="4" t="s">
        <v>409</v>
      </c>
      <c r="K3595" s="13" t="n">
        <v>4500</v>
      </c>
      <c r="L3595" s="6" t="n">
        <f aca="false">H3595*K3595</f>
        <v>4500</v>
      </c>
      <c r="M3595" s="4" t="s">
        <v>371</v>
      </c>
    </row>
    <row r="3596" customFormat="false" ht="23.85" hidden="false" customHeight="false" outlineLevel="0" collapsed="false">
      <c r="A3596" s="4" t="s">
        <v>136</v>
      </c>
      <c r="B3596" s="5" t="s">
        <v>143</v>
      </c>
      <c r="C3596" s="5" t="s">
        <v>144</v>
      </c>
      <c r="D3596" s="4" t="s">
        <v>16</v>
      </c>
      <c r="E3596" s="4" t="s">
        <v>1136</v>
      </c>
      <c r="F3596" s="4" t="s">
        <v>470</v>
      </c>
      <c r="G3596" s="4" t="s">
        <v>1137</v>
      </c>
      <c r="H3596" s="12" t="n">
        <v>1</v>
      </c>
      <c r="I3596" s="4" t="s">
        <v>408</v>
      </c>
      <c r="J3596" s="4" t="s">
        <v>416</v>
      </c>
      <c r="K3596" s="13" t="n">
        <v>850</v>
      </c>
      <c r="L3596" s="6" t="n">
        <f aca="false">H3596*K3596</f>
        <v>850</v>
      </c>
      <c r="M3596" s="4" t="s">
        <v>371</v>
      </c>
    </row>
    <row r="3597" customFormat="false" ht="23.85" hidden="false" customHeight="false" outlineLevel="0" collapsed="false">
      <c r="A3597" s="4" t="s">
        <v>136</v>
      </c>
      <c r="B3597" s="5" t="s">
        <v>143</v>
      </c>
      <c r="C3597" s="5" t="s">
        <v>144</v>
      </c>
      <c r="D3597" s="4" t="s">
        <v>16</v>
      </c>
      <c r="E3597" s="4" t="s">
        <v>1064</v>
      </c>
      <c r="F3597" s="4" t="s">
        <v>470</v>
      </c>
      <c r="G3597" s="4" t="s">
        <v>1065</v>
      </c>
      <c r="H3597" s="12" t="n">
        <v>1</v>
      </c>
      <c r="I3597" s="4" t="s">
        <v>408</v>
      </c>
      <c r="J3597" s="4" t="s">
        <v>543</v>
      </c>
      <c r="K3597" s="13" t="n">
        <v>25000</v>
      </c>
      <c r="L3597" s="6" t="n">
        <f aca="false">H3597*K3597</f>
        <v>25000</v>
      </c>
      <c r="M3597" s="4" t="s">
        <v>371</v>
      </c>
    </row>
    <row r="3598" customFormat="false" ht="23.85" hidden="false" customHeight="false" outlineLevel="0" collapsed="false">
      <c r="A3598" s="4" t="s">
        <v>136</v>
      </c>
      <c r="B3598" s="5" t="s">
        <v>143</v>
      </c>
      <c r="C3598" s="5" t="s">
        <v>144</v>
      </c>
      <c r="D3598" s="4" t="s">
        <v>16</v>
      </c>
      <c r="E3598" s="4" t="s">
        <v>1138</v>
      </c>
      <c r="F3598" s="4" t="s">
        <v>470</v>
      </c>
      <c r="G3598" s="4" t="s">
        <v>1139</v>
      </c>
      <c r="H3598" s="12" t="n">
        <v>1</v>
      </c>
      <c r="I3598" s="4" t="s">
        <v>408</v>
      </c>
      <c r="J3598" s="4" t="s">
        <v>416</v>
      </c>
      <c r="K3598" s="13" t="n">
        <v>2500</v>
      </c>
      <c r="L3598" s="6" t="n">
        <f aca="false">H3598*K3598</f>
        <v>2500</v>
      </c>
      <c r="M3598" s="4" t="s">
        <v>371</v>
      </c>
    </row>
    <row r="3599" customFormat="false" ht="23.85" hidden="false" customHeight="false" outlineLevel="0" collapsed="false">
      <c r="A3599" s="4" t="s">
        <v>136</v>
      </c>
      <c r="B3599" s="5" t="s">
        <v>143</v>
      </c>
      <c r="C3599" s="5" t="s">
        <v>144</v>
      </c>
      <c r="D3599" s="4" t="s">
        <v>16</v>
      </c>
      <c r="E3599" s="4" t="s">
        <v>1140</v>
      </c>
      <c r="F3599" s="4" t="s">
        <v>470</v>
      </c>
      <c r="G3599" s="4" t="s">
        <v>1141</v>
      </c>
      <c r="H3599" s="12" t="n">
        <v>1</v>
      </c>
      <c r="I3599" s="4" t="s">
        <v>408</v>
      </c>
      <c r="J3599" s="4" t="s">
        <v>409</v>
      </c>
      <c r="K3599" s="13" t="n">
        <v>350</v>
      </c>
      <c r="L3599" s="6" t="n">
        <f aca="false">H3599*K3599</f>
        <v>350</v>
      </c>
      <c r="M3599" s="4" t="s">
        <v>371</v>
      </c>
    </row>
    <row r="3600" customFormat="false" ht="23.85" hidden="false" customHeight="false" outlineLevel="0" collapsed="false">
      <c r="A3600" s="4" t="s">
        <v>136</v>
      </c>
      <c r="B3600" s="5" t="s">
        <v>143</v>
      </c>
      <c r="C3600" s="5" t="s">
        <v>144</v>
      </c>
      <c r="D3600" s="4" t="s">
        <v>16</v>
      </c>
      <c r="E3600" s="4" t="s">
        <v>3397</v>
      </c>
      <c r="F3600" s="4" t="s">
        <v>470</v>
      </c>
      <c r="G3600" s="4" t="s">
        <v>1143</v>
      </c>
      <c r="H3600" s="12" t="n">
        <v>1</v>
      </c>
      <c r="I3600" s="4" t="s">
        <v>408</v>
      </c>
      <c r="J3600" s="4" t="s">
        <v>416</v>
      </c>
      <c r="K3600" s="13" t="n">
        <v>850</v>
      </c>
      <c r="L3600" s="6" t="n">
        <f aca="false">H3600*K3600</f>
        <v>850</v>
      </c>
      <c r="M3600" s="4" t="s">
        <v>371</v>
      </c>
    </row>
    <row r="3601" customFormat="false" ht="23.85" hidden="false" customHeight="false" outlineLevel="0" collapsed="false">
      <c r="A3601" s="4" t="s">
        <v>136</v>
      </c>
      <c r="B3601" s="5" t="s">
        <v>143</v>
      </c>
      <c r="C3601" s="5" t="s">
        <v>144</v>
      </c>
      <c r="D3601" s="4" t="s">
        <v>16</v>
      </c>
      <c r="E3601" s="4" t="s">
        <v>1144</v>
      </c>
      <c r="F3601" s="4" t="s">
        <v>470</v>
      </c>
      <c r="G3601" s="4" t="s">
        <v>1145</v>
      </c>
      <c r="H3601" s="12" t="n">
        <v>1</v>
      </c>
      <c r="I3601" s="4" t="s">
        <v>408</v>
      </c>
      <c r="J3601" s="4" t="s">
        <v>416</v>
      </c>
      <c r="K3601" s="13" t="n">
        <v>3500</v>
      </c>
      <c r="L3601" s="6" t="n">
        <f aca="false">H3601*K3601</f>
        <v>3500</v>
      </c>
      <c r="M3601" s="4" t="s">
        <v>371</v>
      </c>
    </row>
    <row r="3602" customFormat="false" ht="23.85" hidden="false" customHeight="false" outlineLevel="0" collapsed="false">
      <c r="A3602" s="4" t="s">
        <v>136</v>
      </c>
      <c r="B3602" s="5" t="s">
        <v>143</v>
      </c>
      <c r="C3602" s="5" t="s">
        <v>144</v>
      </c>
      <c r="D3602" s="4" t="s">
        <v>16</v>
      </c>
      <c r="E3602" s="4" t="s">
        <v>1243</v>
      </c>
      <c r="F3602" s="4" t="s">
        <v>488</v>
      </c>
      <c r="G3602" s="4" t="s">
        <v>1244</v>
      </c>
      <c r="H3602" s="12" t="n">
        <v>1</v>
      </c>
      <c r="I3602" s="4" t="s">
        <v>408</v>
      </c>
      <c r="J3602" s="4" t="s">
        <v>503</v>
      </c>
      <c r="K3602" s="13" t="n">
        <v>180</v>
      </c>
      <c r="L3602" s="6" t="n">
        <f aca="false">H3602*K3602</f>
        <v>180</v>
      </c>
      <c r="M3602" s="4" t="s">
        <v>371</v>
      </c>
    </row>
    <row r="3603" customFormat="false" ht="23.85" hidden="false" customHeight="false" outlineLevel="0" collapsed="false">
      <c r="A3603" s="4" t="s">
        <v>136</v>
      </c>
      <c r="B3603" s="5" t="s">
        <v>143</v>
      </c>
      <c r="C3603" s="5" t="s">
        <v>144</v>
      </c>
      <c r="D3603" s="4" t="s">
        <v>16</v>
      </c>
      <c r="E3603" s="4" t="s">
        <v>4363</v>
      </c>
      <c r="F3603" s="4" t="s">
        <v>488</v>
      </c>
      <c r="G3603" s="4" t="s">
        <v>4364</v>
      </c>
      <c r="H3603" s="12" t="n">
        <v>1</v>
      </c>
      <c r="I3603" s="4" t="s">
        <v>408</v>
      </c>
      <c r="J3603" s="4" t="s">
        <v>807</v>
      </c>
      <c r="K3603" s="13" t="n">
        <v>80</v>
      </c>
      <c r="L3603" s="6" t="n">
        <f aca="false">H3603*K3603</f>
        <v>80</v>
      </c>
      <c r="M3603" s="4" t="s">
        <v>371</v>
      </c>
    </row>
    <row r="3604" customFormat="false" ht="23.85" hidden="false" customHeight="false" outlineLevel="0" collapsed="false">
      <c r="A3604" s="4" t="s">
        <v>136</v>
      </c>
      <c r="B3604" s="5" t="s">
        <v>143</v>
      </c>
      <c r="C3604" s="5" t="s">
        <v>144</v>
      </c>
      <c r="D3604" s="4" t="s">
        <v>16</v>
      </c>
      <c r="E3604" s="4" t="s">
        <v>2676</v>
      </c>
      <c r="F3604" s="4" t="s">
        <v>488</v>
      </c>
      <c r="G3604" s="4" t="s">
        <v>2677</v>
      </c>
      <c r="H3604" s="12" t="n">
        <v>1</v>
      </c>
      <c r="I3604" s="4" t="s">
        <v>408</v>
      </c>
      <c r="J3604" s="4" t="s">
        <v>429</v>
      </c>
      <c r="K3604" s="13" t="n">
        <v>80</v>
      </c>
      <c r="L3604" s="6" t="n">
        <f aca="false">H3604*K3604</f>
        <v>80</v>
      </c>
      <c r="M3604" s="14" t="s">
        <v>410</v>
      </c>
    </row>
    <row r="3605" customFormat="false" ht="23.85" hidden="false" customHeight="false" outlineLevel="0" collapsed="false">
      <c r="A3605" s="4" t="s">
        <v>136</v>
      </c>
      <c r="B3605" s="5" t="s">
        <v>143</v>
      </c>
      <c r="C3605" s="5" t="s">
        <v>144</v>
      </c>
      <c r="D3605" s="4" t="s">
        <v>16</v>
      </c>
      <c r="E3605" s="4" t="s">
        <v>4365</v>
      </c>
      <c r="F3605" s="4" t="s">
        <v>488</v>
      </c>
      <c r="G3605" s="4" t="s">
        <v>4366</v>
      </c>
      <c r="H3605" s="12" t="n">
        <v>1</v>
      </c>
      <c r="I3605" s="4" t="s">
        <v>408</v>
      </c>
      <c r="J3605" s="4" t="s">
        <v>432</v>
      </c>
      <c r="K3605" s="13" t="n">
        <v>80</v>
      </c>
      <c r="L3605" s="6" t="n">
        <f aca="false">H3605*K3605</f>
        <v>80</v>
      </c>
      <c r="M3605" s="4" t="s">
        <v>371</v>
      </c>
    </row>
    <row r="3606" customFormat="false" ht="23.85" hidden="false" customHeight="false" outlineLevel="0" collapsed="false">
      <c r="A3606" s="4" t="s">
        <v>136</v>
      </c>
      <c r="B3606" s="5" t="s">
        <v>143</v>
      </c>
      <c r="C3606" s="5" t="s">
        <v>144</v>
      </c>
      <c r="D3606" s="4" t="s">
        <v>16</v>
      </c>
      <c r="E3606" s="4" t="s">
        <v>4367</v>
      </c>
      <c r="F3606" s="4" t="s">
        <v>488</v>
      </c>
      <c r="G3606" s="4" t="s">
        <v>4368</v>
      </c>
      <c r="H3606" s="12" t="n">
        <v>1</v>
      </c>
      <c r="I3606" s="4" t="s">
        <v>408</v>
      </c>
      <c r="J3606" s="4" t="s">
        <v>506</v>
      </c>
      <c r="K3606" s="13" t="n">
        <v>120</v>
      </c>
      <c r="L3606" s="6" t="n">
        <f aca="false">H3606*K3606</f>
        <v>120</v>
      </c>
      <c r="M3606" s="4" t="s">
        <v>371</v>
      </c>
    </row>
    <row r="3607" customFormat="false" ht="23.85" hidden="false" customHeight="false" outlineLevel="0" collapsed="false">
      <c r="A3607" s="4" t="s">
        <v>136</v>
      </c>
      <c r="B3607" s="5" t="s">
        <v>143</v>
      </c>
      <c r="C3607" s="5" t="s">
        <v>144</v>
      </c>
      <c r="D3607" s="4" t="s">
        <v>16</v>
      </c>
      <c r="E3607" s="4" t="s">
        <v>4369</v>
      </c>
      <c r="F3607" s="4" t="s">
        <v>488</v>
      </c>
      <c r="G3607" s="4" t="s">
        <v>4370</v>
      </c>
      <c r="H3607" s="12" t="n">
        <v>1</v>
      </c>
      <c r="I3607" s="4" t="s">
        <v>408</v>
      </c>
      <c r="J3607" s="4" t="s">
        <v>490</v>
      </c>
      <c r="K3607" s="13" t="n">
        <v>350</v>
      </c>
      <c r="L3607" s="6" t="n">
        <f aca="false">H3607*K3607</f>
        <v>350</v>
      </c>
      <c r="M3607" s="4" t="s">
        <v>371</v>
      </c>
    </row>
    <row r="3608" customFormat="false" ht="23.85" hidden="false" customHeight="false" outlineLevel="0" collapsed="false">
      <c r="A3608" s="4" t="s">
        <v>136</v>
      </c>
      <c r="B3608" s="5" t="s">
        <v>143</v>
      </c>
      <c r="C3608" s="5" t="s">
        <v>144</v>
      </c>
      <c r="D3608" s="4" t="s">
        <v>16</v>
      </c>
      <c r="E3608" s="4" t="s">
        <v>4371</v>
      </c>
      <c r="F3608" s="4" t="s">
        <v>488</v>
      </c>
      <c r="G3608" s="4" t="s">
        <v>4372</v>
      </c>
      <c r="H3608" s="12" t="n">
        <v>1</v>
      </c>
      <c r="I3608" s="4" t="s">
        <v>408</v>
      </c>
      <c r="J3608" s="4" t="s">
        <v>409</v>
      </c>
      <c r="K3608" s="13" t="n">
        <v>45</v>
      </c>
      <c r="L3608" s="6" t="n">
        <f aca="false">H3608*K3608</f>
        <v>45</v>
      </c>
      <c r="M3608" s="4" t="s">
        <v>371</v>
      </c>
    </row>
    <row r="3609" customFormat="false" ht="23.85" hidden="false" customHeight="false" outlineLevel="0" collapsed="false">
      <c r="A3609" s="4" t="s">
        <v>136</v>
      </c>
      <c r="B3609" s="5" t="s">
        <v>143</v>
      </c>
      <c r="C3609" s="5" t="s">
        <v>144</v>
      </c>
      <c r="D3609" s="4" t="s">
        <v>16</v>
      </c>
      <c r="E3609" s="4" t="s">
        <v>4373</v>
      </c>
      <c r="F3609" s="4" t="s">
        <v>488</v>
      </c>
      <c r="G3609" s="4" t="s">
        <v>4374</v>
      </c>
      <c r="H3609" s="12" t="n">
        <v>1</v>
      </c>
      <c r="I3609" s="4" t="s">
        <v>408</v>
      </c>
      <c r="J3609" s="4" t="s">
        <v>503</v>
      </c>
      <c r="K3609" s="13" t="n">
        <v>250</v>
      </c>
      <c r="L3609" s="6" t="n">
        <f aca="false">H3609*K3609</f>
        <v>250</v>
      </c>
      <c r="M3609" s="4" t="s">
        <v>371</v>
      </c>
    </row>
    <row r="3610" customFormat="false" ht="23.85" hidden="false" customHeight="false" outlineLevel="0" collapsed="false">
      <c r="A3610" s="4" t="s">
        <v>136</v>
      </c>
      <c r="B3610" s="5" t="s">
        <v>143</v>
      </c>
      <c r="C3610" s="5" t="s">
        <v>144</v>
      </c>
      <c r="D3610" s="4" t="s">
        <v>16</v>
      </c>
      <c r="E3610" s="4" t="s">
        <v>4375</v>
      </c>
      <c r="F3610" s="4" t="s">
        <v>488</v>
      </c>
      <c r="G3610" s="4" t="s">
        <v>4376</v>
      </c>
      <c r="H3610" s="12" t="n">
        <v>1</v>
      </c>
      <c r="I3610" s="4" t="s">
        <v>408</v>
      </c>
      <c r="J3610" s="4" t="s">
        <v>409</v>
      </c>
      <c r="K3610" s="13" t="n">
        <v>1800</v>
      </c>
      <c r="L3610" s="6" t="n">
        <f aca="false">H3610*K3610</f>
        <v>1800</v>
      </c>
      <c r="M3610" s="4" t="s">
        <v>371</v>
      </c>
    </row>
    <row r="3611" customFormat="false" ht="23.85" hidden="false" customHeight="false" outlineLevel="0" collapsed="false">
      <c r="A3611" s="4" t="s">
        <v>136</v>
      </c>
      <c r="B3611" s="5" t="s">
        <v>143</v>
      </c>
      <c r="C3611" s="5" t="s">
        <v>144</v>
      </c>
      <c r="D3611" s="4" t="s">
        <v>16</v>
      </c>
      <c r="E3611" s="4" t="s">
        <v>4219</v>
      </c>
      <c r="F3611" s="4" t="s">
        <v>488</v>
      </c>
      <c r="G3611" s="4" t="s">
        <v>4220</v>
      </c>
      <c r="H3611" s="12" t="n">
        <v>10</v>
      </c>
      <c r="I3611" s="4" t="s">
        <v>474</v>
      </c>
      <c r="J3611" s="4" t="s">
        <v>796</v>
      </c>
      <c r="K3611" s="13" t="n">
        <v>25</v>
      </c>
      <c r="L3611" s="6" t="n">
        <f aca="false">H3611*K3611</f>
        <v>250</v>
      </c>
      <c r="M3611" s="4" t="s">
        <v>371</v>
      </c>
    </row>
    <row r="3612" customFormat="false" ht="23.85" hidden="false" customHeight="false" outlineLevel="0" collapsed="false">
      <c r="A3612" s="4" t="s">
        <v>136</v>
      </c>
      <c r="B3612" s="5" t="s">
        <v>143</v>
      </c>
      <c r="C3612" s="5" t="s">
        <v>144</v>
      </c>
      <c r="D3612" s="4" t="s">
        <v>16</v>
      </c>
      <c r="E3612" s="4" t="s">
        <v>3708</v>
      </c>
      <c r="F3612" s="4" t="s">
        <v>488</v>
      </c>
      <c r="G3612" s="4" t="s">
        <v>3709</v>
      </c>
      <c r="H3612" s="12" t="n">
        <v>1</v>
      </c>
      <c r="I3612" s="4" t="s">
        <v>474</v>
      </c>
      <c r="J3612" s="4" t="s">
        <v>807</v>
      </c>
      <c r="K3612" s="13" t="n">
        <v>80</v>
      </c>
      <c r="L3612" s="6" t="n">
        <f aca="false">H3612*K3612</f>
        <v>80</v>
      </c>
      <c r="M3612" s="4" t="s">
        <v>371</v>
      </c>
    </row>
    <row r="3613" customFormat="false" ht="23.85" hidden="false" customHeight="false" outlineLevel="0" collapsed="false">
      <c r="A3613" s="4" t="s">
        <v>136</v>
      </c>
      <c r="B3613" s="5" t="s">
        <v>143</v>
      </c>
      <c r="C3613" s="5" t="s">
        <v>144</v>
      </c>
      <c r="D3613" s="4" t="s">
        <v>16</v>
      </c>
      <c r="E3613" s="4" t="s">
        <v>2439</v>
      </c>
      <c r="F3613" s="4" t="s">
        <v>488</v>
      </c>
      <c r="G3613" s="4" t="s">
        <v>2440</v>
      </c>
      <c r="H3613" s="12" t="n">
        <v>1</v>
      </c>
      <c r="I3613" s="4" t="s">
        <v>474</v>
      </c>
      <c r="J3613" s="4" t="s">
        <v>409</v>
      </c>
      <c r="K3613" s="13" t="n">
        <v>10</v>
      </c>
      <c r="L3613" s="6" t="n">
        <f aca="false">H3613*K3613</f>
        <v>10</v>
      </c>
      <c r="M3613" s="4" t="s">
        <v>371</v>
      </c>
    </row>
    <row r="3614" customFormat="false" ht="23.85" hidden="false" customHeight="false" outlineLevel="0" collapsed="false">
      <c r="A3614" s="4" t="s">
        <v>136</v>
      </c>
      <c r="B3614" s="5" t="s">
        <v>143</v>
      </c>
      <c r="C3614" s="5" t="s">
        <v>144</v>
      </c>
      <c r="D3614" s="4" t="s">
        <v>16</v>
      </c>
      <c r="E3614" s="4" t="s">
        <v>4221</v>
      </c>
      <c r="F3614" s="4" t="s">
        <v>488</v>
      </c>
      <c r="G3614" s="4" t="s">
        <v>4222</v>
      </c>
      <c r="H3614" s="12" t="n">
        <v>5</v>
      </c>
      <c r="I3614" s="4" t="s">
        <v>474</v>
      </c>
      <c r="J3614" s="4" t="s">
        <v>409</v>
      </c>
      <c r="K3614" s="13" t="n">
        <v>25</v>
      </c>
      <c r="L3614" s="6" t="n">
        <f aca="false">H3614*K3614</f>
        <v>125</v>
      </c>
      <c r="M3614" s="4" t="s">
        <v>371</v>
      </c>
    </row>
    <row r="3615" customFormat="false" ht="23.85" hidden="false" customHeight="false" outlineLevel="0" collapsed="false">
      <c r="A3615" s="4" t="s">
        <v>136</v>
      </c>
      <c r="B3615" s="5" t="s">
        <v>143</v>
      </c>
      <c r="C3615" s="5" t="s">
        <v>144</v>
      </c>
      <c r="D3615" s="4" t="s">
        <v>16</v>
      </c>
      <c r="E3615" s="4" t="s">
        <v>4223</v>
      </c>
      <c r="F3615" s="4" t="s">
        <v>488</v>
      </c>
      <c r="G3615" s="4" t="s">
        <v>4224</v>
      </c>
      <c r="H3615" s="12" t="n">
        <v>1</v>
      </c>
      <c r="I3615" s="4" t="s">
        <v>474</v>
      </c>
      <c r="J3615" s="4" t="s">
        <v>503</v>
      </c>
      <c r="K3615" s="13" t="n">
        <v>120</v>
      </c>
      <c r="L3615" s="6" t="n">
        <f aca="false">H3615*K3615</f>
        <v>120</v>
      </c>
      <c r="M3615" s="4" t="s">
        <v>371</v>
      </c>
    </row>
    <row r="3616" customFormat="false" ht="23.85" hidden="false" customHeight="false" outlineLevel="0" collapsed="false">
      <c r="A3616" s="4" t="s">
        <v>136</v>
      </c>
      <c r="B3616" s="5" t="s">
        <v>143</v>
      </c>
      <c r="C3616" s="5" t="s">
        <v>144</v>
      </c>
      <c r="D3616" s="4" t="s">
        <v>16</v>
      </c>
      <c r="E3616" s="4" t="s">
        <v>4377</v>
      </c>
      <c r="F3616" s="4" t="s">
        <v>488</v>
      </c>
      <c r="G3616" s="4" t="s">
        <v>4378</v>
      </c>
      <c r="H3616" s="12" t="n">
        <v>1</v>
      </c>
      <c r="I3616" s="4" t="s">
        <v>474</v>
      </c>
      <c r="J3616" s="4" t="s">
        <v>416</v>
      </c>
      <c r="K3616" s="13" t="n">
        <v>180</v>
      </c>
      <c r="L3616" s="6" t="n">
        <f aca="false">H3616*K3616</f>
        <v>180</v>
      </c>
      <c r="M3616" s="4" t="s">
        <v>371</v>
      </c>
    </row>
    <row r="3617" customFormat="false" ht="23.85" hidden="false" customHeight="false" outlineLevel="0" collapsed="false">
      <c r="A3617" s="4" t="s">
        <v>136</v>
      </c>
      <c r="B3617" s="5" t="s">
        <v>143</v>
      </c>
      <c r="C3617" s="5" t="s">
        <v>144</v>
      </c>
      <c r="D3617" s="4" t="s">
        <v>16</v>
      </c>
      <c r="E3617" s="4" t="s">
        <v>836</v>
      </c>
      <c r="F3617" s="4" t="s">
        <v>488</v>
      </c>
      <c r="G3617" s="4" t="s">
        <v>837</v>
      </c>
      <c r="H3617" s="12" t="n">
        <v>1</v>
      </c>
      <c r="I3617" s="4" t="s">
        <v>474</v>
      </c>
      <c r="J3617" s="4" t="s">
        <v>796</v>
      </c>
      <c r="K3617" s="13" t="n">
        <v>15</v>
      </c>
      <c r="L3617" s="6" t="n">
        <f aca="false">H3617*K3617</f>
        <v>15</v>
      </c>
      <c r="M3617" s="4" t="s">
        <v>371</v>
      </c>
    </row>
    <row r="3618" customFormat="false" ht="23.85" hidden="false" customHeight="false" outlineLevel="0" collapsed="false">
      <c r="A3618" s="4" t="s">
        <v>136</v>
      </c>
      <c r="B3618" s="5" t="s">
        <v>143</v>
      </c>
      <c r="C3618" s="5" t="s">
        <v>144</v>
      </c>
      <c r="D3618" s="4" t="s">
        <v>16</v>
      </c>
      <c r="E3618" s="4" t="s">
        <v>4227</v>
      </c>
      <c r="F3618" s="4" t="s">
        <v>488</v>
      </c>
      <c r="G3618" s="4" t="s">
        <v>4228</v>
      </c>
      <c r="H3618" s="12" t="n">
        <v>1</v>
      </c>
      <c r="I3618" s="4" t="s">
        <v>474</v>
      </c>
      <c r="J3618" s="4" t="s">
        <v>807</v>
      </c>
      <c r="K3618" s="13" t="n">
        <v>120</v>
      </c>
      <c r="L3618" s="6" t="n">
        <f aca="false">H3618*K3618</f>
        <v>120</v>
      </c>
      <c r="M3618" s="4" t="s">
        <v>371</v>
      </c>
    </row>
    <row r="3619" customFormat="false" ht="15" hidden="false" customHeight="false" outlineLevel="0" collapsed="false">
      <c r="A3619" s="4" t="s">
        <v>136</v>
      </c>
      <c r="B3619" s="5" t="s">
        <v>145</v>
      </c>
      <c r="C3619" s="5" t="s">
        <v>146</v>
      </c>
      <c r="D3619" s="4" t="s">
        <v>16</v>
      </c>
      <c r="E3619" s="4" t="s">
        <v>1542</v>
      </c>
      <c r="F3619" s="4" t="s">
        <v>406</v>
      </c>
      <c r="G3619" s="4" t="s">
        <v>1543</v>
      </c>
      <c r="H3619" s="12" t="n">
        <v>1</v>
      </c>
      <c r="I3619" s="4" t="s">
        <v>408</v>
      </c>
      <c r="J3619" s="4" t="s">
        <v>409</v>
      </c>
      <c r="K3619" s="13" t="n">
        <v>250</v>
      </c>
      <c r="L3619" s="6" t="n">
        <f aca="false">H3619*K3619</f>
        <v>250</v>
      </c>
      <c r="M3619" s="4" t="s">
        <v>371</v>
      </c>
    </row>
    <row r="3620" customFormat="false" ht="15" hidden="false" customHeight="false" outlineLevel="0" collapsed="false">
      <c r="A3620" s="4" t="s">
        <v>136</v>
      </c>
      <c r="B3620" s="5" t="s">
        <v>145</v>
      </c>
      <c r="C3620" s="5" t="s">
        <v>146</v>
      </c>
      <c r="D3620" s="4" t="s">
        <v>16</v>
      </c>
      <c r="E3620" s="4" t="s">
        <v>1544</v>
      </c>
      <c r="F3620" s="4" t="s">
        <v>406</v>
      </c>
      <c r="G3620" s="4" t="s">
        <v>1545</v>
      </c>
      <c r="H3620" s="12" t="n">
        <v>1</v>
      </c>
      <c r="I3620" s="4" t="s">
        <v>408</v>
      </c>
      <c r="J3620" s="4" t="s">
        <v>416</v>
      </c>
      <c r="K3620" s="13" t="n">
        <v>650</v>
      </c>
      <c r="L3620" s="6" t="n">
        <f aca="false">H3620*K3620</f>
        <v>650</v>
      </c>
      <c r="M3620" s="14" t="s">
        <v>410</v>
      </c>
    </row>
    <row r="3621" customFormat="false" ht="15" hidden="false" customHeight="false" outlineLevel="0" collapsed="false">
      <c r="A3621" s="4" t="s">
        <v>136</v>
      </c>
      <c r="B3621" s="5" t="s">
        <v>145</v>
      </c>
      <c r="C3621" s="5" t="s">
        <v>146</v>
      </c>
      <c r="D3621" s="4" t="s">
        <v>16</v>
      </c>
      <c r="E3621" s="4" t="s">
        <v>1546</v>
      </c>
      <c r="F3621" s="4" t="s">
        <v>406</v>
      </c>
      <c r="G3621" s="4" t="s">
        <v>1547</v>
      </c>
      <c r="H3621" s="12" t="n">
        <v>1</v>
      </c>
      <c r="I3621" s="4" t="s">
        <v>408</v>
      </c>
      <c r="J3621" s="4" t="s">
        <v>409</v>
      </c>
      <c r="K3621" s="13" t="n">
        <v>650</v>
      </c>
      <c r="L3621" s="6" t="n">
        <f aca="false">H3621*K3621</f>
        <v>650</v>
      </c>
      <c r="M3621" s="14" t="s">
        <v>410</v>
      </c>
    </row>
    <row r="3622" customFormat="false" ht="15" hidden="false" customHeight="false" outlineLevel="0" collapsed="false">
      <c r="A3622" s="4" t="s">
        <v>136</v>
      </c>
      <c r="B3622" s="5" t="s">
        <v>145</v>
      </c>
      <c r="C3622" s="5" t="s">
        <v>146</v>
      </c>
      <c r="D3622" s="4" t="s">
        <v>16</v>
      </c>
      <c r="E3622" s="4" t="s">
        <v>1548</v>
      </c>
      <c r="F3622" s="4" t="s">
        <v>406</v>
      </c>
      <c r="G3622" s="4" t="s">
        <v>1549</v>
      </c>
      <c r="H3622" s="12" t="n">
        <v>1</v>
      </c>
      <c r="I3622" s="4" t="s">
        <v>408</v>
      </c>
      <c r="J3622" s="4" t="s">
        <v>409</v>
      </c>
      <c r="K3622" s="13" t="n">
        <v>350</v>
      </c>
      <c r="L3622" s="6" t="n">
        <f aca="false">H3622*K3622</f>
        <v>350</v>
      </c>
      <c r="M3622" s="14" t="s">
        <v>410</v>
      </c>
    </row>
    <row r="3623" customFormat="false" ht="15" hidden="false" customHeight="false" outlineLevel="0" collapsed="false">
      <c r="A3623" s="4" t="s">
        <v>136</v>
      </c>
      <c r="B3623" s="5" t="s">
        <v>145</v>
      </c>
      <c r="C3623" s="5" t="s">
        <v>146</v>
      </c>
      <c r="D3623" s="4" t="s">
        <v>16</v>
      </c>
      <c r="E3623" s="4" t="s">
        <v>1550</v>
      </c>
      <c r="F3623" s="4" t="s">
        <v>406</v>
      </c>
      <c r="G3623" s="4" t="s">
        <v>1551</v>
      </c>
      <c r="H3623" s="12" t="n">
        <v>1</v>
      </c>
      <c r="I3623" s="4" t="s">
        <v>408</v>
      </c>
      <c r="J3623" s="4" t="s">
        <v>416</v>
      </c>
      <c r="K3623" s="13" t="n">
        <v>450</v>
      </c>
      <c r="L3623" s="6" t="n">
        <f aca="false">H3623*K3623</f>
        <v>450</v>
      </c>
      <c r="M3623" s="14" t="s">
        <v>410</v>
      </c>
    </row>
    <row r="3624" customFormat="false" ht="15" hidden="false" customHeight="false" outlineLevel="0" collapsed="false">
      <c r="A3624" s="4" t="s">
        <v>136</v>
      </c>
      <c r="B3624" s="5" t="s">
        <v>145</v>
      </c>
      <c r="C3624" s="5" t="s">
        <v>146</v>
      </c>
      <c r="D3624" s="4" t="s">
        <v>16</v>
      </c>
      <c r="E3624" s="4" t="s">
        <v>1552</v>
      </c>
      <c r="F3624" s="4" t="s">
        <v>406</v>
      </c>
      <c r="G3624" s="4" t="s">
        <v>1553</v>
      </c>
      <c r="H3624" s="12" t="n">
        <v>1</v>
      </c>
      <c r="I3624" s="4" t="s">
        <v>408</v>
      </c>
      <c r="J3624" s="4" t="s">
        <v>409</v>
      </c>
      <c r="K3624" s="13" t="n">
        <v>850</v>
      </c>
      <c r="L3624" s="6" t="n">
        <f aca="false">H3624*K3624</f>
        <v>850</v>
      </c>
      <c r="M3624" s="14" t="s">
        <v>410</v>
      </c>
    </row>
    <row r="3625" customFormat="false" ht="15" hidden="false" customHeight="false" outlineLevel="0" collapsed="false">
      <c r="A3625" s="4" t="s">
        <v>136</v>
      </c>
      <c r="B3625" s="5" t="s">
        <v>145</v>
      </c>
      <c r="C3625" s="5" t="s">
        <v>146</v>
      </c>
      <c r="D3625" s="4" t="s">
        <v>16</v>
      </c>
      <c r="E3625" s="4" t="s">
        <v>1554</v>
      </c>
      <c r="F3625" s="4" t="s">
        <v>406</v>
      </c>
      <c r="G3625" s="4" t="s">
        <v>1555</v>
      </c>
      <c r="H3625" s="12" t="n">
        <v>1</v>
      </c>
      <c r="I3625" s="4" t="s">
        <v>408</v>
      </c>
      <c r="J3625" s="4" t="s">
        <v>409</v>
      </c>
      <c r="K3625" s="13" t="n">
        <v>850</v>
      </c>
      <c r="L3625" s="6" t="n">
        <f aca="false">H3625*K3625</f>
        <v>850</v>
      </c>
      <c r="M3625" s="14" t="s">
        <v>410</v>
      </c>
    </row>
    <row r="3626" customFormat="false" ht="15" hidden="false" customHeight="false" outlineLevel="0" collapsed="false">
      <c r="A3626" s="4" t="s">
        <v>136</v>
      </c>
      <c r="B3626" s="5" t="s">
        <v>145</v>
      </c>
      <c r="C3626" s="5" t="s">
        <v>146</v>
      </c>
      <c r="D3626" s="4" t="s">
        <v>16</v>
      </c>
      <c r="E3626" s="4" t="s">
        <v>1556</v>
      </c>
      <c r="F3626" s="4" t="s">
        <v>406</v>
      </c>
      <c r="G3626" s="4" t="s">
        <v>1557</v>
      </c>
      <c r="H3626" s="12" t="n">
        <v>1</v>
      </c>
      <c r="I3626" s="4" t="s">
        <v>408</v>
      </c>
      <c r="J3626" s="4" t="s">
        <v>409</v>
      </c>
      <c r="K3626" s="13" t="n">
        <v>350</v>
      </c>
      <c r="L3626" s="6" t="n">
        <f aca="false">H3626*K3626</f>
        <v>350</v>
      </c>
      <c r="M3626" s="14" t="s">
        <v>410</v>
      </c>
    </row>
    <row r="3627" customFormat="false" ht="15" hidden="false" customHeight="false" outlineLevel="0" collapsed="false">
      <c r="A3627" s="4" t="s">
        <v>136</v>
      </c>
      <c r="B3627" s="5" t="s">
        <v>145</v>
      </c>
      <c r="C3627" s="5" t="s">
        <v>146</v>
      </c>
      <c r="D3627" s="4" t="s">
        <v>16</v>
      </c>
      <c r="E3627" s="4" t="s">
        <v>1558</v>
      </c>
      <c r="F3627" s="4" t="s">
        <v>406</v>
      </c>
      <c r="G3627" s="4" t="s">
        <v>1559</v>
      </c>
      <c r="H3627" s="12" t="n">
        <v>1</v>
      </c>
      <c r="I3627" s="4" t="s">
        <v>408</v>
      </c>
      <c r="J3627" s="4" t="s">
        <v>409</v>
      </c>
      <c r="K3627" s="13" t="n">
        <v>850</v>
      </c>
      <c r="L3627" s="6" t="n">
        <f aca="false">H3627*K3627</f>
        <v>850</v>
      </c>
      <c r="M3627" s="14" t="s">
        <v>410</v>
      </c>
    </row>
    <row r="3628" customFormat="false" ht="15" hidden="false" customHeight="false" outlineLevel="0" collapsed="false">
      <c r="A3628" s="4" t="s">
        <v>136</v>
      </c>
      <c r="B3628" s="5" t="s">
        <v>145</v>
      </c>
      <c r="C3628" s="5" t="s">
        <v>146</v>
      </c>
      <c r="D3628" s="4" t="s">
        <v>16</v>
      </c>
      <c r="E3628" s="4" t="s">
        <v>1560</v>
      </c>
      <c r="F3628" s="4" t="s">
        <v>406</v>
      </c>
      <c r="G3628" s="4" t="s">
        <v>617</v>
      </c>
      <c r="H3628" s="12" t="n">
        <v>1</v>
      </c>
      <c r="I3628" s="4" t="s">
        <v>408</v>
      </c>
      <c r="J3628" s="4" t="s">
        <v>409</v>
      </c>
      <c r="K3628" s="13" t="n">
        <v>850</v>
      </c>
      <c r="L3628" s="6" t="n">
        <f aca="false">H3628*K3628</f>
        <v>850</v>
      </c>
      <c r="M3628" s="14" t="s">
        <v>410</v>
      </c>
    </row>
    <row r="3629" customFormat="false" ht="15" hidden="false" customHeight="false" outlineLevel="0" collapsed="false">
      <c r="A3629" s="4" t="s">
        <v>136</v>
      </c>
      <c r="B3629" s="5" t="s">
        <v>145</v>
      </c>
      <c r="C3629" s="5" t="s">
        <v>146</v>
      </c>
      <c r="D3629" s="4" t="s">
        <v>16</v>
      </c>
      <c r="E3629" s="4" t="s">
        <v>1561</v>
      </c>
      <c r="F3629" s="4" t="s">
        <v>406</v>
      </c>
      <c r="G3629" s="4" t="s">
        <v>1562</v>
      </c>
      <c r="H3629" s="12" t="n">
        <v>1</v>
      </c>
      <c r="I3629" s="4" t="s">
        <v>408</v>
      </c>
      <c r="J3629" s="4" t="s">
        <v>409</v>
      </c>
      <c r="K3629" s="13" t="n">
        <v>250</v>
      </c>
      <c r="L3629" s="6" t="n">
        <f aca="false">H3629*K3629</f>
        <v>250</v>
      </c>
      <c r="M3629" s="14" t="s">
        <v>410</v>
      </c>
    </row>
    <row r="3630" customFormat="false" ht="15" hidden="false" customHeight="false" outlineLevel="0" collapsed="false">
      <c r="A3630" s="4" t="s">
        <v>136</v>
      </c>
      <c r="B3630" s="5" t="s">
        <v>145</v>
      </c>
      <c r="C3630" s="5" t="s">
        <v>146</v>
      </c>
      <c r="D3630" s="4" t="s">
        <v>16</v>
      </c>
      <c r="E3630" s="4" t="s">
        <v>1563</v>
      </c>
      <c r="F3630" s="4" t="s">
        <v>406</v>
      </c>
      <c r="G3630" s="4" t="s">
        <v>1564</v>
      </c>
      <c r="H3630" s="12" t="n">
        <v>1</v>
      </c>
      <c r="I3630" s="4" t="s">
        <v>408</v>
      </c>
      <c r="J3630" s="4" t="s">
        <v>409</v>
      </c>
      <c r="K3630" s="13" t="n">
        <v>650</v>
      </c>
      <c r="L3630" s="6" t="n">
        <f aca="false">H3630*K3630</f>
        <v>650</v>
      </c>
      <c r="M3630" s="14" t="s">
        <v>410</v>
      </c>
    </row>
    <row r="3631" customFormat="false" ht="15" hidden="false" customHeight="false" outlineLevel="0" collapsed="false">
      <c r="A3631" s="4" t="s">
        <v>136</v>
      </c>
      <c r="B3631" s="5" t="s">
        <v>145</v>
      </c>
      <c r="C3631" s="5" t="s">
        <v>146</v>
      </c>
      <c r="D3631" s="4" t="s">
        <v>16</v>
      </c>
      <c r="E3631" s="4" t="s">
        <v>1565</v>
      </c>
      <c r="F3631" s="4" t="s">
        <v>406</v>
      </c>
      <c r="G3631" s="4" t="s">
        <v>1566</v>
      </c>
      <c r="H3631" s="12" t="n">
        <v>1</v>
      </c>
      <c r="I3631" s="4" t="s">
        <v>408</v>
      </c>
      <c r="J3631" s="4" t="s">
        <v>409</v>
      </c>
      <c r="K3631" s="13" t="n">
        <v>850</v>
      </c>
      <c r="L3631" s="6" t="n">
        <f aca="false">H3631*K3631</f>
        <v>850</v>
      </c>
      <c r="M3631" s="14" t="s">
        <v>410</v>
      </c>
    </row>
    <row r="3632" customFormat="false" ht="15" hidden="false" customHeight="false" outlineLevel="0" collapsed="false">
      <c r="A3632" s="4" t="s">
        <v>136</v>
      </c>
      <c r="B3632" s="5" t="s">
        <v>145</v>
      </c>
      <c r="C3632" s="5" t="s">
        <v>146</v>
      </c>
      <c r="D3632" s="4" t="s">
        <v>16</v>
      </c>
      <c r="E3632" s="4" t="s">
        <v>1567</v>
      </c>
      <c r="F3632" s="4" t="s">
        <v>406</v>
      </c>
      <c r="G3632" s="4" t="s">
        <v>1568</v>
      </c>
      <c r="H3632" s="12" t="n">
        <v>1</v>
      </c>
      <c r="I3632" s="4" t="s">
        <v>408</v>
      </c>
      <c r="J3632" s="4" t="s">
        <v>409</v>
      </c>
      <c r="K3632" s="13" t="n">
        <v>850</v>
      </c>
      <c r="L3632" s="6" t="n">
        <f aca="false">H3632*K3632</f>
        <v>850</v>
      </c>
      <c r="M3632" s="14" t="s">
        <v>410</v>
      </c>
    </row>
    <row r="3633" customFormat="false" ht="15" hidden="false" customHeight="false" outlineLevel="0" collapsed="false">
      <c r="A3633" s="4" t="s">
        <v>136</v>
      </c>
      <c r="B3633" s="5" t="s">
        <v>145</v>
      </c>
      <c r="C3633" s="5" t="s">
        <v>146</v>
      </c>
      <c r="D3633" s="4" t="s">
        <v>16</v>
      </c>
      <c r="E3633" s="4" t="s">
        <v>1569</v>
      </c>
      <c r="F3633" s="4" t="s">
        <v>406</v>
      </c>
      <c r="G3633" s="4" t="s">
        <v>1570</v>
      </c>
      <c r="H3633" s="12" t="n">
        <v>1</v>
      </c>
      <c r="I3633" s="4" t="s">
        <v>408</v>
      </c>
      <c r="J3633" s="4" t="s">
        <v>409</v>
      </c>
      <c r="K3633" s="13" t="n">
        <v>850</v>
      </c>
      <c r="L3633" s="6" t="n">
        <f aca="false">H3633*K3633</f>
        <v>850</v>
      </c>
      <c r="M3633" s="14" t="s">
        <v>410</v>
      </c>
    </row>
    <row r="3634" customFormat="false" ht="15" hidden="false" customHeight="false" outlineLevel="0" collapsed="false">
      <c r="A3634" s="4" t="s">
        <v>136</v>
      </c>
      <c r="B3634" s="5" t="s">
        <v>145</v>
      </c>
      <c r="C3634" s="5" t="s">
        <v>146</v>
      </c>
      <c r="D3634" s="4" t="s">
        <v>16</v>
      </c>
      <c r="E3634" s="4" t="s">
        <v>1571</v>
      </c>
      <c r="F3634" s="4" t="s">
        <v>406</v>
      </c>
      <c r="G3634" s="4" t="s">
        <v>1572</v>
      </c>
      <c r="H3634" s="12" t="n">
        <v>1</v>
      </c>
      <c r="I3634" s="4" t="s">
        <v>408</v>
      </c>
      <c r="J3634" s="4" t="s">
        <v>409</v>
      </c>
      <c r="K3634" s="13" t="n">
        <v>850</v>
      </c>
      <c r="L3634" s="6" t="n">
        <f aca="false">H3634*K3634</f>
        <v>850</v>
      </c>
      <c r="M3634" s="14" t="s">
        <v>410</v>
      </c>
    </row>
    <row r="3635" customFormat="false" ht="15" hidden="false" customHeight="false" outlineLevel="0" collapsed="false">
      <c r="A3635" s="4" t="s">
        <v>136</v>
      </c>
      <c r="B3635" s="5" t="s">
        <v>145</v>
      </c>
      <c r="C3635" s="5" t="s">
        <v>146</v>
      </c>
      <c r="D3635" s="4" t="s">
        <v>16</v>
      </c>
      <c r="E3635" s="4" t="s">
        <v>604</v>
      </c>
      <c r="F3635" s="4" t="s">
        <v>406</v>
      </c>
      <c r="G3635" s="4" t="s">
        <v>605</v>
      </c>
      <c r="H3635" s="12" t="n">
        <v>1</v>
      </c>
      <c r="I3635" s="4" t="s">
        <v>408</v>
      </c>
      <c r="J3635" s="4" t="s">
        <v>409</v>
      </c>
      <c r="K3635" s="13" t="n">
        <v>650</v>
      </c>
      <c r="L3635" s="6" t="n">
        <f aca="false">H3635*K3635</f>
        <v>650</v>
      </c>
      <c r="M3635" s="14" t="s">
        <v>410</v>
      </c>
    </row>
    <row r="3636" customFormat="false" ht="15" hidden="false" customHeight="false" outlineLevel="0" collapsed="false">
      <c r="A3636" s="4" t="s">
        <v>136</v>
      </c>
      <c r="B3636" s="5" t="s">
        <v>145</v>
      </c>
      <c r="C3636" s="5" t="s">
        <v>146</v>
      </c>
      <c r="D3636" s="4" t="s">
        <v>16</v>
      </c>
      <c r="E3636" s="4" t="s">
        <v>1573</v>
      </c>
      <c r="F3636" s="4" t="s">
        <v>406</v>
      </c>
      <c r="G3636" s="4" t="s">
        <v>1574</v>
      </c>
      <c r="H3636" s="12" t="n">
        <v>1</v>
      </c>
      <c r="I3636" s="4" t="s">
        <v>408</v>
      </c>
      <c r="J3636" s="4" t="s">
        <v>416</v>
      </c>
      <c r="K3636" s="13" t="n">
        <v>650</v>
      </c>
      <c r="L3636" s="6" t="n">
        <f aca="false">H3636*K3636</f>
        <v>650</v>
      </c>
      <c r="M3636" s="14" t="s">
        <v>410</v>
      </c>
    </row>
    <row r="3637" customFormat="false" ht="15" hidden="false" customHeight="false" outlineLevel="0" collapsed="false">
      <c r="A3637" s="4" t="s">
        <v>136</v>
      </c>
      <c r="B3637" s="5" t="s">
        <v>145</v>
      </c>
      <c r="C3637" s="5" t="s">
        <v>146</v>
      </c>
      <c r="D3637" s="4" t="s">
        <v>16</v>
      </c>
      <c r="E3637" s="4" t="s">
        <v>1575</v>
      </c>
      <c r="F3637" s="4" t="s">
        <v>406</v>
      </c>
      <c r="G3637" s="4" t="s">
        <v>1576</v>
      </c>
      <c r="H3637" s="12" t="n">
        <v>1</v>
      </c>
      <c r="I3637" s="4" t="s">
        <v>408</v>
      </c>
      <c r="J3637" s="4" t="s">
        <v>409</v>
      </c>
      <c r="K3637" s="13" t="n">
        <v>350</v>
      </c>
      <c r="L3637" s="6" t="n">
        <f aca="false">H3637*K3637</f>
        <v>350</v>
      </c>
      <c r="M3637" s="14" t="s">
        <v>410</v>
      </c>
    </row>
    <row r="3638" customFormat="false" ht="15" hidden="false" customHeight="false" outlineLevel="0" collapsed="false">
      <c r="A3638" s="4" t="s">
        <v>136</v>
      </c>
      <c r="B3638" s="5" t="s">
        <v>145</v>
      </c>
      <c r="C3638" s="5" t="s">
        <v>146</v>
      </c>
      <c r="D3638" s="4" t="s">
        <v>16</v>
      </c>
      <c r="E3638" s="4" t="s">
        <v>1577</v>
      </c>
      <c r="F3638" s="4" t="s">
        <v>406</v>
      </c>
      <c r="G3638" s="4" t="s">
        <v>1578</v>
      </c>
      <c r="H3638" s="12" t="n">
        <v>1</v>
      </c>
      <c r="I3638" s="4" t="s">
        <v>408</v>
      </c>
      <c r="J3638" s="4" t="s">
        <v>409</v>
      </c>
      <c r="K3638" s="13" t="n">
        <v>250</v>
      </c>
      <c r="L3638" s="6" t="n">
        <f aca="false">H3638*K3638</f>
        <v>250</v>
      </c>
      <c r="M3638" s="14" t="s">
        <v>410</v>
      </c>
    </row>
    <row r="3639" customFormat="false" ht="15" hidden="false" customHeight="false" outlineLevel="0" collapsed="false">
      <c r="A3639" s="4" t="s">
        <v>136</v>
      </c>
      <c r="B3639" s="5" t="s">
        <v>145</v>
      </c>
      <c r="C3639" s="5" t="s">
        <v>146</v>
      </c>
      <c r="D3639" s="4" t="s">
        <v>16</v>
      </c>
      <c r="E3639" s="4" t="s">
        <v>1579</v>
      </c>
      <c r="F3639" s="4" t="s">
        <v>406</v>
      </c>
      <c r="G3639" s="4" t="s">
        <v>1580</v>
      </c>
      <c r="H3639" s="12" t="n">
        <v>1</v>
      </c>
      <c r="I3639" s="4" t="s">
        <v>408</v>
      </c>
      <c r="J3639" s="4" t="s">
        <v>409</v>
      </c>
      <c r="K3639" s="13" t="n">
        <v>450</v>
      </c>
      <c r="L3639" s="6" t="n">
        <f aca="false">H3639*K3639</f>
        <v>450</v>
      </c>
      <c r="M3639" s="14" t="s">
        <v>410</v>
      </c>
    </row>
    <row r="3640" customFormat="false" ht="15" hidden="false" customHeight="false" outlineLevel="0" collapsed="false">
      <c r="A3640" s="4" t="s">
        <v>136</v>
      </c>
      <c r="B3640" s="5" t="s">
        <v>145</v>
      </c>
      <c r="C3640" s="5" t="s">
        <v>146</v>
      </c>
      <c r="D3640" s="4" t="s">
        <v>16</v>
      </c>
      <c r="E3640" s="4" t="s">
        <v>4275</v>
      </c>
      <c r="F3640" s="4" t="s">
        <v>406</v>
      </c>
      <c r="G3640" s="4" t="s">
        <v>4276</v>
      </c>
      <c r="H3640" s="12" t="n">
        <v>1</v>
      </c>
      <c r="I3640" s="4" t="s">
        <v>408</v>
      </c>
      <c r="J3640" s="4" t="s">
        <v>409</v>
      </c>
      <c r="K3640" s="13" t="n">
        <v>350</v>
      </c>
      <c r="L3640" s="6" t="n">
        <f aca="false">H3640*K3640</f>
        <v>350</v>
      </c>
      <c r="M3640" s="4" t="s">
        <v>371</v>
      </c>
    </row>
    <row r="3641" customFormat="false" ht="15" hidden="false" customHeight="false" outlineLevel="0" collapsed="false">
      <c r="A3641" s="4" t="s">
        <v>136</v>
      </c>
      <c r="B3641" s="5" t="s">
        <v>145</v>
      </c>
      <c r="C3641" s="5" t="s">
        <v>146</v>
      </c>
      <c r="D3641" s="4" t="s">
        <v>16</v>
      </c>
      <c r="E3641" s="4" t="s">
        <v>1583</v>
      </c>
      <c r="F3641" s="4" t="s">
        <v>406</v>
      </c>
      <c r="G3641" s="4" t="s">
        <v>1584</v>
      </c>
      <c r="H3641" s="12" t="n">
        <v>1</v>
      </c>
      <c r="I3641" s="4" t="s">
        <v>408</v>
      </c>
      <c r="J3641" s="4" t="s">
        <v>409</v>
      </c>
      <c r="K3641" s="13" t="n">
        <v>450</v>
      </c>
      <c r="L3641" s="6" t="n">
        <f aca="false">H3641*K3641</f>
        <v>450</v>
      </c>
      <c r="M3641" s="14" t="s">
        <v>410</v>
      </c>
    </row>
    <row r="3642" customFormat="false" ht="15" hidden="false" customHeight="false" outlineLevel="0" collapsed="false">
      <c r="A3642" s="4" t="s">
        <v>136</v>
      </c>
      <c r="B3642" s="5" t="s">
        <v>145</v>
      </c>
      <c r="C3642" s="5" t="s">
        <v>146</v>
      </c>
      <c r="D3642" s="4" t="s">
        <v>16</v>
      </c>
      <c r="E3642" s="4" t="s">
        <v>1585</v>
      </c>
      <c r="F3642" s="4" t="s">
        <v>406</v>
      </c>
      <c r="G3642" s="4" t="s">
        <v>1586</v>
      </c>
      <c r="H3642" s="12" t="n">
        <v>1</v>
      </c>
      <c r="I3642" s="4" t="s">
        <v>408</v>
      </c>
      <c r="J3642" s="4" t="s">
        <v>409</v>
      </c>
      <c r="K3642" s="13" t="n">
        <v>250</v>
      </c>
      <c r="L3642" s="6" t="n">
        <f aca="false">H3642*K3642</f>
        <v>250</v>
      </c>
      <c r="M3642" s="14" t="s">
        <v>410</v>
      </c>
    </row>
    <row r="3643" customFormat="false" ht="15" hidden="false" customHeight="false" outlineLevel="0" collapsed="false">
      <c r="A3643" s="4" t="s">
        <v>136</v>
      </c>
      <c r="B3643" s="5" t="s">
        <v>145</v>
      </c>
      <c r="C3643" s="5" t="s">
        <v>146</v>
      </c>
      <c r="D3643" s="4" t="s">
        <v>16</v>
      </c>
      <c r="E3643" s="4" t="s">
        <v>604</v>
      </c>
      <c r="F3643" s="4" t="s">
        <v>406</v>
      </c>
      <c r="G3643" s="4" t="s">
        <v>605</v>
      </c>
      <c r="H3643" s="12" t="n">
        <v>1</v>
      </c>
      <c r="I3643" s="4" t="s">
        <v>408</v>
      </c>
      <c r="J3643" s="4" t="s">
        <v>409</v>
      </c>
      <c r="K3643" s="13" t="n">
        <v>650</v>
      </c>
      <c r="L3643" s="6" t="n">
        <f aca="false">H3643*K3643</f>
        <v>650</v>
      </c>
      <c r="M3643" s="14" t="s">
        <v>410</v>
      </c>
    </row>
    <row r="3644" customFormat="false" ht="15" hidden="false" customHeight="false" outlineLevel="0" collapsed="false">
      <c r="A3644" s="4" t="s">
        <v>136</v>
      </c>
      <c r="B3644" s="5" t="s">
        <v>145</v>
      </c>
      <c r="C3644" s="5" t="s">
        <v>146</v>
      </c>
      <c r="D3644" s="4" t="s">
        <v>16</v>
      </c>
      <c r="E3644" s="4" t="s">
        <v>1587</v>
      </c>
      <c r="F3644" s="4" t="s">
        <v>406</v>
      </c>
      <c r="G3644" s="4" t="s">
        <v>1588</v>
      </c>
      <c r="H3644" s="12" t="n">
        <v>1</v>
      </c>
      <c r="I3644" s="4" t="s">
        <v>408</v>
      </c>
      <c r="J3644" s="4" t="s">
        <v>409</v>
      </c>
      <c r="K3644" s="13" t="n">
        <v>180</v>
      </c>
      <c r="L3644" s="6" t="n">
        <f aca="false">H3644*K3644</f>
        <v>180</v>
      </c>
      <c r="M3644" s="14" t="s">
        <v>410</v>
      </c>
    </row>
    <row r="3645" customFormat="false" ht="15" hidden="false" customHeight="false" outlineLevel="0" collapsed="false">
      <c r="A3645" s="4" t="s">
        <v>136</v>
      </c>
      <c r="B3645" s="5" t="s">
        <v>145</v>
      </c>
      <c r="C3645" s="5" t="s">
        <v>146</v>
      </c>
      <c r="D3645" s="4" t="s">
        <v>16</v>
      </c>
      <c r="E3645" s="4" t="s">
        <v>1589</v>
      </c>
      <c r="F3645" s="4" t="s">
        <v>488</v>
      </c>
      <c r="G3645" s="4" t="s">
        <v>1590</v>
      </c>
      <c r="H3645" s="12" t="n">
        <v>1</v>
      </c>
      <c r="I3645" s="4" t="s">
        <v>408</v>
      </c>
      <c r="J3645" s="4" t="s">
        <v>409</v>
      </c>
      <c r="K3645" s="13" t="n">
        <v>15</v>
      </c>
      <c r="L3645" s="6" t="n">
        <f aca="false">H3645*K3645</f>
        <v>15</v>
      </c>
      <c r="M3645" s="4" t="s">
        <v>371</v>
      </c>
    </row>
    <row r="3646" customFormat="false" ht="15" hidden="false" customHeight="false" outlineLevel="0" collapsed="false">
      <c r="A3646" s="4" t="s">
        <v>136</v>
      </c>
      <c r="B3646" s="5" t="s">
        <v>145</v>
      </c>
      <c r="C3646" s="5" t="s">
        <v>146</v>
      </c>
      <c r="D3646" s="4" t="s">
        <v>16</v>
      </c>
      <c r="E3646" s="4" t="s">
        <v>1591</v>
      </c>
      <c r="F3646" s="4" t="s">
        <v>488</v>
      </c>
      <c r="G3646" s="4" t="s">
        <v>1592</v>
      </c>
      <c r="H3646" s="12" t="n">
        <v>1</v>
      </c>
      <c r="I3646" s="4" t="s">
        <v>408</v>
      </c>
      <c r="J3646" s="4" t="s">
        <v>432</v>
      </c>
      <c r="K3646" s="13" t="n">
        <v>25</v>
      </c>
      <c r="L3646" s="6" t="n">
        <f aca="false">H3646*K3646</f>
        <v>25</v>
      </c>
      <c r="M3646" s="4" t="s">
        <v>371</v>
      </c>
    </row>
    <row r="3647" customFormat="false" ht="15" hidden="false" customHeight="false" outlineLevel="0" collapsed="false">
      <c r="A3647" s="4" t="s">
        <v>136</v>
      </c>
      <c r="B3647" s="5" t="s">
        <v>145</v>
      </c>
      <c r="C3647" s="5" t="s">
        <v>146</v>
      </c>
      <c r="D3647" s="4" t="s">
        <v>16</v>
      </c>
      <c r="E3647" s="4" t="s">
        <v>1593</v>
      </c>
      <c r="F3647" s="4" t="s">
        <v>488</v>
      </c>
      <c r="G3647" s="4" t="s">
        <v>1594</v>
      </c>
      <c r="H3647" s="12" t="n">
        <v>1</v>
      </c>
      <c r="I3647" s="4" t="s">
        <v>408</v>
      </c>
      <c r="J3647" s="4" t="s">
        <v>432</v>
      </c>
      <c r="K3647" s="13" t="n">
        <v>8</v>
      </c>
      <c r="L3647" s="6" t="n">
        <f aca="false">H3647*K3647</f>
        <v>8</v>
      </c>
      <c r="M3647" s="4" t="s">
        <v>371</v>
      </c>
    </row>
    <row r="3648" customFormat="false" ht="15" hidden="false" customHeight="false" outlineLevel="0" collapsed="false">
      <c r="A3648" s="4" t="s">
        <v>136</v>
      </c>
      <c r="B3648" s="5" t="s">
        <v>145</v>
      </c>
      <c r="C3648" s="5" t="s">
        <v>146</v>
      </c>
      <c r="D3648" s="4" t="s">
        <v>16</v>
      </c>
      <c r="E3648" s="4" t="s">
        <v>1595</v>
      </c>
      <c r="F3648" s="4" t="s">
        <v>488</v>
      </c>
      <c r="G3648" s="4" t="s">
        <v>1596</v>
      </c>
      <c r="H3648" s="12" t="n">
        <v>1</v>
      </c>
      <c r="I3648" s="4" t="s">
        <v>408</v>
      </c>
      <c r="J3648" s="4" t="s">
        <v>409</v>
      </c>
      <c r="K3648" s="13" t="n">
        <v>55</v>
      </c>
      <c r="L3648" s="6" t="n">
        <f aca="false">H3648*K3648</f>
        <v>55</v>
      </c>
      <c r="M3648" s="4" t="s">
        <v>371</v>
      </c>
    </row>
    <row r="3649" customFormat="false" ht="15" hidden="false" customHeight="false" outlineLevel="0" collapsed="false">
      <c r="A3649" s="4" t="s">
        <v>136</v>
      </c>
      <c r="B3649" s="5" t="s">
        <v>145</v>
      </c>
      <c r="C3649" s="5" t="s">
        <v>146</v>
      </c>
      <c r="D3649" s="4" t="s">
        <v>16</v>
      </c>
      <c r="E3649" s="4" t="s">
        <v>1597</v>
      </c>
      <c r="F3649" s="4" t="s">
        <v>488</v>
      </c>
      <c r="G3649" s="4" t="s">
        <v>1598</v>
      </c>
      <c r="H3649" s="12" t="n">
        <v>1</v>
      </c>
      <c r="I3649" s="4" t="s">
        <v>408</v>
      </c>
      <c r="J3649" s="4" t="s">
        <v>432</v>
      </c>
      <c r="K3649" s="13" t="n">
        <v>9</v>
      </c>
      <c r="L3649" s="6" t="n">
        <f aca="false">H3649*K3649</f>
        <v>9</v>
      </c>
      <c r="M3649" s="4" t="s">
        <v>371</v>
      </c>
    </row>
    <row r="3650" customFormat="false" ht="15" hidden="false" customHeight="false" outlineLevel="0" collapsed="false">
      <c r="A3650" s="4" t="s">
        <v>136</v>
      </c>
      <c r="B3650" s="5" t="s">
        <v>145</v>
      </c>
      <c r="C3650" s="5" t="s">
        <v>146</v>
      </c>
      <c r="D3650" s="4" t="s">
        <v>16</v>
      </c>
      <c r="E3650" s="4" t="s">
        <v>1599</v>
      </c>
      <c r="F3650" s="4" t="s">
        <v>488</v>
      </c>
      <c r="G3650" s="4" t="s">
        <v>1600</v>
      </c>
      <c r="H3650" s="12" t="n">
        <v>1</v>
      </c>
      <c r="I3650" s="4" t="s">
        <v>408</v>
      </c>
      <c r="J3650" s="4" t="s">
        <v>490</v>
      </c>
      <c r="K3650" s="13" t="n">
        <v>2</v>
      </c>
      <c r="L3650" s="6" t="n">
        <f aca="false">H3650*K3650</f>
        <v>2</v>
      </c>
      <c r="M3650" s="4" t="s">
        <v>371</v>
      </c>
    </row>
    <row r="3651" customFormat="false" ht="15" hidden="false" customHeight="false" outlineLevel="0" collapsed="false">
      <c r="A3651" s="4" t="s">
        <v>166</v>
      </c>
      <c r="B3651" s="5" t="s">
        <v>171</v>
      </c>
      <c r="C3651" s="5" t="s">
        <v>172</v>
      </c>
      <c r="D3651" s="4" t="s">
        <v>16</v>
      </c>
      <c r="E3651" s="4" t="s">
        <v>4379</v>
      </c>
      <c r="F3651" s="4" t="s">
        <v>406</v>
      </c>
      <c r="G3651" s="4" t="s">
        <v>4380</v>
      </c>
      <c r="H3651" s="12" t="n">
        <v>1</v>
      </c>
      <c r="I3651" s="4" t="s">
        <v>408</v>
      </c>
      <c r="J3651" s="4" t="s">
        <v>416</v>
      </c>
      <c r="K3651" s="13" t="n">
        <v>450</v>
      </c>
      <c r="L3651" s="6" t="n">
        <f aca="false">H3651*K3651</f>
        <v>450</v>
      </c>
      <c r="M3651" s="14" t="s">
        <v>410</v>
      </c>
    </row>
    <row r="3652" customFormat="false" ht="15" hidden="false" customHeight="false" outlineLevel="0" collapsed="false">
      <c r="A3652" s="4" t="s">
        <v>166</v>
      </c>
      <c r="B3652" s="5" t="s">
        <v>171</v>
      </c>
      <c r="C3652" s="5" t="s">
        <v>172</v>
      </c>
      <c r="D3652" s="4" t="s">
        <v>16</v>
      </c>
      <c r="E3652" s="4" t="s">
        <v>4381</v>
      </c>
      <c r="F3652" s="4" t="s">
        <v>406</v>
      </c>
      <c r="G3652" s="4" t="s">
        <v>4382</v>
      </c>
      <c r="H3652" s="12" t="n">
        <v>1</v>
      </c>
      <c r="I3652" s="4" t="s">
        <v>474</v>
      </c>
      <c r="J3652" s="4" t="s">
        <v>409</v>
      </c>
      <c r="K3652" s="13" t="n">
        <v>18000</v>
      </c>
      <c r="L3652" s="6" t="n">
        <f aca="false">H3652*K3652</f>
        <v>18000</v>
      </c>
      <c r="M3652" s="14" t="s">
        <v>410</v>
      </c>
    </row>
    <row r="3653" customFormat="false" ht="15" hidden="false" customHeight="false" outlineLevel="0" collapsed="false">
      <c r="A3653" s="4" t="s">
        <v>166</v>
      </c>
      <c r="B3653" s="5" t="s">
        <v>171</v>
      </c>
      <c r="C3653" s="5" t="s">
        <v>172</v>
      </c>
      <c r="D3653" s="4" t="s">
        <v>16</v>
      </c>
      <c r="E3653" s="4" t="s">
        <v>4383</v>
      </c>
      <c r="F3653" s="4" t="s">
        <v>406</v>
      </c>
      <c r="G3653" s="4" t="s">
        <v>4384</v>
      </c>
      <c r="H3653" s="12" t="n">
        <v>1</v>
      </c>
      <c r="I3653" s="4" t="s">
        <v>474</v>
      </c>
      <c r="J3653" s="4" t="s">
        <v>409</v>
      </c>
      <c r="K3653" s="13" t="n">
        <v>25000</v>
      </c>
      <c r="L3653" s="6" t="n">
        <f aca="false">H3653*K3653</f>
        <v>25000</v>
      </c>
      <c r="M3653" s="14" t="s">
        <v>410</v>
      </c>
    </row>
    <row r="3654" customFormat="false" ht="15" hidden="false" customHeight="false" outlineLevel="0" collapsed="false">
      <c r="A3654" s="4" t="s">
        <v>166</v>
      </c>
      <c r="B3654" s="5" t="s">
        <v>171</v>
      </c>
      <c r="C3654" s="5" t="s">
        <v>172</v>
      </c>
      <c r="D3654" s="4" t="s">
        <v>16</v>
      </c>
      <c r="E3654" s="4" t="s">
        <v>4385</v>
      </c>
      <c r="F3654" s="4" t="s">
        <v>406</v>
      </c>
      <c r="G3654" s="4" t="s">
        <v>4386</v>
      </c>
      <c r="H3654" s="12" t="n">
        <v>1</v>
      </c>
      <c r="I3654" s="4" t="s">
        <v>408</v>
      </c>
      <c r="J3654" s="4" t="s">
        <v>416</v>
      </c>
      <c r="K3654" s="13" t="n">
        <v>8500</v>
      </c>
      <c r="L3654" s="6" t="n">
        <f aca="false">H3654*K3654</f>
        <v>8500</v>
      </c>
      <c r="M3654" s="14" t="s">
        <v>410</v>
      </c>
    </row>
    <row r="3655" customFormat="false" ht="15" hidden="false" customHeight="false" outlineLevel="0" collapsed="false">
      <c r="A3655" s="4" t="s">
        <v>166</v>
      </c>
      <c r="B3655" s="5" t="s">
        <v>171</v>
      </c>
      <c r="C3655" s="5" t="s">
        <v>172</v>
      </c>
      <c r="D3655" s="4" t="s">
        <v>16</v>
      </c>
      <c r="E3655" s="4" t="s">
        <v>4387</v>
      </c>
      <c r="F3655" s="4" t="s">
        <v>406</v>
      </c>
      <c r="G3655" s="4" t="s">
        <v>4388</v>
      </c>
      <c r="H3655" s="12" t="n">
        <v>2</v>
      </c>
      <c r="I3655" s="4" t="s">
        <v>474</v>
      </c>
      <c r="J3655" s="4" t="s">
        <v>409</v>
      </c>
      <c r="K3655" s="13" t="n">
        <v>3500</v>
      </c>
      <c r="L3655" s="6" t="n">
        <f aca="false">H3655*K3655</f>
        <v>7000</v>
      </c>
      <c r="M3655" s="14" t="s">
        <v>410</v>
      </c>
    </row>
    <row r="3656" customFormat="false" ht="15" hidden="false" customHeight="false" outlineLevel="0" collapsed="false">
      <c r="A3656" s="4" t="s">
        <v>166</v>
      </c>
      <c r="B3656" s="5" t="s">
        <v>171</v>
      </c>
      <c r="C3656" s="5" t="s">
        <v>172</v>
      </c>
      <c r="D3656" s="4" t="s">
        <v>16</v>
      </c>
      <c r="E3656" s="4" t="s">
        <v>4389</v>
      </c>
      <c r="F3656" s="4" t="s">
        <v>406</v>
      </c>
      <c r="G3656" s="4" t="s">
        <v>4390</v>
      </c>
      <c r="H3656" s="12" t="n">
        <v>1</v>
      </c>
      <c r="I3656" s="4" t="s">
        <v>474</v>
      </c>
      <c r="J3656" s="4" t="s">
        <v>409</v>
      </c>
      <c r="K3656" s="13" t="n">
        <v>65000</v>
      </c>
      <c r="L3656" s="6" t="n">
        <f aca="false">H3656*K3656</f>
        <v>65000</v>
      </c>
      <c r="M3656" s="14" t="s">
        <v>410</v>
      </c>
    </row>
    <row r="3657" customFormat="false" ht="15" hidden="false" customHeight="false" outlineLevel="0" collapsed="false">
      <c r="A3657" s="4" t="s">
        <v>166</v>
      </c>
      <c r="B3657" s="5" t="s">
        <v>171</v>
      </c>
      <c r="C3657" s="5" t="s">
        <v>172</v>
      </c>
      <c r="D3657" s="4" t="s">
        <v>16</v>
      </c>
      <c r="E3657" s="4" t="s">
        <v>4391</v>
      </c>
      <c r="F3657" s="4" t="s">
        <v>406</v>
      </c>
      <c r="G3657" s="4" t="s">
        <v>4392</v>
      </c>
      <c r="H3657" s="12" t="n">
        <v>1</v>
      </c>
      <c r="I3657" s="4" t="s">
        <v>474</v>
      </c>
      <c r="J3657" s="4" t="s">
        <v>409</v>
      </c>
      <c r="K3657" s="13" t="n">
        <v>85000</v>
      </c>
      <c r="L3657" s="6" t="n">
        <f aca="false">H3657*K3657</f>
        <v>85000</v>
      </c>
      <c r="M3657" s="14" t="s">
        <v>410</v>
      </c>
    </row>
    <row r="3658" customFormat="false" ht="15" hidden="false" customHeight="false" outlineLevel="0" collapsed="false">
      <c r="A3658" s="4" t="s">
        <v>166</v>
      </c>
      <c r="B3658" s="5" t="s">
        <v>171</v>
      </c>
      <c r="C3658" s="5" t="s">
        <v>172</v>
      </c>
      <c r="D3658" s="4" t="s">
        <v>16</v>
      </c>
      <c r="E3658" s="4" t="s">
        <v>4393</v>
      </c>
      <c r="F3658" s="4" t="s">
        <v>406</v>
      </c>
      <c r="G3658" s="4" t="s">
        <v>4394</v>
      </c>
      <c r="H3658" s="12" t="n">
        <v>1</v>
      </c>
      <c r="I3658" s="4" t="s">
        <v>474</v>
      </c>
      <c r="J3658" s="4" t="s">
        <v>409</v>
      </c>
      <c r="K3658" s="13" t="n">
        <v>65000</v>
      </c>
      <c r="L3658" s="6" t="n">
        <f aca="false">H3658*K3658</f>
        <v>65000</v>
      </c>
      <c r="M3658" s="14" t="s">
        <v>410</v>
      </c>
    </row>
    <row r="3659" customFormat="false" ht="15" hidden="false" customHeight="false" outlineLevel="0" collapsed="false">
      <c r="A3659" s="4" t="s">
        <v>166</v>
      </c>
      <c r="B3659" s="5" t="s">
        <v>171</v>
      </c>
      <c r="C3659" s="5" t="s">
        <v>172</v>
      </c>
      <c r="D3659" s="4" t="s">
        <v>16</v>
      </c>
      <c r="E3659" s="4" t="s">
        <v>4395</v>
      </c>
      <c r="F3659" s="4" t="s">
        <v>406</v>
      </c>
      <c r="G3659" s="4" t="s">
        <v>4396</v>
      </c>
      <c r="H3659" s="12" t="n">
        <v>1</v>
      </c>
      <c r="I3659" s="4" t="s">
        <v>474</v>
      </c>
      <c r="J3659" s="4" t="s">
        <v>409</v>
      </c>
      <c r="K3659" s="13" t="n">
        <v>45000</v>
      </c>
      <c r="L3659" s="6" t="n">
        <f aca="false">H3659*K3659</f>
        <v>45000</v>
      </c>
      <c r="M3659" s="14" t="s">
        <v>410</v>
      </c>
    </row>
    <row r="3660" customFormat="false" ht="15" hidden="false" customHeight="false" outlineLevel="0" collapsed="false">
      <c r="A3660" s="4" t="s">
        <v>166</v>
      </c>
      <c r="B3660" s="5" t="s">
        <v>171</v>
      </c>
      <c r="C3660" s="5" t="s">
        <v>172</v>
      </c>
      <c r="D3660" s="4" t="s">
        <v>16</v>
      </c>
      <c r="E3660" s="4" t="s">
        <v>4397</v>
      </c>
      <c r="F3660" s="4" t="s">
        <v>406</v>
      </c>
      <c r="G3660" s="4" t="s">
        <v>4398</v>
      </c>
      <c r="H3660" s="12" t="n">
        <v>1</v>
      </c>
      <c r="I3660" s="4" t="s">
        <v>474</v>
      </c>
      <c r="J3660" s="4" t="s">
        <v>409</v>
      </c>
      <c r="K3660" s="13" t="n">
        <v>8500</v>
      </c>
      <c r="L3660" s="6" t="n">
        <f aca="false">H3660*K3660</f>
        <v>8500</v>
      </c>
      <c r="M3660" s="14" t="s">
        <v>410</v>
      </c>
    </row>
    <row r="3661" customFormat="false" ht="15" hidden="false" customHeight="false" outlineLevel="0" collapsed="false">
      <c r="A3661" s="4" t="s">
        <v>166</v>
      </c>
      <c r="B3661" s="5" t="s">
        <v>171</v>
      </c>
      <c r="C3661" s="5" t="s">
        <v>172</v>
      </c>
      <c r="D3661" s="4" t="s">
        <v>16</v>
      </c>
      <c r="E3661" s="4" t="s">
        <v>4399</v>
      </c>
      <c r="F3661" s="4" t="s">
        <v>406</v>
      </c>
      <c r="G3661" s="4" t="s">
        <v>4400</v>
      </c>
      <c r="H3661" s="12" t="n">
        <v>1</v>
      </c>
      <c r="I3661" s="4" t="s">
        <v>474</v>
      </c>
      <c r="J3661" s="4" t="s">
        <v>409</v>
      </c>
      <c r="K3661" s="13" t="n">
        <v>18000</v>
      </c>
      <c r="L3661" s="6" t="n">
        <f aca="false">H3661*K3661</f>
        <v>18000</v>
      </c>
      <c r="M3661" s="14" t="s">
        <v>410</v>
      </c>
    </row>
    <row r="3662" customFormat="false" ht="15" hidden="false" customHeight="false" outlineLevel="0" collapsed="false">
      <c r="A3662" s="4" t="s">
        <v>166</v>
      </c>
      <c r="B3662" s="5" t="s">
        <v>171</v>
      </c>
      <c r="C3662" s="5" t="s">
        <v>172</v>
      </c>
      <c r="D3662" s="4" t="s">
        <v>16</v>
      </c>
      <c r="E3662" s="4" t="s">
        <v>4401</v>
      </c>
      <c r="F3662" s="4" t="s">
        <v>406</v>
      </c>
      <c r="G3662" s="4" t="s">
        <v>4402</v>
      </c>
      <c r="H3662" s="12" t="n">
        <v>1</v>
      </c>
      <c r="I3662" s="4" t="s">
        <v>474</v>
      </c>
      <c r="J3662" s="4" t="s">
        <v>409</v>
      </c>
      <c r="K3662" s="13" t="n">
        <v>45000</v>
      </c>
      <c r="L3662" s="6" t="n">
        <f aca="false">H3662*K3662</f>
        <v>45000</v>
      </c>
      <c r="M3662" s="14" t="s">
        <v>410</v>
      </c>
    </row>
    <row r="3663" customFormat="false" ht="15" hidden="false" customHeight="false" outlineLevel="0" collapsed="false">
      <c r="A3663" s="4" t="s">
        <v>166</v>
      </c>
      <c r="B3663" s="5" t="s">
        <v>171</v>
      </c>
      <c r="C3663" s="5" t="s">
        <v>172</v>
      </c>
      <c r="D3663" s="4" t="s">
        <v>16</v>
      </c>
      <c r="E3663" s="4" t="s">
        <v>4403</v>
      </c>
      <c r="F3663" s="4" t="s">
        <v>406</v>
      </c>
      <c r="G3663" s="4" t="s">
        <v>4404</v>
      </c>
      <c r="H3663" s="12" t="n">
        <v>1</v>
      </c>
      <c r="I3663" s="4" t="s">
        <v>474</v>
      </c>
      <c r="J3663" s="4" t="s">
        <v>409</v>
      </c>
      <c r="K3663" s="13" t="n">
        <v>45000</v>
      </c>
      <c r="L3663" s="6" t="n">
        <f aca="false">H3663*K3663</f>
        <v>45000</v>
      </c>
      <c r="M3663" s="14" t="s">
        <v>410</v>
      </c>
    </row>
    <row r="3664" customFormat="false" ht="15" hidden="false" customHeight="false" outlineLevel="0" collapsed="false">
      <c r="A3664" s="4" t="s">
        <v>166</v>
      </c>
      <c r="B3664" s="5" t="s">
        <v>171</v>
      </c>
      <c r="C3664" s="5" t="s">
        <v>172</v>
      </c>
      <c r="D3664" s="4" t="s">
        <v>16</v>
      </c>
      <c r="E3664" s="4" t="s">
        <v>4405</v>
      </c>
      <c r="F3664" s="4" t="s">
        <v>406</v>
      </c>
      <c r="G3664" s="4" t="s">
        <v>4406</v>
      </c>
      <c r="H3664" s="12" t="n">
        <v>1</v>
      </c>
      <c r="I3664" s="4" t="s">
        <v>474</v>
      </c>
      <c r="J3664" s="4" t="s">
        <v>409</v>
      </c>
      <c r="K3664" s="13" t="n">
        <v>18000</v>
      </c>
      <c r="L3664" s="6" t="n">
        <f aca="false">H3664*K3664</f>
        <v>18000</v>
      </c>
      <c r="M3664" s="4" t="s">
        <v>371</v>
      </c>
    </row>
    <row r="3665" customFormat="false" ht="15" hidden="false" customHeight="false" outlineLevel="0" collapsed="false">
      <c r="A3665" s="4" t="s">
        <v>166</v>
      </c>
      <c r="B3665" s="5" t="s">
        <v>171</v>
      </c>
      <c r="C3665" s="5" t="s">
        <v>172</v>
      </c>
      <c r="D3665" s="4" t="s">
        <v>16</v>
      </c>
      <c r="E3665" s="4" t="s">
        <v>4407</v>
      </c>
      <c r="F3665" s="4" t="s">
        <v>406</v>
      </c>
      <c r="G3665" s="4" t="s">
        <v>4408</v>
      </c>
      <c r="H3665" s="12" t="n">
        <v>1</v>
      </c>
      <c r="I3665" s="4" t="s">
        <v>474</v>
      </c>
      <c r="J3665" s="4" t="s">
        <v>409</v>
      </c>
      <c r="K3665" s="13" t="n">
        <v>18000</v>
      </c>
      <c r="L3665" s="6" t="n">
        <f aca="false">H3665*K3665</f>
        <v>18000</v>
      </c>
      <c r="M3665" s="14" t="s">
        <v>410</v>
      </c>
    </row>
    <row r="3666" customFormat="false" ht="15" hidden="false" customHeight="false" outlineLevel="0" collapsed="false">
      <c r="A3666" s="4" t="s">
        <v>166</v>
      </c>
      <c r="B3666" s="5" t="s">
        <v>171</v>
      </c>
      <c r="C3666" s="5" t="s">
        <v>172</v>
      </c>
      <c r="D3666" s="4" t="s">
        <v>16</v>
      </c>
      <c r="E3666" s="4" t="s">
        <v>4409</v>
      </c>
      <c r="F3666" s="4" t="s">
        <v>406</v>
      </c>
      <c r="G3666" s="4" t="s">
        <v>4410</v>
      </c>
      <c r="H3666" s="12" t="n">
        <v>1</v>
      </c>
      <c r="I3666" s="4" t="s">
        <v>474</v>
      </c>
      <c r="J3666" s="4" t="s">
        <v>409</v>
      </c>
      <c r="K3666" s="13" t="n">
        <v>45000</v>
      </c>
      <c r="L3666" s="6" t="n">
        <f aca="false">H3666*K3666</f>
        <v>45000</v>
      </c>
      <c r="M3666" s="14" t="s">
        <v>410</v>
      </c>
    </row>
    <row r="3667" customFormat="false" ht="15" hidden="false" customHeight="false" outlineLevel="0" collapsed="false">
      <c r="A3667" s="4" t="s">
        <v>166</v>
      </c>
      <c r="B3667" s="5" t="s">
        <v>171</v>
      </c>
      <c r="C3667" s="5" t="s">
        <v>172</v>
      </c>
      <c r="D3667" s="4" t="s">
        <v>16</v>
      </c>
      <c r="E3667" s="4" t="s">
        <v>4411</v>
      </c>
      <c r="F3667" s="4" t="s">
        <v>406</v>
      </c>
      <c r="G3667" s="4" t="s">
        <v>4412</v>
      </c>
      <c r="H3667" s="12" t="n">
        <v>1</v>
      </c>
      <c r="I3667" s="4" t="s">
        <v>474</v>
      </c>
      <c r="J3667" s="4" t="s">
        <v>409</v>
      </c>
      <c r="K3667" s="13" t="n">
        <v>2500</v>
      </c>
      <c r="L3667" s="6" t="n">
        <f aca="false">H3667*K3667</f>
        <v>2500</v>
      </c>
      <c r="M3667" s="4" t="s">
        <v>371</v>
      </c>
    </row>
    <row r="3668" customFormat="false" ht="15" hidden="false" customHeight="false" outlineLevel="0" collapsed="false">
      <c r="A3668" s="4" t="s">
        <v>166</v>
      </c>
      <c r="B3668" s="5" t="s">
        <v>171</v>
      </c>
      <c r="C3668" s="5" t="s">
        <v>172</v>
      </c>
      <c r="D3668" s="4" t="s">
        <v>16</v>
      </c>
      <c r="E3668" s="4" t="s">
        <v>4413</v>
      </c>
      <c r="F3668" s="4" t="s">
        <v>406</v>
      </c>
      <c r="G3668" s="4" t="s">
        <v>4414</v>
      </c>
      <c r="H3668" s="12" t="n">
        <v>1</v>
      </c>
      <c r="I3668" s="4" t="s">
        <v>474</v>
      </c>
      <c r="J3668" s="4" t="s">
        <v>409</v>
      </c>
      <c r="K3668" s="13" t="n">
        <v>45000</v>
      </c>
      <c r="L3668" s="6" t="n">
        <f aca="false">H3668*K3668</f>
        <v>45000</v>
      </c>
      <c r="M3668" s="14" t="s">
        <v>410</v>
      </c>
    </row>
    <row r="3669" customFormat="false" ht="15" hidden="false" customHeight="false" outlineLevel="0" collapsed="false">
      <c r="A3669" s="4" t="s">
        <v>166</v>
      </c>
      <c r="B3669" s="5" t="s">
        <v>171</v>
      </c>
      <c r="C3669" s="5" t="s">
        <v>172</v>
      </c>
      <c r="D3669" s="4" t="s">
        <v>16</v>
      </c>
      <c r="E3669" s="4" t="s">
        <v>4415</v>
      </c>
      <c r="F3669" s="4" t="s">
        <v>406</v>
      </c>
      <c r="G3669" s="4" t="s">
        <v>4416</v>
      </c>
      <c r="H3669" s="12" t="n">
        <v>1</v>
      </c>
      <c r="I3669" s="4" t="s">
        <v>474</v>
      </c>
      <c r="J3669" s="4" t="s">
        <v>409</v>
      </c>
      <c r="K3669" s="13" t="n">
        <v>3500</v>
      </c>
      <c r="L3669" s="6" t="n">
        <f aca="false">H3669*K3669</f>
        <v>3500</v>
      </c>
      <c r="M3669" s="14" t="s">
        <v>410</v>
      </c>
    </row>
    <row r="3670" customFormat="false" ht="15" hidden="false" customHeight="false" outlineLevel="0" collapsed="false">
      <c r="A3670" s="4" t="s">
        <v>166</v>
      </c>
      <c r="B3670" s="5" t="s">
        <v>171</v>
      </c>
      <c r="C3670" s="5" t="s">
        <v>172</v>
      </c>
      <c r="D3670" s="4" t="s">
        <v>16</v>
      </c>
      <c r="E3670" s="4" t="s">
        <v>4417</v>
      </c>
      <c r="F3670" s="4" t="s">
        <v>406</v>
      </c>
      <c r="G3670" s="4" t="s">
        <v>4418</v>
      </c>
      <c r="H3670" s="12" t="n">
        <v>1</v>
      </c>
      <c r="I3670" s="4" t="s">
        <v>474</v>
      </c>
      <c r="J3670" s="4" t="s">
        <v>409</v>
      </c>
      <c r="K3670" s="13" t="n">
        <v>85000</v>
      </c>
      <c r="L3670" s="6" t="n">
        <f aca="false">H3670*K3670</f>
        <v>85000</v>
      </c>
      <c r="M3670" s="4" t="s">
        <v>371</v>
      </c>
    </row>
    <row r="3671" customFormat="false" ht="15" hidden="false" customHeight="false" outlineLevel="0" collapsed="false">
      <c r="A3671" s="4" t="s">
        <v>166</v>
      </c>
      <c r="B3671" s="5" t="s">
        <v>171</v>
      </c>
      <c r="C3671" s="5" t="s">
        <v>172</v>
      </c>
      <c r="D3671" s="4" t="s">
        <v>16</v>
      </c>
      <c r="E3671" s="4" t="s">
        <v>4419</v>
      </c>
      <c r="F3671" s="4" t="s">
        <v>406</v>
      </c>
      <c r="G3671" s="4" t="s">
        <v>4420</v>
      </c>
      <c r="H3671" s="12" t="n">
        <v>2</v>
      </c>
      <c r="I3671" s="4" t="s">
        <v>474</v>
      </c>
      <c r="J3671" s="4" t="s">
        <v>409</v>
      </c>
      <c r="K3671" s="13" t="n">
        <v>250</v>
      </c>
      <c r="L3671" s="6" t="n">
        <f aca="false">H3671*K3671</f>
        <v>500</v>
      </c>
      <c r="M3671" s="14" t="s">
        <v>410</v>
      </c>
    </row>
    <row r="3672" customFormat="false" ht="15" hidden="false" customHeight="false" outlineLevel="0" collapsed="false">
      <c r="A3672" s="4" t="s">
        <v>166</v>
      </c>
      <c r="B3672" s="5" t="s">
        <v>171</v>
      </c>
      <c r="C3672" s="5" t="s">
        <v>172</v>
      </c>
      <c r="D3672" s="4" t="s">
        <v>16</v>
      </c>
      <c r="E3672" s="4" t="s">
        <v>4421</v>
      </c>
      <c r="F3672" s="4" t="s">
        <v>406</v>
      </c>
      <c r="G3672" s="4" t="s">
        <v>4422</v>
      </c>
      <c r="H3672" s="12" t="n">
        <v>1</v>
      </c>
      <c r="I3672" s="4" t="s">
        <v>474</v>
      </c>
      <c r="J3672" s="4" t="s">
        <v>409</v>
      </c>
      <c r="K3672" s="13" t="n">
        <v>18000</v>
      </c>
      <c r="L3672" s="6" t="n">
        <f aca="false">H3672*K3672</f>
        <v>18000</v>
      </c>
      <c r="M3672" s="14" t="s">
        <v>410</v>
      </c>
    </row>
    <row r="3673" customFormat="false" ht="15" hidden="false" customHeight="false" outlineLevel="0" collapsed="false">
      <c r="A3673" s="4" t="s">
        <v>166</v>
      </c>
      <c r="B3673" s="5" t="s">
        <v>171</v>
      </c>
      <c r="C3673" s="5" t="s">
        <v>172</v>
      </c>
      <c r="D3673" s="4" t="s">
        <v>16</v>
      </c>
      <c r="E3673" s="4" t="s">
        <v>4423</v>
      </c>
      <c r="F3673" s="4" t="s">
        <v>406</v>
      </c>
      <c r="G3673" s="4" t="s">
        <v>4424</v>
      </c>
      <c r="H3673" s="12" t="n">
        <v>1</v>
      </c>
      <c r="I3673" s="4" t="s">
        <v>474</v>
      </c>
      <c r="J3673" s="4" t="s">
        <v>506</v>
      </c>
      <c r="K3673" s="13" t="n">
        <v>350</v>
      </c>
      <c r="L3673" s="6" t="n">
        <f aca="false">H3673*K3673</f>
        <v>350</v>
      </c>
      <c r="M3673" s="4" t="s">
        <v>371</v>
      </c>
    </row>
    <row r="3674" customFormat="false" ht="15" hidden="false" customHeight="false" outlineLevel="0" collapsed="false">
      <c r="A3674" s="4" t="s">
        <v>166</v>
      </c>
      <c r="B3674" s="5" t="s">
        <v>171</v>
      </c>
      <c r="C3674" s="5" t="s">
        <v>172</v>
      </c>
      <c r="D3674" s="4" t="s">
        <v>16</v>
      </c>
      <c r="E3674" s="4" t="s">
        <v>4425</v>
      </c>
      <c r="F3674" s="4" t="s">
        <v>406</v>
      </c>
      <c r="G3674" s="4" t="s">
        <v>4426</v>
      </c>
      <c r="H3674" s="12" t="n">
        <v>1</v>
      </c>
      <c r="I3674" s="4" t="s">
        <v>474</v>
      </c>
      <c r="J3674" s="4" t="s">
        <v>413</v>
      </c>
      <c r="K3674" s="13" t="n">
        <v>4500</v>
      </c>
      <c r="L3674" s="6" t="n">
        <f aca="false">H3674*K3674</f>
        <v>4500</v>
      </c>
      <c r="M3674" s="4" t="s">
        <v>371</v>
      </c>
    </row>
    <row r="3675" customFormat="false" ht="15" hidden="false" customHeight="false" outlineLevel="0" collapsed="false">
      <c r="A3675" s="4" t="s">
        <v>166</v>
      </c>
      <c r="B3675" s="5" t="s">
        <v>171</v>
      </c>
      <c r="C3675" s="5" t="s">
        <v>172</v>
      </c>
      <c r="D3675" s="4" t="s">
        <v>16</v>
      </c>
      <c r="E3675" s="4" t="s">
        <v>4427</v>
      </c>
      <c r="F3675" s="4" t="s">
        <v>470</v>
      </c>
      <c r="G3675" s="4" t="s">
        <v>4428</v>
      </c>
      <c r="H3675" s="12" t="n">
        <v>1</v>
      </c>
      <c r="I3675" s="4" t="s">
        <v>408</v>
      </c>
      <c r="J3675" s="4" t="s">
        <v>409</v>
      </c>
      <c r="K3675" s="13" t="n">
        <v>8500</v>
      </c>
      <c r="L3675" s="6" t="n">
        <f aca="false">H3675*K3675</f>
        <v>8500</v>
      </c>
      <c r="M3675" s="4" t="s">
        <v>371</v>
      </c>
    </row>
    <row r="3676" customFormat="false" ht="15" hidden="false" customHeight="false" outlineLevel="0" collapsed="false">
      <c r="A3676" s="4" t="s">
        <v>166</v>
      </c>
      <c r="B3676" s="5" t="s">
        <v>171</v>
      </c>
      <c r="C3676" s="5" t="s">
        <v>172</v>
      </c>
      <c r="D3676" s="4" t="s">
        <v>16</v>
      </c>
      <c r="E3676" s="4" t="s">
        <v>4429</v>
      </c>
      <c r="F3676" s="4" t="s">
        <v>470</v>
      </c>
      <c r="G3676" s="4" t="s">
        <v>4430</v>
      </c>
      <c r="H3676" s="12" t="n">
        <v>1</v>
      </c>
      <c r="I3676" s="4" t="s">
        <v>408</v>
      </c>
      <c r="J3676" s="4" t="s">
        <v>409</v>
      </c>
      <c r="K3676" s="13" t="n">
        <v>12000</v>
      </c>
      <c r="L3676" s="6" t="n">
        <f aca="false">H3676*K3676</f>
        <v>12000</v>
      </c>
      <c r="M3676" s="4" t="s">
        <v>371</v>
      </c>
    </row>
    <row r="3677" customFormat="false" ht="15" hidden="false" customHeight="false" outlineLevel="0" collapsed="false">
      <c r="A3677" s="4" t="s">
        <v>166</v>
      </c>
      <c r="B3677" s="5" t="s">
        <v>171</v>
      </c>
      <c r="C3677" s="5" t="s">
        <v>172</v>
      </c>
      <c r="D3677" s="4" t="s">
        <v>16</v>
      </c>
      <c r="E3677" s="4" t="s">
        <v>2288</v>
      </c>
      <c r="F3677" s="4" t="s">
        <v>470</v>
      </c>
      <c r="G3677" s="4" t="s">
        <v>1452</v>
      </c>
      <c r="H3677" s="12" t="n">
        <v>1</v>
      </c>
      <c r="I3677" s="4" t="s">
        <v>474</v>
      </c>
      <c r="J3677" s="4" t="s">
        <v>413</v>
      </c>
      <c r="K3677" s="13" t="n">
        <v>450</v>
      </c>
      <c r="L3677" s="6" t="n">
        <f aca="false">H3677*K3677</f>
        <v>450</v>
      </c>
      <c r="M3677" s="4" t="s">
        <v>371</v>
      </c>
    </row>
    <row r="3678" customFormat="false" ht="15" hidden="false" customHeight="false" outlineLevel="0" collapsed="false">
      <c r="A3678" s="4" t="s">
        <v>166</v>
      </c>
      <c r="B3678" s="5" t="s">
        <v>171</v>
      </c>
      <c r="C3678" s="5" t="s">
        <v>172</v>
      </c>
      <c r="D3678" s="4" t="s">
        <v>16</v>
      </c>
      <c r="E3678" s="4" t="s">
        <v>4431</v>
      </c>
      <c r="F3678" s="4" t="s">
        <v>470</v>
      </c>
      <c r="G3678" s="4" t="s">
        <v>4432</v>
      </c>
      <c r="H3678" s="12" t="n">
        <v>1</v>
      </c>
      <c r="I3678" s="4" t="s">
        <v>408</v>
      </c>
      <c r="J3678" s="4" t="s">
        <v>416</v>
      </c>
      <c r="K3678" s="13" t="n">
        <v>450</v>
      </c>
      <c r="L3678" s="6" t="n">
        <f aca="false">H3678*K3678</f>
        <v>450</v>
      </c>
      <c r="M3678" s="4" t="s">
        <v>371</v>
      </c>
    </row>
    <row r="3679" customFormat="false" ht="23.85" hidden="false" customHeight="false" outlineLevel="0" collapsed="false">
      <c r="A3679" s="4" t="s">
        <v>147</v>
      </c>
      <c r="B3679" s="5" t="s">
        <v>148</v>
      </c>
      <c r="C3679" s="5" t="s">
        <v>149</v>
      </c>
      <c r="D3679" s="4" t="s">
        <v>16</v>
      </c>
      <c r="E3679" s="4" t="s">
        <v>1601</v>
      </c>
      <c r="F3679" s="4" t="s">
        <v>406</v>
      </c>
      <c r="G3679" s="4" t="s">
        <v>1602</v>
      </c>
      <c r="H3679" s="12" t="n">
        <v>1</v>
      </c>
      <c r="I3679" s="4" t="s">
        <v>408</v>
      </c>
      <c r="J3679" s="4" t="s">
        <v>409</v>
      </c>
      <c r="K3679" s="13" t="n">
        <v>850</v>
      </c>
      <c r="L3679" s="6" t="n">
        <f aca="false">H3679*K3679</f>
        <v>850</v>
      </c>
      <c r="M3679" s="4" t="s">
        <v>371</v>
      </c>
    </row>
    <row r="3680" customFormat="false" ht="23.85" hidden="false" customHeight="false" outlineLevel="0" collapsed="false">
      <c r="A3680" s="4" t="s">
        <v>147</v>
      </c>
      <c r="B3680" s="5" t="s">
        <v>148</v>
      </c>
      <c r="C3680" s="5" t="s">
        <v>149</v>
      </c>
      <c r="D3680" s="4" t="s">
        <v>16</v>
      </c>
      <c r="E3680" s="4" t="s">
        <v>1603</v>
      </c>
      <c r="F3680" s="4" t="s">
        <v>406</v>
      </c>
      <c r="G3680" s="4" t="s">
        <v>1604</v>
      </c>
      <c r="H3680" s="12" t="n">
        <v>1</v>
      </c>
      <c r="I3680" s="4" t="s">
        <v>408</v>
      </c>
      <c r="J3680" s="4" t="s">
        <v>416</v>
      </c>
      <c r="K3680" s="13" t="n">
        <v>1200</v>
      </c>
      <c r="L3680" s="6" t="n">
        <f aca="false">H3680*K3680</f>
        <v>1200</v>
      </c>
      <c r="M3680" s="14" t="s">
        <v>410</v>
      </c>
    </row>
    <row r="3681" customFormat="false" ht="23.85" hidden="false" customHeight="false" outlineLevel="0" collapsed="false">
      <c r="A3681" s="4" t="s">
        <v>147</v>
      </c>
      <c r="B3681" s="5" t="s">
        <v>148</v>
      </c>
      <c r="C3681" s="5" t="s">
        <v>149</v>
      </c>
      <c r="D3681" s="4" t="s">
        <v>16</v>
      </c>
      <c r="E3681" s="4" t="s">
        <v>1605</v>
      </c>
      <c r="F3681" s="4" t="s">
        <v>406</v>
      </c>
      <c r="G3681" s="4" t="s">
        <v>1005</v>
      </c>
      <c r="H3681" s="12" t="n">
        <v>1</v>
      </c>
      <c r="I3681" s="4" t="s">
        <v>408</v>
      </c>
      <c r="J3681" s="4" t="s">
        <v>409</v>
      </c>
      <c r="K3681" s="13" t="n">
        <v>850</v>
      </c>
      <c r="L3681" s="6" t="n">
        <f aca="false">H3681*K3681</f>
        <v>850</v>
      </c>
      <c r="M3681" s="4" t="s">
        <v>371</v>
      </c>
    </row>
    <row r="3682" customFormat="false" ht="23.85" hidden="false" customHeight="false" outlineLevel="0" collapsed="false">
      <c r="A3682" s="4" t="s">
        <v>147</v>
      </c>
      <c r="B3682" s="5" t="s">
        <v>148</v>
      </c>
      <c r="C3682" s="5" t="s">
        <v>149</v>
      </c>
      <c r="D3682" s="4" t="s">
        <v>16</v>
      </c>
      <c r="E3682" s="4" t="s">
        <v>1606</v>
      </c>
      <c r="F3682" s="4" t="s">
        <v>406</v>
      </c>
      <c r="G3682" s="4" t="s">
        <v>1607</v>
      </c>
      <c r="H3682" s="12" t="n">
        <v>1</v>
      </c>
      <c r="I3682" s="4" t="s">
        <v>408</v>
      </c>
      <c r="J3682" s="4" t="s">
        <v>409</v>
      </c>
      <c r="K3682" s="13" t="n">
        <v>1200</v>
      </c>
      <c r="L3682" s="6" t="n">
        <f aca="false">H3682*K3682</f>
        <v>1200</v>
      </c>
      <c r="M3682" s="14" t="s">
        <v>410</v>
      </c>
    </row>
    <row r="3683" customFormat="false" ht="23.85" hidden="false" customHeight="false" outlineLevel="0" collapsed="false">
      <c r="A3683" s="4" t="s">
        <v>147</v>
      </c>
      <c r="B3683" s="5" t="s">
        <v>148</v>
      </c>
      <c r="C3683" s="5" t="s">
        <v>149</v>
      </c>
      <c r="D3683" s="4" t="s">
        <v>16</v>
      </c>
      <c r="E3683" s="4" t="s">
        <v>1608</v>
      </c>
      <c r="F3683" s="4" t="s">
        <v>406</v>
      </c>
      <c r="G3683" s="4" t="s">
        <v>1609</v>
      </c>
      <c r="H3683" s="12" t="n">
        <v>1</v>
      </c>
      <c r="I3683" s="4" t="s">
        <v>408</v>
      </c>
      <c r="J3683" s="4" t="s">
        <v>409</v>
      </c>
      <c r="K3683" s="13" t="n">
        <v>8500</v>
      </c>
      <c r="L3683" s="6" t="n">
        <f aca="false">H3683*K3683</f>
        <v>8500</v>
      </c>
      <c r="M3683" s="14" t="s">
        <v>410</v>
      </c>
    </row>
    <row r="3684" customFormat="false" ht="23.85" hidden="false" customHeight="false" outlineLevel="0" collapsed="false">
      <c r="A3684" s="4" t="s">
        <v>147</v>
      </c>
      <c r="B3684" s="5" t="s">
        <v>148</v>
      </c>
      <c r="C3684" s="5" t="s">
        <v>149</v>
      </c>
      <c r="D3684" s="4" t="s">
        <v>16</v>
      </c>
      <c r="E3684" s="4" t="s">
        <v>1610</v>
      </c>
      <c r="F3684" s="4" t="s">
        <v>406</v>
      </c>
      <c r="G3684" s="4" t="s">
        <v>1611</v>
      </c>
      <c r="H3684" s="12" t="n">
        <v>1</v>
      </c>
      <c r="I3684" s="4" t="s">
        <v>408</v>
      </c>
      <c r="J3684" s="4" t="s">
        <v>409</v>
      </c>
      <c r="K3684" s="13" t="n">
        <v>350</v>
      </c>
      <c r="L3684" s="6" t="n">
        <f aca="false">H3684*K3684</f>
        <v>350</v>
      </c>
      <c r="M3684" s="14" t="s">
        <v>410</v>
      </c>
    </row>
    <row r="3685" customFormat="false" ht="23.85" hidden="false" customHeight="false" outlineLevel="0" collapsed="false">
      <c r="A3685" s="4" t="s">
        <v>147</v>
      </c>
      <c r="B3685" s="5" t="s">
        <v>148</v>
      </c>
      <c r="C3685" s="5" t="s">
        <v>149</v>
      </c>
      <c r="D3685" s="4" t="s">
        <v>16</v>
      </c>
      <c r="E3685" s="4" t="s">
        <v>1612</v>
      </c>
      <c r="F3685" s="4" t="s">
        <v>470</v>
      </c>
      <c r="G3685" s="4" t="s">
        <v>1613</v>
      </c>
      <c r="H3685" s="12" t="n">
        <v>1</v>
      </c>
      <c r="I3685" s="4" t="s">
        <v>474</v>
      </c>
      <c r="J3685" s="4" t="s">
        <v>416</v>
      </c>
      <c r="K3685" s="13" t="n">
        <v>55000</v>
      </c>
      <c r="L3685" s="6" t="n">
        <f aca="false">H3685*K3685</f>
        <v>55000</v>
      </c>
      <c r="M3685" s="4" t="s">
        <v>371</v>
      </c>
    </row>
    <row r="3686" customFormat="false" ht="23.85" hidden="false" customHeight="false" outlineLevel="0" collapsed="false">
      <c r="A3686" s="4" t="s">
        <v>147</v>
      </c>
      <c r="B3686" s="5" t="s">
        <v>148</v>
      </c>
      <c r="C3686" s="5" t="s">
        <v>149</v>
      </c>
      <c r="D3686" s="4" t="s">
        <v>16</v>
      </c>
      <c r="E3686" s="4" t="s">
        <v>1614</v>
      </c>
      <c r="F3686" s="4" t="s">
        <v>470</v>
      </c>
      <c r="G3686" s="4" t="s">
        <v>1615</v>
      </c>
      <c r="H3686" s="12" t="n">
        <v>1</v>
      </c>
      <c r="I3686" s="4" t="s">
        <v>474</v>
      </c>
      <c r="J3686" s="4" t="s">
        <v>416</v>
      </c>
      <c r="K3686" s="13" t="n">
        <v>65000</v>
      </c>
      <c r="L3686" s="6" t="n">
        <f aca="false">H3686*K3686</f>
        <v>65000</v>
      </c>
      <c r="M3686" s="4" t="s">
        <v>371</v>
      </c>
    </row>
    <row r="3687" customFormat="false" ht="23.85" hidden="false" customHeight="false" outlineLevel="0" collapsed="false">
      <c r="A3687" s="4" t="s">
        <v>147</v>
      </c>
      <c r="B3687" s="5" t="s">
        <v>148</v>
      </c>
      <c r="C3687" s="5" t="s">
        <v>149</v>
      </c>
      <c r="D3687" s="4" t="s">
        <v>16</v>
      </c>
      <c r="E3687" s="4" t="s">
        <v>1616</v>
      </c>
      <c r="F3687" s="4" t="s">
        <v>470</v>
      </c>
      <c r="G3687" s="4" t="s">
        <v>1617</v>
      </c>
      <c r="H3687" s="12" t="n">
        <v>1</v>
      </c>
      <c r="I3687" s="4" t="s">
        <v>408</v>
      </c>
      <c r="J3687" s="4" t="s">
        <v>409</v>
      </c>
      <c r="K3687" s="13" t="n">
        <v>12000</v>
      </c>
      <c r="L3687" s="6" t="n">
        <f aca="false">H3687*K3687</f>
        <v>12000</v>
      </c>
      <c r="M3687" s="14" t="s">
        <v>410</v>
      </c>
    </row>
    <row r="3688" customFormat="false" ht="23.85" hidden="false" customHeight="false" outlineLevel="0" collapsed="false">
      <c r="A3688" s="4" t="s">
        <v>147</v>
      </c>
      <c r="B3688" s="5" t="s">
        <v>148</v>
      </c>
      <c r="C3688" s="5" t="s">
        <v>149</v>
      </c>
      <c r="D3688" s="4" t="s">
        <v>16</v>
      </c>
      <c r="E3688" s="4" t="s">
        <v>1618</v>
      </c>
      <c r="F3688" s="4" t="s">
        <v>470</v>
      </c>
      <c r="G3688" s="4" t="s">
        <v>1619</v>
      </c>
      <c r="H3688" s="12" t="n">
        <v>1</v>
      </c>
      <c r="I3688" s="4" t="s">
        <v>408</v>
      </c>
      <c r="J3688" s="4" t="s">
        <v>409</v>
      </c>
      <c r="K3688" s="13" t="n">
        <v>25000</v>
      </c>
      <c r="L3688" s="6" t="n">
        <f aca="false">H3688*K3688</f>
        <v>25000</v>
      </c>
      <c r="M3688" s="4" t="s">
        <v>371</v>
      </c>
    </row>
    <row r="3689" customFormat="false" ht="23.85" hidden="false" customHeight="false" outlineLevel="0" collapsed="false">
      <c r="A3689" s="4" t="s">
        <v>147</v>
      </c>
      <c r="B3689" s="5" t="s">
        <v>148</v>
      </c>
      <c r="C3689" s="5" t="s">
        <v>149</v>
      </c>
      <c r="D3689" s="4" t="s">
        <v>16</v>
      </c>
      <c r="E3689" s="4" t="s">
        <v>1620</v>
      </c>
      <c r="F3689" s="4" t="s">
        <v>470</v>
      </c>
      <c r="G3689" s="4" t="s">
        <v>1621</v>
      </c>
      <c r="H3689" s="12" t="n">
        <v>1</v>
      </c>
      <c r="I3689" s="4" t="s">
        <v>408</v>
      </c>
      <c r="J3689" s="4" t="s">
        <v>409</v>
      </c>
      <c r="K3689" s="13" t="n">
        <v>18000</v>
      </c>
      <c r="L3689" s="6" t="n">
        <f aca="false">H3689*K3689</f>
        <v>18000</v>
      </c>
      <c r="M3689" s="4" t="s">
        <v>371</v>
      </c>
    </row>
    <row r="3690" customFormat="false" ht="23.85" hidden="false" customHeight="false" outlineLevel="0" collapsed="false">
      <c r="A3690" s="4" t="s">
        <v>147</v>
      </c>
      <c r="B3690" s="5" t="s">
        <v>148</v>
      </c>
      <c r="C3690" s="5" t="s">
        <v>149</v>
      </c>
      <c r="D3690" s="4" t="s">
        <v>16</v>
      </c>
      <c r="E3690" s="4" t="s">
        <v>1622</v>
      </c>
      <c r="F3690" s="4" t="s">
        <v>470</v>
      </c>
      <c r="G3690" s="4" t="s">
        <v>1623</v>
      </c>
      <c r="H3690" s="12" t="n">
        <v>1</v>
      </c>
      <c r="I3690" s="4" t="s">
        <v>408</v>
      </c>
      <c r="J3690" s="4" t="s">
        <v>409</v>
      </c>
      <c r="K3690" s="13" t="n">
        <v>8500</v>
      </c>
      <c r="L3690" s="6" t="n">
        <f aca="false">H3690*K3690</f>
        <v>8500</v>
      </c>
      <c r="M3690" s="4" t="s">
        <v>371</v>
      </c>
    </row>
    <row r="3691" customFormat="false" ht="23.85" hidden="false" customHeight="false" outlineLevel="0" collapsed="false">
      <c r="A3691" s="4" t="s">
        <v>147</v>
      </c>
      <c r="B3691" s="5" t="s">
        <v>148</v>
      </c>
      <c r="C3691" s="5" t="s">
        <v>149</v>
      </c>
      <c r="D3691" s="4" t="s">
        <v>16</v>
      </c>
      <c r="E3691" s="4" t="s">
        <v>1624</v>
      </c>
      <c r="F3691" s="4" t="s">
        <v>470</v>
      </c>
      <c r="G3691" s="4" t="s">
        <v>1625</v>
      </c>
      <c r="H3691" s="12" t="n">
        <v>1</v>
      </c>
      <c r="I3691" s="4" t="s">
        <v>408</v>
      </c>
      <c r="J3691" s="4" t="s">
        <v>409</v>
      </c>
      <c r="K3691" s="13" t="n">
        <v>25000</v>
      </c>
      <c r="L3691" s="6" t="n">
        <f aca="false">H3691*K3691</f>
        <v>25000</v>
      </c>
      <c r="M3691" s="14" t="s">
        <v>410</v>
      </c>
    </row>
    <row r="3692" customFormat="false" ht="23.85" hidden="false" customHeight="false" outlineLevel="0" collapsed="false">
      <c r="A3692" s="4" t="s">
        <v>147</v>
      </c>
      <c r="B3692" s="5" t="s">
        <v>148</v>
      </c>
      <c r="C3692" s="5" t="s">
        <v>149</v>
      </c>
      <c r="D3692" s="4" t="s">
        <v>16</v>
      </c>
      <c r="E3692" s="4" t="s">
        <v>1253</v>
      </c>
      <c r="F3692" s="4" t="s">
        <v>470</v>
      </c>
      <c r="G3692" s="4" t="s">
        <v>1254</v>
      </c>
      <c r="H3692" s="12" t="n">
        <v>1</v>
      </c>
      <c r="I3692" s="4" t="s">
        <v>408</v>
      </c>
      <c r="J3692" s="4" t="s">
        <v>409</v>
      </c>
      <c r="K3692" s="13" t="n">
        <v>8500</v>
      </c>
      <c r="L3692" s="6" t="n">
        <f aca="false">H3692*K3692</f>
        <v>8500</v>
      </c>
      <c r="M3692" s="14" t="s">
        <v>410</v>
      </c>
    </row>
    <row r="3693" customFormat="false" ht="23.85" hidden="false" customHeight="false" outlineLevel="0" collapsed="false">
      <c r="A3693" s="4" t="s">
        <v>147</v>
      </c>
      <c r="B3693" s="5" t="s">
        <v>148</v>
      </c>
      <c r="C3693" s="5" t="s">
        <v>149</v>
      </c>
      <c r="D3693" s="4" t="s">
        <v>16</v>
      </c>
      <c r="E3693" s="4" t="s">
        <v>1626</v>
      </c>
      <c r="F3693" s="4" t="s">
        <v>470</v>
      </c>
      <c r="G3693" s="4" t="s">
        <v>1627</v>
      </c>
      <c r="H3693" s="12" t="n">
        <v>1</v>
      </c>
      <c r="I3693" s="4" t="s">
        <v>408</v>
      </c>
      <c r="J3693" s="4" t="s">
        <v>475</v>
      </c>
      <c r="K3693" s="13" t="n">
        <v>2500</v>
      </c>
      <c r="L3693" s="6" t="n">
        <f aca="false">H3693*K3693</f>
        <v>2500</v>
      </c>
      <c r="M3693" s="14" t="s">
        <v>410</v>
      </c>
    </row>
    <row r="3694" customFormat="false" ht="23.85" hidden="false" customHeight="false" outlineLevel="0" collapsed="false">
      <c r="A3694" s="4" t="s">
        <v>147</v>
      </c>
      <c r="B3694" s="5" t="s">
        <v>148</v>
      </c>
      <c r="C3694" s="5" t="s">
        <v>149</v>
      </c>
      <c r="D3694" s="4" t="s">
        <v>16</v>
      </c>
      <c r="E3694" s="4" t="s">
        <v>1628</v>
      </c>
      <c r="F3694" s="4" t="s">
        <v>470</v>
      </c>
      <c r="G3694" s="4" t="s">
        <v>1629</v>
      </c>
      <c r="H3694" s="12" t="n">
        <v>1</v>
      </c>
      <c r="I3694" s="4" t="s">
        <v>408</v>
      </c>
      <c r="J3694" s="4" t="s">
        <v>409</v>
      </c>
      <c r="K3694" s="13" t="n">
        <v>8500</v>
      </c>
      <c r="L3694" s="6" t="n">
        <f aca="false">H3694*K3694</f>
        <v>8500</v>
      </c>
      <c r="M3694" s="14" t="s">
        <v>410</v>
      </c>
    </row>
    <row r="3695" customFormat="false" ht="23.85" hidden="false" customHeight="false" outlineLevel="0" collapsed="false">
      <c r="A3695" s="4" t="s">
        <v>147</v>
      </c>
      <c r="B3695" s="5" t="s">
        <v>148</v>
      </c>
      <c r="C3695" s="5" t="s">
        <v>149</v>
      </c>
      <c r="D3695" s="4" t="s">
        <v>16</v>
      </c>
      <c r="E3695" s="4" t="s">
        <v>1630</v>
      </c>
      <c r="F3695" s="4" t="s">
        <v>470</v>
      </c>
      <c r="G3695" s="4" t="s">
        <v>1631</v>
      </c>
      <c r="H3695" s="12" t="n">
        <v>1</v>
      </c>
      <c r="I3695" s="4" t="s">
        <v>408</v>
      </c>
      <c r="J3695" s="4" t="s">
        <v>416</v>
      </c>
      <c r="K3695" s="13" t="n">
        <v>65000</v>
      </c>
      <c r="L3695" s="6" t="n">
        <f aca="false">H3695*K3695</f>
        <v>65000</v>
      </c>
      <c r="M3695" s="4" t="s">
        <v>371</v>
      </c>
    </row>
    <row r="3696" customFormat="false" ht="23.85" hidden="false" customHeight="false" outlineLevel="0" collapsed="false">
      <c r="A3696" s="4" t="s">
        <v>147</v>
      </c>
      <c r="B3696" s="5" t="s">
        <v>148</v>
      </c>
      <c r="C3696" s="5" t="s">
        <v>149</v>
      </c>
      <c r="D3696" s="4" t="s">
        <v>16</v>
      </c>
      <c r="E3696" s="4" t="s">
        <v>1253</v>
      </c>
      <c r="F3696" s="4" t="s">
        <v>470</v>
      </c>
      <c r="G3696" s="4" t="s">
        <v>1254</v>
      </c>
      <c r="H3696" s="12" t="n">
        <v>1</v>
      </c>
      <c r="I3696" s="4" t="s">
        <v>408</v>
      </c>
      <c r="J3696" s="4" t="s">
        <v>409</v>
      </c>
      <c r="K3696" s="13" t="n">
        <v>8500</v>
      </c>
      <c r="L3696" s="6" t="n">
        <f aca="false">H3696*K3696</f>
        <v>8500</v>
      </c>
      <c r="M3696" s="14" t="s">
        <v>410</v>
      </c>
    </row>
    <row r="3697" customFormat="false" ht="23.85" hidden="false" customHeight="false" outlineLevel="0" collapsed="false">
      <c r="A3697" s="4" t="s">
        <v>147</v>
      </c>
      <c r="B3697" s="5" t="s">
        <v>148</v>
      </c>
      <c r="C3697" s="5" t="s">
        <v>149</v>
      </c>
      <c r="D3697" s="4" t="s">
        <v>16</v>
      </c>
      <c r="E3697" s="4" t="s">
        <v>1632</v>
      </c>
      <c r="F3697" s="4" t="s">
        <v>470</v>
      </c>
      <c r="G3697" s="4" t="s">
        <v>1633</v>
      </c>
      <c r="H3697" s="12" t="n">
        <v>1</v>
      </c>
      <c r="I3697" s="4" t="s">
        <v>408</v>
      </c>
      <c r="J3697" s="4" t="s">
        <v>416</v>
      </c>
      <c r="K3697" s="13" t="n">
        <v>1200</v>
      </c>
      <c r="L3697" s="6" t="n">
        <f aca="false">H3697*K3697</f>
        <v>1200</v>
      </c>
      <c r="M3697" s="14" t="s">
        <v>410</v>
      </c>
    </row>
    <row r="3698" customFormat="false" ht="23.85" hidden="false" customHeight="false" outlineLevel="0" collapsed="false">
      <c r="A3698" s="4" t="s">
        <v>147</v>
      </c>
      <c r="B3698" s="5" t="s">
        <v>148</v>
      </c>
      <c r="C3698" s="5" t="s">
        <v>149</v>
      </c>
      <c r="D3698" s="4" t="s">
        <v>16</v>
      </c>
      <c r="E3698" s="4" t="s">
        <v>1634</v>
      </c>
      <c r="F3698" s="4" t="s">
        <v>470</v>
      </c>
      <c r="G3698" s="4" t="s">
        <v>1635</v>
      </c>
      <c r="H3698" s="12" t="n">
        <v>1</v>
      </c>
      <c r="I3698" s="4" t="s">
        <v>408</v>
      </c>
      <c r="J3698" s="4" t="s">
        <v>475</v>
      </c>
      <c r="K3698" s="13" t="n">
        <v>350</v>
      </c>
      <c r="L3698" s="6" t="n">
        <f aca="false">H3698*K3698</f>
        <v>350</v>
      </c>
      <c r="M3698" s="4" t="s">
        <v>371</v>
      </c>
    </row>
    <row r="3699" customFormat="false" ht="23.85" hidden="false" customHeight="false" outlineLevel="0" collapsed="false">
      <c r="A3699" s="4" t="s">
        <v>147</v>
      </c>
      <c r="B3699" s="5" t="s">
        <v>148</v>
      </c>
      <c r="C3699" s="5" t="s">
        <v>149</v>
      </c>
      <c r="D3699" s="4" t="s">
        <v>16</v>
      </c>
      <c r="E3699" s="4" t="s">
        <v>1072</v>
      </c>
      <c r="F3699" s="4" t="s">
        <v>470</v>
      </c>
      <c r="G3699" s="4" t="s">
        <v>1073</v>
      </c>
      <c r="H3699" s="12" t="n">
        <v>1</v>
      </c>
      <c r="I3699" s="4" t="s">
        <v>408</v>
      </c>
      <c r="J3699" s="4" t="s">
        <v>475</v>
      </c>
      <c r="K3699" s="13" t="n">
        <v>450</v>
      </c>
      <c r="L3699" s="6" t="n">
        <f aca="false">H3699*K3699</f>
        <v>450</v>
      </c>
      <c r="M3699" s="4" t="s">
        <v>371</v>
      </c>
    </row>
    <row r="3700" customFormat="false" ht="23.85" hidden="false" customHeight="false" outlineLevel="0" collapsed="false">
      <c r="A3700" s="4" t="s">
        <v>147</v>
      </c>
      <c r="B3700" s="5" t="s">
        <v>148</v>
      </c>
      <c r="C3700" s="5" t="s">
        <v>149</v>
      </c>
      <c r="D3700" s="4" t="s">
        <v>16</v>
      </c>
      <c r="E3700" s="4" t="s">
        <v>1074</v>
      </c>
      <c r="F3700" s="4" t="s">
        <v>470</v>
      </c>
      <c r="G3700" s="4" t="s">
        <v>1075</v>
      </c>
      <c r="H3700" s="12" t="n">
        <v>1</v>
      </c>
      <c r="I3700" s="4" t="s">
        <v>408</v>
      </c>
      <c r="J3700" s="4" t="s">
        <v>409</v>
      </c>
      <c r="K3700" s="13" t="n">
        <v>850</v>
      </c>
      <c r="L3700" s="6" t="n">
        <f aca="false">H3700*K3700</f>
        <v>850</v>
      </c>
      <c r="M3700" s="4" t="s">
        <v>371</v>
      </c>
    </row>
    <row r="3701" customFormat="false" ht="23.85" hidden="false" customHeight="false" outlineLevel="0" collapsed="false">
      <c r="A3701" s="4" t="s">
        <v>147</v>
      </c>
      <c r="B3701" s="5" t="s">
        <v>148</v>
      </c>
      <c r="C3701" s="5" t="s">
        <v>149</v>
      </c>
      <c r="D3701" s="4" t="s">
        <v>16</v>
      </c>
      <c r="E3701" s="4" t="s">
        <v>1636</v>
      </c>
      <c r="F3701" s="4" t="s">
        <v>470</v>
      </c>
      <c r="G3701" s="4" t="s">
        <v>1637</v>
      </c>
      <c r="H3701" s="12" t="n">
        <v>1</v>
      </c>
      <c r="I3701" s="4" t="s">
        <v>408</v>
      </c>
      <c r="J3701" s="4" t="s">
        <v>475</v>
      </c>
      <c r="K3701" s="13" t="n">
        <v>180</v>
      </c>
      <c r="L3701" s="6" t="n">
        <f aca="false">H3701*K3701</f>
        <v>180</v>
      </c>
      <c r="M3701" s="4" t="s">
        <v>371</v>
      </c>
    </row>
    <row r="3702" customFormat="false" ht="23.85" hidden="false" customHeight="false" outlineLevel="0" collapsed="false">
      <c r="A3702" s="4" t="s">
        <v>147</v>
      </c>
      <c r="B3702" s="5" t="s">
        <v>148</v>
      </c>
      <c r="C3702" s="5" t="s">
        <v>149</v>
      </c>
      <c r="D3702" s="4" t="s">
        <v>16</v>
      </c>
      <c r="E3702" s="4" t="s">
        <v>1638</v>
      </c>
      <c r="F3702" s="4" t="s">
        <v>470</v>
      </c>
      <c r="G3702" s="4" t="s">
        <v>1639</v>
      </c>
      <c r="H3702" s="12" t="n">
        <v>1</v>
      </c>
      <c r="I3702" s="4" t="s">
        <v>408</v>
      </c>
      <c r="J3702" s="4" t="s">
        <v>475</v>
      </c>
      <c r="K3702" s="13" t="n">
        <v>2500</v>
      </c>
      <c r="L3702" s="6" t="n">
        <f aca="false">H3702*K3702</f>
        <v>2500</v>
      </c>
      <c r="M3702" s="4" t="s">
        <v>371</v>
      </c>
    </row>
    <row r="3703" customFormat="false" ht="23.85" hidden="false" customHeight="false" outlineLevel="0" collapsed="false">
      <c r="A3703" s="4" t="s">
        <v>147</v>
      </c>
      <c r="B3703" s="5" t="s">
        <v>148</v>
      </c>
      <c r="C3703" s="5" t="s">
        <v>149</v>
      </c>
      <c r="D3703" s="4" t="s">
        <v>16</v>
      </c>
      <c r="E3703" s="4" t="s">
        <v>1640</v>
      </c>
      <c r="F3703" s="4" t="s">
        <v>470</v>
      </c>
      <c r="G3703" s="4" t="s">
        <v>1641</v>
      </c>
      <c r="H3703" s="12" t="n">
        <v>1</v>
      </c>
      <c r="I3703" s="4" t="s">
        <v>408</v>
      </c>
      <c r="J3703" s="4" t="s">
        <v>416</v>
      </c>
      <c r="K3703" s="13" t="n">
        <v>450</v>
      </c>
      <c r="L3703" s="6" t="n">
        <f aca="false">H3703*K3703</f>
        <v>450</v>
      </c>
      <c r="M3703" s="4" t="s">
        <v>371</v>
      </c>
    </row>
    <row r="3704" customFormat="false" ht="23.85" hidden="false" customHeight="false" outlineLevel="0" collapsed="false">
      <c r="A3704" s="4" t="s">
        <v>147</v>
      </c>
      <c r="B3704" s="5" t="s">
        <v>148</v>
      </c>
      <c r="C3704" s="5" t="s">
        <v>149</v>
      </c>
      <c r="D3704" s="4" t="s">
        <v>16</v>
      </c>
      <c r="E3704" s="4" t="s">
        <v>1089</v>
      </c>
      <c r="F3704" s="4" t="s">
        <v>470</v>
      </c>
      <c r="G3704" s="4" t="s">
        <v>1090</v>
      </c>
      <c r="H3704" s="12" t="n">
        <v>1</v>
      </c>
      <c r="I3704" s="4" t="s">
        <v>408</v>
      </c>
      <c r="J3704" s="4" t="s">
        <v>409</v>
      </c>
      <c r="K3704" s="13" t="n">
        <v>3500</v>
      </c>
      <c r="L3704" s="6" t="n">
        <f aca="false">H3704*K3704</f>
        <v>3500</v>
      </c>
      <c r="M3704" s="4" t="s">
        <v>371</v>
      </c>
    </row>
    <row r="3705" customFormat="false" ht="23.85" hidden="false" customHeight="false" outlineLevel="0" collapsed="false">
      <c r="A3705" s="4" t="s">
        <v>147</v>
      </c>
      <c r="B3705" s="5" t="s">
        <v>148</v>
      </c>
      <c r="C3705" s="5" t="s">
        <v>149</v>
      </c>
      <c r="D3705" s="4" t="s">
        <v>16</v>
      </c>
      <c r="E3705" s="4" t="s">
        <v>1451</v>
      </c>
      <c r="F3705" s="4" t="s">
        <v>470</v>
      </c>
      <c r="G3705" s="4" t="s">
        <v>1452</v>
      </c>
      <c r="H3705" s="12" t="n">
        <v>1</v>
      </c>
      <c r="I3705" s="4" t="s">
        <v>408</v>
      </c>
      <c r="J3705" s="4" t="s">
        <v>413</v>
      </c>
      <c r="K3705" s="13" t="n">
        <v>450</v>
      </c>
      <c r="L3705" s="6" t="n">
        <f aca="false">H3705*K3705</f>
        <v>450</v>
      </c>
      <c r="M3705" s="4" t="s">
        <v>371</v>
      </c>
    </row>
    <row r="3706" customFormat="false" ht="23.85" hidden="false" customHeight="false" outlineLevel="0" collapsed="false">
      <c r="A3706" s="4" t="s">
        <v>147</v>
      </c>
      <c r="B3706" s="5" t="s">
        <v>148</v>
      </c>
      <c r="C3706" s="5" t="s">
        <v>149</v>
      </c>
      <c r="D3706" s="4" t="s">
        <v>16</v>
      </c>
      <c r="E3706" s="4" t="s">
        <v>1104</v>
      </c>
      <c r="F3706" s="4" t="s">
        <v>470</v>
      </c>
      <c r="G3706" s="4" t="s">
        <v>1105</v>
      </c>
      <c r="H3706" s="12" t="n">
        <v>1</v>
      </c>
      <c r="I3706" s="4" t="s">
        <v>408</v>
      </c>
      <c r="J3706" s="4" t="s">
        <v>409</v>
      </c>
      <c r="K3706" s="13" t="n">
        <v>3500</v>
      </c>
      <c r="L3706" s="6" t="n">
        <f aca="false">H3706*K3706</f>
        <v>3500</v>
      </c>
      <c r="M3706" s="4" t="s">
        <v>371</v>
      </c>
    </row>
    <row r="3707" customFormat="false" ht="23.85" hidden="false" customHeight="false" outlineLevel="0" collapsed="false">
      <c r="A3707" s="4" t="s">
        <v>147</v>
      </c>
      <c r="B3707" s="5" t="s">
        <v>148</v>
      </c>
      <c r="C3707" s="5" t="s">
        <v>149</v>
      </c>
      <c r="D3707" s="4" t="s">
        <v>16</v>
      </c>
      <c r="E3707" s="4" t="s">
        <v>1642</v>
      </c>
      <c r="F3707" s="4" t="s">
        <v>470</v>
      </c>
      <c r="G3707" s="4" t="s">
        <v>1643</v>
      </c>
      <c r="H3707" s="12" t="n">
        <v>1</v>
      </c>
      <c r="I3707" s="4" t="s">
        <v>408</v>
      </c>
      <c r="J3707" s="4" t="s">
        <v>409</v>
      </c>
      <c r="K3707" s="13" t="n">
        <v>350</v>
      </c>
      <c r="L3707" s="6" t="n">
        <f aca="false">H3707*K3707</f>
        <v>350</v>
      </c>
      <c r="M3707" s="4" t="s">
        <v>371</v>
      </c>
    </row>
    <row r="3708" customFormat="false" ht="23.85" hidden="false" customHeight="false" outlineLevel="0" collapsed="false">
      <c r="A3708" s="4" t="s">
        <v>147</v>
      </c>
      <c r="B3708" s="5" t="s">
        <v>148</v>
      </c>
      <c r="C3708" s="5" t="s">
        <v>149</v>
      </c>
      <c r="D3708" s="4" t="s">
        <v>16</v>
      </c>
      <c r="E3708" s="4" t="s">
        <v>1644</v>
      </c>
      <c r="F3708" s="4" t="s">
        <v>470</v>
      </c>
      <c r="G3708" s="4" t="s">
        <v>1645</v>
      </c>
      <c r="H3708" s="12" t="n">
        <v>1</v>
      </c>
      <c r="I3708" s="4" t="s">
        <v>408</v>
      </c>
      <c r="J3708" s="4" t="s">
        <v>416</v>
      </c>
      <c r="K3708" s="13" t="n">
        <v>450</v>
      </c>
      <c r="L3708" s="6" t="n">
        <f aca="false">H3708*K3708</f>
        <v>450</v>
      </c>
      <c r="M3708" s="4" t="s">
        <v>371</v>
      </c>
    </row>
    <row r="3709" customFormat="false" ht="23.85" hidden="false" customHeight="false" outlineLevel="0" collapsed="false">
      <c r="A3709" s="4" t="s">
        <v>147</v>
      </c>
      <c r="B3709" s="5" t="s">
        <v>148</v>
      </c>
      <c r="C3709" s="5" t="s">
        <v>149</v>
      </c>
      <c r="D3709" s="4" t="s">
        <v>16</v>
      </c>
      <c r="E3709" s="4" t="s">
        <v>1646</v>
      </c>
      <c r="F3709" s="4" t="s">
        <v>470</v>
      </c>
      <c r="G3709" s="4" t="s">
        <v>1647</v>
      </c>
      <c r="H3709" s="12" t="n">
        <v>1</v>
      </c>
      <c r="I3709" s="4" t="s">
        <v>408</v>
      </c>
      <c r="J3709" s="4" t="s">
        <v>416</v>
      </c>
      <c r="K3709" s="13" t="n">
        <v>850</v>
      </c>
      <c r="L3709" s="6" t="n">
        <f aca="false">H3709*K3709</f>
        <v>850</v>
      </c>
      <c r="M3709" s="4" t="s">
        <v>371</v>
      </c>
    </row>
    <row r="3710" customFormat="false" ht="23.85" hidden="false" customHeight="false" outlineLevel="0" collapsed="false">
      <c r="A3710" s="4" t="s">
        <v>147</v>
      </c>
      <c r="B3710" s="5" t="s">
        <v>148</v>
      </c>
      <c r="C3710" s="5" t="s">
        <v>149</v>
      </c>
      <c r="D3710" s="4" t="s">
        <v>16</v>
      </c>
      <c r="E3710" s="4" t="s">
        <v>1648</v>
      </c>
      <c r="F3710" s="4" t="s">
        <v>470</v>
      </c>
      <c r="G3710" s="4" t="s">
        <v>1424</v>
      </c>
      <c r="H3710" s="12" t="n">
        <v>1</v>
      </c>
      <c r="I3710" s="4" t="s">
        <v>408</v>
      </c>
      <c r="J3710" s="4" t="s">
        <v>409</v>
      </c>
      <c r="K3710" s="13" t="n">
        <v>3500</v>
      </c>
      <c r="L3710" s="6" t="n">
        <f aca="false">H3710*K3710</f>
        <v>3500</v>
      </c>
      <c r="M3710" s="4" t="s">
        <v>371</v>
      </c>
    </row>
    <row r="3711" customFormat="false" ht="23.85" hidden="false" customHeight="false" outlineLevel="0" collapsed="false">
      <c r="A3711" s="4" t="s">
        <v>147</v>
      </c>
      <c r="B3711" s="5" t="s">
        <v>148</v>
      </c>
      <c r="C3711" s="5" t="s">
        <v>149</v>
      </c>
      <c r="D3711" s="4" t="s">
        <v>16</v>
      </c>
      <c r="E3711" s="4" t="s">
        <v>1649</v>
      </c>
      <c r="F3711" s="4" t="s">
        <v>488</v>
      </c>
      <c r="G3711" s="4" t="s">
        <v>1650</v>
      </c>
      <c r="H3711" s="12" t="n">
        <v>1</v>
      </c>
      <c r="I3711" s="4" t="s">
        <v>408</v>
      </c>
      <c r="J3711" s="4" t="s">
        <v>416</v>
      </c>
      <c r="K3711" s="13" t="n">
        <v>850</v>
      </c>
      <c r="L3711" s="6" t="n">
        <f aca="false">H3711*K3711</f>
        <v>850</v>
      </c>
      <c r="M3711" s="4" t="s">
        <v>371</v>
      </c>
    </row>
    <row r="3712" customFormat="false" ht="23.85" hidden="false" customHeight="false" outlineLevel="0" collapsed="false">
      <c r="A3712" s="4" t="s">
        <v>147</v>
      </c>
      <c r="B3712" s="5" t="s">
        <v>148</v>
      </c>
      <c r="C3712" s="5" t="s">
        <v>149</v>
      </c>
      <c r="D3712" s="4" t="s">
        <v>16</v>
      </c>
      <c r="E3712" s="4" t="s">
        <v>1651</v>
      </c>
      <c r="F3712" s="4" t="s">
        <v>488</v>
      </c>
      <c r="G3712" s="4" t="s">
        <v>1652</v>
      </c>
      <c r="H3712" s="12" t="n">
        <v>1</v>
      </c>
      <c r="I3712" s="4" t="s">
        <v>408</v>
      </c>
      <c r="J3712" s="4" t="s">
        <v>429</v>
      </c>
      <c r="K3712" s="13" t="n">
        <v>45</v>
      </c>
      <c r="L3712" s="6" t="n">
        <f aca="false">H3712*K3712</f>
        <v>45</v>
      </c>
      <c r="M3712" s="4" t="s">
        <v>371</v>
      </c>
    </row>
    <row r="3713" customFormat="false" ht="23.85" hidden="false" customHeight="false" outlineLevel="0" collapsed="false">
      <c r="A3713" s="4" t="s">
        <v>147</v>
      </c>
      <c r="B3713" s="5" t="s">
        <v>148</v>
      </c>
      <c r="C3713" s="5" t="s">
        <v>149</v>
      </c>
      <c r="D3713" s="4" t="s">
        <v>16</v>
      </c>
      <c r="E3713" s="4" t="s">
        <v>1653</v>
      </c>
      <c r="F3713" s="4" t="s">
        <v>488</v>
      </c>
      <c r="G3713" s="4" t="s">
        <v>1654</v>
      </c>
      <c r="H3713" s="12" t="n">
        <v>1</v>
      </c>
      <c r="I3713" s="4" t="s">
        <v>408</v>
      </c>
      <c r="J3713" s="4" t="s">
        <v>807</v>
      </c>
      <c r="K3713" s="13" t="n">
        <v>45</v>
      </c>
      <c r="L3713" s="6" t="n">
        <f aca="false">H3713*K3713</f>
        <v>45</v>
      </c>
      <c r="M3713" s="4" t="s">
        <v>371</v>
      </c>
    </row>
    <row r="3714" customFormat="false" ht="23.85" hidden="false" customHeight="false" outlineLevel="0" collapsed="false">
      <c r="A3714" s="4" t="s">
        <v>147</v>
      </c>
      <c r="B3714" s="5" t="s">
        <v>148</v>
      </c>
      <c r="C3714" s="5" t="s">
        <v>149</v>
      </c>
      <c r="D3714" s="4" t="s">
        <v>16</v>
      </c>
      <c r="E3714" s="4" t="s">
        <v>1655</v>
      </c>
      <c r="F3714" s="4" t="s">
        <v>488</v>
      </c>
      <c r="G3714" s="4" t="s">
        <v>1656</v>
      </c>
      <c r="H3714" s="12" t="n">
        <v>1</v>
      </c>
      <c r="I3714" s="4" t="s">
        <v>408</v>
      </c>
      <c r="J3714" s="4" t="s">
        <v>807</v>
      </c>
      <c r="K3714" s="13" t="n">
        <v>250</v>
      </c>
      <c r="L3714" s="6" t="n">
        <f aca="false">H3714*K3714</f>
        <v>250</v>
      </c>
      <c r="M3714" s="4" t="s">
        <v>371</v>
      </c>
    </row>
    <row r="3715" customFormat="false" ht="23.85" hidden="false" customHeight="false" outlineLevel="0" collapsed="false">
      <c r="A3715" s="4" t="s">
        <v>147</v>
      </c>
      <c r="B3715" s="5" t="s">
        <v>148</v>
      </c>
      <c r="C3715" s="5" t="s">
        <v>149</v>
      </c>
      <c r="D3715" s="4" t="s">
        <v>16</v>
      </c>
      <c r="E3715" s="4" t="s">
        <v>1657</v>
      </c>
      <c r="F3715" s="4" t="s">
        <v>488</v>
      </c>
      <c r="G3715" s="4" t="s">
        <v>1658</v>
      </c>
      <c r="H3715" s="12" t="n">
        <v>1</v>
      </c>
      <c r="I3715" s="4" t="s">
        <v>408</v>
      </c>
      <c r="J3715" s="4" t="s">
        <v>503</v>
      </c>
      <c r="K3715" s="13" t="n">
        <v>120</v>
      </c>
      <c r="L3715" s="6" t="n">
        <f aca="false">H3715*K3715</f>
        <v>120</v>
      </c>
      <c r="M3715" s="4" t="s">
        <v>371</v>
      </c>
    </row>
    <row r="3716" customFormat="false" ht="23.85" hidden="false" customHeight="false" outlineLevel="0" collapsed="false">
      <c r="A3716" s="4" t="s">
        <v>147</v>
      </c>
      <c r="B3716" s="5" t="s">
        <v>148</v>
      </c>
      <c r="C3716" s="5" t="s">
        <v>149</v>
      </c>
      <c r="D3716" s="4" t="s">
        <v>16</v>
      </c>
      <c r="E3716" s="4" t="s">
        <v>1659</v>
      </c>
      <c r="F3716" s="4" t="s">
        <v>488</v>
      </c>
      <c r="G3716" s="4" t="s">
        <v>1660</v>
      </c>
      <c r="H3716" s="12" t="n">
        <v>1</v>
      </c>
      <c r="I3716" s="4" t="s">
        <v>408</v>
      </c>
      <c r="J3716" s="4" t="s">
        <v>409</v>
      </c>
      <c r="K3716" s="13" t="n">
        <v>25</v>
      </c>
      <c r="L3716" s="6" t="n">
        <f aca="false">H3716*K3716</f>
        <v>25</v>
      </c>
      <c r="M3716" s="4" t="s">
        <v>371</v>
      </c>
    </row>
    <row r="3717" customFormat="false" ht="15" hidden="false" customHeight="false" outlineLevel="0" collapsed="false">
      <c r="A3717" s="4" t="s">
        <v>147</v>
      </c>
      <c r="B3717" s="5" t="s">
        <v>150</v>
      </c>
      <c r="C3717" s="5" t="s">
        <v>151</v>
      </c>
      <c r="D3717" s="4" t="s">
        <v>16</v>
      </c>
      <c r="E3717" s="4" t="s">
        <v>4433</v>
      </c>
      <c r="F3717" s="4" t="s">
        <v>406</v>
      </c>
      <c r="G3717" s="4" t="s">
        <v>4434</v>
      </c>
      <c r="H3717" s="12" t="n">
        <v>1</v>
      </c>
      <c r="I3717" s="4" t="s">
        <v>408</v>
      </c>
      <c r="J3717" s="4" t="s">
        <v>416</v>
      </c>
      <c r="K3717" s="13" t="n">
        <v>1800</v>
      </c>
      <c r="L3717" s="6" t="n">
        <f aca="false">H3717*K3717</f>
        <v>1800</v>
      </c>
      <c r="M3717" s="14" t="s">
        <v>410</v>
      </c>
    </row>
    <row r="3718" customFormat="false" ht="15" hidden="false" customHeight="false" outlineLevel="0" collapsed="false">
      <c r="A3718" s="4" t="s">
        <v>147</v>
      </c>
      <c r="B3718" s="5" t="s">
        <v>150</v>
      </c>
      <c r="C3718" s="5" t="s">
        <v>151</v>
      </c>
      <c r="D3718" s="4" t="s">
        <v>16</v>
      </c>
      <c r="E3718" s="4" t="s">
        <v>4435</v>
      </c>
      <c r="F3718" s="4" t="s">
        <v>406</v>
      </c>
      <c r="G3718" s="4" t="s">
        <v>4436</v>
      </c>
      <c r="H3718" s="12" t="n">
        <v>1</v>
      </c>
      <c r="I3718" s="4" t="s">
        <v>408</v>
      </c>
      <c r="J3718" s="4" t="s">
        <v>409</v>
      </c>
      <c r="K3718" s="13" t="n">
        <v>4500</v>
      </c>
      <c r="L3718" s="6" t="n">
        <f aca="false">H3718*K3718</f>
        <v>4500</v>
      </c>
      <c r="M3718" s="4" t="s">
        <v>371</v>
      </c>
    </row>
    <row r="3719" customFormat="false" ht="15" hidden="false" customHeight="false" outlineLevel="0" collapsed="false">
      <c r="A3719" s="4" t="s">
        <v>147</v>
      </c>
      <c r="B3719" s="5" t="s">
        <v>150</v>
      </c>
      <c r="C3719" s="5" t="s">
        <v>151</v>
      </c>
      <c r="D3719" s="4" t="s">
        <v>16</v>
      </c>
      <c r="E3719" s="4" t="s">
        <v>4437</v>
      </c>
      <c r="F3719" s="4" t="s">
        <v>406</v>
      </c>
      <c r="G3719" s="4" t="s">
        <v>4438</v>
      </c>
      <c r="H3719" s="12" t="n">
        <v>1</v>
      </c>
      <c r="I3719" s="4" t="s">
        <v>408</v>
      </c>
      <c r="J3719" s="4" t="s">
        <v>416</v>
      </c>
      <c r="K3719" s="13" t="n">
        <v>4500</v>
      </c>
      <c r="L3719" s="6" t="n">
        <f aca="false">H3719*K3719</f>
        <v>4500</v>
      </c>
      <c r="M3719" s="14" t="s">
        <v>410</v>
      </c>
    </row>
    <row r="3720" customFormat="false" ht="15" hidden="false" customHeight="false" outlineLevel="0" collapsed="false">
      <c r="A3720" s="4" t="s">
        <v>147</v>
      </c>
      <c r="B3720" s="5" t="s">
        <v>150</v>
      </c>
      <c r="C3720" s="5" t="s">
        <v>151</v>
      </c>
      <c r="D3720" s="4" t="s">
        <v>16</v>
      </c>
      <c r="E3720" s="4" t="s">
        <v>4439</v>
      </c>
      <c r="F3720" s="4" t="s">
        <v>406</v>
      </c>
      <c r="G3720" s="4" t="s">
        <v>4440</v>
      </c>
      <c r="H3720" s="12" t="n">
        <v>1</v>
      </c>
      <c r="I3720" s="4" t="s">
        <v>408</v>
      </c>
      <c r="J3720" s="4" t="s">
        <v>416</v>
      </c>
      <c r="K3720" s="13" t="n">
        <v>4500</v>
      </c>
      <c r="L3720" s="6" t="n">
        <f aca="false">H3720*K3720</f>
        <v>4500</v>
      </c>
      <c r="M3720" s="4" t="s">
        <v>371</v>
      </c>
    </row>
    <row r="3721" customFormat="false" ht="15" hidden="false" customHeight="false" outlineLevel="0" collapsed="false">
      <c r="A3721" s="4" t="s">
        <v>147</v>
      </c>
      <c r="B3721" s="5" t="s">
        <v>150</v>
      </c>
      <c r="C3721" s="5" t="s">
        <v>151</v>
      </c>
      <c r="D3721" s="4" t="s">
        <v>16</v>
      </c>
      <c r="E3721" s="4" t="s">
        <v>4441</v>
      </c>
      <c r="F3721" s="4" t="s">
        <v>470</v>
      </c>
      <c r="G3721" s="4" t="s">
        <v>4442</v>
      </c>
      <c r="H3721" s="12" t="n">
        <v>1</v>
      </c>
      <c r="I3721" s="4" t="s">
        <v>408</v>
      </c>
      <c r="J3721" s="4" t="s">
        <v>416</v>
      </c>
      <c r="K3721" s="13" t="n">
        <v>25000</v>
      </c>
      <c r="L3721" s="6" t="n">
        <f aca="false">H3721*K3721</f>
        <v>25000</v>
      </c>
      <c r="M3721" s="4" t="s">
        <v>371</v>
      </c>
    </row>
    <row r="3722" customFormat="false" ht="15" hidden="false" customHeight="false" outlineLevel="0" collapsed="false">
      <c r="A3722" s="4" t="s">
        <v>147</v>
      </c>
      <c r="B3722" s="5" t="s">
        <v>150</v>
      </c>
      <c r="C3722" s="5" t="s">
        <v>151</v>
      </c>
      <c r="D3722" s="4" t="s">
        <v>16</v>
      </c>
      <c r="E3722" s="4" t="s">
        <v>4443</v>
      </c>
      <c r="F3722" s="4" t="s">
        <v>470</v>
      </c>
      <c r="G3722" s="4" t="s">
        <v>4444</v>
      </c>
      <c r="H3722" s="12" t="n">
        <v>1</v>
      </c>
      <c r="I3722" s="4" t="s">
        <v>408</v>
      </c>
      <c r="J3722" s="4" t="s">
        <v>416</v>
      </c>
      <c r="K3722" s="13" t="n">
        <v>25000</v>
      </c>
      <c r="L3722" s="6" t="n">
        <f aca="false">H3722*K3722</f>
        <v>25000</v>
      </c>
      <c r="M3722" s="4" t="s">
        <v>371</v>
      </c>
    </row>
    <row r="3723" customFormat="false" ht="15" hidden="false" customHeight="false" outlineLevel="0" collapsed="false">
      <c r="A3723" s="4" t="s">
        <v>147</v>
      </c>
      <c r="B3723" s="5" t="s">
        <v>150</v>
      </c>
      <c r="C3723" s="5" t="s">
        <v>151</v>
      </c>
      <c r="D3723" s="4" t="s">
        <v>16</v>
      </c>
      <c r="E3723" s="4" t="s">
        <v>4445</v>
      </c>
      <c r="F3723" s="4" t="s">
        <v>470</v>
      </c>
      <c r="G3723" s="4" t="s">
        <v>4446</v>
      </c>
      <c r="H3723" s="12" t="n">
        <v>1</v>
      </c>
      <c r="I3723" s="4" t="s">
        <v>408</v>
      </c>
      <c r="J3723" s="4" t="s">
        <v>416</v>
      </c>
      <c r="K3723" s="13" t="n">
        <v>18000</v>
      </c>
      <c r="L3723" s="6" t="n">
        <f aca="false">H3723*K3723</f>
        <v>18000</v>
      </c>
      <c r="M3723" s="4" t="s">
        <v>371</v>
      </c>
    </row>
    <row r="3724" customFormat="false" ht="15" hidden="false" customHeight="false" outlineLevel="0" collapsed="false">
      <c r="A3724" s="4" t="s">
        <v>147</v>
      </c>
      <c r="B3724" s="5" t="s">
        <v>150</v>
      </c>
      <c r="C3724" s="5" t="s">
        <v>151</v>
      </c>
      <c r="D3724" s="4" t="s">
        <v>16</v>
      </c>
      <c r="E3724" s="4" t="s">
        <v>4447</v>
      </c>
      <c r="F3724" s="4" t="s">
        <v>470</v>
      </c>
      <c r="G3724" s="4" t="s">
        <v>4448</v>
      </c>
      <c r="H3724" s="12" t="n">
        <v>1</v>
      </c>
      <c r="I3724" s="4" t="s">
        <v>408</v>
      </c>
      <c r="J3724" s="4" t="s">
        <v>416</v>
      </c>
      <c r="K3724" s="13" t="n">
        <v>8500</v>
      </c>
      <c r="L3724" s="6" t="n">
        <f aca="false">H3724*K3724</f>
        <v>8500</v>
      </c>
      <c r="M3724" s="4" t="s">
        <v>371</v>
      </c>
    </row>
    <row r="3725" customFormat="false" ht="15" hidden="false" customHeight="false" outlineLevel="0" collapsed="false">
      <c r="A3725" s="4" t="s">
        <v>147</v>
      </c>
      <c r="B3725" s="5" t="s">
        <v>150</v>
      </c>
      <c r="C3725" s="5" t="s">
        <v>151</v>
      </c>
      <c r="D3725" s="4" t="s">
        <v>16</v>
      </c>
      <c r="E3725" s="4" t="s">
        <v>4449</v>
      </c>
      <c r="F3725" s="4" t="s">
        <v>470</v>
      </c>
      <c r="G3725" s="4" t="s">
        <v>4450</v>
      </c>
      <c r="H3725" s="12" t="n">
        <v>1</v>
      </c>
      <c r="I3725" s="4" t="s">
        <v>408</v>
      </c>
      <c r="J3725" s="4" t="s">
        <v>543</v>
      </c>
      <c r="K3725" s="13" t="n">
        <v>45000</v>
      </c>
      <c r="L3725" s="6" t="n">
        <f aca="false">H3725*K3725</f>
        <v>45000</v>
      </c>
      <c r="M3725" s="4" t="s">
        <v>371</v>
      </c>
    </row>
    <row r="3726" customFormat="false" ht="15" hidden="false" customHeight="false" outlineLevel="0" collapsed="false">
      <c r="A3726" s="4" t="s">
        <v>147</v>
      </c>
      <c r="B3726" s="5" t="s">
        <v>150</v>
      </c>
      <c r="C3726" s="5" t="s">
        <v>151</v>
      </c>
      <c r="D3726" s="4" t="s">
        <v>16</v>
      </c>
      <c r="E3726" s="4" t="s">
        <v>4451</v>
      </c>
      <c r="F3726" s="4" t="s">
        <v>470</v>
      </c>
      <c r="G3726" s="4" t="s">
        <v>4452</v>
      </c>
      <c r="H3726" s="12" t="n">
        <v>1</v>
      </c>
      <c r="I3726" s="4" t="s">
        <v>408</v>
      </c>
      <c r="J3726" s="4" t="s">
        <v>416</v>
      </c>
      <c r="K3726" s="13" t="n">
        <v>1800</v>
      </c>
      <c r="L3726" s="6" t="n">
        <f aca="false">H3726*K3726</f>
        <v>1800</v>
      </c>
      <c r="M3726" s="4" t="s">
        <v>371</v>
      </c>
    </row>
    <row r="3727" customFormat="false" ht="15" hidden="false" customHeight="false" outlineLevel="0" collapsed="false">
      <c r="A3727" s="4" t="s">
        <v>147</v>
      </c>
      <c r="B3727" s="5" t="s">
        <v>150</v>
      </c>
      <c r="C3727" s="5" t="s">
        <v>151</v>
      </c>
      <c r="D3727" s="4" t="s">
        <v>16</v>
      </c>
      <c r="E3727" s="4" t="s">
        <v>4453</v>
      </c>
      <c r="F3727" s="4" t="s">
        <v>488</v>
      </c>
      <c r="G3727" s="4" t="s">
        <v>4454</v>
      </c>
      <c r="H3727" s="12" t="n">
        <v>1</v>
      </c>
      <c r="I3727" s="4" t="s">
        <v>408</v>
      </c>
      <c r="J3727" s="4" t="s">
        <v>429</v>
      </c>
      <c r="K3727" s="13" t="n">
        <v>90</v>
      </c>
      <c r="L3727" s="6" t="n">
        <f aca="false">H3727*K3727</f>
        <v>90</v>
      </c>
      <c r="M3727" s="4" t="s">
        <v>371</v>
      </c>
    </row>
    <row r="3728" customFormat="false" ht="15" hidden="false" customHeight="false" outlineLevel="0" collapsed="false">
      <c r="A3728" s="4" t="s">
        <v>147</v>
      </c>
      <c r="B3728" s="5" t="s">
        <v>150</v>
      </c>
      <c r="C3728" s="5" t="s">
        <v>151</v>
      </c>
      <c r="D3728" s="4" t="s">
        <v>16</v>
      </c>
      <c r="E3728" s="4" t="s">
        <v>4455</v>
      </c>
      <c r="F3728" s="4" t="s">
        <v>488</v>
      </c>
      <c r="G3728" s="4" t="s">
        <v>4456</v>
      </c>
      <c r="H3728" s="12" t="n">
        <v>1</v>
      </c>
      <c r="I3728" s="4" t="s">
        <v>408</v>
      </c>
      <c r="J3728" s="4" t="s">
        <v>506</v>
      </c>
      <c r="K3728" s="13" t="n">
        <v>180</v>
      </c>
      <c r="L3728" s="6" t="n">
        <f aca="false">H3728*K3728</f>
        <v>180</v>
      </c>
      <c r="M3728" s="4" t="s">
        <v>371</v>
      </c>
    </row>
    <row r="3729" customFormat="false" ht="15" hidden="false" customHeight="false" outlineLevel="0" collapsed="false">
      <c r="A3729" s="4" t="s">
        <v>147</v>
      </c>
      <c r="B3729" s="5" t="s">
        <v>152</v>
      </c>
      <c r="C3729" s="5" t="s">
        <v>153</v>
      </c>
      <c r="D3729" s="4" t="s">
        <v>16</v>
      </c>
      <c r="E3729" s="4" t="s">
        <v>1610</v>
      </c>
      <c r="F3729" s="4" t="s">
        <v>406</v>
      </c>
      <c r="G3729" s="4" t="s">
        <v>1611</v>
      </c>
      <c r="H3729" s="12" t="n">
        <v>1</v>
      </c>
      <c r="I3729" s="4" t="s">
        <v>408</v>
      </c>
      <c r="J3729" s="4" t="s">
        <v>409</v>
      </c>
      <c r="K3729" s="13" t="n">
        <v>350</v>
      </c>
      <c r="L3729" s="6" t="n">
        <f aca="false">H3729*K3729</f>
        <v>350</v>
      </c>
      <c r="M3729" s="14" t="s">
        <v>410</v>
      </c>
    </row>
    <row r="3730" customFormat="false" ht="15" hidden="false" customHeight="false" outlineLevel="0" collapsed="false">
      <c r="A3730" s="4" t="s">
        <v>147</v>
      </c>
      <c r="B3730" s="5" t="s">
        <v>152</v>
      </c>
      <c r="C3730" s="5" t="s">
        <v>153</v>
      </c>
      <c r="D3730" s="4" t="s">
        <v>16</v>
      </c>
      <c r="E3730" s="4" t="s">
        <v>1870</v>
      </c>
      <c r="F3730" s="4" t="s">
        <v>406</v>
      </c>
      <c r="G3730" s="4" t="s">
        <v>1871</v>
      </c>
      <c r="H3730" s="12" t="n">
        <v>1</v>
      </c>
      <c r="I3730" s="4" t="s">
        <v>408</v>
      </c>
      <c r="J3730" s="4" t="s">
        <v>416</v>
      </c>
      <c r="K3730" s="13" t="n">
        <v>2500</v>
      </c>
      <c r="L3730" s="6" t="n">
        <f aca="false">H3730*K3730</f>
        <v>2500</v>
      </c>
      <c r="M3730" s="14" t="s">
        <v>410</v>
      </c>
    </row>
    <row r="3731" customFormat="false" ht="15" hidden="false" customHeight="false" outlineLevel="0" collapsed="false">
      <c r="A3731" s="4" t="s">
        <v>147</v>
      </c>
      <c r="B3731" s="5" t="s">
        <v>152</v>
      </c>
      <c r="C3731" s="5" t="s">
        <v>153</v>
      </c>
      <c r="D3731" s="4" t="s">
        <v>16</v>
      </c>
      <c r="E3731" s="4" t="s">
        <v>4457</v>
      </c>
      <c r="F3731" s="4" t="s">
        <v>406</v>
      </c>
      <c r="G3731" s="4" t="s">
        <v>4458</v>
      </c>
      <c r="H3731" s="12" t="n">
        <v>1</v>
      </c>
      <c r="I3731" s="4" t="s">
        <v>408</v>
      </c>
      <c r="J3731" s="4" t="s">
        <v>409</v>
      </c>
      <c r="K3731" s="13" t="n">
        <v>4500</v>
      </c>
      <c r="L3731" s="6" t="n">
        <f aca="false">H3731*K3731</f>
        <v>4500</v>
      </c>
      <c r="M3731" s="14" t="s">
        <v>410</v>
      </c>
    </row>
    <row r="3732" customFormat="false" ht="15" hidden="false" customHeight="false" outlineLevel="0" collapsed="false">
      <c r="A3732" s="4" t="s">
        <v>147</v>
      </c>
      <c r="B3732" s="5" t="s">
        <v>152</v>
      </c>
      <c r="C3732" s="5" t="s">
        <v>153</v>
      </c>
      <c r="D3732" s="4" t="s">
        <v>16</v>
      </c>
      <c r="E3732" s="4" t="s">
        <v>4459</v>
      </c>
      <c r="F3732" s="4" t="s">
        <v>406</v>
      </c>
      <c r="G3732" s="4" t="s">
        <v>4460</v>
      </c>
      <c r="H3732" s="12" t="n">
        <v>1</v>
      </c>
      <c r="I3732" s="4" t="s">
        <v>408</v>
      </c>
      <c r="J3732" s="4" t="s">
        <v>409</v>
      </c>
      <c r="K3732" s="13" t="n">
        <v>250</v>
      </c>
      <c r="L3732" s="6" t="n">
        <f aca="false">H3732*K3732</f>
        <v>250</v>
      </c>
      <c r="M3732" s="4" t="s">
        <v>371</v>
      </c>
    </row>
    <row r="3733" customFormat="false" ht="15" hidden="false" customHeight="false" outlineLevel="0" collapsed="false">
      <c r="A3733" s="4" t="s">
        <v>147</v>
      </c>
      <c r="B3733" s="5" t="s">
        <v>152</v>
      </c>
      <c r="C3733" s="5" t="s">
        <v>153</v>
      </c>
      <c r="D3733" s="4" t="s">
        <v>16</v>
      </c>
      <c r="E3733" s="4" t="s">
        <v>4461</v>
      </c>
      <c r="F3733" s="4" t="s">
        <v>406</v>
      </c>
      <c r="G3733" s="4" t="s">
        <v>4462</v>
      </c>
      <c r="H3733" s="12" t="n">
        <v>1</v>
      </c>
      <c r="I3733" s="4" t="s">
        <v>408</v>
      </c>
      <c r="J3733" s="4" t="s">
        <v>409</v>
      </c>
      <c r="K3733" s="13" t="n">
        <v>350</v>
      </c>
      <c r="L3733" s="6" t="n">
        <f aca="false">H3733*K3733</f>
        <v>350</v>
      </c>
      <c r="M3733" s="14" t="s">
        <v>410</v>
      </c>
    </row>
    <row r="3734" customFormat="false" ht="15" hidden="false" customHeight="false" outlineLevel="0" collapsed="false">
      <c r="A3734" s="4" t="s">
        <v>147</v>
      </c>
      <c r="B3734" s="5" t="s">
        <v>152</v>
      </c>
      <c r="C3734" s="5" t="s">
        <v>153</v>
      </c>
      <c r="D3734" s="4" t="s">
        <v>16</v>
      </c>
      <c r="E3734" s="4" t="s">
        <v>2578</v>
      </c>
      <c r="F3734" s="4" t="s">
        <v>406</v>
      </c>
      <c r="G3734" s="4" t="s">
        <v>2579</v>
      </c>
      <c r="H3734" s="12" t="n">
        <v>1</v>
      </c>
      <c r="I3734" s="4" t="s">
        <v>408</v>
      </c>
      <c r="J3734" s="4" t="s">
        <v>409</v>
      </c>
      <c r="K3734" s="13" t="n">
        <v>350</v>
      </c>
      <c r="L3734" s="6" t="n">
        <f aca="false">H3734*K3734</f>
        <v>350</v>
      </c>
      <c r="M3734" s="14" t="s">
        <v>410</v>
      </c>
    </row>
    <row r="3735" customFormat="false" ht="15" hidden="false" customHeight="false" outlineLevel="0" collapsed="false">
      <c r="A3735" s="4" t="s">
        <v>147</v>
      </c>
      <c r="B3735" s="5" t="s">
        <v>152</v>
      </c>
      <c r="C3735" s="5" t="s">
        <v>153</v>
      </c>
      <c r="D3735" s="4" t="s">
        <v>16</v>
      </c>
      <c r="E3735" s="4" t="s">
        <v>4463</v>
      </c>
      <c r="F3735" s="4" t="s">
        <v>406</v>
      </c>
      <c r="G3735" s="4" t="s">
        <v>2583</v>
      </c>
      <c r="H3735" s="12" t="n">
        <v>1</v>
      </c>
      <c r="I3735" s="4" t="s">
        <v>408</v>
      </c>
      <c r="J3735" s="4" t="s">
        <v>409</v>
      </c>
      <c r="K3735" s="13" t="n">
        <v>650</v>
      </c>
      <c r="L3735" s="6" t="n">
        <f aca="false">H3735*K3735</f>
        <v>650</v>
      </c>
      <c r="M3735" s="14" t="s">
        <v>410</v>
      </c>
    </row>
    <row r="3736" customFormat="false" ht="15" hidden="false" customHeight="false" outlineLevel="0" collapsed="false">
      <c r="A3736" s="4" t="s">
        <v>147</v>
      </c>
      <c r="B3736" s="5" t="s">
        <v>152</v>
      </c>
      <c r="C3736" s="5" t="s">
        <v>153</v>
      </c>
      <c r="D3736" s="4" t="s">
        <v>16</v>
      </c>
      <c r="E3736" s="4" t="s">
        <v>4464</v>
      </c>
      <c r="F3736" s="4" t="s">
        <v>406</v>
      </c>
      <c r="G3736" s="4" t="s">
        <v>4465</v>
      </c>
      <c r="H3736" s="12" t="n">
        <v>1</v>
      </c>
      <c r="I3736" s="4" t="s">
        <v>408</v>
      </c>
      <c r="J3736" s="4" t="s">
        <v>409</v>
      </c>
      <c r="K3736" s="13" t="n">
        <v>350</v>
      </c>
      <c r="L3736" s="6" t="n">
        <f aca="false">H3736*K3736</f>
        <v>350</v>
      </c>
      <c r="M3736" s="14" t="s">
        <v>410</v>
      </c>
    </row>
    <row r="3737" customFormat="false" ht="15" hidden="false" customHeight="false" outlineLevel="0" collapsed="false">
      <c r="A3737" s="4" t="s">
        <v>147</v>
      </c>
      <c r="B3737" s="5" t="s">
        <v>152</v>
      </c>
      <c r="C3737" s="5" t="s">
        <v>153</v>
      </c>
      <c r="D3737" s="4" t="s">
        <v>16</v>
      </c>
      <c r="E3737" s="4" t="s">
        <v>2826</v>
      </c>
      <c r="F3737" s="4" t="s">
        <v>406</v>
      </c>
      <c r="G3737" s="4" t="s">
        <v>2827</v>
      </c>
      <c r="H3737" s="12" t="n">
        <v>1</v>
      </c>
      <c r="I3737" s="4" t="s">
        <v>408</v>
      </c>
      <c r="J3737" s="4" t="s">
        <v>409</v>
      </c>
      <c r="K3737" s="13" t="n">
        <v>450</v>
      </c>
      <c r="L3737" s="6" t="n">
        <f aca="false">H3737*K3737</f>
        <v>450</v>
      </c>
      <c r="M3737" s="14" t="s">
        <v>410</v>
      </c>
    </row>
    <row r="3738" customFormat="false" ht="15" hidden="false" customHeight="false" outlineLevel="0" collapsed="false">
      <c r="A3738" s="4" t="s">
        <v>147</v>
      </c>
      <c r="B3738" s="5" t="s">
        <v>152</v>
      </c>
      <c r="C3738" s="5" t="s">
        <v>153</v>
      </c>
      <c r="D3738" s="4" t="s">
        <v>16</v>
      </c>
      <c r="E3738" s="4" t="s">
        <v>4466</v>
      </c>
      <c r="F3738" s="4" t="s">
        <v>406</v>
      </c>
      <c r="G3738" s="4" t="s">
        <v>4467</v>
      </c>
      <c r="H3738" s="12" t="n">
        <v>1</v>
      </c>
      <c r="I3738" s="4" t="s">
        <v>408</v>
      </c>
      <c r="J3738" s="4" t="s">
        <v>409</v>
      </c>
      <c r="K3738" s="13" t="n">
        <v>180</v>
      </c>
      <c r="L3738" s="6" t="n">
        <f aca="false">H3738*K3738</f>
        <v>180</v>
      </c>
      <c r="M3738" s="14" t="s">
        <v>410</v>
      </c>
    </row>
    <row r="3739" customFormat="false" ht="15" hidden="false" customHeight="false" outlineLevel="0" collapsed="false">
      <c r="A3739" s="4" t="s">
        <v>147</v>
      </c>
      <c r="B3739" s="5" t="s">
        <v>152</v>
      </c>
      <c r="C3739" s="5" t="s">
        <v>153</v>
      </c>
      <c r="D3739" s="4" t="s">
        <v>16</v>
      </c>
      <c r="E3739" s="4" t="s">
        <v>1845</v>
      </c>
      <c r="F3739" s="4" t="s">
        <v>406</v>
      </c>
      <c r="G3739" s="4" t="s">
        <v>1846</v>
      </c>
      <c r="H3739" s="12" t="n">
        <v>1</v>
      </c>
      <c r="I3739" s="4" t="s">
        <v>408</v>
      </c>
      <c r="J3739" s="4" t="s">
        <v>416</v>
      </c>
      <c r="K3739" s="13" t="n">
        <v>4500</v>
      </c>
      <c r="L3739" s="6" t="n">
        <f aca="false">H3739*K3739</f>
        <v>4500</v>
      </c>
      <c r="M3739" s="14" t="s">
        <v>410</v>
      </c>
    </row>
    <row r="3740" customFormat="false" ht="15" hidden="false" customHeight="false" outlineLevel="0" collapsed="false">
      <c r="A3740" s="4" t="s">
        <v>147</v>
      </c>
      <c r="B3740" s="5" t="s">
        <v>152</v>
      </c>
      <c r="C3740" s="5" t="s">
        <v>153</v>
      </c>
      <c r="D3740" s="4" t="s">
        <v>16</v>
      </c>
      <c r="E3740" s="4" t="s">
        <v>1861</v>
      </c>
      <c r="F3740" s="4" t="s">
        <v>406</v>
      </c>
      <c r="G3740" s="4" t="s">
        <v>1667</v>
      </c>
      <c r="H3740" s="12" t="n">
        <v>1</v>
      </c>
      <c r="I3740" s="4" t="s">
        <v>408</v>
      </c>
      <c r="J3740" s="4" t="s">
        <v>409</v>
      </c>
      <c r="K3740" s="13" t="n">
        <v>450</v>
      </c>
      <c r="L3740" s="6" t="n">
        <f aca="false">H3740*K3740</f>
        <v>450</v>
      </c>
      <c r="M3740" s="14" t="s">
        <v>410</v>
      </c>
    </row>
    <row r="3741" customFormat="false" ht="15" hidden="false" customHeight="false" outlineLevel="0" collapsed="false">
      <c r="A3741" s="4" t="s">
        <v>147</v>
      </c>
      <c r="B3741" s="5" t="s">
        <v>152</v>
      </c>
      <c r="C3741" s="5" t="s">
        <v>153</v>
      </c>
      <c r="D3741" s="4" t="s">
        <v>16</v>
      </c>
      <c r="E3741" s="4" t="s">
        <v>1862</v>
      </c>
      <c r="F3741" s="4" t="s">
        <v>406</v>
      </c>
      <c r="G3741" s="4" t="s">
        <v>1863</v>
      </c>
      <c r="H3741" s="12" t="n">
        <v>1</v>
      </c>
      <c r="I3741" s="4" t="s">
        <v>408</v>
      </c>
      <c r="J3741" s="4" t="s">
        <v>409</v>
      </c>
      <c r="K3741" s="13" t="n">
        <v>350</v>
      </c>
      <c r="L3741" s="6" t="n">
        <f aca="false">H3741*K3741</f>
        <v>350</v>
      </c>
      <c r="M3741" s="14" t="s">
        <v>410</v>
      </c>
    </row>
    <row r="3742" customFormat="false" ht="15" hidden="false" customHeight="false" outlineLevel="0" collapsed="false">
      <c r="A3742" s="4" t="s">
        <v>147</v>
      </c>
      <c r="B3742" s="5" t="s">
        <v>152</v>
      </c>
      <c r="C3742" s="5" t="s">
        <v>153</v>
      </c>
      <c r="D3742" s="4" t="s">
        <v>16</v>
      </c>
      <c r="E3742" s="4" t="s">
        <v>1864</v>
      </c>
      <c r="F3742" s="4" t="s">
        <v>406</v>
      </c>
      <c r="G3742" s="4" t="s">
        <v>1865</v>
      </c>
      <c r="H3742" s="12" t="n">
        <v>1</v>
      </c>
      <c r="I3742" s="4" t="s">
        <v>408</v>
      </c>
      <c r="J3742" s="4" t="s">
        <v>409</v>
      </c>
      <c r="K3742" s="13" t="n">
        <v>450</v>
      </c>
      <c r="L3742" s="6" t="n">
        <f aca="false">H3742*K3742</f>
        <v>450</v>
      </c>
      <c r="M3742" s="14" t="s">
        <v>410</v>
      </c>
    </row>
    <row r="3743" customFormat="false" ht="15" hidden="false" customHeight="false" outlineLevel="0" collapsed="false">
      <c r="A3743" s="4" t="s">
        <v>147</v>
      </c>
      <c r="B3743" s="5" t="s">
        <v>152</v>
      </c>
      <c r="C3743" s="5" t="s">
        <v>153</v>
      </c>
      <c r="D3743" s="4" t="s">
        <v>16</v>
      </c>
      <c r="E3743" s="4" t="s">
        <v>1866</v>
      </c>
      <c r="F3743" s="4" t="s">
        <v>406</v>
      </c>
      <c r="G3743" s="4" t="s">
        <v>1867</v>
      </c>
      <c r="H3743" s="12" t="n">
        <v>1</v>
      </c>
      <c r="I3743" s="4" t="s">
        <v>408</v>
      </c>
      <c r="J3743" s="4" t="s">
        <v>409</v>
      </c>
      <c r="K3743" s="13" t="n">
        <v>450</v>
      </c>
      <c r="L3743" s="6" t="n">
        <f aca="false">H3743*K3743</f>
        <v>450</v>
      </c>
      <c r="M3743" s="14" t="s">
        <v>410</v>
      </c>
    </row>
    <row r="3744" customFormat="false" ht="15" hidden="false" customHeight="false" outlineLevel="0" collapsed="false">
      <c r="A3744" s="4" t="s">
        <v>147</v>
      </c>
      <c r="B3744" s="5" t="s">
        <v>152</v>
      </c>
      <c r="C3744" s="5" t="s">
        <v>153</v>
      </c>
      <c r="D3744" s="4" t="s">
        <v>16</v>
      </c>
      <c r="E3744" s="4" t="s">
        <v>1868</v>
      </c>
      <c r="F3744" s="4" t="s">
        <v>406</v>
      </c>
      <c r="G3744" s="4" t="s">
        <v>1869</v>
      </c>
      <c r="H3744" s="12" t="n">
        <v>1</v>
      </c>
      <c r="I3744" s="4" t="s">
        <v>408</v>
      </c>
      <c r="J3744" s="4" t="s">
        <v>409</v>
      </c>
      <c r="K3744" s="13" t="n">
        <v>350</v>
      </c>
      <c r="L3744" s="6" t="n">
        <f aca="false">H3744*K3744</f>
        <v>350</v>
      </c>
      <c r="M3744" s="14" t="s">
        <v>410</v>
      </c>
    </row>
    <row r="3745" customFormat="false" ht="15" hidden="false" customHeight="false" outlineLevel="0" collapsed="false">
      <c r="A3745" s="4" t="s">
        <v>147</v>
      </c>
      <c r="B3745" s="5" t="s">
        <v>152</v>
      </c>
      <c r="C3745" s="5" t="s">
        <v>153</v>
      </c>
      <c r="D3745" s="4" t="s">
        <v>16</v>
      </c>
      <c r="E3745" s="4" t="s">
        <v>1870</v>
      </c>
      <c r="F3745" s="4" t="s">
        <v>406</v>
      </c>
      <c r="G3745" s="4" t="s">
        <v>1871</v>
      </c>
      <c r="H3745" s="12" t="n">
        <v>1</v>
      </c>
      <c r="I3745" s="4" t="s">
        <v>408</v>
      </c>
      <c r="J3745" s="4" t="s">
        <v>416</v>
      </c>
      <c r="K3745" s="13" t="n">
        <v>2500</v>
      </c>
      <c r="L3745" s="6" t="n">
        <f aca="false">H3745*K3745</f>
        <v>2500</v>
      </c>
      <c r="M3745" s="14" t="s">
        <v>410</v>
      </c>
    </row>
    <row r="3746" customFormat="false" ht="15" hidden="false" customHeight="false" outlineLevel="0" collapsed="false">
      <c r="A3746" s="4" t="s">
        <v>147</v>
      </c>
      <c r="B3746" s="5" t="s">
        <v>152</v>
      </c>
      <c r="C3746" s="5" t="s">
        <v>153</v>
      </c>
      <c r="D3746" s="4" t="s">
        <v>16</v>
      </c>
      <c r="E3746" s="4" t="s">
        <v>960</v>
      </c>
      <c r="F3746" s="4" t="s">
        <v>406</v>
      </c>
      <c r="G3746" s="4" t="s">
        <v>961</v>
      </c>
      <c r="H3746" s="12" t="n">
        <v>1</v>
      </c>
      <c r="I3746" s="4" t="s">
        <v>408</v>
      </c>
      <c r="J3746" s="4" t="s">
        <v>409</v>
      </c>
      <c r="K3746" s="13" t="n">
        <v>3500</v>
      </c>
      <c r="L3746" s="6" t="n">
        <f aca="false">H3746*K3746</f>
        <v>3500</v>
      </c>
      <c r="M3746" s="14" t="s">
        <v>410</v>
      </c>
    </row>
    <row r="3747" customFormat="false" ht="15" hidden="false" customHeight="false" outlineLevel="0" collapsed="false">
      <c r="A3747" s="4" t="s">
        <v>147</v>
      </c>
      <c r="B3747" s="5" t="s">
        <v>152</v>
      </c>
      <c r="C3747" s="5" t="s">
        <v>153</v>
      </c>
      <c r="D3747" s="4" t="s">
        <v>16</v>
      </c>
      <c r="E3747" s="4" t="s">
        <v>1866</v>
      </c>
      <c r="F3747" s="4" t="s">
        <v>406</v>
      </c>
      <c r="G3747" s="4" t="s">
        <v>1867</v>
      </c>
      <c r="H3747" s="12" t="n">
        <v>1</v>
      </c>
      <c r="I3747" s="4" t="s">
        <v>408</v>
      </c>
      <c r="J3747" s="4" t="s">
        <v>409</v>
      </c>
      <c r="K3747" s="13" t="n">
        <v>450</v>
      </c>
      <c r="L3747" s="6" t="n">
        <f aca="false">H3747*K3747</f>
        <v>450</v>
      </c>
      <c r="M3747" s="14" t="s">
        <v>410</v>
      </c>
    </row>
    <row r="3748" customFormat="false" ht="15" hidden="false" customHeight="false" outlineLevel="0" collapsed="false">
      <c r="A3748" s="4" t="s">
        <v>147</v>
      </c>
      <c r="B3748" s="5" t="s">
        <v>152</v>
      </c>
      <c r="C3748" s="5" t="s">
        <v>153</v>
      </c>
      <c r="D3748" s="4" t="s">
        <v>16</v>
      </c>
      <c r="E3748" s="4" t="s">
        <v>1674</v>
      </c>
      <c r="F3748" s="4" t="s">
        <v>406</v>
      </c>
      <c r="G3748" s="4" t="s">
        <v>778</v>
      </c>
      <c r="H3748" s="12" t="n">
        <v>1</v>
      </c>
      <c r="I3748" s="4" t="s">
        <v>408</v>
      </c>
      <c r="J3748" s="4" t="s">
        <v>409</v>
      </c>
      <c r="K3748" s="13" t="n">
        <v>120</v>
      </c>
      <c r="L3748" s="6" t="n">
        <f aca="false">H3748*K3748</f>
        <v>120</v>
      </c>
      <c r="M3748" s="14" t="s">
        <v>410</v>
      </c>
    </row>
    <row r="3749" customFormat="false" ht="15" hidden="false" customHeight="false" outlineLevel="0" collapsed="false">
      <c r="A3749" s="4" t="s">
        <v>147</v>
      </c>
      <c r="B3749" s="5" t="s">
        <v>152</v>
      </c>
      <c r="C3749" s="5" t="s">
        <v>153</v>
      </c>
      <c r="D3749" s="4" t="s">
        <v>16</v>
      </c>
      <c r="E3749" s="4" t="s">
        <v>1192</v>
      </c>
      <c r="F3749" s="4" t="s">
        <v>406</v>
      </c>
      <c r="G3749" s="4" t="s">
        <v>1193</v>
      </c>
      <c r="H3749" s="12" t="n">
        <v>1</v>
      </c>
      <c r="I3749" s="4" t="s">
        <v>408</v>
      </c>
      <c r="J3749" s="4" t="s">
        <v>416</v>
      </c>
      <c r="K3749" s="13" t="n">
        <v>450</v>
      </c>
      <c r="L3749" s="6" t="n">
        <f aca="false">H3749*K3749</f>
        <v>450</v>
      </c>
      <c r="M3749" s="14" t="s">
        <v>410</v>
      </c>
    </row>
    <row r="3750" customFormat="false" ht="15" hidden="false" customHeight="false" outlineLevel="0" collapsed="false">
      <c r="A3750" s="4" t="s">
        <v>147</v>
      </c>
      <c r="B3750" s="5" t="s">
        <v>152</v>
      </c>
      <c r="C3750" s="5" t="s">
        <v>153</v>
      </c>
      <c r="D3750" s="4" t="s">
        <v>16</v>
      </c>
      <c r="E3750" s="4" t="s">
        <v>1884</v>
      </c>
      <c r="F3750" s="4" t="s">
        <v>406</v>
      </c>
      <c r="G3750" s="4" t="s">
        <v>1604</v>
      </c>
      <c r="H3750" s="12" t="n">
        <v>1</v>
      </c>
      <c r="I3750" s="4" t="s">
        <v>408</v>
      </c>
      <c r="J3750" s="4" t="s">
        <v>416</v>
      </c>
      <c r="K3750" s="13" t="n">
        <v>1200</v>
      </c>
      <c r="L3750" s="6" t="n">
        <f aca="false">H3750*K3750</f>
        <v>1200</v>
      </c>
      <c r="M3750" s="14" t="s">
        <v>410</v>
      </c>
    </row>
    <row r="3751" customFormat="false" ht="15" hidden="false" customHeight="false" outlineLevel="0" collapsed="false">
      <c r="A3751" s="4" t="s">
        <v>147</v>
      </c>
      <c r="B3751" s="5" t="s">
        <v>152</v>
      </c>
      <c r="C3751" s="5" t="s">
        <v>153</v>
      </c>
      <c r="D3751" s="4" t="s">
        <v>16</v>
      </c>
      <c r="E3751" s="4" t="s">
        <v>4468</v>
      </c>
      <c r="F3751" s="4" t="s">
        <v>406</v>
      </c>
      <c r="G3751" s="4" t="s">
        <v>4469</v>
      </c>
      <c r="H3751" s="12" t="n">
        <v>1</v>
      </c>
      <c r="I3751" s="4" t="s">
        <v>408</v>
      </c>
      <c r="J3751" s="4" t="s">
        <v>409</v>
      </c>
      <c r="K3751" s="13" t="n">
        <v>850</v>
      </c>
      <c r="L3751" s="6" t="n">
        <f aca="false">H3751*K3751</f>
        <v>850</v>
      </c>
      <c r="M3751" s="14" t="s">
        <v>410</v>
      </c>
    </row>
    <row r="3752" customFormat="false" ht="15" hidden="false" customHeight="false" outlineLevel="0" collapsed="false">
      <c r="A3752" s="4" t="s">
        <v>147</v>
      </c>
      <c r="B3752" s="5" t="s">
        <v>152</v>
      </c>
      <c r="C3752" s="5" t="s">
        <v>153</v>
      </c>
      <c r="D3752" s="4" t="s">
        <v>16</v>
      </c>
      <c r="E3752" s="4" t="s">
        <v>2892</v>
      </c>
      <c r="F3752" s="4" t="s">
        <v>406</v>
      </c>
      <c r="G3752" s="4" t="s">
        <v>2893</v>
      </c>
      <c r="H3752" s="12" t="n">
        <v>1</v>
      </c>
      <c r="I3752" s="4" t="s">
        <v>408</v>
      </c>
      <c r="J3752" s="4" t="s">
        <v>409</v>
      </c>
      <c r="K3752" s="13" t="n">
        <v>250</v>
      </c>
      <c r="L3752" s="6" t="n">
        <f aca="false">H3752*K3752</f>
        <v>250</v>
      </c>
      <c r="M3752" s="14" t="s">
        <v>410</v>
      </c>
    </row>
    <row r="3753" customFormat="false" ht="15" hidden="false" customHeight="false" outlineLevel="0" collapsed="false">
      <c r="A3753" s="4" t="s">
        <v>147</v>
      </c>
      <c r="B3753" s="5" t="s">
        <v>152</v>
      </c>
      <c r="C3753" s="5" t="s">
        <v>153</v>
      </c>
      <c r="D3753" s="4" t="s">
        <v>16</v>
      </c>
      <c r="E3753" s="4" t="s">
        <v>4470</v>
      </c>
      <c r="F3753" s="4" t="s">
        <v>406</v>
      </c>
      <c r="G3753" s="4" t="s">
        <v>4471</v>
      </c>
      <c r="H3753" s="12" t="n">
        <v>1</v>
      </c>
      <c r="I3753" s="4" t="s">
        <v>408</v>
      </c>
      <c r="J3753" s="4" t="s">
        <v>409</v>
      </c>
      <c r="K3753" s="13" t="n">
        <v>850</v>
      </c>
      <c r="L3753" s="6" t="n">
        <f aca="false">H3753*K3753</f>
        <v>850</v>
      </c>
      <c r="M3753" s="14" t="s">
        <v>410</v>
      </c>
    </row>
    <row r="3754" customFormat="false" ht="15" hidden="false" customHeight="false" outlineLevel="0" collapsed="false">
      <c r="A3754" s="4" t="s">
        <v>147</v>
      </c>
      <c r="B3754" s="5" t="s">
        <v>152</v>
      </c>
      <c r="C3754" s="5" t="s">
        <v>153</v>
      </c>
      <c r="D3754" s="4" t="s">
        <v>16</v>
      </c>
      <c r="E3754" s="4" t="s">
        <v>4472</v>
      </c>
      <c r="F3754" s="4" t="s">
        <v>406</v>
      </c>
      <c r="G3754" s="4" t="s">
        <v>4473</v>
      </c>
      <c r="H3754" s="12" t="n">
        <v>1</v>
      </c>
      <c r="I3754" s="4" t="s">
        <v>408</v>
      </c>
      <c r="J3754" s="4" t="s">
        <v>409</v>
      </c>
      <c r="K3754" s="13" t="n">
        <v>3500</v>
      </c>
      <c r="L3754" s="6" t="n">
        <f aca="false">H3754*K3754</f>
        <v>3500</v>
      </c>
      <c r="M3754" s="14" t="s">
        <v>410</v>
      </c>
    </row>
    <row r="3755" customFormat="false" ht="15" hidden="false" customHeight="false" outlineLevel="0" collapsed="false">
      <c r="A3755" s="4" t="s">
        <v>147</v>
      </c>
      <c r="B3755" s="5" t="s">
        <v>152</v>
      </c>
      <c r="C3755" s="5" t="s">
        <v>153</v>
      </c>
      <c r="D3755" s="4" t="s">
        <v>16</v>
      </c>
      <c r="E3755" s="4" t="s">
        <v>4474</v>
      </c>
      <c r="F3755" s="4" t="s">
        <v>406</v>
      </c>
      <c r="G3755" s="4" t="s">
        <v>4475</v>
      </c>
      <c r="H3755" s="12" t="n">
        <v>1</v>
      </c>
      <c r="I3755" s="4" t="s">
        <v>408</v>
      </c>
      <c r="J3755" s="4" t="s">
        <v>409</v>
      </c>
      <c r="K3755" s="13" t="n">
        <v>2500</v>
      </c>
      <c r="L3755" s="6" t="n">
        <f aca="false">H3755*K3755</f>
        <v>2500</v>
      </c>
      <c r="M3755" s="14" t="s">
        <v>410</v>
      </c>
    </row>
    <row r="3756" customFormat="false" ht="15" hidden="false" customHeight="false" outlineLevel="0" collapsed="false">
      <c r="A3756" s="4" t="s">
        <v>147</v>
      </c>
      <c r="B3756" s="5" t="s">
        <v>152</v>
      </c>
      <c r="C3756" s="5" t="s">
        <v>153</v>
      </c>
      <c r="D3756" s="4" t="s">
        <v>16</v>
      </c>
      <c r="E3756" s="4" t="s">
        <v>4476</v>
      </c>
      <c r="F3756" s="4" t="s">
        <v>406</v>
      </c>
      <c r="G3756" s="4" t="s">
        <v>4477</v>
      </c>
      <c r="H3756" s="12" t="n">
        <v>1</v>
      </c>
      <c r="I3756" s="4" t="s">
        <v>408</v>
      </c>
      <c r="J3756" s="4" t="s">
        <v>409</v>
      </c>
      <c r="K3756" s="13" t="n">
        <v>4500</v>
      </c>
      <c r="L3756" s="6" t="n">
        <f aca="false">H3756*K3756</f>
        <v>4500</v>
      </c>
      <c r="M3756" s="14" t="s">
        <v>410</v>
      </c>
    </row>
    <row r="3757" customFormat="false" ht="15" hidden="false" customHeight="false" outlineLevel="0" collapsed="false">
      <c r="A3757" s="4" t="s">
        <v>147</v>
      </c>
      <c r="B3757" s="5" t="s">
        <v>152</v>
      </c>
      <c r="C3757" s="5" t="s">
        <v>153</v>
      </c>
      <c r="D3757" s="4" t="s">
        <v>16</v>
      </c>
      <c r="E3757" s="4" t="s">
        <v>4478</v>
      </c>
      <c r="F3757" s="4" t="s">
        <v>406</v>
      </c>
      <c r="G3757" s="4" t="s">
        <v>4479</v>
      </c>
      <c r="H3757" s="12" t="n">
        <v>1</v>
      </c>
      <c r="I3757" s="4" t="s">
        <v>408</v>
      </c>
      <c r="J3757" s="4" t="s">
        <v>409</v>
      </c>
      <c r="K3757" s="13" t="n">
        <v>18000</v>
      </c>
      <c r="L3757" s="6" t="n">
        <f aca="false">H3757*K3757</f>
        <v>18000</v>
      </c>
      <c r="M3757" s="14" t="s">
        <v>410</v>
      </c>
    </row>
    <row r="3758" customFormat="false" ht="15" hidden="false" customHeight="false" outlineLevel="0" collapsed="false">
      <c r="A3758" s="4" t="s">
        <v>147</v>
      </c>
      <c r="B3758" s="5" t="s">
        <v>152</v>
      </c>
      <c r="C3758" s="5" t="s">
        <v>153</v>
      </c>
      <c r="D3758" s="4" t="s">
        <v>16</v>
      </c>
      <c r="E3758" s="4" t="s">
        <v>4480</v>
      </c>
      <c r="F3758" s="4" t="s">
        <v>406</v>
      </c>
      <c r="G3758" s="4" t="s">
        <v>4481</v>
      </c>
      <c r="H3758" s="12" t="n">
        <v>1</v>
      </c>
      <c r="I3758" s="4" t="s">
        <v>408</v>
      </c>
      <c r="J3758" s="4" t="s">
        <v>409</v>
      </c>
      <c r="K3758" s="13" t="n">
        <v>450</v>
      </c>
      <c r="L3758" s="6" t="n">
        <f aca="false">H3758*K3758</f>
        <v>450</v>
      </c>
      <c r="M3758" s="14" t="s">
        <v>410</v>
      </c>
    </row>
    <row r="3759" customFormat="false" ht="15" hidden="false" customHeight="false" outlineLevel="0" collapsed="false">
      <c r="A3759" s="4" t="s">
        <v>147</v>
      </c>
      <c r="B3759" s="5" t="s">
        <v>152</v>
      </c>
      <c r="C3759" s="5" t="s">
        <v>153</v>
      </c>
      <c r="D3759" s="4" t="s">
        <v>16</v>
      </c>
      <c r="E3759" s="4" t="s">
        <v>4482</v>
      </c>
      <c r="F3759" s="4" t="s">
        <v>406</v>
      </c>
      <c r="G3759" s="4" t="s">
        <v>4483</v>
      </c>
      <c r="H3759" s="12" t="n">
        <v>1</v>
      </c>
      <c r="I3759" s="4" t="s">
        <v>408</v>
      </c>
      <c r="J3759" s="4" t="s">
        <v>416</v>
      </c>
      <c r="K3759" s="13" t="n">
        <v>3500</v>
      </c>
      <c r="L3759" s="6" t="n">
        <f aca="false">H3759*K3759</f>
        <v>3500</v>
      </c>
      <c r="M3759" s="14" t="s">
        <v>410</v>
      </c>
    </row>
    <row r="3760" customFormat="false" ht="15" hidden="false" customHeight="false" outlineLevel="0" collapsed="false">
      <c r="A3760" s="4" t="s">
        <v>147</v>
      </c>
      <c r="B3760" s="5" t="s">
        <v>152</v>
      </c>
      <c r="C3760" s="5" t="s">
        <v>153</v>
      </c>
      <c r="D3760" s="4" t="s">
        <v>16</v>
      </c>
      <c r="E3760" s="4" t="s">
        <v>4484</v>
      </c>
      <c r="F3760" s="4" t="s">
        <v>406</v>
      </c>
      <c r="G3760" s="4" t="s">
        <v>4485</v>
      </c>
      <c r="H3760" s="12" t="n">
        <v>1</v>
      </c>
      <c r="I3760" s="4" t="s">
        <v>408</v>
      </c>
      <c r="J3760" s="4" t="s">
        <v>416</v>
      </c>
      <c r="K3760" s="13" t="n">
        <v>8500</v>
      </c>
      <c r="L3760" s="6" t="n">
        <f aca="false">H3760*K3760</f>
        <v>8500</v>
      </c>
      <c r="M3760" s="14" t="s">
        <v>410</v>
      </c>
    </row>
    <row r="3761" customFormat="false" ht="15" hidden="false" customHeight="false" outlineLevel="0" collapsed="false">
      <c r="A3761" s="4" t="s">
        <v>147</v>
      </c>
      <c r="B3761" s="5" t="s">
        <v>152</v>
      </c>
      <c r="C3761" s="5" t="s">
        <v>153</v>
      </c>
      <c r="D3761" s="4" t="s">
        <v>16</v>
      </c>
      <c r="E3761" s="4" t="s">
        <v>4486</v>
      </c>
      <c r="F3761" s="4" t="s">
        <v>406</v>
      </c>
      <c r="G3761" s="4" t="s">
        <v>4487</v>
      </c>
      <c r="H3761" s="12" t="n">
        <v>1</v>
      </c>
      <c r="I3761" s="4" t="s">
        <v>408</v>
      </c>
      <c r="J3761" s="4" t="s">
        <v>409</v>
      </c>
      <c r="K3761" s="13" t="n">
        <v>18000</v>
      </c>
      <c r="L3761" s="6" t="n">
        <f aca="false">H3761*K3761</f>
        <v>18000</v>
      </c>
      <c r="M3761" s="14" t="s">
        <v>410</v>
      </c>
    </row>
    <row r="3762" customFormat="false" ht="15" hidden="false" customHeight="false" outlineLevel="0" collapsed="false">
      <c r="A3762" s="4" t="s">
        <v>147</v>
      </c>
      <c r="B3762" s="5" t="s">
        <v>152</v>
      </c>
      <c r="C3762" s="5" t="s">
        <v>153</v>
      </c>
      <c r="D3762" s="4" t="s">
        <v>16</v>
      </c>
      <c r="E3762" s="4" t="s">
        <v>4488</v>
      </c>
      <c r="F3762" s="4" t="s">
        <v>406</v>
      </c>
      <c r="G3762" s="4" t="s">
        <v>4489</v>
      </c>
      <c r="H3762" s="12" t="n">
        <v>1</v>
      </c>
      <c r="I3762" s="4" t="s">
        <v>408</v>
      </c>
      <c r="J3762" s="4" t="s">
        <v>416</v>
      </c>
      <c r="K3762" s="13" t="n">
        <v>18000</v>
      </c>
      <c r="L3762" s="6" t="n">
        <f aca="false">H3762*K3762</f>
        <v>18000</v>
      </c>
      <c r="M3762" s="14" t="s">
        <v>410</v>
      </c>
    </row>
    <row r="3763" customFormat="false" ht="15" hidden="false" customHeight="false" outlineLevel="0" collapsed="false">
      <c r="A3763" s="4" t="s">
        <v>147</v>
      </c>
      <c r="B3763" s="5" t="s">
        <v>152</v>
      </c>
      <c r="C3763" s="5" t="s">
        <v>153</v>
      </c>
      <c r="D3763" s="4" t="s">
        <v>16</v>
      </c>
      <c r="E3763" s="4" t="s">
        <v>1208</v>
      </c>
      <c r="F3763" s="4" t="s">
        <v>406</v>
      </c>
      <c r="G3763" s="4" t="s">
        <v>1209</v>
      </c>
      <c r="H3763" s="12" t="n">
        <v>1</v>
      </c>
      <c r="I3763" s="4" t="s">
        <v>408</v>
      </c>
      <c r="J3763" s="4" t="s">
        <v>409</v>
      </c>
      <c r="K3763" s="13" t="n">
        <v>850</v>
      </c>
      <c r="L3763" s="6" t="n">
        <f aca="false">H3763*K3763</f>
        <v>850</v>
      </c>
      <c r="M3763" s="14" t="s">
        <v>410</v>
      </c>
    </row>
    <row r="3764" customFormat="false" ht="15" hidden="false" customHeight="false" outlineLevel="0" collapsed="false">
      <c r="A3764" s="4" t="s">
        <v>147</v>
      </c>
      <c r="B3764" s="5" t="s">
        <v>152</v>
      </c>
      <c r="C3764" s="5" t="s">
        <v>153</v>
      </c>
      <c r="D3764" s="4" t="s">
        <v>16</v>
      </c>
      <c r="E3764" s="4" t="s">
        <v>4490</v>
      </c>
      <c r="F3764" s="4" t="s">
        <v>406</v>
      </c>
      <c r="G3764" s="4" t="s">
        <v>4491</v>
      </c>
      <c r="H3764" s="12" t="n">
        <v>1</v>
      </c>
      <c r="I3764" s="4" t="s">
        <v>408</v>
      </c>
      <c r="J3764" s="4" t="s">
        <v>409</v>
      </c>
      <c r="K3764" s="13" t="n">
        <v>1800</v>
      </c>
      <c r="L3764" s="6" t="n">
        <f aca="false">H3764*K3764</f>
        <v>1800</v>
      </c>
      <c r="M3764" s="14" t="s">
        <v>410</v>
      </c>
    </row>
    <row r="3765" customFormat="false" ht="15" hidden="false" customHeight="false" outlineLevel="0" collapsed="false">
      <c r="A3765" s="4" t="s">
        <v>147</v>
      </c>
      <c r="B3765" s="5" t="s">
        <v>152</v>
      </c>
      <c r="C3765" s="5" t="s">
        <v>153</v>
      </c>
      <c r="D3765" s="4" t="s">
        <v>16</v>
      </c>
      <c r="E3765" s="4" t="s">
        <v>4492</v>
      </c>
      <c r="F3765" s="4" t="s">
        <v>406</v>
      </c>
      <c r="G3765" s="4" t="s">
        <v>4493</v>
      </c>
      <c r="H3765" s="12" t="n">
        <v>1</v>
      </c>
      <c r="I3765" s="4" t="s">
        <v>408</v>
      </c>
      <c r="J3765" s="4" t="s">
        <v>409</v>
      </c>
      <c r="K3765" s="13" t="n">
        <v>2500</v>
      </c>
      <c r="L3765" s="6" t="n">
        <f aca="false">H3765*K3765</f>
        <v>2500</v>
      </c>
      <c r="M3765" s="14" t="s">
        <v>410</v>
      </c>
    </row>
    <row r="3766" customFormat="false" ht="15" hidden="false" customHeight="false" outlineLevel="0" collapsed="false">
      <c r="A3766" s="4" t="s">
        <v>147</v>
      </c>
      <c r="B3766" s="5" t="s">
        <v>152</v>
      </c>
      <c r="C3766" s="5" t="s">
        <v>153</v>
      </c>
      <c r="D3766" s="4" t="s">
        <v>16</v>
      </c>
      <c r="E3766" s="4" t="s">
        <v>4494</v>
      </c>
      <c r="F3766" s="4" t="s">
        <v>406</v>
      </c>
      <c r="G3766" s="4" t="s">
        <v>4495</v>
      </c>
      <c r="H3766" s="12" t="n">
        <v>1</v>
      </c>
      <c r="I3766" s="4" t="s">
        <v>408</v>
      </c>
      <c r="J3766" s="4" t="s">
        <v>409</v>
      </c>
      <c r="K3766" s="13" t="n">
        <v>1800</v>
      </c>
      <c r="L3766" s="6" t="n">
        <f aca="false">H3766*K3766</f>
        <v>1800</v>
      </c>
      <c r="M3766" s="14" t="s">
        <v>410</v>
      </c>
    </row>
    <row r="3767" customFormat="false" ht="15" hidden="false" customHeight="false" outlineLevel="0" collapsed="false">
      <c r="A3767" s="4" t="s">
        <v>147</v>
      </c>
      <c r="B3767" s="5" t="s">
        <v>152</v>
      </c>
      <c r="C3767" s="5" t="s">
        <v>153</v>
      </c>
      <c r="D3767" s="4" t="s">
        <v>16</v>
      </c>
      <c r="E3767" s="4" t="s">
        <v>4496</v>
      </c>
      <c r="F3767" s="4" t="s">
        <v>406</v>
      </c>
      <c r="G3767" s="4" t="s">
        <v>4497</v>
      </c>
      <c r="H3767" s="12" t="n">
        <v>1</v>
      </c>
      <c r="I3767" s="4" t="s">
        <v>408</v>
      </c>
      <c r="J3767" s="4" t="s">
        <v>416</v>
      </c>
      <c r="K3767" s="13" t="n">
        <v>4500</v>
      </c>
      <c r="L3767" s="6" t="n">
        <f aca="false">H3767*K3767</f>
        <v>4500</v>
      </c>
      <c r="M3767" s="4" t="s">
        <v>371</v>
      </c>
    </row>
    <row r="3768" customFormat="false" ht="15" hidden="false" customHeight="false" outlineLevel="0" collapsed="false">
      <c r="A3768" s="4" t="s">
        <v>147</v>
      </c>
      <c r="B3768" s="5" t="s">
        <v>152</v>
      </c>
      <c r="C3768" s="5" t="s">
        <v>153</v>
      </c>
      <c r="D3768" s="4" t="s">
        <v>16</v>
      </c>
      <c r="E3768" s="4" t="s">
        <v>4498</v>
      </c>
      <c r="F3768" s="4" t="s">
        <v>406</v>
      </c>
      <c r="G3768" s="4" t="s">
        <v>4499</v>
      </c>
      <c r="H3768" s="12" t="n">
        <v>1</v>
      </c>
      <c r="I3768" s="4" t="s">
        <v>408</v>
      </c>
      <c r="J3768" s="4" t="s">
        <v>409</v>
      </c>
      <c r="K3768" s="13" t="n">
        <v>18000</v>
      </c>
      <c r="L3768" s="6" t="n">
        <f aca="false">H3768*K3768</f>
        <v>18000</v>
      </c>
      <c r="M3768" s="14" t="s">
        <v>410</v>
      </c>
    </row>
    <row r="3769" customFormat="false" ht="15" hidden="false" customHeight="false" outlineLevel="0" collapsed="false">
      <c r="A3769" s="4" t="s">
        <v>147</v>
      </c>
      <c r="B3769" s="5" t="s">
        <v>152</v>
      </c>
      <c r="C3769" s="5" t="s">
        <v>153</v>
      </c>
      <c r="D3769" s="4" t="s">
        <v>16</v>
      </c>
      <c r="E3769" s="4" t="s">
        <v>4500</v>
      </c>
      <c r="F3769" s="4" t="s">
        <v>406</v>
      </c>
      <c r="G3769" s="4" t="s">
        <v>4501</v>
      </c>
      <c r="H3769" s="12" t="n">
        <v>1</v>
      </c>
      <c r="I3769" s="4" t="s">
        <v>408</v>
      </c>
      <c r="J3769" s="4" t="s">
        <v>416</v>
      </c>
      <c r="K3769" s="13" t="n">
        <v>35000</v>
      </c>
      <c r="L3769" s="6" t="n">
        <f aca="false">H3769*K3769</f>
        <v>35000</v>
      </c>
      <c r="M3769" s="4" t="s">
        <v>371</v>
      </c>
    </row>
    <row r="3770" customFormat="false" ht="15" hidden="false" customHeight="false" outlineLevel="0" collapsed="false">
      <c r="A3770" s="4" t="s">
        <v>147</v>
      </c>
      <c r="B3770" s="5" t="s">
        <v>152</v>
      </c>
      <c r="C3770" s="5" t="s">
        <v>153</v>
      </c>
      <c r="D3770" s="4" t="s">
        <v>16</v>
      </c>
      <c r="E3770" s="4" t="s">
        <v>1220</v>
      </c>
      <c r="F3770" s="4" t="s">
        <v>406</v>
      </c>
      <c r="G3770" s="4" t="s">
        <v>1221</v>
      </c>
      <c r="H3770" s="12" t="n">
        <v>1</v>
      </c>
      <c r="I3770" s="4" t="s">
        <v>408</v>
      </c>
      <c r="J3770" s="4" t="s">
        <v>416</v>
      </c>
      <c r="K3770" s="13" t="n">
        <v>2500</v>
      </c>
      <c r="L3770" s="6" t="n">
        <f aca="false">H3770*K3770</f>
        <v>2500</v>
      </c>
      <c r="M3770" s="14" t="s">
        <v>410</v>
      </c>
    </row>
    <row r="3771" customFormat="false" ht="15" hidden="false" customHeight="false" outlineLevel="0" collapsed="false">
      <c r="A3771" s="4" t="s">
        <v>147</v>
      </c>
      <c r="B3771" s="5" t="s">
        <v>152</v>
      </c>
      <c r="C3771" s="5" t="s">
        <v>153</v>
      </c>
      <c r="D3771" s="4" t="s">
        <v>16</v>
      </c>
      <c r="E3771" s="4" t="s">
        <v>1058</v>
      </c>
      <c r="F3771" s="4" t="s">
        <v>470</v>
      </c>
      <c r="G3771" s="4" t="s">
        <v>1059</v>
      </c>
      <c r="H3771" s="12" t="n">
        <v>1</v>
      </c>
      <c r="I3771" s="4" t="s">
        <v>408</v>
      </c>
      <c r="J3771" s="4" t="s">
        <v>409</v>
      </c>
      <c r="K3771" s="13" t="n">
        <v>45000</v>
      </c>
      <c r="L3771" s="6" t="n">
        <f aca="false">H3771*K3771</f>
        <v>45000</v>
      </c>
      <c r="M3771" s="14" t="s">
        <v>410</v>
      </c>
    </row>
    <row r="3772" customFormat="false" ht="15" hidden="false" customHeight="false" outlineLevel="0" collapsed="false">
      <c r="A3772" s="4" t="s">
        <v>147</v>
      </c>
      <c r="B3772" s="5" t="s">
        <v>152</v>
      </c>
      <c r="C3772" s="5" t="s">
        <v>153</v>
      </c>
      <c r="D3772" s="4" t="s">
        <v>16</v>
      </c>
      <c r="E3772" s="4" t="s">
        <v>1915</v>
      </c>
      <c r="F3772" s="4" t="s">
        <v>470</v>
      </c>
      <c r="G3772" s="4" t="s">
        <v>1916</v>
      </c>
      <c r="H3772" s="12" t="n">
        <v>1</v>
      </c>
      <c r="I3772" s="4" t="s">
        <v>408</v>
      </c>
      <c r="J3772" s="4" t="s">
        <v>409</v>
      </c>
      <c r="K3772" s="13" t="n">
        <v>850</v>
      </c>
      <c r="L3772" s="6" t="n">
        <f aca="false">H3772*K3772</f>
        <v>850</v>
      </c>
      <c r="M3772" s="4" t="s">
        <v>371</v>
      </c>
    </row>
    <row r="3773" customFormat="false" ht="15" hidden="false" customHeight="false" outlineLevel="0" collapsed="false">
      <c r="A3773" s="4" t="s">
        <v>147</v>
      </c>
      <c r="B3773" s="5" t="s">
        <v>152</v>
      </c>
      <c r="C3773" s="5" t="s">
        <v>153</v>
      </c>
      <c r="D3773" s="4" t="s">
        <v>16</v>
      </c>
      <c r="E3773" s="4" t="s">
        <v>1917</v>
      </c>
      <c r="F3773" s="4" t="s">
        <v>470</v>
      </c>
      <c r="G3773" s="4" t="s">
        <v>1918</v>
      </c>
      <c r="H3773" s="12" t="n">
        <v>1</v>
      </c>
      <c r="I3773" s="4" t="s">
        <v>408</v>
      </c>
      <c r="J3773" s="4" t="s">
        <v>409</v>
      </c>
      <c r="K3773" s="13" t="n">
        <v>3500</v>
      </c>
      <c r="L3773" s="6" t="n">
        <f aca="false">H3773*K3773</f>
        <v>3500</v>
      </c>
      <c r="M3773" s="4" t="s">
        <v>371</v>
      </c>
    </row>
    <row r="3774" customFormat="false" ht="15" hidden="false" customHeight="false" outlineLevel="0" collapsed="false">
      <c r="A3774" s="4" t="s">
        <v>147</v>
      </c>
      <c r="B3774" s="5" t="s">
        <v>152</v>
      </c>
      <c r="C3774" s="5" t="s">
        <v>153</v>
      </c>
      <c r="D3774" s="4" t="s">
        <v>16</v>
      </c>
      <c r="E3774" s="4" t="s">
        <v>1919</v>
      </c>
      <c r="F3774" s="4" t="s">
        <v>470</v>
      </c>
      <c r="G3774" s="4" t="s">
        <v>1920</v>
      </c>
      <c r="H3774" s="12" t="n">
        <v>1</v>
      </c>
      <c r="I3774" s="4" t="s">
        <v>408</v>
      </c>
      <c r="J3774" s="4" t="s">
        <v>409</v>
      </c>
      <c r="K3774" s="13" t="n">
        <v>80</v>
      </c>
      <c r="L3774" s="6" t="n">
        <f aca="false">H3774*K3774</f>
        <v>80</v>
      </c>
      <c r="M3774" s="4" t="s">
        <v>371</v>
      </c>
    </row>
    <row r="3775" customFormat="false" ht="15" hidden="false" customHeight="false" outlineLevel="0" collapsed="false">
      <c r="A3775" s="4" t="s">
        <v>147</v>
      </c>
      <c r="B3775" s="5" t="s">
        <v>152</v>
      </c>
      <c r="C3775" s="5" t="s">
        <v>153</v>
      </c>
      <c r="D3775" s="4" t="s">
        <v>16</v>
      </c>
      <c r="E3775" s="4" t="s">
        <v>1921</v>
      </c>
      <c r="F3775" s="4" t="s">
        <v>470</v>
      </c>
      <c r="G3775" s="4" t="s">
        <v>1922</v>
      </c>
      <c r="H3775" s="12" t="n">
        <v>1</v>
      </c>
      <c r="I3775" s="4" t="s">
        <v>408</v>
      </c>
      <c r="J3775" s="4" t="s">
        <v>475</v>
      </c>
      <c r="K3775" s="13" t="n">
        <v>350</v>
      </c>
      <c r="L3775" s="6" t="n">
        <f aca="false">H3775*K3775</f>
        <v>350</v>
      </c>
      <c r="M3775" s="4" t="s">
        <v>371</v>
      </c>
    </row>
    <row r="3776" customFormat="false" ht="15" hidden="false" customHeight="false" outlineLevel="0" collapsed="false">
      <c r="A3776" s="4" t="s">
        <v>147</v>
      </c>
      <c r="B3776" s="5" t="s">
        <v>152</v>
      </c>
      <c r="C3776" s="5" t="s">
        <v>153</v>
      </c>
      <c r="D3776" s="4" t="s">
        <v>16</v>
      </c>
      <c r="E3776" s="4" t="s">
        <v>1923</v>
      </c>
      <c r="F3776" s="4" t="s">
        <v>470</v>
      </c>
      <c r="G3776" s="4" t="s">
        <v>1924</v>
      </c>
      <c r="H3776" s="12" t="n">
        <v>1</v>
      </c>
      <c r="I3776" s="4" t="s">
        <v>408</v>
      </c>
      <c r="J3776" s="4" t="s">
        <v>475</v>
      </c>
      <c r="K3776" s="13" t="n">
        <v>180</v>
      </c>
      <c r="L3776" s="6" t="n">
        <f aca="false">H3776*K3776</f>
        <v>180</v>
      </c>
      <c r="M3776" s="4" t="s">
        <v>371</v>
      </c>
    </row>
    <row r="3777" customFormat="false" ht="15" hidden="false" customHeight="false" outlineLevel="0" collapsed="false">
      <c r="A3777" s="4" t="s">
        <v>147</v>
      </c>
      <c r="B3777" s="5" t="s">
        <v>152</v>
      </c>
      <c r="C3777" s="5" t="s">
        <v>153</v>
      </c>
      <c r="D3777" s="4" t="s">
        <v>16</v>
      </c>
      <c r="E3777" s="4" t="s">
        <v>1925</v>
      </c>
      <c r="F3777" s="4" t="s">
        <v>470</v>
      </c>
      <c r="G3777" s="4" t="s">
        <v>1926</v>
      </c>
      <c r="H3777" s="12" t="n">
        <v>1</v>
      </c>
      <c r="I3777" s="4" t="s">
        <v>408</v>
      </c>
      <c r="J3777" s="4" t="s">
        <v>475</v>
      </c>
      <c r="K3777" s="13" t="n">
        <v>180</v>
      </c>
      <c r="L3777" s="6" t="n">
        <f aca="false">H3777*K3777</f>
        <v>180</v>
      </c>
      <c r="M3777" s="4" t="s">
        <v>371</v>
      </c>
    </row>
    <row r="3778" customFormat="false" ht="15" hidden="false" customHeight="false" outlineLevel="0" collapsed="false">
      <c r="A3778" s="4" t="s">
        <v>147</v>
      </c>
      <c r="B3778" s="5" t="s">
        <v>152</v>
      </c>
      <c r="C3778" s="5" t="s">
        <v>153</v>
      </c>
      <c r="D3778" s="4" t="s">
        <v>16</v>
      </c>
      <c r="E3778" s="4" t="s">
        <v>1927</v>
      </c>
      <c r="F3778" s="4" t="s">
        <v>470</v>
      </c>
      <c r="G3778" s="4" t="s">
        <v>1452</v>
      </c>
      <c r="H3778" s="12" t="n">
        <v>1</v>
      </c>
      <c r="I3778" s="4" t="s">
        <v>408</v>
      </c>
      <c r="J3778" s="4" t="s">
        <v>413</v>
      </c>
      <c r="K3778" s="13" t="n">
        <v>450</v>
      </c>
      <c r="L3778" s="6" t="n">
        <f aca="false">H3778*K3778</f>
        <v>450</v>
      </c>
      <c r="M3778" s="4" t="s">
        <v>371</v>
      </c>
    </row>
    <row r="3779" customFormat="false" ht="15" hidden="false" customHeight="false" outlineLevel="0" collapsed="false">
      <c r="A3779" s="4" t="s">
        <v>147</v>
      </c>
      <c r="B3779" s="5" t="s">
        <v>152</v>
      </c>
      <c r="C3779" s="5" t="s">
        <v>153</v>
      </c>
      <c r="D3779" s="4" t="s">
        <v>16</v>
      </c>
      <c r="E3779" s="4" t="s">
        <v>1136</v>
      </c>
      <c r="F3779" s="4" t="s">
        <v>470</v>
      </c>
      <c r="G3779" s="4" t="s">
        <v>1137</v>
      </c>
      <c r="H3779" s="12" t="n">
        <v>1</v>
      </c>
      <c r="I3779" s="4" t="s">
        <v>408</v>
      </c>
      <c r="J3779" s="4" t="s">
        <v>416</v>
      </c>
      <c r="K3779" s="13" t="n">
        <v>850</v>
      </c>
      <c r="L3779" s="6" t="n">
        <f aca="false">H3779*K3779</f>
        <v>850</v>
      </c>
      <c r="M3779" s="4" t="s">
        <v>371</v>
      </c>
    </row>
    <row r="3780" customFormat="false" ht="15" hidden="false" customHeight="false" outlineLevel="0" collapsed="false">
      <c r="A3780" s="4" t="s">
        <v>147</v>
      </c>
      <c r="B3780" s="5" t="s">
        <v>152</v>
      </c>
      <c r="C3780" s="5" t="s">
        <v>153</v>
      </c>
      <c r="D3780" s="4" t="s">
        <v>16</v>
      </c>
      <c r="E3780" s="4" t="s">
        <v>1064</v>
      </c>
      <c r="F3780" s="4" t="s">
        <v>470</v>
      </c>
      <c r="G3780" s="4" t="s">
        <v>1065</v>
      </c>
      <c r="H3780" s="12" t="n">
        <v>1</v>
      </c>
      <c r="I3780" s="4" t="s">
        <v>408</v>
      </c>
      <c r="J3780" s="4" t="s">
        <v>543</v>
      </c>
      <c r="K3780" s="13" t="n">
        <v>25000</v>
      </c>
      <c r="L3780" s="6" t="n">
        <f aca="false">H3780*K3780</f>
        <v>25000</v>
      </c>
      <c r="M3780" s="4" t="s">
        <v>371</v>
      </c>
    </row>
    <row r="3781" customFormat="false" ht="15" hidden="false" customHeight="false" outlineLevel="0" collapsed="false">
      <c r="A3781" s="4" t="s">
        <v>147</v>
      </c>
      <c r="B3781" s="5" t="s">
        <v>152</v>
      </c>
      <c r="C3781" s="5" t="s">
        <v>153</v>
      </c>
      <c r="D3781" s="4" t="s">
        <v>16</v>
      </c>
      <c r="E3781" s="4" t="s">
        <v>1138</v>
      </c>
      <c r="F3781" s="4" t="s">
        <v>470</v>
      </c>
      <c r="G3781" s="4" t="s">
        <v>1139</v>
      </c>
      <c r="H3781" s="12" t="n">
        <v>1</v>
      </c>
      <c r="I3781" s="4" t="s">
        <v>408</v>
      </c>
      <c r="J3781" s="4" t="s">
        <v>416</v>
      </c>
      <c r="K3781" s="13" t="n">
        <v>2500</v>
      </c>
      <c r="L3781" s="6" t="n">
        <f aca="false">H3781*K3781</f>
        <v>2500</v>
      </c>
      <c r="M3781" s="4" t="s">
        <v>371</v>
      </c>
    </row>
    <row r="3782" customFormat="false" ht="15" hidden="false" customHeight="false" outlineLevel="0" collapsed="false">
      <c r="A3782" s="4" t="s">
        <v>147</v>
      </c>
      <c r="B3782" s="5" t="s">
        <v>152</v>
      </c>
      <c r="C3782" s="5" t="s">
        <v>153</v>
      </c>
      <c r="D3782" s="4" t="s">
        <v>16</v>
      </c>
      <c r="E3782" s="4" t="s">
        <v>1140</v>
      </c>
      <c r="F3782" s="4" t="s">
        <v>470</v>
      </c>
      <c r="G3782" s="4" t="s">
        <v>1141</v>
      </c>
      <c r="H3782" s="12" t="n">
        <v>1</v>
      </c>
      <c r="I3782" s="4" t="s">
        <v>408</v>
      </c>
      <c r="J3782" s="4" t="s">
        <v>409</v>
      </c>
      <c r="K3782" s="13" t="n">
        <v>350</v>
      </c>
      <c r="L3782" s="6" t="n">
        <f aca="false">H3782*K3782</f>
        <v>350</v>
      </c>
      <c r="M3782" s="4" t="s">
        <v>371</v>
      </c>
    </row>
    <row r="3783" customFormat="false" ht="15" hidden="false" customHeight="false" outlineLevel="0" collapsed="false">
      <c r="A3783" s="4" t="s">
        <v>147</v>
      </c>
      <c r="B3783" s="5" t="s">
        <v>152</v>
      </c>
      <c r="C3783" s="5" t="s">
        <v>153</v>
      </c>
      <c r="D3783" s="4" t="s">
        <v>16</v>
      </c>
      <c r="E3783" s="4" t="s">
        <v>4502</v>
      </c>
      <c r="F3783" s="4" t="s">
        <v>470</v>
      </c>
      <c r="G3783" s="4" t="s">
        <v>1931</v>
      </c>
      <c r="H3783" s="12" t="n">
        <v>1</v>
      </c>
      <c r="I3783" s="4" t="s">
        <v>408</v>
      </c>
      <c r="J3783" s="4" t="s">
        <v>416</v>
      </c>
      <c r="K3783" s="13" t="n">
        <v>850</v>
      </c>
      <c r="L3783" s="6" t="n">
        <f aca="false">H3783*K3783</f>
        <v>850</v>
      </c>
      <c r="M3783" s="4" t="s">
        <v>371</v>
      </c>
    </row>
    <row r="3784" customFormat="false" ht="15" hidden="false" customHeight="false" outlineLevel="0" collapsed="false">
      <c r="A3784" s="4" t="s">
        <v>147</v>
      </c>
      <c r="B3784" s="5" t="s">
        <v>152</v>
      </c>
      <c r="C3784" s="5" t="s">
        <v>153</v>
      </c>
      <c r="D3784" s="4" t="s">
        <v>16</v>
      </c>
      <c r="E3784" s="4" t="s">
        <v>1932</v>
      </c>
      <c r="F3784" s="4" t="s">
        <v>470</v>
      </c>
      <c r="G3784" s="4" t="s">
        <v>1145</v>
      </c>
      <c r="H3784" s="12" t="n">
        <v>1</v>
      </c>
      <c r="I3784" s="4" t="s">
        <v>408</v>
      </c>
      <c r="J3784" s="4" t="s">
        <v>416</v>
      </c>
      <c r="K3784" s="13" t="n">
        <v>3500</v>
      </c>
      <c r="L3784" s="6" t="n">
        <f aca="false">H3784*K3784</f>
        <v>3500</v>
      </c>
      <c r="M3784" s="4" t="s">
        <v>371</v>
      </c>
    </row>
    <row r="3785" customFormat="false" ht="15" hidden="false" customHeight="false" outlineLevel="0" collapsed="false">
      <c r="A3785" s="4" t="s">
        <v>147</v>
      </c>
      <c r="B3785" s="5" t="s">
        <v>152</v>
      </c>
      <c r="C3785" s="5" t="s">
        <v>153</v>
      </c>
      <c r="D3785" s="4" t="s">
        <v>16</v>
      </c>
      <c r="E3785" s="4" t="s">
        <v>1146</v>
      </c>
      <c r="F3785" s="4" t="s">
        <v>470</v>
      </c>
      <c r="G3785" s="4" t="s">
        <v>1147</v>
      </c>
      <c r="H3785" s="12" t="n">
        <v>1</v>
      </c>
      <c r="I3785" s="4" t="s">
        <v>408</v>
      </c>
      <c r="J3785" s="4" t="s">
        <v>416</v>
      </c>
      <c r="K3785" s="13" t="n">
        <v>2500</v>
      </c>
      <c r="L3785" s="6" t="n">
        <f aca="false">H3785*K3785</f>
        <v>2500</v>
      </c>
      <c r="M3785" s="4" t="s">
        <v>371</v>
      </c>
    </row>
    <row r="3786" customFormat="false" ht="15" hidden="false" customHeight="false" outlineLevel="0" collapsed="false">
      <c r="A3786" s="4" t="s">
        <v>147</v>
      </c>
      <c r="B3786" s="5" t="s">
        <v>152</v>
      </c>
      <c r="C3786" s="5" t="s">
        <v>153</v>
      </c>
      <c r="D3786" s="4" t="s">
        <v>16</v>
      </c>
      <c r="E3786" s="4" t="s">
        <v>1933</v>
      </c>
      <c r="F3786" s="4" t="s">
        <v>470</v>
      </c>
      <c r="G3786" s="4" t="s">
        <v>1149</v>
      </c>
      <c r="H3786" s="12" t="n">
        <v>1</v>
      </c>
      <c r="I3786" s="4" t="s">
        <v>408</v>
      </c>
      <c r="J3786" s="4" t="s">
        <v>409</v>
      </c>
      <c r="K3786" s="13" t="n">
        <v>450</v>
      </c>
      <c r="L3786" s="6" t="n">
        <f aca="false">H3786*K3786</f>
        <v>450</v>
      </c>
      <c r="M3786" s="4" t="s">
        <v>371</v>
      </c>
    </row>
    <row r="3787" customFormat="false" ht="15" hidden="false" customHeight="false" outlineLevel="0" collapsed="false">
      <c r="A3787" s="4" t="s">
        <v>147</v>
      </c>
      <c r="B3787" s="5" t="s">
        <v>152</v>
      </c>
      <c r="C3787" s="5" t="s">
        <v>153</v>
      </c>
      <c r="D3787" s="4" t="s">
        <v>16</v>
      </c>
      <c r="E3787" s="4" t="s">
        <v>1150</v>
      </c>
      <c r="F3787" s="4" t="s">
        <v>470</v>
      </c>
      <c r="G3787" s="4" t="s">
        <v>1151</v>
      </c>
      <c r="H3787" s="12" t="n">
        <v>1</v>
      </c>
      <c r="I3787" s="4" t="s">
        <v>408</v>
      </c>
      <c r="J3787" s="4" t="s">
        <v>416</v>
      </c>
      <c r="K3787" s="13" t="n">
        <v>1200</v>
      </c>
      <c r="L3787" s="6" t="n">
        <f aca="false">H3787*K3787</f>
        <v>1200</v>
      </c>
      <c r="M3787" s="4" t="s">
        <v>371</v>
      </c>
    </row>
    <row r="3788" customFormat="false" ht="15" hidden="false" customHeight="false" outlineLevel="0" collapsed="false">
      <c r="A3788" s="4" t="s">
        <v>147</v>
      </c>
      <c r="B3788" s="5" t="s">
        <v>152</v>
      </c>
      <c r="C3788" s="5" t="s">
        <v>153</v>
      </c>
      <c r="D3788" s="4" t="s">
        <v>16</v>
      </c>
      <c r="E3788" s="4" t="s">
        <v>4503</v>
      </c>
      <c r="F3788" s="4" t="s">
        <v>488</v>
      </c>
      <c r="G3788" s="4" t="s">
        <v>4504</v>
      </c>
      <c r="H3788" s="12" t="n">
        <v>1</v>
      </c>
      <c r="I3788" s="4" t="s">
        <v>408</v>
      </c>
      <c r="J3788" s="4" t="s">
        <v>429</v>
      </c>
      <c r="K3788" s="13" t="n">
        <v>80</v>
      </c>
      <c r="L3788" s="6" t="n">
        <f aca="false">H3788*K3788</f>
        <v>80</v>
      </c>
      <c r="M3788" s="4" t="s">
        <v>371</v>
      </c>
    </row>
    <row r="3789" customFormat="false" ht="15" hidden="false" customHeight="false" outlineLevel="0" collapsed="false">
      <c r="A3789" s="4" t="s">
        <v>147</v>
      </c>
      <c r="B3789" s="5" t="s">
        <v>152</v>
      </c>
      <c r="C3789" s="5" t="s">
        <v>153</v>
      </c>
      <c r="D3789" s="4" t="s">
        <v>16</v>
      </c>
      <c r="E3789" s="4" t="s">
        <v>4505</v>
      </c>
      <c r="F3789" s="4" t="s">
        <v>488</v>
      </c>
      <c r="G3789" s="4" t="s">
        <v>4506</v>
      </c>
      <c r="H3789" s="12" t="n">
        <v>1</v>
      </c>
      <c r="I3789" s="4" t="s">
        <v>408</v>
      </c>
      <c r="J3789" s="4" t="s">
        <v>506</v>
      </c>
      <c r="K3789" s="13" t="n">
        <v>150</v>
      </c>
      <c r="L3789" s="6" t="n">
        <f aca="false">H3789*K3789</f>
        <v>150</v>
      </c>
      <c r="M3789" s="4" t="s">
        <v>371</v>
      </c>
    </row>
    <row r="3790" customFormat="false" ht="15" hidden="false" customHeight="false" outlineLevel="0" collapsed="false">
      <c r="A3790" s="4" t="s">
        <v>147</v>
      </c>
      <c r="B3790" s="5" t="s">
        <v>152</v>
      </c>
      <c r="C3790" s="5" t="s">
        <v>153</v>
      </c>
      <c r="D3790" s="4" t="s">
        <v>16</v>
      </c>
      <c r="E3790" s="4" t="s">
        <v>1940</v>
      </c>
      <c r="F3790" s="4" t="s">
        <v>488</v>
      </c>
      <c r="G3790" s="4" t="s">
        <v>1941</v>
      </c>
      <c r="H3790" s="12" t="n">
        <v>1</v>
      </c>
      <c r="I3790" s="4" t="s">
        <v>408</v>
      </c>
      <c r="J3790" s="4" t="s">
        <v>506</v>
      </c>
      <c r="K3790" s="13" t="n">
        <v>100</v>
      </c>
      <c r="L3790" s="6" t="n">
        <f aca="false">H3790*K3790</f>
        <v>100</v>
      </c>
      <c r="M3790" s="4" t="s">
        <v>371</v>
      </c>
    </row>
    <row r="3791" customFormat="false" ht="15" hidden="false" customHeight="false" outlineLevel="0" collapsed="false">
      <c r="A3791" s="4" t="s">
        <v>147</v>
      </c>
      <c r="B3791" s="5" t="s">
        <v>152</v>
      </c>
      <c r="C3791" s="5" t="s">
        <v>153</v>
      </c>
      <c r="D3791" s="4" t="s">
        <v>16</v>
      </c>
      <c r="E3791" s="4" t="s">
        <v>1942</v>
      </c>
      <c r="F3791" s="4" t="s">
        <v>488</v>
      </c>
      <c r="G3791" s="4" t="s">
        <v>1943</v>
      </c>
      <c r="H3791" s="12" t="n">
        <v>1</v>
      </c>
      <c r="I3791" s="4" t="s">
        <v>408</v>
      </c>
      <c r="J3791" s="4" t="s">
        <v>416</v>
      </c>
      <c r="K3791" s="13" t="n">
        <v>250</v>
      </c>
      <c r="L3791" s="6" t="n">
        <f aca="false">H3791*K3791</f>
        <v>250</v>
      </c>
      <c r="M3791" s="4" t="s">
        <v>371</v>
      </c>
    </row>
    <row r="3792" customFormat="false" ht="15" hidden="false" customHeight="false" outlineLevel="0" collapsed="false">
      <c r="A3792" s="4" t="s">
        <v>147</v>
      </c>
      <c r="B3792" s="5" t="s">
        <v>152</v>
      </c>
      <c r="C3792" s="5" t="s">
        <v>153</v>
      </c>
      <c r="D3792" s="4" t="s">
        <v>16</v>
      </c>
      <c r="E3792" s="4" t="s">
        <v>1949</v>
      </c>
      <c r="F3792" s="4" t="s">
        <v>488</v>
      </c>
      <c r="G3792" s="4" t="s">
        <v>1658</v>
      </c>
      <c r="H3792" s="12" t="n">
        <v>1</v>
      </c>
      <c r="I3792" s="4" t="s">
        <v>408</v>
      </c>
      <c r="J3792" s="4" t="s">
        <v>503</v>
      </c>
      <c r="K3792" s="13" t="n">
        <v>120</v>
      </c>
      <c r="L3792" s="6" t="n">
        <f aca="false">H3792*K3792</f>
        <v>120</v>
      </c>
      <c r="M3792" s="4" t="s">
        <v>371</v>
      </c>
    </row>
    <row r="3793" customFormat="false" ht="15" hidden="false" customHeight="false" outlineLevel="0" collapsed="false">
      <c r="A3793" s="4" t="s">
        <v>147</v>
      </c>
      <c r="B3793" s="5" t="s">
        <v>152</v>
      </c>
      <c r="C3793" s="5" t="s">
        <v>153</v>
      </c>
      <c r="D3793" s="4" t="s">
        <v>16</v>
      </c>
      <c r="E3793" s="4" t="s">
        <v>1243</v>
      </c>
      <c r="F3793" s="4" t="s">
        <v>488</v>
      </c>
      <c r="G3793" s="4" t="s">
        <v>1244</v>
      </c>
      <c r="H3793" s="12" t="n">
        <v>1</v>
      </c>
      <c r="I3793" s="4" t="s">
        <v>408</v>
      </c>
      <c r="J3793" s="4" t="s">
        <v>503</v>
      </c>
      <c r="K3793" s="13" t="n">
        <v>180</v>
      </c>
      <c r="L3793" s="6" t="n">
        <f aca="false">H3793*K3793</f>
        <v>180</v>
      </c>
      <c r="M3793" s="4" t="s">
        <v>371</v>
      </c>
    </row>
    <row r="3794" customFormat="false" ht="15" hidden="false" customHeight="false" outlineLevel="0" collapsed="false">
      <c r="A3794" s="4" t="s">
        <v>147</v>
      </c>
      <c r="B3794" s="5" t="s">
        <v>154</v>
      </c>
      <c r="C3794" s="5" t="s">
        <v>155</v>
      </c>
      <c r="D3794" s="4" t="s">
        <v>16</v>
      </c>
      <c r="E3794" s="4" t="s">
        <v>1661</v>
      </c>
      <c r="F3794" s="4" t="s">
        <v>406</v>
      </c>
      <c r="G3794" s="4" t="s">
        <v>1662</v>
      </c>
      <c r="H3794" s="12" t="n">
        <v>1</v>
      </c>
      <c r="I3794" s="4" t="s">
        <v>408</v>
      </c>
      <c r="J3794" s="4" t="s">
        <v>409</v>
      </c>
      <c r="K3794" s="13" t="n">
        <v>250</v>
      </c>
      <c r="L3794" s="6" t="n">
        <f aca="false">H3794*K3794</f>
        <v>250</v>
      </c>
      <c r="M3794" s="14" t="s">
        <v>410</v>
      </c>
    </row>
    <row r="3795" customFormat="false" ht="15" hidden="false" customHeight="false" outlineLevel="0" collapsed="false">
      <c r="A3795" s="4" t="s">
        <v>147</v>
      </c>
      <c r="B3795" s="5" t="s">
        <v>154</v>
      </c>
      <c r="C3795" s="5" t="s">
        <v>155</v>
      </c>
      <c r="D3795" s="4" t="s">
        <v>16</v>
      </c>
      <c r="E3795" s="4" t="s">
        <v>1663</v>
      </c>
      <c r="F3795" s="4" t="s">
        <v>406</v>
      </c>
      <c r="G3795" s="4" t="s">
        <v>1604</v>
      </c>
      <c r="H3795" s="12" t="n">
        <v>1</v>
      </c>
      <c r="I3795" s="4" t="s">
        <v>408</v>
      </c>
      <c r="J3795" s="4" t="s">
        <v>416</v>
      </c>
      <c r="K3795" s="13" t="n">
        <v>1200</v>
      </c>
      <c r="L3795" s="6" t="n">
        <f aca="false">H3795*K3795</f>
        <v>1200</v>
      </c>
      <c r="M3795" s="14" t="s">
        <v>410</v>
      </c>
    </row>
    <row r="3796" customFormat="false" ht="15" hidden="false" customHeight="false" outlineLevel="0" collapsed="false">
      <c r="A3796" s="4" t="s">
        <v>147</v>
      </c>
      <c r="B3796" s="5" t="s">
        <v>154</v>
      </c>
      <c r="C3796" s="5" t="s">
        <v>155</v>
      </c>
      <c r="D3796" s="4" t="s">
        <v>16</v>
      </c>
      <c r="E3796" s="4" t="s">
        <v>1664</v>
      </c>
      <c r="F3796" s="4" t="s">
        <v>406</v>
      </c>
      <c r="G3796" s="4" t="s">
        <v>1665</v>
      </c>
      <c r="H3796" s="12" t="n">
        <v>1</v>
      </c>
      <c r="I3796" s="4" t="s">
        <v>408</v>
      </c>
      <c r="J3796" s="4" t="s">
        <v>416</v>
      </c>
      <c r="K3796" s="13" t="n">
        <v>1200</v>
      </c>
      <c r="L3796" s="6" t="n">
        <f aca="false">H3796*K3796</f>
        <v>1200</v>
      </c>
      <c r="M3796" s="14" t="s">
        <v>410</v>
      </c>
    </row>
    <row r="3797" customFormat="false" ht="15" hidden="false" customHeight="false" outlineLevel="0" collapsed="false">
      <c r="A3797" s="4" t="s">
        <v>147</v>
      </c>
      <c r="B3797" s="5" t="s">
        <v>154</v>
      </c>
      <c r="C3797" s="5" t="s">
        <v>155</v>
      </c>
      <c r="D3797" s="4" t="s">
        <v>16</v>
      </c>
      <c r="E3797" s="4" t="s">
        <v>1666</v>
      </c>
      <c r="F3797" s="4" t="s">
        <v>406</v>
      </c>
      <c r="G3797" s="4" t="s">
        <v>1667</v>
      </c>
      <c r="H3797" s="12" t="n">
        <v>1</v>
      </c>
      <c r="I3797" s="4" t="s">
        <v>408</v>
      </c>
      <c r="J3797" s="4" t="s">
        <v>409</v>
      </c>
      <c r="K3797" s="13" t="n">
        <v>450</v>
      </c>
      <c r="L3797" s="6" t="n">
        <f aca="false">H3797*K3797</f>
        <v>450</v>
      </c>
      <c r="M3797" s="14" t="s">
        <v>410</v>
      </c>
    </row>
    <row r="3798" customFormat="false" ht="15" hidden="false" customHeight="false" outlineLevel="0" collapsed="false">
      <c r="A3798" s="4" t="s">
        <v>147</v>
      </c>
      <c r="B3798" s="5" t="s">
        <v>154</v>
      </c>
      <c r="C3798" s="5" t="s">
        <v>155</v>
      </c>
      <c r="D3798" s="4" t="s">
        <v>16</v>
      </c>
      <c r="E3798" s="4" t="s">
        <v>1668</v>
      </c>
      <c r="F3798" s="4" t="s">
        <v>406</v>
      </c>
      <c r="G3798" s="4" t="s">
        <v>1669</v>
      </c>
      <c r="H3798" s="12" t="n">
        <v>1</v>
      </c>
      <c r="I3798" s="4" t="s">
        <v>408</v>
      </c>
      <c r="J3798" s="4" t="s">
        <v>416</v>
      </c>
      <c r="K3798" s="13" t="n">
        <v>1200</v>
      </c>
      <c r="L3798" s="6" t="n">
        <f aca="false">H3798*K3798</f>
        <v>1200</v>
      </c>
      <c r="M3798" s="14" t="s">
        <v>410</v>
      </c>
    </row>
    <row r="3799" customFormat="false" ht="15" hidden="false" customHeight="false" outlineLevel="0" collapsed="false">
      <c r="A3799" s="4" t="s">
        <v>147</v>
      </c>
      <c r="B3799" s="5" t="s">
        <v>154</v>
      </c>
      <c r="C3799" s="5" t="s">
        <v>155</v>
      </c>
      <c r="D3799" s="4" t="s">
        <v>16</v>
      </c>
      <c r="E3799" s="4" t="s">
        <v>1670</v>
      </c>
      <c r="F3799" s="4" t="s">
        <v>406</v>
      </c>
      <c r="G3799" s="4" t="s">
        <v>1671</v>
      </c>
      <c r="H3799" s="12" t="n">
        <v>1</v>
      </c>
      <c r="I3799" s="4" t="s">
        <v>408</v>
      </c>
      <c r="J3799" s="4" t="s">
        <v>413</v>
      </c>
      <c r="K3799" s="13" t="n">
        <v>1200</v>
      </c>
      <c r="L3799" s="6" t="n">
        <f aca="false">H3799*K3799</f>
        <v>1200</v>
      </c>
      <c r="M3799" s="14" t="s">
        <v>410</v>
      </c>
    </row>
    <row r="3800" customFormat="false" ht="15" hidden="false" customHeight="false" outlineLevel="0" collapsed="false">
      <c r="A3800" s="4" t="s">
        <v>147</v>
      </c>
      <c r="B3800" s="5" t="s">
        <v>154</v>
      </c>
      <c r="C3800" s="5" t="s">
        <v>155</v>
      </c>
      <c r="D3800" s="4" t="s">
        <v>16</v>
      </c>
      <c r="E3800" s="4" t="s">
        <v>4507</v>
      </c>
      <c r="F3800" s="4" t="s">
        <v>406</v>
      </c>
      <c r="G3800" s="4" t="s">
        <v>4508</v>
      </c>
      <c r="H3800" s="12" t="n">
        <v>1</v>
      </c>
      <c r="I3800" s="4" t="s">
        <v>408</v>
      </c>
      <c r="J3800" s="4" t="s">
        <v>409</v>
      </c>
      <c r="K3800" s="13" t="n">
        <v>1800</v>
      </c>
      <c r="L3800" s="6" t="n">
        <f aca="false">H3800*K3800</f>
        <v>1800</v>
      </c>
      <c r="M3800" s="14" t="s">
        <v>410</v>
      </c>
    </row>
    <row r="3801" customFormat="false" ht="15" hidden="false" customHeight="false" outlineLevel="0" collapsed="false">
      <c r="A3801" s="4" t="s">
        <v>147</v>
      </c>
      <c r="B3801" s="5" t="s">
        <v>154</v>
      </c>
      <c r="C3801" s="5" t="s">
        <v>155</v>
      </c>
      <c r="D3801" s="4" t="s">
        <v>16</v>
      </c>
      <c r="E3801" s="4" t="s">
        <v>4509</v>
      </c>
      <c r="F3801" s="4" t="s">
        <v>406</v>
      </c>
      <c r="G3801" s="4" t="s">
        <v>4510</v>
      </c>
      <c r="H3801" s="12" t="n">
        <v>1</v>
      </c>
      <c r="I3801" s="4" t="s">
        <v>408</v>
      </c>
      <c r="J3801" s="4" t="s">
        <v>409</v>
      </c>
      <c r="K3801" s="13" t="n">
        <v>3500</v>
      </c>
      <c r="L3801" s="6" t="n">
        <f aca="false">H3801*K3801</f>
        <v>3500</v>
      </c>
      <c r="M3801" s="14" t="s">
        <v>410</v>
      </c>
    </row>
    <row r="3802" customFormat="false" ht="15" hidden="false" customHeight="false" outlineLevel="0" collapsed="false">
      <c r="A3802" s="4" t="s">
        <v>147</v>
      </c>
      <c r="B3802" s="5" t="s">
        <v>154</v>
      </c>
      <c r="C3802" s="5" t="s">
        <v>155</v>
      </c>
      <c r="D3802" s="4" t="s">
        <v>16</v>
      </c>
      <c r="E3802" s="4" t="s">
        <v>4511</v>
      </c>
      <c r="F3802" s="4" t="s">
        <v>406</v>
      </c>
      <c r="G3802" s="4" t="s">
        <v>4512</v>
      </c>
      <c r="H3802" s="12" t="n">
        <v>1</v>
      </c>
      <c r="I3802" s="4" t="s">
        <v>408</v>
      </c>
      <c r="J3802" s="4" t="s">
        <v>409</v>
      </c>
      <c r="K3802" s="13" t="n">
        <v>850</v>
      </c>
      <c r="L3802" s="6" t="n">
        <f aca="false">H3802*K3802</f>
        <v>850</v>
      </c>
      <c r="M3802" s="14" t="s">
        <v>410</v>
      </c>
    </row>
    <row r="3803" customFormat="false" ht="15" hidden="false" customHeight="false" outlineLevel="0" collapsed="false">
      <c r="A3803" s="4" t="s">
        <v>147</v>
      </c>
      <c r="B3803" s="5" t="s">
        <v>154</v>
      </c>
      <c r="C3803" s="5" t="s">
        <v>155</v>
      </c>
      <c r="D3803" s="4" t="s">
        <v>16</v>
      </c>
      <c r="E3803" s="4" t="s">
        <v>4513</v>
      </c>
      <c r="F3803" s="4" t="s">
        <v>406</v>
      </c>
      <c r="G3803" s="4" t="s">
        <v>4514</v>
      </c>
      <c r="H3803" s="12" t="n">
        <v>1</v>
      </c>
      <c r="I3803" s="4" t="s">
        <v>408</v>
      </c>
      <c r="J3803" s="4" t="s">
        <v>409</v>
      </c>
      <c r="K3803" s="13" t="n">
        <v>650</v>
      </c>
      <c r="L3803" s="6" t="n">
        <f aca="false">H3803*K3803</f>
        <v>650</v>
      </c>
      <c r="M3803" s="14" t="s">
        <v>410</v>
      </c>
    </row>
    <row r="3804" customFormat="false" ht="15" hidden="false" customHeight="false" outlineLevel="0" collapsed="false">
      <c r="A3804" s="4" t="s">
        <v>147</v>
      </c>
      <c r="B3804" s="5" t="s">
        <v>154</v>
      </c>
      <c r="C3804" s="5" t="s">
        <v>155</v>
      </c>
      <c r="D3804" s="4" t="s">
        <v>16</v>
      </c>
      <c r="E3804" s="4" t="s">
        <v>1672</v>
      </c>
      <c r="F3804" s="4" t="s">
        <v>406</v>
      </c>
      <c r="G3804" s="4" t="s">
        <v>1673</v>
      </c>
      <c r="H3804" s="12" t="n">
        <v>1</v>
      </c>
      <c r="I3804" s="4" t="s">
        <v>408</v>
      </c>
      <c r="J3804" s="4" t="s">
        <v>409</v>
      </c>
      <c r="K3804" s="13" t="n">
        <v>3500</v>
      </c>
      <c r="L3804" s="6" t="n">
        <f aca="false">H3804*K3804</f>
        <v>3500</v>
      </c>
      <c r="M3804" s="14" t="s">
        <v>410</v>
      </c>
    </row>
    <row r="3805" customFormat="false" ht="15" hidden="false" customHeight="false" outlineLevel="0" collapsed="false">
      <c r="A3805" s="4" t="s">
        <v>147</v>
      </c>
      <c r="B3805" s="5" t="s">
        <v>154</v>
      </c>
      <c r="C3805" s="5" t="s">
        <v>155</v>
      </c>
      <c r="D3805" s="4" t="s">
        <v>16</v>
      </c>
      <c r="E3805" s="4" t="s">
        <v>1674</v>
      </c>
      <c r="F3805" s="4" t="s">
        <v>406</v>
      </c>
      <c r="G3805" s="4" t="s">
        <v>778</v>
      </c>
      <c r="H3805" s="12" t="n">
        <v>1</v>
      </c>
      <c r="I3805" s="4" t="s">
        <v>408</v>
      </c>
      <c r="J3805" s="4" t="s">
        <v>409</v>
      </c>
      <c r="K3805" s="13" t="n">
        <v>120</v>
      </c>
      <c r="L3805" s="6" t="n">
        <f aca="false">H3805*K3805</f>
        <v>120</v>
      </c>
      <c r="M3805" s="14" t="s">
        <v>410</v>
      </c>
    </row>
    <row r="3806" customFormat="false" ht="15" hidden="false" customHeight="false" outlineLevel="0" collapsed="false">
      <c r="A3806" s="4" t="s">
        <v>147</v>
      </c>
      <c r="B3806" s="5" t="s">
        <v>154</v>
      </c>
      <c r="C3806" s="5" t="s">
        <v>155</v>
      </c>
      <c r="D3806" s="4" t="s">
        <v>16</v>
      </c>
      <c r="E3806" s="4" t="s">
        <v>4515</v>
      </c>
      <c r="F3806" s="4" t="s">
        <v>406</v>
      </c>
      <c r="G3806" s="4" t="s">
        <v>4516</v>
      </c>
      <c r="H3806" s="12" t="n">
        <v>1</v>
      </c>
      <c r="I3806" s="4" t="s">
        <v>408</v>
      </c>
      <c r="J3806" s="4" t="s">
        <v>409</v>
      </c>
      <c r="K3806" s="13" t="n">
        <v>850</v>
      </c>
      <c r="L3806" s="6" t="n">
        <f aca="false">H3806*K3806</f>
        <v>850</v>
      </c>
      <c r="M3806" s="14" t="s">
        <v>410</v>
      </c>
    </row>
    <row r="3807" customFormat="false" ht="15" hidden="false" customHeight="false" outlineLevel="0" collapsed="false">
      <c r="A3807" s="4" t="s">
        <v>147</v>
      </c>
      <c r="B3807" s="5" t="s">
        <v>154</v>
      </c>
      <c r="C3807" s="5" t="s">
        <v>155</v>
      </c>
      <c r="D3807" s="4" t="s">
        <v>16</v>
      </c>
      <c r="E3807" s="4" t="s">
        <v>1675</v>
      </c>
      <c r="F3807" s="4" t="s">
        <v>406</v>
      </c>
      <c r="G3807" s="4" t="s">
        <v>1676</v>
      </c>
      <c r="H3807" s="12" t="n">
        <v>1</v>
      </c>
      <c r="I3807" s="4" t="s">
        <v>408</v>
      </c>
      <c r="J3807" s="4" t="s">
        <v>409</v>
      </c>
      <c r="K3807" s="13" t="n">
        <v>450</v>
      </c>
      <c r="L3807" s="6" t="n">
        <f aca="false">H3807*K3807</f>
        <v>450</v>
      </c>
      <c r="M3807" s="14" t="s">
        <v>410</v>
      </c>
    </row>
    <row r="3808" customFormat="false" ht="15" hidden="false" customHeight="false" outlineLevel="0" collapsed="false">
      <c r="A3808" s="4" t="s">
        <v>147</v>
      </c>
      <c r="B3808" s="5" t="s">
        <v>154</v>
      </c>
      <c r="C3808" s="5" t="s">
        <v>155</v>
      </c>
      <c r="D3808" s="4" t="s">
        <v>16</v>
      </c>
      <c r="E3808" s="4" t="s">
        <v>1194</v>
      </c>
      <c r="F3808" s="4" t="s">
        <v>406</v>
      </c>
      <c r="G3808" s="4" t="s">
        <v>1195</v>
      </c>
      <c r="H3808" s="12" t="n">
        <v>1</v>
      </c>
      <c r="I3808" s="4" t="s">
        <v>408</v>
      </c>
      <c r="J3808" s="4" t="s">
        <v>409</v>
      </c>
      <c r="K3808" s="13" t="n">
        <v>450</v>
      </c>
      <c r="L3808" s="6" t="n">
        <f aca="false">H3808*K3808</f>
        <v>450</v>
      </c>
      <c r="M3808" s="14" t="s">
        <v>410</v>
      </c>
    </row>
    <row r="3809" customFormat="false" ht="15" hidden="false" customHeight="false" outlineLevel="0" collapsed="false">
      <c r="A3809" s="4" t="s">
        <v>147</v>
      </c>
      <c r="B3809" s="5" t="s">
        <v>154</v>
      </c>
      <c r="C3809" s="5" t="s">
        <v>155</v>
      </c>
      <c r="D3809" s="4" t="s">
        <v>16</v>
      </c>
      <c r="E3809" s="4" t="s">
        <v>1677</v>
      </c>
      <c r="F3809" s="4" t="s">
        <v>406</v>
      </c>
      <c r="G3809" s="4" t="s">
        <v>1678</v>
      </c>
      <c r="H3809" s="12" t="n">
        <v>1</v>
      </c>
      <c r="I3809" s="4" t="s">
        <v>408</v>
      </c>
      <c r="J3809" s="4" t="s">
        <v>409</v>
      </c>
      <c r="K3809" s="13" t="n">
        <v>250</v>
      </c>
      <c r="L3809" s="6" t="n">
        <f aca="false">H3809*K3809</f>
        <v>250</v>
      </c>
      <c r="M3809" s="14" t="s">
        <v>410</v>
      </c>
    </row>
    <row r="3810" customFormat="false" ht="15" hidden="false" customHeight="false" outlineLevel="0" collapsed="false">
      <c r="A3810" s="4" t="s">
        <v>147</v>
      </c>
      <c r="B3810" s="5" t="s">
        <v>154</v>
      </c>
      <c r="C3810" s="5" t="s">
        <v>155</v>
      </c>
      <c r="D3810" s="4" t="s">
        <v>16</v>
      </c>
      <c r="E3810" s="4" t="s">
        <v>4517</v>
      </c>
      <c r="F3810" s="4" t="s">
        <v>406</v>
      </c>
      <c r="G3810" s="4" t="s">
        <v>4518</v>
      </c>
      <c r="H3810" s="12" t="n">
        <v>1</v>
      </c>
      <c r="I3810" s="4" t="s">
        <v>408</v>
      </c>
      <c r="J3810" s="4" t="s">
        <v>409</v>
      </c>
      <c r="K3810" s="13" t="n">
        <v>3500</v>
      </c>
      <c r="L3810" s="6" t="n">
        <f aca="false">H3810*K3810</f>
        <v>3500</v>
      </c>
      <c r="M3810" s="4" t="s">
        <v>371</v>
      </c>
    </row>
    <row r="3811" customFormat="false" ht="15" hidden="false" customHeight="false" outlineLevel="0" collapsed="false">
      <c r="A3811" s="4" t="s">
        <v>147</v>
      </c>
      <c r="B3811" s="5" t="s">
        <v>154</v>
      </c>
      <c r="C3811" s="5" t="s">
        <v>155</v>
      </c>
      <c r="D3811" s="4" t="s">
        <v>16</v>
      </c>
      <c r="E3811" s="4" t="s">
        <v>4246</v>
      </c>
      <c r="F3811" s="4" t="s">
        <v>406</v>
      </c>
      <c r="G3811" s="4" t="s">
        <v>4247</v>
      </c>
      <c r="H3811" s="12" t="n">
        <v>1</v>
      </c>
      <c r="I3811" s="4" t="s">
        <v>408</v>
      </c>
      <c r="J3811" s="4" t="s">
        <v>409</v>
      </c>
      <c r="K3811" s="13" t="n">
        <v>250</v>
      </c>
      <c r="L3811" s="6" t="n">
        <f aca="false">H3811*K3811</f>
        <v>250</v>
      </c>
      <c r="M3811" s="14" t="s">
        <v>410</v>
      </c>
    </row>
    <row r="3812" customFormat="false" ht="15" hidden="false" customHeight="false" outlineLevel="0" collapsed="false">
      <c r="A3812" s="4" t="s">
        <v>147</v>
      </c>
      <c r="B3812" s="5" t="s">
        <v>154</v>
      </c>
      <c r="C3812" s="5" t="s">
        <v>155</v>
      </c>
      <c r="D3812" s="4" t="s">
        <v>16</v>
      </c>
      <c r="E3812" s="4" t="s">
        <v>4248</v>
      </c>
      <c r="F3812" s="4" t="s">
        <v>406</v>
      </c>
      <c r="G3812" s="4" t="s">
        <v>4249</v>
      </c>
      <c r="H3812" s="12" t="n">
        <v>1</v>
      </c>
      <c r="I3812" s="4" t="s">
        <v>408</v>
      </c>
      <c r="J3812" s="4" t="s">
        <v>409</v>
      </c>
      <c r="K3812" s="13" t="n">
        <v>250</v>
      </c>
      <c r="L3812" s="6" t="n">
        <f aca="false">H3812*K3812</f>
        <v>250</v>
      </c>
      <c r="M3812" s="14" t="s">
        <v>410</v>
      </c>
    </row>
    <row r="3813" customFormat="false" ht="15" hidden="false" customHeight="false" outlineLevel="0" collapsed="false">
      <c r="A3813" s="4" t="s">
        <v>147</v>
      </c>
      <c r="B3813" s="5" t="s">
        <v>154</v>
      </c>
      <c r="C3813" s="5" t="s">
        <v>155</v>
      </c>
      <c r="D3813" s="4" t="s">
        <v>16</v>
      </c>
      <c r="E3813" s="4" t="s">
        <v>4519</v>
      </c>
      <c r="F3813" s="4" t="s">
        <v>406</v>
      </c>
      <c r="G3813" s="4" t="s">
        <v>4520</v>
      </c>
      <c r="H3813" s="12" t="n">
        <v>1</v>
      </c>
      <c r="I3813" s="4" t="s">
        <v>408</v>
      </c>
      <c r="J3813" s="4" t="s">
        <v>409</v>
      </c>
      <c r="K3813" s="13" t="n">
        <v>250</v>
      </c>
      <c r="L3813" s="6" t="n">
        <f aca="false">H3813*K3813</f>
        <v>250</v>
      </c>
      <c r="M3813" s="4" t="s">
        <v>371</v>
      </c>
    </row>
    <row r="3814" customFormat="false" ht="15" hidden="false" customHeight="false" outlineLevel="0" collapsed="false">
      <c r="A3814" s="4" t="s">
        <v>147</v>
      </c>
      <c r="B3814" s="5" t="s">
        <v>154</v>
      </c>
      <c r="C3814" s="5" t="s">
        <v>155</v>
      </c>
      <c r="D3814" s="4" t="s">
        <v>16</v>
      </c>
      <c r="E3814" s="4" t="s">
        <v>4521</v>
      </c>
      <c r="F3814" s="4" t="s">
        <v>406</v>
      </c>
      <c r="G3814" s="4" t="s">
        <v>4522</v>
      </c>
      <c r="H3814" s="12" t="n">
        <v>1</v>
      </c>
      <c r="I3814" s="4" t="s">
        <v>408</v>
      </c>
      <c r="J3814" s="4" t="s">
        <v>409</v>
      </c>
      <c r="K3814" s="13" t="n">
        <v>450</v>
      </c>
      <c r="L3814" s="6" t="n">
        <f aca="false">H3814*K3814</f>
        <v>450</v>
      </c>
      <c r="M3814" s="14" t="s">
        <v>410</v>
      </c>
    </row>
    <row r="3815" customFormat="false" ht="15" hidden="false" customHeight="false" outlineLevel="0" collapsed="false">
      <c r="A3815" s="4" t="s">
        <v>147</v>
      </c>
      <c r="B3815" s="5" t="s">
        <v>154</v>
      </c>
      <c r="C3815" s="5" t="s">
        <v>155</v>
      </c>
      <c r="D3815" s="4" t="s">
        <v>16</v>
      </c>
      <c r="E3815" s="4" t="s">
        <v>4523</v>
      </c>
      <c r="F3815" s="4" t="s">
        <v>406</v>
      </c>
      <c r="G3815" s="4" t="s">
        <v>4524</v>
      </c>
      <c r="H3815" s="12" t="n">
        <v>1</v>
      </c>
      <c r="I3815" s="4" t="s">
        <v>408</v>
      </c>
      <c r="J3815" s="4" t="s">
        <v>409</v>
      </c>
      <c r="K3815" s="13" t="n">
        <v>4500</v>
      </c>
      <c r="L3815" s="6" t="n">
        <f aca="false">H3815*K3815</f>
        <v>4500</v>
      </c>
      <c r="M3815" s="14" t="s">
        <v>410</v>
      </c>
    </row>
    <row r="3816" customFormat="false" ht="15" hidden="false" customHeight="false" outlineLevel="0" collapsed="false">
      <c r="A3816" s="4" t="s">
        <v>147</v>
      </c>
      <c r="B3816" s="5" t="s">
        <v>154</v>
      </c>
      <c r="C3816" s="5" t="s">
        <v>155</v>
      </c>
      <c r="D3816" s="4" t="s">
        <v>16</v>
      </c>
      <c r="E3816" s="4" t="s">
        <v>4525</v>
      </c>
      <c r="F3816" s="4" t="s">
        <v>406</v>
      </c>
      <c r="G3816" s="4" t="s">
        <v>4526</v>
      </c>
      <c r="H3816" s="12" t="n">
        <v>1</v>
      </c>
      <c r="I3816" s="4" t="s">
        <v>408</v>
      </c>
      <c r="J3816" s="4" t="s">
        <v>409</v>
      </c>
      <c r="K3816" s="13" t="n">
        <v>2500</v>
      </c>
      <c r="L3816" s="6" t="n">
        <f aca="false">H3816*K3816</f>
        <v>2500</v>
      </c>
      <c r="M3816" s="14" t="s">
        <v>410</v>
      </c>
    </row>
    <row r="3817" customFormat="false" ht="15" hidden="false" customHeight="false" outlineLevel="0" collapsed="false">
      <c r="A3817" s="4" t="s">
        <v>147</v>
      </c>
      <c r="B3817" s="5" t="s">
        <v>154</v>
      </c>
      <c r="C3817" s="5" t="s">
        <v>155</v>
      </c>
      <c r="D3817" s="4" t="s">
        <v>16</v>
      </c>
      <c r="E3817" s="4" t="s">
        <v>4527</v>
      </c>
      <c r="F3817" s="4" t="s">
        <v>406</v>
      </c>
      <c r="G3817" s="4" t="s">
        <v>4528</v>
      </c>
      <c r="H3817" s="12" t="n">
        <v>1</v>
      </c>
      <c r="I3817" s="4" t="s">
        <v>408</v>
      </c>
      <c r="J3817" s="4" t="s">
        <v>409</v>
      </c>
      <c r="K3817" s="13" t="n">
        <v>1800</v>
      </c>
      <c r="L3817" s="6" t="n">
        <f aca="false">H3817*K3817</f>
        <v>1800</v>
      </c>
      <c r="M3817" s="14" t="s">
        <v>410</v>
      </c>
    </row>
    <row r="3818" customFormat="false" ht="15" hidden="false" customHeight="false" outlineLevel="0" collapsed="false">
      <c r="A3818" s="4" t="s">
        <v>147</v>
      </c>
      <c r="B3818" s="5" t="s">
        <v>154</v>
      </c>
      <c r="C3818" s="5" t="s">
        <v>155</v>
      </c>
      <c r="D3818" s="4" t="s">
        <v>16</v>
      </c>
      <c r="E3818" s="4" t="s">
        <v>4529</v>
      </c>
      <c r="F3818" s="4" t="s">
        <v>406</v>
      </c>
      <c r="G3818" s="4" t="s">
        <v>4530</v>
      </c>
      <c r="H3818" s="12" t="n">
        <v>1</v>
      </c>
      <c r="I3818" s="4" t="s">
        <v>408</v>
      </c>
      <c r="J3818" s="4" t="s">
        <v>409</v>
      </c>
      <c r="K3818" s="13" t="n">
        <v>35000</v>
      </c>
      <c r="L3818" s="6" t="n">
        <f aca="false">H3818*K3818</f>
        <v>35000</v>
      </c>
      <c r="M3818" s="14" t="s">
        <v>410</v>
      </c>
    </row>
    <row r="3819" customFormat="false" ht="15" hidden="false" customHeight="false" outlineLevel="0" collapsed="false">
      <c r="A3819" s="4" t="s">
        <v>147</v>
      </c>
      <c r="B3819" s="5" t="s">
        <v>154</v>
      </c>
      <c r="C3819" s="5" t="s">
        <v>155</v>
      </c>
      <c r="D3819" s="4" t="s">
        <v>16</v>
      </c>
      <c r="E3819" s="4" t="s">
        <v>1208</v>
      </c>
      <c r="F3819" s="4" t="s">
        <v>406</v>
      </c>
      <c r="G3819" s="4" t="s">
        <v>1209</v>
      </c>
      <c r="H3819" s="12" t="n">
        <v>1</v>
      </c>
      <c r="I3819" s="4" t="s">
        <v>408</v>
      </c>
      <c r="J3819" s="4" t="s">
        <v>409</v>
      </c>
      <c r="K3819" s="13" t="n">
        <v>850</v>
      </c>
      <c r="L3819" s="6" t="n">
        <f aca="false">H3819*K3819</f>
        <v>850</v>
      </c>
      <c r="M3819" s="14" t="s">
        <v>410</v>
      </c>
    </row>
    <row r="3820" customFormat="false" ht="15" hidden="false" customHeight="false" outlineLevel="0" collapsed="false">
      <c r="A3820" s="4" t="s">
        <v>147</v>
      </c>
      <c r="B3820" s="5" t="s">
        <v>154</v>
      </c>
      <c r="C3820" s="5" t="s">
        <v>155</v>
      </c>
      <c r="D3820" s="4" t="s">
        <v>16</v>
      </c>
      <c r="E3820" s="4" t="s">
        <v>1679</v>
      </c>
      <c r="F3820" s="4" t="s">
        <v>406</v>
      </c>
      <c r="G3820" s="4" t="s">
        <v>1680</v>
      </c>
      <c r="H3820" s="12" t="n">
        <v>1</v>
      </c>
      <c r="I3820" s="4" t="s">
        <v>408</v>
      </c>
      <c r="J3820" s="4" t="s">
        <v>409</v>
      </c>
      <c r="K3820" s="13" t="n">
        <v>8500</v>
      </c>
      <c r="L3820" s="6" t="n">
        <f aca="false">H3820*K3820</f>
        <v>8500</v>
      </c>
      <c r="M3820" s="14" t="s">
        <v>410</v>
      </c>
    </row>
    <row r="3821" customFormat="false" ht="15" hidden="false" customHeight="false" outlineLevel="0" collapsed="false">
      <c r="A3821" s="4" t="s">
        <v>147</v>
      </c>
      <c r="B3821" s="5" t="s">
        <v>154</v>
      </c>
      <c r="C3821" s="5" t="s">
        <v>155</v>
      </c>
      <c r="D3821" s="4" t="s">
        <v>16</v>
      </c>
      <c r="E3821" s="4" t="s">
        <v>2547</v>
      </c>
      <c r="F3821" s="4" t="s">
        <v>406</v>
      </c>
      <c r="G3821" s="4" t="s">
        <v>2548</v>
      </c>
      <c r="H3821" s="12" t="n">
        <v>1</v>
      </c>
      <c r="I3821" s="4" t="s">
        <v>408</v>
      </c>
      <c r="J3821" s="4" t="s">
        <v>409</v>
      </c>
      <c r="K3821" s="13" t="n">
        <v>1800</v>
      </c>
      <c r="L3821" s="6" t="n">
        <f aca="false">H3821*K3821</f>
        <v>1800</v>
      </c>
      <c r="M3821" s="14" t="s">
        <v>410</v>
      </c>
    </row>
    <row r="3822" customFormat="false" ht="15" hidden="false" customHeight="false" outlineLevel="0" collapsed="false">
      <c r="A3822" s="4" t="s">
        <v>147</v>
      </c>
      <c r="B3822" s="5" t="s">
        <v>154</v>
      </c>
      <c r="C3822" s="5" t="s">
        <v>155</v>
      </c>
      <c r="D3822" s="4" t="s">
        <v>16</v>
      </c>
      <c r="E3822" s="4" t="s">
        <v>4531</v>
      </c>
      <c r="F3822" s="4" t="s">
        <v>406</v>
      </c>
      <c r="G3822" s="4" t="s">
        <v>4532</v>
      </c>
      <c r="H3822" s="12" t="n">
        <v>1</v>
      </c>
      <c r="I3822" s="4" t="s">
        <v>408</v>
      </c>
      <c r="J3822" s="4" t="s">
        <v>409</v>
      </c>
      <c r="K3822" s="13" t="n">
        <v>3500</v>
      </c>
      <c r="L3822" s="6" t="n">
        <f aca="false">H3822*K3822</f>
        <v>3500</v>
      </c>
      <c r="M3822" s="14" t="s">
        <v>410</v>
      </c>
    </row>
    <row r="3823" customFormat="false" ht="15" hidden="false" customHeight="false" outlineLevel="0" collapsed="false">
      <c r="A3823" s="4" t="s">
        <v>147</v>
      </c>
      <c r="B3823" s="5" t="s">
        <v>154</v>
      </c>
      <c r="C3823" s="5" t="s">
        <v>155</v>
      </c>
      <c r="D3823" s="4" t="s">
        <v>16</v>
      </c>
      <c r="E3823" s="4" t="s">
        <v>4533</v>
      </c>
      <c r="F3823" s="4" t="s">
        <v>406</v>
      </c>
      <c r="G3823" s="4" t="s">
        <v>4534</v>
      </c>
      <c r="H3823" s="12" t="n">
        <v>1</v>
      </c>
      <c r="I3823" s="4" t="s">
        <v>408</v>
      </c>
      <c r="J3823" s="4" t="s">
        <v>409</v>
      </c>
      <c r="K3823" s="13" t="n">
        <v>8500</v>
      </c>
      <c r="L3823" s="6" t="n">
        <f aca="false">H3823*K3823</f>
        <v>8500</v>
      </c>
      <c r="M3823" s="14" t="s">
        <v>410</v>
      </c>
    </row>
    <row r="3824" customFormat="false" ht="15" hidden="false" customHeight="false" outlineLevel="0" collapsed="false">
      <c r="A3824" s="4" t="s">
        <v>147</v>
      </c>
      <c r="B3824" s="5" t="s">
        <v>154</v>
      </c>
      <c r="C3824" s="5" t="s">
        <v>155</v>
      </c>
      <c r="D3824" s="4" t="s">
        <v>16</v>
      </c>
      <c r="E3824" s="4" t="s">
        <v>1681</v>
      </c>
      <c r="F3824" s="4" t="s">
        <v>406</v>
      </c>
      <c r="G3824" s="4" t="s">
        <v>1682</v>
      </c>
      <c r="H3824" s="12" t="n">
        <v>1</v>
      </c>
      <c r="I3824" s="4" t="s">
        <v>408</v>
      </c>
      <c r="J3824" s="4" t="s">
        <v>409</v>
      </c>
      <c r="K3824" s="13" t="n">
        <v>3500</v>
      </c>
      <c r="L3824" s="6" t="n">
        <f aca="false">H3824*K3824</f>
        <v>3500</v>
      </c>
      <c r="M3824" s="14" t="s">
        <v>410</v>
      </c>
    </row>
    <row r="3825" customFormat="false" ht="15" hidden="false" customHeight="false" outlineLevel="0" collapsed="false">
      <c r="A3825" s="4" t="s">
        <v>147</v>
      </c>
      <c r="B3825" s="5" t="s">
        <v>154</v>
      </c>
      <c r="C3825" s="5" t="s">
        <v>155</v>
      </c>
      <c r="D3825" s="4" t="s">
        <v>16</v>
      </c>
      <c r="E3825" s="4" t="s">
        <v>1683</v>
      </c>
      <c r="F3825" s="4" t="s">
        <v>406</v>
      </c>
      <c r="G3825" s="4" t="s">
        <v>1684</v>
      </c>
      <c r="H3825" s="12" t="n">
        <v>1</v>
      </c>
      <c r="I3825" s="4" t="s">
        <v>408</v>
      </c>
      <c r="J3825" s="4" t="s">
        <v>409</v>
      </c>
      <c r="K3825" s="13" t="n">
        <v>120</v>
      </c>
      <c r="L3825" s="6" t="n">
        <f aca="false">H3825*K3825</f>
        <v>120</v>
      </c>
      <c r="M3825" s="14" t="s">
        <v>410</v>
      </c>
    </row>
    <row r="3826" customFormat="false" ht="15" hidden="false" customHeight="false" outlineLevel="0" collapsed="false">
      <c r="A3826" s="4" t="s">
        <v>147</v>
      </c>
      <c r="B3826" s="5" t="s">
        <v>154</v>
      </c>
      <c r="C3826" s="5" t="s">
        <v>155</v>
      </c>
      <c r="D3826" s="4" t="s">
        <v>16</v>
      </c>
      <c r="E3826" s="4" t="s">
        <v>4535</v>
      </c>
      <c r="F3826" s="4" t="s">
        <v>406</v>
      </c>
      <c r="G3826" s="4" t="s">
        <v>4536</v>
      </c>
      <c r="H3826" s="12" t="n">
        <v>1</v>
      </c>
      <c r="I3826" s="4" t="s">
        <v>408</v>
      </c>
      <c r="J3826" s="4" t="s">
        <v>409</v>
      </c>
      <c r="K3826" s="13" t="n">
        <v>18000</v>
      </c>
      <c r="L3826" s="6" t="n">
        <f aca="false">H3826*K3826</f>
        <v>18000</v>
      </c>
      <c r="M3826" s="14" t="s">
        <v>410</v>
      </c>
    </row>
    <row r="3827" customFormat="false" ht="15" hidden="false" customHeight="false" outlineLevel="0" collapsed="false">
      <c r="A3827" s="4" t="s">
        <v>147</v>
      </c>
      <c r="B3827" s="5" t="s">
        <v>154</v>
      </c>
      <c r="C3827" s="5" t="s">
        <v>155</v>
      </c>
      <c r="D3827" s="4" t="s">
        <v>16</v>
      </c>
      <c r="E3827" s="4" t="s">
        <v>4537</v>
      </c>
      <c r="F3827" s="4" t="s">
        <v>406</v>
      </c>
      <c r="G3827" s="4" t="s">
        <v>4538</v>
      </c>
      <c r="H3827" s="12" t="n">
        <v>1</v>
      </c>
      <c r="I3827" s="4" t="s">
        <v>408</v>
      </c>
      <c r="J3827" s="4" t="s">
        <v>409</v>
      </c>
      <c r="K3827" s="13" t="n">
        <v>8500</v>
      </c>
      <c r="L3827" s="6" t="n">
        <f aca="false">H3827*K3827</f>
        <v>8500</v>
      </c>
      <c r="M3827" s="14" t="s">
        <v>410</v>
      </c>
    </row>
    <row r="3828" customFormat="false" ht="15" hidden="false" customHeight="false" outlineLevel="0" collapsed="false">
      <c r="A3828" s="4" t="s">
        <v>147</v>
      </c>
      <c r="B3828" s="5" t="s">
        <v>154</v>
      </c>
      <c r="C3828" s="5" t="s">
        <v>155</v>
      </c>
      <c r="D3828" s="4" t="s">
        <v>16</v>
      </c>
      <c r="E3828" s="4" t="s">
        <v>4539</v>
      </c>
      <c r="F3828" s="4" t="s">
        <v>406</v>
      </c>
      <c r="G3828" s="4" t="s">
        <v>4540</v>
      </c>
      <c r="H3828" s="12" t="n">
        <v>1</v>
      </c>
      <c r="I3828" s="4" t="s">
        <v>408</v>
      </c>
      <c r="J3828" s="4" t="s">
        <v>416</v>
      </c>
      <c r="K3828" s="13" t="n">
        <v>4500</v>
      </c>
      <c r="L3828" s="6" t="n">
        <f aca="false">H3828*K3828</f>
        <v>4500</v>
      </c>
      <c r="M3828" s="14" t="s">
        <v>410</v>
      </c>
    </row>
    <row r="3829" customFormat="false" ht="15" hidden="false" customHeight="false" outlineLevel="0" collapsed="false">
      <c r="A3829" s="4" t="s">
        <v>147</v>
      </c>
      <c r="B3829" s="5" t="s">
        <v>154</v>
      </c>
      <c r="C3829" s="5" t="s">
        <v>155</v>
      </c>
      <c r="D3829" s="4" t="s">
        <v>16</v>
      </c>
      <c r="E3829" s="4" t="s">
        <v>1685</v>
      </c>
      <c r="F3829" s="4" t="s">
        <v>406</v>
      </c>
      <c r="G3829" s="4" t="s">
        <v>1686</v>
      </c>
      <c r="H3829" s="12" t="n">
        <v>1</v>
      </c>
      <c r="I3829" s="4" t="s">
        <v>408</v>
      </c>
      <c r="J3829" s="4" t="s">
        <v>409</v>
      </c>
      <c r="K3829" s="13" t="n">
        <v>250</v>
      </c>
      <c r="L3829" s="6" t="n">
        <f aca="false">H3829*K3829</f>
        <v>250</v>
      </c>
      <c r="M3829" s="14" t="s">
        <v>410</v>
      </c>
    </row>
    <row r="3830" customFormat="false" ht="15" hidden="false" customHeight="false" outlineLevel="0" collapsed="false">
      <c r="A3830" s="4" t="s">
        <v>147</v>
      </c>
      <c r="B3830" s="5" t="s">
        <v>154</v>
      </c>
      <c r="C3830" s="5" t="s">
        <v>155</v>
      </c>
      <c r="D3830" s="4" t="s">
        <v>16</v>
      </c>
      <c r="E3830" s="4" t="s">
        <v>4541</v>
      </c>
      <c r="F3830" s="4" t="s">
        <v>406</v>
      </c>
      <c r="G3830" s="4" t="s">
        <v>2548</v>
      </c>
      <c r="H3830" s="12" t="n">
        <v>1</v>
      </c>
      <c r="I3830" s="4" t="s">
        <v>408</v>
      </c>
      <c r="J3830" s="4" t="s">
        <v>409</v>
      </c>
      <c r="K3830" s="13" t="n">
        <v>1800</v>
      </c>
      <c r="L3830" s="6" t="n">
        <f aca="false">H3830*K3830</f>
        <v>1800</v>
      </c>
      <c r="M3830" s="14" t="s">
        <v>410</v>
      </c>
    </row>
    <row r="3831" customFormat="false" ht="15" hidden="false" customHeight="false" outlineLevel="0" collapsed="false">
      <c r="A3831" s="4" t="s">
        <v>147</v>
      </c>
      <c r="B3831" s="5" t="s">
        <v>154</v>
      </c>
      <c r="C3831" s="5" t="s">
        <v>155</v>
      </c>
      <c r="D3831" s="4" t="s">
        <v>16</v>
      </c>
      <c r="E3831" s="4" t="s">
        <v>4542</v>
      </c>
      <c r="F3831" s="4" t="s">
        <v>406</v>
      </c>
      <c r="G3831" s="4" t="s">
        <v>4543</v>
      </c>
      <c r="H3831" s="12" t="n">
        <v>1</v>
      </c>
      <c r="I3831" s="4" t="s">
        <v>408</v>
      </c>
      <c r="J3831" s="4" t="s">
        <v>413</v>
      </c>
      <c r="K3831" s="13" t="n">
        <v>4500</v>
      </c>
      <c r="L3831" s="6" t="n">
        <f aca="false">H3831*K3831</f>
        <v>4500</v>
      </c>
      <c r="M3831" s="14" t="s">
        <v>410</v>
      </c>
    </row>
    <row r="3832" customFormat="false" ht="15" hidden="false" customHeight="false" outlineLevel="0" collapsed="false">
      <c r="A3832" s="4" t="s">
        <v>147</v>
      </c>
      <c r="B3832" s="5" t="s">
        <v>154</v>
      </c>
      <c r="C3832" s="5" t="s">
        <v>155</v>
      </c>
      <c r="D3832" s="4" t="s">
        <v>16</v>
      </c>
      <c r="E3832" s="4" t="s">
        <v>1687</v>
      </c>
      <c r="F3832" s="4" t="s">
        <v>406</v>
      </c>
      <c r="G3832" s="4" t="s">
        <v>1688</v>
      </c>
      <c r="H3832" s="12" t="n">
        <v>1</v>
      </c>
      <c r="I3832" s="4" t="s">
        <v>408</v>
      </c>
      <c r="J3832" s="4" t="s">
        <v>413</v>
      </c>
      <c r="K3832" s="13" t="n">
        <v>2500</v>
      </c>
      <c r="L3832" s="6" t="n">
        <f aca="false">H3832*K3832</f>
        <v>2500</v>
      </c>
      <c r="M3832" s="14" t="s">
        <v>410</v>
      </c>
    </row>
    <row r="3833" customFormat="false" ht="15" hidden="false" customHeight="false" outlineLevel="0" collapsed="false">
      <c r="A3833" s="4" t="s">
        <v>147</v>
      </c>
      <c r="B3833" s="5" t="s">
        <v>154</v>
      </c>
      <c r="C3833" s="5" t="s">
        <v>155</v>
      </c>
      <c r="D3833" s="4" t="s">
        <v>16</v>
      </c>
      <c r="E3833" s="4" t="s">
        <v>1689</v>
      </c>
      <c r="F3833" s="4" t="s">
        <v>406</v>
      </c>
      <c r="G3833" s="4" t="s">
        <v>1690</v>
      </c>
      <c r="H3833" s="12" t="n">
        <v>1</v>
      </c>
      <c r="I3833" s="4" t="s">
        <v>408</v>
      </c>
      <c r="J3833" s="4" t="s">
        <v>416</v>
      </c>
      <c r="K3833" s="13" t="n">
        <v>4500</v>
      </c>
      <c r="L3833" s="6" t="n">
        <f aca="false">H3833*K3833</f>
        <v>4500</v>
      </c>
      <c r="M3833" s="14" t="s">
        <v>410</v>
      </c>
    </row>
    <row r="3834" customFormat="false" ht="15" hidden="false" customHeight="false" outlineLevel="0" collapsed="false">
      <c r="A3834" s="4" t="s">
        <v>147</v>
      </c>
      <c r="B3834" s="5" t="s">
        <v>154</v>
      </c>
      <c r="C3834" s="5" t="s">
        <v>155</v>
      </c>
      <c r="D3834" s="4" t="s">
        <v>16</v>
      </c>
      <c r="E3834" s="4" t="s">
        <v>1691</v>
      </c>
      <c r="F3834" s="4" t="s">
        <v>406</v>
      </c>
      <c r="G3834" s="4" t="s">
        <v>1692</v>
      </c>
      <c r="H3834" s="12" t="n">
        <v>1</v>
      </c>
      <c r="I3834" s="4" t="s">
        <v>408</v>
      </c>
      <c r="J3834" s="4" t="s">
        <v>416</v>
      </c>
      <c r="K3834" s="13" t="n">
        <v>18000</v>
      </c>
      <c r="L3834" s="6" t="n">
        <f aca="false">H3834*K3834</f>
        <v>18000</v>
      </c>
      <c r="M3834" s="14" t="s">
        <v>410</v>
      </c>
    </row>
    <row r="3835" customFormat="false" ht="15" hidden="false" customHeight="false" outlineLevel="0" collapsed="false">
      <c r="A3835" s="4" t="s">
        <v>147</v>
      </c>
      <c r="B3835" s="5" t="s">
        <v>154</v>
      </c>
      <c r="C3835" s="5" t="s">
        <v>155</v>
      </c>
      <c r="D3835" s="4" t="s">
        <v>16</v>
      </c>
      <c r="E3835" s="4" t="s">
        <v>1693</v>
      </c>
      <c r="F3835" s="4" t="s">
        <v>406</v>
      </c>
      <c r="G3835" s="4" t="s">
        <v>1694</v>
      </c>
      <c r="H3835" s="12" t="n">
        <v>1</v>
      </c>
      <c r="I3835" s="4" t="s">
        <v>408</v>
      </c>
      <c r="J3835" s="4" t="s">
        <v>413</v>
      </c>
      <c r="K3835" s="13" t="n">
        <v>2500</v>
      </c>
      <c r="L3835" s="6" t="n">
        <f aca="false">H3835*K3835</f>
        <v>2500</v>
      </c>
      <c r="M3835" s="14" t="s">
        <v>410</v>
      </c>
    </row>
    <row r="3836" customFormat="false" ht="15" hidden="false" customHeight="false" outlineLevel="0" collapsed="false">
      <c r="A3836" s="4" t="s">
        <v>147</v>
      </c>
      <c r="B3836" s="5" t="s">
        <v>154</v>
      </c>
      <c r="C3836" s="5" t="s">
        <v>155</v>
      </c>
      <c r="D3836" s="4" t="s">
        <v>16</v>
      </c>
      <c r="E3836" s="4" t="s">
        <v>4544</v>
      </c>
      <c r="F3836" s="4" t="s">
        <v>406</v>
      </c>
      <c r="G3836" s="4" t="s">
        <v>4545</v>
      </c>
      <c r="H3836" s="12" t="n">
        <v>1</v>
      </c>
      <c r="I3836" s="4" t="s">
        <v>408</v>
      </c>
      <c r="J3836" s="4" t="s">
        <v>409</v>
      </c>
      <c r="K3836" s="13" t="n">
        <v>800</v>
      </c>
      <c r="L3836" s="6" t="n">
        <f aca="false">H3836*K3836</f>
        <v>800</v>
      </c>
      <c r="M3836" s="14" t="s">
        <v>410</v>
      </c>
    </row>
    <row r="3837" customFormat="false" ht="15" hidden="false" customHeight="false" outlineLevel="0" collapsed="false">
      <c r="A3837" s="4" t="s">
        <v>147</v>
      </c>
      <c r="B3837" s="5" t="s">
        <v>154</v>
      </c>
      <c r="C3837" s="5" t="s">
        <v>155</v>
      </c>
      <c r="D3837" s="4" t="s">
        <v>16</v>
      </c>
      <c r="E3837" s="4" t="s">
        <v>1695</v>
      </c>
      <c r="F3837" s="4" t="s">
        <v>406</v>
      </c>
      <c r="G3837" s="4" t="s">
        <v>1696</v>
      </c>
      <c r="H3837" s="12" t="n">
        <v>1</v>
      </c>
      <c r="I3837" s="4" t="s">
        <v>408</v>
      </c>
      <c r="J3837" s="4" t="s">
        <v>409</v>
      </c>
      <c r="K3837" s="13" t="n">
        <v>850</v>
      </c>
      <c r="L3837" s="6" t="n">
        <f aca="false">H3837*K3837</f>
        <v>850</v>
      </c>
      <c r="M3837" s="14" t="s">
        <v>410</v>
      </c>
    </row>
    <row r="3838" customFormat="false" ht="15" hidden="false" customHeight="false" outlineLevel="0" collapsed="false">
      <c r="A3838" s="4" t="s">
        <v>147</v>
      </c>
      <c r="B3838" s="5" t="s">
        <v>154</v>
      </c>
      <c r="C3838" s="5" t="s">
        <v>155</v>
      </c>
      <c r="D3838" s="4" t="s">
        <v>16</v>
      </c>
      <c r="E3838" s="4" t="s">
        <v>1052</v>
      </c>
      <c r="F3838" s="4" t="s">
        <v>406</v>
      </c>
      <c r="G3838" s="4" t="s">
        <v>1053</v>
      </c>
      <c r="H3838" s="12" t="n">
        <v>1</v>
      </c>
      <c r="I3838" s="4" t="s">
        <v>408</v>
      </c>
      <c r="J3838" s="4" t="s">
        <v>409</v>
      </c>
      <c r="K3838" s="13" t="n">
        <v>25000</v>
      </c>
      <c r="L3838" s="6" t="n">
        <f aca="false">H3838*K3838</f>
        <v>25000</v>
      </c>
      <c r="M3838" s="14" t="s">
        <v>410</v>
      </c>
    </row>
    <row r="3839" customFormat="false" ht="15" hidden="false" customHeight="false" outlineLevel="0" collapsed="false">
      <c r="A3839" s="4" t="s">
        <v>147</v>
      </c>
      <c r="B3839" s="5" t="s">
        <v>154</v>
      </c>
      <c r="C3839" s="5" t="s">
        <v>155</v>
      </c>
      <c r="D3839" s="4" t="s">
        <v>16</v>
      </c>
      <c r="E3839" s="4" t="s">
        <v>4546</v>
      </c>
      <c r="F3839" s="4" t="s">
        <v>406</v>
      </c>
      <c r="G3839" s="4" t="s">
        <v>4547</v>
      </c>
      <c r="H3839" s="12" t="n">
        <v>1</v>
      </c>
      <c r="I3839" s="4" t="s">
        <v>408</v>
      </c>
      <c r="J3839" s="4" t="s">
        <v>409</v>
      </c>
      <c r="K3839" s="13" t="n">
        <v>850</v>
      </c>
      <c r="L3839" s="6" t="n">
        <f aca="false">H3839*K3839</f>
        <v>850</v>
      </c>
      <c r="M3839" s="14" t="s">
        <v>410</v>
      </c>
    </row>
    <row r="3840" customFormat="false" ht="15" hidden="false" customHeight="false" outlineLevel="0" collapsed="false">
      <c r="A3840" s="4" t="s">
        <v>147</v>
      </c>
      <c r="B3840" s="5" t="s">
        <v>154</v>
      </c>
      <c r="C3840" s="5" t="s">
        <v>155</v>
      </c>
      <c r="D3840" s="4" t="s">
        <v>16</v>
      </c>
      <c r="E3840" s="4" t="s">
        <v>4548</v>
      </c>
      <c r="F3840" s="4" t="s">
        <v>470</v>
      </c>
      <c r="G3840" s="4" t="s">
        <v>4549</v>
      </c>
      <c r="H3840" s="12" t="n">
        <v>1</v>
      </c>
      <c r="I3840" s="4" t="s">
        <v>408</v>
      </c>
      <c r="J3840" s="4" t="s">
        <v>416</v>
      </c>
      <c r="K3840" s="13" t="n">
        <v>8500</v>
      </c>
      <c r="L3840" s="6" t="n">
        <f aca="false">H3840*K3840</f>
        <v>8500</v>
      </c>
      <c r="M3840" s="4" t="s">
        <v>371</v>
      </c>
    </row>
    <row r="3841" customFormat="false" ht="15" hidden="false" customHeight="false" outlineLevel="0" collapsed="false">
      <c r="A3841" s="4" t="s">
        <v>147</v>
      </c>
      <c r="B3841" s="5" t="s">
        <v>154</v>
      </c>
      <c r="C3841" s="5" t="s">
        <v>155</v>
      </c>
      <c r="D3841" s="4" t="s">
        <v>16</v>
      </c>
      <c r="E3841" s="4" t="s">
        <v>4550</v>
      </c>
      <c r="F3841" s="4" t="s">
        <v>470</v>
      </c>
      <c r="G3841" s="4" t="s">
        <v>4551</v>
      </c>
      <c r="H3841" s="12" t="n">
        <v>1</v>
      </c>
      <c r="I3841" s="4" t="s">
        <v>408</v>
      </c>
      <c r="J3841" s="4" t="s">
        <v>409</v>
      </c>
      <c r="K3841" s="13" t="n">
        <v>350</v>
      </c>
      <c r="L3841" s="6" t="n">
        <f aca="false">H3841*K3841</f>
        <v>350</v>
      </c>
      <c r="M3841" s="4" t="s">
        <v>371</v>
      </c>
    </row>
    <row r="3842" customFormat="false" ht="15" hidden="false" customHeight="false" outlineLevel="0" collapsed="false">
      <c r="A3842" s="4" t="s">
        <v>147</v>
      </c>
      <c r="B3842" s="5" t="s">
        <v>154</v>
      </c>
      <c r="C3842" s="5" t="s">
        <v>155</v>
      </c>
      <c r="D3842" s="4" t="s">
        <v>16</v>
      </c>
      <c r="E3842" s="4" t="s">
        <v>3918</v>
      </c>
      <c r="F3842" s="4" t="s">
        <v>470</v>
      </c>
      <c r="G3842" s="4" t="s">
        <v>3919</v>
      </c>
      <c r="H3842" s="12" t="n">
        <v>1</v>
      </c>
      <c r="I3842" s="4" t="s">
        <v>408</v>
      </c>
      <c r="J3842" s="4" t="s">
        <v>543</v>
      </c>
      <c r="K3842" s="13" t="n">
        <v>12000</v>
      </c>
      <c r="L3842" s="6" t="n">
        <f aca="false">H3842*K3842</f>
        <v>12000</v>
      </c>
      <c r="M3842" s="4" t="s">
        <v>371</v>
      </c>
    </row>
    <row r="3843" customFormat="false" ht="15" hidden="false" customHeight="false" outlineLevel="0" collapsed="false">
      <c r="A3843" s="4" t="s">
        <v>147</v>
      </c>
      <c r="B3843" s="5" t="s">
        <v>154</v>
      </c>
      <c r="C3843" s="5" t="s">
        <v>155</v>
      </c>
      <c r="D3843" s="4" t="s">
        <v>16</v>
      </c>
      <c r="E3843" s="4" t="s">
        <v>4552</v>
      </c>
      <c r="F3843" s="4" t="s">
        <v>470</v>
      </c>
      <c r="G3843" s="4" t="s">
        <v>4553</v>
      </c>
      <c r="H3843" s="12" t="n">
        <v>1</v>
      </c>
      <c r="I3843" s="4" t="s">
        <v>408</v>
      </c>
      <c r="J3843" s="4" t="s">
        <v>429</v>
      </c>
      <c r="K3843" s="13" t="n">
        <v>45</v>
      </c>
      <c r="L3843" s="6" t="n">
        <f aca="false">H3843*K3843</f>
        <v>45</v>
      </c>
      <c r="M3843" s="14" t="s">
        <v>410</v>
      </c>
    </row>
    <row r="3844" customFormat="false" ht="15" hidden="false" customHeight="false" outlineLevel="0" collapsed="false">
      <c r="A3844" s="4" t="s">
        <v>147</v>
      </c>
      <c r="B3844" s="5" t="s">
        <v>154</v>
      </c>
      <c r="C3844" s="5" t="s">
        <v>155</v>
      </c>
      <c r="D3844" s="4" t="s">
        <v>16</v>
      </c>
      <c r="E3844" s="4" t="s">
        <v>4554</v>
      </c>
      <c r="F3844" s="4" t="s">
        <v>470</v>
      </c>
      <c r="G3844" s="4" t="s">
        <v>4555</v>
      </c>
      <c r="H3844" s="12" t="n">
        <v>1</v>
      </c>
      <c r="I3844" s="4" t="s">
        <v>408</v>
      </c>
      <c r="J3844" s="4" t="s">
        <v>409</v>
      </c>
      <c r="K3844" s="13" t="n">
        <v>18000</v>
      </c>
      <c r="L3844" s="6" t="n">
        <f aca="false">H3844*K3844</f>
        <v>18000</v>
      </c>
      <c r="M3844" s="14" t="s">
        <v>410</v>
      </c>
    </row>
    <row r="3845" customFormat="false" ht="15" hidden="false" customHeight="false" outlineLevel="0" collapsed="false">
      <c r="A3845" s="4" t="s">
        <v>147</v>
      </c>
      <c r="B3845" s="5" t="s">
        <v>154</v>
      </c>
      <c r="C3845" s="5" t="s">
        <v>155</v>
      </c>
      <c r="D3845" s="4" t="s">
        <v>16</v>
      </c>
      <c r="E3845" s="4" t="s">
        <v>1701</v>
      </c>
      <c r="F3845" s="4" t="s">
        <v>470</v>
      </c>
      <c r="G3845" s="4" t="s">
        <v>1702</v>
      </c>
      <c r="H3845" s="12" t="n">
        <v>1</v>
      </c>
      <c r="I3845" s="4" t="s">
        <v>408</v>
      </c>
      <c r="J3845" s="4" t="s">
        <v>416</v>
      </c>
      <c r="K3845" s="13" t="n">
        <v>2500</v>
      </c>
      <c r="L3845" s="6" t="n">
        <f aca="false">H3845*K3845</f>
        <v>2500</v>
      </c>
      <c r="M3845" s="4" t="s">
        <v>371</v>
      </c>
    </row>
    <row r="3846" customFormat="false" ht="15" hidden="false" customHeight="false" outlineLevel="0" collapsed="false">
      <c r="A3846" s="4" t="s">
        <v>147</v>
      </c>
      <c r="B3846" s="5" t="s">
        <v>154</v>
      </c>
      <c r="C3846" s="5" t="s">
        <v>155</v>
      </c>
      <c r="D3846" s="4" t="s">
        <v>16</v>
      </c>
      <c r="E3846" s="4" t="s">
        <v>1453</v>
      </c>
      <c r="F3846" s="4" t="s">
        <v>470</v>
      </c>
      <c r="G3846" s="4" t="s">
        <v>1090</v>
      </c>
      <c r="H3846" s="12" t="n">
        <v>1</v>
      </c>
      <c r="I3846" s="4" t="s">
        <v>408</v>
      </c>
      <c r="J3846" s="4" t="s">
        <v>409</v>
      </c>
      <c r="K3846" s="13" t="n">
        <v>3500</v>
      </c>
      <c r="L3846" s="6" t="n">
        <f aca="false">H3846*K3846</f>
        <v>3500</v>
      </c>
      <c r="M3846" s="4" t="s">
        <v>371</v>
      </c>
    </row>
    <row r="3847" customFormat="false" ht="15" hidden="false" customHeight="false" outlineLevel="0" collapsed="false">
      <c r="A3847" s="4" t="s">
        <v>147</v>
      </c>
      <c r="B3847" s="5" t="s">
        <v>154</v>
      </c>
      <c r="C3847" s="5" t="s">
        <v>155</v>
      </c>
      <c r="D3847" s="4" t="s">
        <v>16</v>
      </c>
      <c r="E3847" s="4" t="s">
        <v>1451</v>
      </c>
      <c r="F3847" s="4" t="s">
        <v>470</v>
      </c>
      <c r="G3847" s="4" t="s">
        <v>1452</v>
      </c>
      <c r="H3847" s="12" t="n">
        <v>1</v>
      </c>
      <c r="I3847" s="4" t="s">
        <v>408</v>
      </c>
      <c r="J3847" s="4" t="s">
        <v>413</v>
      </c>
      <c r="K3847" s="13" t="n">
        <v>450</v>
      </c>
      <c r="L3847" s="6" t="n">
        <f aca="false">H3847*K3847</f>
        <v>450</v>
      </c>
      <c r="M3847" s="4" t="s">
        <v>371</v>
      </c>
    </row>
    <row r="3848" customFormat="false" ht="15" hidden="false" customHeight="false" outlineLevel="0" collapsed="false">
      <c r="A3848" s="4" t="s">
        <v>147</v>
      </c>
      <c r="B3848" s="5" t="s">
        <v>154</v>
      </c>
      <c r="C3848" s="5" t="s">
        <v>155</v>
      </c>
      <c r="D3848" s="4" t="s">
        <v>16</v>
      </c>
      <c r="E3848" s="4" t="s">
        <v>1703</v>
      </c>
      <c r="F3848" s="4" t="s">
        <v>470</v>
      </c>
      <c r="G3848" s="4" t="s">
        <v>1704</v>
      </c>
      <c r="H3848" s="12" t="n">
        <v>1</v>
      </c>
      <c r="I3848" s="4" t="s">
        <v>408</v>
      </c>
      <c r="J3848" s="4" t="s">
        <v>409</v>
      </c>
      <c r="K3848" s="13" t="n">
        <v>450</v>
      </c>
      <c r="L3848" s="6" t="n">
        <f aca="false">H3848*K3848</f>
        <v>450</v>
      </c>
      <c r="M3848" s="4" t="s">
        <v>371</v>
      </c>
    </row>
    <row r="3849" customFormat="false" ht="15" hidden="false" customHeight="false" outlineLevel="0" collapsed="false">
      <c r="A3849" s="4" t="s">
        <v>147</v>
      </c>
      <c r="B3849" s="5" t="s">
        <v>154</v>
      </c>
      <c r="C3849" s="5" t="s">
        <v>155</v>
      </c>
      <c r="D3849" s="4" t="s">
        <v>16</v>
      </c>
      <c r="E3849" s="4" t="s">
        <v>1705</v>
      </c>
      <c r="F3849" s="4" t="s">
        <v>470</v>
      </c>
      <c r="G3849" s="4" t="s">
        <v>1706</v>
      </c>
      <c r="H3849" s="12" t="n">
        <v>1</v>
      </c>
      <c r="I3849" s="4" t="s">
        <v>408</v>
      </c>
      <c r="J3849" s="4" t="s">
        <v>416</v>
      </c>
      <c r="K3849" s="13" t="n">
        <v>850</v>
      </c>
      <c r="L3849" s="6" t="n">
        <f aca="false">H3849*K3849</f>
        <v>850</v>
      </c>
      <c r="M3849" s="4" t="s">
        <v>371</v>
      </c>
    </row>
    <row r="3850" customFormat="false" ht="15" hidden="false" customHeight="false" outlineLevel="0" collapsed="false">
      <c r="A3850" s="4" t="s">
        <v>147</v>
      </c>
      <c r="B3850" s="5" t="s">
        <v>154</v>
      </c>
      <c r="C3850" s="5" t="s">
        <v>155</v>
      </c>
      <c r="D3850" s="4" t="s">
        <v>16</v>
      </c>
      <c r="E3850" s="4" t="s">
        <v>1707</v>
      </c>
      <c r="F3850" s="4" t="s">
        <v>470</v>
      </c>
      <c r="G3850" s="4" t="s">
        <v>1708</v>
      </c>
      <c r="H3850" s="12" t="n">
        <v>1</v>
      </c>
      <c r="I3850" s="4" t="s">
        <v>408</v>
      </c>
      <c r="J3850" s="4" t="s">
        <v>416</v>
      </c>
      <c r="K3850" s="13" t="n">
        <v>850</v>
      </c>
      <c r="L3850" s="6" t="n">
        <f aca="false">H3850*K3850</f>
        <v>850</v>
      </c>
      <c r="M3850" s="4" t="s">
        <v>371</v>
      </c>
    </row>
    <row r="3851" customFormat="false" ht="15" hidden="false" customHeight="false" outlineLevel="0" collapsed="false">
      <c r="A3851" s="4" t="s">
        <v>147</v>
      </c>
      <c r="B3851" s="5" t="s">
        <v>154</v>
      </c>
      <c r="C3851" s="5" t="s">
        <v>155</v>
      </c>
      <c r="D3851" s="4" t="s">
        <v>16</v>
      </c>
      <c r="E3851" s="4" t="s">
        <v>1709</v>
      </c>
      <c r="F3851" s="4" t="s">
        <v>470</v>
      </c>
      <c r="G3851" s="4" t="s">
        <v>1710</v>
      </c>
      <c r="H3851" s="12" t="n">
        <v>1</v>
      </c>
      <c r="I3851" s="4" t="s">
        <v>408</v>
      </c>
      <c r="J3851" s="4" t="s">
        <v>416</v>
      </c>
      <c r="K3851" s="13" t="n">
        <v>850</v>
      </c>
      <c r="L3851" s="6" t="n">
        <f aca="false">H3851*K3851</f>
        <v>850</v>
      </c>
      <c r="M3851" s="4" t="s">
        <v>371</v>
      </c>
    </row>
    <row r="3852" customFormat="false" ht="15" hidden="false" customHeight="false" outlineLevel="0" collapsed="false">
      <c r="A3852" s="4" t="s">
        <v>147</v>
      </c>
      <c r="B3852" s="5" t="s">
        <v>154</v>
      </c>
      <c r="C3852" s="5" t="s">
        <v>155</v>
      </c>
      <c r="D3852" s="4" t="s">
        <v>16</v>
      </c>
      <c r="E3852" s="4" t="s">
        <v>4556</v>
      </c>
      <c r="F3852" s="4" t="s">
        <v>470</v>
      </c>
      <c r="G3852" s="4" t="s">
        <v>4557</v>
      </c>
      <c r="H3852" s="12" t="n">
        <v>1</v>
      </c>
      <c r="I3852" s="4" t="s">
        <v>408</v>
      </c>
      <c r="J3852" s="4" t="s">
        <v>416</v>
      </c>
      <c r="K3852" s="13" t="n">
        <v>850</v>
      </c>
      <c r="L3852" s="6" t="n">
        <f aca="false">H3852*K3852</f>
        <v>850</v>
      </c>
      <c r="M3852" s="4" t="s">
        <v>371</v>
      </c>
    </row>
    <row r="3853" customFormat="false" ht="15" hidden="false" customHeight="false" outlineLevel="0" collapsed="false">
      <c r="A3853" s="4" t="s">
        <v>147</v>
      </c>
      <c r="B3853" s="5" t="s">
        <v>154</v>
      </c>
      <c r="C3853" s="5" t="s">
        <v>155</v>
      </c>
      <c r="D3853" s="4" t="s">
        <v>16</v>
      </c>
      <c r="E3853" s="4" t="s">
        <v>1715</v>
      </c>
      <c r="F3853" s="4" t="s">
        <v>488</v>
      </c>
      <c r="G3853" s="4" t="s">
        <v>1716</v>
      </c>
      <c r="H3853" s="12" t="n">
        <v>1</v>
      </c>
      <c r="I3853" s="4" t="s">
        <v>408</v>
      </c>
      <c r="J3853" s="4" t="s">
        <v>807</v>
      </c>
      <c r="K3853" s="13" t="n">
        <v>45</v>
      </c>
      <c r="L3853" s="6" t="n">
        <f aca="false">H3853*K3853</f>
        <v>45</v>
      </c>
      <c r="M3853" s="4" t="s">
        <v>371</v>
      </c>
    </row>
    <row r="3854" customFormat="false" ht="15" hidden="false" customHeight="false" outlineLevel="0" collapsed="false">
      <c r="A3854" s="4" t="s">
        <v>147</v>
      </c>
      <c r="B3854" s="5" t="s">
        <v>154</v>
      </c>
      <c r="C3854" s="5" t="s">
        <v>155</v>
      </c>
      <c r="D3854" s="4" t="s">
        <v>16</v>
      </c>
      <c r="E3854" s="4" t="s">
        <v>1717</v>
      </c>
      <c r="F3854" s="4" t="s">
        <v>488</v>
      </c>
      <c r="G3854" s="4" t="s">
        <v>1718</v>
      </c>
      <c r="H3854" s="12" t="n">
        <v>1</v>
      </c>
      <c r="I3854" s="4" t="s">
        <v>408</v>
      </c>
      <c r="J3854" s="4" t="s">
        <v>416</v>
      </c>
      <c r="K3854" s="13" t="n">
        <v>1200</v>
      </c>
      <c r="L3854" s="6" t="n">
        <f aca="false">H3854*K3854</f>
        <v>1200</v>
      </c>
      <c r="M3854" s="4" t="s">
        <v>371</v>
      </c>
    </row>
    <row r="3855" customFormat="false" ht="15" hidden="false" customHeight="false" outlineLevel="0" collapsed="false">
      <c r="A3855" s="4" t="s">
        <v>147</v>
      </c>
      <c r="B3855" s="5" t="s">
        <v>154</v>
      </c>
      <c r="C3855" s="5" t="s">
        <v>155</v>
      </c>
      <c r="D3855" s="4" t="s">
        <v>16</v>
      </c>
      <c r="E3855" s="4" t="s">
        <v>4558</v>
      </c>
      <c r="F3855" s="4" t="s">
        <v>488</v>
      </c>
      <c r="G3855" s="4" t="s">
        <v>4559</v>
      </c>
      <c r="H3855" s="12" t="n">
        <v>1</v>
      </c>
      <c r="I3855" s="4" t="s">
        <v>408</v>
      </c>
      <c r="J3855" s="4" t="s">
        <v>432</v>
      </c>
      <c r="K3855" s="13" t="n">
        <v>850</v>
      </c>
      <c r="L3855" s="6" t="n">
        <f aca="false">H3855*K3855</f>
        <v>850</v>
      </c>
      <c r="M3855" s="4" t="s">
        <v>371</v>
      </c>
    </row>
    <row r="3856" customFormat="false" ht="15" hidden="false" customHeight="false" outlineLevel="0" collapsed="false">
      <c r="A3856" s="4" t="s">
        <v>147</v>
      </c>
      <c r="B3856" s="5" t="s">
        <v>154</v>
      </c>
      <c r="C3856" s="5" t="s">
        <v>155</v>
      </c>
      <c r="D3856" s="4" t="s">
        <v>16</v>
      </c>
      <c r="E3856" s="4" t="s">
        <v>1719</v>
      </c>
      <c r="F3856" s="4" t="s">
        <v>488</v>
      </c>
      <c r="G3856" s="4" t="s">
        <v>1720</v>
      </c>
      <c r="H3856" s="12" t="n">
        <v>1</v>
      </c>
      <c r="I3856" s="4" t="s">
        <v>408</v>
      </c>
      <c r="J3856" s="4" t="s">
        <v>429</v>
      </c>
      <c r="K3856" s="13" t="n">
        <v>45</v>
      </c>
      <c r="L3856" s="6" t="n">
        <f aca="false">H3856*K3856</f>
        <v>45</v>
      </c>
      <c r="M3856" s="4" t="s">
        <v>371</v>
      </c>
    </row>
    <row r="3857" customFormat="false" ht="15" hidden="false" customHeight="false" outlineLevel="0" collapsed="false">
      <c r="A3857" s="4" t="s">
        <v>147</v>
      </c>
      <c r="B3857" s="5" t="s">
        <v>154</v>
      </c>
      <c r="C3857" s="5" t="s">
        <v>155</v>
      </c>
      <c r="D3857" s="4" t="s">
        <v>16</v>
      </c>
      <c r="E3857" s="4" t="s">
        <v>1721</v>
      </c>
      <c r="F3857" s="4" t="s">
        <v>488</v>
      </c>
      <c r="G3857" s="4" t="s">
        <v>1722</v>
      </c>
      <c r="H3857" s="12" t="n">
        <v>1</v>
      </c>
      <c r="I3857" s="4" t="s">
        <v>408</v>
      </c>
      <c r="J3857" s="4" t="s">
        <v>409</v>
      </c>
      <c r="K3857" s="13" t="n">
        <v>80</v>
      </c>
      <c r="L3857" s="6" t="n">
        <f aca="false">H3857*K3857</f>
        <v>80</v>
      </c>
      <c r="M3857" s="4" t="s">
        <v>371</v>
      </c>
    </row>
    <row r="3858" customFormat="false" ht="15" hidden="false" customHeight="false" outlineLevel="0" collapsed="false">
      <c r="A3858" s="4" t="s">
        <v>147</v>
      </c>
      <c r="B3858" s="5" t="s">
        <v>154</v>
      </c>
      <c r="C3858" s="5" t="s">
        <v>155</v>
      </c>
      <c r="D3858" s="4" t="s">
        <v>16</v>
      </c>
      <c r="E3858" s="4" t="s">
        <v>4560</v>
      </c>
      <c r="F3858" s="4" t="s">
        <v>488</v>
      </c>
      <c r="G3858" s="4" t="s">
        <v>4561</v>
      </c>
      <c r="H3858" s="12" t="n">
        <v>1</v>
      </c>
      <c r="I3858" s="4" t="s">
        <v>408</v>
      </c>
      <c r="J3858" s="4" t="s">
        <v>409</v>
      </c>
      <c r="K3858" s="13" t="n">
        <v>80</v>
      </c>
      <c r="L3858" s="6" t="n">
        <f aca="false">H3858*K3858</f>
        <v>80</v>
      </c>
      <c r="M3858" s="4" t="s">
        <v>371</v>
      </c>
    </row>
    <row r="3859" customFormat="false" ht="23.85" hidden="false" customHeight="false" outlineLevel="0" collapsed="false">
      <c r="A3859" s="4" t="s">
        <v>147</v>
      </c>
      <c r="B3859" s="5" t="s">
        <v>156</v>
      </c>
      <c r="C3859" s="5" t="s">
        <v>157</v>
      </c>
      <c r="D3859" s="4" t="s">
        <v>16</v>
      </c>
      <c r="E3859" s="4" t="s">
        <v>4562</v>
      </c>
      <c r="F3859" s="4" t="s">
        <v>406</v>
      </c>
      <c r="G3859" s="4" t="s">
        <v>4563</v>
      </c>
      <c r="H3859" s="12" t="n">
        <v>1</v>
      </c>
      <c r="I3859" s="4" t="s">
        <v>408</v>
      </c>
      <c r="J3859" s="4" t="s">
        <v>416</v>
      </c>
      <c r="K3859" s="13" t="n">
        <v>4500</v>
      </c>
      <c r="L3859" s="6" t="n">
        <f aca="false">H3859*K3859</f>
        <v>4500</v>
      </c>
      <c r="M3859" s="4" t="s">
        <v>371</v>
      </c>
    </row>
    <row r="3860" customFormat="false" ht="23.85" hidden="false" customHeight="false" outlineLevel="0" collapsed="false">
      <c r="A3860" s="4" t="s">
        <v>147</v>
      </c>
      <c r="B3860" s="5" t="s">
        <v>156</v>
      </c>
      <c r="C3860" s="5" t="s">
        <v>157</v>
      </c>
      <c r="D3860" s="4" t="s">
        <v>16</v>
      </c>
      <c r="E3860" s="4" t="s">
        <v>3539</v>
      </c>
      <c r="F3860" s="4" t="s">
        <v>406</v>
      </c>
      <c r="G3860" s="4" t="s">
        <v>3540</v>
      </c>
      <c r="H3860" s="12" t="n">
        <v>1</v>
      </c>
      <c r="I3860" s="4" t="s">
        <v>408</v>
      </c>
      <c r="J3860" s="4" t="s">
        <v>409</v>
      </c>
      <c r="K3860" s="13" t="n">
        <v>120</v>
      </c>
      <c r="L3860" s="6" t="n">
        <f aca="false">H3860*K3860</f>
        <v>120</v>
      </c>
      <c r="M3860" s="14" t="s">
        <v>410</v>
      </c>
    </row>
    <row r="3861" customFormat="false" ht="23.85" hidden="false" customHeight="false" outlineLevel="0" collapsed="false">
      <c r="A3861" s="4" t="s">
        <v>147</v>
      </c>
      <c r="B3861" s="5" t="s">
        <v>156</v>
      </c>
      <c r="C3861" s="5" t="s">
        <v>157</v>
      </c>
      <c r="D3861" s="4" t="s">
        <v>16</v>
      </c>
      <c r="E3861" s="4" t="s">
        <v>4187</v>
      </c>
      <c r="F3861" s="4" t="s">
        <v>406</v>
      </c>
      <c r="G3861" s="4" t="s">
        <v>4188</v>
      </c>
      <c r="H3861" s="12" t="n">
        <v>1</v>
      </c>
      <c r="I3861" s="4" t="s">
        <v>408</v>
      </c>
      <c r="J3861" s="4" t="s">
        <v>409</v>
      </c>
      <c r="K3861" s="13" t="n">
        <v>350</v>
      </c>
      <c r="L3861" s="6" t="n">
        <f aca="false">H3861*K3861</f>
        <v>350</v>
      </c>
      <c r="M3861" s="14" t="s">
        <v>410</v>
      </c>
    </row>
    <row r="3862" customFormat="false" ht="23.85" hidden="false" customHeight="false" outlineLevel="0" collapsed="false">
      <c r="A3862" s="4" t="s">
        <v>147</v>
      </c>
      <c r="B3862" s="5" t="s">
        <v>156</v>
      </c>
      <c r="C3862" s="5" t="s">
        <v>157</v>
      </c>
      <c r="D3862" s="4" t="s">
        <v>16</v>
      </c>
      <c r="E3862" s="4" t="s">
        <v>2578</v>
      </c>
      <c r="F3862" s="4" t="s">
        <v>406</v>
      </c>
      <c r="G3862" s="4" t="s">
        <v>2579</v>
      </c>
      <c r="H3862" s="12" t="n">
        <v>1</v>
      </c>
      <c r="I3862" s="4" t="s">
        <v>408</v>
      </c>
      <c r="J3862" s="4" t="s">
        <v>409</v>
      </c>
      <c r="K3862" s="13" t="n">
        <v>350</v>
      </c>
      <c r="L3862" s="6" t="n">
        <f aca="false">H3862*K3862</f>
        <v>350</v>
      </c>
      <c r="M3862" s="14" t="s">
        <v>410</v>
      </c>
    </row>
    <row r="3863" customFormat="false" ht="23.85" hidden="false" customHeight="false" outlineLevel="0" collapsed="false">
      <c r="A3863" s="4" t="s">
        <v>147</v>
      </c>
      <c r="B3863" s="5" t="s">
        <v>156</v>
      </c>
      <c r="C3863" s="5" t="s">
        <v>157</v>
      </c>
      <c r="D3863" s="4" t="s">
        <v>16</v>
      </c>
      <c r="E3863" s="4" t="s">
        <v>4564</v>
      </c>
      <c r="F3863" s="4" t="s">
        <v>406</v>
      </c>
      <c r="G3863" s="4" t="s">
        <v>4565</v>
      </c>
      <c r="H3863" s="12" t="n">
        <v>1</v>
      </c>
      <c r="I3863" s="4" t="s">
        <v>408</v>
      </c>
      <c r="J3863" s="4" t="s">
        <v>409</v>
      </c>
      <c r="K3863" s="13" t="n">
        <v>350</v>
      </c>
      <c r="L3863" s="6" t="n">
        <f aca="false">H3863*K3863</f>
        <v>350</v>
      </c>
      <c r="M3863" s="14" t="s">
        <v>410</v>
      </c>
    </row>
    <row r="3864" customFormat="false" ht="23.85" hidden="false" customHeight="false" outlineLevel="0" collapsed="false">
      <c r="A3864" s="4" t="s">
        <v>147</v>
      </c>
      <c r="B3864" s="5" t="s">
        <v>156</v>
      </c>
      <c r="C3864" s="5" t="s">
        <v>157</v>
      </c>
      <c r="D3864" s="4" t="s">
        <v>16</v>
      </c>
      <c r="E3864" s="4" t="s">
        <v>4566</v>
      </c>
      <c r="F3864" s="4" t="s">
        <v>406</v>
      </c>
      <c r="G3864" s="4" t="s">
        <v>927</v>
      </c>
      <c r="H3864" s="12" t="n">
        <v>1</v>
      </c>
      <c r="I3864" s="4" t="s">
        <v>408</v>
      </c>
      <c r="J3864" s="4" t="s">
        <v>416</v>
      </c>
      <c r="K3864" s="13" t="n">
        <v>1800</v>
      </c>
      <c r="L3864" s="6" t="n">
        <f aca="false">H3864*K3864</f>
        <v>1800</v>
      </c>
      <c r="M3864" s="14" t="s">
        <v>410</v>
      </c>
    </row>
    <row r="3865" customFormat="false" ht="23.85" hidden="false" customHeight="false" outlineLevel="0" collapsed="false">
      <c r="A3865" s="4" t="s">
        <v>147</v>
      </c>
      <c r="B3865" s="5" t="s">
        <v>156</v>
      </c>
      <c r="C3865" s="5" t="s">
        <v>157</v>
      </c>
      <c r="D3865" s="4" t="s">
        <v>16</v>
      </c>
      <c r="E3865" s="4" t="s">
        <v>4193</v>
      </c>
      <c r="F3865" s="4" t="s">
        <v>406</v>
      </c>
      <c r="G3865" s="4" t="s">
        <v>4194</v>
      </c>
      <c r="H3865" s="12" t="n">
        <v>1</v>
      </c>
      <c r="I3865" s="4" t="s">
        <v>408</v>
      </c>
      <c r="J3865" s="4" t="s">
        <v>409</v>
      </c>
      <c r="K3865" s="13" t="n">
        <v>120</v>
      </c>
      <c r="L3865" s="6" t="n">
        <f aca="false">H3865*K3865</f>
        <v>120</v>
      </c>
      <c r="M3865" s="14" t="s">
        <v>410</v>
      </c>
    </row>
    <row r="3866" customFormat="false" ht="23.85" hidden="false" customHeight="false" outlineLevel="0" collapsed="false">
      <c r="A3866" s="4" t="s">
        <v>147</v>
      </c>
      <c r="B3866" s="5" t="s">
        <v>156</v>
      </c>
      <c r="C3866" s="5" t="s">
        <v>157</v>
      </c>
      <c r="D3866" s="4" t="s">
        <v>16</v>
      </c>
      <c r="E3866" s="4" t="s">
        <v>4567</v>
      </c>
      <c r="F3866" s="4" t="s">
        <v>406</v>
      </c>
      <c r="G3866" s="4" t="s">
        <v>4568</v>
      </c>
      <c r="H3866" s="12" t="n">
        <v>1</v>
      </c>
      <c r="I3866" s="4" t="s">
        <v>408</v>
      </c>
      <c r="J3866" s="4" t="s">
        <v>409</v>
      </c>
      <c r="K3866" s="13" t="n">
        <v>450</v>
      </c>
      <c r="L3866" s="6" t="n">
        <f aca="false">H3866*K3866</f>
        <v>450</v>
      </c>
      <c r="M3866" s="14" t="s">
        <v>410</v>
      </c>
    </row>
    <row r="3867" customFormat="false" ht="23.85" hidden="false" customHeight="false" outlineLevel="0" collapsed="false">
      <c r="A3867" s="4" t="s">
        <v>147</v>
      </c>
      <c r="B3867" s="5" t="s">
        <v>156</v>
      </c>
      <c r="C3867" s="5" t="s">
        <v>157</v>
      </c>
      <c r="D3867" s="4" t="s">
        <v>16</v>
      </c>
      <c r="E3867" s="4" t="s">
        <v>4569</v>
      </c>
      <c r="F3867" s="4" t="s">
        <v>406</v>
      </c>
      <c r="G3867" s="4" t="s">
        <v>4570</v>
      </c>
      <c r="H3867" s="12" t="n">
        <v>1</v>
      </c>
      <c r="I3867" s="4" t="s">
        <v>408</v>
      </c>
      <c r="J3867" s="4" t="s">
        <v>409</v>
      </c>
      <c r="K3867" s="13" t="n">
        <v>250</v>
      </c>
      <c r="L3867" s="6" t="n">
        <f aca="false">H3867*K3867</f>
        <v>250</v>
      </c>
      <c r="M3867" s="14" t="s">
        <v>410</v>
      </c>
    </row>
    <row r="3868" customFormat="false" ht="23.85" hidden="false" customHeight="false" outlineLevel="0" collapsed="false">
      <c r="A3868" s="4" t="s">
        <v>147</v>
      </c>
      <c r="B3868" s="5" t="s">
        <v>156</v>
      </c>
      <c r="C3868" s="5" t="s">
        <v>157</v>
      </c>
      <c r="D3868" s="4" t="s">
        <v>16</v>
      </c>
      <c r="E3868" s="4" t="s">
        <v>4571</v>
      </c>
      <c r="F3868" s="4" t="s">
        <v>406</v>
      </c>
      <c r="G3868" s="4" t="s">
        <v>4572</v>
      </c>
      <c r="H3868" s="12" t="n">
        <v>1</v>
      </c>
      <c r="I3868" s="4" t="s">
        <v>408</v>
      </c>
      <c r="J3868" s="4" t="s">
        <v>409</v>
      </c>
      <c r="K3868" s="13" t="n">
        <v>350</v>
      </c>
      <c r="L3868" s="6" t="n">
        <f aca="false">H3868*K3868</f>
        <v>350</v>
      </c>
      <c r="M3868" s="14" t="s">
        <v>410</v>
      </c>
    </row>
    <row r="3869" customFormat="false" ht="23.85" hidden="false" customHeight="false" outlineLevel="0" collapsed="false">
      <c r="A3869" s="4" t="s">
        <v>147</v>
      </c>
      <c r="B3869" s="5" t="s">
        <v>156</v>
      </c>
      <c r="C3869" s="5" t="s">
        <v>157</v>
      </c>
      <c r="D3869" s="4" t="s">
        <v>16</v>
      </c>
      <c r="E3869" s="4" t="s">
        <v>1897</v>
      </c>
      <c r="F3869" s="4" t="s">
        <v>406</v>
      </c>
      <c r="G3869" s="4" t="s">
        <v>1611</v>
      </c>
      <c r="H3869" s="12" t="n">
        <v>1</v>
      </c>
      <c r="I3869" s="4" t="s">
        <v>408</v>
      </c>
      <c r="J3869" s="4" t="s">
        <v>409</v>
      </c>
      <c r="K3869" s="13" t="n">
        <v>350</v>
      </c>
      <c r="L3869" s="6" t="n">
        <f aca="false">H3869*K3869</f>
        <v>350</v>
      </c>
      <c r="M3869" s="14" t="s">
        <v>410</v>
      </c>
    </row>
    <row r="3870" customFormat="false" ht="23.85" hidden="false" customHeight="false" outlineLevel="0" collapsed="false">
      <c r="A3870" s="4" t="s">
        <v>147</v>
      </c>
      <c r="B3870" s="5" t="s">
        <v>156</v>
      </c>
      <c r="C3870" s="5" t="s">
        <v>157</v>
      </c>
      <c r="D3870" s="4" t="s">
        <v>16</v>
      </c>
      <c r="E3870" s="4" t="s">
        <v>4573</v>
      </c>
      <c r="F3870" s="4" t="s">
        <v>406</v>
      </c>
      <c r="G3870" s="4" t="s">
        <v>4574</v>
      </c>
      <c r="H3870" s="12" t="n">
        <v>1</v>
      </c>
      <c r="I3870" s="4" t="s">
        <v>408</v>
      </c>
      <c r="J3870" s="4" t="s">
        <v>409</v>
      </c>
      <c r="K3870" s="13" t="n">
        <v>450</v>
      </c>
      <c r="L3870" s="6" t="n">
        <f aca="false">H3870*K3870</f>
        <v>450</v>
      </c>
      <c r="M3870" s="14" t="s">
        <v>410</v>
      </c>
    </row>
    <row r="3871" customFormat="false" ht="23.85" hidden="false" customHeight="false" outlineLevel="0" collapsed="false">
      <c r="A3871" s="4" t="s">
        <v>147</v>
      </c>
      <c r="B3871" s="5" t="s">
        <v>156</v>
      </c>
      <c r="C3871" s="5" t="s">
        <v>157</v>
      </c>
      <c r="D3871" s="4" t="s">
        <v>16</v>
      </c>
      <c r="E3871" s="4" t="s">
        <v>2969</v>
      </c>
      <c r="F3871" s="4" t="s">
        <v>406</v>
      </c>
      <c r="G3871" s="4" t="s">
        <v>1308</v>
      </c>
      <c r="H3871" s="12" t="n">
        <v>1</v>
      </c>
      <c r="I3871" s="4" t="s">
        <v>408</v>
      </c>
      <c r="J3871" s="4" t="s">
        <v>409</v>
      </c>
      <c r="K3871" s="13" t="n">
        <v>350</v>
      </c>
      <c r="L3871" s="6" t="n">
        <f aca="false">H3871*K3871</f>
        <v>350</v>
      </c>
      <c r="M3871" s="14" t="s">
        <v>410</v>
      </c>
    </row>
    <row r="3872" customFormat="false" ht="23.85" hidden="false" customHeight="false" outlineLevel="0" collapsed="false">
      <c r="A3872" s="4" t="s">
        <v>147</v>
      </c>
      <c r="B3872" s="5" t="s">
        <v>156</v>
      </c>
      <c r="C3872" s="5" t="s">
        <v>157</v>
      </c>
      <c r="D3872" s="4" t="s">
        <v>16</v>
      </c>
      <c r="E3872" s="4" t="s">
        <v>2600</v>
      </c>
      <c r="F3872" s="4" t="s">
        <v>406</v>
      </c>
      <c r="G3872" s="4" t="s">
        <v>2601</v>
      </c>
      <c r="H3872" s="12" t="n">
        <v>1</v>
      </c>
      <c r="I3872" s="4" t="s">
        <v>408</v>
      </c>
      <c r="J3872" s="4" t="s">
        <v>409</v>
      </c>
      <c r="K3872" s="13" t="n">
        <v>350</v>
      </c>
      <c r="L3872" s="6" t="n">
        <f aca="false">H3872*K3872</f>
        <v>350</v>
      </c>
      <c r="M3872" s="4" t="s">
        <v>371</v>
      </c>
    </row>
    <row r="3873" customFormat="false" ht="23.85" hidden="false" customHeight="false" outlineLevel="0" collapsed="false">
      <c r="A3873" s="4" t="s">
        <v>147</v>
      </c>
      <c r="B3873" s="5" t="s">
        <v>156</v>
      </c>
      <c r="C3873" s="5" t="s">
        <v>157</v>
      </c>
      <c r="D3873" s="4" t="s">
        <v>16</v>
      </c>
      <c r="E3873" s="4" t="s">
        <v>4575</v>
      </c>
      <c r="F3873" s="4" t="s">
        <v>406</v>
      </c>
      <c r="G3873" s="4" t="s">
        <v>1871</v>
      </c>
      <c r="H3873" s="12" t="n">
        <v>1</v>
      </c>
      <c r="I3873" s="4" t="s">
        <v>408</v>
      </c>
      <c r="J3873" s="4" t="s">
        <v>416</v>
      </c>
      <c r="K3873" s="13" t="n">
        <v>2500</v>
      </c>
      <c r="L3873" s="6" t="n">
        <f aca="false">H3873*K3873</f>
        <v>2500</v>
      </c>
      <c r="M3873" s="14" t="s">
        <v>410</v>
      </c>
    </row>
    <row r="3874" customFormat="false" ht="23.85" hidden="false" customHeight="false" outlineLevel="0" collapsed="false">
      <c r="A3874" s="4" t="s">
        <v>147</v>
      </c>
      <c r="B3874" s="5" t="s">
        <v>156</v>
      </c>
      <c r="C3874" s="5" t="s">
        <v>157</v>
      </c>
      <c r="D3874" s="4" t="s">
        <v>16</v>
      </c>
      <c r="E3874" s="4" t="s">
        <v>4576</v>
      </c>
      <c r="F3874" s="4" t="s">
        <v>406</v>
      </c>
      <c r="G3874" s="4" t="s">
        <v>4577</v>
      </c>
      <c r="H3874" s="12" t="n">
        <v>1</v>
      </c>
      <c r="I3874" s="4" t="s">
        <v>408</v>
      </c>
      <c r="J3874" s="4" t="s">
        <v>409</v>
      </c>
      <c r="K3874" s="13" t="n">
        <v>650</v>
      </c>
      <c r="L3874" s="6" t="n">
        <f aca="false">H3874*K3874</f>
        <v>650</v>
      </c>
      <c r="M3874" s="14" t="s">
        <v>410</v>
      </c>
    </row>
    <row r="3875" customFormat="false" ht="23.85" hidden="false" customHeight="false" outlineLevel="0" collapsed="false">
      <c r="A3875" s="4" t="s">
        <v>147</v>
      </c>
      <c r="B3875" s="5" t="s">
        <v>156</v>
      </c>
      <c r="C3875" s="5" t="s">
        <v>157</v>
      </c>
      <c r="D3875" s="4" t="s">
        <v>16</v>
      </c>
      <c r="E3875" s="4" t="s">
        <v>2853</v>
      </c>
      <c r="F3875" s="4" t="s">
        <v>406</v>
      </c>
      <c r="G3875" s="4" t="s">
        <v>1209</v>
      </c>
      <c r="H3875" s="12" t="n">
        <v>1</v>
      </c>
      <c r="I3875" s="4" t="s">
        <v>408</v>
      </c>
      <c r="J3875" s="4" t="s">
        <v>409</v>
      </c>
      <c r="K3875" s="13" t="n">
        <v>850</v>
      </c>
      <c r="L3875" s="6" t="n">
        <f aca="false">H3875*K3875</f>
        <v>850</v>
      </c>
      <c r="M3875" s="14" t="s">
        <v>410</v>
      </c>
    </row>
    <row r="3876" customFormat="false" ht="23.85" hidden="false" customHeight="false" outlineLevel="0" collapsed="false">
      <c r="A3876" s="4" t="s">
        <v>147</v>
      </c>
      <c r="B3876" s="5" t="s">
        <v>156</v>
      </c>
      <c r="C3876" s="5" t="s">
        <v>157</v>
      </c>
      <c r="D3876" s="4" t="s">
        <v>16</v>
      </c>
      <c r="E3876" s="4" t="s">
        <v>4578</v>
      </c>
      <c r="F3876" s="4" t="s">
        <v>406</v>
      </c>
      <c r="G3876" s="4" t="s">
        <v>4579</v>
      </c>
      <c r="H3876" s="12" t="n">
        <v>1</v>
      </c>
      <c r="I3876" s="4" t="s">
        <v>408</v>
      </c>
      <c r="J3876" s="4" t="s">
        <v>416</v>
      </c>
      <c r="K3876" s="13" t="n">
        <v>1800</v>
      </c>
      <c r="L3876" s="6" t="n">
        <f aca="false">H3876*K3876</f>
        <v>1800</v>
      </c>
      <c r="M3876" s="4" t="s">
        <v>371</v>
      </c>
    </row>
    <row r="3877" customFormat="false" ht="23.85" hidden="false" customHeight="false" outlineLevel="0" collapsed="false">
      <c r="A3877" s="4" t="s">
        <v>147</v>
      </c>
      <c r="B3877" s="5" t="s">
        <v>156</v>
      </c>
      <c r="C3877" s="5" t="s">
        <v>157</v>
      </c>
      <c r="D3877" s="4" t="s">
        <v>16</v>
      </c>
      <c r="E3877" s="4" t="s">
        <v>4580</v>
      </c>
      <c r="F3877" s="4" t="s">
        <v>406</v>
      </c>
      <c r="G3877" s="4" t="s">
        <v>4581</v>
      </c>
      <c r="H3877" s="12" t="n">
        <v>1</v>
      </c>
      <c r="I3877" s="4" t="s">
        <v>408</v>
      </c>
      <c r="J3877" s="4" t="s">
        <v>409</v>
      </c>
      <c r="K3877" s="13" t="n">
        <v>35000</v>
      </c>
      <c r="L3877" s="6" t="n">
        <f aca="false">H3877*K3877</f>
        <v>35000</v>
      </c>
      <c r="M3877" s="4" t="s">
        <v>371</v>
      </c>
    </row>
    <row r="3878" customFormat="false" ht="23.85" hidden="false" customHeight="false" outlineLevel="0" collapsed="false">
      <c r="A3878" s="4" t="s">
        <v>147</v>
      </c>
      <c r="B3878" s="5" t="s">
        <v>156</v>
      </c>
      <c r="C3878" s="5" t="s">
        <v>157</v>
      </c>
      <c r="D3878" s="4" t="s">
        <v>16</v>
      </c>
      <c r="E3878" s="4" t="s">
        <v>4582</v>
      </c>
      <c r="F3878" s="4" t="s">
        <v>406</v>
      </c>
      <c r="G3878" s="4" t="s">
        <v>4583</v>
      </c>
      <c r="H3878" s="12" t="n">
        <v>1</v>
      </c>
      <c r="I3878" s="4" t="s">
        <v>408</v>
      </c>
      <c r="J3878" s="4" t="s">
        <v>409</v>
      </c>
      <c r="K3878" s="13" t="n">
        <v>8500</v>
      </c>
      <c r="L3878" s="6" t="n">
        <f aca="false">H3878*K3878</f>
        <v>8500</v>
      </c>
      <c r="M3878" s="14" t="s">
        <v>410</v>
      </c>
    </row>
    <row r="3879" customFormat="false" ht="23.85" hidden="false" customHeight="false" outlineLevel="0" collapsed="false">
      <c r="A3879" s="4" t="s">
        <v>147</v>
      </c>
      <c r="B3879" s="5" t="s">
        <v>156</v>
      </c>
      <c r="C3879" s="5" t="s">
        <v>157</v>
      </c>
      <c r="D3879" s="4" t="s">
        <v>16</v>
      </c>
      <c r="E3879" s="4" t="s">
        <v>1062</v>
      </c>
      <c r="F3879" s="4" t="s">
        <v>406</v>
      </c>
      <c r="G3879" s="4" t="s">
        <v>1063</v>
      </c>
      <c r="H3879" s="12" t="n">
        <v>1</v>
      </c>
      <c r="I3879" s="4" t="s">
        <v>408</v>
      </c>
      <c r="J3879" s="4" t="s">
        <v>409</v>
      </c>
      <c r="K3879" s="13" t="n">
        <v>6500</v>
      </c>
      <c r="L3879" s="6" t="n">
        <f aca="false">H3879*K3879</f>
        <v>6500</v>
      </c>
      <c r="M3879" s="14" t="s">
        <v>410</v>
      </c>
    </row>
    <row r="3880" customFormat="false" ht="23.85" hidden="false" customHeight="false" outlineLevel="0" collapsed="false">
      <c r="A3880" s="4" t="s">
        <v>147</v>
      </c>
      <c r="B3880" s="5" t="s">
        <v>156</v>
      </c>
      <c r="C3880" s="5" t="s">
        <v>157</v>
      </c>
      <c r="D3880" s="4" t="s">
        <v>16</v>
      </c>
      <c r="E3880" s="4" t="s">
        <v>4584</v>
      </c>
      <c r="F3880" s="4" t="s">
        <v>406</v>
      </c>
      <c r="G3880" s="4" t="s">
        <v>4585</v>
      </c>
      <c r="H3880" s="12" t="n">
        <v>1</v>
      </c>
      <c r="I3880" s="4" t="s">
        <v>408</v>
      </c>
      <c r="J3880" s="4" t="s">
        <v>409</v>
      </c>
      <c r="K3880" s="13" t="n">
        <v>1800</v>
      </c>
      <c r="L3880" s="6" t="n">
        <f aca="false">H3880*K3880</f>
        <v>1800</v>
      </c>
      <c r="M3880" s="4" t="s">
        <v>371</v>
      </c>
    </row>
    <row r="3881" customFormat="false" ht="23.85" hidden="false" customHeight="false" outlineLevel="0" collapsed="false">
      <c r="A3881" s="4" t="s">
        <v>147</v>
      </c>
      <c r="B3881" s="5" t="s">
        <v>156</v>
      </c>
      <c r="C3881" s="5" t="s">
        <v>157</v>
      </c>
      <c r="D3881" s="4" t="s">
        <v>16</v>
      </c>
      <c r="E3881" s="4" t="s">
        <v>4586</v>
      </c>
      <c r="F3881" s="4" t="s">
        <v>406</v>
      </c>
      <c r="G3881" s="4" t="s">
        <v>2703</v>
      </c>
      <c r="H3881" s="12" t="n">
        <v>1</v>
      </c>
      <c r="I3881" s="4" t="s">
        <v>408</v>
      </c>
      <c r="J3881" s="4" t="s">
        <v>409</v>
      </c>
      <c r="K3881" s="13" t="n">
        <v>8500</v>
      </c>
      <c r="L3881" s="6" t="n">
        <f aca="false">H3881*K3881</f>
        <v>8500</v>
      </c>
      <c r="M3881" s="14" t="s">
        <v>410</v>
      </c>
    </row>
    <row r="3882" customFormat="false" ht="23.85" hidden="false" customHeight="false" outlineLevel="0" collapsed="false">
      <c r="A3882" s="4" t="s">
        <v>147</v>
      </c>
      <c r="B3882" s="5" t="s">
        <v>156</v>
      </c>
      <c r="C3882" s="5" t="s">
        <v>157</v>
      </c>
      <c r="D3882" s="4" t="s">
        <v>16</v>
      </c>
      <c r="E3882" s="4" t="s">
        <v>4587</v>
      </c>
      <c r="F3882" s="4" t="s">
        <v>406</v>
      </c>
      <c r="G3882" s="4" t="s">
        <v>4588</v>
      </c>
      <c r="H3882" s="12" t="n">
        <v>1</v>
      </c>
      <c r="I3882" s="4" t="s">
        <v>408</v>
      </c>
      <c r="J3882" s="4" t="s">
        <v>409</v>
      </c>
      <c r="K3882" s="13" t="n">
        <v>4500</v>
      </c>
      <c r="L3882" s="6" t="n">
        <f aca="false">H3882*K3882</f>
        <v>4500</v>
      </c>
      <c r="M3882" s="14" t="s">
        <v>410</v>
      </c>
    </row>
    <row r="3883" customFormat="false" ht="23.85" hidden="false" customHeight="false" outlineLevel="0" collapsed="false">
      <c r="A3883" s="4" t="s">
        <v>147</v>
      </c>
      <c r="B3883" s="5" t="s">
        <v>156</v>
      </c>
      <c r="C3883" s="5" t="s">
        <v>157</v>
      </c>
      <c r="D3883" s="4" t="s">
        <v>16</v>
      </c>
      <c r="E3883" s="4" t="s">
        <v>1697</v>
      </c>
      <c r="F3883" s="4" t="s">
        <v>470</v>
      </c>
      <c r="G3883" s="4" t="s">
        <v>1698</v>
      </c>
      <c r="H3883" s="12" t="n">
        <v>1</v>
      </c>
      <c r="I3883" s="4" t="s">
        <v>408</v>
      </c>
      <c r="J3883" s="4" t="s">
        <v>409</v>
      </c>
      <c r="K3883" s="13" t="n">
        <v>45000</v>
      </c>
      <c r="L3883" s="6" t="n">
        <f aca="false">H3883*K3883</f>
        <v>45000</v>
      </c>
      <c r="M3883" s="14" t="s">
        <v>410</v>
      </c>
    </row>
    <row r="3884" customFormat="false" ht="23.85" hidden="false" customHeight="false" outlineLevel="0" collapsed="false">
      <c r="A3884" s="4" t="s">
        <v>147</v>
      </c>
      <c r="B3884" s="5" t="s">
        <v>156</v>
      </c>
      <c r="C3884" s="5" t="s">
        <v>157</v>
      </c>
      <c r="D3884" s="4" t="s">
        <v>16</v>
      </c>
      <c r="E3884" s="4" t="s">
        <v>1699</v>
      </c>
      <c r="F3884" s="4" t="s">
        <v>470</v>
      </c>
      <c r="G3884" s="4" t="s">
        <v>1700</v>
      </c>
      <c r="H3884" s="12" t="n">
        <v>1</v>
      </c>
      <c r="I3884" s="4" t="s">
        <v>408</v>
      </c>
      <c r="J3884" s="4" t="s">
        <v>409</v>
      </c>
      <c r="K3884" s="13" t="n">
        <v>55000</v>
      </c>
      <c r="L3884" s="6" t="n">
        <f aca="false">H3884*K3884</f>
        <v>55000</v>
      </c>
      <c r="M3884" s="14" t="s">
        <v>410</v>
      </c>
    </row>
    <row r="3885" customFormat="false" ht="23.85" hidden="false" customHeight="false" outlineLevel="0" collapsed="false">
      <c r="A3885" s="4" t="s">
        <v>147</v>
      </c>
      <c r="B3885" s="5" t="s">
        <v>156</v>
      </c>
      <c r="C3885" s="5" t="s">
        <v>157</v>
      </c>
      <c r="D3885" s="4" t="s">
        <v>16</v>
      </c>
      <c r="E3885" s="4" t="s">
        <v>4589</v>
      </c>
      <c r="F3885" s="4" t="s">
        <v>470</v>
      </c>
      <c r="G3885" s="4" t="s">
        <v>4590</v>
      </c>
      <c r="H3885" s="12" t="n">
        <v>1</v>
      </c>
      <c r="I3885" s="4" t="s">
        <v>408</v>
      </c>
      <c r="J3885" s="4" t="s">
        <v>409</v>
      </c>
      <c r="K3885" s="13" t="n">
        <v>850</v>
      </c>
      <c r="L3885" s="6" t="n">
        <f aca="false">H3885*K3885</f>
        <v>850</v>
      </c>
      <c r="M3885" s="14" t="s">
        <v>410</v>
      </c>
    </row>
    <row r="3886" customFormat="false" ht="23.85" hidden="false" customHeight="false" outlineLevel="0" collapsed="false">
      <c r="A3886" s="4" t="s">
        <v>147</v>
      </c>
      <c r="B3886" s="5" t="s">
        <v>156</v>
      </c>
      <c r="C3886" s="5" t="s">
        <v>157</v>
      </c>
      <c r="D3886" s="4" t="s">
        <v>16</v>
      </c>
      <c r="E3886" s="4" t="s">
        <v>4591</v>
      </c>
      <c r="F3886" s="4" t="s">
        <v>470</v>
      </c>
      <c r="G3886" s="4" t="s">
        <v>4592</v>
      </c>
      <c r="H3886" s="12" t="n">
        <v>1</v>
      </c>
      <c r="I3886" s="4" t="s">
        <v>408</v>
      </c>
      <c r="J3886" s="4" t="s">
        <v>409</v>
      </c>
      <c r="K3886" s="13" t="n">
        <v>180</v>
      </c>
      <c r="L3886" s="6" t="n">
        <f aca="false">H3886*K3886</f>
        <v>180</v>
      </c>
      <c r="M3886" s="14" t="s">
        <v>410</v>
      </c>
    </row>
    <row r="3887" customFormat="false" ht="23.85" hidden="false" customHeight="false" outlineLevel="0" collapsed="false">
      <c r="A3887" s="4" t="s">
        <v>147</v>
      </c>
      <c r="B3887" s="5" t="s">
        <v>156</v>
      </c>
      <c r="C3887" s="5" t="s">
        <v>157</v>
      </c>
      <c r="D3887" s="4" t="s">
        <v>16</v>
      </c>
      <c r="E3887" s="4" t="s">
        <v>4593</v>
      </c>
      <c r="F3887" s="4" t="s">
        <v>470</v>
      </c>
      <c r="G3887" s="4" t="s">
        <v>4594</v>
      </c>
      <c r="H3887" s="12" t="n">
        <v>1</v>
      </c>
      <c r="I3887" s="4" t="s">
        <v>408</v>
      </c>
      <c r="J3887" s="4" t="s">
        <v>409</v>
      </c>
      <c r="K3887" s="13" t="n">
        <v>2500</v>
      </c>
      <c r="L3887" s="6" t="n">
        <f aca="false">H3887*K3887</f>
        <v>2500</v>
      </c>
      <c r="M3887" s="14" t="s">
        <v>410</v>
      </c>
    </row>
    <row r="3888" customFormat="false" ht="23.85" hidden="false" customHeight="false" outlineLevel="0" collapsed="false">
      <c r="A3888" s="4" t="s">
        <v>147</v>
      </c>
      <c r="B3888" s="5" t="s">
        <v>156</v>
      </c>
      <c r="C3888" s="5" t="s">
        <v>157</v>
      </c>
      <c r="D3888" s="4" t="s">
        <v>16</v>
      </c>
      <c r="E3888" s="4" t="s">
        <v>4595</v>
      </c>
      <c r="F3888" s="4" t="s">
        <v>470</v>
      </c>
      <c r="G3888" s="4" t="s">
        <v>4596</v>
      </c>
      <c r="H3888" s="12" t="n">
        <v>1</v>
      </c>
      <c r="I3888" s="4" t="s">
        <v>408</v>
      </c>
      <c r="J3888" s="4" t="s">
        <v>409</v>
      </c>
      <c r="K3888" s="13" t="n">
        <v>45000</v>
      </c>
      <c r="L3888" s="6" t="n">
        <f aca="false">H3888*K3888</f>
        <v>45000</v>
      </c>
      <c r="M3888" s="4" t="s">
        <v>371</v>
      </c>
    </row>
    <row r="3889" customFormat="false" ht="23.85" hidden="false" customHeight="false" outlineLevel="0" collapsed="false">
      <c r="A3889" s="4" t="s">
        <v>147</v>
      </c>
      <c r="B3889" s="5" t="s">
        <v>156</v>
      </c>
      <c r="C3889" s="5" t="s">
        <v>157</v>
      </c>
      <c r="D3889" s="4" t="s">
        <v>16</v>
      </c>
      <c r="E3889" s="4" t="s">
        <v>4597</v>
      </c>
      <c r="F3889" s="4" t="s">
        <v>470</v>
      </c>
      <c r="G3889" s="4" t="s">
        <v>4598</v>
      </c>
      <c r="H3889" s="12" t="n">
        <v>1</v>
      </c>
      <c r="I3889" s="4" t="s">
        <v>408</v>
      </c>
      <c r="J3889" s="4" t="s">
        <v>409</v>
      </c>
      <c r="K3889" s="13" t="n">
        <v>55000</v>
      </c>
      <c r="L3889" s="6" t="n">
        <f aca="false">H3889*K3889</f>
        <v>55000</v>
      </c>
      <c r="M3889" s="14" t="s">
        <v>410</v>
      </c>
    </row>
    <row r="3890" customFormat="false" ht="23.85" hidden="false" customHeight="false" outlineLevel="0" collapsed="false">
      <c r="A3890" s="4" t="s">
        <v>147</v>
      </c>
      <c r="B3890" s="5" t="s">
        <v>156</v>
      </c>
      <c r="C3890" s="5" t="s">
        <v>157</v>
      </c>
      <c r="D3890" s="4" t="s">
        <v>16</v>
      </c>
      <c r="E3890" s="4" t="s">
        <v>4599</v>
      </c>
      <c r="F3890" s="4" t="s">
        <v>470</v>
      </c>
      <c r="G3890" s="4" t="s">
        <v>4600</v>
      </c>
      <c r="H3890" s="12" t="n">
        <v>1</v>
      </c>
      <c r="I3890" s="4" t="s">
        <v>408</v>
      </c>
      <c r="J3890" s="4" t="s">
        <v>409</v>
      </c>
      <c r="K3890" s="13" t="n">
        <v>18000</v>
      </c>
      <c r="L3890" s="6" t="n">
        <f aca="false">H3890*K3890</f>
        <v>18000</v>
      </c>
      <c r="M3890" s="14" t="s">
        <v>410</v>
      </c>
    </row>
    <row r="3891" customFormat="false" ht="23.85" hidden="false" customHeight="false" outlineLevel="0" collapsed="false">
      <c r="A3891" s="4" t="s">
        <v>147</v>
      </c>
      <c r="B3891" s="5" t="s">
        <v>156</v>
      </c>
      <c r="C3891" s="5" t="s">
        <v>157</v>
      </c>
      <c r="D3891" s="4" t="s">
        <v>16</v>
      </c>
      <c r="E3891" s="4" t="s">
        <v>4601</v>
      </c>
      <c r="F3891" s="4" t="s">
        <v>470</v>
      </c>
      <c r="G3891" s="4" t="s">
        <v>4602</v>
      </c>
      <c r="H3891" s="12" t="n">
        <v>1</v>
      </c>
      <c r="I3891" s="4" t="s">
        <v>408</v>
      </c>
      <c r="J3891" s="4" t="s">
        <v>409</v>
      </c>
      <c r="K3891" s="13" t="n">
        <v>8500</v>
      </c>
      <c r="L3891" s="6" t="n">
        <f aca="false">H3891*K3891</f>
        <v>8500</v>
      </c>
      <c r="M3891" s="14" t="s">
        <v>410</v>
      </c>
    </row>
    <row r="3892" customFormat="false" ht="23.85" hidden="false" customHeight="false" outlineLevel="0" collapsed="false">
      <c r="A3892" s="4" t="s">
        <v>147</v>
      </c>
      <c r="B3892" s="5" t="s">
        <v>156</v>
      </c>
      <c r="C3892" s="5" t="s">
        <v>157</v>
      </c>
      <c r="D3892" s="4" t="s">
        <v>16</v>
      </c>
      <c r="E3892" s="4" t="s">
        <v>4603</v>
      </c>
      <c r="F3892" s="4" t="s">
        <v>470</v>
      </c>
      <c r="G3892" s="4" t="s">
        <v>4604</v>
      </c>
      <c r="H3892" s="12" t="n">
        <v>1</v>
      </c>
      <c r="I3892" s="4" t="s">
        <v>408</v>
      </c>
      <c r="J3892" s="4" t="s">
        <v>409</v>
      </c>
      <c r="K3892" s="13" t="n">
        <v>25000</v>
      </c>
      <c r="L3892" s="6" t="n">
        <f aca="false">H3892*K3892</f>
        <v>25000</v>
      </c>
      <c r="M3892" s="14" t="s">
        <v>410</v>
      </c>
    </row>
    <row r="3893" customFormat="false" ht="23.85" hidden="false" customHeight="false" outlineLevel="0" collapsed="false">
      <c r="A3893" s="4" t="s">
        <v>147</v>
      </c>
      <c r="B3893" s="5" t="s">
        <v>156</v>
      </c>
      <c r="C3893" s="5" t="s">
        <v>157</v>
      </c>
      <c r="D3893" s="4" t="s">
        <v>16</v>
      </c>
      <c r="E3893" s="4" t="s">
        <v>4605</v>
      </c>
      <c r="F3893" s="4" t="s">
        <v>470</v>
      </c>
      <c r="G3893" s="4" t="s">
        <v>4606</v>
      </c>
      <c r="H3893" s="12" t="n">
        <v>1</v>
      </c>
      <c r="I3893" s="4" t="s">
        <v>408</v>
      </c>
      <c r="J3893" s="4" t="s">
        <v>409</v>
      </c>
      <c r="K3893" s="13" t="n">
        <v>8500</v>
      </c>
      <c r="L3893" s="6" t="n">
        <f aca="false">H3893*K3893</f>
        <v>8500</v>
      </c>
      <c r="M3893" s="14" t="s">
        <v>410</v>
      </c>
    </row>
    <row r="3894" customFormat="false" ht="23.85" hidden="false" customHeight="false" outlineLevel="0" collapsed="false">
      <c r="A3894" s="4" t="s">
        <v>147</v>
      </c>
      <c r="B3894" s="5" t="s">
        <v>156</v>
      </c>
      <c r="C3894" s="5" t="s">
        <v>157</v>
      </c>
      <c r="D3894" s="4" t="s">
        <v>16</v>
      </c>
      <c r="E3894" s="4" t="s">
        <v>4607</v>
      </c>
      <c r="F3894" s="4" t="s">
        <v>470</v>
      </c>
      <c r="G3894" s="4" t="s">
        <v>1629</v>
      </c>
      <c r="H3894" s="12" t="n">
        <v>1</v>
      </c>
      <c r="I3894" s="4" t="s">
        <v>408</v>
      </c>
      <c r="J3894" s="4" t="s">
        <v>409</v>
      </c>
      <c r="K3894" s="13" t="n">
        <v>8500</v>
      </c>
      <c r="L3894" s="6" t="n">
        <f aca="false">H3894*K3894</f>
        <v>8500</v>
      </c>
      <c r="M3894" s="14" t="s">
        <v>410</v>
      </c>
    </row>
    <row r="3895" customFormat="false" ht="23.85" hidden="false" customHeight="false" outlineLevel="0" collapsed="false">
      <c r="A3895" s="4" t="s">
        <v>147</v>
      </c>
      <c r="B3895" s="5" t="s">
        <v>156</v>
      </c>
      <c r="C3895" s="5" t="s">
        <v>157</v>
      </c>
      <c r="D3895" s="4" t="s">
        <v>16</v>
      </c>
      <c r="E3895" s="4" t="s">
        <v>4608</v>
      </c>
      <c r="F3895" s="4" t="s">
        <v>470</v>
      </c>
      <c r="G3895" s="4" t="s">
        <v>4609</v>
      </c>
      <c r="H3895" s="12" t="n">
        <v>1</v>
      </c>
      <c r="I3895" s="4" t="s">
        <v>408</v>
      </c>
      <c r="J3895" s="4" t="s">
        <v>543</v>
      </c>
      <c r="K3895" s="13" t="n">
        <v>8500</v>
      </c>
      <c r="L3895" s="6" t="n">
        <f aca="false">H3895*K3895</f>
        <v>8500</v>
      </c>
      <c r="M3895" s="4" t="s">
        <v>371</v>
      </c>
    </row>
    <row r="3896" customFormat="false" ht="23.85" hidden="false" customHeight="false" outlineLevel="0" collapsed="false">
      <c r="A3896" s="4" t="s">
        <v>147</v>
      </c>
      <c r="B3896" s="5" t="s">
        <v>156</v>
      </c>
      <c r="C3896" s="5" t="s">
        <v>157</v>
      </c>
      <c r="D3896" s="4" t="s">
        <v>16</v>
      </c>
      <c r="E3896" s="4" t="s">
        <v>4610</v>
      </c>
      <c r="F3896" s="4" t="s">
        <v>470</v>
      </c>
      <c r="G3896" s="4" t="s">
        <v>4611</v>
      </c>
      <c r="H3896" s="12" t="n">
        <v>1</v>
      </c>
      <c r="I3896" s="4" t="s">
        <v>408</v>
      </c>
      <c r="J3896" s="4" t="s">
        <v>2810</v>
      </c>
      <c r="K3896" s="13" t="n">
        <v>0</v>
      </c>
      <c r="L3896" s="6" t="n">
        <f aca="false">H3896*K3896</f>
        <v>0</v>
      </c>
      <c r="M3896" s="4" t="s">
        <v>371</v>
      </c>
    </row>
    <row r="3897" customFormat="false" ht="23.85" hidden="false" customHeight="false" outlineLevel="0" collapsed="false">
      <c r="A3897" s="4" t="s">
        <v>147</v>
      </c>
      <c r="B3897" s="5" t="s">
        <v>156</v>
      </c>
      <c r="C3897" s="5" t="s">
        <v>157</v>
      </c>
      <c r="D3897" s="4" t="s">
        <v>16</v>
      </c>
      <c r="E3897" s="4" t="s">
        <v>4612</v>
      </c>
      <c r="F3897" s="4" t="s">
        <v>470</v>
      </c>
      <c r="G3897" s="4" t="s">
        <v>4613</v>
      </c>
      <c r="H3897" s="12" t="n">
        <v>1</v>
      </c>
      <c r="I3897" s="4" t="s">
        <v>408</v>
      </c>
      <c r="J3897" s="4" t="s">
        <v>543</v>
      </c>
      <c r="K3897" s="13" t="n">
        <v>1200</v>
      </c>
      <c r="L3897" s="6" t="n">
        <f aca="false">H3897*K3897</f>
        <v>1200</v>
      </c>
      <c r="M3897" s="4" t="s">
        <v>371</v>
      </c>
    </row>
    <row r="3898" customFormat="false" ht="23.85" hidden="false" customHeight="false" outlineLevel="0" collapsed="false">
      <c r="A3898" s="4" t="s">
        <v>147</v>
      </c>
      <c r="B3898" s="5" t="s">
        <v>156</v>
      </c>
      <c r="C3898" s="5" t="s">
        <v>157</v>
      </c>
      <c r="D3898" s="4" t="s">
        <v>16</v>
      </c>
      <c r="E3898" s="4" t="s">
        <v>1096</v>
      </c>
      <c r="F3898" s="4" t="s">
        <v>470</v>
      </c>
      <c r="G3898" s="4" t="s">
        <v>1097</v>
      </c>
      <c r="H3898" s="12" t="n">
        <v>1</v>
      </c>
      <c r="I3898" s="4" t="s">
        <v>408</v>
      </c>
      <c r="J3898" s="4" t="s">
        <v>475</v>
      </c>
      <c r="K3898" s="13" t="n">
        <v>350</v>
      </c>
      <c r="L3898" s="6" t="n">
        <f aca="false">H3898*K3898</f>
        <v>350</v>
      </c>
      <c r="M3898" s="4" t="s">
        <v>371</v>
      </c>
    </row>
    <row r="3899" customFormat="false" ht="23.85" hidden="false" customHeight="false" outlineLevel="0" collapsed="false">
      <c r="A3899" s="4" t="s">
        <v>147</v>
      </c>
      <c r="B3899" s="5" t="s">
        <v>156</v>
      </c>
      <c r="C3899" s="5" t="s">
        <v>157</v>
      </c>
      <c r="D3899" s="4" t="s">
        <v>16</v>
      </c>
      <c r="E3899" s="4" t="s">
        <v>472</v>
      </c>
      <c r="F3899" s="4" t="s">
        <v>470</v>
      </c>
      <c r="G3899" s="4" t="s">
        <v>473</v>
      </c>
      <c r="H3899" s="12" t="n">
        <v>1</v>
      </c>
      <c r="I3899" s="4" t="s">
        <v>408</v>
      </c>
      <c r="J3899" s="4" t="s">
        <v>475</v>
      </c>
      <c r="K3899" s="13" t="n">
        <v>180</v>
      </c>
      <c r="L3899" s="6" t="n">
        <f aca="false">H3899*K3899</f>
        <v>180</v>
      </c>
      <c r="M3899" s="4" t="s">
        <v>371</v>
      </c>
    </row>
    <row r="3900" customFormat="false" ht="23.85" hidden="false" customHeight="false" outlineLevel="0" collapsed="false">
      <c r="A3900" s="4" t="s">
        <v>147</v>
      </c>
      <c r="B3900" s="5" t="s">
        <v>156</v>
      </c>
      <c r="C3900" s="5" t="s">
        <v>157</v>
      </c>
      <c r="D3900" s="4" t="s">
        <v>16</v>
      </c>
      <c r="E3900" s="4" t="s">
        <v>4614</v>
      </c>
      <c r="F3900" s="4" t="s">
        <v>470</v>
      </c>
      <c r="G3900" s="4" t="s">
        <v>4615</v>
      </c>
      <c r="H3900" s="12" t="n">
        <v>1</v>
      </c>
      <c r="I3900" s="4" t="s">
        <v>408</v>
      </c>
      <c r="J3900" s="4" t="s">
        <v>409</v>
      </c>
      <c r="K3900" s="13" t="n">
        <v>180</v>
      </c>
      <c r="L3900" s="6" t="n">
        <f aca="false">H3900*K3900</f>
        <v>180</v>
      </c>
      <c r="M3900" s="4" t="s">
        <v>371</v>
      </c>
    </row>
    <row r="3901" customFormat="false" ht="23.85" hidden="false" customHeight="false" outlineLevel="0" collapsed="false">
      <c r="A3901" s="4" t="s">
        <v>147</v>
      </c>
      <c r="B3901" s="5" t="s">
        <v>156</v>
      </c>
      <c r="C3901" s="5" t="s">
        <v>157</v>
      </c>
      <c r="D3901" s="4" t="s">
        <v>16</v>
      </c>
      <c r="E3901" s="4" t="s">
        <v>478</v>
      </c>
      <c r="F3901" s="4" t="s">
        <v>470</v>
      </c>
      <c r="G3901" s="4" t="s">
        <v>479</v>
      </c>
      <c r="H3901" s="12" t="n">
        <v>1</v>
      </c>
      <c r="I3901" s="4" t="s">
        <v>408</v>
      </c>
      <c r="J3901" s="4" t="s">
        <v>480</v>
      </c>
      <c r="K3901" s="13" t="n">
        <v>180</v>
      </c>
      <c r="L3901" s="6" t="n">
        <f aca="false">H3901*K3901</f>
        <v>180</v>
      </c>
      <c r="M3901" s="4" t="s">
        <v>371</v>
      </c>
    </row>
    <row r="3902" customFormat="false" ht="23.85" hidden="false" customHeight="false" outlineLevel="0" collapsed="false">
      <c r="A3902" s="4" t="s">
        <v>147</v>
      </c>
      <c r="B3902" s="5" t="s">
        <v>156</v>
      </c>
      <c r="C3902" s="5" t="s">
        <v>157</v>
      </c>
      <c r="D3902" s="4" t="s">
        <v>16</v>
      </c>
      <c r="E3902" s="4" t="s">
        <v>1072</v>
      </c>
      <c r="F3902" s="4" t="s">
        <v>470</v>
      </c>
      <c r="G3902" s="4" t="s">
        <v>1073</v>
      </c>
      <c r="H3902" s="12" t="n">
        <v>1</v>
      </c>
      <c r="I3902" s="4" t="s">
        <v>408</v>
      </c>
      <c r="J3902" s="4" t="s">
        <v>475</v>
      </c>
      <c r="K3902" s="13" t="n">
        <v>450</v>
      </c>
      <c r="L3902" s="6" t="n">
        <f aca="false">H3902*K3902</f>
        <v>450</v>
      </c>
      <c r="M3902" s="4" t="s">
        <v>371</v>
      </c>
    </row>
    <row r="3903" customFormat="false" ht="23.85" hidden="false" customHeight="false" outlineLevel="0" collapsed="false">
      <c r="A3903" s="4" t="s">
        <v>147</v>
      </c>
      <c r="B3903" s="5" t="s">
        <v>156</v>
      </c>
      <c r="C3903" s="5" t="s">
        <v>157</v>
      </c>
      <c r="D3903" s="4" t="s">
        <v>16</v>
      </c>
      <c r="E3903" s="4" t="s">
        <v>1074</v>
      </c>
      <c r="F3903" s="4" t="s">
        <v>470</v>
      </c>
      <c r="G3903" s="4" t="s">
        <v>1075</v>
      </c>
      <c r="H3903" s="12" t="n">
        <v>1</v>
      </c>
      <c r="I3903" s="4" t="s">
        <v>408</v>
      </c>
      <c r="J3903" s="4" t="s">
        <v>409</v>
      </c>
      <c r="K3903" s="13" t="n">
        <v>850</v>
      </c>
      <c r="L3903" s="6" t="n">
        <f aca="false">H3903*K3903</f>
        <v>850</v>
      </c>
      <c r="M3903" s="4" t="s">
        <v>371</v>
      </c>
    </row>
    <row r="3904" customFormat="false" ht="23.85" hidden="false" customHeight="false" outlineLevel="0" collapsed="false">
      <c r="A3904" s="4" t="s">
        <v>147</v>
      </c>
      <c r="B3904" s="5" t="s">
        <v>156</v>
      </c>
      <c r="C3904" s="5" t="s">
        <v>157</v>
      </c>
      <c r="D3904" s="4" t="s">
        <v>16</v>
      </c>
      <c r="E3904" s="4" t="s">
        <v>1636</v>
      </c>
      <c r="F3904" s="4" t="s">
        <v>470</v>
      </c>
      <c r="G3904" s="4" t="s">
        <v>1637</v>
      </c>
      <c r="H3904" s="12" t="n">
        <v>1</v>
      </c>
      <c r="I3904" s="4" t="s">
        <v>408</v>
      </c>
      <c r="J3904" s="4" t="s">
        <v>475</v>
      </c>
      <c r="K3904" s="13" t="n">
        <v>180</v>
      </c>
      <c r="L3904" s="6" t="n">
        <f aca="false">H3904*K3904</f>
        <v>180</v>
      </c>
      <c r="M3904" s="4" t="s">
        <v>371</v>
      </c>
    </row>
    <row r="3905" customFormat="false" ht="23.85" hidden="false" customHeight="false" outlineLevel="0" collapsed="false">
      <c r="A3905" s="4" t="s">
        <v>147</v>
      </c>
      <c r="B3905" s="5" t="s">
        <v>156</v>
      </c>
      <c r="C3905" s="5" t="s">
        <v>157</v>
      </c>
      <c r="D3905" s="4" t="s">
        <v>16</v>
      </c>
      <c r="E3905" s="4" t="s">
        <v>1638</v>
      </c>
      <c r="F3905" s="4" t="s">
        <v>470</v>
      </c>
      <c r="G3905" s="4" t="s">
        <v>1639</v>
      </c>
      <c r="H3905" s="12" t="n">
        <v>1</v>
      </c>
      <c r="I3905" s="4" t="s">
        <v>408</v>
      </c>
      <c r="J3905" s="4" t="s">
        <v>475</v>
      </c>
      <c r="K3905" s="13" t="n">
        <v>2500</v>
      </c>
      <c r="L3905" s="6" t="n">
        <f aca="false">H3905*K3905</f>
        <v>2500</v>
      </c>
      <c r="M3905" s="4" t="s">
        <v>371</v>
      </c>
    </row>
    <row r="3906" customFormat="false" ht="23.85" hidden="false" customHeight="false" outlineLevel="0" collapsed="false">
      <c r="A3906" s="4" t="s">
        <v>147</v>
      </c>
      <c r="B3906" s="5" t="s">
        <v>156</v>
      </c>
      <c r="C3906" s="5" t="s">
        <v>157</v>
      </c>
      <c r="D3906" s="4" t="s">
        <v>16</v>
      </c>
      <c r="E3906" s="4" t="s">
        <v>1640</v>
      </c>
      <c r="F3906" s="4" t="s">
        <v>470</v>
      </c>
      <c r="G3906" s="4" t="s">
        <v>1641</v>
      </c>
      <c r="H3906" s="12" t="n">
        <v>1</v>
      </c>
      <c r="I3906" s="4" t="s">
        <v>408</v>
      </c>
      <c r="J3906" s="4" t="s">
        <v>416</v>
      </c>
      <c r="K3906" s="13" t="n">
        <v>450</v>
      </c>
      <c r="L3906" s="6" t="n">
        <f aca="false">H3906*K3906</f>
        <v>450</v>
      </c>
      <c r="M3906" s="4" t="s">
        <v>371</v>
      </c>
    </row>
    <row r="3907" customFormat="false" ht="23.85" hidden="false" customHeight="false" outlineLevel="0" collapsed="false">
      <c r="A3907" s="4" t="s">
        <v>147</v>
      </c>
      <c r="B3907" s="5" t="s">
        <v>156</v>
      </c>
      <c r="C3907" s="5" t="s">
        <v>157</v>
      </c>
      <c r="D3907" s="4" t="s">
        <v>16</v>
      </c>
      <c r="E3907" s="4" t="s">
        <v>1089</v>
      </c>
      <c r="F3907" s="4" t="s">
        <v>470</v>
      </c>
      <c r="G3907" s="4" t="s">
        <v>1090</v>
      </c>
      <c r="H3907" s="12" t="n">
        <v>1</v>
      </c>
      <c r="I3907" s="4" t="s">
        <v>408</v>
      </c>
      <c r="J3907" s="4" t="s">
        <v>409</v>
      </c>
      <c r="K3907" s="13" t="n">
        <v>3500</v>
      </c>
      <c r="L3907" s="6" t="n">
        <f aca="false">H3907*K3907</f>
        <v>3500</v>
      </c>
      <c r="M3907" s="4" t="s">
        <v>371</v>
      </c>
    </row>
    <row r="3908" customFormat="false" ht="23.85" hidden="false" customHeight="false" outlineLevel="0" collapsed="false">
      <c r="A3908" s="4" t="s">
        <v>147</v>
      </c>
      <c r="B3908" s="5" t="s">
        <v>156</v>
      </c>
      <c r="C3908" s="5" t="s">
        <v>157</v>
      </c>
      <c r="D3908" s="4" t="s">
        <v>16</v>
      </c>
      <c r="E3908" s="4" t="s">
        <v>1451</v>
      </c>
      <c r="F3908" s="4" t="s">
        <v>470</v>
      </c>
      <c r="G3908" s="4" t="s">
        <v>1452</v>
      </c>
      <c r="H3908" s="12" t="n">
        <v>1</v>
      </c>
      <c r="I3908" s="4" t="s">
        <v>408</v>
      </c>
      <c r="J3908" s="4" t="s">
        <v>413</v>
      </c>
      <c r="K3908" s="13" t="n">
        <v>450</v>
      </c>
      <c r="L3908" s="6" t="n">
        <f aca="false">H3908*K3908</f>
        <v>450</v>
      </c>
      <c r="M3908" s="4" t="s">
        <v>371</v>
      </c>
    </row>
    <row r="3909" customFormat="false" ht="23.85" hidden="false" customHeight="false" outlineLevel="0" collapsed="false">
      <c r="A3909" s="4" t="s">
        <v>147</v>
      </c>
      <c r="B3909" s="5" t="s">
        <v>156</v>
      </c>
      <c r="C3909" s="5" t="s">
        <v>157</v>
      </c>
      <c r="D3909" s="4" t="s">
        <v>16</v>
      </c>
      <c r="E3909" s="4" t="s">
        <v>4616</v>
      </c>
      <c r="F3909" s="4" t="s">
        <v>470</v>
      </c>
      <c r="G3909" s="4" t="s">
        <v>4617</v>
      </c>
      <c r="H3909" s="12" t="n">
        <v>1</v>
      </c>
      <c r="I3909" s="4" t="s">
        <v>408</v>
      </c>
      <c r="J3909" s="4" t="s">
        <v>416</v>
      </c>
      <c r="K3909" s="13" t="n">
        <v>4500</v>
      </c>
      <c r="L3909" s="6" t="n">
        <f aca="false">H3909*K3909</f>
        <v>4500</v>
      </c>
      <c r="M3909" s="4" t="s">
        <v>371</v>
      </c>
    </row>
    <row r="3910" customFormat="false" ht="23.85" hidden="false" customHeight="false" outlineLevel="0" collapsed="false">
      <c r="A3910" s="4" t="s">
        <v>147</v>
      </c>
      <c r="B3910" s="5" t="s">
        <v>156</v>
      </c>
      <c r="C3910" s="5" t="s">
        <v>157</v>
      </c>
      <c r="D3910" s="4" t="s">
        <v>16</v>
      </c>
      <c r="E3910" s="4" t="s">
        <v>4618</v>
      </c>
      <c r="F3910" s="4" t="s">
        <v>470</v>
      </c>
      <c r="G3910" s="4" t="s">
        <v>4619</v>
      </c>
      <c r="H3910" s="12" t="n">
        <v>1</v>
      </c>
      <c r="I3910" s="4" t="s">
        <v>408</v>
      </c>
      <c r="J3910" s="4" t="s">
        <v>416</v>
      </c>
      <c r="K3910" s="13" t="n">
        <v>1800</v>
      </c>
      <c r="L3910" s="6" t="n">
        <f aca="false">H3910*K3910</f>
        <v>1800</v>
      </c>
      <c r="M3910" s="4" t="s">
        <v>371</v>
      </c>
    </row>
    <row r="3911" customFormat="false" ht="23.85" hidden="false" customHeight="false" outlineLevel="0" collapsed="false">
      <c r="A3911" s="4" t="s">
        <v>147</v>
      </c>
      <c r="B3911" s="5" t="s">
        <v>156</v>
      </c>
      <c r="C3911" s="5" t="s">
        <v>157</v>
      </c>
      <c r="D3911" s="4" t="s">
        <v>16</v>
      </c>
      <c r="E3911" s="4" t="s">
        <v>1648</v>
      </c>
      <c r="F3911" s="4" t="s">
        <v>470</v>
      </c>
      <c r="G3911" s="4" t="s">
        <v>1424</v>
      </c>
      <c r="H3911" s="12" t="n">
        <v>1</v>
      </c>
      <c r="I3911" s="4" t="s">
        <v>408</v>
      </c>
      <c r="J3911" s="4" t="s">
        <v>409</v>
      </c>
      <c r="K3911" s="13" t="n">
        <v>3500</v>
      </c>
      <c r="L3911" s="6" t="n">
        <f aca="false">H3911*K3911</f>
        <v>3500</v>
      </c>
      <c r="M3911" s="4" t="s">
        <v>371</v>
      </c>
    </row>
    <row r="3912" customFormat="false" ht="23.85" hidden="false" customHeight="false" outlineLevel="0" collapsed="false">
      <c r="A3912" s="4" t="s">
        <v>147</v>
      </c>
      <c r="B3912" s="5" t="s">
        <v>156</v>
      </c>
      <c r="C3912" s="5" t="s">
        <v>157</v>
      </c>
      <c r="D3912" s="4" t="s">
        <v>16</v>
      </c>
      <c r="E3912" s="4" t="s">
        <v>4620</v>
      </c>
      <c r="F3912" s="4" t="s">
        <v>470</v>
      </c>
      <c r="G3912" s="4" t="s">
        <v>4621</v>
      </c>
      <c r="H3912" s="12" t="n">
        <v>1</v>
      </c>
      <c r="I3912" s="4" t="s">
        <v>408</v>
      </c>
      <c r="J3912" s="4" t="s">
        <v>416</v>
      </c>
      <c r="K3912" s="13" t="n">
        <v>850</v>
      </c>
      <c r="L3912" s="6" t="n">
        <f aca="false">H3912*K3912</f>
        <v>850</v>
      </c>
      <c r="M3912" s="4" t="s">
        <v>371</v>
      </c>
    </row>
    <row r="3913" customFormat="false" ht="23.85" hidden="false" customHeight="false" outlineLevel="0" collapsed="false">
      <c r="A3913" s="4" t="s">
        <v>147</v>
      </c>
      <c r="B3913" s="5" t="s">
        <v>156</v>
      </c>
      <c r="C3913" s="5" t="s">
        <v>157</v>
      </c>
      <c r="D3913" s="4" t="s">
        <v>16</v>
      </c>
      <c r="E3913" s="4" t="s">
        <v>1136</v>
      </c>
      <c r="F3913" s="4" t="s">
        <v>470</v>
      </c>
      <c r="G3913" s="4" t="s">
        <v>1137</v>
      </c>
      <c r="H3913" s="12" t="n">
        <v>1</v>
      </c>
      <c r="I3913" s="4" t="s">
        <v>408</v>
      </c>
      <c r="J3913" s="4" t="s">
        <v>416</v>
      </c>
      <c r="K3913" s="13" t="n">
        <v>850</v>
      </c>
      <c r="L3913" s="6" t="n">
        <f aca="false">H3913*K3913</f>
        <v>850</v>
      </c>
      <c r="M3913" s="4" t="s">
        <v>371</v>
      </c>
    </row>
    <row r="3914" customFormat="false" ht="23.85" hidden="false" customHeight="false" outlineLevel="0" collapsed="false">
      <c r="A3914" s="4" t="s">
        <v>147</v>
      </c>
      <c r="B3914" s="5" t="s">
        <v>156</v>
      </c>
      <c r="C3914" s="5" t="s">
        <v>157</v>
      </c>
      <c r="D3914" s="4" t="s">
        <v>16</v>
      </c>
      <c r="E3914" s="4" t="s">
        <v>4622</v>
      </c>
      <c r="F3914" s="4" t="s">
        <v>470</v>
      </c>
      <c r="G3914" s="4" t="s">
        <v>4623</v>
      </c>
      <c r="H3914" s="12" t="n">
        <v>1</v>
      </c>
      <c r="I3914" s="4" t="s">
        <v>408</v>
      </c>
      <c r="J3914" s="4" t="s">
        <v>416</v>
      </c>
      <c r="K3914" s="13" t="n">
        <v>850</v>
      </c>
      <c r="L3914" s="6" t="n">
        <f aca="false">H3914*K3914</f>
        <v>850</v>
      </c>
      <c r="M3914" s="4" t="s">
        <v>371</v>
      </c>
    </row>
    <row r="3915" customFormat="false" ht="23.85" hidden="false" customHeight="false" outlineLevel="0" collapsed="false">
      <c r="A3915" s="4" t="s">
        <v>147</v>
      </c>
      <c r="B3915" s="5" t="s">
        <v>156</v>
      </c>
      <c r="C3915" s="5" t="s">
        <v>157</v>
      </c>
      <c r="D3915" s="4" t="s">
        <v>16</v>
      </c>
      <c r="E3915" s="4" t="s">
        <v>4624</v>
      </c>
      <c r="F3915" s="4" t="s">
        <v>470</v>
      </c>
      <c r="G3915" s="4" t="s">
        <v>4625</v>
      </c>
      <c r="H3915" s="12" t="n">
        <v>1</v>
      </c>
      <c r="I3915" s="4" t="s">
        <v>408</v>
      </c>
      <c r="J3915" s="4" t="s">
        <v>416</v>
      </c>
      <c r="K3915" s="13" t="n">
        <v>850</v>
      </c>
      <c r="L3915" s="6" t="n">
        <f aca="false">H3915*K3915</f>
        <v>850</v>
      </c>
      <c r="M3915" s="4" t="s">
        <v>371</v>
      </c>
    </row>
    <row r="3916" customFormat="false" ht="23.85" hidden="false" customHeight="false" outlineLevel="0" collapsed="false">
      <c r="A3916" s="4" t="s">
        <v>147</v>
      </c>
      <c r="B3916" s="5" t="s">
        <v>156</v>
      </c>
      <c r="C3916" s="5" t="s">
        <v>157</v>
      </c>
      <c r="D3916" s="4" t="s">
        <v>16</v>
      </c>
      <c r="E3916" s="4" t="s">
        <v>4626</v>
      </c>
      <c r="F3916" s="4" t="s">
        <v>470</v>
      </c>
      <c r="G3916" s="4" t="s">
        <v>4627</v>
      </c>
      <c r="H3916" s="12" t="n">
        <v>1</v>
      </c>
      <c r="I3916" s="4" t="s">
        <v>408</v>
      </c>
      <c r="J3916" s="4" t="s">
        <v>416</v>
      </c>
      <c r="K3916" s="13" t="n">
        <v>850</v>
      </c>
      <c r="L3916" s="6" t="n">
        <f aca="false">H3916*K3916</f>
        <v>850</v>
      </c>
      <c r="M3916" s="4" t="s">
        <v>371</v>
      </c>
    </row>
    <row r="3917" customFormat="false" ht="23.85" hidden="false" customHeight="false" outlineLevel="0" collapsed="false">
      <c r="A3917" s="4" t="s">
        <v>147</v>
      </c>
      <c r="B3917" s="5" t="s">
        <v>156</v>
      </c>
      <c r="C3917" s="5" t="s">
        <v>157</v>
      </c>
      <c r="D3917" s="4" t="s">
        <v>16</v>
      </c>
      <c r="E3917" s="4" t="s">
        <v>4628</v>
      </c>
      <c r="F3917" s="4" t="s">
        <v>470</v>
      </c>
      <c r="G3917" s="4" t="s">
        <v>4629</v>
      </c>
      <c r="H3917" s="12" t="n">
        <v>1</v>
      </c>
      <c r="I3917" s="4" t="s">
        <v>408</v>
      </c>
      <c r="J3917" s="4" t="s">
        <v>416</v>
      </c>
      <c r="K3917" s="13" t="n">
        <v>850</v>
      </c>
      <c r="L3917" s="6" t="n">
        <f aca="false">H3917*K3917</f>
        <v>850</v>
      </c>
      <c r="M3917" s="4" t="s">
        <v>371</v>
      </c>
    </row>
    <row r="3918" customFormat="false" ht="23.85" hidden="false" customHeight="false" outlineLevel="0" collapsed="false">
      <c r="A3918" s="4" t="s">
        <v>147</v>
      </c>
      <c r="B3918" s="5" t="s">
        <v>156</v>
      </c>
      <c r="C3918" s="5" t="s">
        <v>157</v>
      </c>
      <c r="D3918" s="4" t="s">
        <v>16</v>
      </c>
      <c r="E3918" s="4" t="s">
        <v>4630</v>
      </c>
      <c r="F3918" s="4" t="s">
        <v>470</v>
      </c>
      <c r="G3918" s="4" t="s">
        <v>4631</v>
      </c>
      <c r="H3918" s="12" t="n">
        <v>1</v>
      </c>
      <c r="I3918" s="4" t="s">
        <v>408</v>
      </c>
      <c r="J3918" s="4" t="s">
        <v>416</v>
      </c>
      <c r="K3918" s="13" t="n">
        <v>850</v>
      </c>
      <c r="L3918" s="6" t="n">
        <f aca="false">H3918*K3918</f>
        <v>850</v>
      </c>
      <c r="M3918" s="4" t="s">
        <v>371</v>
      </c>
    </row>
    <row r="3919" customFormat="false" ht="23.85" hidden="false" customHeight="false" outlineLevel="0" collapsed="false">
      <c r="A3919" s="4" t="s">
        <v>147</v>
      </c>
      <c r="B3919" s="5" t="s">
        <v>156</v>
      </c>
      <c r="C3919" s="5" t="s">
        <v>157</v>
      </c>
      <c r="D3919" s="4" t="s">
        <v>16</v>
      </c>
      <c r="E3919" s="4" t="s">
        <v>4632</v>
      </c>
      <c r="F3919" s="4" t="s">
        <v>470</v>
      </c>
      <c r="G3919" s="4" t="s">
        <v>4633</v>
      </c>
      <c r="H3919" s="12" t="n">
        <v>1</v>
      </c>
      <c r="I3919" s="4" t="s">
        <v>408</v>
      </c>
      <c r="J3919" s="4" t="s">
        <v>409</v>
      </c>
      <c r="K3919" s="13" t="n">
        <v>450</v>
      </c>
      <c r="L3919" s="6" t="n">
        <f aca="false">H3919*K3919</f>
        <v>450</v>
      </c>
      <c r="M3919" s="4" t="s">
        <v>371</v>
      </c>
    </row>
    <row r="3920" customFormat="false" ht="23.85" hidden="false" customHeight="false" outlineLevel="0" collapsed="false">
      <c r="A3920" s="4" t="s">
        <v>147</v>
      </c>
      <c r="B3920" s="5" t="s">
        <v>156</v>
      </c>
      <c r="C3920" s="5" t="s">
        <v>157</v>
      </c>
      <c r="D3920" s="4" t="s">
        <v>16</v>
      </c>
      <c r="E3920" s="4" t="s">
        <v>2411</v>
      </c>
      <c r="F3920" s="4" t="s">
        <v>470</v>
      </c>
      <c r="G3920" s="4" t="s">
        <v>2412</v>
      </c>
      <c r="H3920" s="12" t="n">
        <v>1</v>
      </c>
      <c r="I3920" s="4" t="s">
        <v>408</v>
      </c>
      <c r="J3920" s="4" t="s">
        <v>409</v>
      </c>
      <c r="K3920" s="13" t="n">
        <v>4500</v>
      </c>
      <c r="L3920" s="6" t="n">
        <f aca="false">H3920*K3920</f>
        <v>4500</v>
      </c>
      <c r="M3920" s="14" t="s">
        <v>410</v>
      </c>
    </row>
    <row r="3921" customFormat="false" ht="23.85" hidden="false" customHeight="false" outlineLevel="0" collapsed="false">
      <c r="A3921" s="4" t="s">
        <v>147</v>
      </c>
      <c r="B3921" s="5" t="s">
        <v>156</v>
      </c>
      <c r="C3921" s="5" t="s">
        <v>157</v>
      </c>
      <c r="D3921" s="4" t="s">
        <v>16</v>
      </c>
      <c r="E3921" s="4" t="s">
        <v>1723</v>
      </c>
      <c r="F3921" s="4" t="s">
        <v>488</v>
      </c>
      <c r="G3921" s="4" t="s">
        <v>1724</v>
      </c>
      <c r="H3921" s="12" t="n">
        <v>1</v>
      </c>
      <c r="I3921" s="4" t="s">
        <v>408</v>
      </c>
      <c r="J3921" s="4" t="s">
        <v>409</v>
      </c>
      <c r="K3921" s="13" t="n">
        <v>25</v>
      </c>
      <c r="L3921" s="6" t="n">
        <f aca="false">H3921*K3921</f>
        <v>25</v>
      </c>
      <c r="M3921" s="4" t="s">
        <v>371</v>
      </c>
    </row>
    <row r="3922" customFormat="false" ht="23.85" hidden="false" customHeight="false" outlineLevel="0" collapsed="false">
      <c r="A3922" s="4" t="s">
        <v>147</v>
      </c>
      <c r="B3922" s="5" t="s">
        <v>156</v>
      </c>
      <c r="C3922" s="5" t="s">
        <v>157</v>
      </c>
      <c r="D3922" s="4" t="s">
        <v>16</v>
      </c>
      <c r="E3922" s="4" t="s">
        <v>4634</v>
      </c>
      <c r="F3922" s="4" t="s">
        <v>488</v>
      </c>
      <c r="G3922" s="4" t="s">
        <v>4635</v>
      </c>
      <c r="H3922" s="12" t="n">
        <v>1</v>
      </c>
      <c r="I3922" s="4" t="s">
        <v>408</v>
      </c>
      <c r="J3922" s="4" t="s">
        <v>409</v>
      </c>
      <c r="K3922" s="13" t="n">
        <v>80</v>
      </c>
      <c r="L3922" s="6" t="n">
        <f aca="false">H3922*K3922</f>
        <v>80</v>
      </c>
      <c r="M3922" s="4" t="s">
        <v>371</v>
      </c>
    </row>
    <row r="3923" customFormat="false" ht="23.85" hidden="false" customHeight="false" outlineLevel="0" collapsed="false">
      <c r="A3923" s="4" t="s">
        <v>147</v>
      </c>
      <c r="B3923" s="5" t="s">
        <v>156</v>
      </c>
      <c r="C3923" s="5" t="s">
        <v>157</v>
      </c>
      <c r="D3923" s="4" t="s">
        <v>16</v>
      </c>
      <c r="E3923" s="4" t="s">
        <v>4636</v>
      </c>
      <c r="F3923" s="4" t="s">
        <v>488</v>
      </c>
      <c r="G3923" s="4" t="s">
        <v>4637</v>
      </c>
      <c r="H3923" s="12" t="n">
        <v>1</v>
      </c>
      <c r="I3923" s="4" t="s">
        <v>408</v>
      </c>
      <c r="J3923" s="4" t="s">
        <v>503</v>
      </c>
      <c r="K3923" s="13" t="n">
        <v>120</v>
      </c>
      <c r="L3923" s="6" t="n">
        <f aca="false">H3923*K3923</f>
        <v>120</v>
      </c>
      <c r="M3923" s="4" t="s">
        <v>371</v>
      </c>
    </row>
    <row r="3924" customFormat="false" ht="23.85" hidden="false" customHeight="false" outlineLevel="0" collapsed="false">
      <c r="A3924" s="4" t="s">
        <v>147</v>
      </c>
      <c r="B3924" s="5" t="s">
        <v>156</v>
      </c>
      <c r="C3924" s="5" t="s">
        <v>157</v>
      </c>
      <c r="D3924" s="4" t="s">
        <v>16</v>
      </c>
      <c r="E3924" s="4" t="s">
        <v>4638</v>
      </c>
      <c r="F3924" s="4" t="s">
        <v>488</v>
      </c>
      <c r="G3924" s="4" t="s">
        <v>4639</v>
      </c>
      <c r="H3924" s="12" t="n">
        <v>1</v>
      </c>
      <c r="I3924" s="4" t="s">
        <v>408</v>
      </c>
      <c r="J3924" s="4" t="s">
        <v>503</v>
      </c>
      <c r="K3924" s="13" t="n">
        <v>120</v>
      </c>
      <c r="L3924" s="6" t="n">
        <f aca="false">H3924*K3924</f>
        <v>120</v>
      </c>
      <c r="M3924" s="4" t="s">
        <v>371</v>
      </c>
    </row>
    <row r="3925" customFormat="false" ht="23.85" hidden="false" customHeight="false" outlineLevel="0" collapsed="false">
      <c r="A3925" s="4" t="s">
        <v>147</v>
      </c>
      <c r="B3925" s="5" t="s">
        <v>156</v>
      </c>
      <c r="C3925" s="5" t="s">
        <v>157</v>
      </c>
      <c r="D3925" s="4" t="s">
        <v>16</v>
      </c>
      <c r="E3925" s="4" t="s">
        <v>4640</v>
      </c>
      <c r="F3925" s="4" t="s">
        <v>488</v>
      </c>
      <c r="G3925" s="4" t="s">
        <v>4641</v>
      </c>
      <c r="H3925" s="12" t="n">
        <v>1</v>
      </c>
      <c r="I3925" s="4" t="s">
        <v>408</v>
      </c>
      <c r="J3925" s="4" t="s">
        <v>429</v>
      </c>
      <c r="K3925" s="13" t="n">
        <v>60</v>
      </c>
      <c r="L3925" s="6" t="n">
        <f aca="false">H3925*K3925</f>
        <v>60</v>
      </c>
      <c r="M3925" s="4" t="s">
        <v>371</v>
      </c>
    </row>
    <row r="3926" customFormat="false" ht="23.85" hidden="false" customHeight="false" outlineLevel="0" collapsed="false">
      <c r="A3926" s="4" t="s">
        <v>147</v>
      </c>
      <c r="B3926" s="5" t="s">
        <v>156</v>
      </c>
      <c r="C3926" s="5" t="s">
        <v>157</v>
      </c>
      <c r="D3926" s="4" t="s">
        <v>16</v>
      </c>
      <c r="E3926" s="4" t="s">
        <v>4642</v>
      </c>
      <c r="F3926" s="4" t="s">
        <v>488</v>
      </c>
      <c r="G3926" s="4" t="s">
        <v>4643</v>
      </c>
      <c r="H3926" s="12" t="n">
        <v>1</v>
      </c>
      <c r="I3926" s="4" t="s">
        <v>408</v>
      </c>
      <c r="J3926" s="4" t="s">
        <v>413</v>
      </c>
      <c r="K3926" s="13" t="n">
        <v>850</v>
      </c>
      <c r="L3926" s="6" t="n">
        <f aca="false">H3926*K3926</f>
        <v>850</v>
      </c>
      <c r="M3926" s="4" t="s">
        <v>371</v>
      </c>
    </row>
    <row r="3927" customFormat="false" ht="23.85" hidden="false" customHeight="false" outlineLevel="0" collapsed="false">
      <c r="A3927" s="4" t="s">
        <v>147</v>
      </c>
      <c r="B3927" s="5" t="s">
        <v>156</v>
      </c>
      <c r="C3927" s="5" t="s">
        <v>157</v>
      </c>
      <c r="D3927" s="4" t="s">
        <v>16</v>
      </c>
      <c r="E3927" s="4" t="s">
        <v>4644</v>
      </c>
      <c r="F3927" s="4" t="s">
        <v>488</v>
      </c>
      <c r="G3927" s="4" t="s">
        <v>4645</v>
      </c>
      <c r="H3927" s="12" t="n">
        <v>1</v>
      </c>
      <c r="I3927" s="4" t="s">
        <v>408</v>
      </c>
      <c r="J3927" s="4" t="s">
        <v>409</v>
      </c>
      <c r="K3927" s="13" t="n">
        <v>50</v>
      </c>
      <c r="L3927" s="6" t="n">
        <f aca="false">H3927*K3927</f>
        <v>50</v>
      </c>
      <c r="M3927" s="4" t="s">
        <v>371</v>
      </c>
    </row>
    <row r="3928" customFormat="false" ht="23.85" hidden="false" customHeight="false" outlineLevel="0" collapsed="false">
      <c r="A3928" s="4" t="s">
        <v>147</v>
      </c>
      <c r="B3928" s="5" t="s">
        <v>156</v>
      </c>
      <c r="C3928" s="5" t="s">
        <v>157</v>
      </c>
      <c r="D3928" s="4" t="s">
        <v>16</v>
      </c>
      <c r="E3928" s="4" t="s">
        <v>4646</v>
      </c>
      <c r="F3928" s="4" t="s">
        <v>488</v>
      </c>
      <c r="G3928" s="4" t="s">
        <v>4647</v>
      </c>
      <c r="H3928" s="12" t="n">
        <v>1</v>
      </c>
      <c r="I3928" s="4" t="s">
        <v>408</v>
      </c>
      <c r="J3928" s="4" t="s">
        <v>409</v>
      </c>
      <c r="K3928" s="13" t="n">
        <v>80</v>
      </c>
      <c r="L3928" s="6" t="n">
        <f aca="false">H3928*K3928</f>
        <v>80</v>
      </c>
      <c r="M3928" s="4" t="s">
        <v>371</v>
      </c>
    </row>
    <row r="3929" customFormat="false" ht="23.85" hidden="false" customHeight="false" outlineLevel="0" collapsed="false">
      <c r="A3929" s="4" t="s">
        <v>147</v>
      </c>
      <c r="B3929" s="5" t="s">
        <v>156</v>
      </c>
      <c r="C3929" s="5" t="s">
        <v>157</v>
      </c>
      <c r="D3929" s="4" t="s">
        <v>16</v>
      </c>
      <c r="E3929" s="4" t="s">
        <v>4648</v>
      </c>
      <c r="F3929" s="4" t="s">
        <v>488</v>
      </c>
      <c r="G3929" s="4" t="s">
        <v>4649</v>
      </c>
      <c r="H3929" s="12" t="n">
        <v>1</v>
      </c>
      <c r="I3929" s="4" t="s">
        <v>408</v>
      </c>
      <c r="J3929" s="4" t="s">
        <v>409</v>
      </c>
      <c r="K3929" s="13" t="n">
        <v>30</v>
      </c>
      <c r="L3929" s="6" t="n">
        <f aca="false">H3929*K3929</f>
        <v>30</v>
      </c>
      <c r="M3929" s="4" t="s">
        <v>371</v>
      </c>
    </row>
    <row r="3930" customFormat="false" ht="23.85" hidden="false" customHeight="false" outlineLevel="0" collapsed="false">
      <c r="A3930" s="4" t="s">
        <v>147</v>
      </c>
      <c r="B3930" s="5" t="s">
        <v>156</v>
      </c>
      <c r="C3930" s="5" t="s">
        <v>157</v>
      </c>
      <c r="D3930" s="4" t="s">
        <v>16</v>
      </c>
      <c r="E3930" s="4" t="s">
        <v>4650</v>
      </c>
      <c r="F3930" s="4" t="s">
        <v>488</v>
      </c>
      <c r="G3930" s="4" t="s">
        <v>4651</v>
      </c>
      <c r="H3930" s="12" t="n">
        <v>1</v>
      </c>
      <c r="I3930" s="4" t="s">
        <v>408</v>
      </c>
      <c r="J3930" s="4" t="s">
        <v>429</v>
      </c>
      <c r="K3930" s="13" t="n">
        <v>45</v>
      </c>
      <c r="L3930" s="6" t="n">
        <f aca="false">H3930*K3930</f>
        <v>45</v>
      </c>
      <c r="M3930" s="4" t="s">
        <v>371</v>
      </c>
    </row>
    <row r="3931" customFormat="false" ht="23.85" hidden="false" customHeight="false" outlineLevel="0" collapsed="false">
      <c r="A3931" s="4" t="s">
        <v>147</v>
      </c>
      <c r="B3931" s="5" t="s">
        <v>156</v>
      </c>
      <c r="C3931" s="5" t="s">
        <v>157</v>
      </c>
      <c r="D3931" s="4" t="s">
        <v>16</v>
      </c>
      <c r="E3931" s="4" t="s">
        <v>4652</v>
      </c>
      <c r="F3931" s="4" t="s">
        <v>488</v>
      </c>
      <c r="G3931" s="4" t="s">
        <v>4653</v>
      </c>
      <c r="H3931" s="12" t="n">
        <v>1</v>
      </c>
      <c r="I3931" s="4" t="s">
        <v>408</v>
      </c>
      <c r="J3931" s="4" t="s">
        <v>506</v>
      </c>
      <c r="K3931" s="13" t="n">
        <v>120</v>
      </c>
      <c r="L3931" s="6" t="n">
        <f aca="false">H3931*K3931</f>
        <v>120</v>
      </c>
      <c r="M3931" s="4" t="s">
        <v>371</v>
      </c>
    </row>
    <row r="3932" customFormat="false" ht="23.85" hidden="false" customHeight="false" outlineLevel="0" collapsed="false">
      <c r="A3932" s="4" t="s">
        <v>147</v>
      </c>
      <c r="B3932" s="5" t="s">
        <v>156</v>
      </c>
      <c r="C3932" s="5" t="s">
        <v>157</v>
      </c>
      <c r="D3932" s="4" t="s">
        <v>16</v>
      </c>
      <c r="E3932" s="4" t="s">
        <v>4654</v>
      </c>
      <c r="F3932" s="4" t="s">
        <v>488</v>
      </c>
      <c r="G3932" s="4" t="s">
        <v>4655</v>
      </c>
      <c r="H3932" s="12" t="n">
        <v>1</v>
      </c>
      <c r="I3932" s="4" t="s">
        <v>408</v>
      </c>
      <c r="J3932" s="4" t="s">
        <v>409</v>
      </c>
      <c r="K3932" s="13" t="n">
        <v>25</v>
      </c>
      <c r="L3932" s="6" t="n">
        <f aca="false">H3932*K3932</f>
        <v>25</v>
      </c>
      <c r="M3932" s="4" t="s">
        <v>371</v>
      </c>
    </row>
    <row r="3933" customFormat="false" ht="23.85" hidden="false" customHeight="false" outlineLevel="0" collapsed="false">
      <c r="A3933" s="4" t="s">
        <v>147</v>
      </c>
      <c r="B3933" s="5" t="s">
        <v>158</v>
      </c>
      <c r="C3933" s="5" t="s">
        <v>159</v>
      </c>
      <c r="D3933" s="4" t="s">
        <v>16</v>
      </c>
      <c r="E3933" s="4" t="s">
        <v>1661</v>
      </c>
      <c r="F3933" s="4" t="s">
        <v>406</v>
      </c>
      <c r="G3933" s="4" t="s">
        <v>1662</v>
      </c>
      <c r="H3933" s="12" t="n">
        <v>1</v>
      </c>
      <c r="I3933" s="4" t="s">
        <v>408</v>
      </c>
      <c r="J3933" s="4" t="s">
        <v>409</v>
      </c>
      <c r="K3933" s="13" t="n">
        <v>250</v>
      </c>
      <c r="L3933" s="6" t="n">
        <f aca="false">H3933*K3933</f>
        <v>250</v>
      </c>
      <c r="M3933" s="14" t="s">
        <v>410</v>
      </c>
    </row>
    <row r="3934" customFormat="false" ht="23.85" hidden="false" customHeight="false" outlineLevel="0" collapsed="false">
      <c r="A3934" s="4" t="s">
        <v>147</v>
      </c>
      <c r="B3934" s="5" t="s">
        <v>158</v>
      </c>
      <c r="C3934" s="5" t="s">
        <v>159</v>
      </c>
      <c r="D3934" s="4" t="s">
        <v>16</v>
      </c>
      <c r="E3934" s="4" t="s">
        <v>1663</v>
      </c>
      <c r="F3934" s="4" t="s">
        <v>406</v>
      </c>
      <c r="G3934" s="4" t="s">
        <v>1604</v>
      </c>
      <c r="H3934" s="12" t="n">
        <v>1</v>
      </c>
      <c r="I3934" s="4" t="s">
        <v>408</v>
      </c>
      <c r="J3934" s="4" t="s">
        <v>416</v>
      </c>
      <c r="K3934" s="13" t="n">
        <v>1200</v>
      </c>
      <c r="L3934" s="6" t="n">
        <f aca="false">H3934*K3934</f>
        <v>1200</v>
      </c>
      <c r="M3934" s="14" t="s">
        <v>410</v>
      </c>
    </row>
    <row r="3935" customFormat="false" ht="23.85" hidden="false" customHeight="false" outlineLevel="0" collapsed="false">
      <c r="A3935" s="4" t="s">
        <v>147</v>
      </c>
      <c r="B3935" s="5" t="s">
        <v>158</v>
      </c>
      <c r="C3935" s="5" t="s">
        <v>159</v>
      </c>
      <c r="D3935" s="4" t="s">
        <v>16</v>
      </c>
      <c r="E3935" s="4" t="s">
        <v>1664</v>
      </c>
      <c r="F3935" s="4" t="s">
        <v>406</v>
      </c>
      <c r="G3935" s="4" t="s">
        <v>1665</v>
      </c>
      <c r="H3935" s="12" t="n">
        <v>1</v>
      </c>
      <c r="I3935" s="4" t="s">
        <v>408</v>
      </c>
      <c r="J3935" s="4" t="s">
        <v>416</v>
      </c>
      <c r="K3935" s="13" t="n">
        <v>1200</v>
      </c>
      <c r="L3935" s="6" t="n">
        <f aca="false">H3935*K3935</f>
        <v>1200</v>
      </c>
      <c r="M3935" s="14" t="s">
        <v>410</v>
      </c>
    </row>
    <row r="3936" customFormat="false" ht="23.85" hidden="false" customHeight="false" outlineLevel="0" collapsed="false">
      <c r="A3936" s="4" t="s">
        <v>147</v>
      </c>
      <c r="B3936" s="5" t="s">
        <v>158</v>
      </c>
      <c r="C3936" s="5" t="s">
        <v>159</v>
      </c>
      <c r="D3936" s="4" t="s">
        <v>16</v>
      </c>
      <c r="E3936" s="4" t="s">
        <v>1666</v>
      </c>
      <c r="F3936" s="4" t="s">
        <v>406</v>
      </c>
      <c r="G3936" s="4" t="s">
        <v>1667</v>
      </c>
      <c r="H3936" s="12" t="n">
        <v>1</v>
      </c>
      <c r="I3936" s="4" t="s">
        <v>408</v>
      </c>
      <c r="J3936" s="4" t="s">
        <v>409</v>
      </c>
      <c r="K3936" s="13" t="n">
        <v>450</v>
      </c>
      <c r="L3936" s="6" t="n">
        <f aca="false">H3936*K3936</f>
        <v>450</v>
      </c>
      <c r="M3936" s="14" t="s">
        <v>410</v>
      </c>
    </row>
    <row r="3937" customFormat="false" ht="23.85" hidden="false" customHeight="false" outlineLevel="0" collapsed="false">
      <c r="A3937" s="4" t="s">
        <v>147</v>
      </c>
      <c r="B3937" s="5" t="s">
        <v>158</v>
      </c>
      <c r="C3937" s="5" t="s">
        <v>159</v>
      </c>
      <c r="D3937" s="4" t="s">
        <v>16</v>
      </c>
      <c r="E3937" s="4" t="s">
        <v>1668</v>
      </c>
      <c r="F3937" s="4" t="s">
        <v>406</v>
      </c>
      <c r="G3937" s="4" t="s">
        <v>1669</v>
      </c>
      <c r="H3937" s="12" t="n">
        <v>1</v>
      </c>
      <c r="I3937" s="4" t="s">
        <v>408</v>
      </c>
      <c r="J3937" s="4" t="s">
        <v>416</v>
      </c>
      <c r="K3937" s="13" t="n">
        <v>1200</v>
      </c>
      <c r="L3937" s="6" t="n">
        <f aca="false">H3937*K3937</f>
        <v>1200</v>
      </c>
      <c r="M3937" s="14" t="s">
        <v>410</v>
      </c>
    </row>
    <row r="3938" customFormat="false" ht="23.85" hidden="false" customHeight="false" outlineLevel="0" collapsed="false">
      <c r="A3938" s="4" t="s">
        <v>147</v>
      </c>
      <c r="B3938" s="5" t="s">
        <v>158</v>
      </c>
      <c r="C3938" s="5" t="s">
        <v>159</v>
      </c>
      <c r="D3938" s="4" t="s">
        <v>16</v>
      </c>
      <c r="E3938" s="4" t="s">
        <v>1670</v>
      </c>
      <c r="F3938" s="4" t="s">
        <v>406</v>
      </c>
      <c r="G3938" s="4" t="s">
        <v>1671</v>
      </c>
      <c r="H3938" s="12" t="n">
        <v>1</v>
      </c>
      <c r="I3938" s="4" t="s">
        <v>408</v>
      </c>
      <c r="J3938" s="4" t="s">
        <v>413</v>
      </c>
      <c r="K3938" s="13" t="n">
        <v>1200</v>
      </c>
      <c r="L3938" s="6" t="n">
        <f aca="false">H3938*K3938</f>
        <v>1200</v>
      </c>
      <c r="M3938" s="14" t="s">
        <v>410</v>
      </c>
    </row>
    <row r="3939" customFormat="false" ht="23.85" hidden="false" customHeight="false" outlineLevel="0" collapsed="false">
      <c r="A3939" s="4" t="s">
        <v>147</v>
      </c>
      <c r="B3939" s="5" t="s">
        <v>158</v>
      </c>
      <c r="C3939" s="5" t="s">
        <v>159</v>
      </c>
      <c r="D3939" s="4" t="s">
        <v>16</v>
      </c>
      <c r="E3939" s="4" t="s">
        <v>1672</v>
      </c>
      <c r="F3939" s="4" t="s">
        <v>406</v>
      </c>
      <c r="G3939" s="4" t="s">
        <v>1673</v>
      </c>
      <c r="H3939" s="12" t="n">
        <v>1</v>
      </c>
      <c r="I3939" s="4" t="s">
        <v>408</v>
      </c>
      <c r="J3939" s="4" t="s">
        <v>409</v>
      </c>
      <c r="K3939" s="13" t="n">
        <v>3500</v>
      </c>
      <c r="L3939" s="6" t="n">
        <f aca="false">H3939*K3939</f>
        <v>3500</v>
      </c>
      <c r="M3939" s="14" t="s">
        <v>410</v>
      </c>
    </row>
    <row r="3940" customFormat="false" ht="23.85" hidden="false" customHeight="false" outlineLevel="0" collapsed="false">
      <c r="A3940" s="4" t="s">
        <v>147</v>
      </c>
      <c r="B3940" s="5" t="s">
        <v>158</v>
      </c>
      <c r="C3940" s="5" t="s">
        <v>159</v>
      </c>
      <c r="D3940" s="4" t="s">
        <v>16</v>
      </c>
      <c r="E3940" s="4" t="s">
        <v>1674</v>
      </c>
      <c r="F3940" s="4" t="s">
        <v>406</v>
      </c>
      <c r="G3940" s="4" t="s">
        <v>778</v>
      </c>
      <c r="H3940" s="12" t="n">
        <v>1</v>
      </c>
      <c r="I3940" s="4" t="s">
        <v>408</v>
      </c>
      <c r="J3940" s="4" t="s">
        <v>409</v>
      </c>
      <c r="K3940" s="13" t="n">
        <v>120</v>
      </c>
      <c r="L3940" s="6" t="n">
        <f aca="false">H3940*K3940</f>
        <v>120</v>
      </c>
      <c r="M3940" s="14" t="s">
        <v>410</v>
      </c>
    </row>
    <row r="3941" customFormat="false" ht="23.85" hidden="false" customHeight="false" outlineLevel="0" collapsed="false">
      <c r="A3941" s="4" t="s">
        <v>147</v>
      </c>
      <c r="B3941" s="5" t="s">
        <v>158</v>
      </c>
      <c r="C3941" s="5" t="s">
        <v>159</v>
      </c>
      <c r="D3941" s="4" t="s">
        <v>16</v>
      </c>
      <c r="E3941" s="4" t="s">
        <v>4656</v>
      </c>
      <c r="F3941" s="4" t="s">
        <v>406</v>
      </c>
      <c r="G3941" s="4" t="s">
        <v>4657</v>
      </c>
      <c r="H3941" s="12" t="n">
        <v>1</v>
      </c>
      <c r="I3941" s="4" t="s">
        <v>408</v>
      </c>
      <c r="J3941" s="4" t="s">
        <v>416</v>
      </c>
      <c r="K3941" s="13" t="n">
        <v>1200</v>
      </c>
      <c r="L3941" s="6" t="n">
        <f aca="false">H3941*K3941</f>
        <v>1200</v>
      </c>
      <c r="M3941" s="4" t="s">
        <v>371</v>
      </c>
    </row>
    <row r="3942" customFormat="false" ht="23.85" hidden="false" customHeight="false" outlineLevel="0" collapsed="false">
      <c r="A3942" s="4" t="s">
        <v>147</v>
      </c>
      <c r="B3942" s="5" t="s">
        <v>158</v>
      </c>
      <c r="C3942" s="5" t="s">
        <v>159</v>
      </c>
      <c r="D3942" s="4" t="s">
        <v>16</v>
      </c>
      <c r="E3942" s="4" t="s">
        <v>4658</v>
      </c>
      <c r="F3942" s="4" t="s">
        <v>406</v>
      </c>
      <c r="G3942" s="4" t="s">
        <v>4659</v>
      </c>
      <c r="H3942" s="12" t="n">
        <v>1</v>
      </c>
      <c r="I3942" s="4" t="s">
        <v>408</v>
      </c>
      <c r="J3942" s="4" t="s">
        <v>416</v>
      </c>
      <c r="K3942" s="13" t="n">
        <v>4500</v>
      </c>
      <c r="L3942" s="6" t="n">
        <f aca="false">H3942*K3942</f>
        <v>4500</v>
      </c>
      <c r="M3942" s="4" t="s">
        <v>371</v>
      </c>
    </row>
    <row r="3943" customFormat="false" ht="23.85" hidden="false" customHeight="false" outlineLevel="0" collapsed="false">
      <c r="A3943" s="4" t="s">
        <v>147</v>
      </c>
      <c r="B3943" s="5" t="s">
        <v>158</v>
      </c>
      <c r="C3943" s="5" t="s">
        <v>159</v>
      </c>
      <c r="D3943" s="4" t="s">
        <v>16</v>
      </c>
      <c r="E3943" s="4" t="s">
        <v>4513</v>
      </c>
      <c r="F3943" s="4" t="s">
        <v>406</v>
      </c>
      <c r="G3943" s="4" t="s">
        <v>4514</v>
      </c>
      <c r="H3943" s="12" t="n">
        <v>1</v>
      </c>
      <c r="I3943" s="4" t="s">
        <v>408</v>
      </c>
      <c r="J3943" s="4" t="s">
        <v>409</v>
      </c>
      <c r="K3943" s="13" t="n">
        <v>650</v>
      </c>
      <c r="L3943" s="6" t="n">
        <f aca="false">H3943*K3943</f>
        <v>650</v>
      </c>
      <c r="M3943" s="14" t="s">
        <v>410</v>
      </c>
    </row>
    <row r="3944" customFormat="false" ht="23.85" hidden="false" customHeight="false" outlineLevel="0" collapsed="false">
      <c r="A3944" s="4" t="s">
        <v>147</v>
      </c>
      <c r="B3944" s="5" t="s">
        <v>158</v>
      </c>
      <c r="C3944" s="5" t="s">
        <v>159</v>
      </c>
      <c r="D3944" s="4" t="s">
        <v>16</v>
      </c>
      <c r="E3944" s="4" t="s">
        <v>1672</v>
      </c>
      <c r="F3944" s="4" t="s">
        <v>406</v>
      </c>
      <c r="G3944" s="4" t="s">
        <v>1673</v>
      </c>
      <c r="H3944" s="12" t="n">
        <v>1</v>
      </c>
      <c r="I3944" s="4" t="s">
        <v>408</v>
      </c>
      <c r="J3944" s="4" t="s">
        <v>409</v>
      </c>
      <c r="K3944" s="13" t="n">
        <v>3500</v>
      </c>
      <c r="L3944" s="6" t="n">
        <f aca="false">H3944*K3944</f>
        <v>3500</v>
      </c>
      <c r="M3944" s="14" t="s">
        <v>410</v>
      </c>
    </row>
    <row r="3945" customFormat="false" ht="23.85" hidden="false" customHeight="false" outlineLevel="0" collapsed="false">
      <c r="A3945" s="4" t="s">
        <v>147</v>
      </c>
      <c r="B3945" s="5" t="s">
        <v>158</v>
      </c>
      <c r="C3945" s="5" t="s">
        <v>159</v>
      </c>
      <c r="D3945" s="4" t="s">
        <v>16</v>
      </c>
      <c r="E3945" s="4" t="s">
        <v>4519</v>
      </c>
      <c r="F3945" s="4" t="s">
        <v>406</v>
      </c>
      <c r="G3945" s="4" t="s">
        <v>4520</v>
      </c>
      <c r="H3945" s="12" t="n">
        <v>1</v>
      </c>
      <c r="I3945" s="4" t="s">
        <v>408</v>
      </c>
      <c r="J3945" s="4" t="s">
        <v>409</v>
      </c>
      <c r="K3945" s="13" t="n">
        <v>250</v>
      </c>
      <c r="L3945" s="6" t="n">
        <f aca="false">H3945*K3945</f>
        <v>250</v>
      </c>
      <c r="M3945" s="4" t="s">
        <v>371</v>
      </c>
    </row>
    <row r="3946" customFormat="false" ht="23.85" hidden="false" customHeight="false" outlineLevel="0" collapsed="false">
      <c r="A3946" s="4" t="s">
        <v>147</v>
      </c>
      <c r="B3946" s="5" t="s">
        <v>158</v>
      </c>
      <c r="C3946" s="5" t="s">
        <v>159</v>
      </c>
      <c r="D3946" s="4" t="s">
        <v>16</v>
      </c>
      <c r="E3946" s="4" t="s">
        <v>4521</v>
      </c>
      <c r="F3946" s="4" t="s">
        <v>406</v>
      </c>
      <c r="G3946" s="4" t="s">
        <v>4522</v>
      </c>
      <c r="H3946" s="12" t="n">
        <v>1</v>
      </c>
      <c r="I3946" s="4" t="s">
        <v>408</v>
      </c>
      <c r="J3946" s="4" t="s">
        <v>409</v>
      </c>
      <c r="K3946" s="13" t="n">
        <v>450</v>
      </c>
      <c r="L3946" s="6" t="n">
        <f aca="false">H3946*K3946</f>
        <v>450</v>
      </c>
      <c r="M3946" s="14" t="s">
        <v>410</v>
      </c>
    </row>
    <row r="3947" customFormat="false" ht="23.85" hidden="false" customHeight="false" outlineLevel="0" collapsed="false">
      <c r="A3947" s="4" t="s">
        <v>147</v>
      </c>
      <c r="B3947" s="5" t="s">
        <v>158</v>
      </c>
      <c r="C3947" s="5" t="s">
        <v>159</v>
      </c>
      <c r="D3947" s="4" t="s">
        <v>16</v>
      </c>
      <c r="E3947" s="4" t="s">
        <v>4660</v>
      </c>
      <c r="F3947" s="4" t="s">
        <v>406</v>
      </c>
      <c r="G3947" s="4" t="s">
        <v>4661</v>
      </c>
      <c r="H3947" s="12" t="n">
        <v>1</v>
      </c>
      <c r="I3947" s="4" t="s">
        <v>408</v>
      </c>
      <c r="J3947" s="4" t="s">
        <v>416</v>
      </c>
      <c r="K3947" s="13" t="n">
        <v>2200</v>
      </c>
      <c r="L3947" s="6" t="n">
        <f aca="false">H3947*K3947</f>
        <v>2200</v>
      </c>
      <c r="M3947" s="4" t="s">
        <v>371</v>
      </c>
    </row>
    <row r="3948" customFormat="false" ht="23.85" hidden="false" customHeight="false" outlineLevel="0" collapsed="false">
      <c r="A3948" s="4" t="s">
        <v>147</v>
      </c>
      <c r="B3948" s="5" t="s">
        <v>158</v>
      </c>
      <c r="C3948" s="5" t="s">
        <v>159</v>
      </c>
      <c r="D3948" s="4" t="s">
        <v>16</v>
      </c>
      <c r="E3948" s="4" t="s">
        <v>2547</v>
      </c>
      <c r="F3948" s="4" t="s">
        <v>406</v>
      </c>
      <c r="G3948" s="4" t="s">
        <v>2548</v>
      </c>
      <c r="H3948" s="12" t="n">
        <v>1</v>
      </c>
      <c r="I3948" s="4" t="s">
        <v>408</v>
      </c>
      <c r="J3948" s="4" t="s">
        <v>409</v>
      </c>
      <c r="K3948" s="13" t="n">
        <v>1800</v>
      </c>
      <c r="L3948" s="6" t="n">
        <f aca="false">H3948*K3948</f>
        <v>1800</v>
      </c>
      <c r="M3948" s="14" t="s">
        <v>410</v>
      </c>
    </row>
    <row r="3949" customFormat="false" ht="23.85" hidden="false" customHeight="false" outlineLevel="0" collapsed="false">
      <c r="A3949" s="4" t="s">
        <v>147</v>
      </c>
      <c r="B3949" s="5" t="s">
        <v>158</v>
      </c>
      <c r="C3949" s="5" t="s">
        <v>159</v>
      </c>
      <c r="D3949" s="4" t="s">
        <v>16</v>
      </c>
      <c r="E3949" s="4" t="s">
        <v>4531</v>
      </c>
      <c r="F3949" s="4" t="s">
        <v>406</v>
      </c>
      <c r="G3949" s="4" t="s">
        <v>4532</v>
      </c>
      <c r="H3949" s="12" t="n">
        <v>1</v>
      </c>
      <c r="I3949" s="4" t="s">
        <v>408</v>
      </c>
      <c r="J3949" s="4" t="s">
        <v>409</v>
      </c>
      <c r="K3949" s="13" t="n">
        <v>3500</v>
      </c>
      <c r="L3949" s="6" t="n">
        <f aca="false">H3949*K3949</f>
        <v>3500</v>
      </c>
      <c r="M3949" s="14" t="s">
        <v>410</v>
      </c>
    </row>
    <row r="3950" customFormat="false" ht="23.85" hidden="false" customHeight="false" outlineLevel="0" collapsed="false">
      <c r="A3950" s="4" t="s">
        <v>147</v>
      </c>
      <c r="B3950" s="5" t="s">
        <v>158</v>
      </c>
      <c r="C3950" s="5" t="s">
        <v>159</v>
      </c>
      <c r="D3950" s="4" t="s">
        <v>16</v>
      </c>
      <c r="E3950" s="4" t="s">
        <v>1681</v>
      </c>
      <c r="F3950" s="4" t="s">
        <v>406</v>
      </c>
      <c r="G3950" s="4" t="s">
        <v>1682</v>
      </c>
      <c r="H3950" s="12" t="n">
        <v>1</v>
      </c>
      <c r="I3950" s="4" t="s">
        <v>408</v>
      </c>
      <c r="J3950" s="4" t="s">
        <v>409</v>
      </c>
      <c r="K3950" s="13" t="n">
        <v>3500</v>
      </c>
      <c r="L3950" s="6" t="n">
        <f aca="false">H3950*K3950</f>
        <v>3500</v>
      </c>
      <c r="M3950" s="14" t="s">
        <v>410</v>
      </c>
    </row>
    <row r="3951" customFormat="false" ht="23.85" hidden="false" customHeight="false" outlineLevel="0" collapsed="false">
      <c r="A3951" s="4" t="s">
        <v>147</v>
      </c>
      <c r="B3951" s="5" t="s">
        <v>158</v>
      </c>
      <c r="C3951" s="5" t="s">
        <v>159</v>
      </c>
      <c r="D3951" s="4" t="s">
        <v>16</v>
      </c>
      <c r="E3951" s="4" t="s">
        <v>1685</v>
      </c>
      <c r="F3951" s="4" t="s">
        <v>406</v>
      </c>
      <c r="G3951" s="4" t="s">
        <v>1686</v>
      </c>
      <c r="H3951" s="12" t="n">
        <v>1</v>
      </c>
      <c r="I3951" s="4" t="s">
        <v>408</v>
      </c>
      <c r="J3951" s="4" t="s">
        <v>409</v>
      </c>
      <c r="K3951" s="13" t="n">
        <v>250</v>
      </c>
      <c r="L3951" s="6" t="n">
        <f aca="false">H3951*K3951</f>
        <v>250</v>
      </c>
      <c r="M3951" s="14" t="s">
        <v>410</v>
      </c>
    </row>
    <row r="3952" customFormat="false" ht="23.85" hidden="false" customHeight="false" outlineLevel="0" collapsed="false">
      <c r="A3952" s="4" t="s">
        <v>147</v>
      </c>
      <c r="B3952" s="5" t="s">
        <v>158</v>
      </c>
      <c r="C3952" s="5" t="s">
        <v>159</v>
      </c>
      <c r="D3952" s="4" t="s">
        <v>16</v>
      </c>
      <c r="E3952" s="4" t="s">
        <v>1687</v>
      </c>
      <c r="F3952" s="4" t="s">
        <v>406</v>
      </c>
      <c r="G3952" s="4" t="s">
        <v>1688</v>
      </c>
      <c r="H3952" s="12" t="n">
        <v>1</v>
      </c>
      <c r="I3952" s="4" t="s">
        <v>408</v>
      </c>
      <c r="J3952" s="4" t="s">
        <v>413</v>
      </c>
      <c r="K3952" s="13" t="n">
        <v>2500</v>
      </c>
      <c r="L3952" s="6" t="n">
        <f aca="false">H3952*K3952</f>
        <v>2500</v>
      </c>
      <c r="M3952" s="14" t="s">
        <v>410</v>
      </c>
    </row>
    <row r="3953" customFormat="false" ht="23.85" hidden="false" customHeight="false" outlineLevel="0" collapsed="false">
      <c r="A3953" s="4" t="s">
        <v>147</v>
      </c>
      <c r="B3953" s="5" t="s">
        <v>158</v>
      </c>
      <c r="C3953" s="5" t="s">
        <v>159</v>
      </c>
      <c r="D3953" s="4" t="s">
        <v>16</v>
      </c>
      <c r="E3953" s="4" t="s">
        <v>1689</v>
      </c>
      <c r="F3953" s="4" t="s">
        <v>406</v>
      </c>
      <c r="G3953" s="4" t="s">
        <v>1690</v>
      </c>
      <c r="H3953" s="12" t="n">
        <v>1</v>
      </c>
      <c r="I3953" s="4" t="s">
        <v>408</v>
      </c>
      <c r="J3953" s="4" t="s">
        <v>416</v>
      </c>
      <c r="K3953" s="13" t="n">
        <v>4500</v>
      </c>
      <c r="L3953" s="6" t="n">
        <f aca="false">H3953*K3953</f>
        <v>4500</v>
      </c>
      <c r="M3953" s="14" t="s">
        <v>410</v>
      </c>
    </row>
    <row r="3954" customFormat="false" ht="23.85" hidden="false" customHeight="false" outlineLevel="0" collapsed="false">
      <c r="A3954" s="4" t="s">
        <v>147</v>
      </c>
      <c r="B3954" s="5" t="s">
        <v>158</v>
      </c>
      <c r="C3954" s="5" t="s">
        <v>159</v>
      </c>
      <c r="D3954" s="4" t="s">
        <v>16</v>
      </c>
      <c r="E3954" s="4" t="s">
        <v>1691</v>
      </c>
      <c r="F3954" s="4" t="s">
        <v>406</v>
      </c>
      <c r="G3954" s="4" t="s">
        <v>1692</v>
      </c>
      <c r="H3954" s="12" t="n">
        <v>1</v>
      </c>
      <c r="I3954" s="4" t="s">
        <v>408</v>
      </c>
      <c r="J3954" s="4" t="s">
        <v>416</v>
      </c>
      <c r="K3954" s="13" t="n">
        <v>18000</v>
      </c>
      <c r="L3954" s="6" t="n">
        <f aca="false">H3954*K3954</f>
        <v>18000</v>
      </c>
      <c r="M3954" s="14" t="s">
        <v>410</v>
      </c>
    </row>
    <row r="3955" customFormat="false" ht="23.85" hidden="false" customHeight="false" outlineLevel="0" collapsed="false">
      <c r="A3955" s="4" t="s">
        <v>147</v>
      </c>
      <c r="B3955" s="5" t="s">
        <v>158</v>
      </c>
      <c r="C3955" s="5" t="s">
        <v>159</v>
      </c>
      <c r="D3955" s="4" t="s">
        <v>16</v>
      </c>
      <c r="E3955" s="4" t="s">
        <v>4662</v>
      </c>
      <c r="F3955" s="4" t="s">
        <v>406</v>
      </c>
      <c r="G3955" s="4" t="s">
        <v>3275</v>
      </c>
      <c r="H3955" s="12" t="n">
        <v>1</v>
      </c>
      <c r="I3955" s="4" t="s">
        <v>408</v>
      </c>
      <c r="J3955" s="4" t="s">
        <v>409</v>
      </c>
      <c r="K3955" s="13" t="n">
        <v>8500</v>
      </c>
      <c r="L3955" s="6" t="n">
        <f aca="false">H3955*K3955</f>
        <v>8500</v>
      </c>
      <c r="M3955" s="14" t="s">
        <v>410</v>
      </c>
    </row>
    <row r="3956" customFormat="false" ht="23.85" hidden="false" customHeight="false" outlineLevel="0" collapsed="false">
      <c r="A3956" s="4" t="s">
        <v>147</v>
      </c>
      <c r="B3956" s="5" t="s">
        <v>158</v>
      </c>
      <c r="C3956" s="5" t="s">
        <v>159</v>
      </c>
      <c r="D3956" s="4" t="s">
        <v>16</v>
      </c>
      <c r="E3956" s="4" t="s">
        <v>4537</v>
      </c>
      <c r="F3956" s="4" t="s">
        <v>406</v>
      </c>
      <c r="G3956" s="4" t="s">
        <v>4538</v>
      </c>
      <c r="H3956" s="12" t="n">
        <v>1</v>
      </c>
      <c r="I3956" s="4" t="s">
        <v>408</v>
      </c>
      <c r="J3956" s="4" t="s">
        <v>409</v>
      </c>
      <c r="K3956" s="13" t="n">
        <v>8500</v>
      </c>
      <c r="L3956" s="6" t="n">
        <f aca="false">H3956*K3956</f>
        <v>8500</v>
      </c>
      <c r="M3956" s="14" t="s">
        <v>410</v>
      </c>
    </row>
    <row r="3957" customFormat="false" ht="23.85" hidden="false" customHeight="false" outlineLevel="0" collapsed="false">
      <c r="A3957" s="4" t="s">
        <v>147</v>
      </c>
      <c r="B3957" s="5" t="s">
        <v>158</v>
      </c>
      <c r="C3957" s="5" t="s">
        <v>159</v>
      </c>
      <c r="D3957" s="4" t="s">
        <v>16</v>
      </c>
      <c r="E3957" s="4" t="s">
        <v>4539</v>
      </c>
      <c r="F3957" s="4" t="s">
        <v>406</v>
      </c>
      <c r="G3957" s="4" t="s">
        <v>4540</v>
      </c>
      <c r="H3957" s="12" t="n">
        <v>1</v>
      </c>
      <c r="I3957" s="4" t="s">
        <v>408</v>
      </c>
      <c r="J3957" s="4" t="s">
        <v>416</v>
      </c>
      <c r="K3957" s="13" t="n">
        <v>4500</v>
      </c>
      <c r="L3957" s="6" t="n">
        <f aca="false">H3957*K3957</f>
        <v>4500</v>
      </c>
      <c r="M3957" s="14" t="s">
        <v>410</v>
      </c>
    </row>
    <row r="3958" customFormat="false" ht="23.85" hidden="false" customHeight="false" outlineLevel="0" collapsed="false">
      <c r="A3958" s="4" t="s">
        <v>147</v>
      </c>
      <c r="B3958" s="5" t="s">
        <v>158</v>
      </c>
      <c r="C3958" s="5" t="s">
        <v>159</v>
      </c>
      <c r="D3958" s="4" t="s">
        <v>16</v>
      </c>
      <c r="E3958" s="4" t="s">
        <v>1697</v>
      </c>
      <c r="F3958" s="4" t="s">
        <v>470</v>
      </c>
      <c r="G3958" s="4" t="s">
        <v>1698</v>
      </c>
      <c r="H3958" s="12" t="n">
        <v>1</v>
      </c>
      <c r="I3958" s="4" t="s">
        <v>408</v>
      </c>
      <c r="J3958" s="4" t="s">
        <v>409</v>
      </c>
      <c r="K3958" s="13" t="n">
        <v>45000</v>
      </c>
      <c r="L3958" s="6" t="n">
        <f aca="false">H3958*K3958</f>
        <v>45000</v>
      </c>
      <c r="M3958" s="14" t="s">
        <v>410</v>
      </c>
    </row>
    <row r="3959" customFormat="false" ht="23.85" hidden="false" customHeight="false" outlineLevel="0" collapsed="false">
      <c r="A3959" s="4" t="s">
        <v>147</v>
      </c>
      <c r="B3959" s="5" t="s">
        <v>158</v>
      </c>
      <c r="C3959" s="5" t="s">
        <v>159</v>
      </c>
      <c r="D3959" s="4" t="s">
        <v>16</v>
      </c>
      <c r="E3959" s="4" t="s">
        <v>1699</v>
      </c>
      <c r="F3959" s="4" t="s">
        <v>470</v>
      </c>
      <c r="G3959" s="4" t="s">
        <v>1700</v>
      </c>
      <c r="H3959" s="12" t="n">
        <v>1</v>
      </c>
      <c r="I3959" s="4" t="s">
        <v>408</v>
      </c>
      <c r="J3959" s="4" t="s">
        <v>409</v>
      </c>
      <c r="K3959" s="13" t="n">
        <v>55000</v>
      </c>
      <c r="L3959" s="6" t="n">
        <f aca="false">H3959*K3959</f>
        <v>55000</v>
      </c>
      <c r="M3959" s="14" t="s">
        <v>410</v>
      </c>
    </row>
    <row r="3960" customFormat="false" ht="23.85" hidden="false" customHeight="false" outlineLevel="0" collapsed="false">
      <c r="A3960" s="4" t="s">
        <v>147</v>
      </c>
      <c r="B3960" s="5" t="s">
        <v>158</v>
      </c>
      <c r="C3960" s="5" t="s">
        <v>159</v>
      </c>
      <c r="D3960" s="4" t="s">
        <v>16</v>
      </c>
      <c r="E3960" s="4" t="s">
        <v>1701</v>
      </c>
      <c r="F3960" s="4" t="s">
        <v>470</v>
      </c>
      <c r="G3960" s="4" t="s">
        <v>1702</v>
      </c>
      <c r="H3960" s="12" t="n">
        <v>1</v>
      </c>
      <c r="I3960" s="4" t="s">
        <v>408</v>
      </c>
      <c r="J3960" s="4" t="s">
        <v>416</v>
      </c>
      <c r="K3960" s="13" t="n">
        <v>2500</v>
      </c>
      <c r="L3960" s="6" t="n">
        <f aca="false">H3960*K3960</f>
        <v>2500</v>
      </c>
      <c r="M3960" s="4" t="s">
        <v>371</v>
      </c>
    </row>
    <row r="3961" customFormat="false" ht="23.85" hidden="false" customHeight="false" outlineLevel="0" collapsed="false">
      <c r="A3961" s="4" t="s">
        <v>147</v>
      </c>
      <c r="B3961" s="5" t="s">
        <v>158</v>
      </c>
      <c r="C3961" s="5" t="s">
        <v>159</v>
      </c>
      <c r="D3961" s="4" t="s">
        <v>16</v>
      </c>
      <c r="E3961" s="4" t="s">
        <v>1453</v>
      </c>
      <c r="F3961" s="4" t="s">
        <v>470</v>
      </c>
      <c r="G3961" s="4" t="s">
        <v>1090</v>
      </c>
      <c r="H3961" s="12" t="n">
        <v>1</v>
      </c>
      <c r="I3961" s="4" t="s">
        <v>408</v>
      </c>
      <c r="J3961" s="4" t="s">
        <v>409</v>
      </c>
      <c r="K3961" s="13" t="n">
        <v>3500</v>
      </c>
      <c r="L3961" s="6" t="n">
        <f aca="false">H3961*K3961</f>
        <v>3500</v>
      </c>
      <c r="M3961" s="4" t="s">
        <v>371</v>
      </c>
    </row>
    <row r="3962" customFormat="false" ht="23.85" hidden="false" customHeight="false" outlineLevel="0" collapsed="false">
      <c r="A3962" s="4" t="s">
        <v>147</v>
      </c>
      <c r="B3962" s="5" t="s">
        <v>158</v>
      </c>
      <c r="C3962" s="5" t="s">
        <v>159</v>
      </c>
      <c r="D3962" s="4" t="s">
        <v>16</v>
      </c>
      <c r="E3962" s="4" t="s">
        <v>1703</v>
      </c>
      <c r="F3962" s="4" t="s">
        <v>470</v>
      </c>
      <c r="G3962" s="4" t="s">
        <v>1704</v>
      </c>
      <c r="H3962" s="12" t="n">
        <v>1</v>
      </c>
      <c r="I3962" s="4" t="s">
        <v>408</v>
      </c>
      <c r="J3962" s="4" t="s">
        <v>409</v>
      </c>
      <c r="K3962" s="13" t="n">
        <v>450</v>
      </c>
      <c r="L3962" s="6" t="n">
        <f aca="false">H3962*K3962</f>
        <v>450</v>
      </c>
      <c r="M3962" s="4" t="s">
        <v>371</v>
      </c>
    </row>
    <row r="3963" customFormat="false" ht="23.85" hidden="false" customHeight="false" outlineLevel="0" collapsed="false">
      <c r="A3963" s="4" t="s">
        <v>147</v>
      </c>
      <c r="B3963" s="5" t="s">
        <v>158</v>
      </c>
      <c r="C3963" s="5" t="s">
        <v>159</v>
      </c>
      <c r="D3963" s="4" t="s">
        <v>16</v>
      </c>
      <c r="E3963" s="4" t="s">
        <v>1705</v>
      </c>
      <c r="F3963" s="4" t="s">
        <v>470</v>
      </c>
      <c r="G3963" s="4" t="s">
        <v>1706</v>
      </c>
      <c r="H3963" s="12" t="n">
        <v>1</v>
      </c>
      <c r="I3963" s="4" t="s">
        <v>408</v>
      </c>
      <c r="J3963" s="4" t="s">
        <v>416</v>
      </c>
      <c r="K3963" s="13" t="n">
        <v>850</v>
      </c>
      <c r="L3963" s="6" t="n">
        <f aca="false">H3963*K3963</f>
        <v>850</v>
      </c>
      <c r="M3963" s="4" t="s">
        <v>371</v>
      </c>
    </row>
    <row r="3964" customFormat="false" ht="23.85" hidden="false" customHeight="false" outlineLevel="0" collapsed="false">
      <c r="A3964" s="4" t="s">
        <v>147</v>
      </c>
      <c r="B3964" s="5" t="s">
        <v>158</v>
      </c>
      <c r="C3964" s="5" t="s">
        <v>159</v>
      </c>
      <c r="D3964" s="4" t="s">
        <v>16</v>
      </c>
      <c r="E3964" s="4" t="s">
        <v>1707</v>
      </c>
      <c r="F3964" s="4" t="s">
        <v>470</v>
      </c>
      <c r="G3964" s="4" t="s">
        <v>1708</v>
      </c>
      <c r="H3964" s="12" t="n">
        <v>1</v>
      </c>
      <c r="I3964" s="4" t="s">
        <v>408</v>
      </c>
      <c r="J3964" s="4" t="s">
        <v>416</v>
      </c>
      <c r="K3964" s="13" t="n">
        <v>850</v>
      </c>
      <c r="L3964" s="6" t="n">
        <f aca="false">H3964*K3964</f>
        <v>850</v>
      </c>
      <c r="M3964" s="4" t="s">
        <v>371</v>
      </c>
    </row>
    <row r="3965" customFormat="false" ht="23.85" hidden="false" customHeight="false" outlineLevel="0" collapsed="false">
      <c r="A3965" s="4" t="s">
        <v>147</v>
      </c>
      <c r="B3965" s="5" t="s">
        <v>158</v>
      </c>
      <c r="C3965" s="5" t="s">
        <v>159</v>
      </c>
      <c r="D3965" s="4" t="s">
        <v>16</v>
      </c>
      <c r="E3965" s="4" t="s">
        <v>1709</v>
      </c>
      <c r="F3965" s="4" t="s">
        <v>470</v>
      </c>
      <c r="G3965" s="4" t="s">
        <v>1710</v>
      </c>
      <c r="H3965" s="12" t="n">
        <v>1</v>
      </c>
      <c r="I3965" s="4" t="s">
        <v>408</v>
      </c>
      <c r="J3965" s="4" t="s">
        <v>416</v>
      </c>
      <c r="K3965" s="13" t="n">
        <v>850</v>
      </c>
      <c r="L3965" s="6" t="n">
        <f aca="false">H3965*K3965</f>
        <v>850</v>
      </c>
      <c r="M3965" s="4" t="s">
        <v>371</v>
      </c>
    </row>
    <row r="3966" customFormat="false" ht="23.85" hidden="false" customHeight="false" outlineLevel="0" collapsed="false">
      <c r="A3966" s="4" t="s">
        <v>147</v>
      </c>
      <c r="B3966" s="5" t="s">
        <v>158</v>
      </c>
      <c r="C3966" s="5" t="s">
        <v>159</v>
      </c>
      <c r="D3966" s="4" t="s">
        <v>16</v>
      </c>
      <c r="E3966" s="4" t="s">
        <v>1711</v>
      </c>
      <c r="F3966" s="4" t="s">
        <v>470</v>
      </c>
      <c r="G3966" s="4" t="s">
        <v>1712</v>
      </c>
      <c r="H3966" s="12" t="n">
        <v>1</v>
      </c>
      <c r="I3966" s="4" t="s">
        <v>408</v>
      </c>
      <c r="J3966" s="4" t="s">
        <v>409</v>
      </c>
      <c r="K3966" s="13" t="n">
        <v>850</v>
      </c>
      <c r="L3966" s="6" t="n">
        <f aca="false">H3966*K3966</f>
        <v>850</v>
      </c>
      <c r="M3966" s="4" t="s">
        <v>371</v>
      </c>
    </row>
    <row r="3967" customFormat="false" ht="23.85" hidden="false" customHeight="false" outlineLevel="0" collapsed="false">
      <c r="A3967" s="4" t="s">
        <v>147</v>
      </c>
      <c r="B3967" s="5" t="s">
        <v>158</v>
      </c>
      <c r="C3967" s="5" t="s">
        <v>159</v>
      </c>
      <c r="D3967" s="4" t="s">
        <v>16</v>
      </c>
      <c r="E3967" s="4" t="s">
        <v>1713</v>
      </c>
      <c r="F3967" s="4" t="s">
        <v>470</v>
      </c>
      <c r="G3967" s="4" t="s">
        <v>1714</v>
      </c>
      <c r="H3967" s="12" t="n">
        <v>1</v>
      </c>
      <c r="I3967" s="4" t="s">
        <v>408</v>
      </c>
      <c r="J3967" s="4" t="s">
        <v>543</v>
      </c>
      <c r="K3967" s="13" t="n">
        <v>850</v>
      </c>
      <c r="L3967" s="6" t="n">
        <f aca="false">H3967*K3967</f>
        <v>850</v>
      </c>
      <c r="M3967" s="4" t="s">
        <v>371</v>
      </c>
    </row>
    <row r="3968" customFormat="false" ht="23.85" hidden="false" customHeight="false" outlineLevel="0" collapsed="false">
      <c r="A3968" s="4" t="s">
        <v>147</v>
      </c>
      <c r="B3968" s="5" t="s">
        <v>158</v>
      </c>
      <c r="C3968" s="5" t="s">
        <v>159</v>
      </c>
      <c r="D3968" s="4" t="s">
        <v>16</v>
      </c>
      <c r="E3968" s="4" t="s">
        <v>1648</v>
      </c>
      <c r="F3968" s="4" t="s">
        <v>470</v>
      </c>
      <c r="G3968" s="4" t="s">
        <v>1424</v>
      </c>
      <c r="H3968" s="12" t="n">
        <v>1</v>
      </c>
      <c r="I3968" s="4" t="s">
        <v>408</v>
      </c>
      <c r="J3968" s="4" t="s">
        <v>409</v>
      </c>
      <c r="K3968" s="13" t="n">
        <v>3500</v>
      </c>
      <c r="L3968" s="6" t="n">
        <f aca="false">H3968*K3968</f>
        <v>3500</v>
      </c>
      <c r="M3968" s="4" t="s">
        <v>371</v>
      </c>
    </row>
    <row r="3969" customFormat="false" ht="23.85" hidden="false" customHeight="false" outlineLevel="0" collapsed="false">
      <c r="A3969" s="4" t="s">
        <v>147</v>
      </c>
      <c r="B3969" s="5" t="s">
        <v>158</v>
      </c>
      <c r="C3969" s="5" t="s">
        <v>159</v>
      </c>
      <c r="D3969" s="4" t="s">
        <v>16</v>
      </c>
      <c r="E3969" s="4" t="s">
        <v>1715</v>
      </c>
      <c r="F3969" s="4" t="s">
        <v>488</v>
      </c>
      <c r="G3969" s="4" t="s">
        <v>1716</v>
      </c>
      <c r="H3969" s="12" t="n">
        <v>1</v>
      </c>
      <c r="I3969" s="4" t="s">
        <v>408</v>
      </c>
      <c r="J3969" s="4" t="s">
        <v>807</v>
      </c>
      <c r="K3969" s="13" t="n">
        <v>45</v>
      </c>
      <c r="L3969" s="6" t="n">
        <f aca="false">H3969*K3969</f>
        <v>45</v>
      </c>
      <c r="M3969" s="4" t="s">
        <v>371</v>
      </c>
    </row>
    <row r="3970" customFormat="false" ht="23.85" hidden="false" customHeight="false" outlineLevel="0" collapsed="false">
      <c r="A3970" s="4" t="s">
        <v>147</v>
      </c>
      <c r="B3970" s="5" t="s">
        <v>158</v>
      </c>
      <c r="C3970" s="5" t="s">
        <v>159</v>
      </c>
      <c r="D3970" s="4" t="s">
        <v>16</v>
      </c>
      <c r="E3970" s="4" t="s">
        <v>1683</v>
      </c>
      <c r="F3970" s="4" t="s">
        <v>488</v>
      </c>
      <c r="G3970" s="4" t="s">
        <v>1684</v>
      </c>
      <c r="H3970" s="12" t="n">
        <v>1</v>
      </c>
      <c r="I3970" s="4" t="s">
        <v>408</v>
      </c>
      <c r="J3970" s="4" t="s">
        <v>409</v>
      </c>
      <c r="K3970" s="13" t="n">
        <v>120</v>
      </c>
      <c r="L3970" s="6" t="n">
        <f aca="false">H3970*K3970</f>
        <v>120</v>
      </c>
      <c r="M3970" s="14" t="s">
        <v>410</v>
      </c>
    </row>
    <row r="3971" customFormat="false" ht="23.85" hidden="false" customHeight="false" outlineLevel="0" collapsed="false">
      <c r="A3971" s="4" t="s">
        <v>147</v>
      </c>
      <c r="B3971" s="5" t="s">
        <v>158</v>
      </c>
      <c r="C3971" s="5" t="s">
        <v>159</v>
      </c>
      <c r="D3971" s="4" t="s">
        <v>16</v>
      </c>
      <c r="E3971" s="4" t="s">
        <v>1717</v>
      </c>
      <c r="F3971" s="4" t="s">
        <v>488</v>
      </c>
      <c r="G3971" s="4" t="s">
        <v>1718</v>
      </c>
      <c r="H3971" s="12" t="n">
        <v>1</v>
      </c>
      <c r="I3971" s="4" t="s">
        <v>408</v>
      </c>
      <c r="J3971" s="4" t="s">
        <v>416</v>
      </c>
      <c r="K3971" s="13" t="n">
        <v>1200</v>
      </c>
      <c r="L3971" s="6" t="n">
        <f aca="false">H3971*K3971</f>
        <v>1200</v>
      </c>
      <c r="M3971" s="4" t="s">
        <v>371</v>
      </c>
    </row>
    <row r="3972" customFormat="false" ht="23.85" hidden="false" customHeight="false" outlineLevel="0" collapsed="false">
      <c r="A3972" s="4" t="s">
        <v>147</v>
      </c>
      <c r="B3972" s="5" t="s">
        <v>158</v>
      </c>
      <c r="C3972" s="5" t="s">
        <v>159</v>
      </c>
      <c r="D3972" s="4" t="s">
        <v>16</v>
      </c>
      <c r="E3972" s="4" t="s">
        <v>1721</v>
      </c>
      <c r="F3972" s="4" t="s">
        <v>488</v>
      </c>
      <c r="G3972" s="4" t="s">
        <v>1722</v>
      </c>
      <c r="H3972" s="12" t="n">
        <v>1</v>
      </c>
      <c r="I3972" s="4" t="s">
        <v>408</v>
      </c>
      <c r="J3972" s="4" t="s">
        <v>409</v>
      </c>
      <c r="K3972" s="13" t="n">
        <v>80</v>
      </c>
      <c r="L3972" s="6" t="n">
        <f aca="false">H3972*K3972</f>
        <v>80</v>
      </c>
      <c r="M3972" s="4" t="s">
        <v>371</v>
      </c>
    </row>
    <row r="3973" customFormat="false" ht="23.85" hidden="false" customHeight="false" outlineLevel="0" collapsed="false">
      <c r="A3973" s="4" t="s">
        <v>147</v>
      </c>
      <c r="B3973" s="5" t="s">
        <v>158</v>
      </c>
      <c r="C3973" s="5" t="s">
        <v>159</v>
      </c>
      <c r="D3973" s="4" t="s">
        <v>16</v>
      </c>
      <c r="E3973" s="4" t="s">
        <v>4663</v>
      </c>
      <c r="F3973" s="4" t="s">
        <v>488</v>
      </c>
      <c r="G3973" s="4" t="s">
        <v>4664</v>
      </c>
      <c r="H3973" s="12" t="n">
        <v>1</v>
      </c>
      <c r="I3973" s="4" t="s">
        <v>408</v>
      </c>
      <c r="J3973" s="4" t="s">
        <v>416</v>
      </c>
      <c r="K3973" s="13" t="n">
        <v>2500</v>
      </c>
      <c r="L3973" s="6" t="n">
        <f aca="false">H3973*K3973</f>
        <v>2500</v>
      </c>
      <c r="M3973" s="4" t="s">
        <v>371</v>
      </c>
    </row>
    <row r="3974" customFormat="false" ht="23.85" hidden="false" customHeight="false" outlineLevel="0" collapsed="false">
      <c r="A3974" s="4" t="s">
        <v>147</v>
      </c>
      <c r="B3974" s="5" t="s">
        <v>158</v>
      </c>
      <c r="C3974" s="5" t="s">
        <v>159</v>
      </c>
      <c r="D3974" s="4" t="s">
        <v>16</v>
      </c>
      <c r="E3974" s="4" t="s">
        <v>1723</v>
      </c>
      <c r="F3974" s="4" t="s">
        <v>488</v>
      </c>
      <c r="G3974" s="4" t="s">
        <v>1724</v>
      </c>
      <c r="H3974" s="12" t="n">
        <v>1</v>
      </c>
      <c r="I3974" s="4" t="s">
        <v>408</v>
      </c>
      <c r="J3974" s="4" t="s">
        <v>409</v>
      </c>
      <c r="K3974" s="13" t="n">
        <v>25</v>
      </c>
      <c r="L3974" s="6" t="n">
        <f aca="false">H3974*K3974</f>
        <v>25</v>
      </c>
      <c r="M3974" s="4" t="s">
        <v>371</v>
      </c>
    </row>
    <row r="3975" customFormat="false" ht="15" hidden="false" customHeight="false" outlineLevel="0" collapsed="false">
      <c r="A3975" s="4" t="s">
        <v>147</v>
      </c>
      <c r="B3975" s="5" t="s">
        <v>162</v>
      </c>
      <c r="C3975" s="5" t="s">
        <v>163</v>
      </c>
      <c r="D3975" s="4" t="s">
        <v>16</v>
      </c>
      <c r="E3975" s="4" t="s">
        <v>1845</v>
      </c>
      <c r="F3975" s="4" t="s">
        <v>406</v>
      </c>
      <c r="G3975" s="4" t="s">
        <v>1846</v>
      </c>
      <c r="H3975" s="12" t="n">
        <v>1</v>
      </c>
      <c r="I3975" s="4" t="s">
        <v>408</v>
      </c>
      <c r="J3975" s="4" t="s">
        <v>416</v>
      </c>
      <c r="K3975" s="13" t="n">
        <v>4500</v>
      </c>
      <c r="L3975" s="6" t="n">
        <f aca="false">H3975*K3975</f>
        <v>4500</v>
      </c>
      <c r="M3975" s="14" t="s">
        <v>410</v>
      </c>
    </row>
    <row r="3976" customFormat="false" ht="15" hidden="false" customHeight="false" outlineLevel="0" collapsed="false">
      <c r="A3976" s="4" t="s">
        <v>147</v>
      </c>
      <c r="B3976" s="5" t="s">
        <v>162</v>
      </c>
      <c r="C3976" s="5" t="s">
        <v>163</v>
      </c>
      <c r="D3976" s="4" t="s">
        <v>16</v>
      </c>
      <c r="E3976" s="4" t="s">
        <v>1847</v>
      </c>
      <c r="F3976" s="4" t="s">
        <v>406</v>
      </c>
      <c r="G3976" s="4" t="s">
        <v>1848</v>
      </c>
      <c r="H3976" s="12" t="n">
        <v>1</v>
      </c>
      <c r="I3976" s="4" t="s">
        <v>408</v>
      </c>
      <c r="J3976" s="4" t="s">
        <v>409</v>
      </c>
      <c r="K3976" s="13" t="n">
        <v>450</v>
      </c>
      <c r="L3976" s="6" t="n">
        <f aca="false">H3976*K3976</f>
        <v>450</v>
      </c>
      <c r="M3976" s="14" t="s">
        <v>410</v>
      </c>
    </row>
    <row r="3977" customFormat="false" ht="15" hidden="false" customHeight="false" outlineLevel="0" collapsed="false">
      <c r="A3977" s="4" t="s">
        <v>147</v>
      </c>
      <c r="B3977" s="5" t="s">
        <v>162</v>
      </c>
      <c r="C3977" s="5" t="s">
        <v>163</v>
      </c>
      <c r="D3977" s="4" t="s">
        <v>16</v>
      </c>
      <c r="E3977" s="4" t="s">
        <v>1851</v>
      </c>
      <c r="F3977" s="4" t="s">
        <v>406</v>
      </c>
      <c r="G3977" s="4" t="s">
        <v>1852</v>
      </c>
      <c r="H3977" s="12" t="n">
        <v>1</v>
      </c>
      <c r="I3977" s="4" t="s">
        <v>408</v>
      </c>
      <c r="J3977" s="4" t="s">
        <v>409</v>
      </c>
      <c r="K3977" s="13" t="n">
        <v>250</v>
      </c>
      <c r="L3977" s="6" t="n">
        <f aca="false">H3977*K3977</f>
        <v>250</v>
      </c>
      <c r="M3977" s="14" t="s">
        <v>410</v>
      </c>
    </row>
    <row r="3978" customFormat="false" ht="15" hidden="false" customHeight="false" outlineLevel="0" collapsed="false">
      <c r="A3978" s="4" t="s">
        <v>147</v>
      </c>
      <c r="B3978" s="5" t="s">
        <v>162</v>
      </c>
      <c r="C3978" s="5" t="s">
        <v>163</v>
      </c>
      <c r="D3978" s="4" t="s">
        <v>16</v>
      </c>
      <c r="E3978" s="4" t="s">
        <v>1853</v>
      </c>
      <c r="F3978" s="4" t="s">
        <v>406</v>
      </c>
      <c r="G3978" s="4" t="s">
        <v>1854</v>
      </c>
      <c r="H3978" s="12" t="n">
        <v>1</v>
      </c>
      <c r="I3978" s="4" t="s">
        <v>408</v>
      </c>
      <c r="J3978" s="4" t="s">
        <v>409</v>
      </c>
      <c r="K3978" s="13" t="n">
        <v>250</v>
      </c>
      <c r="L3978" s="6" t="n">
        <f aca="false">H3978*K3978</f>
        <v>250</v>
      </c>
      <c r="M3978" s="14" t="s">
        <v>410</v>
      </c>
    </row>
    <row r="3979" customFormat="false" ht="15" hidden="false" customHeight="false" outlineLevel="0" collapsed="false">
      <c r="A3979" s="4" t="s">
        <v>147</v>
      </c>
      <c r="B3979" s="5" t="s">
        <v>162</v>
      </c>
      <c r="C3979" s="5" t="s">
        <v>163</v>
      </c>
      <c r="D3979" s="4" t="s">
        <v>16</v>
      </c>
      <c r="E3979" s="4" t="s">
        <v>1897</v>
      </c>
      <c r="F3979" s="4" t="s">
        <v>406</v>
      </c>
      <c r="G3979" s="4" t="s">
        <v>1611</v>
      </c>
      <c r="H3979" s="12" t="n">
        <v>1</v>
      </c>
      <c r="I3979" s="4" t="s">
        <v>408</v>
      </c>
      <c r="J3979" s="4" t="s">
        <v>409</v>
      </c>
      <c r="K3979" s="13" t="n">
        <v>350</v>
      </c>
      <c r="L3979" s="6" t="n">
        <f aca="false">H3979*K3979</f>
        <v>350</v>
      </c>
      <c r="M3979" s="14" t="s">
        <v>410</v>
      </c>
    </row>
    <row r="3980" customFormat="false" ht="15" hidden="false" customHeight="false" outlineLevel="0" collapsed="false">
      <c r="A3980" s="4" t="s">
        <v>147</v>
      </c>
      <c r="B3980" s="5" t="s">
        <v>162</v>
      </c>
      <c r="C3980" s="5" t="s">
        <v>163</v>
      </c>
      <c r="D3980" s="4" t="s">
        <v>16</v>
      </c>
      <c r="E3980" s="4" t="s">
        <v>4665</v>
      </c>
      <c r="F3980" s="4" t="s">
        <v>406</v>
      </c>
      <c r="G3980" s="4" t="s">
        <v>4666</v>
      </c>
      <c r="H3980" s="12" t="n">
        <v>1</v>
      </c>
      <c r="I3980" s="4" t="s">
        <v>408</v>
      </c>
      <c r="J3980" s="4" t="s">
        <v>416</v>
      </c>
      <c r="K3980" s="13" t="n">
        <v>6500</v>
      </c>
      <c r="L3980" s="6" t="n">
        <f aca="false">H3980*K3980</f>
        <v>6500</v>
      </c>
      <c r="M3980" s="4" t="s">
        <v>371</v>
      </c>
    </row>
    <row r="3981" customFormat="false" ht="15" hidden="false" customHeight="false" outlineLevel="0" collapsed="false">
      <c r="A3981" s="4" t="s">
        <v>147</v>
      </c>
      <c r="B3981" s="5" t="s">
        <v>162</v>
      </c>
      <c r="C3981" s="5" t="s">
        <v>163</v>
      </c>
      <c r="D3981" s="4" t="s">
        <v>16</v>
      </c>
      <c r="E3981" s="4" t="s">
        <v>1855</v>
      </c>
      <c r="F3981" s="4" t="s">
        <v>406</v>
      </c>
      <c r="G3981" s="4" t="s">
        <v>1856</v>
      </c>
      <c r="H3981" s="12" t="n">
        <v>1</v>
      </c>
      <c r="I3981" s="4" t="s">
        <v>408</v>
      </c>
      <c r="J3981" s="4" t="s">
        <v>409</v>
      </c>
      <c r="K3981" s="13" t="n">
        <v>180</v>
      </c>
      <c r="L3981" s="6" t="n">
        <f aca="false">H3981*K3981</f>
        <v>180</v>
      </c>
      <c r="M3981" s="14" t="s">
        <v>410</v>
      </c>
    </row>
    <row r="3982" customFormat="false" ht="15" hidden="false" customHeight="false" outlineLevel="0" collapsed="false">
      <c r="A3982" s="4" t="s">
        <v>147</v>
      </c>
      <c r="B3982" s="5" t="s">
        <v>162</v>
      </c>
      <c r="C3982" s="5" t="s">
        <v>163</v>
      </c>
      <c r="D3982" s="4" t="s">
        <v>16</v>
      </c>
      <c r="E3982" s="4" t="s">
        <v>1857</v>
      </c>
      <c r="F3982" s="4" t="s">
        <v>406</v>
      </c>
      <c r="G3982" s="4" t="s">
        <v>1858</v>
      </c>
      <c r="H3982" s="12" t="n">
        <v>1</v>
      </c>
      <c r="I3982" s="4" t="s">
        <v>408</v>
      </c>
      <c r="J3982" s="4" t="s">
        <v>409</v>
      </c>
      <c r="K3982" s="13" t="n">
        <v>450</v>
      </c>
      <c r="L3982" s="6" t="n">
        <f aca="false">H3982*K3982</f>
        <v>450</v>
      </c>
      <c r="M3982" s="14" t="s">
        <v>410</v>
      </c>
    </row>
    <row r="3983" customFormat="false" ht="15" hidden="false" customHeight="false" outlineLevel="0" collapsed="false">
      <c r="A3983" s="4" t="s">
        <v>147</v>
      </c>
      <c r="B3983" s="5" t="s">
        <v>162</v>
      </c>
      <c r="C3983" s="5" t="s">
        <v>163</v>
      </c>
      <c r="D3983" s="4" t="s">
        <v>16</v>
      </c>
      <c r="E3983" s="4" t="s">
        <v>1672</v>
      </c>
      <c r="F3983" s="4" t="s">
        <v>406</v>
      </c>
      <c r="G3983" s="4" t="s">
        <v>1673</v>
      </c>
      <c r="H3983" s="12" t="n">
        <v>1</v>
      </c>
      <c r="I3983" s="4" t="s">
        <v>408</v>
      </c>
      <c r="J3983" s="4" t="s">
        <v>409</v>
      </c>
      <c r="K3983" s="13" t="n">
        <v>3500</v>
      </c>
      <c r="L3983" s="6" t="n">
        <f aca="false">H3983*K3983</f>
        <v>3500</v>
      </c>
      <c r="M3983" s="14" t="s">
        <v>410</v>
      </c>
    </row>
    <row r="3984" customFormat="false" ht="15" hidden="false" customHeight="false" outlineLevel="0" collapsed="false">
      <c r="A3984" s="4" t="s">
        <v>147</v>
      </c>
      <c r="B3984" s="5" t="s">
        <v>162</v>
      </c>
      <c r="C3984" s="5" t="s">
        <v>163</v>
      </c>
      <c r="D3984" s="4" t="s">
        <v>16</v>
      </c>
      <c r="E3984" s="4" t="s">
        <v>1859</v>
      </c>
      <c r="F3984" s="4" t="s">
        <v>406</v>
      </c>
      <c r="G3984" s="4" t="s">
        <v>1860</v>
      </c>
      <c r="H3984" s="12" t="n">
        <v>1</v>
      </c>
      <c r="I3984" s="4" t="s">
        <v>408</v>
      </c>
      <c r="J3984" s="4" t="s">
        <v>416</v>
      </c>
      <c r="K3984" s="13" t="n">
        <v>1800</v>
      </c>
      <c r="L3984" s="6" t="n">
        <f aca="false">H3984*K3984</f>
        <v>1800</v>
      </c>
      <c r="M3984" s="14" t="s">
        <v>410</v>
      </c>
    </row>
    <row r="3985" customFormat="false" ht="15" hidden="false" customHeight="false" outlineLevel="0" collapsed="false">
      <c r="A3985" s="4" t="s">
        <v>147</v>
      </c>
      <c r="B3985" s="5" t="s">
        <v>162</v>
      </c>
      <c r="C3985" s="5" t="s">
        <v>163</v>
      </c>
      <c r="D3985" s="4" t="s">
        <v>16</v>
      </c>
      <c r="E3985" s="4" t="s">
        <v>1861</v>
      </c>
      <c r="F3985" s="4" t="s">
        <v>406</v>
      </c>
      <c r="G3985" s="4" t="s">
        <v>1667</v>
      </c>
      <c r="H3985" s="12" t="n">
        <v>1</v>
      </c>
      <c r="I3985" s="4" t="s">
        <v>408</v>
      </c>
      <c r="J3985" s="4" t="s">
        <v>409</v>
      </c>
      <c r="K3985" s="13" t="n">
        <v>450</v>
      </c>
      <c r="L3985" s="6" t="n">
        <f aca="false">H3985*K3985</f>
        <v>450</v>
      </c>
      <c r="M3985" s="14" t="s">
        <v>410</v>
      </c>
    </row>
    <row r="3986" customFormat="false" ht="15" hidden="false" customHeight="false" outlineLevel="0" collapsed="false">
      <c r="A3986" s="4" t="s">
        <v>147</v>
      </c>
      <c r="B3986" s="5" t="s">
        <v>162</v>
      </c>
      <c r="C3986" s="5" t="s">
        <v>163</v>
      </c>
      <c r="D3986" s="4" t="s">
        <v>16</v>
      </c>
      <c r="E3986" s="4" t="s">
        <v>1862</v>
      </c>
      <c r="F3986" s="4" t="s">
        <v>406</v>
      </c>
      <c r="G3986" s="4" t="s">
        <v>1863</v>
      </c>
      <c r="H3986" s="12" t="n">
        <v>1</v>
      </c>
      <c r="I3986" s="4" t="s">
        <v>408</v>
      </c>
      <c r="J3986" s="4" t="s">
        <v>409</v>
      </c>
      <c r="K3986" s="13" t="n">
        <v>350</v>
      </c>
      <c r="L3986" s="6" t="n">
        <f aca="false">H3986*K3986</f>
        <v>350</v>
      </c>
      <c r="M3986" s="14" t="s">
        <v>410</v>
      </c>
    </row>
    <row r="3987" customFormat="false" ht="15" hidden="false" customHeight="false" outlineLevel="0" collapsed="false">
      <c r="A3987" s="4" t="s">
        <v>147</v>
      </c>
      <c r="B3987" s="5" t="s">
        <v>162</v>
      </c>
      <c r="C3987" s="5" t="s">
        <v>163</v>
      </c>
      <c r="D3987" s="4" t="s">
        <v>16</v>
      </c>
      <c r="E3987" s="4" t="s">
        <v>1864</v>
      </c>
      <c r="F3987" s="4" t="s">
        <v>406</v>
      </c>
      <c r="G3987" s="4" t="s">
        <v>1865</v>
      </c>
      <c r="H3987" s="12" t="n">
        <v>1</v>
      </c>
      <c r="I3987" s="4" t="s">
        <v>408</v>
      </c>
      <c r="J3987" s="4" t="s">
        <v>409</v>
      </c>
      <c r="K3987" s="13" t="n">
        <v>450</v>
      </c>
      <c r="L3987" s="6" t="n">
        <f aca="false">H3987*K3987</f>
        <v>450</v>
      </c>
      <c r="M3987" s="14" t="s">
        <v>410</v>
      </c>
    </row>
    <row r="3988" customFormat="false" ht="15" hidden="false" customHeight="false" outlineLevel="0" collapsed="false">
      <c r="A3988" s="4" t="s">
        <v>147</v>
      </c>
      <c r="B3988" s="5" t="s">
        <v>162</v>
      </c>
      <c r="C3988" s="5" t="s">
        <v>163</v>
      </c>
      <c r="D3988" s="4" t="s">
        <v>16</v>
      </c>
      <c r="E3988" s="4" t="s">
        <v>1866</v>
      </c>
      <c r="F3988" s="4" t="s">
        <v>406</v>
      </c>
      <c r="G3988" s="4" t="s">
        <v>1867</v>
      </c>
      <c r="H3988" s="12" t="n">
        <v>1</v>
      </c>
      <c r="I3988" s="4" t="s">
        <v>408</v>
      </c>
      <c r="J3988" s="4" t="s">
        <v>409</v>
      </c>
      <c r="K3988" s="13" t="n">
        <v>450</v>
      </c>
      <c r="L3988" s="6" t="n">
        <f aca="false">H3988*K3988</f>
        <v>450</v>
      </c>
      <c r="M3988" s="14" t="s">
        <v>410</v>
      </c>
    </row>
    <row r="3989" customFormat="false" ht="15" hidden="false" customHeight="false" outlineLevel="0" collapsed="false">
      <c r="A3989" s="4" t="s">
        <v>147</v>
      </c>
      <c r="B3989" s="5" t="s">
        <v>162</v>
      </c>
      <c r="C3989" s="5" t="s">
        <v>163</v>
      </c>
      <c r="D3989" s="4" t="s">
        <v>16</v>
      </c>
      <c r="E3989" s="4" t="s">
        <v>1868</v>
      </c>
      <c r="F3989" s="4" t="s">
        <v>406</v>
      </c>
      <c r="G3989" s="4" t="s">
        <v>1869</v>
      </c>
      <c r="H3989" s="12" t="n">
        <v>1</v>
      </c>
      <c r="I3989" s="4" t="s">
        <v>408</v>
      </c>
      <c r="J3989" s="4" t="s">
        <v>409</v>
      </c>
      <c r="K3989" s="13" t="n">
        <v>350</v>
      </c>
      <c r="L3989" s="6" t="n">
        <f aca="false">H3989*K3989</f>
        <v>350</v>
      </c>
      <c r="M3989" s="14" t="s">
        <v>410</v>
      </c>
    </row>
    <row r="3990" customFormat="false" ht="15" hidden="false" customHeight="false" outlineLevel="0" collapsed="false">
      <c r="A3990" s="4" t="s">
        <v>147</v>
      </c>
      <c r="B3990" s="5" t="s">
        <v>162</v>
      </c>
      <c r="C3990" s="5" t="s">
        <v>163</v>
      </c>
      <c r="D3990" s="4" t="s">
        <v>16</v>
      </c>
      <c r="E3990" s="4" t="s">
        <v>1870</v>
      </c>
      <c r="F3990" s="4" t="s">
        <v>406</v>
      </c>
      <c r="G3990" s="4" t="s">
        <v>1871</v>
      </c>
      <c r="H3990" s="12" t="n">
        <v>1</v>
      </c>
      <c r="I3990" s="4" t="s">
        <v>408</v>
      </c>
      <c r="J3990" s="4" t="s">
        <v>416</v>
      </c>
      <c r="K3990" s="13" t="n">
        <v>2500</v>
      </c>
      <c r="L3990" s="6" t="n">
        <f aca="false">H3990*K3990</f>
        <v>2500</v>
      </c>
      <c r="M3990" s="14" t="s">
        <v>410</v>
      </c>
    </row>
    <row r="3991" customFormat="false" ht="15" hidden="false" customHeight="false" outlineLevel="0" collapsed="false">
      <c r="A3991" s="4" t="s">
        <v>147</v>
      </c>
      <c r="B3991" s="5" t="s">
        <v>162</v>
      </c>
      <c r="C3991" s="5" t="s">
        <v>163</v>
      </c>
      <c r="D3991" s="4" t="s">
        <v>16</v>
      </c>
      <c r="E3991" s="4" t="s">
        <v>960</v>
      </c>
      <c r="F3991" s="4" t="s">
        <v>406</v>
      </c>
      <c r="G3991" s="4" t="s">
        <v>961</v>
      </c>
      <c r="H3991" s="12" t="n">
        <v>1</v>
      </c>
      <c r="I3991" s="4" t="s">
        <v>408</v>
      </c>
      <c r="J3991" s="4" t="s">
        <v>409</v>
      </c>
      <c r="K3991" s="13" t="n">
        <v>3500</v>
      </c>
      <c r="L3991" s="6" t="n">
        <f aca="false">H3991*K3991</f>
        <v>3500</v>
      </c>
      <c r="M3991" s="14" t="s">
        <v>410</v>
      </c>
    </row>
    <row r="3992" customFormat="false" ht="15" hidden="false" customHeight="false" outlineLevel="0" collapsed="false">
      <c r="A3992" s="4" t="s">
        <v>147</v>
      </c>
      <c r="B3992" s="5" t="s">
        <v>162</v>
      </c>
      <c r="C3992" s="5" t="s">
        <v>163</v>
      </c>
      <c r="D3992" s="4" t="s">
        <v>16</v>
      </c>
      <c r="E3992" s="4" t="s">
        <v>1866</v>
      </c>
      <c r="F3992" s="4" t="s">
        <v>406</v>
      </c>
      <c r="G3992" s="4" t="s">
        <v>1867</v>
      </c>
      <c r="H3992" s="12" t="n">
        <v>1</v>
      </c>
      <c r="I3992" s="4" t="s">
        <v>408</v>
      </c>
      <c r="J3992" s="4" t="s">
        <v>409</v>
      </c>
      <c r="K3992" s="13" t="n">
        <v>450</v>
      </c>
      <c r="L3992" s="6" t="n">
        <f aca="false">H3992*K3992</f>
        <v>450</v>
      </c>
      <c r="M3992" s="14" t="s">
        <v>410</v>
      </c>
    </row>
    <row r="3993" customFormat="false" ht="15" hidden="false" customHeight="false" outlineLevel="0" collapsed="false">
      <c r="A3993" s="4" t="s">
        <v>147</v>
      </c>
      <c r="B3993" s="5" t="s">
        <v>162</v>
      </c>
      <c r="C3993" s="5" t="s">
        <v>163</v>
      </c>
      <c r="D3993" s="4" t="s">
        <v>16</v>
      </c>
      <c r="E3993" s="4" t="s">
        <v>1674</v>
      </c>
      <c r="F3993" s="4" t="s">
        <v>406</v>
      </c>
      <c r="G3993" s="4" t="s">
        <v>778</v>
      </c>
      <c r="H3993" s="12" t="n">
        <v>1</v>
      </c>
      <c r="I3993" s="4" t="s">
        <v>408</v>
      </c>
      <c r="J3993" s="4" t="s">
        <v>409</v>
      </c>
      <c r="K3993" s="13" t="n">
        <v>120</v>
      </c>
      <c r="L3993" s="6" t="n">
        <f aca="false">H3993*K3993</f>
        <v>120</v>
      </c>
      <c r="M3993" s="14" t="s">
        <v>410</v>
      </c>
    </row>
    <row r="3994" customFormat="false" ht="15" hidden="false" customHeight="false" outlineLevel="0" collapsed="false">
      <c r="A3994" s="4" t="s">
        <v>147</v>
      </c>
      <c r="B3994" s="5" t="s">
        <v>162</v>
      </c>
      <c r="C3994" s="5" t="s">
        <v>163</v>
      </c>
      <c r="D3994" s="4" t="s">
        <v>16</v>
      </c>
      <c r="E3994" s="4" t="s">
        <v>1872</v>
      </c>
      <c r="F3994" s="4" t="s">
        <v>406</v>
      </c>
      <c r="G3994" s="4" t="s">
        <v>1873</v>
      </c>
      <c r="H3994" s="12" t="n">
        <v>1</v>
      </c>
      <c r="I3994" s="4" t="s">
        <v>408</v>
      </c>
      <c r="J3994" s="4" t="s">
        <v>807</v>
      </c>
      <c r="K3994" s="13" t="n">
        <v>250</v>
      </c>
      <c r="L3994" s="6" t="n">
        <f aca="false">H3994*K3994</f>
        <v>250</v>
      </c>
      <c r="M3994" s="14" t="s">
        <v>410</v>
      </c>
    </row>
    <row r="3995" customFormat="false" ht="15" hidden="false" customHeight="false" outlineLevel="0" collapsed="false">
      <c r="A3995" s="4" t="s">
        <v>147</v>
      </c>
      <c r="B3995" s="5" t="s">
        <v>162</v>
      </c>
      <c r="C3995" s="5" t="s">
        <v>163</v>
      </c>
      <c r="D3995" s="4" t="s">
        <v>16</v>
      </c>
      <c r="E3995" s="4" t="s">
        <v>1874</v>
      </c>
      <c r="F3995" s="4" t="s">
        <v>406</v>
      </c>
      <c r="G3995" s="4" t="s">
        <v>1875</v>
      </c>
      <c r="H3995" s="12" t="n">
        <v>1</v>
      </c>
      <c r="I3995" s="4" t="s">
        <v>408</v>
      </c>
      <c r="J3995" s="4" t="s">
        <v>409</v>
      </c>
      <c r="K3995" s="13" t="n">
        <v>350</v>
      </c>
      <c r="L3995" s="6" t="n">
        <f aca="false">H3995*K3995</f>
        <v>350</v>
      </c>
      <c r="M3995" s="14" t="s">
        <v>410</v>
      </c>
    </row>
    <row r="3996" customFormat="false" ht="15" hidden="false" customHeight="false" outlineLevel="0" collapsed="false">
      <c r="A3996" s="4" t="s">
        <v>147</v>
      </c>
      <c r="B3996" s="5" t="s">
        <v>162</v>
      </c>
      <c r="C3996" s="5" t="s">
        <v>163</v>
      </c>
      <c r="D3996" s="4" t="s">
        <v>16</v>
      </c>
      <c r="E3996" s="4" t="s">
        <v>1876</v>
      </c>
      <c r="F3996" s="4" t="s">
        <v>406</v>
      </c>
      <c r="G3996" s="4" t="s">
        <v>1877</v>
      </c>
      <c r="H3996" s="12" t="n">
        <v>1</v>
      </c>
      <c r="I3996" s="4" t="s">
        <v>408</v>
      </c>
      <c r="J3996" s="4" t="s">
        <v>409</v>
      </c>
      <c r="K3996" s="13" t="n">
        <v>850</v>
      </c>
      <c r="L3996" s="6" t="n">
        <f aca="false">H3996*K3996</f>
        <v>850</v>
      </c>
      <c r="M3996" s="14" t="s">
        <v>410</v>
      </c>
    </row>
    <row r="3997" customFormat="false" ht="15" hidden="false" customHeight="false" outlineLevel="0" collapsed="false">
      <c r="A3997" s="4" t="s">
        <v>147</v>
      </c>
      <c r="B3997" s="5" t="s">
        <v>162</v>
      </c>
      <c r="C3997" s="5" t="s">
        <v>163</v>
      </c>
      <c r="D3997" s="4" t="s">
        <v>16</v>
      </c>
      <c r="E3997" s="4" t="s">
        <v>1192</v>
      </c>
      <c r="F3997" s="4" t="s">
        <v>406</v>
      </c>
      <c r="G3997" s="4" t="s">
        <v>1193</v>
      </c>
      <c r="H3997" s="12" t="n">
        <v>1</v>
      </c>
      <c r="I3997" s="4" t="s">
        <v>408</v>
      </c>
      <c r="J3997" s="4" t="s">
        <v>416</v>
      </c>
      <c r="K3997" s="13" t="n">
        <v>450</v>
      </c>
      <c r="L3997" s="6" t="n">
        <f aca="false">H3997*K3997</f>
        <v>450</v>
      </c>
      <c r="M3997" s="14" t="s">
        <v>410</v>
      </c>
    </row>
    <row r="3998" customFormat="false" ht="15" hidden="false" customHeight="false" outlineLevel="0" collapsed="false">
      <c r="A3998" s="4" t="s">
        <v>147</v>
      </c>
      <c r="B3998" s="5" t="s">
        <v>162</v>
      </c>
      <c r="C3998" s="5" t="s">
        <v>163</v>
      </c>
      <c r="D3998" s="4" t="s">
        <v>16</v>
      </c>
      <c r="E3998" s="4" t="s">
        <v>1878</v>
      </c>
      <c r="F3998" s="4" t="s">
        <v>406</v>
      </c>
      <c r="G3998" s="4" t="s">
        <v>1879</v>
      </c>
      <c r="H3998" s="12" t="n">
        <v>1</v>
      </c>
      <c r="I3998" s="4" t="s">
        <v>408</v>
      </c>
      <c r="J3998" s="4" t="s">
        <v>409</v>
      </c>
      <c r="K3998" s="13" t="n">
        <v>180</v>
      </c>
      <c r="L3998" s="6" t="n">
        <f aca="false">H3998*K3998</f>
        <v>180</v>
      </c>
      <c r="M3998" s="14" t="s">
        <v>410</v>
      </c>
    </row>
    <row r="3999" customFormat="false" ht="15" hidden="false" customHeight="false" outlineLevel="0" collapsed="false">
      <c r="A3999" s="4" t="s">
        <v>147</v>
      </c>
      <c r="B3999" s="5" t="s">
        <v>162</v>
      </c>
      <c r="C3999" s="5" t="s">
        <v>163</v>
      </c>
      <c r="D3999" s="4" t="s">
        <v>16</v>
      </c>
      <c r="E3999" s="4" t="s">
        <v>1880</v>
      </c>
      <c r="F3999" s="4" t="s">
        <v>406</v>
      </c>
      <c r="G3999" s="4" t="s">
        <v>1881</v>
      </c>
      <c r="H3999" s="12" t="n">
        <v>1</v>
      </c>
      <c r="I3999" s="4" t="s">
        <v>408</v>
      </c>
      <c r="J3999" s="4" t="s">
        <v>409</v>
      </c>
      <c r="K3999" s="13" t="n">
        <v>650</v>
      </c>
      <c r="L3999" s="6" t="n">
        <f aca="false">H3999*K3999</f>
        <v>650</v>
      </c>
      <c r="M3999" s="14" t="s">
        <v>410</v>
      </c>
    </row>
    <row r="4000" customFormat="false" ht="15" hidden="false" customHeight="false" outlineLevel="0" collapsed="false">
      <c r="A4000" s="4" t="s">
        <v>147</v>
      </c>
      <c r="B4000" s="5" t="s">
        <v>162</v>
      </c>
      <c r="C4000" s="5" t="s">
        <v>163</v>
      </c>
      <c r="D4000" s="4" t="s">
        <v>16</v>
      </c>
      <c r="E4000" s="4" t="s">
        <v>1882</v>
      </c>
      <c r="F4000" s="4" t="s">
        <v>406</v>
      </c>
      <c r="G4000" s="4" t="s">
        <v>1883</v>
      </c>
      <c r="H4000" s="12" t="n">
        <v>1</v>
      </c>
      <c r="I4000" s="4" t="s">
        <v>408</v>
      </c>
      <c r="J4000" s="4" t="s">
        <v>409</v>
      </c>
      <c r="K4000" s="13" t="n">
        <v>1800</v>
      </c>
      <c r="L4000" s="6" t="n">
        <f aca="false">H4000*K4000</f>
        <v>1800</v>
      </c>
      <c r="M4000" s="14" t="s">
        <v>410</v>
      </c>
    </row>
    <row r="4001" customFormat="false" ht="15" hidden="false" customHeight="false" outlineLevel="0" collapsed="false">
      <c r="A4001" s="4" t="s">
        <v>147</v>
      </c>
      <c r="B4001" s="5" t="s">
        <v>162</v>
      </c>
      <c r="C4001" s="5" t="s">
        <v>163</v>
      </c>
      <c r="D4001" s="4" t="s">
        <v>16</v>
      </c>
      <c r="E4001" s="4" t="s">
        <v>1884</v>
      </c>
      <c r="F4001" s="4" t="s">
        <v>406</v>
      </c>
      <c r="G4001" s="4" t="s">
        <v>1604</v>
      </c>
      <c r="H4001" s="12" t="n">
        <v>1</v>
      </c>
      <c r="I4001" s="4" t="s">
        <v>408</v>
      </c>
      <c r="J4001" s="4" t="s">
        <v>416</v>
      </c>
      <c r="K4001" s="13" t="n">
        <v>1200</v>
      </c>
      <c r="L4001" s="6" t="n">
        <f aca="false">H4001*K4001</f>
        <v>1200</v>
      </c>
      <c r="M4001" s="14" t="s">
        <v>410</v>
      </c>
    </row>
    <row r="4002" customFormat="false" ht="15" hidden="false" customHeight="false" outlineLevel="0" collapsed="false">
      <c r="A4002" s="4" t="s">
        <v>147</v>
      </c>
      <c r="B4002" s="5" t="s">
        <v>162</v>
      </c>
      <c r="C4002" s="5" t="s">
        <v>163</v>
      </c>
      <c r="D4002" s="4" t="s">
        <v>16</v>
      </c>
      <c r="E4002" s="4" t="s">
        <v>1897</v>
      </c>
      <c r="F4002" s="4" t="s">
        <v>406</v>
      </c>
      <c r="G4002" s="4" t="s">
        <v>1611</v>
      </c>
      <c r="H4002" s="12" t="n">
        <v>1</v>
      </c>
      <c r="I4002" s="4" t="s">
        <v>408</v>
      </c>
      <c r="J4002" s="4" t="s">
        <v>409</v>
      </c>
      <c r="K4002" s="13" t="n">
        <v>350</v>
      </c>
      <c r="L4002" s="6" t="n">
        <f aca="false">H4002*K4002</f>
        <v>350</v>
      </c>
      <c r="M4002" s="14" t="s">
        <v>410</v>
      </c>
    </row>
    <row r="4003" customFormat="false" ht="15" hidden="false" customHeight="false" outlineLevel="0" collapsed="false">
      <c r="A4003" s="4" t="s">
        <v>147</v>
      </c>
      <c r="B4003" s="5" t="s">
        <v>162</v>
      </c>
      <c r="C4003" s="5" t="s">
        <v>163</v>
      </c>
      <c r="D4003" s="4" t="s">
        <v>16</v>
      </c>
      <c r="E4003" s="4" t="s">
        <v>1866</v>
      </c>
      <c r="F4003" s="4" t="s">
        <v>406</v>
      </c>
      <c r="G4003" s="4" t="s">
        <v>1867</v>
      </c>
      <c r="H4003" s="12" t="n">
        <v>1</v>
      </c>
      <c r="I4003" s="4" t="s">
        <v>408</v>
      </c>
      <c r="J4003" s="4" t="s">
        <v>409</v>
      </c>
      <c r="K4003" s="13" t="n">
        <v>450</v>
      </c>
      <c r="L4003" s="6" t="n">
        <f aca="false">H4003*K4003</f>
        <v>450</v>
      </c>
      <c r="M4003" s="14" t="s">
        <v>410</v>
      </c>
    </row>
    <row r="4004" customFormat="false" ht="15" hidden="false" customHeight="false" outlineLevel="0" collapsed="false">
      <c r="A4004" s="4" t="s">
        <v>147</v>
      </c>
      <c r="B4004" s="5" t="s">
        <v>162</v>
      </c>
      <c r="C4004" s="5" t="s">
        <v>163</v>
      </c>
      <c r="D4004" s="4" t="s">
        <v>16</v>
      </c>
      <c r="E4004" s="4" t="s">
        <v>1220</v>
      </c>
      <c r="F4004" s="4" t="s">
        <v>406</v>
      </c>
      <c r="G4004" s="4" t="s">
        <v>1221</v>
      </c>
      <c r="H4004" s="12" t="n">
        <v>1</v>
      </c>
      <c r="I4004" s="4" t="s">
        <v>408</v>
      </c>
      <c r="J4004" s="4" t="s">
        <v>416</v>
      </c>
      <c r="K4004" s="13" t="n">
        <v>2500</v>
      </c>
      <c r="L4004" s="6" t="n">
        <f aca="false">H4004*K4004</f>
        <v>2500</v>
      </c>
      <c r="M4004" s="14" t="s">
        <v>410</v>
      </c>
    </row>
    <row r="4005" customFormat="false" ht="15" hidden="false" customHeight="false" outlineLevel="0" collapsed="false">
      <c r="A4005" s="4" t="s">
        <v>147</v>
      </c>
      <c r="B4005" s="5" t="s">
        <v>162</v>
      </c>
      <c r="C4005" s="5" t="s">
        <v>163</v>
      </c>
      <c r="D4005" s="4" t="s">
        <v>16</v>
      </c>
      <c r="E4005" s="4" t="s">
        <v>4667</v>
      </c>
      <c r="F4005" s="4" t="s">
        <v>406</v>
      </c>
      <c r="G4005" s="4" t="s">
        <v>4668</v>
      </c>
      <c r="H4005" s="12" t="n">
        <v>1</v>
      </c>
      <c r="I4005" s="4" t="s">
        <v>408</v>
      </c>
      <c r="J4005" s="4" t="s">
        <v>543</v>
      </c>
      <c r="K4005" s="13" t="n">
        <v>85000</v>
      </c>
      <c r="L4005" s="6" t="n">
        <f aca="false">H4005*K4005</f>
        <v>85000</v>
      </c>
      <c r="M4005" s="14" t="s">
        <v>410</v>
      </c>
    </row>
    <row r="4006" customFormat="false" ht="15" hidden="false" customHeight="false" outlineLevel="0" collapsed="false">
      <c r="A4006" s="4" t="s">
        <v>147</v>
      </c>
      <c r="B4006" s="5" t="s">
        <v>162</v>
      </c>
      <c r="C4006" s="5" t="s">
        <v>163</v>
      </c>
      <c r="D4006" s="4" t="s">
        <v>16</v>
      </c>
      <c r="E4006" s="4" t="s">
        <v>1887</v>
      </c>
      <c r="F4006" s="4" t="s">
        <v>406</v>
      </c>
      <c r="G4006" s="4" t="s">
        <v>1888</v>
      </c>
      <c r="H4006" s="12" t="n">
        <v>1</v>
      </c>
      <c r="I4006" s="4" t="s">
        <v>408</v>
      </c>
      <c r="J4006" s="4" t="s">
        <v>409</v>
      </c>
      <c r="K4006" s="13" t="n">
        <v>85000</v>
      </c>
      <c r="L4006" s="6" t="n">
        <f aca="false">H4006*K4006</f>
        <v>85000</v>
      </c>
      <c r="M4006" s="14" t="s">
        <v>410</v>
      </c>
    </row>
    <row r="4007" customFormat="false" ht="15" hidden="false" customHeight="false" outlineLevel="0" collapsed="false">
      <c r="A4007" s="4" t="s">
        <v>147</v>
      </c>
      <c r="B4007" s="5" t="s">
        <v>162</v>
      </c>
      <c r="C4007" s="5" t="s">
        <v>163</v>
      </c>
      <c r="D4007" s="4" t="s">
        <v>16</v>
      </c>
      <c r="E4007" s="4" t="s">
        <v>1889</v>
      </c>
      <c r="F4007" s="4" t="s">
        <v>406</v>
      </c>
      <c r="G4007" s="4" t="s">
        <v>1890</v>
      </c>
      <c r="H4007" s="12" t="n">
        <v>1</v>
      </c>
      <c r="I4007" s="4" t="s">
        <v>408</v>
      </c>
      <c r="J4007" s="4" t="s">
        <v>409</v>
      </c>
      <c r="K4007" s="13" t="n">
        <v>18000</v>
      </c>
      <c r="L4007" s="6" t="n">
        <f aca="false">H4007*K4007</f>
        <v>18000</v>
      </c>
      <c r="M4007" s="14" t="s">
        <v>410</v>
      </c>
    </row>
    <row r="4008" customFormat="false" ht="15" hidden="false" customHeight="false" outlineLevel="0" collapsed="false">
      <c r="A4008" s="4" t="s">
        <v>147</v>
      </c>
      <c r="B4008" s="5" t="s">
        <v>162</v>
      </c>
      <c r="C4008" s="5" t="s">
        <v>163</v>
      </c>
      <c r="D4008" s="4" t="s">
        <v>16</v>
      </c>
      <c r="E4008" s="4" t="s">
        <v>1891</v>
      </c>
      <c r="F4008" s="4" t="s">
        <v>406</v>
      </c>
      <c r="G4008" s="4" t="s">
        <v>1892</v>
      </c>
      <c r="H4008" s="12" t="n">
        <v>1</v>
      </c>
      <c r="I4008" s="4" t="s">
        <v>408</v>
      </c>
      <c r="J4008" s="4" t="s">
        <v>409</v>
      </c>
      <c r="K4008" s="13" t="n">
        <v>1800</v>
      </c>
      <c r="L4008" s="6" t="n">
        <f aca="false">H4008*K4008</f>
        <v>1800</v>
      </c>
      <c r="M4008" s="14" t="s">
        <v>410</v>
      </c>
    </row>
    <row r="4009" customFormat="false" ht="15" hidden="false" customHeight="false" outlineLevel="0" collapsed="false">
      <c r="A4009" s="4" t="s">
        <v>147</v>
      </c>
      <c r="B4009" s="5" t="s">
        <v>162</v>
      </c>
      <c r="C4009" s="5" t="s">
        <v>163</v>
      </c>
      <c r="D4009" s="4" t="s">
        <v>16</v>
      </c>
      <c r="E4009" s="4" t="s">
        <v>1893</v>
      </c>
      <c r="F4009" s="4" t="s">
        <v>406</v>
      </c>
      <c r="G4009" s="4" t="s">
        <v>1894</v>
      </c>
      <c r="H4009" s="12" t="n">
        <v>1</v>
      </c>
      <c r="I4009" s="4" t="s">
        <v>408</v>
      </c>
      <c r="J4009" s="4" t="s">
        <v>409</v>
      </c>
      <c r="K4009" s="13" t="n">
        <v>1800</v>
      </c>
      <c r="L4009" s="6" t="n">
        <f aca="false">H4009*K4009</f>
        <v>1800</v>
      </c>
      <c r="M4009" s="14" t="s">
        <v>410</v>
      </c>
    </row>
    <row r="4010" customFormat="false" ht="15" hidden="false" customHeight="false" outlineLevel="0" collapsed="false">
      <c r="A4010" s="4" t="s">
        <v>147</v>
      </c>
      <c r="B4010" s="5" t="s">
        <v>162</v>
      </c>
      <c r="C4010" s="5" t="s">
        <v>163</v>
      </c>
      <c r="D4010" s="4" t="s">
        <v>16</v>
      </c>
      <c r="E4010" s="4" t="s">
        <v>1849</v>
      </c>
      <c r="F4010" s="4" t="s">
        <v>406</v>
      </c>
      <c r="G4010" s="4" t="s">
        <v>1850</v>
      </c>
      <c r="H4010" s="12" t="n">
        <v>1</v>
      </c>
      <c r="I4010" s="4" t="s">
        <v>408</v>
      </c>
      <c r="J4010" s="4" t="s">
        <v>409</v>
      </c>
      <c r="K4010" s="13" t="n">
        <v>1800</v>
      </c>
      <c r="L4010" s="6" t="n">
        <f aca="false">H4010*K4010</f>
        <v>1800</v>
      </c>
      <c r="M4010" s="14" t="s">
        <v>410</v>
      </c>
    </row>
    <row r="4011" customFormat="false" ht="15" hidden="false" customHeight="false" outlineLevel="0" collapsed="false">
      <c r="A4011" s="4" t="s">
        <v>147</v>
      </c>
      <c r="B4011" s="5" t="s">
        <v>162</v>
      </c>
      <c r="C4011" s="5" t="s">
        <v>163</v>
      </c>
      <c r="D4011" s="4" t="s">
        <v>16</v>
      </c>
      <c r="E4011" s="4" t="s">
        <v>1895</v>
      </c>
      <c r="F4011" s="4" t="s">
        <v>406</v>
      </c>
      <c r="G4011" s="4" t="s">
        <v>1896</v>
      </c>
      <c r="H4011" s="12" t="n">
        <v>1</v>
      </c>
      <c r="I4011" s="4" t="s">
        <v>408</v>
      </c>
      <c r="J4011" s="4" t="s">
        <v>409</v>
      </c>
      <c r="K4011" s="13" t="n">
        <v>6500</v>
      </c>
      <c r="L4011" s="6" t="n">
        <f aca="false">H4011*K4011</f>
        <v>6500</v>
      </c>
      <c r="M4011" s="14" t="s">
        <v>410</v>
      </c>
    </row>
    <row r="4012" customFormat="false" ht="15" hidden="false" customHeight="false" outlineLevel="0" collapsed="false">
      <c r="A4012" s="4" t="s">
        <v>147</v>
      </c>
      <c r="B4012" s="5" t="s">
        <v>162</v>
      </c>
      <c r="C4012" s="5" t="s">
        <v>163</v>
      </c>
      <c r="D4012" s="4" t="s">
        <v>16</v>
      </c>
      <c r="E4012" s="4" t="s">
        <v>1208</v>
      </c>
      <c r="F4012" s="4" t="s">
        <v>406</v>
      </c>
      <c r="G4012" s="4" t="s">
        <v>1209</v>
      </c>
      <c r="H4012" s="12" t="n">
        <v>1</v>
      </c>
      <c r="I4012" s="4" t="s">
        <v>408</v>
      </c>
      <c r="J4012" s="4" t="s">
        <v>409</v>
      </c>
      <c r="K4012" s="13" t="n">
        <v>850</v>
      </c>
      <c r="L4012" s="6" t="n">
        <f aca="false">H4012*K4012</f>
        <v>850</v>
      </c>
      <c r="M4012" s="14" t="s">
        <v>410</v>
      </c>
    </row>
    <row r="4013" customFormat="false" ht="15" hidden="false" customHeight="false" outlineLevel="0" collapsed="false">
      <c r="A4013" s="4" t="s">
        <v>147</v>
      </c>
      <c r="B4013" s="5" t="s">
        <v>162</v>
      </c>
      <c r="C4013" s="5" t="s">
        <v>163</v>
      </c>
      <c r="D4013" s="4" t="s">
        <v>16</v>
      </c>
      <c r="E4013" s="4" t="s">
        <v>1898</v>
      </c>
      <c r="F4013" s="4" t="s">
        <v>406</v>
      </c>
      <c r="G4013" s="4" t="s">
        <v>1899</v>
      </c>
      <c r="H4013" s="12" t="n">
        <v>1</v>
      </c>
      <c r="I4013" s="4" t="s">
        <v>408</v>
      </c>
      <c r="J4013" s="4" t="s">
        <v>409</v>
      </c>
      <c r="K4013" s="13" t="n">
        <v>6500</v>
      </c>
      <c r="L4013" s="6" t="n">
        <f aca="false">H4013*K4013</f>
        <v>6500</v>
      </c>
      <c r="M4013" s="14" t="s">
        <v>410</v>
      </c>
    </row>
    <row r="4014" customFormat="false" ht="15" hidden="false" customHeight="false" outlineLevel="0" collapsed="false">
      <c r="A4014" s="4" t="s">
        <v>147</v>
      </c>
      <c r="B4014" s="5" t="s">
        <v>162</v>
      </c>
      <c r="C4014" s="5" t="s">
        <v>163</v>
      </c>
      <c r="D4014" s="4" t="s">
        <v>16</v>
      </c>
      <c r="E4014" s="4" t="s">
        <v>1900</v>
      </c>
      <c r="F4014" s="4" t="s">
        <v>406</v>
      </c>
      <c r="G4014" s="4" t="s">
        <v>1901</v>
      </c>
      <c r="H4014" s="12" t="n">
        <v>1</v>
      </c>
      <c r="I4014" s="4" t="s">
        <v>408</v>
      </c>
      <c r="J4014" s="4" t="s">
        <v>409</v>
      </c>
      <c r="K4014" s="13" t="n">
        <v>4500</v>
      </c>
      <c r="L4014" s="6" t="n">
        <f aca="false">H4014*K4014</f>
        <v>4500</v>
      </c>
      <c r="M4014" s="14" t="s">
        <v>410</v>
      </c>
    </row>
    <row r="4015" customFormat="false" ht="15" hidden="false" customHeight="false" outlineLevel="0" collapsed="false">
      <c r="A4015" s="4" t="s">
        <v>147</v>
      </c>
      <c r="B4015" s="5" t="s">
        <v>162</v>
      </c>
      <c r="C4015" s="5" t="s">
        <v>163</v>
      </c>
      <c r="D4015" s="4" t="s">
        <v>16</v>
      </c>
      <c r="E4015" s="4" t="s">
        <v>1902</v>
      </c>
      <c r="F4015" s="4" t="s">
        <v>406</v>
      </c>
      <c r="G4015" s="4" t="s">
        <v>1680</v>
      </c>
      <c r="H4015" s="12" t="n">
        <v>1</v>
      </c>
      <c r="I4015" s="4" t="s">
        <v>408</v>
      </c>
      <c r="J4015" s="4" t="s">
        <v>409</v>
      </c>
      <c r="K4015" s="13" t="n">
        <v>8500</v>
      </c>
      <c r="L4015" s="6" t="n">
        <f aca="false">H4015*K4015</f>
        <v>8500</v>
      </c>
      <c r="M4015" s="14" t="s">
        <v>410</v>
      </c>
    </row>
    <row r="4016" customFormat="false" ht="15" hidden="false" customHeight="false" outlineLevel="0" collapsed="false">
      <c r="A4016" s="4" t="s">
        <v>147</v>
      </c>
      <c r="B4016" s="5" t="s">
        <v>162</v>
      </c>
      <c r="C4016" s="5" t="s">
        <v>163</v>
      </c>
      <c r="D4016" s="4" t="s">
        <v>16</v>
      </c>
      <c r="E4016" s="4" t="s">
        <v>1903</v>
      </c>
      <c r="F4016" s="4" t="s">
        <v>406</v>
      </c>
      <c r="G4016" s="4" t="s">
        <v>1904</v>
      </c>
      <c r="H4016" s="12" t="n">
        <v>1</v>
      </c>
      <c r="I4016" s="4" t="s">
        <v>408</v>
      </c>
      <c r="J4016" s="4" t="s">
        <v>409</v>
      </c>
      <c r="K4016" s="13" t="n">
        <v>8500</v>
      </c>
      <c r="L4016" s="6" t="n">
        <f aca="false">H4016*K4016</f>
        <v>8500</v>
      </c>
      <c r="M4016" s="14" t="s">
        <v>410</v>
      </c>
    </row>
    <row r="4017" customFormat="false" ht="15" hidden="false" customHeight="false" outlineLevel="0" collapsed="false">
      <c r="A4017" s="4" t="s">
        <v>147</v>
      </c>
      <c r="B4017" s="5" t="s">
        <v>162</v>
      </c>
      <c r="C4017" s="5" t="s">
        <v>163</v>
      </c>
      <c r="D4017" s="4" t="s">
        <v>16</v>
      </c>
      <c r="E4017" s="4" t="s">
        <v>1905</v>
      </c>
      <c r="F4017" s="4" t="s">
        <v>406</v>
      </c>
      <c r="G4017" s="4" t="s">
        <v>1906</v>
      </c>
      <c r="H4017" s="12" t="n">
        <v>1</v>
      </c>
      <c r="I4017" s="4" t="s">
        <v>408</v>
      </c>
      <c r="J4017" s="4" t="s">
        <v>409</v>
      </c>
      <c r="K4017" s="13" t="n">
        <v>1800</v>
      </c>
      <c r="L4017" s="6" t="n">
        <f aca="false">H4017*K4017</f>
        <v>1800</v>
      </c>
      <c r="M4017" s="14" t="s">
        <v>410</v>
      </c>
    </row>
    <row r="4018" customFormat="false" ht="15" hidden="false" customHeight="false" outlineLevel="0" collapsed="false">
      <c r="A4018" s="4" t="s">
        <v>147</v>
      </c>
      <c r="B4018" s="5" t="s">
        <v>162</v>
      </c>
      <c r="C4018" s="5" t="s">
        <v>163</v>
      </c>
      <c r="D4018" s="4" t="s">
        <v>16</v>
      </c>
      <c r="E4018" s="4" t="s">
        <v>1907</v>
      </c>
      <c r="F4018" s="4" t="s">
        <v>406</v>
      </c>
      <c r="G4018" s="4" t="s">
        <v>1908</v>
      </c>
      <c r="H4018" s="12" t="n">
        <v>1</v>
      </c>
      <c r="I4018" s="4" t="s">
        <v>408</v>
      </c>
      <c r="J4018" s="4" t="s">
        <v>409</v>
      </c>
      <c r="K4018" s="13" t="n">
        <v>4500</v>
      </c>
      <c r="L4018" s="6" t="n">
        <f aca="false">H4018*K4018</f>
        <v>4500</v>
      </c>
      <c r="M4018" s="14" t="s">
        <v>410</v>
      </c>
    </row>
    <row r="4019" customFormat="false" ht="15" hidden="false" customHeight="false" outlineLevel="0" collapsed="false">
      <c r="A4019" s="4" t="s">
        <v>147</v>
      </c>
      <c r="B4019" s="5" t="s">
        <v>162</v>
      </c>
      <c r="C4019" s="5" t="s">
        <v>163</v>
      </c>
      <c r="D4019" s="4" t="s">
        <v>16</v>
      </c>
      <c r="E4019" s="4" t="s">
        <v>1909</v>
      </c>
      <c r="F4019" s="4" t="s">
        <v>406</v>
      </c>
      <c r="G4019" s="4" t="s">
        <v>1910</v>
      </c>
      <c r="H4019" s="12" t="n">
        <v>1</v>
      </c>
      <c r="I4019" s="4" t="s">
        <v>408</v>
      </c>
      <c r="J4019" s="4" t="s">
        <v>409</v>
      </c>
      <c r="K4019" s="13" t="n">
        <v>4500</v>
      </c>
      <c r="L4019" s="6" t="n">
        <f aca="false">H4019*K4019</f>
        <v>4500</v>
      </c>
      <c r="M4019" s="14" t="s">
        <v>410</v>
      </c>
    </row>
    <row r="4020" customFormat="false" ht="15" hidden="false" customHeight="false" outlineLevel="0" collapsed="false">
      <c r="A4020" s="4" t="s">
        <v>147</v>
      </c>
      <c r="B4020" s="5" t="s">
        <v>162</v>
      </c>
      <c r="C4020" s="5" t="s">
        <v>163</v>
      </c>
      <c r="D4020" s="4" t="s">
        <v>16</v>
      </c>
      <c r="E4020" s="4" t="s">
        <v>1911</v>
      </c>
      <c r="F4020" s="4" t="s">
        <v>406</v>
      </c>
      <c r="G4020" s="4" t="s">
        <v>1912</v>
      </c>
      <c r="H4020" s="12" t="n">
        <v>1</v>
      </c>
      <c r="I4020" s="4" t="s">
        <v>408</v>
      </c>
      <c r="J4020" s="4" t="s">
        <v>413</v>
      </c>
      <c r="K4020" s="13" t="n">
        <v>18000</v>
      </c>
      <c r="L4020" s="6" t="n">
        <f aca="false">H4020*K4020</f>
        <v>18000</v>
      </c>
      <c r="M4020" s="14" t="s">
        <v>410</v>
      </c>
    </row>
    <row r="4021" customFormat="false" ht="15" hidden="false" customHeight="false" outlineLevel="0" collapsed="false">
      <c r="A4021" s="4" t="s">
        <v>147</v>
      </c>
      <c r="B4021" s="5" t="s">
        <v>162</v>
      </c>
      <c r="C4021" s="5" t="s">
        <v>163</v>
      </c>
      <c r="D4021" s="4" t="s">
        <v>16</v>
      </c>
      <c r="E4021" s="4" t="s">
        <v>1913</v>
      </c>
      <c r="F4021" s="4" t="s">
        <v>406</v>
      </c>
      <c r="G4021" s="4" t="s">
        <v>1914</v>
      </c>
      <c r="H4021" s="12" t="n">
        <v>1</v>
      </c>
      <c r="I4021" s="4" t="s">
        <v>408</v>
      </c>
      <c r="J4021" s="4" t="s">
        <v>409</v>
      </c>
      <c r="K4021" s="13" t="n">
        <v>8500</v>
      </c>
      <c r="L4021" s="6" t="n">
        <f aca="false">H4021*K4021</f>
        <v>8500</v>
      </c>
      <c r="M4021" s="14" t="s">
        <v>410</v>
      </c>
    </row>
    <row r="4022" customFormat="false" ht="15" hidden="false" customHeight="false" outlineLevel="0" collapsed="false">
      <c r="A4022" s="4" t="s">
        <v>147</v>
      </c>
      <c r="B4022" s="5" t="s">
        <v>162</v>
      </c>
      <c r="C4022" s="5" t="s">
        <v>163</v>
      </c>
      <c r="D4022" s="4" t="s">
        <v>16</v>
      </c>
      <c r="E4022" s="4" t="s">
        <v>4669</v>
      </c>
      <c r="F4022" s="4" t="s">
        <v>406</v>
      </c>
      <c r="G4022" s="4" t="s">
        <v>4670</v>
      </c>
      <c r="H4022" s="12" t="n">
        <v>1</v>
      </c>
      <c r="I4022" s="4" t="s">
        <v>408</v>
      </c>
      <c r="J4022" s="4" t="s">
        <v>416</v>
      </c>
      <c r="K4022" s="13" t="n">
        <v>18000</v>
      </c>
      <c r="L4022" s="6" t="n">
        <f aca="false">H4022*K4022</f>
        <v>18000</v>
      </c>
      <c r="M4022" s="14" t="s">
        <v>410</v>
      </c>
    </row>
    <row r="4023" customFormat="false" ht="15" hidden="false" customHeight="false" outlineLevel="0" collapsed="false">
      <c r="A4023" s="4" t="s">
        <v>147</v>
      </c>
      <c r="B4023" s="5" t="s">
        <v>162</v>
      </c>
      <c r="C4023" s="5" t="s">
        <v>163</v>
      </c>
      <c r="D4023" s="4" t="s">
        <v>16</v>
      </c>
      <c r="E4023" s="4" t="s">
        <v>4671</v>
      </c>
      <c r="F4023" s="4" t="s">
        <v>406</v>
      </c>
      <c r="G4023" s="4" t="s">
        <v>4672</v>
      </c>
      <c r="H4023" s="12" t="n">
        <v>1</v>
      </c>
      <c r="I4023" s="4" t="s">
        <v>408</v>
      </c>
      <c r="J4023" s="4" t="s">
        <v>409</v>
      </c>
      <c r="K4023" s="13" t="n">
        <v>850</v>
      </c>
      <c r="L4023" s="6" t="n">
        <f aca="false">H4023*K4023</f>
        <v>850</v>
      </c>
      <c r="M4023" s="14" t="s">
        <v>410</v>
      </c>
    </row>
    <row r="4024" customFormat="false" ht="15" hidden="false" customHeight="false" outlineLevel="0" collapsed="false">
      <c r="A4024" s="4" t="s">
        <v>147</v>
      </c>
      <c r="B4024" s="5" t="s">
        <v>162</v>
      </c>
      <c r="C4024" s="5" t="s">
        <v>163</v>
      </c>
      <c r="D4024" s="4" t="s">
        <v>16</v>
      </c>
      <c r="E4024" s="4" t="s">
        <v>3381</v>
      </c>
      <c r="F4024" s="4" t="s">
        <v>406</v>
      </c>
      <c r="G4024" s="4" t="s">
        <v>3382</v>
      </c>
      <c r="H4024" s="12" t="n">
        <v>1</v>
      </c>
      <c r="I4024" s="4" t="s">
        <v>408</v>
      </c>
      <c r="J4024" s="4" t="s">
        <v>409</v>
      </c>
      <c r="K4024" s="13" t="n">
        <v>650</v>
      </c>
      <c r="L4024" s="6" t="n">
        <f aca="false">H4024*K4024</f>
        <v>650</v>
      </c>
      <c r="M4024" s="14" t="s">
        <v>410</v>
      </c>
    </row>
    <row r="4025" customFormat="false" ht="15" hidden="false" customHeight="false" outlineLevel="0" collapsed="false">
      <c r="A4025" s="4" t="s">
        <v>147</v>
      </c>
      <c r="B4025" s="5" t="s">
        <v>162</v>
      </c>
      <c r="C4025" s="5" t="s">
        <v>163</v>
      </c>
      <c r="D4025" s="4" t="s">
        <v>16</v>
      </c>
      <c r="E4025" s="4" t="s">
        <v>3383</v>
      </c>
      <c r="F4025" s="4" t="s">
        <v>406</v>
      </c>
      <c r="G4025" s="4" t="s">
        <v>3384</v>
      </c>
      <c r="H4025" s="12" t="n">
        <v>1</v>
      </c>
      <c r="I4025" s="4" t="s">
        <v>408</v>
      </c>
      <c r="J4025" s="4" t="s">
        <v>409</v>
      </c>
      <c r="K4025" s="13" t="n">
        <v>65000</v>
      </c>
      <c r="L4025" s="6" t="n">
        <f aca="false">H4025*K4025</f>
        <v>65000</v>
      </c>
      <c r="M4025" s="14" t="s">
        <v>410</v>
      </c>
    </row>
    <row r="4026" customFormat="false" ht="15" hidden="false" customHeight="false" outlineLevel="0" collapsed="false">
      <c r="A4026" s="4" t="s">
        <v>147</v>
      </c>
      <c r="B4026" s="5" t="s">
        <v>162</v>
      </c>
      <c r="C4026" s="5" t="s">
        <v>163</v>
      </c>
      <c r="D4026" s="4" t="s">
        <v>16</v>
      </c>
      <c r="E4026" s="4" t="s">
        <v>3385</v>
      </c>
      <c r="F4026" s="4" t="s">
        <v>406</v>
      </c>
      <c r="G4026" s="4" t="s">
        <v>3386</v>
      </c>
      <c r="H4026" s="12" t="n">
        <v>1</v>
      </c>
      <c r="I4026" s="4" t="s">
        <v>408</v>
      </c>
      <c r="J4026" s="4" t="s">
        <v>409</v>
      </c>
      <c r="K4026" s="13" t="n">
        <v>6500</v>
      </c>
      <c r="L4026" s="6" t="n">
        <f aca="false">H4026*K4026</f>
        <v>6500</v>
      </c>
      <c r="M4026" s="14" t="s">
        <v>410</v>
      </c>
    </row>
    <row r="4027" customFormat="false" ht="15" hidden="false" customHeight="false" outlineLevel="0" collapsed="false">
      <c r="A4027" s="4" t="s">
        <v>147</v>
      </c>
      <c r="B4027" s="5" t="s">
        <v>162</v>
      </c>
      <c r="C4027" s="5" t="s">
        <v>163</v>
      </c>
      <c r="D4027" s="4" t="s">
        <v>16</v>
      </c>
      <c r="E4027" s="4" t="s">
        <v>3387</v>
      </c>
      <c r="F4027" s="4" t="s">
        <v>406</v>
      </c>
      <c r="G4027" s="4" t="s">
        <v>3388</v>
      </c>
      <c r="H4027" s="12" t="n">
        <v>1</v>
      </c>
      <c r="I4027" s="4" t="s">
        <v>408</v>
      </c>
      <c r="J4027" s="4" t="s">
        <v>409</v>
      </c>
      <c r="K4027" s="13" t="n">
        <v>850</v>
      </c>
      <c r="L4027" s="6" t="n">
        <f aca="false">H4027*K4027</f>
        <v>850</v>
      </c>
      <c r="M4027" s="14" t="s">
        <v>410</v>
      </c>
    </row>
    <row r="4028" customFormat="false" ht="15" hidden="false" customHeight="false" outlineLevel="0" collapsed="false">
      <c r="A4028" s="4" t="s">
        <v>147</v>
      </c>
      <c r="B4028" s="5" t="s">
        <v>162</v>
      </c>
      <c r="C4028" s="5" t="s">
        <v>163</v>
      </c>
      <c r="D4028" s="4" t="s">
        <v>16</v>
      </c>
      <c r="E4028" s="4" t="s">
        <v>3389</v>
      </c>
      <c r="F4028" s="4" t="s">
        <v>406</v>
      </c>
      <c r="G4028" s="4" t="s">
        <v>3390</v>
      </c>
      <c r="H4028" s="12" t="n">
        <v>1</v>
      </c>
      <c r="I4028" s="4" t="s">
        <v>408</v>
      </c>
      <c r="J4028" s="4" t="s">
        <v>409</v>
      </c>
      <c r="K4028" s="13" t="n">
        <v>12000</v>
      </c>
      <c r="L4028" s="6" t="n">
        <f aca="false">H4028*K4028</f>
        <v>12000</v>
      </c>
      <c r="M4028" s="14" t="s">
        <v>410</v>
      </c>
    </row>
    <row r="4029" customFormat="false" ht="15" hidden="false" customHeight="false" outlineLevel="0" collapsed="false">
      <c r="A4029" s="4" t="s">
        <v>147</v>
      </c>
      <c r="B4029" s="5" t="s">
        <v>162</v>
      </c>
      <c r="C4029" s="5" t="s">
        <v>163</v>
      </c>
      <c r="D4029" s="4" t="s">
        <v>16</v>
      </c>
      <c r="E4029" s="4" t="s">
        <v>3391</v>
      </c>
      <c r="F4029" s="4" t="s">
        <v>406</v>
      </c>
      <c r="G4029" s="4" t="s">
        <v>3392</v>
      </c>
      <c r="H4029" s="12" t="n">
        <v>1</v>
      </c>
      <c r="I4029" s="4" t="s">
        <v>408</v>
      </c>
      <c r="J4029" s="4" t="s">
        <v>543</v>
      </c>
      <c r="K4029" s="13" t="n">
        <v>85000</v>
      </c>
      <c r="L4029" s="6" t="n">
        <f aca="false">H4029*K4029</f>
        <v>85000</v>
      </c>
      <c r="M4029" s="14" t="s">
        <v>410</v>
      </c>
    </row>
    <row r="4030" customFormat="false" ht="15" hidden="false" customHeight="false" outlineLevel="0" collapsed="false">
      <c r="A4030" s="4" t="s">
        <v>147</v>
      </c>
      <c r="B4030" s="5" t="s">
        <v>162</v>
      </c>
      <c r="C4030" s="5" t="s">
        <v>163</v>
      </c>
      <c r="D4030" s="4" t="s">
        <v>16</v>
      </c>
      <c r="E4030" s="4" t="s">
        <v>3395</v>
      </c>
      <c r="F4030" s="4" t="s">
        <v>406</v>
      </c>
      <c r="G4030" s="4" t="s">
        <v>3396</v>
      </c>
      <c r="H4030" s="12" t="n">
        <v>1</v>
      </c>
      <c r="I4030" s="4" t="s">
        <v>408</v>
      </c>
      <c r="J4030" s="4" t="s">
        <v>543</v>
      </c>
      <c r="K4030" s="13" t="n">
        <v>180000</v>
      </c>
      <c r="L4030" s="6" t="n">
        <f aca="false">H4030*K4030</f>
        <v>180000</v>
      </c>
      <c r="M4030" s="14" t="s">
        <v>410</v>
      </c>
    </row>
    <row r="4031" customFormat="false" ht="15" hidden="false" customHeight="false" outlineLevel="0" collapsed="false">
      <c r="A4031" s="4" t="s">
        <v>147</v>
      </c>
      <c r="B4031" s="5" t="s">
        <v>162</v>
      </c>
      <c r="C4031" s="5" t="s">
        <v>163</v>
      </c>
      <c r="D4031" s="4" t="s">
        <v>16</v>
      </c>
      <c r="E4031" s="4" t="s">
        <v>1058</v>
      </c>
      <c r="F4031" s="4" t="s">
        <v>470</v>
      </c>
      <c r="G4031" s="4" t="s">
        <v>1059</v>
      </c>
      <c r="H4031" s="12" t="n">
        <v>1</v>
      </c>
      <c r="I4031" s="4" t="s">
        <v>408</v>
      </c>
      <c r="J4031" s="4" t="s">
        <v>409</v>
      </c>
      <c r="K4031" s="13" t="n">
        <v>45000</v>
      </c>
      <c r="L4031" s="6" t="n">
        <f aca="false">H4031*K4031</f>
        <v>45000</v>
      </c>
      <c r="M4031" s="14" t="s">
        <v>410</v>
      </c>
    </row>
    <row r="4032" customFormat="false" ht="15" hidden="false" customHeight="false" outlineLevel="0" collapsed="false">
      <c r="A4032" s="4" t="s">
        <v>147</v>
      </c>
      <c r="B4032" s="5" t="s">
        <v>162</v>
      </c>
      <c r="C4032" s="5" t="s">
        <v>163</v>
      </c>
      <c r="D4032" s="4" t="s">
        <v>16</v>
      </c>
      <c r="E4032" s="4" t="s">
        <v>1915</v>
      </c>
      <c r="F4032" s="4" t="s">
        <v>470</v>
      </c>
      <c r="G4032" s="4" t="s">
        <v>1916</v>
      </c>
      <c r="H4032" s="12" t="n">
        <v>1</v>
      </c>
      <c r="I4032" s="4" t="s">
        <v>408</v>
      </c>
      <c r="J4032" s="4" t="s">
        <v>409</v>
      </c>
      <c r="K4032" s="13" t="n">
        <v>850</v>
      </c>
      <c r="L4032" s="6" t="n">
        <f aca="false">H4032*K4032</f>
        <v>850</v>
      </c>
      <c r="M4032" s="4" t="s">
        <v>371</v>
      </c>
    </row>
    <row r="4033" customFormat="false" ht="15" hidden="false" customHeight="false" outlineLevel="0" collapsed="false">
      <c r="A4033" s="4" t="s">
        <v>147</v>
      </c>
      <c r="B4033" s="5" t="s">
        <v>162</v>
      </c>
      <c r="C4033" s="5" t="s">
        <v>163</v>
      </c>
      <c r="D4033" s="4" t="s">
        <v>16</v>
      </c>
      <c r="E4033" s="4" t="s">
        <v>1917</v>
      </c>
      <c r="F4033" s="4" t="s">
        <v>470</v>
      </c>
      <c r="G4033" s="4" t="s">
        <v>1918</v>
      </c>
      <c r="H4033" s="12" t="n">
        <v>1</v>
      </c>
      <c r="I4033" s="4" t="s">
        <v>408</v>
      </c>
      <c r="J4033" s="4" t="s">
        <v>409</v>
      </c>
      <c r="K4033" s="13" t="n">
        <v>3500</v>
      </c>
      <c r="L4033" s="6" t="n">
        <f aca="false">H4033*K4033</f>
        <v>3500</v>
      </c>
      <c r="M4033" s="4" t="s">
        <v>371</v>
      </c>
    </row>
    <row r="4034" customFormat="false" ht="15" hidden="false" customHeight="false" outlineLevel="0" collapsed="false">
      <c r="A4034" s="4" t="s">
        <v>147</v>
      </c>
      <c r="B4034" s="5" t="s">
        <v>162</v>
      </c>
      <c r="C4034" s="5" t="s">
        <v>163</v>
      </c>
      <c r="D4034" s="4" t="s">
        <v>16</v>
      </c>
      <c r="E4034" s="4" t="s">
        <v>1919</v>
      </c>
      <c r="F4034" s="4" t="s">
        <v>470</v>
      </c>
      <c r="G4034" s="4" t="s">
        <v>1920</v>
      </c>
      <c r="H4034" s="12" t="n">
        <v>1</v>
      </c>
      <c r="I4034" s="4" t="s">
        <v>408</v>
      </c>
      <c r="J4034" s="4" t="s">
        <v>409</v>
      </c>
      <c r="K4034" s="13" t="n">
        <v>80</v>
      </c>
      <c r="L4034" s="6" t="n">
        <f aca="false">H4034*K4034</f>
        <v>80</v>
      </c>
      <c r="M4034" s="4" t="s">
        <v>371</v>
      </c>
    </row>
    <row r="4035" customFormat="false" ht="15" hidden="false" customHeight="false" outlineLevel="0" collapsed="false">
      <c r="A4035" s="4" t="s">
        <v>147</v>
      </c>
      <c r="B4035" s="5" t="s">
        <v>162</v>
      </c>
      <c r="C4035" s="5" t="s">
        <v>163</v>
      </c>
      <c r="D4035" s="4" t="s">
        <v>16</v>
      </c>
      <c r="E4035" s="4" t="s">
        <v>1921</v>
      </c>
      <c r="F4035" s="4" t="s">
        <v>470</v>
      </c>
      <c r="G4035" s="4" t="s">
        <v>1922</v>
      </c>
      <c r="H4035" s="12" t="n">
        <v>1</v>
      </c>
      <c r="I4035" s="4" t="s">
        <v>408</v>
      </c>
      <c r="J4035" s="4" t="s">
        <v>475</v>
      </c>
      <c r="K4035" s="13" t="n">
        <v>350</v>
      </c>
      <c r="L4035" s="6" t="n">
        <f aca="false">H4035*K4035</f>
        <v>350</v>
      </c>
      <c r="M4035" s="4" t="s">
        <v>371</v>
      </c>
    </row>
    <row r="4036" customFormat="false" ht="15" hidden="false" customHeight="false" outlineLevel="0" collapsed="false">
      <c r="A4036" s="4" t="s">
        <v>147</v>
      </c>
      <c r="B4036" s="5" t="s">
        <v>162</v>
      </c>
      <c r="C4036" s="5" t="s">
        <v>163</v>
      </c>
      <c r="D4036" s="4" t="s">
        <v>16</v>
      </c>
      <c r="E4036" s="4" t="s">
        <v>1923</v>
      </c>
      <c r="F4036" s="4" t="s">
        <v>470</v>
      </c>
      <c r="G4036" s="4" t="s">
        <v>1924</v>
      </c>
      <c r="H4036" s="12" t="n">
        <v>1</v>
      </c>
      <c r="I4036" s="4" t="s">
        <v>408</v>
      </c>
      <c r="J4036" s="4" t="s">
        <v>475</v>
      </c>
      <c r="K4036" s="13" t="n">
        <v>180</v>
      </c>
      <c r="L4036" s="6" t="n">
        <f aca="false">H4036*K4036</f>
        <v>180</v>
      </c>
      <c r="M4036" s="4" t="s">
        <v>371</v>
      </c>
    </row>
    <row r="4037" customFormat="false" ht="15" hidden="false" customHeight="false" outlineLevel="0" collapsed="false">
      <c r="A4037" s="4" t="s">
        <v>147</v>
      </c>
      <c r="B4037" s="5" t="s">
        <v>162</v>
      </c>
      <c r="C4037" s="5" t="s">
        <v>163</v>
      </c>
      <c r="D4037" s="4" t="s">
        <v>16</v>
      </c>
      <c r="E4037" s="4" t="s">
        <v>1925</v>
      </c>
      <c r="F4037" s="4" t="s">
        <v>470</v>
      </c>
      <c r="G4037" s="4" t="s">
        <v>1926</v>
      </c>
      <c r="H4037" s="12" t="n">
        <v>1</v>
      </c>
      <c r="I4037" s="4" t="s">
        <v>408</v>
      </c>
      <c r="J4037" s="4" t="s">
        <v>475</v>
      </c>
      <c r="K4037" s="13" t="n">
        <v>180</v>
      </c>
      <c r="L4037" s="6" t="n">
        <f aca="false">H4037*K4037</f>
        <v>180</v>
      </c>
      <c r="M4037" s="4" t="s">
        <v>371</v>
      </c>
    </row>
    <row r="4038" customFormat="false" ht="15" hidden="false" customHeight="false" outlineLevel="0" collapsed="false">
      <c r="A4038" s="4" t="s">
        <v>147</v>
      </c>
      <c r="B4038" s="5" t="s">
        <v>162</v>
      </c>
      <c r="C4038" s="5" t="s">
        <v>163</v>
      </c>
      <c r="D4038" s="4" t="s">
        <v>16</v>
      </c>
      <c r="E4038" s="4" t="s">
        <v>1927</v>
      </c>
      <c r="F4038" s="4" t="s">
        <v>470</v>
      </c>
      <c r="G4038" s="4" t="s">
        <v>1452</v>
      </c>
      <c r="H4038" s="12" t="n">
        <v>1</v>
      </c>
      <c r="I4038" s="4" t="s">
        <v>408</v>
      </c>
      <c r="J4038" s="4" t="s">
        <v>413</v>
      </c>
      <c r="K4038" s="13" t="n">
        <v>450</v>
      </c>
      <c r="L4038" s="6" t="n">
        <f aca="false">H4038*K4038</f>
        <v>450</v>
      </c>
      <c r="M4038" s="4" t="s">
        <v>371</v>
      </c>
    </row>
    <row r="4039" customFormat="false" ht="15" hidden="false" customHeight="false" outlineLevel="0" collapsed="false">
      <c r="A4039" s="4" t="s">
        <v>147</v>
      </c>
      <c r="B4039" s="5" t="s">
        <v>162</v>
      </c>
      <c r="C4039" s="5" t="s">
        <v>163</v>
      </c>
      <c r="D4039" s="4" t="s">
        <v>16</v>
      </c>
      <c r="E4039" s="4" t="s">
        <v>1928</v>
      </c>
      <c r="F4039" s="4" t="s">
        <v>470</v>
      </c>
      <c r="G4039" s="4" t="s">
        <v>1929</v>
      </c>
      <c r="H4039" s="12" t="n">
        <v>1</v>
      </c>
      <c r="I4039" s="4" t="s">
        <v>408</v>
      </c>
      <c r="J4039" s="4" t="s">
        <v>409</v>
      </c>
      <c r="K4039" s="13" t="n">
        <v>450</v>
      </c>
      <c r="L4039" s="6" t="n">
        <f aca="false">H4039*K4039</f>
        <v>450</v>
      </c>
      <c r="M4039" s="4" t="s">
        <v>371</v>
      </c>
    </row>
    <row r="4040" customFormat="false" ht="15" hidden="false" customHeight="false" outlineLevel="0" collapsed="false">
      <c r="A4040" s="4" t="s">
        <v>147</v>
      </c>
      <c r="B4040" s="5" t="s">
        <v>162</v>
      </c>
      <c r="C4040" s="5" t="s">
        <v>163</v>
      </c>
      <c r="D4040" s="4" t="s">
        <v>16</v>
      </c>
      <c r="E4040" s="4" t="s">
        <v>1136</v>
      </c>
      <c r="F4040" s="4" t="s">
        <v>470</v>
      </c>
      <c r="G4040" s="4" t="s">
        <v>1137</v>
      </c>
      <c r="H4040" s="12" t="n">
        <v>1</v>
      </c>
      <c r="I4040" s="4" t="s">
        <v>408</v>
      </c>
      <c r="J4040" s="4" t="s">
        <v>416</v>
      </c>
      <c r="K4040" s="13" t="n">
        <v>850</v>
      </c>
      <c r="L4040" s="6" t="n">
        <f aca="false">H4040*K4040</f>
        <v>850</v>
      </c>
      <c r="M4040" s="4" t="s">
        <v>371</v>
      </c>
    </row>
    <row r="4041" customFormat="false" ht="15" hidden="false" customHeight="false" outlineLevel="0" collapsed="false">
      <c r="A4041" s="4" t="s">
        <v>147</v>
      </c>
      <c r="B4041" s="5" t="s">
        <v>162</v>
      </c>
      <c r="C4041" s="5" t="s">
        <v>163</v>
      </c>
      <c r="D4041" s="4" t="s">
        <v>16</v>
      </c>
      <c r="E4041" s="4" t="s">
        <v>1064</v>
      </c>
      <c r="F4041" s="4" t="s">
        <v>470</v>
      </c>
      <c r="G4041" s="4" t="s">
        <v>1065</v>
      </c>
      <c r="H4041" s="12" t="n">
        <v>1</v>
      </c>
      <c r="I4041" s="4" t="s">
        <v>408</v>
      </c>
      <c r="J4041" s="4" t="s">
        <v>543</v>
      </c>
      <c r="K4041" s="13" t="n">
        <v>25000</v>
      </c>
      <c r="L4041" s="6" t="n">
        <f aca="false">H4041*K4041</f>
        <v>25000</v>
      </c>
      <c r="M4041" s="4" t="s">
        <v>371</v>
      </c>
    </row>
    <row r="4042" customFormat="false" ht="15" hidden="false" customHeight="false" outlineLevel="0" collapsed="false">
      <c r="A4042" s="4" t="s">
        <v>147</v>
      </c>
      <c r="B4042" s="5" t="s">
        <v>162</v>
      </c>
      <c r="C4042" s="5" t="s">
        <v>163</v>
      </c>
      <c r="D4042" s="4" t="s">
        <v>16</v>
      </c>
      <c r="E4042" s="4" t="s">
        <v>1138</v>
      </c>
      <c r="F4042" s="4" t="s">
        <v>470</v>
      </c>
      <c r="G4042" s="4" t="s">
        <v>1139</v>
      </c>
      <c r="H4042" s="12" t="n">
        <v>1</v>
      </c>
      <c r="I4042" s="4" t="s">
        <v>408</v>
      </c>
      <c r="J4042" s="4" t="s">
        <v>416</v>
      </c>
      <c r="K4042" s="13" t="n">
        <v>2500</v>
      </c>
      <c r="L4042" s="6" t="n">
        <f aca="false">H4042*K4042</f>
        <v>2500</v>
      </c>
      <c r="M4042" s="4" t="s">
        <v>371</v>
      </c>
    </row>
    <row r="4043" customFormat="false" ht="15" hidden="false" customHeight="false" outlineLevel="0" collapsed="false">
      <c r="A4043" s="4" t="s">
        <v>147</v>
      </c>
      <c r="B4043" s="5" t="s">
        <v>162</v>
      </c>
      <c r="C4043" s="5" t="s">
        <v>163</v>
      </c>
      <c r="D4043" s="4" t="s">
        <v>16</v>
      </c>
      <c r="E4043" s="4" t="s">
        <v>1140</v>
      </c>
      <c r="F4043" s="4" t="s">
        <v>470</v>
      </c>
      <c r="G4043" s="4" t="s">
        <v>1141</v>
      </c>
      <c r="H4043" s="12" t="n">
        <v>1</v>
      </c>
      <c r="I4043" s="4" t="s">
        <v>408</v>
      </c>
      <c r="J4043" s="4" t="s">
        <v>409</v>
      </c>
      <c r="K4043" s="13" t="n">
        <v>350</v>
      </c>
      <c r="L4043" s="6" t="n">
        <f aca="false">H4043*K4043</f>
        <v>350</v>
      </c>
      <c r="M4043" s="4" t="s">
        <v>371</v>
      </c>
    </row>
    <row r="4044" customFormat="false" ht="15" hidden="false" customHeight="false" outlineLevel="0" collapsed="false">
      <c r="A4044" s="4" t="s">
        <v>147</v>
      </c>
      <c r="B4044" s="5" t="s">
        <v>162</v>
      </c>
      <c r="C4044" s="5" t="s">
        <v>163</v>
      </c>
      <c r="D4044" s="4" t="s">
        <v>16</v>
      </c>
      <c r="E4044" s="4" t="s">
        <v>4502</v>
      </c>
      <c r="F4044" s="4" t="s">
        <v>470</v>
      </c>
      <c r="G4044" s="4" t="s">
        <v>1931</v>
      </c>
      <c r="H4044" s="12" t="n">
        <v>1</v>
      </c>
      <c r="I4044" s="4" t="s">
        <v>408</v>
      </c>
      <c r="J4044" s="4" t="s">
        <v>416</v>
      </c>
      <c r="K4044" s="13" t="n">
        <v>850</v>
      </c>
      <c r="L4044" s="6" t="n">
        <f aca="false">H4044*K4044</f>
        <v>850</v>
      </c>
      <c r="M4044" s="4" t="s">
        <v>371</v>
      </c>
    </row>
    <row r="4045" customFormat="false" ht="15" hidden="false" customHeight="false" outlineLevel="0" collapsed="false">
      <c r="A4045" s="4" t="s">
        <v>147</v>
      </c>
      <c r="B4045" s="5" t="s">
        <v>162</v>
      </c>
      <c r="C4045" s="5" t="s">
        <v>163</v>
      </c>
      <c r="D4045" s="4" t="s">
        <v>16</v>
      </c>
      <c r="E4045" s="4" t="s">
        <v>1932</v>
      </c>
      <c r="F4045" s="4" t="s">
        <v>470</v>
      </c>
      <c r="G4045" s="4" t="s">
        <v>1145</v>
      </c>
      <c r="H4045" s="12" t="n">
        <v>1</v>
      </c>
      <c r="I4045" s="4" t="s">
        <v>408</v>
      </c>
      <c r="J4045" s="4" t="s">
        <v>416</v>
      </c>
      <c r="K4045" s="13" t="n">
        <v>3500</v>
      </c>
      <c r="L4045" s="6" t="n">
        <f aca="false">H4045*K4045</f>
        <v>3500</v>
      </c>
      <c r="M4045" s="4" t="s">
        <v>371</v>
      </c>
    </row>
    <row r="4046" customFormat="false" ht="15" hidden="false" customHeight="false" outlineLevel="0" collapsed="false">
      <c r="A4046" s="4" t="s">
        <v>147</v>
      </c>
      <c r="B4046" s="5" t="s">
        <v>162</v>
      </c>
      <c r="C4046" s="5" t="s">
        <v>163</v>
      </c>
      <c r="D4046" s="4" t="s">
        <v>16</v>
      </c>
      <c r="E4046" s="4" t="s">
        <v>1146</v>
      </c>
      <c r="F4046" s="4" t="s">
        <v>470</v>
      </c>
      <c r="G4046" s="4" t="s">
        <v>1147</v>
      </c>
      <c r="H4046" s="12" t="n">
        <v>1</v>
      </c>
      <c r="I4046" s="4" t="s">
        <v>408</v>
      </c>
      <c r="J4046" s="4" t="s">
        <v>416</v>
      </c>
      <c r="K4046" s="13" t="n">
        <v>2500</v>
      </c>
      <c r="L4046" s="6" t="n">
        <f aca="false">H4046*K4046</f>
        <v>2500</v>
      </c>
      <c r="M4046" s="4" t="s">
        <v>371</v>
      </c>
    </row>
    <row r="4047" customFormat="false" ht="15" hidden="false" customHeight="false" outlineLevel="0" collapsed="false">
      <c r="A4047" s="4" t="s">
        <v>147</v>
      </c>
      <c r="B4047" s="5" t="s">
        <v>162</v>
      </c>
      <c r="C4047" s="5" t="s">
        <v>163</v>
      </c>
      <c r="D4047" s="4" t="s">
        <v>16</v>
      </c>
      <c r="E4047" s="4" t="s">
        <v>1933</v>
      </c>
      <c r="F4047" s="4" t="s">
        <v>470</v>
      </c>
      <c r="G4047" s="4" t="s">
        <v>1149</v>
      </c>
      <c r="H4047" s="12" t="n">
        <v>1</v>
      </c>
      <c r="I4047" s="4" t="s">
        <v>408</v>
      </c>
      <c r="J4047" s="4" t="s">
        <v>409</v>
      </c>
      <c r="K4047" s="13" t="n">
        <v>450</v>
      </c>
      <c r="L4047" s="6" t="n">
        <f aca="false">H4047*K4047</f>
        <v>450</v>
      </c>
      <c r="M4047" s="4" t="s">
        <v>371</v>
      </c>
    </row>
    <row r="4048" customFormat="false" ht="15" hidden="false" customHeight="false" outlineLevel="0" collapsed="false">
      <c r="A4048" s="4" t="s">
        <v>147</v>
      </c>
      <c r="B4048" s="5" t="s">
        <v>162</v>
      </c>
      <c r="C4048" s="5" t="s">
        <v>163</v>
      </c>
      <c r="D4048" s="4" t="s">
        <v>16</v>
      </c>
      <c r="E4048" s="4" t="s">
        <v>1150</v>
      </c>
      <c r="F4048" s="4" t="s">
        <v>470</v>
      </c>
      <c r="G4048" s="4" t="s">
        <v>1151</v>
      </c>
      <c r="H4048" s="12" t="n">
        <v>1</v>
      </c>
      <c r="I4048" s="4" t="s">
        <v>408</v>
      </c>
      <c r="J4048" s="4" t="s">
        <v>416</v>
      </c>
      <c r="K4048" s="13" t="n">
        <v>1200</v>
      </c>
      <c r="L4048" s="6" t="n">
        <f aca="false">H4048*K4048</f>
        <v>1200</v>
      </c>
      <c r="M4048" s="4" t="s">
        <v>371</v>
      </c>
    </row>
    <row r="4049" customFormat="false" ht="15" hidden="false" customHeight="false" outlineLevel="0" collapsed="false">
      <c r="A4049" s="4" t="s">
        <v>147</v>
      </c>
      <c r="B4049" s="5" t="s">
        <v>162</v>
      </c>
      <c r="C4049" s="5" t="s">
        <v>163</v>
      </c>
      <c r="D4049" s="4" t="s">
        <v>16</v>
      </c>
      <c r="E4049" s="4" t="s">
        <v>1934</v>
      </c>
      <c r="F4049" s="4" t="s">
        <v>470</v>
      </c>
      <c r="G4049" s="4" t="s">
        <v>1935</v>
      </c>
      <c r="H4049" s="12" t="n">
        <v>1</v>
      </c>
      <c r="I4049" s="4" t="s">
        <v>408</v>
      </c>
      <c r="J4049" s="4" t="s">
        <v>543</v>
      </c>
      <c r="K4049" s="13" t="n">
        <v>25000</v>
      </c>
      <c r="L4049" s="6" t="n">
        <f aca="false">H4049*K4049</f>
        <v>25000</v>
      </c>
      <c r="M4049" s="4" t="s">
        <v>371</v>
      </c>
    </row>
    <row r="4050" customFormat="false" ht="15" hidden="false" customHeight="false" outlineLevel="0" collapsed="false">
      <c r="A4050" s="4" t="s">
        <v>147</v>
      </c>
      <c r="B4050" s="5" t="s">
        <v>162</v>
      </c>
      <c r="C4050" s="5" t="s">
        <v>163</v>
      </c>
      <c r="D4050" s="4" t="s">
        <v>16</v>
      </c>
      <c r="E4050" s="4" t="s">
        <v>1651</v>
      </c>
      <c r="F4050" s="4" t="s">
        <v>488</v>
      </c>
      <c r="G4050" s="4" t="s">
        <v>1652</v>
      </c>
      <c r="H4050" s="12" t="n">
        <v>1</v>
      </c>
      <c r="I4050" s="4" t="s">
        <v>408</v>
      </c>
      <c r="J4050" s="4" t="s">
        <v>429</v>
      </c>
      <c r="K4050" s="13" t="n">
        <v>45</v>
      </c>
      <c r="L4050" s="6" t="n">
        <f aca="false">H4050*K4050</f>
        <v>45</v>
      </c>
      <c r="M4050" s="4" t="s">
        <v>371</v>
      </c>
    </row>
    <row r="4051" customFormat="false" ht="15" hidden="false" customHeight="false" outlineLevel="0" collapsed="false">
      <c r="A4051" s="4" t="s">
        <v>147</v>
      </c>
      <c r="B4051" s="5" t="s">
        <v>162</v>
      </c>
      <c r="C4051" s="5" t="s">
        <v>163</v>
      </c>
      <c r="D4051" s="4" t="s">
        <v>16</v>
      </c>
      <c r="E4051" s="4" t="s">
        <v>1936</v>
      </c>
      <c r="F4051" s="4" t="s">
        <v>488</v>
      </c>
      <c r="G4051" s="4" t="s">
        <v>1937</v>
      </c>
      <c r="H4051" s="12" t="n">
        <v>1</v>
      </c>
      <c r="I4051" s="4" t="s">
        <v>408</v>
      </c>
      <c r="J4051" s="4" t="s">
        <v>409</v>
      </c>
      <c r="K4051" s="13" t="n">
        <v>850</v>
      </c>
      <c r="L4051" s="6" t="n">
        <f aca="false">H4051*K4051</f>
        <v>850</v>
      </c>
      <c r="M4051" s="4" t="s">
        <v>371</v>
      </c>
    </row>
    <row r="4052" customFormat="false" ht="15" hidden="false" customHeight="false" outlineLevel="0" collapsed="false">
      <c r="A4052" s="4" t="s">
        <v>147</v>
      </c>
      <c r="B4052" s="5" t="s">
        <v>162</v>
      </c>
      <c r="C4052" s="5" t="s">
        <v>163</v>
      </c>
      <c r="D4052" s="4" t="s">
        <v>16</v>
      </c>
      <c r="E4052" s="4" t="s">
        <v>1938</v>
      </c>
      <c r="F4052" s="4" t="s">
        <v>488</v>
      </c>
      <c r="G4052" s="4" t="s">
        <v>1939</v>
      </c>
      <c r="H4052" s="12" t="n">
        <v>1</v>
      </c>
      <c r="I4052" s="4" t="s">
        <v>408</v>
      </c>
      <c r="J4052" s="4" t="s">
        <v>432</v>
      </c>
      <c r="K4052" s="13" t="n">
        <v>250</v>
      </c>
      <c r="L4052" s="6" t="n">
        <f aca="false">H4052*K4052</f>
        <v>250</v>
      </c>
      <c r="M4052" s="4" t="s">
        <v>371</v>
      </c>
    </row>
    <row r="4053" customFormat="false" ht="15" hidden="false" customHeight="false" outlineLevel="0" collapsed="false">
      <c r="A4053" s="4" t="s">
        <v>147</v>
      </c>
      <c r="B4053" s="5" t="s">
        <v>162</v>
      </c>
      <c r="C4053" s="5" t="s">
        <v>163</v>
      </c>
      <c r="D4053" s="4" t="s">
        <v>16</v>
      </c>
      <c r="E4053" s="4" t="s">
        <v>1940</v>
      </c>
      <c r="F4053" s="4" t="s">
        <v>488</v>
      </c>
      <c r="G4053" s="4" t="s">
        <v>1941</v>
      </c>
      <c r="H4053" s="12" t="n">
        <v>1</v>
      </c>
      <c r="I4053" s="4" t="s">
        <v>408</v>
      </c>
      <c r="J4053" s="4" t="s">
        <v>506</v>
      </c>
      <c r="K4053" s="13" t="n">
        <v>100</v>
      </c>
      <c r="L4053" s="6" t="n">
        <f aca="false">H4053*K4053</f>
        <v>100</v>
      </c>
      <c r="M4053" s="4" t="s">
        <v>371</v>
      </c>
    </row>
    <row r="4054" customFormat="false" ht="15" hidden="false" customHeight="false" outlineLevel="0" collapsed="false">
      <c r="A4054" s="4" t="s">
        <v>147</v>
      </c>
      <c r="B4054" s="5" t="s">
        <v>162</v>
      </c>
      <c r="C4054" s="5" t="s">
        <v>163</v>
      </c>
      <c r="D4054" s="4" t="s">
        <v>16</v>
      </c>
      <c r="E4054" s="4" t="s">
        <v>1942</v>
      </c>
      <c r="F4054" s="4" t="s">
        <v>488</v>
      </c>
      <c r="G4054" s="4" t="s">
        <v>1943</v>
      </c>
      <c r="H4054" s="12" t="n">
        <v>1</v>
      </c>
      <c r="I4054" s="4" t="s">
        <v>408</v>
      </c>
      <c r="J4054" s="4" t="s">
        <v>416</v>
      </c>
      <c r="K4054" s="13" t="n">
        <v>250</v>
      </c>
      <c r="L4054" s="6" t="n">
        <f aca="false">H4054*K4054</f>
        <v>250</v>
      </c>
      <c r="M4054" s="4" t="s">
        <v>371</v>
      </c>
    </row>
    <row r="4055" customFormat="false" ht="15" hidden="false" customHeight="false" outlineLevel="0" collapsed="false">
      <c r="A4055" s="4" t="s">
        <v>147</v>
      </c>
      <c r="B4055" s="5" t="s">
        <v>162</v>
      </c>
      <c r="C4055" s="5" t="s">
        <v>163</v>
      </c>
      <c r="D4055" s="4" t="s">
        <v>16</v>
      </c>
      <c r="E4055" s="4" t="s">
        <v>1944</v>
      </c>
      <c r="F4055" s="4" t="s">
        <v>488</v>
      </c>
      <c r="G4055" s="4" t="s">
        <v>1656</v>
      </c>
      <c r="H4055" s="12" t="n">
        <v>1</v>
      </c>
      <c r="I4055" s="4" t="s">
        <v>408</v>
      </c>
      <c r="J4055" s="4" t="s">
        <v>807</v>
      </c>
      <c r="K4055" s="13" t="n">
        <v>250</v>
      </c>
      <c r="L4055" s="6" t="n">
        <f aca="false">H4055*K4055</f>
        <v>250</v>
      </c>
      <c r="M4055" s="4" t="s">
        <v>371</v>
      </c>
    </row>
    <row r="4056" customFormat="false" ht="15" hidden="false" customHeight="false" outlineLevel="0" collapsed="false">
      <c r="A4056" s="4" t="s">
        <v>147</v>
      </c>
      <c r="B4056" s="5" t="s">
        <v>162</v>
      </c>
      <c r="C4056" s="5" t="s">
        <v>163</v>
      </c>
      <c r="D4056" s="4" t="s">
        <v>16</v>
      </c>
      <c r="E4056" s="4" t="s">
        <v>1945</v>
      </c>
      <c r="F4056" s="4" t="s">
        <v>488</v>
      </c>
      <c r="G4056" s="4" t="s">
        <v>1946</v>
      </c>
      <c r="H4056" s="12" t="n">
        <v>1</v>
      </c>
      <c r="I4056" s="4" t="s">
        <v>408</v>
      </c>
      <c r="J4056" s="4" t="s">
        <v>475</v>
      </c>
      <c r="K4056" s="13" t="n">
        <v>180</v>
      </c>
      <c r="L4056" s="6" t="n">
        <f aca="false">H4056*K4056</f>
        <v>180</v>
      </c>
      <c r="M4056" s="4" t="s">
        <v>371</v>
      </c>
    </row>
    <row r="4057" customFormat="false" ht="15" hidden="false" customHeight="false" outlineLevel="0" collapsed="false">
      <c r="A4057" s="4" t="s">
        <v>147</v>
      </c>
      <c r="B4057" s="5" t="s">
        <v>162</v>
      </c>
      <c r="C4057" s="5" t="s">
        <v>163</v>
      </c>
      <c r="D4057" s="4" t="s">
        <v>16</v>
      </c>
      <c r="E4057" s="4" t="s">
        <v>1947</v>
      </c>
      <c r="F4057" s="4" t="s">
        <v>488</v>
      </c>
      <c r="G4057" s="4" t="s">
        <v>1948</v>
      </c>
      <c r="H4057" s="12" t="n">
        <v>1</v>
      </c>
      <c r="I4057" s="4" t="s">
        <v>408</v>
      </c>
      <c r="J4057" s="4" t="s">
        <v>416</v>
      </c>
      <c r="K4057" s="13" t="n">
        <v>2500</v>
      </c>
      <c r="L4057" s="6" t="n">
        <f aca="false">H4057*K4057</f>
        <v>2500</v>
      </c>
      <c r="M4057" s="4" t="s">
        <v>371</v>
      </c>
    </row>
    <row r="4058" customFormat="false" ht="15" hidden="false" customHeight="false" outlineLevel="0" collapsed="false">
      <c r="A4058" s="4" t="s">
        <v>147</v>
      </c>
      <c r="B4058" s="5" t="s">
        <v>162</v>
      </c>
      <c r="C4058" s="5" t="s">
        <v>163</v>
      </c>
      <c r="D4058" s="4" t="s">
        <v>16</v>
      </c>
      <c r="E4058" s="4" t="s">
        <v>1950</v>
      </c>
      <c r="F4058" s="4" t="s">
        <v>488</v>
      </c>
      <c r="G4058" s="4" t="s">
        <v>1951</v>
      </c>
      <c r="H4058" s="12" t="n">
        <v>1</v>
      </c>
      <c r="I4058" s="4" t="s">
        <v>408</v>
      </c>
      <c r="J4058" s="4" t="s">
        <v>409</v>
      </c>
      <c r="K4058" s="13" t="n">
        <v>850</v>
      </c>
      <c r="L4058" s="6" t="n">
        <f aca="false">H4058*K4058</f>
        <v>850</v>
      </c>
      <c r="M4058" s="4" t="s">
        <v>371</v>
      </c>
    </row>
    <row r="4059" customFormat="false" ht="15" hidden="false" customHeight="false" outlineLevel="0" collapsed="false">
      <c r="A4059" s="4" t="s">
        <v>147</v>
      </c>
      <c r="B4059" s="5" t="s">
        <v>162</v>
      </c>
      <c r="C4059" s="5" t="s">
        <v>163</v>
      </c>
      <c r="D4059" s="4" t="s">
        <v>16</v>
      </c>
      <c r="E4059" s="4" t="s">
        <v>1949</v>
      </c>
      <c r="F4059" s="4" t="s">
        <v>488</v>
      </c>
      <c r="G4059" s="4" t="s">
        <v>1658</v>
      </c>
      <c r="H4059" s="12" t="n">
        <v>1</v>
      </c>
      <c r="I4059" s="4" t="s">
        <v>408</v>
      </c>
      <c r="J4059" s="4" t="s">
        <v>503</v>
      </c>
      <c r="K4059" s="13" t="n">
        <v>120</v>
      </c>
      <c r="L4059" s="6" t="n">
        <f aca="false">H4059*K4059</f>
        <v>120</v>
      </c>
      <c r="M4059" s="4" t="s">
        <v>371</v>
      </c>
    </row>
    <row r="4060" customFormat="false" ht="15" hidden="false" customHeight="false" outlineLevel="0" collapsed="false">
      <c r="A4060" s="4" t="s">
        <v>147</v>
      </c>
      <c r="B4060" s="5" t="s">
        <v>162</v>
      </c>
      <c r="C4060" s="5" t="s">
        <v>163</v>
      </c>
      <c r="D4060" s="4" t="s">
        <v>16</v>
      </c>
      <c r="E4060" s="4" t="s">
        <v>1243</v>
      </c>
      <c r="F4060" s="4" t="s">
        <v>488</v>
      </c>
      <c r="G4060" s="4" t="s">
        <v>1244</v>
      </c>
      <c r="H4060" s="12" t="n">
        <v>1</v>
      </c>
      <c r="I4060" s="4" t="s">
        <v>408</v>
      </c>
      <c r="J4060" s="4" t="s">
        <v>503</v>
      </c>
      <c r="K4060" s="13" t="n">
        <v>180</v>
      </c>
      <c r="L4060" s="6" t="n">
        <f aca="false">H4060*K4060</f>
        <v>180</v>
      </c>
      <c r="M4060" s="4" t="s">
        <v>371</v>
      </c>
    </row>
    <row r="4061" customFormat="false" ht="15" hidden="false" customHeight="false" outlineLevel="0" collapsed="false">
      <c r="A4061" s="4" t="s">
        <v>147</v>
      </c>
      <c r="B4061" s="5" t="s">
        <v>164</v>
      </c>
      <c r="C4061" s="5" t="s">
        <v>165</v>
      </c>
      <c r="D4061" s="4" t="s">
        <v>16</v>
      </c>
      <c r="E4061" s="4" t="s">
        <v>2578</v>
      </c>
      <c r="F4061" s="4" t="s">
        <v>406</v>
      </c>
      <c r="G4061" s="4" t="s">
        <v>2579</v>
      </c>
      <c r="H4061" s="12" t="n">
        <v>1</v>
      </c>
      <c r="I4061" s="4" t="s">
        <v>408</v>
      </c>
      <c r="J4061" s="4" t="s">
        <v>409</v>
      </c>
      <c r="K4061" s="13" t="n">
        <v>350</v>
      </c>
      <c r="L4061" s="6" t="n">
        <f aca="false">H4061*K4061</f>
        <v>350</v>
      </c>
      <c r="M4061" s="14" t="s">
        <v>410</v>
      </c>
    </row>
    <row r="4062" customFormat="false" ht="15" hidden="false" customHeight="false" outlineLevel="0" collapsed="false">
      <c r="A4062" s="4" t="s">
        <v>147</v>
      </c>
      <c r="B4062" s="5" t="s">
        <v>164</v>
      </c>
      <c r="C4062" s="5" t="s">
        <v>165</v>
      </c>
      <c r="D4062" s="4" t="s">
        <v>16</v>
      </c>
      <c r="E4062" s="4" t="s">
        <v>2580</v>
      </c>
      <c r="F4062" s="4" t="s">
        <v>406</v>
      </c>
      <c r="G4062" s="4" t="s">
        <v>2581</v>
      </c>
      <c r="H4062" s="12" t="n">
        <v>1</v>
      </c>
      <c r="I4062" s="4" t="s">
        <v>408</v>
      </c>
      <c r="J4062" s="4" t="s">
        <v>416</v>
      </c>
      <c r="K4062" s="13" t="n">
        <v>1800</v>
      </c>
      <c r="L4062" s="6" t="n">
        <f aca="false">H4062*K4062</f>
        <v>1800</v>
      </c>
      <c r="M4062" s="14" t="s">
        <v>410</v>
      </c>
    </row>
    <row r="4063" customFormat="false" ht="15" hidden="false" customHeight="false" outlineLevel="0" collapsed="false">
      <c r="A4063" s="4" t="s">
        <v>147</v>
      </c>
      <c r="B4063" s="5" t="s">
        <v>164</v>
      </c>
      <c r="C4063" s="5" t="s">
        <v>165</v>
      </c>
      <c r="D4063" s="4" t="s">
        <v>16</v>
      </c>
      <c r="E4063" s="4" t="s">
        <v>2582</v>
      </c>
      <c r="F4063" s="4" t="s">
        <v>406</v>
      </c>
      <c r="G4063" s="4" t="s">
        <v>2583</v>
      </c>
      <c r="H4063" s="12" t="n">
        <v>1</v>
      </c>
      <c r="I4063" s="4" t="s">
        <v>408</v>
      </c>
      <c r="J4063" s="4" t="s">
        <v>409</v>
      </c>
      <c r="K4063" s="13" t="n">
        <v>650</v>
      </c>
      <c r="L4063" s="6" t="n">
        <f aca="false">H4063*K4063</f>
        <v>650</v>
      </c>
      <c r="M4063" s="14" t="s">
        <v>410</v>
      </c>
    </row>
    <row r="4064" customFormat="false" ht="15" hidden="false" customHeight="false" outlineLevel="0" collapsed="false">
      <c r="A4064" s="4" t="s">
        <v>147</v>
      </c>
      <c r="B4064" s="5" t="s">
        <v>164</v>
      </c>
      <c r="C4064" s="5" t="s">
        <v>165</v>
      </c>
      <c r="D4064" s="4" t="s">
        <v>16</v>
      </c>
      <c r="E4064" s="4" t="s">
        <v>2584</v>
      </c>
      <c r="F4064" s="4" t="s">
        <v>406</v>
      </c>
      <c r="G4064" s="4" t="s">
        <v>2585</v>
      </c>
      <c r="H4064" s="12" t="n">
        <v>1</v>
      </c>
      <c r="I4064" s="4" t="s">
        <v>408</v>
      </c>
      <c r="J4064" s="4" t="s">
        <v>416</v>
      </c>
      <c r="K4064" s="13" t="n">
        <v>2500</v>
      </c>
      <c r="L4064" s="6" t="n">
        <f aca="false">H4064*K4064</f>
        <v>2500</v>
      </c>
      <c r="M4064" s="14" t="s">
        <v>410</v>
      </c>
    </row>
    <row r="4065" customFormat="false" ht="15" hidden="false" customHeight="false" outlineLevel="0" collapsed="false">
      <c r="A4065" s="4" t="s">
        <v>147</v>
      </c>
      <c r="B4065" s="5" t="s">
        <v>164</v>
      </c>
      <c r="C4065" s="5" t="s">
        <v>165</v>
      </c>
      <c r="D4065" s="4" t="s">
        <v>16</v>
      </c>
      <c r="E4065" s="4" t="s">
        <v>2588</v>
      </c>
      <c r="F4065" s="4" t="s">
        <v>406</v>
      </c>
      <c r="G4065" s="4" t="s">
        <v>2589</v>
      </c>
      <c r="H4065" s="12" t="n">
        <v>1</v>
      </c>
      <c r="I4065" s="4" t="s">
        <v>408</v>
      </c>
      <c r="J4065" s="4" t="s">
        <v>409</v>
      </c>
      <c r="K4065" s="13" t="n">
        <v>850</v>
      </c>
      <c r="L4065" s="6" t="n">
        <f aca="false">H4065*K4065</f>
        <v>850</v>
      </c>
      <c r="M4065" s="14" t="s">
        <v>410</v>
      </c>
    </row>
    <row r="4066" customFormat="false" ht="15" hidden="false" customHeight="false" outlineLevel="0" collapsed="false">
      <c r="A4066" s="4" t="s">
        <v>147</v>
      </c>
      <c r="B4066" s="5" t="s">
        <v>164</v>
      </c>
      <c r="C4066" s="5" t="s">
        <v>165</v>
      </c>
      <c r="D4066" s="4" t="s">
        <v>16</v>
      </c>
      <c r="E4066" s="4" t="s">
        <v>2590</v>
      </c>
      <c r="F4066" s="4" t="s">
        <v>406</v>
      </c>
      <c r="G4066" s="4" t="s">
        <v>2591</v>
      </c>
      <c r="H4066" s="12" t="n">
        <v>1</v>
      </c>
      <c r="I4066" s="4" t="s">
        <v>408</v>
      </c>
      <c r="J4066" s="4" t="s">
        <v>409</v>
      </c>
      <c r="K4066" s="13" t="n">
        <v>250</v>
      </c>
      <c r="L4066" s="6" t="n">
        <f aca="false">H4066*K4066</f>
        <v>250</v>
      </c>
      <c r="M4066" s="4" t="s">
        <v>371</v>
      </c>
    </row>
    <row r="4067" customFormat="false" ht="15" hidden="false" customHeight="false" outlineLevel="0" collapsed="false">
      <c r="A4067" s="4" t="s">
        <v>147</v>
      </c>
      <c r="B4067" s="5" t="s">
        <v>164</v>
      </c>
      <c r="C4067" s="5" t="s">
        <v>165</v>
      </c>
      <c r="D4067" s="4" t="s">
        <v>16</v>
      </c>
      <c r="E4067" s="4" t="s">
        <v>2592</v>
      </c>
      <c r="F4067" s="4" t="s">
        <v>406</v>
      </c>
      <c r="G4067" s="4" t="s">
        <v>2593</v>
      </c>
      <c r="H4067" s="12" t="n">
        <v>1</v>
      </c>
      <c r="I4067" s="4" t="s">
        <v>408</v>
      </c>
      <c r="J4067" s="4" t="s">
        <v>409</v>
      </c>
      <c r="K4067" s="13" t="n">
        <v>450</v>
      </c>
      <c r="L4067" s="6" t="n">
        <f aca="false">H4067*K4067</f>
        <v>450</v>
      </c>
      <c r="M4067" s="14" t="s">
        <v>410</v>
      </c>
    </row>
    <row r="4068" customFormat="false" ht="15" hidden="false" customHeight="false" outlineLevel="0" collapsed="false">
      <c r="A4068" s="4" t="s">
        <v>147</v>
      </c>
      <c r="B4068" s="5" t="s">
        <v>164</v>
      </c>
      <c r="C4068" s="5" t="s">
        <v>165</v>
      </c>
      <c r="D4068" s="4" t="s">
        <v>16</v>
      </c>
      <c r="E4068" s="4" t="s">
        <v>2594</v>
      </c>
      <c r="F4068" s="4" t="s">
        <v>406</v>
      </c>
      <c r="G4068" s="4" t="s">
        <v>2595</v>
      </c>
      <c r="H4068" s="12" t="n">
        <v>1</v>
      </c>
      <c r="I4068" s="4" t="s">
        <v>408</v>
      </c>
      <c r="J4068" s="4" t="s">
        <v>416</v>
      </c>
      <c r="K4068" s="13" t="n">
        <v>4500</v>
      </c>
      <c r="L4068" s="6" t="n">
        <f aca="false">H4068*K4068</f>
        <v>4500</v>
      </c>
      <c r="M4068" s="14" t="s">
        <v>410</v>
      </c>
    </row>
    <row r="4069" customFormat="false" ht="15" hidden="false" customHeight="false" outlineLevel="0" collapsed="false">
      <c r="A4069" s="4" t="s">
        <v>147</v>
      </c>
      <c r="B4069" s="5" t="s">
        <v>164</v>
      </c>
      <c r="C4069" s="5" t="s">
        <v>165</v>
      </c>
      <c r="D4069" s="4" t="s">
        <v>16</v>
      </c>
      <c r="E4069" s="4" t="s">
        <v>2596</v>
      </c>
      <c r="F4069" s="4" t="s">
        <v>406</v>
      </c>
      <c r="G4069" s="4" t="s">
        <v>2597</v>
      </c>
      <c r="H4069" s="12" t="n">
        <v>1</v>
      </c>
      <c r="I4069" s="4" t="s">
        <v>408</v>
      </c>
      <c r="J4069" s="4" t="s">
        <v>416</v>
      </c>
      <c r="K4069" s="13" t="n">
        <v>850</v>
      </c>
      <c r="L4069" s="6" t="n">
        <f aca="false">H4069*K4069</f>
        <v>850</v>
      </c>
      <c r="M4069" s="14" t="s">
        <v>410</v>
      </c>
    </row>
    <row r="4070" customFormat="false" ht="15" hidden="false" customHeight="false" outlineLevel="0" collapsed="false">
      <c r="A4070" s="4" t="s">
        <v>147</v>
      </c>
      <c r="B4070" s="5" t="s">
        <v>164</v>
      </c>
      <c r="C4070" s="5" t="s">
        <v>165</v>
      </c>
      <c r="D4070" s="4" t="s">
        <v>16</v>
      </c>
      <c r="E4070" s="4" t="s">
        <v>4673</v>
      </c>
      <c r="F4070" s="4" t="s">
        <v>406</v>
      </c>
      <c r="G4070" s="4" t="s">
        <v>4674</v>
      </c>
      <c r="H4070" s="12" t="n">
        <v>1</v>
      </c>
      <c r="I4070" s="4" t="s">
        <v>408</v>
      </c>
      <c r="J4070" s="4" t="s">
        <v>409</v>
      </c>
      <c r="K4070" s="13" t="n">
        <v>350</v>
      </c>
      <c r="L4070" s="6" t="n">
        <f aca="false">H4070*K4070</f>
        <v>350</v>
      </c>
      <c r="M4070" s="4" t="s">
        <v>371</v>
      </c>
    </row>
    <row r="4071" customFormat="false" ht="15" hidden="false" customHeight="false" outlineLevel="0" collapsed="false">
      <c r="A4071" s="4" t="s">
        <v>147</v>
      </c>
      <c r="B4071" s="5" t="s">
        <v>164</v>
      </c>
      <c r="C4071" s="5" t="s">
        <v>165</v>
      </c>
      <c r="D4071" s="4" t="s">
        <v>16</v>
      </c>
      <c r="E4071" s="4" t="s">
        <v>2600</v>
      </c>
      <c r="F4071" s="4" t="s">
        <v>406</v>
      </c>
      <c r="G4071" s="4" t="s">
        <v>2601</v>
      </c>
      <c r="H4071" s="12" t="n">
        <v>1</v>
      </c>
      <c r="I4071" s="4" t="s">
        <v>408</v>
      </c>
      <c r="J4071" s="4" t="s">
        <v>409</v>
      </c>
      <c r="K4071" s="13" t="n">
        <v>350</v>
      </c>
      <c r="L4071" s="6" t="n">
        <f aca="false">H4071*K4071</f>
        <v>350</v>
      </c>
      <c r="M4071" s="4" t="s">
        <v>371</v>
      </c>
    </row>
    <row r="4072" customFormat="false" ht="15" hidden="false" customHeight="false" outlineLevel="0" collapsed="false">
      <c r="A4072" s="4" t="s">
        <v>147</v>
      </c>
      <c r="B4072" s="5" t="s">
        <v>164</v>
      </c>
      <c r="C4072" s="5" t="s">
        <v>165</v>
      </c>
      <c r="D4072" s="4" t="s">
        <v>16</v>
      </c>
      <c r="E4072" s="4" t="s">
        <v>2602</v>
      </c>
      <c r="F4072" s="4" t="s">
        <v>406</v>
      </c>
      <c r="G4072" s="4" t="s">
        <v>2603</v>
      </c>
      <c r="H4072" s="12" t="n">
        <v>1</v>
      </c>
      <c r="I4072" s="4" t="s">
        <v>408</v>
      </c>
      <c r="J4072" s="4" t="s">
        <v>409</v>
      </c>
      <c r="K4072" s="13" t="n">
        <v>650</v>
      </c>
      <c r="L4072" s="6" t="n">
        <f aca="false">H4072*K4072</f>
        <v>650</v>
      </c>
      <c r="M4072" s="14" t="s">
        <v>410</v>
      </c>
    </row>
    <row r="4073" customFormat="false" ht="15" hidden="false" customHeight="false" outlineLevel="0" collapsed="false">
      <c r="A4073" s="4" t="s">
        <v>147</v>
      </c>
      <c r="B4073" s="5" t="s">
        <v>164</v>
      </c>
      <c r="C4073" s="5" t="s">
        <v>165</v>
      </c>
      <c r="D4073" s="4" t="s">
        <v>16</v>
      </c>
      <c r="E4073" s="4" t="s">
        <v>2604</v>
      </c>
      <c r="F4073" s="4" t="s">
        <v>406</v>
      </c>
      <c r="G4073" s="4" t="s">
        <v>2605</v>
      </c>
      <c r="H4073" s="12" t="n">
        <v>1</v>
      </c>
      <c r="I4073" s="4" t="s">
        <v>408</v>
      </c>
      <c r="J4073" s="4" t="s">
        <v>409</v>
      </c>
      <c r="K4073" s="13" t="n">
        <v>1800</v>
      </c>
      <c r="L4073" s="6" t="n">
        <f aca="false">H4073*K4073</f>
        <v>1800</v>
      </c>
      <c r="M4073" s="14" t="s">
        <v>410</v>
      </c>
    </row>
    <row r="4074" customFormat="false" ht="15" hidden="false" customHeight="false" outlineLevel="0" collapsed="false">
      <c r="A4074" s="4" t="s">
        <v>147</v>
      </c>
      <c r="B4074" s="5" t="s">
        <v>164</v>
      </c>
      <c r="C4074" s="5" t="s">
        <v>165</v>
      </c>
      <c r="D4074" s="4" t="s">
        <v>16</v>
      </c>
      <c r="E4074" s="4" t="s">
        <v>2606</v>
      </c>
      <c r="F4074" s="4" t="s">
        <v>406</v>
      </c>
      <c r="G4074" s="4" t="s">
        <v>2607</v>
      </c>
      <c r="H4074" s="12" t="n">
        <v>1</v>
      </c>
      <c r="I4074" s="4" t="s">
        <v>408</v>
      </c>
      <c r="J4074" s="4" t="s">
        <v>409</v>
      </c>
      <c r="K4074" s="13" t="n">
        <v>25000</v>
      </c>
      <c r="L4074" s="6" t="n">
        <f aca="false">H4074*K4074</f>
        <v>25000</v>
      </c>
      <c r="M4074" s="14" t="s">
        <v>410</v>
      </c>
    </row>
    <row r="4075" customFormat="false" ht="15" hidden="false" customHeight="false" outlineLevel="0" collapsed="false">
      <c r="A4075" s="4" t="s">
        <v>147</v>
      </c>
      <c r="B4075" s="5" t="s">
        <v>164</v>
      </c>
      <c r="C4075" s="5" t="s">
        <v>165</v>
      </c>
      <c r="D4075" s="4" t="s">
        <v>16</v>
      </c>
      <c r="E4075" s="4" t="s">
        <v>2608</v>
      </c>
      <c r="F4075" s="4" t="s">
        <v>406</v>
      </c>
      <c r="G4075" s="4" t="s">
        <v>2609</v>
      </c>
      <c r="H4075" s="12" t="n">
        <v>1</v>
      </c>
      <c r="I4075" s="4" t="s">
        <v>408</v>
      </c>
      <c r="J4075" s="4" t="s">
        <v>416</v>
      </c>
      <c r="K4075" s="13" t="n">
        <v>6500</v>
      </c>
      <c r="L4075" s="6" t="n">
        <f aca="false">H4075*K4075</f>
        <v>6500</v>
      </c>
      <c r="M4075" s="14" t="s">
        <v>410</v>
      </c>
    </row>
    <row r="4076" customFormat="false" ht="15" hidden="false" customHeight="false" outlineLevel="0" collapsed="false">
      <c r="A4076" s="4" t="s">
        <v>147</v>
      </c>
      <c r="B4076" s="5" t="s">
        <v>164</v>
      </c>
      <c r="C4076" s="5" t="s">
        <v>165</v>
      </c>
      <c r="D4076" s="4" t="s">
        <v>16</v>
      </c>
      <c r="E4076" s="4" t="s">
        <v>2586</v>
      </c>
      <c r="F4076" s="4" t="s">
        <v>406</v>
      </c>
      <c r="G4076" s="4" t="s">
        <v>2587</v>
      </c>
      <c r="H4076" s="12" t="n">
        <v>1</v>
      </c>
      <c r="I4076" s="4" t="s">
        <v>408</v>
      </c>
      <c r="J4076" s="4" t="s">
        <v>416</v>
      </c>
      <c r="K4076" s="13" t="n">
        <v>4500</v>
      </c>
      <c r="L4076" s="6" t="n">
        <f aca="false">H4076*K4076</f>
        <v>4500</v>
      </c>
      <c r="M4076" s="14" t="s">
        <v>410</v>
      </c>
    </row>
    <row r="4077" customFormat="false" ht="15" hidden="false" customHeight="false" outlineLevel="0" collapsed="false">
      <c r="A4077" s="4" t="s">
        <v>147</v>
      </c>
      <c r="B4077" s="5" t="s">
        <v>164</v>
      </c>
      <c r="C4077" s="5" t="s">
        <v>165</v>
      </c>
      <c r="D4077" s="4" t="s">
        <v>16</v>
      </c>
      <c r="E4077" s="4" t="s">
        <v>2610</v>
      </c>
      <c r="F4077" s="4" t="s">
        <v>406</v>
      </c>
      <c r="G4077" s="4" t="s">
        <v>2611</v>
      </c>
      <c r="H4077" s="12" t="n">
        <v>1</v>
      </c>
      <c r="I4077" s="4" t="s">
        <v>408</v>
      </c>
      <c r="J4077" s="4" t="s">
        <v>409</v>
      </c>
      <c r="K4077" s="13" t="n">
        <v>650</v>
      </c>
      <c r="L4077" s="6" t="n">
        <f aca="false">H4077*K4077</f>
        <v>650</v>
      </c>
      <c r="M4077" s="14" t="s">
        <v>410</v>
      </c>
    </row>
    <row r="4078" customFormat="false" ht="15" hidden="false" customHeight="false" outlineLevel="0" collapsed="false">
      <c r="A4078" s="4" t="s">
        <v>147</v>
      </c>
      <c r="B4078" s="5" t="s">
        <v>164</v>
      </c>
      <c r="C4078" s="5" t="s">
        <v>165</v>
      </c>
      <c r="D4078" s="4" t="s">
        <v>16</v>
      </c>
      <c r="E4078" s="4" t="s">
        <v>2612</v>
      </c>
      <c r="F4078" s="4" t="s">
        <v>488</v>
      </c>
      <c r="G4078" s="4" t="s">
        <v>1716</v>
      </c>
      <c r="H4078" s="12" t="n">
        <v>1</v>
      </c>
      <c r="I4078" s="4" t="s">
        <v>408</v>
      </c>
      <c r="J4078" s="4" t="s">
        <v>807</v>
      </c>
      <c r="K4078" s="13" t="n">
        <v>45</v>
      </c>
      <c r="L4078" s="6" t="n">
        <f aca="false">H4078*K4078</f>
        <v>45</v>
      </c>
      <c r="M4078" s="4" t="s">
        <v>371</v>
      </c>
    </row>
    <row r="4079" customFormat="false" ht="15" hidden="false" customHeight="false" outlineLevel="0" collapsed="false">
      <c r="A4079" s="4" t="s">
        <v>147</v>
      </c>
      <c r="B4079" s="5" t="s">
        <v>164</v>
      </c>
      <c r="C4079" s="5" t="s">
        <v>165</v>
      </c>
      <c r="D4079" s="4" t="s">
        <v>16</v>
      </c>
      <c r="E4079" s="4" t="s">
        <v>2613</v>
      </c>
      <c r="F4079" s="4" t="s">
        <v>488</v>
      </c>
      <c r="G4079" s="4" t="s">
        <v>2614</v>
      </c>
      <c r="H4079" s="12" t="n">
        <v>1</v>
      </c>
      <c r="I4079" s="4" t="s">
        <v>408</v>
      </c>
      <c r="J4079" s="4" t="s">
        <v>807</v>
      </c>
      <c r="K4079" s="13" t="n">
        <v>150</v>
      </c>
      <c r="L4079" s="6" t="n">
        <f aca="false">H4079*K4079</f>
        <v>150</v>
      </c>
      <c r="M4079" s="4" t="s">
        <v>371</v>
      </c>
    </row>
    <row r="4080" customFormat="false" ht="15" hidden="false" customHeight="false" outlineLevel="0" collapsed="false">
      <c r="A4080" s="4" t="s">
        <v>166</v>
      </c>
      <c r="B4080" s="5" t="s">
        <v>169</v>
      </c>
      <c r="C4080" s="5" t="s">
        <v>170</v>
      </c>
      <c r="D4080" s="4" t="s">
        <v>16</v>
      </c>
      <c r="E4080" s="4" t="s">
        <v>1725</v>
      </c>
      <c r="F4080" s="4" t="s">
        <v>406</v>
      </c>
      <c r="G4080" s="4" t="s">
        <v>1726</v>
      </c>
      <c r="H4080" s="12" t="n">
        <v>1</v>
      </c>
      <c r="I4080" s="4" t="s">
        <v>408</v>
      </c>
      <c r="J4080" s="4" t="s">
        <v>409</v>
      </c>
      <c r="K4080" s="13" t="n">
        <v>250</v>
      </c>
      <c r="L4080" s="6" t="n">
        <f aca="false">H4080*K4080</f>
        <v>250</v>
      </c>
      <c r="M4080" s="14" t="s">
        <v>410</v>
      </c>
    </row>
    <row r="4081" customFormat="false" ht="15" hidden="false" customHeight="false" outlineLevel="0" collapsed="false">
      <c r="A4081" s="4" t="s">
        <v>166</v>
      </c>
      <c r="B4081" s="5" t="s">
        <v>169</v>
      </c>
      <c r="C4081" s="5" t="s">
        <v>170</v>
      </c>
      <c r="D4081" s="4" t="s">
        <v>16</v>
      </c>
      <c r="E4081" s="4" t="s">
        <v>1727</v>
      </c>
      <c r="F4081" s="4" t="s">
        <v>406</v>
      </c>
      <c r="G4081" s="4" t="s">
        <v>1728</v>
      </c>
      <c r="H4081" s="12" t="n">
        <v>1</v>
      </c>
      <c r="I4081" s="4" t="s">
        <v>408</v>
      </c>
      <c r="J4081" s="4" t="s">
        <v>409</v>
      </c>
      <c r="K4081" s="13" t="n">
        <v>350</v>
      </c>
      <c r="L4081" s="6" t="n">
        <f aca="false">H4081*K4081</f>
        <v>350</v>
      </c>
      <c r="M4081" s="14" t="s">
        <v>410</v>
      </c>
    </row>
    <row r="4082" customFormat="false" ht="15" hidden="false" customHeight="false" outlineLevel="0" collapsed="false">
      <c r="A4082" s="4" t="s">
        <v>166</v>
      </c>
      <c r="B4082" s="5" t="s">
        <v>169</v>
      </c>
      <c r="C4082" s="5" t="s">
        <v>170</v>
      </c>
      <c r="D4082" s="4" t="s">
        <v>16</v>
      </c>
      <c r="E4082" s="4" t="s">
        <v>1729</v>
      </c>
      <c r="F4082" s="4" t="s">
        <v>406</v>
      </c>
      <c r="G4082" s="4" t="s">
        <v>1730</v>
      </c>
      <c r="H4082" s="12" t="n">
        <v>1</v>
      </c>
      <c r="I4082" s="4" t="s">
        <v>408</v>
      </c>
      <c r="J4082" s="4" t="s">
        <v>409</v>
      </c>
      <c r="K4082" s="13" t="n">
        <v>450</v>
      </c>
      <c r="L4082" s="6" t="n">
        <f aca="false">H4082*K4082</f>
        <v>450</v>
      </c>
      <c r="M4082" s="14" t="s">
        <v>410</v>
      </c>
    </row>
    <row r="4083" customFormat="false" ht="15" hidden="false" customHeight="false" outlineLevel="0" collapsed="false">
      <c r="A4083" s="4" t="s">
        <v>166</v>
      </c>
      <c r="B4083" s="5" t="s">
        <v>169</v>
      </c>
      <c r="C4083" s="5" t="s">
        <v>170</v>
      </c>
      <c r="D4083" s="4" t="s">
        <v>16</v>
      </c>
      <c r="E4083" s="4" t="s">
        <v>1731</v>
      </c>
      <c r="F4083" s="4" t="s">
        <v>406</v>
      </c>
      <c r="G4083" s="4" t="s">
        <v>1732</v>
      </c>
      <c r="H4083" s="12" t="n">
        <v>1</v>
      </c>
      <c r="I4083" s="4" t="s">
        <v>408</v>
      </c>
      <c r="J4083" s="4" t="s">
        <v>409</v>
      </c>
      <c r="K4083" s="13" t="n">
        <v>850</v>
      </c>
      <c r="L4083" s="6" t="n">
        <f aca="false">H4083*K4083</f>
        <v>850</v>
      </c>
      <c r="M4083" s="14" t="s">
        <v>410</v>
      </c>
    </row>
    <row r="4084" customFormat="false" ht="15" hidden="false" customHeight="false" outlineLevel="0" collapsed="false">
      <c r="A4084" s="4" t="s">
        <v>166</v>
      </c>
      <c r="B4084" s="5" t="s">
        <v>169</v>
      </c>
      <c r="C4084" s="5" t="s">
        <v>170</v>
      </c>
      <c r="D4084" s="4" t="s">
        <v>16</v>
      </c>
      <c r="E4084" s="4" t="s">
        <v>4675</v>
      </c>
      <c r="F4084" s="4" t="s">
        <v>406</v>
      </c>
      <c r="G4084" s="4" t="s">
        <v>4676</v>
      </c>
      <c r="H4084" s="12" t="n">
        <v>1</v>
      </c>
      <c r="I4084" s="4" t="s">
        <v>408</v>
      </c>
      <c r="J4084" s="4" t="s">
        <v>409</v>
      </c>
      <c r="K4084" s="13" t="n">
        <v>450</v>
      </c>
      <c r="L4084" s="6" t="n">
        <f aca="false">H4084*K4084</f>
        <v>450</v>
      </c>
      <c r="M4084" s="14" t="s">
        <v>410</v>
      </c>
    </row>
    <row r="4085" customFormat="false" ht="15" hidden="false" customHeight="false" outlineLevel="0" collapsed="false">
      <c r="A4085" s="4" t="s">
        <v>166</v>
      </c>
      <c r="B4085" s="5" t="s">
        <v>169</v>
      </c>
      <c r="C4085" s="5" t="s">
        <v>170</v>
      </c>
      <c r="D4085" s="4" t="s">
        <v>16</v>
      </c>
      <c r="E4085" s="4" t="s">
        <v>4677</v>
      </c>
      <c r="F4085" s="4" t="s">
        <v>406</v>
      </c>
      <c r="G4085" s="4" t="s">
        <v>4678</v>
      </c>
      <c r="H4085" s="12" t="n">
        <v>1</v>
      </c>
      <c r="I4085" s="4" t="s">
        <v>408</v>
      </c>
      <c r="J4085" s="4" t="s">
        <v>416</v>
      </c>
      <c r="K4085" s="13" t="n">
        <v>450</v>
      </c>
      <c r="L4085" s="6" t="n">
        <f aca="false">H4085*K4085</f>
        <v>450</v>
      </c>
      <c r="M4085" s="14" t="s">
        <v>410</v>
      </c>
    </row>
    <row r="4086" customFormat="false" ht="15" hidden="false" customHeight="false" outlineLevel="0" collapsed="false">
      <c r="A4086" s="4" t="s">
        <v>166</v>
      </c>
      <c r="B4086" s="5" t="s">
        <v>169</v>
      </c>
      <c r="C4086" s="5" t="s">
        <v>170</v>
      </c>
      <c r="D4086" s="4" t="s">
        <v>16</v>
      </c>
      <c r="E4086" s="4" t="s">
        <v>1735</v>
      </c>
      <c r="F4086" s="4" t="s">
        <v>406</v>
      </c>
      <c r="G4086" s="4" t="s">
        <v>1736</v>
      </c>
      <c r="H4086" s="12" t="n">
        <v>1</v>
      </c>
      <c r="I4086" s="4" t="s">
        <v>408</v>
      </c>
      <c r="J4086" s="4" t="s">
        <v>416</v>
      </c>
      <c r="K4086" s="13" t="n">
        <v>850</v>
      </c>
      <c r="L4086" s="6" t="n">
        <f aca="false">H4086*K4086</f>
        <v>850</v>
      </c>
      <c r="M4086" s="14" t="s">
        <v>410</v>
      </c>
    </row>
    <row r="4087" customFormat="false" ht="15" hidden="false" customHeight="false" outlineLevel="0" collapsed="false">
      <c r="A4087" s="4" t="s">
        <v>166</v>
      </c>
      <c r="B4087" s="5" t="s">
        <v>169</v>
      </c>
      <c r="C4087" s="5" t="s">
        <v>170</v>
      </c>
      <c r="D4087" s="4" t="s">
        <v>16</v>
      </c>
      <c r="E4087" s="4" t="s">
        <v>1737</v>
      </c>
      <c r="F4087" s="4" t="s">
        <v>406</v>
      </c>
      <c r="G4087" s="4" t="s">
        <v>1738</v>
      </c>
      <c r="H4087" s="12" t="n">
        <v>1</v>
      </c>
      <c r="I4087" s="4" t="s">
        <v>408</v>
      </c>
      <c r="J4087" s="4" t="s">
        <v>409</v>
      </c>
      <c r="K4087" s="13" t="n">
        <v>180</v>
      </c>
      <c r="L4087" s="6" t="n">
        <f aca="false">H4087*K4087</f>
        <v>180</v>
      </c>
      <c r="M4087" s="14" t="s">
        <v>410</v>
      </c>
    </row>
    <row r="4088" customFormat="false" ht="15" hidden="false" customHeight="false" outlineLevel="0" collapsed="false">
      <c r="A4088" s="4" t="s">
        <v>166</v>
      </c>
      <c r="B4088" s="5" t="s">
        <v>169</v>
      </c>
      <c r="C4088" s="5" t="s">
        <v>170</v>
      </c>
      <c r="D4088" s="4" t="s">
        <v>16</v>
      </c>
      <c r="E4088" s="4" t="s">
        <v>4679</v>
      </c>
      <c r="F4088" s="4" t="s">
        <v>406</v>
      </c>
      <c r="G4088" s="4" t="s">
        <v>4680</v>
      </c>
      <c r="H4088" s="12" t="n">
        <v>1</v>
      </c>
      <c r="I4088" s="4" t="s">
        <v>408</v>
      </c>
      <c r="J4088" s="4" t="s">
        <v>409</v>
      </c>
      <c r="K4088" s="13" t="n">
        <v>150</v>
      </c>
      <c r="L4088" s="6" t="n">
        <f aca="false">H4088*K4088</f>
        <v>150</v>
      </c>
      <c r="M4088" s="14" t="s">
        <v>410</v>
      </c>
    </row>
    <row r="4089" customFormat="false" ht="15" hidden="false" customHeight="false" outlineLevel="0" collapsed="false">
      <c r="A4089" s="4" t="s">
        <v>166</v>
      </c>
      <c r="B4089" s="5" t="s">
        <v>169</v>
      </c>
      <c r="C4089" s="5" t="s">
        <v>170</v>
      </c>
      <c r="D4089" s="4" t="s">
        <v>16</v>
      </c>
      <c r="E4089" s="4" t="s">
        <v>4681</v>
      </c>
      <c r="F4089" s="4" t="s">
        <v>406</v>
      </c>
      <c r="G4089" s="4" t="s">
        <v>4682</v>
      </c>
      <c r="H4089" s="12" t="n">
        <v>1</v>
      </c>
      <c r="I4089" s="4" t="s">
        <v>408</v>
      </c>
      <c r="J4089" s="4" t="s">
        <v>409</v>
      </c>
      <c r="K4089" s="13" t="n">
        <v>250</v>
      </c>
      <c r="L4089" s="6" t="n">
        <f aca="false">H4089*K4089</f>
        <v>250</v>
      </c>
      <c r="M4089" s="14" t="s">
        <v>410</v>
      </c>
    </row>
    <row r="4090" customFormat="false" ht="15" hidden="false" customHeight="false" outlineLevel="0" collapsed="false">
      <c r="A4090" s="4" t="s">
        <v>166</v>
      </c>
      <c r="B4090" s="5" t="s">
        <v>169</v>
      </c>
      <c r="C4090" s="5" t="s">
        <v>170</v>
      </c>
      <c r="D4090" s="4" t="s">
        <v>16</v>
      </c>
      <c r="E4090" s="4" t="s">
        <v>1741</v>
      </c>
      <c r="F4090" s="4" t="s">
        <v>406</v>
      </c>
      <c r="G4090" s="4" t="s">
        <v>1742</v>
      </c>
      <c r="H4090" s="12" t="n">
        <v>1</v>
      </c>
      <c r="I4090" s="4" t="s">
        <v>408</v>
      </c>
      <c r="J4090" s="4" t="s">
        <v>409</v>
      </c>
      <c r="K4090" s="13" t="n">
        <v>100</v>
      </c>
      <c r="L4090" s="6" t="n">
        <f aca="false">H4090*K4090</f>
        <v>100</v>
      </c>
      <c r="M4090" s="14" t="s">
        <v>410</v>
      </c>
    </row>
    <row r="4091" customFormat="false" ht="15" hidden="false" customHeight="false" outlineLevel="0" collapsed="false">
      <c r="A4091" s="4" t="s">
        <v>166</v>
      </c>
      <c r="B4091" s="5" t="s">
        <v>169</v>
      </c>
      <c r="C4091" s="5" t="s">
        <v>170</v>
      </c>
      <c r="D4091" s="4" t="s">
        <v>16</v>
      </c>
      <c r="E4091" s="4" t="s">
        <v>1743</v>
      </c>
      <c r="F4091" s="4" t="s">
        <v>406</v>
      </c>
      <c r="G4091" s="4" t="s">
        <v>1744</v>
      </c>
      <c r="H4091" s="12" t="n">
        <v>1</v>
      </c>
      <c r="I4091" s="4" t="s">
        <v>408</v>
      </c>
      <c r="J4091" s="4" t="s">
        <v>416</v>
      </c>
      <c r="K4091" s="13" t="n">
        <v>1800</v>
      </c>
      <c r="L4091" s="6" t="n">
        <f aca="false">H4091*K4091</f>
        <v>1800</v>
      </c>
      <c r="M4091" s="14" t="s">
        <v>410</v>
      </c>
    </row>
    <row r="4092" customFormat="false" ht="15" hidden="false" customHeight="false" outlineLevel="0" collapsed="false">
      <c r="A4092" s="4" t="s">
        <v>166</v>
      </c>
      <c r="B4092" s="5" t="s">
        <v>169</v>
      </c>
      <c r="C4092" s="5" t="s">
        <v>170</v>
      </c>
      <c r="D4092" s="4" t="s">
        <v>16</v>
      </c>
      <c r="E4092" s="4" t="s">
        <v>1745</v>
      </c>
      <c r="F4092" s="4" t="s">
        <v>406</v>
      </c>
      <c r="G4092" s="4" t="s">
        <v>1746</v>
      </c>
      <c r="H4092" s="12" t="n">
        <v>1</v>
      </c>
      <c r="I4092" s="4" t="s">
        <v>408</v>
      </c>
      <c r="J4092" s="4" t="s">
        <v>416</v>
      </c>
      <c r="K4092" s="13" t="n">
        <v>1200</v>
      </c>
      <c r="L4092" s="6" t="n">
        <f aca="false">H4092*K4092</f>
        <v>1200</v>
      </c>
      <c r="M4092" s="14" t="s">
        <v>410</v>
      </c>
    </row>
    <row r="4093" customFormat="false" ht="15" hidden="false" customHeight="false" outlineLevel="0" collapsed="false">
      <c r="A4093" s="4" t="s">
        <v>166</v>
      </c>
      <c r="B4093" s="5" t="s">
        <v>169</v>
      </c>
      <c r="C4093" s="5" t="s">
        <v>170</v>
      </c>
      <c r="D4093" s="4" t="s">
        <v>16</v>
      </c>
      <c r="E4093" s="4" t="s">
        <v>1747</v>
      </c>
      <c r="F4093" s="4" t="s">
        <v>406</v>
      </c>
      <c r="G4093" s="4" t="s">
        <v>1748</v>
      </c>
      <c r="H4093" s="12" t="n">
        <v>1</v>
      </c>
      <c r="I4093" s="4" t="s">
        <v>408</v>
      </c>
      <c r="J4093" s="4" t="s">
        <v>409</v>
      </c>
      <c r="K4093" s="13" t="n">
        <v>350</v>
      </c>
      <c r="L4093" s="6" t="n">
        <f aca="false">H4093*K4093</f>
        <v>350</v>
      </c>
      <c r="M4093" s="14" t="s">
        <v>410</v>
      </c>
    </row>
    <row r="4094" customFormat="false" ht="15" hidden="false" customHeight="false" outlineLevel="0" collapsed="false">
      <c r="A4094" s="4" t="s">
        <v>166</v>
      </c>
      <c r="B4094" s="5" t="s">
        <v>169</v>
      </c>
      <c r="C4094" s="5" t="s">
        <v>170</v>
      </c>
      <c r="D4094" s="4" t="s">
        <v>16</v>
      </c>
      <c r="E4094" s="4" t="s">
        <v>1749</v>
      </c>
      <c r="F4094" s="4" t="s">
        <v>406</v>
      </c>
      <c r="G4094" s="4" t="s">
        <v>1750</v>
      </c>
      <c r="H4094" s="12" t="n">
        <v>1</v>
      </c>
      <c r="I4094" s="4" t="s">
        <v>408</v>
      </c>
      <c r="J4094" s="4" t="s">
        <v>416</v>
      </c>
      <c r="K4094" s="13" t="n">
        <v>450</v>
      </c>
      <c r="L4094" s="6" t="n">
        <f aca="false">H4094*K4094</f>
        <v>450</v>
      </c>
      <c r="M4094" s="14" t="s">
        <v>410</v>
      </c>
    </row>
    <row r="4095" customFormat="false" ht="15" hidden="false" customHeight="false" outlineLevel="0" collapsed="false">
      <c r="A4095" s="4" t="s">
        <v>166</v>
      </c>
      <c r="B4095" s="5" t="s">
        <v>169</v>
      </c>
      <c r="C4095" s="5" t="s">
        <v>170</v>
      </c>
      <c r="D4095" s="4" t="s">
        <v>16</v>
      </c>
      <c r="E4095" s="4" t="s">
        <v>1751</v>
      </c>
      <c r="F4095" s="4" t="s">
        <v>406</v>
      </c>
      <c r="G4095" s="4" t="s">
        <v>1752</v>
      </c>
      <c r="H4095" s="12" t="n">
        <v>1</v>
      </c>
      <c r="I4095" s="4" t="s">
        <v>408</v>
      </c>
      <c r="J4095" s="4" t="s">
        <v>416</v>
      </c>
      <c r="K4095" s="13" t="n">
        <v>650</v>
      </c>
      <c r="L4095" s="6" t="n">
        <f aca="false">H4095*K4095</f>
        <v>650</v>
      </c>
      <c r="M4095" s="4" t="s">
        <v>371</v>
      </c>
    </row>
    <row r="4096" customFormat="false" ht="15" hidden="false" customHeight="false" outlineLevel="0" collapsed="false">
      <c r="A4096" s="4" t="s">
        <v>166</v>
      </c>
      <c r="B4096" s="5" t="s">
        <v>169</v>
      </c>
      <c r="C4096" s="5" t="s">
        <v>170</v>
      </c>
      <c r="D4096" s="4" t="s">
        <v>16</v>
      </c>
      <c r="E4096" s="4" t="s">
        <v>1753</v>
      </c>
      <c r="F4096" s="4" t="s">
        <v>406</v>
      </c>
      <c r="G4096" s="4" t="s">
        <v>1754</v>
      </c>
      <c r="H4096" s="12" t="n">
        <v>1</v>
      </c>
      <c r="I4096" s="4" t="s">
        <v>408</v>
      </c>
      <c r="J4096" s="4" t="s">
        <v>409</v>
      </c>
      <c r="K4096" s="13" t="n">
        <v>180</v>
      </c>
      <c r="L4096" s="6" t="n">
        <f aca="false">H4096*K4096</f>
        <v>180</v>
      </c>
      <c r="M4096" s="14" t="s">
        <v>410</v>
      </c>
    </row>
    <row r="4097" customFormat="false" ht="15" hidden="false" customHeight="false" outlineLevel="0" collapsed="false">
      <c r="A4097" s="4" t="s">
        <v>166</v>
      </c>
      <c r="B4097" s="5" t="s">
        <v>169</v>
      </c>
      <c r="C4097" s="5" t="s">
        <v>170</v>
      </c>
      <c r="D4097" s="4" t="s">
        <v>16</v>
      </c>
      <c r="E4097" s="4" t="s">
        <v>1755</v>
      </c>
      <c r="F4097" s="4" t="s">
        <v>406</v>
      </c>
      <c r="G4097" s="4" t="s">
        <v>1756</v>
      </c>
      <c r="H4097" s="12" t="n">
        <v>1</v>
      </c>
      <c r="I4097" s="4" t="s">
        <v>408</v>
      </c>
      <c r="J4097" s="4" t="s">
        <v>409</v>
      </c>
      <c r="K4097" s="13" t="n">
        <v>180</v>
      </c>
      <c r="L4097" s="6" t="n">
        <f aca="false">H4097*K4097</f>
        <v>180</v>
      </c>
      <c r="M4097" s="14" t="s">
        <v>410</v>
      </c>
    </row>
    <row r="4098" customFormat="false" ht="15" hidden="false" customHeight="false" outlineLevel="0" collapsed="false">
      <c r="A4098" s="4" t="s">
        <v>166</v>
      </c>
      <c r="B4098" s="5" t="s">
        <v>169</v>
      </c>
      <c r="C4098" s="5" t="s">
        <v>170</v>
      </c>
      <c r="D4098" s="4" t="s">
        <v>16</v>
      </c>
      <c r="E4098" s="4" t="s">
        <v>1757</v>
      </c>
      <c r="F4098" s="4" t="s">
        <v>406</v>
      </c>
      <c r="G4098" s="4" t="s">
        <v>1758</v>
      </c>
      <c r="H4098" s="12" t="n">
        <v>1</v>
      </c>
      <c r="I4098" s="4" t="s">
        <v>408</v>
      </c>
      <c r="J4098" s="4" t="s">
        <v>409</v>
      </c>
      <c r="K4098" s="13" t="n">
        <v>250</v>
      </c>
      <c r="L4098" s="6" t="n">
        <f aca="false">H4098*K4098</f>
        <v>250</v>
      </c>
      <c r="M4098" s="14" t="s">
        <v>410</v>
      </c>
    </row>
    <row r="4099" customFormat="false" ht="15" hidden="false" customHeight="false" outlineLevel="0" collapsed="false">
      <c r="A4099" s="4" t="s">
        <v>166</v>
      </c>
      <c r="B4099" s="5" t="s">
        <v>169</v>
      </c>
      <c r="C4099" s="5" t="s">
        <v>170</v>
      </c>
      <c r="D4099" s="4" t="s">
        <v>16</v>
      </c>
      <c r="E4099" s="4" t="s">
        <v>1759</v>
      </c>
      <c r="F4099" s="4" t="s">
        <v>406</v>
      </c>
      <c r="G4099" s="4" t="s">
        <v>1760</v>
      </c>
      <c r="H4099" s="12" t="n">
        <v>1</v>
      </c>
      <c r="I4099" s="4" t="s">
        <v>408</v>
      </c>
      <c r="J4099" s="4" t="s">
        <v>416</v>
      </c>
      <c r="K4099" s="13" t="n">
        <v>450</v>
      </c>
      <c r="L4099" s="6" t="n">
        <f aca="false">H4099*K4099</f>
        <v>450</v>
      </c>
      <c r="M4099" s="14" t="s">
        <v>410</v>
      </c>
    </row>
    <row r="4100" customFormat="false" ht="15" hidden="false" customHeight="false" outlineLevel="0" collapsed="false">
      <c r="A4100" s="4" t="s">
        <v>166</v>
      </c>
      <c r="B4100" s="5" t="s">
        <v>169</v>
      </c>
      <c r="C4100" s="5" t="s">
        <v>170</v>
      </c>
      <c r="D4100" s="4" t="s">
        <v>16</v>
      </c>
      <c r="E4100" s="4" t="s">
        <v>1761</v>
      </c>
      <c r="F4100" s="4" t="s">
        <v>406</v>
      </c>
      <c r="G4100" s="4" t="s">
        <v>1762</v>
      </c>
      <c r="H4100" s="12" t="n">
        <v>1</v>
      </c>
      <c r="I4100" s="4" t="s">
        <v>408</v>
      </c>
      <c r="J4100" s="4" t="s">
        <v>416</v>
      </c>
      <c r="K4100" s="13" t="n">
        <v>350</v>
      </c>
      <c r="L4100" s="6" t="n">
        <f aca="false">H4100*K4100</f>
        <v>350</v>
      </c>
      <c r="M4100" s="14" t="s">
        <v>410</v>
      </c>
    </row>
    <row r="4101" customFormat="false" ht="15" hidden="false" customHeight="false" outlineLevel="0" collapsed="false">
      <c r="A4101" s="4" t="s">
        <v>166</v>
      </c>
      <c r="B4101" s="5" t="s">
        <v>169</v>
      </c>
      <c r="C4101" s="5" t="s">
        <v>170</v>
      </c>
      <c r="D4101" s="4" t="s">
        <v>16</v>
      </c>
      <c r="E4101" s="4" t="s">
        <v>1763</v>
      </c>
      <c r="F4101" s="4" t="s">
        <v>406</v>
      </c>
      <c r="G4101" s="4" t="s">
        <v>1764</v>
      </c>
      <c r="H4101" s="12" t="n">
        <v>1</v>
      </c>
      <c r="I4101" s="4" t="s">
        <v>408</v>
      </c>
      <c r="J4101" s="4" t="s">
        <v>416</v>
      </c>
      <c r="K4101" s="13" t="n">
        <v>350</v>
      </c>
      <c r="L4101" s="6" t="n">
        <f aca="false">H4101*K4101</f>
        <v>350</v>
      </c>
      <c r="M4101" s="14" t="s">
        <v>410</v>
      </c>
    </row>
    <row r="4102" customFormat="false" ht="15" hidden="false" customHeight="false" outlineLevel="0" collapsed="false">
      <c r="A4102" s="4" t="s">
        <v>166</v>
      </c>
      <c r="B4102" s="5" t="s">
        <v>169</v>
      </c>
      <c r="C4102" s="5" t="s">
        <v>170</v>
      </c>
      <c r="D4102" s="4" t="s">
        <v>16</v>
      </c>
      <c r="E4102" s="4" t="s">
        <v>1162</v>
      </c>
      <c r="F4102" s="4" t="s">
        <v>406</v>
      </c>
      <c r="G4102" s="4" t="s">
        <v>1163</v>
      </c>
      <c r="H4102" s="12" t="n">
        <v>1</v>
      </c>
      <c r="I4102" s="4" t="s">
        <v>408</v>
      </c>
      <c r="J4102" s="4" t="s">
        <v>409</v>
      </c>
      <c r="K4102" s="13" t="n">
        <v>250</v>
      </c>
      <c r="L4102" s="6" t="n">
        <f aca="false">H4102*K4102</f>
        <v>250</v>
      </c>
      <c r="M4102" s="14" t="s">
        <v>410</v>
      </c>
    </row>
    <row r="4103" customFormat="false" ht="15" hidden="false" customHeight="false" outlineLevel="0" collapsed="false">
      <c r="A4103" s="4" t="s">
        <v>166</v>
      </c>
      <c r="B4103" s="5" t="s">
        <v>169</v>
      </c>
      <c r="C4103" s="5" t="s">
        <v>170</v>
      </c>
      <c r="D4103" s="4" t="s">
        <v>16</v>
      </c>
      <c r="E4103" s="4" t="s">
        <v>1765</v>
      </c>
      <c r="F4103" s="4" t="s">
        <v>406</v>
      </c>
      <c r="G4103" s="4" t="s">
        <v>1766</v>
      </c>
      <c r="H4103" s="12" t="n">
        <v>1</v>
      </c>
      <c r="I4103" s="4" t="s">
        <v>408</v>
      </c>
      <c r="J4103" s="4" t="s">
        <v>409</v>
      </c>
      <c r="K4103" s="13" t="n">
        <v>250</v>
      </c>
      <c r="L4103" s="6" t="n">
        <f aca="false">H4103*K4103</f>
        <v>250</v>
      </c>
      <c r="M4103" s="14" t="s">
        <v>410</v>
      </c>
    </row>
    <row r="4104" customFormat="false" ht="15" hidden="false" customHeight="false" outlineLevel="0" collapsed="false">
      <c r="A4104" s="4" t="s">
        <v>166</v>
      </c>
      <c r="B4104" s="5" t="s">
        <v>169</v>
      </c>
      <c r="C4104" s="5" t="s">
        <v>170</v>
      </c>
      <c r="D4104" s="4" t="s">
        <v>16</v>
      </c>
      <c r="E4104" s="4" t="s">
        <v>1767</v>
      </c>
      <c r="F4104" s="4" t="s">
        <v>406</v>
      </c>
      <c r="G4104" s="4" t="s">
        <v>1768</v>
      </c>
      <c r="H4104" s="12" t="n">
        <v>1</v>
      </c>
      <c r="I4104" s="4" t="s">
        <v>408</v>
      </c>
      <c r="J4104" s="4" t="s">
        <v>409</v>
      </c>
      <c r="K4104" s="13" t="n">
        <v>8500</v>
      </c>
      <c r="L4104" s="6" t="n">
        <f aca="false">H4104*K4104</f>
        <v>8500</v>
      </c>
      <c r="M4104" s="14" t="s">
        <v>410</v>
      </c>
    </row>
    <row r="4105" customFormat="false" ht="15" hidden="false" customHeight="false" outlineLevel="0" collapsed="false">
      <c r="A4105" s="4" t="s">
        <v>166</v>
      </c>
      <c r="B4105" s="5" t="s">
        <v>169</v>
      </c>
      <c r="C4105" s="5" t="s">
        <v>170</v>
      </c>
      <c r="D4105" s="4" t="s">
        <v>16</v>
      </c>
      <c r="E4105" s="4" t="s">
        <v>1769</v>
      </c>
      <c r="F4105" s="4" t="s">
        <v>406</v>
      </c>
      <c r="G4105" s="4" t="s">
        <v>1770</v>
      </c>
      <c r="H4105" s="12" t="n">
        <v>1</v>
      </c>
      <c r="I4105" s="4" t="s">
        <v>408</v>
      </c>
      <c r="J4105" s="4" t="s">
        <v>409</v>
      </c>
      <c r="K4105" s="13" t="n">
        <v>350</v>
      </c>
      <c r="L4105" s="6" t="n">
        <f aca="false">H4105*K4105</f>
        <v>350</v>
      </c>
      <c r="M4105" s="4" t="s">
        <v>371</v>
      </c>
    </row>
    <row r="4106" customFormat="false" ht="15" hidden="false" customHeight="false" outlineLevel="0" collapsed="false">
      <c r="A4106" s="4" t="s">
        <v>166</v>
      </c>
      <c r="B4106" s="5" t="s">
        <v>169</v>
      </c>
      <c r="C4106" s="5" t="s">
        <v>170</v>
      </c>
      <c r="D4106" s="4" t="s">
        <v>16</v>
      </c>
      <c r="E4106" s="4" t="s">
        <v>1771</v>
      </c>
      <c r="F4106" s="4" t="s">
        <v>406</v>
      </c>
      <c r="G4106" s="4" t="s">
        <v>1772</v>
      </c>
      <c r="H4106" s="12" t="n">
        <v>1</v>
      </c>
      <c r="I4106" s="4" t="s">
        <v>408</v>
      </c>
      <c r="J4106" s="4" t="s">
        <v>409</v>
      </c>
      <c r="K4106" s="13" t="n">
        <v>250</v>
      </c>
      <c r="L4106" s="6" t="n">
        <f aca="false">H4106*K4106</f>
        <v>250</v>
      </c>
      <c r="M4106" s="14" t="s">
        <v>410</v>
      </c>
    </row>
    <row r="4107" customFormat="false" ht="15" hidden="false" customHeight="false" outlineLevel="0" collapsed="false">
      <c r="A4107" s="4" t="s">
        <v>166</v>
      </c>
      <c r="B4107" s="5" t="s">
        <v>169</v>
      </c>
      <c r="C4107" s="5" t="s">
        <v>170</v>
      </c>
      <c r="D4107" s="4" t="s">
        <v>16</v>
      </c>
      <c r="E4107" s="4" t="s">
        <v>1773</v>
      </c>
      <c r="F4107" s="4" t="s">
        <v>406</v>
      </c>
      <c r="G4107" s="4" t="s">
        <v>1774</v>
      </c>
      <c r="H4107" s="12" t="n">
        <v>1</v>
      </c>
      <c r="I4107" s="4" t="s">
        <v>408</v>
      </c>
      <c r="J4107" s="4" t="s">
        <v>409</v>
      </c>
      <c r="K4107" s="13" t="n">
        <v>3500</v>
      </c>
      <c r="L4107" s="6" t="n">
        <f aca="false">H4107*K4107</f>
        <v>3500</v>
      </c>
      <c r="M4107" s="14" t="s">
        <v>410</v>
      </c>
    </row>
    <row r="4108" customFormat="false" ht="15" hidden="false" customHeight="false" outlineLevel="0" collapsed="false">
      <c r="A4108" s="4" t="s">
        <v>166</v>
      </c>
      <c r="B4108" s="5" t="s">
        <v>169</v>
      </c>
      <c r="C4108" s="5" t="s">
        <v>170</v>
      </c>
      <c r="D4108" s="4" t="s">
        <v>16</v>
      </c>
      <c r="E4108" s="4" t="s">
        <v>1775</v>
      </c>
      <c r="F4108" s="4" t="s">
        <v>406</v>
      </c>
      <c r="G4108" s="4" t="s">
        <v>1776</v>
      </c>
      <c r="H4108" s="12" t="n">
        <v>1</v>
      </c>
      <c r="I4108" s="4" t="s">
        <v>408</v>
      </c>
      <c r="J4108" s="4" t="s">
        <v>409</v>
      </c>
      <c r="K4108" s="13" t="n">
        <v>5500</v>
      </c>
      <c r="L4108" s="6" t="n">
        <f aca="false">H4108*K4108</f>
        <v>5500</v>
      </c>
      <c r="M4108" s="4" t="s">
        <v>371</v>
      </c>
    </row>
    <row r="4109" customFormat="false" ht="15" hidden="false" customHeight="false" outlineLevel="0" collapsed="false">
      <c r="A4109" s="4" t="s">
        <v>166</v>
      </c>
      <c r="B4109" s="5" t="s">
        <v>169</v>
      </c>
      <c r="C4109" s="5" t="s">
        <v>170</v>
      </c>
      <c r="D4109" s="4" t="s">
        <v>16</v>
      </c>
      <c r="E4109" s="4" t="s">
        <v>1777</v>
      </c>
      <c r="F4109" s="4" t="s">
        <v>406</v>
      </c>
      <c r="G4109" s="4" t="s">
        <v>1778</v>
      </c>
      <c r="H4109" s="12" t="n">
        <v>1</v>
      </c>
      <c r="I4109" s="4" t="s">
        <v>408</v>
      </c>
      <c r="J4109" s="4" t="s">
        <v>409</v>
      </c>
      <c r="K4109" s="13" t="n">
        <v>65000</v>
      </c>
      <c r="L4109" s="6" t="n">
        <f aca="false">H4109*K4109</f>
        <v>65000</v>
      </c>
      <c r="M4109" s="14" t="s">
        <v>410</v>
      </c>
    </row>
    <row r="4110" customFormat="false" ht="15" hidden="false" customHeight="false" outlineLevel="0" collapsed="false">
      <c r="A4110" s="4" t="s">
        <v>166</v>
      </c>
      <c r="B4110" s="5" t="s">
        <v>169</v>
      </c>
      <c r="C4110" s="5" t="s">
        <v>170</v>
      </c>
      <c r="D4110" s="4" t="s">
        <v>16</v>
      </c>
      <c r="E4110" s="4" t="s">
        <v>1779</v>
      </c>
      <c r="F4110" s="4" t="s">
        <v>406</v>
      </c>
      <c r="G4110" s="4" t="s">
        <v>1780</v>
      </c>
      <c r="H4110" s="12" t="n">
        <v>1</v>
      </c>
      <c r="I4110" s="4" t="s">
        <v>408</v>
      </c>
      <c r="J4110" s="4" t="s">
        <v>409</v>
      </c>
      <c r="K4110" s="13" t="n">
        <v>85000</v>
      </c>
      <c r="L4110" s="6" t="n">
        <f aca="false">H4110*K4110</f>
        <v>85000</v>
      </c>
      <c r="M4110" s="14" t="s">
        <v>410</v>
      </c>
    </row>
    <row r="4111" customFormat="false" ht="15" hidden="false" customHeight="false" outlineLevel="0" collapsed="false">
      <c r="A4111" s="4" t="s">
        <v>166</v>
      </c>
      <c r="B4111" s="5" t="s">
        <v>169</v>
      </c>
      <c r="C4111" s="5" t="s">
        <v>170</v>
      </c>
      <c r="D4111" s="4" t="s">
        <v>16</v>
      </c>
      <c r="E4111" s="4" t="s">
        <v>1781</v>
      </c>
      <c r="F4111" s="4" t="s">
        <v>406</v>
      </c>
      <c r="G4111" s="4" t="s">
        <v>1782</v>
      </c>
      <c r="H4111" s="12" t="n">
        <v>3</v>
      </c>
      <c r="I4111" s="4" t="s">
        <v>474</v>
      </c>
      <c r="J4111" s="4" t="s">
        <v>409</v>
      </c>
      <c r="K4111" s="13" t="n">
        <v>95000</v>
      </c>
      <c r="L4111" s="6" t="n">
        <f aca="false">H4111*K4111</f>
        <v>285000</v>
      </c>
      <c r="M4111" s="4" t="s">
        <v>371</v>
      </c>
    </row>
    <row r="4112" customFormat="false" ht="15" hidden="false" customHeight="false" outlineLevel="0" collapsed="false">
      <c r="A4112" s="4" t="s">
        <v>166</v>
      </c>
      <c r="B4112" s="5" t="s">
        <v>169</v>
      </c>
      <c r="C4112" s="5" t="s">
        <v>170</v>
      </c>
      <c r="D4112" s="4" t="s">
        <v>16</v>
      </c>
      <c r="E4112" s="4" t="s">
        <v>1783</v>
      </c>
      <c r="F4112" s="4" t="s">
        <v>406</v>
      </c>
      <c r="G4112" s="4" t="s">
        <v>1784</v>
      </c>
      <c r="H4112" s="12" t="n">
        <v>1</v>
      </c>
      <c r="I4112" s="4" t="s">
        <v>408</v>
      </c>
      <c r="J4112" s="4" t="s">
        <v>409</v>
      </c>
      <c r="K4112" s="13" t="n">
        <v>180000</v>
      </c>
      <c r="L4112" s="6" t="n">
        <f aca="false">H4112*K4112</f>
        <v>180000</v>
      </c>
      <c r="M4112" s="4" t="s">
        <v>371</v>
      </c>
    </row>
    <row r="4113" customFormat="false" ht="15" hidden="false" customHeight="false" outlineLevel="0" collapsed="false">
      <c r="A4113" s="4" t="s">
        <v>166</v>
      </c>
      <c r="B4113" s="5" t="s">
        <v>169</v>
      </c>
      <c r="C4113" s="5" t="s">
        <v>170</v>
      </c>
      <c r="D4113" s="4" t="s">
        <v>16</v>
      </c>
      <c r="E4113" s="4" t="s">
        <v>1785</v>
      </c>
      <c r="F4113" s="4" t="s">
        <v>406</v>
      </c>
      <c r="G4113" s="4" t="s">
        <v>1786</v>
      </c>
      <c r="H4113" s="12" t="n">
        <v>1</v>
      </c>
      <c r="I4113" s="4" t="s">
        <v>408</v>
      </c>
      <c r="J4113" s="4" t="s">
        <v>409</v>
      </c>
      <c r="K4113" s="13" t="n">
        <v>2500</v>
      </c>
      <c r="L4113" s="6" t="n">
        <f aca="false">H4113*K4113</f>
        <v>2500</v>
      </c>
      <c r="M4113" s="14" t="s">
        <v>410</v>
      </c>
    </row>
    <row r="4114" customFormat="false" ht="15" hidden="false" customHeight="false" outlineLevel="0" collapsed="false">
      <c r="A4114" s="4" t="s">
        <v>166</v>
      </c>
      <c r="B4114" s="5" t="s">
        <v>169</v>
      </c>
      <c r="C4114" s="5" t="s">
        <v>170</v>
      </c>
      <c r="D4114" s="4" t="s">
        <v>16</v>
      </c>
      <c r="E4114" s="4" t="s">
        <v>4683</v>
      </c>
      <c r="F4114" s="4" t="s">
        <v>406</v>
      </c>
      <c r="G4114" s="4" t="s">
        <v>4684</v>
      </c>
      <c r="H4114" s="12" t="n">
        <v>1</v>
      </c>
      <c r="I4114" s="4" t="s">
        <v>408</v>
      </c>
      <c r="J4114" s="4" t="s">
        <v>409</v>
      </c>
      <c r="K4114" s="13" t="n">
        <v>180000</v>
      </c>
      <c r="L4114" s="6" t="n">
        <f aca="false">H4114*K4114</f>
        <v>180000</v>
      </c>
      <c r="M4114" s="14" t="s">
        <v>410</v>
      </c>
    </row>
    <row r="4115" customFormat="false" ht="15" hidden="false" customHeight="false" outlineLevel="0" collapsed="false">
      <c r="A4115" s="4" t="s">
        <v>166</v>
      </c>
      <c r="B4115" s="5" t="s">
        <v>169</v>
      </c>
      <c r="C4115" s="5" t="s">
        <v>170</v>
      </c>
      <c r="D4115" s="4" t="s">
        <v>16</v>
      </c>
      <c r="E4115" s="4" t="s">
        <v>4685</v>
      </c>
      <c r="F4115" s="4" t="s">
        <v>406</v>
      </c>
      <c r="G4115" s="4" t="s">
        <v>4686</v>
      </c>
      <c r="H4115" s="12" t="n">
        <v>1</v>
      </c>
      <c r="I4115" s="4" t="s">
        <v>408</v>
      </c>
      <c r="J4115" s="4" t="s">
        <v>409</v>
      </c>
      <c r="K4115" s="13" t="n">
        <v>85000</v>
      </c>
      <c r="L4115" s="6" t="n">
        <f aca="false">H4115*K4115</f>
        <v>85000</v>
      </c>
      <c r="M4115" s="14" t="s">
        <v>410</v>
      </c>
    </row>
    <row r="4116" customFormat="false" ht="15" hidden="false" customHeight="false" outlineLevel="0" collapsed="false">
      <c r="A4116" s="4" t="s">
        <v>166</v>
      </c>
      <c r="B4116" s="5" t="s">
        <v>169</v>
      </c>
      <c r="C4116" s="5" t="s">
        <v>170</v>
      </c>
      <c r="D4116" s="4" t="s">
        <v>16</v>
      </c>
      <c r="E4116" s="4" t="s">
        <v>4687</v>
      </c>
      <c r="F4116" s="4" t="s">
        <v>406</v>
      </c>
      <c r="G4116" s="4" t="s">
        <v>4688</v>
      </c>
      <c r="H4116" s="12" t="n">
        <v>1</v>
      </c>
      <c r="I4116" s="4" t="s">
        <v>408</v>
      </c>
      <c r="J4116" s="4" t="s">
        <v>409</v>
      </c>
      <c r="K4116" s="13" t="n">
        <v>250000</v>
      </c>
      <c r="L4116" s="6" t="n">
        <f aca="false">H4116*K4116</f>
        <v>250000</v>
      </c>
      <c r="M4116" s="14" t="s">
        <v>410</v>
      </c>
    </row>
    <row r="4117" customFormat="false" ht="15" hidden="false" customHeight="false" outlineLevel="0" collapsed="false">
      <c r="A4117" s="4" t="s">
        <v>166</v>
      </c>
      <c r="B4117" s="5" t="s">
        <v>169</v>
      </c>
      <c r="C4117" s="5" t="s">
        <v>170</v>
      </c>
      <c r="D4117" s="4" t="s">
        <v>16</v>
      </c>
      <c r="E4117" s="4" t="s">
        <v>1789</v>
      </c>
      <c r="F4117" s="4" t="s">
        <v>406</v>
      </c>
      <c r="G4117" s="4" t="s">
        <v>1790</v>
      </c>
      <c r="H4117" s="12" t="n">
        <v>1</v>
      </c>
      <c r="I4117" s="4" t="s">
        <v>408</v>
      </c>
      <c r="J4117" s="4" t="s">
        <v>409</v>
      </c>
      <c r="K4117" s="13" t="n">
        <v>85000</v>
      </c>
      <c r="L4117" s="6" t="n">
        <f aca="false">H4117*K4117</f>
        <v>85000</v>
      </c>
      <c r="M4117" s="14" t="s">
        <v>410</v>
      </c>
    </row>
    <row r="4118" customFormat="false" ht="15" hidden="false" customHeight="false" outlineLevel="0" collapsed="false">
      <c r="A4118" s="4" t="s">
        <v>166</v>
      </c>
      <c r="B4118" s="5" t="s">
        <v>169</v>
      </c>
      <c r="C4118" s="5" t="s">
        <v>170</v>
      </c>
      <c r="D4118" s="4" t="s">
        <v>16</v>
      </c>
      <c r="E4118" s="4" t="s">
        <v>1791</v>
      </c>
      <c r="F4118" s="4" t="s">
        <v>470</v>
      </c>
      <c r="G4118" s="4" t="s">
        <v>1792</v>
      </c>
      <c r="H4118" s="12" t="n">
        <v>1</v>
      </c>
      <c r="I4118" s="4" t="s">
        <v>408</v>
      </c>
      <c r="J4118" s="4" t="s">
        <v>409</v>
      </c>
      <c r="K4118" s="13" t="n">
        <v>8500</v>
      </c>
      <c r="L4118" s="6" t="n">
        <f aca="false">H4118*K4118</f>
        <v>8500</v>
      </c>
      <c r="M4118" s="4" t="s">
        <v>371</v>
      </c>
    </row>
    <row r="4119" customFormat="false" ht="15" hidden="false" customHeight="false" outlineLevel="0" collapsed="false">
      <c r="A4119" s="4" t="s">
        <v>166</v>
      </c>
      <c r="B4119" s="5" t="s">
        <v>169</v>
      </c>
      <c r="C4119" s="5" t="s">
        <v>170</v>
      </c>
      <c r="D4119" s="4" t="s">
        <v>16</v>
      </c>
      <c r="E4119" s="4" t="s">
        <v>1793</v>
      </c>
      <c r="F4119" s="4" t="s">
        <v>470</v>
      </c>
      <c r="G4119" s="4" t="s">
        <v>1794</v>
      </c>
      <c r="H4119" s="12" t="n">
        <v>1</v>
      </c>
      <c r="I4119" s="4" t="s">
        <v>408</v>
      </c>
      <c r="J4119" s="4" t="s">
        <v>416</v>
      </c>
      <c r="K4119" s="13" t="n">
        <v>450</v>
      </c>
      <c r="L4119" s="6" t="n">
        <f aca="false">H4119*K4119</f>
        <v>450</v>
      </c>
      <c r="M4119" s="4" t="s">
        <v>371</v>
      </c>
    </row>
    <row r="4120" customFormat="false" ht="15" hidden="false" customHeight="false" outlineLevel="0" collapsed="false">
      <c r="A4120" s="4" t="s">
        <v>166</v>
      </c>
      <c r="B4120" s="5" t="s">
        <v>169</v>
      </c>
      <c r="C4120" s="5" t="s">
        <v>170</v>
      </c>
      <c r="D4120" s="4" t="s">
        <v>16</v>
      </c>
      <c r="E4120" s="4" t="s">
        <v>472</v>
      </c>
      <c r="F4120" s="4" t="s">
        <v>488</v>
      </c>
      <c r="G4120" s="4" t="s">
        <v>473</v>
      </c>
      <c r="H4120" s="12" t="n">
        <v>1</v>
      </c>
      <c r="I4120" s="4" t="s">
        <v>408</v>
      </c>
      <c r="J4120" s="4" t="s">
        <v>475</v>
      </c>
      <c r="K4120" s="13" t="n">
        <v>180</v>
      </c>
      <c r="L4120" s="6" t="n">
        <f aca="false">H4120*K4120</f>
        <v>180</v>
      </c>
      <c r="M4120" s="4" t="s">
        <v>371</v>
      </c>
    </row>
    <row r="4121" customFormat="false" ht="15" hidden="false" customHeight="false" outlineLevel="0" collapsed="false">
      <c r="A4121" s="4" t="s">
        <v>166</v>
      </c>
      <c r="B4121" s="5" t="s">
        <v>169</v>
      </c>
      <c r="C4121" s="5" t="s">
        <v>170</v>
      </c>
      <c r="D4121" s="4" t="s">
        <v>16</v>
      </c>
      <c r="E4121" s="4" t="s">
        <v>1795</v>
      </c>
      <c r="F4121" s="4" t="s">
        <v>488</v>
      </c>
      <c r="G4121" s="4" t="s">
        <v>1796</v>
      </c>
      <c r="H4121" s="12" t="n">
        <v>1</v>
      </c>
      <c r="I4121" s="4" t="s">
        <v>408</v>
      </c>
      <c r="J4121" s="4" t="s">
        <v>409</v>
      </c>
      <c r="K4121" s="13" t="n">
        <v>150</v>
      </c>
      <c r="L4121" s="6" t="n">
        <f aca="false">H4121*K4121</f>
        <v>150</v>
      </c>
      <c r="M4121" s="4" t="s">
        <v>371</v>
      </c>
    </row>
    <row r="4122" customFormat="false" ht="15" hidden="false" customHeight="false" outlineLevel="0" collapsed="false">
      <c r="A4122" s="4" t="s">
        <v>166</v>
      </c>
      <c r="B4122" s="5" t="s">
        <v>169</v>
      </c>
      <c r="C4122" s="5" t="s">
        <v>170</v>
      </c>
      <c r="D4122" s="4" t="s">
        <v>16</v>
      </c>
      <c r="E4122" s="4" t="s">
        <v>1797</v>
      </c>
      <c r="F4122" s="4" t="s">
        <v>488</v>
      </c>
      <c r="G4122" s="4" t="s">
        <v>1798</v>
      </c>
      <c r="H4122" s="12" t="n">
        <v>1</v>
      </c>
      <c r="I4122" s="4" t="s">
        <v>408</v>
      </c>
      <c r="J4122" s="4" t="s">
        <v>807</v>
      </c>
      <c r="K4122" s="13" t="n">
        <v>250</v>
      </c>
      <c r="L4122" s="6" t="n">
        <f aca="false">H4122*K4122</f>
        <v>250</v>
      </c>
      <c r="M4122" s="4" t="s">
        <v>371</v>
      </c>
    </row>
    <row r="4123" customFormat="false" ht="15" hidden="false" customHeight="false" outlineLevel="0" collapsed="false">
      <c r="A4123" s="4" t="s">
        <v>166</v>
      </c>
      <c r="B4123" s="5" t="s">
        <v>169</v>
      </c>
      <c r="C4123" s="5" t="s">
        <v>170</v>
      </c>
      <c r="D4123" s="4" t="s">
        <v>16</v>
      </c>
      <c r="E4123" s="4" t="s">
        <v>1799</v>
      </c>
      <c r="F4123" s="4" t="s">
        <v>488</v>
      </c>
      <c r="G4123" s="4" t="s">
        <v>1800</v>
      </c>
      <c r="H4123" s="12" t="n">
        <v>1</v>
      </c>
      <c r="I4123" s="4" t="s">
        <v>408</v>
      </c>
      <c r="J4123" s="4" t="s">
        <v>807</v>
      </c>
      <c r="K4123" s="13" t="n">
        <v>250</v>
      </c>
      <c r="L4123" s="6" t="n">
        <f aca="false">H4123*K4123</f>
        <v>250</v>
      </c>
      <c r="M4123" s="4" t="s">
        <v>371</v>
      </c>
    </row>
    <row r="4124" customFormat="false" ht="15" hidden="false" customHeight="false" outlineLevel="0" collapsed="false">
      <c r="A4124" s="4" t="s">
        <v>166</v>
      </c>
      <c r="B4124" s="5" t="s">
        <v>169</v>
      </c>
      <c r="C4124" s="5" t="s">
        <v>170</v>
      </c>
      <c r="D4124" s="4" t="s">
        <v>16</v>
      </c>
      <c r="E4124" s="4" t="s">
        <v>1801</v>
      </c>
      <c r="F4124" s="4" t="s">
        <v>470</v>
      </c>
      <c r="G4124" s="4" t="s">
        <v>1802</v>
      </c>
      <c r="H4124" s="12" t="n">
        <v>1</v>
      </c>
      <c r="I4124" s="4" t="s">
        <v>408</v>
      </c>
      <c r="J4124" s="4" t="s">
        <v>409</v>
      </c>
      <c r="K4124" s="13" t="n">
        <v>850</v>
      </c>
      <c r="L4124" s="6" t="n">
        <f aca="false">H4124*K4124</f>
        <v>850</v>
      </c>
      <c r="M4124" s="4" t="s">
        <v>371</v>
      </c>
    </row>
    <row r="4125" customFormat="false" ht="15" hidden="false" customHeight="false" outlineLevel="0" collapsed="false">
      <c r="A4125" s="4" t="s">
        <v>166</v>
      </c>
      <c r="B4125" s="5" t="s">
        <v>173</v>
      </c>
      <c r="C4125" s="5" t="s">
        <v>174</v>
      </c>
      <c r="D4125" s="4" t="s">
        <v>16</v>
      </c>
      <c r="E4125" s="4" t="s">
        <v>4689</v>
      </c>
      <c r="F4125" s="4" t="s">
        <v>406</v>
      </c>
      <c r="G4125" s="4" t="s">
        <v>2977</v>
      </c>
      <c r="H4125" s="12" t="n">
        <v>1</v>
      </c>
      <c r="I4125" s="4" t="s">
        <v>408</v>
      </c>
      <c r="J4125" s="4" t="s">
        <v>409</v>
      </c>
      <c r="K4125" s="13" t="n">
        <v>1800</v>
      </c>
      <c r="L4125" s="6" t="n">
        <f aca="false">H4125*K4125</f>
        <v>1800</v>
      </c>
      <c r="M4125" s="14" t="s">
        <v>410</v>
      </c>
    </row>
    <row r="4126" customFormat="false" ht="15" hidden="false" customHeight="false" outlineLevel="0" collapsed="false">
      <c r="A4126" s="4" t="s">
        <v>166</v>
      </c>
      <c r="B4126" s="5" t="s">
        <v>173</v>
      </c>
      <c r="C4126" s="5" t="s">
        <v>174</v>
      </c>
      <c r="D4126" s="4" t="s">
        <v>16</v>
      </c>
      <c r="E4126" s="4" t="s">
        <v>4690</v>
      </c>
      <c r="F4126" s="4" t="s">
        <v>406</v>
      </c>
      <c r="G4126" s="4" t="s">
        <v>4691</v>
      </c>
      <c r="H4126" s="12" t="n">
        <v>1</v>
      </c>
      <c r="I4126" s="4" t="s">
        <v>408</v>
      </c>
      <c r="J4126" s="4" t="s">
        <v>409</v>
      </c>
      <c r="K4126" s="13" t="n">
        <v>3500</v>
      </c>
      <c r="L4126" s="6" t="n">
        <f aca="false">H4126*K4126</f>
        <v>3500</v>
      </c>
      <c r="M4126" s="4" t="s">
        <v>371</v>
      </c>
    </row>
    <row r="4127" customFormat="false" ht="15" hidden="false" customHeight="false" outlineLevel="0" collapsed="false">
      <c r="A4127" s="4" t="s">
        <v>166</v>
      </c>
      <c r="B4127" s="5" t="s">
        <v>173</v>
      </c>
      <c r="C4127" s="5" t="s">
        <v>174</v>
      </c>
      <c r="D4127" s="4" t="s">
        <v>16</v>
      </c>
      <c r="E4127" s="4" t="s">
        <v>4692</v>
      </c>
      <c r="F4127" s="4" t="s">
        <v>406</v>
      </c>
      <c r="G4127" s="4" t="s">
        <v>4693</v>
      </c>
      <c r="H4127" s="12" t="n">
        <v>1</v>
      </c>
      <c r="I4127" s="4" t="s">
        <v>408</v>
      </c>
      <c r="J4127" s="4" t="s">
        <v>409</v>
      </c>
      <c r="K4127" s="13" t="n">
        <v>18000</v>
      </c>
      <c r="L4127" s="6" t="n">
        <f aca="false">H4127*K4127</f>
        <v>18000</v>
      </c>
      <c r="M4127" s="14" t="s">
        <v>410</v>
      </c>
    </row>
    <row r="4128" customFormat="false" ht="15" hidden="false" customHeight="false" outlineLevel="0" collapsed="false">
      <c r="A4128" s="4" t="s">
        <v>166</v>
      </c>
      <c r="B4128" s="5" t="s">
        <v>173</v>
      </c>
      <c r="C4128" s="5" t="s">
        <v>174</v>
      </c>
      <c r="D4128" s="4" t="s">
        <v>16</v>
      </c>
      <c r="E4128" s="4" t="s">
        <v>4694</v>
      </c>
      <c r="F4128" s="4" t="s">
        <v>406</v>
      </c>
      <c r="G4128" s="4" t="s">
        <v>4695</v>
      </c>
      <c r="H4128" s="12" t="n">
        <v>1</v>
      </c>
      <c r="I4128" s="4" t="s">
        <v>408</v>
      </c>
      <c r="J4128" s="4" t="s">
        <v>409</v>
      </c>
      <c r="K4128" s="13" t="n">
        <v>85000</v>
      </c>
      <c r="L4128" s="6" t="n">
        <f aca="false">H4128*K4128</f>
        <v>85000</v>
      </c>
      <c r="M4128" s="14" t="s">
        <v>410</v>
      </c>
    </row>
    <row r="4129" customFormat="false" ht="15" hidden="false" customHeight="false" outlineLevel="0" collapsed="false">
      <c r="A4129" s="4" t="s">
        <v>166</v>
      </c>
      <c r="B4129" s="5" t="s">
        <v>173</v>
      </c>
      <c r="C4129" s="5" t="s">
        <v>174</v>
      </c>
      <c r="D4129" s="4" t="s">
        <v>16</v>
      </c>
      <c r="E4129" s="4" t="s">
        <v>4696</v>
      </c>
      <c r="F4129" s="4" t="s">
        <v>406</v>
      </c>
      <c r="G4129" s="4" t="s">
        <v>4697</v>
      </c>
      <c r="H4129" s="12" t="n">
        <v>1</v>
      </c>
      <c r="I4129" s="4" t="s">
        <v>408</v>
      </c>
      <c r="J4129" s="4" t="s">
        <v>409</v>
      </c>
      <c r="K4129" s="13" t="n">
        <v>180000</v>
      </c>
      <c r="L4129" s="6" t="n">
        <f aca="false">H4129*K4129</f>
        <v>180000</v>
      </c>
      <c r="M4129" s="14" t="s">
        <v>410</v>
      </c>
    </row>
    <row r="4130" customFormat="false" ht="15" hidden="false" customHeight="false" outlineLevel="0" collapsed="false">
      <c r="A4130" s="4" t="s">
        <v>166</v>
      </c>
      <c r="B4130" s="5" t="s">
        <v>173</v>
      </c>
      <c r="C4130" s="5" t="s">
        <v>174</v>
      </c>
      <c r="D4130" s="4" t="s">
        <v>16</v>
      </c>
      <c r="E4130" s="4" t="s">
        <v>4698</v>
      </c>
      <c r="F4130" s="4" t="s">
        <v>406</v>
      </c>
      <c r="G4130" s="4" t="s">
        <v>4699</v>
      </c>
      <c r="H4130" s="12" t="n">
        <v>1</v>
      </c>
      <c r="I4130" s="4" t="s">
        <v>408</v>
      </c>
      <c r="J4130" s="4" t="s">
        <v>409</v>
      </c>
      <c r="K4130" s="13" t="n">
        <v>85000</v>
      </c>
      <c r="L4130" s="6" t="n">
        <f aca="false">H4130*K4130</f>
        <v>85000</v>
      </c>
      <c r="M4130" s="4" t="s">
        <v>371</v>
      </c>
    </row>
    <row r="4131" customFormat="false" ht="15" hidden="false" customHeight="false" outlineLevel="0" collapsed="false">
      <c r="A4131" s="4" t="s">
        <v>166</v>
      </c>
      <c r="B4131" s="5" t="s">
        <v>173</v>
      </c>
      <c r="C4131" s="5" t="s">
        <v>174</v>
      </c>
      <c r="D4131" s="4" t="s">
        <v>16</v>
      </c>
      <c r="E4131" s="4" t="s">
        <v>4700</v>
      </c>
      <c r="F4131" s="4" t="s">
        <v>406</v>
      </c>
      <c r="G4131" s="4" t="s">
        <v>2983</v>
      </c>
      <c r="H4131" s="12" t="n">
        <v>1</v>
      </c>
      <c r="I4131" s="4" t="s">
        <v>408</v>
      </c>
      <c r="J4131" s="4" t="s">
        <v>409</v>
      </c>
      <c r="K4131" s="13" t="n">
        <v>12000</v>
      </c>
      <c r="L4131" s="6" t="n">
        <f aca="false">H4131*K4131</f>
        <v>12000</v>
      </c>
      <c r="M4131" s="14" t="s">
        <v>410</v>
      </c>
    </row>
    <row r="4132" customFormat="false" ht="15" hidden="false" customHeight="false" outlineLevel="0" collapsed="false">
      <c r="A4132" s="4" t="s">
        <v>166</v>
      </c>
      <c r="B4132" s="5" t="s">
        <v>173</v>
      </c>
      <c r="C4132" s="5" t="s">
        <v>174</v>
      </c>
      <c r="D4132" s="4" t="s">
        <v>16</v>
      </c>
      <c r="E4132" s="4" t="s">
        <v>3278</v>
      </c>
      <c r="F4132" s="4" t="s">
        <v>406</v>
      </c>
      <c r="G4132" s="4" t="s">
        <v>3279</v>
      </c>
      <c r="H4132" s="12" t="n">
        <v>1</v>
      </c>
      <c r="I4132" s="4" t="s">
        <v>408</v>
      </c>
      <c r="J4132" s="4" t="s">
        <v>409</v>
      </c>
      <c r="K4132" s="13" t="n">
        <v>25000</v>
      </c>
      <c r="L4132" s="6" t="n">
        <f aca="false">H4132*K4132</f>
        <v>25000</v>
      </c>
      <c r="M4132" s="14" t="s">
        <v>410</v>
      </c>
    </row>
    <row r="4133" customFormat="false" ht="15" hidden="false" customHeight="false" outlineLevel="0" collapsed="false">
      <c r="A4133" s="4" t="s">
        <v>166</v>
      </c>
      <c r="B4133" s="5" t="s">
        <v>173</v>
      </c>
      <c r="C4133" s="5" t="s">
        <v>174</v>
      </c>
      <c r="D4133" s="4" t="s">
        <v>16</v>
      </c>
      <c r="E4133" s="4" t="s">
        <v>2984</v>
      </c>
      <c r="F4133" s="4" t="s">
        <v>406</v>
      </c>
      <c r="G4133" s="4" t="s">
        <v>2985</v>
      </c>
      <c r="H4133" s="12" t="n">
        <v>1</v>
      </c>
      <c r="I4133" s="4" t="s">
        <v>408</v>
      </c>
      <c r="J4133" s="4" t="s">
        <v>409</v>
      </c>
      <c r="K4133" s="13" t="n">
        <v>6500</v>
      </c>
      <c r="L4133" s="6" t="n">
        <f aca="false">H4133*K4133</f>
        <v>6500</v>
      </c>
      <c r="M4133" s="14" t="s">
        <v>410</v>
      </c>
    </row>
    <row r="4134" customFormat="false" ht="15" hidden="false" customHeight="false" outlineLevel="0" collapsed="false">
      <c r="A4134" s="4" t="s">
        <v>166</v>
      </c>
      <c r="B4134" s="5" t="s">
        <v>173</v>
      </c>
      <c r="C4134" s="5" t="s">
        <v>174</v>
      </c>
      <c r="D4134" s="4" t="s">
        <v>16</v>
      </c>
      <c r="E4134" s="4" t="s">
        <v>4701</v>
      </c>
      <c r="F4134" s="4" t="s">
        <v>406</v>
      </c>
      <c r="G4134" s="4" t="s">
        <v>4702</v>
      </c>
      <c r="H4134" s="12" t="n">
        <v>1</v>
      </c>
      <c r="I4134" s="4" t="s">
        <v>408</v>
      </c>
      <c r="J4134" s="4" t="s">
        <v>409</v>
      </c>
      <c r="K4134" s="13" t="n">
        <v>8500</v>
      </c>
      <c r="L4134" s="6" t="n">
        <f aca="false">H4134*K4134</f>
        <v>8500</v>
      </c>
      <c r="M4134" s="14" t="s">
        <v>410</v>
      </c>
    </row>
    <row r="4135" customFormat="false" ht="15" hidden="false" customHeight="false" outlineLevel="0" collapsed="false">
      <c r="A4135" s="4" t="s">
        <v>166</v>
      </c>
      <c r="B4135" s="5" t="s">
        <v>173</v>
      </c>
      <c r="C4135" s="5" t="s">
        <v>174</v>
      </c>
      <c r="D4135" s="4" t="s">
        <v>16</v>
      </c>
      <c r="E4135" s="4" t="s">
        <v>4703</v>
      </c>
      <c r="F4135" s="4" t="s">
        <v>406</v>
      </c>
      <c r="G4135" s="4" t="s">
        <v>4704</v>
      </c>
      <c r="H4135" s="12" t="n">
        <v>1</v>
      </c>
      <c r="I4135" s="4" t="s">
        <v>408</v>
      </c>
      <c r="J4135" s="4" t="s">
        <v>409</v>
      </c>
      <c r="K4135" s="13" t="n">
        <v>18000</v>
      </c>
      <c r="L4135" s="6" t="n">
        <f aca="false">H4135*K4135</f>
        <v>18000</v>
      </c>
      <c r="M4135" s="14" t="s">
        <v>410</v>
      </c>
    </row>
    <row r="4136" customFormat="false" ht="15" hidden="false" customHeight="false" outlineLevel="0" collapsed="false">
      <c r="A4136" s="4" t="s">
        <v>166</v>
      </c>
      <c r="B4136" s="5" t="s">
        <v>173</v>
      </c>
      <c r="C4136" s="5" t="s">
        <v>174</v>
      </c>
      <c r="D4136" s="4" t="s">
        <v>16</v>
      </c>
      <c r="E4136" s="4" t="s">
        <v>4705</v>
      </c>
      <c r="F4136" s="4" t="s">
        <v>406</v>
      </c>
      <c r="G4136" s="4" t="s">
        <v>4706</v>
      </c>
      <c r="H4136" s="12" t="n">
        <v>1</v>
      </c>
      <c r="I4136" s="4" t="s">
        <v>408</v>
      </c>
      <c r="J4136" s="4" t="s">
        <v>416</v>
      </c>
      <c r="K4136" s="13" t="n">
        <v>2500</v>
      </c>
      <c r="L4136" s="6" t="n">
        <f aca="false">H4136*K4136</f>
        <v>2500</v>
      </c>
      <c r="M4136" s="14" t="s">
        <v>410</v>
      </c>
    </row>
    <row r="4137" customFormat="false" ht="15" hidden="false" customHeight="false" outlineLevel="0" collapsed="false">
      <c r="A4137" s="4" t="s">
        <v>166</v>
      </c>
      <c r="B4137" s="5" t="s">
        <v>173</v>
      </c>
      <c r="C4137" s="5" t="s">
        <v>174</v>
      </c>
      <c r="D4137" s="4" t="s">
        <v>16</v>
      </c>
      <c r="E4137" s="4" t="s">
        <v>4707</v>
      </c>
      <c r="F4137" s="4" t="s">
        <v>406</v>
      </c>
      <c r="G4137" s="4" t="s">
        <v>4708</v>
      </c>
      <c r="H4137" s="12" t="n">
        <v>1</v>
      </c>
      <c r="I4137" s="4" t="s">
        <v>408</v>
      </c>
      <c r="J4137" s="4" t="s">
        <v>416</v>
      </c>
      <c r="K4137" s="13" t="n">
        <v>8500</v>
      </c>
      <c r="L4137" s="6" t="n">
        <f aca="false">H4137*K4137</f>
        <v>8500</v>
      </c>
      <c r="M4137" s="14" t="s">
        <v>410</v>
      </c>
    </row>
    <row r="4138" customFormat="false" ht="15" hidden="false" customHeight="false" outlineLevel="0" collapsed="false">
      <c r="A4138" s="4" t="s">
        <v>166</v>
      </c>
      <c r="B4138" s="5" t="s">
        <v>175</v>
      </c>
      <c r="C4138" s="5" t="s">
        <v>176</v>
      </c>
      <c r="D4138" s="4" t="s">
        <v>16</v>
      </c>
      <c r="E4138" s="4" t="s">
        <v>4709</v>
      </c>
      <c r="F4138" s="4" t="s">
        <v>406</v>
      </c>
      <c r="G4138" s="4" t="s">
        <v>4710</v>
      </c>
      <c r="H4138" s="12" t="n">
        <v>1</v>
      </c>
      <c r="I4138" s="4" t="s">
        <v>474</v>
      </c>
      <c r="J4138" s="4" t="s">
        <v>416</v>
      </c>
      <c r="K4138" s="13" t="n">
        <v>4500</v>
      </c>
      <c r="L4138" s="6" t="n">
        <f aca="false">H4138*K4138</f>
        <v>4500</v>
      </c>
      <c r="M4138" s="4" t="s">
        <v>371</v>
      </c>
    </row>
    <row r="4139" customFormat="false" ht="15" hidden="false" customHeight="false" outlineLevel="0" collapsed="false">
      <c r="A4139" s="4" t="s">
        <v>166</v>
      </c>
      <c r="B4139" s="5" t="s">
        <v>175</v>
      </c>
      <c r="C4139" s="5" t="s">
        <v>176</v>
      </c>
      <c r="D4139" s="4" t="s">
        <v>16</v>
      </c>
      <c r="E4139" s="4" t="s">
        <v>445</v>
      </c>
      <c r="F4139" s="4" t="s">
        <v>406</v>
      </c>
      <c r="G4139" s="4" t="s">
        <v>446</v>
      </c>
      <c r="H4139" s="12" t="n">
        <v>1</v>
      </c>
      <c r="I4139" s="4" t="s">
        <v>474</v>
      </c>
      <c r="J4139" s="4" t="s">
        <v>409</v>
      </c>
      <c r="K4139" s="13" t="n">
        <v>250</v>
      </c>
      <c r="L4139" s="6" t="n">
        <f aca="false">H4139*K4139</f>
        <v>250</v>
      </c>
      <c r="M4139" s="14" t="s">
        <v>410</v>
      </c>
    </row>
    <row r="4140" customFormat="false" ht="15" hidden="false" customHeight="false" outlineLevel="0" collapsed="false">
      <c r="A4140" s="4" t="s">
        <v>166</v>
      </c>
      <c r="B4140" s="5" t="s">
        <v>175</v>
      </c>
      <c r="C4140" s="5" t="s">
        <v>176</v>
      </c>
      <c r="D4140" s="4" t="s">
        <v>16</v>
      </c>
      <c r="E4140" s="4" t="s">
        <v>4711</v>
      </c>
      <c r="F4140" s="4" t="s">
        <v>406</v>
      </c>
      <c r="G4140" s="4" t="s">
        <v>4712</v>
      </c>
      <c r="H4140" s="12" t="n">
        <v>1</v>
      </c>
      <c r="I4140" s="4" t="s">
        <v>474</v>
      </c>
      <c r="J4140" s="4" t="s">
        <v>409</v>
      </c>
      <c r="K4140" s="13" t="n">
        <v>18000</v>
      </c>
      <c r="L4140" s="6" t="n">
        <f aca="false">H4140*K4140</f>
        <v>18000</v>
      </c>
      <c r="M4140" s="4" t="s">
        <v>371</v>
      </c>
    </row>
    <row r="4141" customFormat="false" ht="15" hidden="false" customHeight="false" outlineLevel="0" collapsed="false">
      <c r="A4141" s="4" t="s">
        <v>166</v>
      </c>
      <c r="B4141" s="5" t="s">
        <v>175</v>
      </c>
      <c r="C4141" s="5" t="s">
        <v>176</v>
      </c>
      <c r="D4141" s="4" t="s">
        <v>16</v>
      </c>
      <c r="E4141" s="4" t="s">
        <v>4381</v>
      </c>
      <c r="F4141" s="4" t="s">
        <v>406</v>
      </c>
      <c r="G4141" s="4" t="s">
        <v>4382</v>
      </c>
      <c r="H4141" s="12" t="n">
        <v>1</v>
      </c>
      <c r="I4141" s="4" t="s">
        <v>474</v>
      </c>
      <c r="J4141" s="4" t="s">
        <v>409</v>
      </c>
      <c r="K4141" s="13" t="n">
        <v>18000</v>
      </c>
      <c r="L4141" s="6" t="n">
        <f aca="false">H4141*K4141</f>
        <v>18000</v>
      </c>
      <c r="M4141" s="14" t="s">
        <v>410</v>
      </c>
    </row>
    <row r="4142" customFormat="false" ht="15" hidden="false" customHeight="false" outlineLevel="0" collapsed="false">
      <c r="A4142" s="4" t="s">
        <v>166</v>
      </c>
      <c r="B4142" s="5" t="s">
        <v>175</v>
      </c>
      <c r="C4142" s="5" t="s">
        <v>176</v>
      </c>
      <c r="D4142" s="4" t="s">
        <v>16</v>
      </c>
      <c r="E4142" s="4" t="s">
        <v>4713</v>
      </c>
      <c r="F4142" s="4" t="s">
        <v>406</v>
      </c>
      <c r="G4142" s="4" t="s">
        <v>4714</v>
      </c>
      <c r="H4142" s="12" t="n">
        <v>2</v>
      </c>
      <c r="I4142" s="4" t="s">
        <v>474</v>
      </c>
      <c r="J4142" s="4" t="s">
        <v>409</v>
      </c>
      <c r="K4142" s="13" t="n">
        <v>45000</v>
      </c>
      <c r="L4142" s="6" t="n">
        <f aca="false">H4142*K4142</f>
        <v>90000</v>
      </c>
      <c r="M4142" s="14" t="s">
        <v>410</v>
      </c>
    </row>
    <row r="4143" customFormat="false" ht="15" hidden="false" customHeight="false" outlineLevel="0" collapsed="false">
      <c r="A4143" s="4" t="s">
        <v>166</v>
      </c>
      <c r="B4143" s="5" t="s">
        <v>175</v>
      </c>
      <c r="C4143" s="5" t="s">
        <v>176</v>
      </c>
      <c r="D4143" s="4" t="s">
        <v>16</v>
      </c>
      <c r="E4143" s="4" t="s">
        <v>4715</v>
      </c>
      <c r="F4143" s="4" t="s">
        <v>406</v>
      </c>
      <c r="G4143" s="4" t="s">
        <v>4716</v>
      </c>
      <c r="H4143" s="12" t="n">
        <v>1</v>
      </c>
      <c r="I4143" s="4" t="s">
        <v>474</v>
      </c>
      <c r="J4143" s="4" t="s">
        <v>409</v>
      </c>
      <c r="K4143" s="13" t="n">
        <v>85000</v>
      </c>
      <c r="L4143" s="6" t="n">
        <f aca="false">H4143*K4143</f>
        <v>85000</v>
      </c>
      <c r="M4143" s="14" t="s">
        <v>410</v>
      </c>
    </row>
    <row r="4144" customFormat="false" ht="15" hidden="false" customHeight="false" outlineLevel="0" collapsed="false">
      <c r="A4144" s="4" t="s">
        <v>166</v>
      </c>
      <c r="B4144" s="5" t="s">
        <v>175</v>
      </c>
      <c r="C4144" s="5" t="s">
        <v>176</v>
      </c>
      <c r="D4144" s="4" t="s">
        <v>16</v>
      </c>
      <c r="E4144" s="4" t="s">
        <v>4717</v>
      </c>
      <c r="F4144" s="4" t="s">
        <v>406</v>
      </c>
      <c r="G4144" s="4" t="s">
        <v>4718</v>
      </c>
      <c r="H4144" s="12" t="n">
        <v>1</v>
      </c>
      <c r="I4144" s="4" t="s">
        <v>474</v>
      </c>
      <c r="J4144" s="4" t="s">
        <v>409</v>
      </c>
      <c r="K4144" s="13" t="n">
        <v>18000</v>
      </c>
      <c r="L4144" s="6" t="n">
        <f aca="false">H4144*K4144</f>
        <v>18000</v>
      </c>
      <c r="M4144" s="14" t="s">
        <v>410</v>
      </c>
    </row>
    <row r="4145" customFormat="false" ht="15" hidden="false" customHeight="false" outlineLevel="0" collapsed="false">
      <c r="A4145" s="4" t="s">
        <v>166</v>
      </c>
      <c r="B4145" s="5" t="s">
        <v>175</v>
      </c>
      <c r="C4145" s="5" t="s">
        <v>176</v>
      </c>
      <c r="D4145" s="4" t="s">
        <v>16</v>
      </c>
      <c r="E4145" s="4" t="s">
        <v>4719</v>
      </c>
      <c r="F4145" s="4" t="s">
        <v>406</v>
      </c>
      <c r="G4145" s="4" t="s">
        <v>4720</v>
      </c>
      <c r="H4145" s="12" t="n">
        <v>1</v>
      </c>
      <c r="I4145" s="4" t="s">
        <v>474</v>
      </c>
      <c r="J4145" s="4" t="s">
        <v>409</v>
      </c>
      <c r="K4145" s="13" t="n">
        <v>180000</v>
      </c>
      <c r="L4145" s="6" t="n">
        <f aca="false">H4145*K4145</f>
        <v>180000</v>
      </c>
      <c r="M4145" s="14" t="s">
        <v>410</v>
      </c>
    </row>
    <row r="4146" customFormat="false" ht="15" hidden="false" customHeight="false" outlineLevel="0" collapsed="false">
      <c r="A4146" s="4" t="s">
        <v>166</v>
      </c>
      <c r="B4146" s="5" t="s">
        <v>175</v>
      </c>
      <c r="C4146" s="5" t="s">
        <v>176</v>
      </c>
      <c r="D4146" s="4" t="s">
        <v>16</v>
      </c>
      <c r="E4146" s="4" t="s">
        <v>2982</v>
      </c>
      <c r="F4146" s="4" t="s">
        <v>406</v>
      </c>
      <c r="G4146" s="4" t="s">
        <v>2983</v>
      </c>
      <c r="H4146" s="12" t="n">
        <v>1</v>
      </c>
      <c r="I4146" s="4" t="s">
        <v>474</v>
      </c>
      <c r="J4146" s="4" t="s">
        <v>409</v>
      </c>
      <c r="K4146" s="13" t="n">
        <v>12000</v>
      </c>
      <c r="L4146" s="6" t="n">
        <f aca="false">H4146*K4146</f>
        <v>12000</v>
      </c>
      <c r="M4146" s="14" t="s">
        <v>410</v>
      </c>
    </row>
    <row r="4147" customFormat="false" ht="15" hidden="false" customHeight="false" outlineLevel="0" collapsed="false">
      <c r="A4147" s="4" t="s">
        <v>166</v>
      </c>
      <c r="B4147" s="5" t="s">
        <v>175</v>
      </c>
      <c r="C4147" s="5" t="s">
        <v>176</v>
      </c>
      <c r="D4147" s="4" t="s">
        <v>16</v>
      </c>
      <c r="E4147" s="4" t="s">
        <v>4419</v>
      </c>
      <c r="F4147" s="4" t="s">
        <v>406</v>
      </c>
      <c r="G4147" s="4" t="s">
        <v>4420</v>
      </c>
      <c r="H4147" s="12" t="n">
        <v>1</v>
      </c>
      <c r="I4147" s="4" t="s">
        <v>474</v>
      </c>
      <c r="J4147" s="4" t="s">
        <v>409</v>
      </c>
      <c r="K4147" s="13" t="n">
        <v>250</v>
      </c>
      <c r="L4147" s="6" t="n">
        <f aca="false">H4147*K4147</f>
        <v>250</v>
      </c>
      <c r="M4147" s="14" t="s">
        <v>410</v>
      </c>
    </row>
    <row r="4148" customFormat="false" ht="15" hidden="false" customHeight="false" outlineLevel="0" collapsed="false">
      <c r="A4148" s="4" t="s">
        <v>166</v>
      </c>
      <c r="B4148" s="5" t="s">
        <v>175</v>
      </c>
      <c r="C4148" s="5" t="s">
        <v>176</v>
      </c>
      <c r="D4148" s="4" t="s">
        <v>16</v>
      </c>
      <c r="E4148" s="4" t="s">
        <v>4403</v>
      </c>
      <c r="F4148" s="4" t="s">
        <v>406</v>
      </c>
      <c r="G4148" s="4" t="s">
        <v>4404</v>
      </c>
      <c r="H4148" s="12" t="n">
        <v>1</v>
      </c>
      <c r="I4148" s="4" t="s">
        <v>474</v>
      </c>
      <c r="J4148" s="4" t="s">
        <v>409</v>
      </c>
      <c r="K4148" s="13" t="n">
        <v>45000</v>
      </c>
      <c r="L4148" s="6" t="n">
        <f aca="false">H4148*K4148</f>
        <v>45000</v>
      </c>
      <c r="M4148" s="14" t="s">
        <v>410</v>
      </c>
    </row>
    <row r="4149" customFormat="false" ht="15" hidden="false" customHeight="false" outlineLevel="0" collapsed="false">
      <c r="A4149" s="4" t="s">
        <v>166</v>
      </c>
      <c r="B4149" s="5" t="s">
        <v>175</v>
      </c>
      <c r="C4149" s="5" t="s">
        <v>176</v>
      </c>
      <c r="D4149" s="4" t="s">
        <v>16</v>
      </c>
      <c r="E4149" s="4" t="s">
        <v>4721</v>
      </c>
      <c r="F4149" s="4" t="s">
        <v>406</v>
      </c>
      <c r="G4149" s="4" t="s">
        <v>4722</v>
      </c>
      <c r="H4149" s="12" t="n">
        <v>1</v>
      </c>
      <c r="I4149" s="4" t="s">
        <v>474</v>
      </c>
      <c r="J4149" s="4" t="s">
        <v>409</v>
      </c>
      <c r="K4149" s="13" t="n">
        <v>125000</v>
      </c>
      <c r="L4149" s="6" t="n">
        <f aca="false">H4149*K4149</f>
        <v>125000</v>
      </c>
      <c r="M4149" s="14" t="s">
        <v>410</v>
      </c>
    </row>
    <row r="4150" customFormat="false" ht="15" hidden="false" customHeight="false" outlineLevel="0" collapsed="false">
      <c r="A4150" s="4" t="s">
        <v>166</v>
      </c>
      <c r="B4150" s="5" t="s">
        <v>175</v>
      </c>
      <c r="C4150" s="5" t="s">
        <v>176</v>
      </c>
      <c r="D4150" s="4" t="s">
        <v>16</v>
      </c>
      <c r="E4150" s="4" t="s">
        <v>4723</v>
      </c>
      <c r="F4150" s="4" t="s">
        <v>406</v>
      </c>
      <c r="G4150" s="4" t="s">
        <v>4724</v>
      </c>
      <c r="H4150" s="12" t="n">
        <v>1</v>
      </c>
      <c r="I4150" s="4" t="s">
        <v>474</v>
      </c>
      <c r="J4150" s="4" t="s">
        <v>409</v>
      </c>
      <c r="K4150" s="13" t="n">
        <v>45000</v>
      </c>
      <c r="L4150" s="6" t="n">
        <f aca="false">H4150*K4150</f>
        <v>45000</v>
      </c>
      <c r="M4150" s="14" t="s">
        <v>410</v>
      </c>
    </row>
    <row r="4151" customFormat="false" ht="15" hidden="false" customHeight="false" outlineLevel="0" collapsed="false">
      <c r="A4151" s="4" t="s">
        <v>166</v>
      </c>
      <c r="B4151" s="5" t="s">
        <v>175</v>
      </c>
      <c r="C4151" s="5" t="s">
        <v>176</v>
      </c>
      <c r="D4151" s="4" t="s">
        <v>16</v>
      </c>
      <c r="E4151" s="4" t="s">
        <v>4725</v>
      </c>
      <c r="F4151" s="4" t="s">
        <v>406</v>
      </c>
      <c r="G4151" s="4" t="s">
        <v>4726</v>
      </c>
      <c r="H4151" s="12" t="n">
        <v>1</v>
      </c>
      <c r="I4151" s="4" t="s">
        <v>474</v>
      </c>
      <c r="J4151" s="4" t="s">
        <v>409</v>
      </c>
      <c r="K4151" s="13" t="n">
        <v>450000</v>
      </c>
      <c r="L4151" s="6" t="n">
        <f aca="false">H4151*K4151</f>
        <v>450000</v>
      </c>
      <c r="M4151" s="14" t="s">
        <v>410</v>
      </c>
    </row>
    <row r="4152" customFormat="false" ht="15" hidden="false" customHeight="false" outlineLevel="0" collapsed="false">
      <c r="A4152" s="4" t="s">
        <v>166</v>
      </c>
      <c r="B4152" s="5" t="s">
        <v>175</v>
      </c>
      <c r="C4152" s="5" t="s">
        <v>176</v>
      </c>
      <c r="D4152" s="4" t="s">
        <v>16</v>
      </c>
      <c r="E4152" s="4" t="s">
        <v>4727</v>
      </c>
      <c r="F4152" s="4" t="s">
        <v>406</v>
      </c>
      <c r="G4152" s="4" t="s">
        <v>4728</v>
      </c>
      <c r="H4152" s="12" t="n">
        <v>1</v>
      </c>
      <c r="I4152" s="4" t="s">
        <v>474</v>
      </c>
      <c r="J4152" s="4" t="s">
        <v>409</v>
      </c>
      <c r="K4152" s="13" t="n">
        <v>180000</v>
      </c>
      <c r="L4152" s="6" t="n">
        <f aca="false">H4152*K4152</f>
        <v>180000</v>
      </c>
      <c r="M4152" s="14" t="s">
        <v>410</v>
      </c>
    </row>
    <row r="4153" customFormat="false" ht="15" hidden="false" customHeight="false" outlineLevel="0" collapsed="false">
      <c r="A4153" s="4" t="s">
        <v>166</v>
      </c>
      <c r="B4153" s="5" t="s">
        <v>175</v>
      </c>
      <c r="C4153" s="5" t="s">
        <v>176</v>
      </c>
      <c r="D4153" s="4" t="s">
        <v>16</v>
      </c>
      <c r="E4153" s="4" t="s">
        <v>4729</v>
      </c>
      <c r="F4153" s="4" t="s">
        <v>470</v>
      </c>
      <c r="G4153" s="4" t="s">
        <v>4730</v>
      </c>
      <c r="H4153" s="12" t="n">
        <v>1</v>
      </c>
      <c r="I4153" s="4" t="s">
        <v>408</v>
      </c>
      <c r="J4153" s="4" t="s">
        <v>416</v>
      </c>
      <c r="K4153" s="13" t="n">
        <v>2500</v>
      </c>
      <c r="L4153" s="6" t="n">
        <f aca="false">H4153*K4153</f>
        <v>2500</v>
      </c>
      <c r="M4153" s="4" t="s">
        <v>371</v>
      </c>
    </row>
    <row r="4154" customFormat="false" ht="23.85" hidden="false" customHeight="false" outlineLevel="0" collapsed="false">
      <c r="A4154" s="4" t="s">
        <v>166</v>
      </c>
      <c r="B4154" s="5" t="s">
        <v>177</v>
      </c>
      <c r="C4154" s="5" t="s">
        <v>178</v>
      </c>
      <c r="D4154" s="4" t="s">
        <v>16</v>
      </c>
      <c r="E4154" s="4" t="s">
        <v>652</v>
      </c>
      <c r="F4154" s="4" t="s">
        <v>406</v>
      </c>
      <c r="G4154" s="4" t="s">
        <v>653</v>
      </c>
      <c r="H4154" s="12" t="n">
        <v>1</v>
      </c>
      <c r="I4154" s="4" t="s">
        <v>408</v>
      </c>
      <c r="J4154" s="4" t="s">
        <v>409</v>
      </c>
      <c r="K4154" s="13" t="n">
        <v>350</v>
      </c>
      <c r="L4154" s="6" t="n">
        <f aca="false">H4154*K4154</f>
        <v>350</v>
      </c>
      <c r="M4154" s="14" t="s">
        <v>410</v>
      </c>
    </row>
    <row r="4155" customFormat="false" ht="23.85" hidden="false" customHeight="false" outlineLevel="0" collapsed="false">
      <c r="A4155" s="4" t="s">
        <v>166</v>
      </c>
      <c r="B4155" s="5" t="s">
        <v>177</v>
      </c>
      <c r="C4155" s="5" t="s">
        <v>178</v>
      </c>
      <c r="D4155" s="4" t="s">
        <v>16</v>
      </c>
      <c r="E4155" s="4" t="s">
        <v>4731</v>
      </c>
      <c r="F4155" s="4" t="s">
        <v>406</v>
      </c>
      <c r="G4155" s="4" t="s">
        <v>4732</v>
      </c>
      <c r="H4155" s="12" t="n">
        <v>1</v>
      </c>
      <c r="I4155" s="4" t="s">
        <v>408</v>
      </c>
      <c r="J4155" s="4" t="s">
        <v>409</v>
      </c>
      <c r="K4155" s="13" t="n">
        <v>450</v>
      </c>
      <c r="L4155" s="6" t="n">
        <f aca="false">H4155*K4155</f>
        <v>450</v>
      </c>
      <c r="M4155" s="4" t="s">
        <v>371</v>
      </c>
    </row>
    <row r="4156" customFormat="false" ht="23.85" hidden="false" customHeight="false" outlineLevel="0" collapsed="false">
      <c r="A4156" s="4" t="s">
        <v>166</v>
      </c>
      <c r="B4156" s="5" t="s">
        <v>177</v>
      </c>
      <c r="C4156" s="5" t="s">
        <v>178</v>
      </c>
      <c r="D4156" s="4" t="s">
        <v>16</v>
      </c>
      <c r="E4156" s="4" t="s">
        <v>4733</v>
      </c>
      <c r="F4156" s="4" t="s">
        <v>406</v>
      </c>
      <c r="G4156" s="4" t="s">
        <v>4734</v>
      </c>
      <c r="H4156" s="12" t="n">
        <v>1</v>
      </c>
      <c r="I4156" s="4" t="s">
        <v>408</v>
      </c>
      <c r="J4156" s="4" t="s">
        <v>409</v>
      </c>
      <c r="K4156" s="13" t="n">
        <v>250</v>
      </c>
      <c r="L4156" s="6" t="n">
        <f aca="false">H4156*K4156</f>
        <v>250</v>
      </c>
      <c r="M4156" s="4" t="s">
        <v>371</v>
      </c>
    </row>
    <row r="4157" customFormat="false" ht="23.85" hidden="false" customHeight="false" outlineLevel="0" collapsed="false">
      <c r="A4157" s="4" t="s">
        <v>166</v>
      </c>
      <c r="B4157" s="5" t="s">
        <v>177</v>
      </c>
      <c r="C4157" s="5" t="s">
        <v>178</v>
      </c>
      <c r="D4157" s="4" t="s">
        <v>16</v>
      </c>
      <c r="E4157" s="4" t="s">
        <v>4735</v>
      </c>
      <c r="F4157" s="4" t="s">
        <v>406</v>
      </c>
      <c r="G4157" s="4" t="s">
        <v>4736</v>
      </c>
      <c r="H4157" s="12" t="n">
        <v>1</v>
      </c>
      <c r="I4157" s="4" t="s">
        <v>408</v>
      </c>
      <c r="J4157" s="4" t="s">
        <v>409</v>
      </c>
      <c r="K4157" s="13" t="n">
        <v>85000</v>
      </c>
      <c r="L4157" s="6" t="n">
        <f aca="false">H4157*K4157</f>
        <v>85000</v>
      </c>
      <c r="M4157" s="14" t="s">
        <v>410</v>
      </c>
    </row>
    <row r="4158" customFormat="false" ht="23.85" hidden="false" customHeight="false" outlineLevel="0" collapsed="false">
      <c r="A4158" s="4" t="s">
        <v>166</v>
      </c>
      <c r="B4158" s="5" t="s">
        <v>177</v>
      </c>
      <c r="C4158" s="5" t="s">
        <v>178</v>
      </c>
      <c r="D4158" s="4" t="s">
        <v>16</v>
      </c>
      <c r="E4158" s="4" t="s">
        <v>4737</v>
      </c>
      <c r="F4158" s="4" t="s">
        <v>406</v>
      </c>
      <c r="G4158" s="4" t="s">
        <v>4738</v>
      </c>
      <c r="H4158" s="12" t="n">
        <v>1</v>
      </c>
      <c r="I4158" s="4" t="s">
        <v>408</v>
      </c>
      <c r="J4158" s="4" t="s">
        <v>409</v>
      </c>
      <c r="K4158" s="13" t="n">
        <v>85000</v>
      </c>
      <c r="L4158" s="6" t="n">
        <f aca="false">H4158*K4158</f>
        <v>85000</v>
      </c>
      <c r="M4158" s="14" t="s">
        <v>410</v>
      </c>
    </row>
    <row r="4159" customFormat="false" ht="23.85" hidden="false" customHeight="false" outlineLevel="0" collapsed="false">
      <c r="A4159" s="4" t="s">
        <v>166</v>
      </c>
      <c r="B4159" s="5" t="s">
        <v>177</v>
      </c>
      <c r="C4159" s="5" t="s">
        <v>178</v>
      </c>
      <c r="D4159" s="4" t="s">
        <v>16</v>
      </c>
      <c r="E4159" s="4" t="s">
        <v>4739</v>
      </c>
      <c r="F4159" s="4" t="s">
        <v>406</v>
      </c>
      <c r="G4159" s="4" t="s">
        <v>4740</v>
      </c>
      <c r="H4159" s="12" t="n">
        <v>1</v>
      </c>
      <c r="I4159" s="4" t="s">
        <v>408</v>
      </c>
      <c r="J4159" s="4" t="s">
        <v>409</v>
      </c>
      <c r="K4159" s="13" t="n">
        <v>25000</v>
      </c>
      <c r="L4159" s="6" t="n">
        <f aca="false">H4159*K4159</f>
        <v>25000</v>
      </c>
      <c r="M4159" s="14" t="s">
        <v>410</v>
      </c>
    </row>
    <row r="4160" customFormat="false" ht="23.85" hidden="false" customHeight="false" outlineLevel="0" collapsed="false">
      <c r="A4160" s="4" t="s">
        <v>166</v>
      </c>
      <c r="B4160" s="5" t="s">
        <v>177</v>
      </c>
      <c r="C4160" s="5" t="s">
        <v>178</v>
      </c>
      <c r="D4160" s="4" t="s">
        <v>16</v>
      </c>
      <c r="E4160" s="4" t="s">
        <v>4741</v>
      </c>
      <c r="F4160" s="4" t="s">
        <v>406</v>
      </c>
      <c r="G4160" s="4" t="s">
        <v>4742</v>
      </c>
      <c r="H4160" s="12" t="n">
        <v>1</v>
      </c>
      <c r="I4160" s="4" t="s">
        <v>408</v>
      </c>
      <c r="J4160" s="4" t="s">
        <v>409</v>
      </c>
      <c r="K4160" s="13" t="n">
        <v>18000</v>
      </c>
      <c r="L4160" s="6" t="n">
        <f aca="false">H4160*K4160</f>
        <v>18000</v>
      </c>
      <c r="M4160" s="14" t="s">
        <v>410</v>
      </c>
    </row>
    <row r="4161" customFormat="false" ht="23.85" hidden="false" customHeight="false" outlineLevel="0" collapsed="false">
      <c r="A4161" s="4" t="s">
        <v>166</v>
      </c>
      <c r="B4161" s="5" t="s">
        <v>177</v>
      </c>
      <c r="C4161" s="5" t="s">
        <v>178</v>
      </c>
      <c r="D4161" s="4" t="s">
        <v>16</v>
      </c>
      <c r="E4161" s="4" t="s">
        <v>4743</v>
      </c>
      <c r="F4161" s="4" t="s">
        <v>406</v>
      </c>
      <c r="G4161" s="4" t="s">
        <v>4744</v>
      </c>
      <c r="H4161" s="12" t="n">
        <v>1</v>
      </c>
      <c r="I4161" s="4" t="s">
        <v>408</v>
      </c>
      <c r="J4161" s="4" t="s">
        <v>409</v>
      </c>
      <c r="K4161" s="13" t="n">
        <v>4500</v>
      </c>
      <c r="L4161" s="6" t="n">
        <f aca="false">H4161*K4161</f>
        <v>4500</v>
      </c>
      <c r="M4161" s="14" t="s">
        <v>410</v>
      </c>
    </row>
    <row r="4162" customFormat="false" ht="23.85" hidden="false" customHeight="false" outlineLevel="0" collapsed="false">
      <c r="A4162" s="4" t="s">
        <v>166</v>
      </c>
      <c r="B4162" s="5" t="s">
        <v>177</v>
      </c>
      <c r="C4162" s="5" t="s">
        <v>178</v>
      </c>
      <c r="D4162" s="4" t="s">
        <v>16</v>
      </c>
      <c r="E4162" s="4" t="s">
        <v>4745</v>
      </c>
      <c r="F4162" s="4" t="s">
        <v>406</v>
      </c>
      <c r="G4162" s="4" t="s">
        <v>4746</v>
      </c>
      <c r="H4162" s="12" t="n">
        <v>1</v>
      </c>
      <c r="I4162" s="4" t="s">
        <v>408</v>
      </c>
      <c r="J4162" s="4" t="s">
        <v>409</v>
      </c>
      <c r="K4162" s="13" t="n">
        <v>85000</v>
      </c>
      <c r="L4162" s="6" t="n">
        <f aca="false">H4162*K4162</f>
        <v>85000</v>
      </c>
      <c r="M4162" s="14" t="s">
        <v>410</v>
      </c>
    </row>
    <row r="4163" customFormat="false" ht="23.85" hidden="false" customHeight="false" outlineLevel="0" collapsed="false">
      <c r="A4163" s="4" t="s">
        <v>166</v>
      </c>
      <c r="B4163" s="5" t="s">
        <v>177</v>
      </c>
      <c r="C4163" s="5" t="s">
        <v>178</v>
      </c>
      <c r="D4163" s="4" t="s">
        <v>16</v>
      </c>
      <c r="E4163" s="4" t="s">
        <v>4747</v>
      </c>
      <c r="F4163" s="4" t="s">
        <v>406</v>
      </c>
      <c r="G4163" s="4" t="s">
        <v>4748</v>
      </c>
      <c r="H4163" s="12" t="n">
        <v>1</v>
      </c>
      <c r="I4163" s="4" t="s">
        <v>408</v>
      </c>
      <c r="J4163" s="4" t="s">
        <v>409</v>
      </c>
      <c r="K4163" s="13" t="n">
        <v>85000</v>
      </c>
      <c r="L4163" s="6" t="n">
        <f aca="false">H4163*K4163</f>
        <v>85000</v>
      </c>
      <c r="M4163" s="14" t="s">
        <v>410</v>
      </c>
    </row>
    <row r="4164" customFormat="false" ht="23.85" hidden="false" customHeight="false" outlineLevel="0" collapsed="false">
      <c r="A4164" s="4" t="s">
        <v>166</v>
      </c>
      <c r="B4164" s="5" t="s">
        <v>177</v>
      </c>
      <c r="C4164" s="5" t="s">
        <v>178</v>
      </c>
      <c r="D4164" s="4" t="s">
        <v>16</v>
      </c>
      <c r="E4164" s="4" t="s">
        <v>4749</v>
      </c>
      <c r="F4164" s="4" t="s">
        <v>406</v>
      </c>
      <c r="G4164" s="4" t="s">
        <v>4750</v>
      </c>
      <c r="H4164" s="12" t="n">
        <v>1</v>
      </c>
      <c r="I4164" s="4" t="s">
        <v>408</v>
      </c>
      <c r="J4164" s="4" t="s">
        <v>409</v>
      </c>
      <c r="K4164" s="13" t="n">
        <v>85000</v>
      </c>
      <c r="L4164" s="6" t="n">
        <f aca="false">H4164*K4164</f>
        <v>85000</v>
      </c>
      <c r="M4164" s="14" t="s">
        <v>410</v>
      </c>
    </row>
    <row r="4165" customFormat="false" ht="23.85" hidden="false" customHeight="false" outlineLevel="0" collapsed="false">
      <c r="A4165" s="4" t="s">
        <v>166</v>
      </c>
      <c r="B4165" s="5" t="s">
        <v>177</v>
      </c>
      <c r="C4165" s="5" t="s">
        <v>178</v>
      </c>
      <c r="D4165" s="4" t="s">
        <v>16</v>
      </c>
      <c r="E4165" s="4" t="s">
        <v>4751</v>
      </c>
      <c r="F4165" s="4" t="s">
        <v>406</v>
      </c>
      <c r="G4165" s="4" t="s">
        <v>4752</v>
      </c>
      <c r="H4165" s="12" t="n">
        <v>1</v>
      </c>
      <c r="I4165" s="4" t="s">
        <v>408</v>
      </c>
      <c r="J4165" s="4" t="s">
        <v>409</v>
      </c>
      <c r="K4165" s="13" t="n">
        <v>18000</v>
      </c>
      <c r="L4165" s="6" t="n">
        <f aca="false">H4165*K4165</f>
        <v>18000</v>
      </c>
      <c r="M4165" s="14" t="s">
        <v>410</v>
      </c>
    </row>
    <row r="4166" customFormat="false" ht="23.85" hidden="false" customHeight="false" outlineLevel="0" collapsed="false">
      <c r="A4166" s="4" t="s">
        <v>166</v>
      </c>
      <c r="B4166" s="5" t="s">
        <v>177</v>
      </c>
      <c r="C4166" s="5" t="s">
        <v>178</v>
      </c>
      <c r="D4166" s="4" t="s">
        <v>16</v>
      </c>
      <c r="E4166" s="4" t="s">
        <v>4753</v>
      </c>
      <c r="F4166" s="4" t="s">
        <v>406</v>
      </c>
      <c r="G4166" s="4" t="s">
        <v>4754</v>
      </c>
      <c r="H4166" s="12" t="n">
        <v>1</v>
      </c>
      <c r="I4166" s="4" t="s">
        <v>408</v>
      </c>
      <c r="J4166" s="4" t="s">
        <v>409</v>
      </c>
      <c r="K4166" s="13" t="n">
        <v>85000</v>
      </c>
      <c r="L4166" s="6" t="n">
        <f aca="false">H4166*K4166</f>
        <v>85000</v>
      </c>
      <c r="M4166" s="14" t="s">
        <v>410</v>
      </c>
    </row>
    <row r="4167" customFormat="false" ht="23.85" hidden="false" customHeight="false" outlineLevel="0" collapsed="false">
      <c r="A4167" s="4" t="s">
        <v>166</v>
      </c>
      <c r="B4167" s="5" t="s">
        <v>177</v>
      </c>
      <c r="C4167" s="5" t="s">
        <v>178</v>
      </c>
      <c r="D4167" s="4" t="s">
        <v>16</v>
      </c>
      <c r="E4167" s="4" t="s">
        <v>4755</v>
      </c>
      <c r="F4167" s="4" t="s">
        <v>406</v>
      </c>
      <c r="G4167" s="4" t="s">
        <v>4756</v>
      </c>
      <c r="H4167" s="12" t="n">
        <v>1</v>
      </c>
      <c r="I4167" s="4" t="s">
        <v>408</v>
      </c>
      <c r="J4167" s="4" t="s">
        <v>409</v>
      </c>
      <c r="K4167" s="13" t="n">
        <v>85000</v>
      </c>
      <c r="L4167" s="6" t="n">
        <f aca="false">H4167*K4167</f>
        <v>85000</v>
      </c>
      <c r="M4167" s="14" t="s">
        <v>410</v>
      </c>
    </row>
    <row r="4168" customFormat="false" ht="23.85" hidden="false" customHeight="false" outlineLevel="0" collapsed="false">
      <c r="A4168" s="4" t="s">
        <v>166</v>
      </c>
      <c r="B4168" s="5" t="s">
        <v>177</v>
      </c>
      <c r="C4168" s="5" t="s">
        <v>178</v>
      </c>
      <c r="D4168" s="4" t="s">
        <v>16</v>
      </c>
      <c r="E4168" s="4" t="s">
        <v>4757</v>
      </c>
      <c r="F4168" s="4" t="s">
        <v>406</v>
      </c>
      <c r="G4168" s="4" t="s">
        <v>4758</v>
      </c>
      <c r="H4168" s="12" t="n">
        <v>1</v>
      </c>
      <c r="I4168" s="4" t="s">
        <v>408</v>
      </c>
      <c r="J4168" s="4" t="s">
        <v>409</v>
      </c>
      <c r="K4168" s="13" t="n">
        <v>45000</v>
      </c>
      <c r="L4168" s="6" t="n">
        <f aca="false">H4168*K4168</f>
        <v>45000</v>
      </c>
      <c r="M4168" s="14" t="s">
        <v>410</v>
      </c>
    </row>
    <row r="4169" customFormat="false" ht="23.85" hidden="false" customHeight="false" outlineLevel="0" collapsed="false">
      <c r="A4169" s="4" t="s">
        <v>166</v>
      </c>
      <c r="B4169" s="5" t="s">
        <v>177</v>
      </c>
      <c r="C4169" s="5" t="s">
        <v>178</v>
      </c>
      <c r="D4169" s="4" t="s">
        <v>16</v>
      </c>
      <c r="E4169" s="4" t="s">
        <v>4759</v>
      </c>
      <c r="F4169" s="4" t="s">
        <v>406</v>
      </c>
      <c r="G4169" s="4" t="s">
        <v>4760</v>
      </c>
      <c r="H4169" s="12" t="n">
        <v>1</v>
      </c>
      <c r="I4169" s="4" t="s">
        <v>408</v>
      </c>
      <c r="J4169" s="4" t="s">
        <v>409</v>
      </c>
      <c r="K4169" s="13" t="n">
        <v>18000</v>
      </c>
      <c r="L4169" s="6" t="n">
        <f aca="false">H4169*K4169</f>
        <v>18000</v>
      </c>
      <c r="M4169" s="14" t="s">
        <v>410</v>
      </c>
    </row>
    <row r="4170" customFormat="false" ht="23.85" hidden="false" customHeight="false" outlineLevel="0" collapsed="false">
      <c r="A4170" s="4" t="s">
        <v>166</v>
      </c>
      <c r="B4170" s="5" t="s">
        <v>177</v>
      </c>
      <c r="C4170" s="5" t="s">
        <v>178</v>
      </c>
      <c r="D4170" s="4" t="s">
        <v>16</v>
      </c>
      <c r="E4170" s="4" t="s">
        <v>572</v>
      </c>
      <c r="F4170" s="4" t="s">
        <v>406</v>
      </c>
      <c r="G4170" s="4" t="s">
        <v>573</v>
      </c>
      <c r="H4170" s="12" t="n">
        <v>1</v>
      </c>
      <c r="I4170" s="4" t="s">
        <v>408</v>
      </c>
      <c r="J4170" s="4" t="s">
        <v>409</v>
      </c>
      <c r="K4170" s="13" t="n">
        <v>2500</v>
      </c>
      <c r="L4170" s="6" t="n">
        <f aca="false">H4170*K4170</f>
        <v>2500</v>
      </c>
      <c r="M4170" s="14" t="s">
        <v>410</v>
      </c>
    </row>
    <row r="4171" customFormat="false" ht="23.85" hidden="false" customHeight="false" outlineLevel="0" collapsed="false">
      <c r="A4171" s="4" t="s">
        <v>166</v>
      </c>
      <c r="B4171" s="5" t="s">
        <v>177</v>
      </c>
      <c r="C4171" s="5" t="s">
        <v>178</v>
      </c>
      <c r="D4171" s="4" t="s">
        <v>16</v>
      </c>
      <c r="E4171" s="4" t="s">
        <v>4761</v>
      </c>
      <c r="F4171" s="4" t="s">
        <v>406</v>
      </c>
      <c r="G4171" s="4" t="s">
        <v>683</v>
      </c>
      <c r="H4171" s="12" t="n">
        <v>1</v>
      </c>
      <c r="I4171" s="4" t="s">
        <v>408</v>
      </c>
      <c r="J4171" s="4" t="s">
        <v>409</v>
      </c>
      <c r="K4171" s="13" t="n">
        <v>1800</v>
      </c>
      <c r="L4171" s="6" t="n">
        <f aca="false">H4171*K4171</f>
        <v>1800</v>
      </c>
      <c r="M4171" s="14" t="s">
        <v>410</v>
      </c>
    </row>
    <row r="4172" customFormat="false" ht="23.85" hidden="false" customHeight="false" outlineLevel="0" collapsed="false">
      <c r="A4172" s="4" t="s">
        <v>166</v>
      </c>
      <c r="B4172" s="5" t="s">
        <v>177</v>
      </c>
      <c r="C4172" s="5" t="s">
        <v>178</v>
      </c>
      <c r="D4172" s="4" t="s">
        <v>16</v>
      </c>
      <c r="E4172" s="4" t="s">
        <v>4762</v>
      </c>
      <c r="F4172" s="4" t="s">
        <v>406</v>
      </c>
      <c r="G4172" s="4" t="s">
        <v>4763</v>
      </c>
      <c r="H4172" s="12" t="n">
        <v>1</v>
      </c>
      <c r="I4172" s="4" t="s">
        <v>408</v>
      </c>
      <c r="J4172" s="4" t="s">
        <v>409</v>
      </c>
      <c r="K4172" s="13" t="n">
        <v>45000</v>
      </c>
      <c r="L4172" s="6" t="n">
        <f aca="false">H4172*K4172</f>
        <v>45000</v>
      </c>
      <c r="M4172" s="14" t="s">
        <v>410</v>
      </c>
    </row>
    <row r="4173" customFormat="false" ht="23.85" hidden="false" customHeight="false" outlineLevel="0" collapsed="false">
      <c r="A4173" s="4" t="s">
        <v>166</v>
      </c>
      <c r="B4173" s="5" t="s">
        <v>177</v>
      </c>
      <c r="C4173" s="5" t="s">
        <v>178</v>
      </c>
      <c r="D4173" s="4" t="s">
        <v>16</v>
      </c>
      <c r="E4173" s="4" t="s">
        <v>4764</v>
      </c>
      <c r="F4173" s="4" t="s">
        <v>406</v>
      </c>
      <c r="G4173" s="4" t="s">
        <v>4765</v>
      </c>
      <c r="H4173" s="12" t="n">
        <v>1</v>
      </c>
      <c r="I4173" s="4" t="s">
        <v>408</v>
      </c>
      <c r="J4173" s="4" t="s">
        <v>409</v>
      </c>
      <c r="K4173" s="13" t="n">
        <v>180000</v>
      </c>
      <c r="L4173" s="6" t="n">
        <f aca="false">H4173*K4173</f>
        <v>180000</v>
      </c>
      <c r="M4173" s="14" t="s">
        <v>410</v>
      </c>
    </row>
    <row r="4174" customFormat="false" ht="23.85" hidden="false" customHeight="false" outlineLevel="0" collapsed="false">
      <c r="A4174" s="4" t="s">
        <v>166</v>
      </c>
      <c r="B4174" s="5" t="s">
        <v>177</v>
      </c>
      <c r="C4174" s="5" t="s">
        <v>178</v>
      </c>
      <c r="D4174" s="4" t="s">
        <v>16</v>
      </c>
      <c r="E4174" s="4" t="s">
        <v>2976</v>
      </c>
      <c r="F4174" s="4" t="s">
        <v>406</v>
      </c>
      <c r="G4174" s="4" t="s">
        <v>2977</v>
      </c>
      <c r="H4174" s="12" t="n">
        <v>1</v>
      </c>
      <c r="I4174" s="4" t="s">
        <v>408</v>
      </c>
      <c r="J4174" s="4" t="s">
        <v>409</v>
      </c>
      <c r="K4174" s="13" t="n">
        <v>1800</v>
      </c>
      <c r="L4174" s="6" t="n">
        <f aca="false">H4174*K4174</f>
        <v>1800</v>
      </c>
      <c r="M4174" s="14" t="s">
        <v>410</v>
      </c>
    </row>
    <row r="4175" customFormat="false" ht="23.85" hidden="false" customHeight="false" outlineLevel="0" collapsed="false">
      <c r="A4175" s="4" t="s">
        <v>166</v>
      </c>
      <c r="B4175" s="5" t="s">
        <v>177</v>
      </c>
      <c r="C4175" s="5" t="s">
        <v>178</v>
      </c>
      <c r="D4175" s="4" t="s">
        <v>16</v>
      </c>
      <c r="E4175" s="4" t="s">
        <v>4766</v>
      </c>
      <c r="F4175" s="4" t="s">
        <v>406</v>
      </c>
      <c r="G4175" s="4" t="s">
        <v>4767</v>
      </c>
      <c r="H4175" s="12" t="n">
        <v>1</v>
      </c>
      <c r="I4175" s="4" t="s">
        <v>408</v>
      </c>
      <c r="J4175" s="4" t="s">
        <v>409</v>
      </c>
      <c r="K4175" s="13" t="n">
        <v>45000</v>
      </c>
      <c r="L4175" s="6" t="n">
        <f aca="false">H4175*K4175</f>
        <v>45000</v>
      </c>
      <c r="M4175" s="14" t="s">
        <v>410</v>
      </c>
    </row>
    <row r="4176" customFormat="false" ht="23.85" hidden="false" customHeight="false" outlineLevel="0" collapsed="false">
      <c r="A4176" s="4" t="s">
        <v>166</v>
      </c>
      <c r="B4176" s="5" t="s">
        <v>177</v>
      </c>
      <c r="C4176" s="5" t="s">
        <v>178</v>
      </c>
      <c r="D4176" s="4" t="s">
        <v>16</v>
      </c>
      <c r="E4176" s="4" t="s">
        <v>4768</v>
      </c>
      <c r="F4176" s="4" t="s">
        <v>406</v>
      </c>
      <c r="G4176" s="4" t="s">
        <v>4769</v>
      </c>
      <c r="H4176" s="12" t="n">
        <v>1</v>
      </c>
      <c r="I4176" s="4" t="s">
        <v>408</v>
      </c>
      <c r="J4176" s="4" t="s">
        <v>409</v>
      </c>
      <c r="K4176" s="13" t="n">
        <v>8500</v>
      </c>
      <c r="L4176" s="6" t="n">
        <f aca="false">H4176*K4176</f>
        <v>8500</v>
      </c>
      <c r="M4176" s="14" t="s">
        <v>410</v>
      </c>
    </row>
    <row r="4177" customFormat="false" ht="23.85" hidden="false" customHeight="false" outlineLevel="0" collapsed="false">
      <c r="A4177" s="4" t="s">
        <v>166</v>
      </c>
      <c r="B4177" s="5" t="s">
        <v>177</v>
      </c>
      <c r="C4177" s="5" t="s">
        <v>178</v>
      </c>
      <c r="D4177" s="4" t="s">
        <v>16</v>
      </c>
      <c r="E4177" s="4" t="s">
        <v>4770</v>
      </c>
      <c r="F4177" s="4" t="s">
        <v>406</v>
      </c>
      <c r="G4177" s="4" t="s">
        <v>4771</v>
      </c>
      <c r="H4177" s="12" t="n">
        <v>1</v>
      </c>
      <c r="I4177" s="4" t="s">
        <v>408</v>
      </c>
      <c r="J4177" s="4" t="s">
        <v>409</v>
      </c>
      <c r="K4177" s="13" t="n">
        <v>85000</v>
      </c>
      <c r="L4177" s="6" t="n">
        <f aca="false">H4177*K4177</f>
        <v>85000</v>
      </c>
      <c r="M4177" s="14" t="s">
        <v>410</v>
      </c>
    </row>
    <row r="4178" customFormat="false" ht="23.85" hidden="false" customHeight="false" outlineLevel="0" collapsed="false">
      <c r="A4178" s="4" t="s">
        <v>166</v>
      </c>
      <c r="B4178" s="5" t="s">
        <v>177</v>
      </c>
      <c r="C4178" s="5" t="s">
        <v>178</v>
      </c>
      <c r="D4178" s="4" t="s">
        <v>16</v>
      </c>
      <c r="E4178" s="4" t="s">
        <v>4772</v>
      </c>
      <c r="F4178" s="4" t="s">
        <v>406</v>
      </c>
      <c r="G4178" s="4" t="s">
        <v>4773</v>
      </c>
      <c r="H4178" s="12" t="n">
        <v>1</v>
      </c>
      <c r="I4178" s="4" t="s">
        <v>408</v>
      </c>
      <c r="J4178" s="4" t="s">
        <v>409</v>
      </c>
      <c r="K4178" s="13" t="n">
        <v>18000</v>
      </c>
      <c r="L4178" s="6" t="n">
        <f aca="false">H4178*K4178</f>
        <v>18000</v>
      </c>
      <c r="M4178" s="14" t="s">
        <v>410</v>
      </c>
    </row>
    <row r="4179" customFormat="false" ht="23.85" hidden="false" customHeight="false" outlineLevel="0" collapsed="false">
      <c r="A4179" s="4" t="s">
        <v>166</v>
      </c>
      <c r="B4179" s="5" t="s">
        <v>177</v>
      </c>
      <c r="C4179" s="5" t="s">
        <v>178</v>
      </c>
      <c r="D4179" s="4" t="s">
        <v>16</v>
      </c>
      <c r="E4179" s="4" t="s">
        <v>4774</v>
      </c>
      <c r="F4179" s="4" t="s">
        <v>406</v>
      </c>
      <c r="G4179" s="4" t="s">
        <v>4775</v>
      </c>
      <c r="H4179" s="12" t="n">
        <v>1</v>
      </c>
      <c r="I4179" s="4" t="s">
        <v>408</v>
      </c>
      <c r="J4179" s="4" t="s">
        <v>416</v>
      </c>
      <c r="K4179" s="13" t="n">
        <v>850</v>
      </c>
      <c r="L4179" s="6" t="n">
        <f aca="false">H4179*K4179</f>
        <v>850</v>
      </c>
      <c r="M4179" s="14" t="s">
        <v>410</v>
      </c>
    </row>
    <row r="4180" customFormat="false" ht="23.85" hidden="false" customHeight="false" outlineLevel="0" collapsed="false">
      <c r="A4180" s="4" t="s">
        <v>166</v>
      </c>
      <c r="B4180" s="5" t="s">
        <v>177</v>
      </c>
      <c r="C4180" s="5" t="s">
        <v>178</v>
      </c>
      <c r="D4180" s="4" t="s">
        <v>16</v>
      </c>
      <c r="E4180" s="4" t="s">
        <v>568</v>
      </c>
      <c r="F4180" s="4" t="s">
        <v>406</v>
      </c>
      <c r="G4180" s="4" t="s">
        <v>569</v>
      </c>
      <c r="H4180" s="12" t="n">
        <v>1</v>
      </c>
      <c r="I4180" s="4" t="s">
        <v>408</v>
      </c>
      <c r="J4180" s="4" t="s">
        <v>409</v>
      </c>
      <c r="K4180" s="13" t="n">
        <v>350</v>
      </c>
      <c r="L4180" s="6" t="n">
        <f aca="false">H4180*K4180</f>
        <v>350</v>
      </c>
      <c r="M4180" s="14" t="s">
        <v>410</v>
      </c>
    </row>
    <row r="4181" customFormat="false" ht="23.85" hidden="false" customHeight="false" outlineLevel="0" collapsed="false">
      <c r="A4181" s="4" t="s">
        <v>166</v>
      </c>
      <c r="B4181" s="5" t="s">
        <v>177</v>
      </c>
      <c r="C4181" s="5" t="s">
        <v>178</v>
      </c>
      <c r="D4181" s="4" t="s">
        <v>16</v>
      </c>
      <c r="E4181" s="4" t="s">
        <v>4776</v>
      </c>
      <c r="F4181" s="4" t="s">
        <v>406</v>
      </c>
      <c r="G4181" s="4" t="s">
        <v>4777</v>
      </c>
      <c r="H4181" s="12" t="n">
        <v>1</v>
      </c>
      <c r="I4181" s="4" t="s">
        <v>408</v>
      </c>
      <c r="J4181" s="4" t="s">
        <v>409</v>
      </c>
      <c r="K4181" s="13" t="n">
        <v>85000</v>
      </c>
      <c r="L4181" s="6" t="n">
        <f aca="false">H4181*K4181</f>
        <v>85000</v>
      </c>
      <c r="M4181" s="14" t="s">
        <v>410</v>
      </c>
    </row>
    <row r="4182" customFormat="false" ht="23.85" hidden="false" customHeight="false" outlineLevel="0" collapsed="false">
      <c r="A4182" s="4" t="s">
        <v>166</v>
      </c>
      <c r="B4182" s="5" t="s">
        <v>177</v>
      </c>
      <c r="C4182" s="5" t="s">
        <v>178</v>
      </c>
      <c r="D4182" s="4" t="s">
        <v>16</v>
      </c>
      <c r="E4182" s="4" t="s">
        <v>4778</v>
      </c>
      <c r="F4182" s="4" t="s">
        <v>406</v>
      </c>
      <c r="G4182" s="4" t="s">
        <v>4779</v>
      </c>
      <c r="H4182" s="12" t="n">
        <v>1</v>
      </c>
      <c r="I4182" s="4" t="s">
        <v>408</v>
      </c>
      <c r="J4182" s="4" t="s">
        <v>409</v>
      </c>
      <c r="K4182" s="13" t="n">
        <v>250000</v>
      </c>
      <c r="L4182" s="6" t="n">
        <f aca="false">H4182*K4182</f>
        <v>250000</v>
      </c>
      <c r="M4182" s="14" t="s">
        <v>410</v>
      </c>
    </row>
    <row r="4183" customFormat="false" ht="23.85" hidden="false" customHeight="false" outlineLevel="0" collapsed="false">
      <c r="A4183" s="4" t="s">
        <v>166</v>
      </c>
      <c r="B4183" s="5" t="s">
        <v>177</v>
      </c>
      <c r="C4183" s="5" t="s">
        <v>178</v>
      </c>
      <c r="D4183" s="4" t="s">
        <v>16</v>
      </c>
      <c r="E4183" s="4" t="s">
        <v>4780</v>
      </c>
      <c r="F4183" s="4" t="s">
        <v>470</v>
      </c>
      <c r="G4183" s="4" t="s">
        <v>4781</v>
      </c>
      <c r="H4183" s="12" t="n">
        <v>1</v>
      </c>
      <c r="I4183" s="4" t="s">
        <v>408</v>
      </c>
      <c r="J4183" s="4" t="s">
        <v>409</v>
      </c>
      <c r="K4183" s="13" t="n">
        <v>12000</v>
      </c>
      <c r="L4183" s="6" t="n">
        <f aca="false">H4183*K4183</f>
        <v>12000</v>
      </c>
      <c r="M4183" s="4" t="s">
        <v>371</v>
      </c>
    </row>
    <row r="4184" customFormat="false" ht="23.85" hidden="false" customHeight="false" outlineLevel="0" collapsed="false">
      <c r="A4184" s="4" t="s">
        <v>166</v>
      </c>
      <c r="B4184" s="5" t="s">
        <v>177</v>
      </c>
      <c r="C4184" s="5" t="s">
        <v>178</v>
      </c>
      <c r="D4184" s="4" t="s">
        <v>16</v>
      </c>
      <c r="E4184" s="4" t="s">
        <v>4782</v>
      </c>
      <c r="F4184" s="4" t="s">
        <v>470</v>
      </c>
      <c r="G4184" s="4" t="s">
        <v>4783</v>
      </c>
      <c r="H4184" s="12" t="n">
        <v>1</v>
      </c>
      <c r="I4184" s="4" t="s">
        <v>408</v>
      </c>
      <c r="J4184" s="4" t="s">
        <v>409</v>
      </c>
      <c r="K4184" s="13" t="n">
        <v>18000</v>
      </c>
      <c r="L4184" s="6" t="n">
        <f aca="false">H4184*K4184</f>
        <v>18000</v>
      </c>
      <c r="M4184" s="4" t="s">
        <v>371</v>
      </c>
    </row>
    <row r="4185" customFormat="false" ht="23.85" hidden="false" customHeight="false" outlineLevel="0" collapsed="false">
      <c r="A4185" s="4" t="s">
        <v>166</v>
      </c>
      <c r="B4185" s="5" t="s">
        <v>177</v>
      </c>
      <c r="C4185" s="5" t="s">
        <v>178</v>
      </c>
      <c r="D4185" s="4" t="s">
        <v>16</v>
      </c>
      <c r="E4185" s="4" t="s">
        <v>4784</v>
      </c>
      <c r="F4185" s="4" t="s">
        <v>488</v>
      </c>
      <c r="G4185" s="4" t="s">
        <v>4785</v>
      </c>
      <c r="H4185" s="12" t="n">
        <v>1</v>
      </c>
      <c r="I4185" s="4" t="s">
        <v>408</v>
      </c>
      <c r="J4185" s="4" t="s">
        <v>432</v>
      </c>
      <c r="K4185" s="13" t="n">
        <v>180</v>
      </c>
      <c r="L4185" s="6" t="n">
        <f aca="false">H4185*K4185</f>
        <v>180</v>
      </c>
      <c r="M4185" s="4" t="s">
        <v>371</v>
      </c>
    </row>
    <row r="4186" customFormat="false" ht="23.85" hidden="false" customHeight="false" outlineLevel="0" collapsed="false">
      <c r="A4186" s="4" t="s">
        <v>166</v>
      </c>
      <c r="B4186" s="5" t="s">
        <v>177</v>
      </c>
      <c r="C4186" s="5" t="s">
        <v>178</v>
      </c>
      <c r="D4186" s="4" t="s">
        <v>16</v>
      </c>
      <c r="E4186" s="4" t="s">
        <v>4786</v>
      </c>
      <c r="F4186" s="4" t="s">
        <v>488</v>
      </c>
      <c r="G4186" s="4" t="s">
        <v>4787</v>
      </c>
      <c r="H4186" s="12" t="n">
        <v>1</v>
      </c>
      <c r="I4186" s="4" t="s">
        <v>408</v>
      </c>
      <c r="J4186" s="4" t="s">
        <v>432</v>
      </c>
      <c r="K4186" s="13" t="n">
        <v>250</v>
      </c>
      <c r="L4186" s="6" t="n">
        <f aca="false">H4186*K4186</f>
        <v>250</v>
      </c>
      <c r="M4186" s="4" t="s">
        <v>371</v>
      </c>
    </row>
    <row r="4187" customFormat="false" ht="23.85" hidden="false" customHeight="false" outlineLevel="0" collapsed="false">
      <c r="A4187" s="4" t="s">
        <v>166</v>
      </c>
      <c r="B4187" s="5" t="s">
        <v>177</v>
      </c>
      <c r="C4187" s="5" t="s">
        <v>178</v>
      </c>
      <c r="D4187" s="4" t="s">
        <v>16</v>
      </c>
      <c r="E4187" s="4" t="s">
        <v>4788</v>
      </c>
      <c r="F4187" s="4" t="s">
        <v>488</v>
      </c>
      <c r="G4187" s="4" t="s">
        <v>4789</v>
      </c>
      <c r="H4187" s="12" t="n">
        <v>1</v>
      </c>
      <c r="I4187" s="4" t="s">
        <v>408</v>
      </c>
      <c r="J4187" s="4" t="s">
        <v>432</v>
      </c>
      <c r="K4187" s="13" t="n">
        <v>250</v>
      </c>
      <c r="L4187" s="6" t="n">
        <f aca="false">H4187*K4187</f>
        <v>250</v>
      </c>
      <c r="M4187" s="4" t="s">
        <v>371</v>
      </c>
    </row>
    <row r="4188" customFormat="false" ht="23.85" hidden="false" customHeight="false" outlineLevel="0" collapsed="false">
      <c r="A4188" s="4" t="s">
        <v>166</v>
      </c>
      <c r="B4188" s="5" t="s">
        <v>177</v>
      </c>
      <c r="C4188" s="5" t="s">
        <v>178</v>
      </c>
      <c r="D4188" s="4" t="s">
        <v>16</v>
      </c>
      <c r="E4188" s="4" t="s">
        <v>4790</v>
      </c>
      <c r="F4188" s="4" t="s">
        <v>488</v>
      </c>
      <c r="G4188" s="4" t="s">
        <v>4791</v>
      </c>
      <c r="H4188" s="12" t="n">
        <v>1</v>
      </c>
      <c r="I4188" s="4" t="s">
        <v>408</v>
      </c>
      <c r="J4188" s="4" t="s">
        <v>432</v>
      </c>
      <c r="K4188" s="13" t="n">
        <v>25</v>
      </c>
      <c r="L4188" s="6" t="n">
        <f aca="false">H4188*K4188</f>
        <v>25</v>
      </c>
      <c r="M4188" s="4" t="s">
        <v>371</v>
      </c>
    </row>
    <row r="4189" customFormat="false" ht="23.85" hidden="false" customHeight="false" outlineLevel="0" collapsed="false">
      <c r="A4189" s="4" t="s">
        <v>166</v>
      </c>
      <c r="B4189" s="5" t="s">
        <v>177</v>
      </c>
      <c r="C4189" s="5" t="s">
        <v>178</v>
      </c>
      <c r="D4189" s="4" t="s">
        <v>16</v>
      </c>
      <c r="E4189" s="4" t="s">
        <v>4792</v>
      </c>
      <c r="F4189" s="4" t="s">
        <v>488</v>
      </c>
      <c r="G4189" s="4" t="s">
        <v>4793</v>
      </c>
      <c r="H4189" s="12" t="n">
        <v>1</v>
      </c>
      <c r="I4189" s="4" t="s">
        <v>408</v>
      </c>
      <c r="J4189" s="4" t="s">
        <v>432</v>
      </c>
      <c r="K4189" s="13" t="n">
        <v>55</v>
      </c>
      <c r="L4189" s="6" t="n">
        <f aca="false">H4189*K4189</f>
        <v>55</v>
      </c>
      <c r="M4189" s="4" t="s">
        <v>371</v>
      </c>
    </row>
    <row r="4190" customFormat="false" ht="23.85" hidden="false" customHeight="false" outlineLevel="0" collapsed="false">
      <c r="A4190" s="4" t="s">
        <v>166</v>
      </c>
      <c r="B4190" s="5" t="s">
        <v>177</v>
      </c>
      <c r="C4190" s="5" t="s">
        <v>178</v>
      </c>
      <c r="D4190" s="4" t="s">
        <v>16</v>
      </c>
      <c r="E4190" s="4" t="s">
        <v>4794</v>
      </c>
      <c r="F4190" s="4" t="s">
        <v>488</v>
      </c>
      <c r="G4190" s="4" t="s">
        <v>4795</v>
      </c>
      <c r="H4190" s="12" t="n">
        <v>1</v>
      </c>
      <c r="I4190" s="4" t="s">
        <v>408</v>
      </c>
      <c r="J4190" s="4" t="s">
        <v>506</v>
      </c>
      <c r="K4190" s="13" t="n">
        <v>180</v>
      </c>
      <c r="L4190" s="6" t="n">
        <f aca="false">H4190*K4190</f>
        <v>180</v>
      </c>
      <c r="M4190" s="4" t="s">
        <v>371</v>
      </c>
    </row>
    <row r="4191" customFormat="false" ht="23.85" hidden="false" customHeight="false" outlineLevel="0" collapsed="false">
      <c r="A4191" s="4" t="s">
        <v>166</v>
      </c>
      <c r="B4191" s="5" t="s">
        <v>177</v>
      </c>
      <c r="C4191" s="5" t="s">
        <v>178</v>
      </c>
      <c r="D4191" s="4" t="s">
        <v>16</v>
      </c>
      <c r="E4191" s="4" t="s">
        <v>4796</v>
      </c>
      <c r="F4191" s="4" t="s">
        <v>470</v>
      </c>
      <c r="G4191" s="4" t="s">
        <v>4797</v>
      </c>
      <c r="H4191" s="12" t="n">
        <v>1</v>
      </c>
      <c r="I4191" s="4" t="s">
        <v>408</v>
      </c>
      <c r="J4191" s="4" t="s">
        <v>416</v>
      </c>
      <c r="K4191" s="13" t="n">
        <v>25000</v>
      </c>
      <c r="L4191" s="6" t="n">
        <f aca="false">H4191*K4191</f>
        <v>25000</v>
      </c>
      <c r="M4191" s="4" t="s">
        <v>371</v>
      </c>
    </row>
    <row r="4192" customFormat="false" ht="23.85" hidden="false" customHeight="false" outlineLevel="0" collapsed="false">
      <c r="A4192" s="4" t="s">
        <v>166</v>
      </c>
      <c r="B4192" s="5" t="s">
        <v>177</v>
      </c>
      <c r="C4192" s="5" t="s">
        <v>178</v>
      </c>
      <c r="D4192" s="4" t="s">
        <v>16</v>
      </c>
      <c r="E4192" s="4" t="s">
        <v>4798</v>
      </c>
      <c r="F4192" s="4" t="s">
        <v>470</v>
      </c>
      <c r="G4192" s="4" t="s">
        <v>4799</v>
      </c>
      <c r="H4192" s="12" t="n">
        <v>1</v>
      </c>
      <c r="I4192" s="4" t="s">
        <v>408</v>
      </c>
      <c r="J4192" s="4" t="s">
        <v>409</v>
      </c>
      <c r="K4192" s="13" t="n">
        <v>450</v>
      </c>
      <c r="L4192" s="6" t="n">
        <f aca="false">H4192*K4192</f>
        <v>450</v>
      </c>
      <c r="M4192" s="4" t="s">
        <v>371</v>
      </c>
    </row>
    <row r="4193" customFormat="false" ht="15" hidden="false" customHeight="false" outlineLevel="0" collapsed="false">
      <c r="A4193" s="4" t="s">
        <v>166</v>
      </c>
      <c r="B4193" s="5" t="s">
        <v>181</v>
      </c>
      <c r="C4193" s="5" t="s">
        <v>182</v>
      </c>
      <c r="D4193" s="4" t="s">
        <v>16</v>
      </c>
      <c r="E4193" s="4" t="s">
        <v>4800</v>
      </c>
      <c r="F4193" s="4" t="s">
        <v>406</v>
      </c>
      <c r="G4193" s="4" t="s">
        <v>4801</v>
      </c>
      <c r="H4193" s="12" t="n">
        <v>1</v>
      </c>
      <c r="I4193" s="4" t="s">
        <v>474</v>
      </c>
      <c r="J4193" s="4" t="s">
        <v>409</v>
      </c>
      <c r="K4193" s="13" t="n">
        <v>4500</v>
      </c>
      <c r="L4193" s="6" t="n">
        <f aca="false">H4193*K4193</f>
        <v>4500</v>
      </c>
      <c r="M4193" s="14" t="s">
        <v>410</v>
      </c>
    </row>
    <row r="4194" customFormat="false" ht="15" hidden="false" customHeight="false" outlineLevel="0" collapsed="false">
      <c r="A4194" s="4" t="s">
        <v>166</v>
      </c>
      <c r="B4194" s="5" t="s">
        <v>181</v>
      </c>
      <c r="C4194" s="5" t="s">
        <v>182</v>
      </c>
      <c r="D4194" s="4" t="s">
        <v>16</v>
      </c>
      <c r="E4194" s="4" t="s">
        <v>4719</v>
      </c>
      <c r="F4194" s="4" t="s">
        <v>406</v>
      </c>
      <c r="G4194" s="4" t="s">
        <v>4720</v>
      </c>
      <c r="H4194" s="12" t="n">
        <v>1</v>
      </c>
      <c r="I4194" s="4" t="s">
        <v>474</v>
      </c>
      <c r="J4194" s="4" t="s">
        <v>409</v>
      </c>
      <c r="K4194" s="13" t="n">
        <v>180000</v>
      </c>
      <c r="L4194" s="6" t="n">
        <f aca="false">H4194*K4194</f>
        <v>180000</v>
      </c>
      <c r="M4194" s="14" t="s">
        <v>410</v>
      </c>
    </row>
    <row r="4195" customFormat="false" ht="15" hidden="false" customHeight="false" outlineLevel="0" collapsed="false">
      <c r="A4195" s="4" t="s">
        <v>166</v>
      </c>
      <c r="B4195" s="5" t="s">
        <v>181</v>
      </c>
      <c r="C4195" s="5" t="s">
        <v>182</v>
      </c>
      <c r="D4195" s="4" t="s">
        <v>16</v>
      </c>
      <c r="E4195" s="4" t="s">
        <v>3230</v>
      </c>
      <c r="F4195" s="4" t="s">
        <v>406</v>
      </c>
      <c r="G4195" s="4" t="s">
        <v>3231</v>
      </c>
      <c r="H4195" s="12" t="n">
        <v>1</v>
      </c>
      <c r="I4195" s="4" t="s">
        <v>474</v>
      </c>
      <c r="J4195" s="4" t="s">
        <v>409</v>
      </c>
      <c r="K4195" s="13" t="n">
        <v>12000</v>
      </c>
      <c r="L4195" s="6" t="n">
        <f aca="false">H4195*K4195</f>
        <v>12000</v>
      </c>
      <c r="M4195" s="14" t="s">
        <v>410</v>
      </c>
    </row>
    <row r="4196" customFormat="false" ht="15" hidden="false" customHeight="false" outlineLevel="0" collapsed="false">
      <c r="A4196" s="4" t="s">
        <v>166</v>
      </c>
      <c r="B4196" s="5" t="s">
        <v>181</v>
      </c>
      <c r="C4196" s="5" t="s">
        <v>182</v>
      </c>
      <c r="D4196" s="4" t="s">
        <v>16</v>
      </c>
      <c r="E4196" s="4" t="s">
        <v>4381</v>
      </c>
      <c r="F4196" s="4" t="s">
        <v>406</v>
      </c>
      <c r="G4196" s="4" t="s">
        <v>4382</v>
      </c>
      <c r="H4196" s="12" t="n">
        <v>1</v>
      </c>
      <c r="I4196" s="4" t="s">
        <v>474</v>
      </c>
      <c r="J4196" s="4" t="s">
        <v>409</v>
      </c>
      <c r="K4196" s="13" t="n">
        <v>18000</v>
      </c>
      <c r="L4196" s="6" t="n">
        <f aca="false">H4196*K4196</f>
        <v>18000</v>
      </c>
      <c r="M4196" s="14" t="s">
        <v>410</v>
      </c>
    </row>
    <row r="4197" customFormat="false" ht="15" hidden="false" customHeight="false" outlineLevel="0" collapsed="false">
      <c r="A4197" s="4" t="s">
        <v>166</v>
      </c>
      <c r="B4197" s="5" t="s">
        <v>181</v>
      </c>
      <c r="C4197" s="5" t="s">
        <v>182</v>
      </c>
      <c r="D4197" s="4" t="s">
        <v>16</v>
      </c>
      <c r="E4197" s="4" t="s">
        <v>4802</v>
      </c>
      <c r="F4197" s="4" t="s">
        <v>406</v>
      </c>
      <c r="G4197" s="4" t="s">
        <v>4803</v>
      </c>
      <c r="H4197" s="12" t="n">
        <v>1</v>
      </c>
      <c r="I4197" s="4" t="s">
        <v>474</v>
      </c>
      <c r="J4197" s="4" t="s">
        <v>409</v>
      </c>
      <c r="K4197" s="13" t="n">
        <v>85000</v>
      </c>
      <c r="L4197" s="6" t="n">
        <f aca="false">H4197*K4197</f>
        <v>85000</v>
      </c>
      <c r="M4197" s="14" t="s">
        <v>410</v>
      </c>
    </row>
    <row r="4198" customFormat="false" ht="15" hidden="false" customHeight="false" outlineLevel="0" collapsed="false">
      <c r="A4198" s="4" t="s">
        <v>166</v>
      </c>
      <c r="B4198" s="5" t="s">
        <v>181</v>
      </c>
      <c r="C4198" s="5" t="s">
        <v>182</v>
      </c>
      <c r="D4198" s="4" t="s">
        <v>16</v>
      </c>
      <c r="E4198" s="4" t="s">
        <v>4694</v>
      </c>
      <c r="F4198" s="4" t="s">
        <v>406</v>
      </c>
      <c r="G4198" s="4" t="s">
        <v>4695</v>
      </c>
      <c r="H4198" s="12" t="n">
        <v>1</v>
      </c>
      <c r="I4198" s="4" t="s">
        <v>474</v>
      </c>
      <c r="J4198" s="4" t="s">
        <v>409</v>
      </c>
      <c r="K4198" s="13" t="n">
        <v>85000</v>
      </c>
      <c r="L4198" s="6" t="n">
        <f aca="false">H4198*K4198</f>
        <v>85000</v>
      </c>
      <c r="M4198" s="14" t="s">
        <v>410</v>
      </c>
    </row>
    <row r="4199" customFormat="false" ht="15" hidden="false" customHeight="false" outlineLevel="0" collapsed="false">
      <c r="A4199" s="4" t="s">
        <v>166</v>
      </c>
      <c r="B4199" s="5" t="s">
        <v>181</v>
      </c>
      <c r="C4199" s="5" t="s">
        <v>182</v>
      </c>
      <c r="D4199" s="4" t="s">
        <v>16</v>
      </c>
      <c r="E4199" s="4" t="s">
        <v>2982</v>
      </c>
      <c r="F4199" s="4" t="s">
        <v>406</v>
      </c>
      <c r="G4199" s="4" t="s">
        <v>2983</v>
      </c>
      <c r="H4199" s="12" t="n">
        <v>1</v>
      </c>
      <c r="I4199" s="4" t="s">
        <v>474</v>
      </c>
      <c r="J4199" s="4" t="s">
        <v>409</v>
      </c>
      <c r="K4199" s="13" t="n">
        <v>12000</v>
      </c>
      <c r="L4199" s="6" t="n">
        <f aca="false">H4199*K4199</f>
        <v>12000</v>
      </c>
      <c r="M4199" s="14" t="s">
        <v>410</v>
      </c>
    </row>
    <row r="4200" customFormat="false" ht="15" hidden="false" customHeight="false" outlineLevel="0" collapsed="false">
      <c r="A4200" s="4" t="s">
        <v>166</v>
      </c>
      <c r="B4200" s="5" t="s">
        <v>181</v>
      </c>
      <c r="C4200" s="5" t="s">
        <v>182</v>
      </c>
      <c r="D4200" s="4" t="s">
        <v>16</v>
      </c>
      <c r="E4200" s="4" t="s">
        <v>4804</v>
      </c>
      <c r="F4200" s="4" t="s">
        <v>406</v>
      </c>
      <c r="G4200" s="4" t="s">
        <v>4805</v>
      </c>
      <c r="H4200" s="12" t="n">
        <v>1</v>
      </c>
      <c r="I4200" s="4" t="s">
        <v>474</v>
      </c>
      <c r="J4200" s="4" t="s">
        <v>409</v>
      </c>
      <c r="K4200" s="13" t="n">
        <v>3500</v>
      </c>
      <c r="L4200" s="6" t="n">
        <f aca="false">H4200*K4200</f>
        <v>3500</v>
      </c>
      <c r="M4200" s="14" t="s">
        <v>410</v>
      </c>
    </row>
    <row r="4201" customFormat="false" ht="15" hidden="false" customHeight="false" outlineLevel="0" collapsed="false">
      <c r="A4201" s="4" t="s">
        <v>166</v>
      </c>
      <c r="B4201" s="5" t="s">
        <v>181</v>
      </c>
      <c r="C4201" s="5" t="s">
        <v>182</v>
      </c>
      <c r="D4201" s="4" t="s">
        <v>16</v>
      </c>
      <c r="E4201" s="4" t="s">
        <v>4806</v>
      </c>
      <c r="F4201" s="4" t="s">
        <v>406</v>
      </c>
      <c r="G4201" s="4" t="s">
        <v>4807</v>
      </c>
      <c r="H4201" s="12" t="n">
        <v>1</v>
      </c>
      <c r="I4201" s="4" t="s">
        <v>474</v>
      </c>
      <c r="J4201" s="4" t="s">
        <v>409</v>
      </c>
      <c r="K4201" s="13" t="n">
        <v>8500</v>
      </c>
      <c r="L4201" s="6" t="n">
        <f aca="false">H4201*K4201</f>
        <v>8500</v>
      </c>
      <c r="M4201" s="14" t="s">
        <v>410</v>
      </c>
    </row>
    <row r="4202" customFormat="false" ht="15" hidden="false" customHeight="false" outlineLevel="0" collapsed="false">
      <c r="A4202" s="4" t="s">
        <v>166</v>
      </c>
      <c r="B4202" s="5" t="s">
        <v>181</v>
      </c>
      <c r="C4202" s="5" t="s">
        <v>182</v>
      </c>
      <c r="D4202" s="4" t="s">
        <v>16</v>
      </c>
      <c r="E4202" s="4" t="s">
        <v>4808</v>
      </c>
      <c r="F4202" s="4" t="s">
        <v>406</v>
      </c>
      <c r="G4202" s="4" t="s">
        <v>1814</v>
      </c>
      <c r="H4202" s="12" t="n">
        <v>1</v>
      </c>
      <c r="I4202" s="4" t="s">
        <v>474</v>
      </c>
      <c r="J4202" s="4" t="s">
        <v>409</v>
      </c>
      <c r="K4202" s="13" t="n">
        <v>18000</v>
      </c>
      <c r="L4202" s="6" t="n">
        <f aca="false">H4202*K4202</f>
        <v>18000</v>
      </c>
      <c r="M4202" s="14" t="s">
        <v>410</v>
      </c>
    </row>
    <row r="4203" customFormat="false" ht="15" hidden="false" customHeight="false" outlineLevel="0" collapsed="false">
      <c r="A4203" s="4" t="s">
        <v>166</v>
      </c>
      <c r="B4203" s="5" t="s">
        <v>181</v>
      </c>
      <c r="C4203" s="5" t="s">
        <v>182</v>
      </c>
      <c r="D4203" s="4" t="s">
        <v>16</v>
      </c>
      <c r="E4203" s="4" t="s">
        <v>4809</v>
      </c>
      <c r="F4203" s="4" t="s">
        <v>406</v>
      </c>
      <c r="G4203" s="4" t="s">
        <v>4810</v>
      </c>
      <c r="H4203" s="12" t="n">
        <v>1</v>
      </c>
      <c r="I4203" s="4" t="s">
        <v>474</v>
      </c>
      <c r="J4203" s="4" t="s">
        <v>543</v>
      </c>
      <c r="K4203" s="13" t="n">
        <v>450000</v>
      </c>
      <c r="L4203" s="6" t="n">
        <f aca="false">H4203*K4203</f>
        <v>450000</v>
      </c>
      <c r="M4203" s="14" t="s">
        <v>410</v>
      </c>
    </row>
    <row r="4204" customFormat="false" ht="15" hidden="false" customHeight="false" outlineLevel="0" collapsed="false">
      <c r="A4204" s="4" t="s">
        <v>166</v>
      </c>
      <c r="B4204" s="5" t="s">
        <v>181</v>
      </c>
      <c r="C4204" s="5" t="s">
        <v>182</v>
      </c>
      <c r="D4204" s="4" t="s">
        <v>16</v>
      </c>
      <c r="E4204" s="4" t="s">
        <v>4811</v>
      </c>
      <c r="F4204" s="4" t="s">
        <v>406</v>
      </c>
      <c r="G4204" s="4" t="s">
        <v>4812</v>
      </c>
      <c r="H4204" s="12" t="n">
        <v>1</v>
      </c>
      <c r="I4204" s="4" t="s">
        <v>474</v>
      </c>
      <c r="J4204" s="4" t="s">
        <v>409</v>
      </c>
      <c r="K4204" s="13" t="n">
        <v>45000</v>
      </c>
      <c r="L4204" s="6" t="n">
        <f aca="false">H4204*K4204</f>
        <v>45000</v>
      </c>
      <c r="M4204" s="14" t="s">
        <v>410</v>
      </c>
    </row>
    <row r="4205" customFormat="false" ht="15" hidden="false" customHeight="false" outlineLevel="0" collapsed="false">
      <c r="A4205" s="4" t="s">
        <v>166</v>
      </c>
      <c r="B4205" s="5" t="s">
        <v>181</v>
      </c>
      <c r="C4205" s="5" t="s">
        <v>182</v>
      </c>
      <c r="D4205" s="4" t="s">
        <v>16</v>
      </c>
      <c r="E4205" s="4" t="s">
        <v>4813</v>
      </c>
      <c r="F4205" s="4" t="s">
        <v>406</v>
      </c>
      <c r="G4205" s="4" t="s">
        <v>4814</v>
      </c>
      <c r="H4205" s="12" t="n">
        <v>1</v>
      </c>
      <c r="I4205" s="4" t="s">
        <v>474</v>
      </c>
      <c r="J4205" s="4" t="s">
        <v>409</v>
      </c>
      <c r="K4205" s="13" t="n">
        <v>18000</v>
      </c>
      <c r="L4205" s="6" t="n">
        <f aca="false">H4205*K4205</f>
        <v>18000</v>
      </c>
      <c r="M4205" s="14" t="s">
        <v>410</v>
      </c>
    </row>
    <row r="4206" customFormat="false" ht="15" hidden="false" customHeight="false" outlineLevel="0" collapsed="false">
      <c r="A4206" s="4" t="s">
        <v>166</v>
      </c>
      <c r="B4206" s="5" t="s">
        <v>181</v>
      </c>
      <c r="C4206" s="5" t="s">
        <v>182</v>
      </c>
      <c r="D4206" s="4" t="s">
        <v>16</v>
      </c>
      <c r="E4206" s="4" t="s">
        <v>4815</v>
      </c>
      <c r="F4206" s="4" t="s">
        <v>406</v>
      </c>
      <c r="G4206" s="4" t="s">
        <v>4816</v>
      </c>
      <c r="H4206" s="12" t="n">
        <v>1</v>
      </c>
      <c r="I4206" s="4" t="s">
        <v>474</v>
      </c>
      <c r="J4206" s="4" t="s">
        <v>409</v>
      </c>
      <c r="K4206" s="13" t="n">
        <v>250000</v>
      </c>
      <c r="L4206" s="6" t="n">
        <f aca="false">H4206*K4206</f>
        <v>250000</v>
      </c>
      <c r="M4206" s="4" t="s">
        <v>371</v>
      </c>
    </row>
    <row r="4207" customFormat="false" ht="15" hidden="false" customHeight="false" outlineLevel="0" collapsed="false">
      <c r="A4207" s="4" t="s">
        <v>166</v>
      </c>
      <c r="B4207" s="5" t="s">
        <v>181</v>
      </c>
      <c r="C4207" s="5" t="s">
        <v>182</v>
      </c>
      <c r="D4207" s="4" t="s">
        <v>16</v>
      </c>
      <c r="E4207" s="4" t="s">
        <v>4817</v>
      </c>
      <c r="F4207" s="4" t="s">
        <v>406</v>
      </c>
      <c r="G4207" s="4" t="s">
        <v>4818</v>
      </c>
      <c r="H4207" s="12" t="n">
        <v>1</v>
      </c>
      <c r="I4207" s="4" t="s">
        <v>474</v>
      </c>
      <c r="J4207" s="4" t="s">
        <v>409</v>
      </c>
      <c r="K4207" s="13" t="n">
        <v>85000</v>
      </c>
      <c r="L4207" s="6" t="n">
        <f aca="false">H4207*K4207</f>
        <v>85000</v>
      </c>
      <c r="M4207" s="4" t="s">
        <v>371</v>
      </c>
    </row>
    <row r="4208" customFormat="false" ht="15" hidden="false" customHeight="false" outlineLevel="0" collapsed="false">
      <c r="A4208" s="4" t="s">
        <v>166</v>
      </c>
      <c r="B4208" s="5" t="s">
        <v>181</v>
      </c>
      <c r="C4208" s="5" t="s">
        <v>182</v>
      </c>
      <c r="D4208" s="4" t="s">
        <v>16</v>
      </c>
      <c r="E4208" s="4" t="s">
        <v>4819</v>
      </c>
      <c r="F4208" s="4" t="s">
        <v>406</v>
      </c>
      <c r="G4208" s="4" t="s">
        <v>4820</v>
      </c>
      <c r="H4208" s="12" t="n">
        <v>1</v>
      </c>
      <c r="I4208" s="4" t="s">
        <v>474</v>
      </c>
      <c r="J4208" s="4" t="s">
        <v>409</v>
      </c>
      <c r="K4208" s="13" t="n">
        <v>85000</v>
      </c>
      <c r="L4208" s="6" t="n">
        <f aca="false">H4208*K4208</f>
        <v>85000</v>
      </c>
      <c r="M4208" s="4" t="s">
        <v>371</v>
      </c>
    </row>
    <row r="4209" customFormat="false" ht="15" hidden="false" customHeight="false" outlineLevel="0" collapsed="false">
      <c r="A4209" s="4" t="s">
        <v>166</v>
      </c>
      <c r="B4209" s="5" t="s">
        <v>181</v>
      </c>
      <c r="C4209" s="5" t="s">
        <v>182</v>
      </c>
      <c r="D4209" s="4" t="s">
        <v>16</v>
      </c>
      <c r="E4209" s="4" t="s">
        <v>4821</v>
      </c>
      <c r="F4209" s="4" t="s">
        <v>406</v>
      </c>
      <c r="G4209" s="4" t="s">
        <v>4822</v>
      </c>
      <c r="H4209" s="12" t="n">
        <v>1</v>
      </c>
      <c r="I4209" s="4" t="s">
        <v>474</v>
      </c>
      <c r="J4209" s="4" t="s">
        <v>409</v>
      </c>
      <c r="K4209" s="13" t="n">
        <v>85000</v>
      </c>
      <c r="L4209" s="6" t="n">
        <f aca="false">H4209*K4209</f>
        <v>85000</v>
      </c>
      <c r="M4209" s="14" t="s">
        <v>410</v>
      </c>
    </row>
    <row r="4210" customFormat="false" ht="15" hidden="false" customHeight="false" outlineLevel="0" collapsed="false">
      <c r="A4210" s="4" t="s">
        <v>166</v>
      </c>
      <c r="B4210" s="5" t="s">
        <v>181</v>
      </c>
      <c r="C4210" s="5" t="s">
        <v>182</v>
      </c>
      <c r="D4210" s="4" t="s">
        <v>16</v>
      </c>
      <c r="E4210" s="4" t="s">
        <v>4729</v>
      </c>
      <c r="F4210" s="4" t="s">
        <v>470</v>
      </c>
      <c r="G4210" s="4" t="s">
        <v>4730</v>
      </c>
      <c r="H4210" s="12" t="n">
        <v>1</v>
      </c>
      <c r="I4210" s="4" t="s">
        <v>408</v>
      </c>
      <c r="J4210" s="4" t="s">
        <v>416</v>
      </c>
      <c r="K4210" s="13" t="n">
        <v>2500</v>
      </c>
      <c r="L4210" s="6" t="n">
        <f aca="false">H4210*K4210</f>
        <v>2500</v>
      </c>
      <c r="M4210" s="4" t="s">
        <v>371</v>
      </c>
    </row>
    <row r="4211" customFormat="false" ht="15" hidden="false" customHeight="false" outlineLevel="0" collapsed="false">
      <c r="A4211" s="4" t="s">
        <v>183</v>
      </c>
      <c r="B4211" s="5" t="s">
        <v>184</v>
      </c>
      <c r="C4211" s="5" t="s">
        <v>185</v>
      </c>
      <c r="D4211" s="4" t="s">
        <v>16</v>
      </c>
      <c r="E4211" s="4" t="s">
        <v>4823</v>
      </c>
      <c r="F4211" s="4" t="s">
        <v>406</v>
      </c>
      <c r="G4211" s="4" t="s">
        <v>4824</v>
      </c>
      <c r="H4211" s="12" t="n">
        <v>2</v>
      </c>
      <c r="I4211" s="4" t="s">
        <v>474</v>
      </c>
      <c r="J4211" s="4" t="s">
        <v>416</v>
      </c>
      <c r="K4211" s="13" t="n">
        <v>8500</v>
      </c>
      <c r="L4211" s="6" t="n">
        <f aca="false">H4211*K4211</f>
        <v>17000</v>
      </c>
      <c r="M4211" s="4" t="s">
        <v>371</v>
      </c>
    </row>
    <row r="4212" customFormat="false" ht="15" hidden="false" customHeight="false" outlineLevel="0" collapsed="false">
      <c r="A4212" s="4" t="s">
        <v>183</v>
      </c>
      <c r="B4212" s="5" t="s">
        <v>184</v>
      </c>
      <c r="C4212" s="5" t="s">
        <v>185</v>
      </c>
      <c r="D4212" s="4" t="s">
        <v>16</v>
      </c>
      <c r="E4212" s="4" t="s">
        <v>1845</v>
      </c>
      <c r="F4212" s="4" t="s">
        <v>406</v>
      </c>
      <c r="G4212" s="4" t="s">
        <v>1846</v>
      </c>
      <c r="H4212" s="12" t="n">
        <v>1</v>
      </c>
      <c r="I4212" s="4" t="s">
        <v>474</v>
      </c>
      <c r="J4212" s="4" t="s">
        <v>416</v>
      </c>
      <c r="K4212" s="13" t="n">
        <v>4500</v>
      </c>
      <c r="L4212" s="6" t="n">
        <f aca="false">H4212*K4212</f>
        <v>4500</v>
      </c>
      <c r="M4212" s="14" t="s">
        <v>410</v>
      </c>
    </row>
    <row r="4213" customFormat="false" ht="15" hidden="false" customHeight="false" outlineLevel="0" collapsed="false">
      <c r="A4213" s="4" t="s">
        <v>183</v>
      </c>
      <c r="B4213" s="5" t="s">
        <v>184</v>
      </c>
      <c r="C4213" s="5" t="s">
        <v>185</v>
      </c>
      <c r="D4213" s="4" t="s">
        <v>16</v>
      </c>
      <c r="E4213" s="4" t="s">
        <v>4825</v>
      </c>
      <c r="F4213" s="4" t="s">
        <v>406</v>
      </c>
      <c r="G4213" s="4" t="s">
        <v>4826</v>
      </c>
      <c r="H4213" s="12" t="n">
        <v>2</v>
      </c>
      <c r="I4213" s="4" t="s">
        <v>474</v>
      </c>
      <c r="J4213" s="4" t="s">
        <v>416</v>
      </c>
      <c r="K4213" s="13" t="n">
        <v>1800</v>
      </c>
      <c r="L4213" s="6" t="n">
        <f aca="false">H4213*K4213</f>
        <v>3600</v>
      </c>
      <c r="M4213" s="4" t="s">
        <v>371</v>
      </c>
    </row>
    <row r="4214" customFormat="false" ht="15" hidden="false" customHeight="false" outlineLevel="0" collapsed="false">
      <c r="A4214" s="4" t="s">
        <v>183</v>
      </c>
      <c r="B4214" s="5" t="s">
        <v>184</v>
      </c>
      <c r="C4214" s="5" t="s">
        <v>185</v>
      </c>
      <c r="D4214" s="4" t="s">
        <v>16</v>
      </c>
      <c r="E4214" s="4" t="s">
        <v>4827</v>
      </c>
      <c r="F4214" s="4" t="s">
        <v>406</v>
      </c>
      <c r="G4214" s="4" t="s">
        <v>4828</v>
      </c>
      <c r="H4214" s="12" t="n">
        <v>2</v>
      </c>
      <c r="I4214" s="4" t="s">
        <v>474</v>
      </c>
      <c r="J4214" s="4" t="s">
        <v>416</v>
      </c>
      <c r="K4214" s="13" t="n">
        <v>1800</v>
      </c>
      <c r="L4214" s="6" t="n">
        <f aca="false">H4214*K4214</f>
        <v>3600</v>
      </c>
      <c r="M4214" s="4" t="s">
        <v>371</v>
      </c>
    </row>
    <row r="4215" customFormat="false" ht="15" hidden="false" customHeight="false" outlineLevel="0" collapsed="false">
      <c r="A4215" s="4" t="s">
        <v>183</v>
      </c>
      <c r="B4215" s="5" t="s">
        <v>184</v>
      </c>
      <c r="C4215" s="5" t="s">
        <v>185</v>
      </c>
      <c r="D4215" s="4" t="s">
        <v>16</v>
      </c>
      <c r="E4215" s="4" t="s">
        <v>4829</v>
      </c>
      <c r="F4215" s="4" t="s">
        <v>406</v>
      </c>
      <c r="G4215" s="4" t="s">
        <v>4830</v>
      </c>
      <c r="H4215" s="12" t="n">
        <v>1</v>
      </c>
      <c r="I4215" s="4" t="s">
        <v>474</v>
      </c>
      <c r="J4215" s="4" t="s">
        <v>416</v>
      </c>
      <c r="K4215" s="13" t="n">
        <v>1800</v>
      </c>
      <c r="L4215" s="6" t="n">
        <f aca="false">H4215*K4215</f>
        <v>1800</v>
      </c>
      <c r="M4215" s="4" t="s">
        <v>371</v>
      </c>
    </row>
    <row r="4216" customFormat="false" ht="15" hidden="false" customHeight="false" outlineLevel="0" collapsed="false">
      <c r="A4216" s="4" t="s">
        <v>183</v>
      </c>
      <c r="B4216" s="5" t="s">
        <v>184</v>
      </c>
      <c r="C4216" s="5" t="s">
        <v>185</v>
      </c>
      <c r="D4216" s="4" t="s">
        <v>16</v>
      </c>
      <c r="E4216" s="4" t="s">
        <v>4831</v>
      </c>
      <c r="F4216" s="4" t="s">
        <v>406</v>
      </c>
      <c r="G4216" s="4" t="s">
        <v>4832</v>
      </c>
      <c r="H4216" s="12" t="n">
        <v>1</v>
      </c>
      <c r="I4216" s="4" t="s">
        <v>474</v>
      </c>
      <c r="J4216" s="4" t="s">
        <v>416</v>
      </c>
      <c r="K4216" s="13" t="n">
        <v>850</v>
      </c>
      <c r="L4216" s="6" t="n">
        <f aca="false">H4216*K4216</f>
        <v>850</v>
      </c>
      <c r="M4216" s="4" t="s">
        <v>371</v>
      </c>
    </row>
    <row r="4217" customFormat="false" ht="15" hidden="false" customHeight="false" outlineLevel="0" collapsed="false">
      <c r="A4217" s="4" t="s">
        <v>183</v>
      </c>
      <c r="B4217" s="5" t="s">
        <v>184</v>
      </c>
      <c r="C4217" s="5" t="s">
        <v>185</v>
      </c>
      <c r="D4217" s="4" t="s">
        <v>16</v>
      </c>
      <c r="E4217" s="4" t="s">
        <v>4833</v>
      </c>
      <c r="F4217" s="4" t="s">
        <v>406</v>
      </c>
      <c r="G4217" s="4" t="s">
        <v>4834</v>
      </c>
      <c r="H4217" s="12" t="n">
        <v>1</v>
      </c>
      <c r="I4217" s="4" t="s">
        <v>474</v>
      </c>
      <c r="J4217" s="4" t="s">
        <v>416</v>
      </c>
      <c r="K4217" s="13" t="n">
        <v>650</v>
      </c>
      <c r="L4217" s="6" t="n">
        <f aca="false">H4217*K4217</f>
        <v>650</v>
      </c>
      <c r="M4217" s="4" t="s">
        <v>371</v>
      </c>
    </row>
    <row r="4218" customFormat="false" ht="15" hidden="false" customHeight="false" outlineLevel="0" collapsed="false">
      <c r="A4218" s="4" t="s">
        <v>183</v>
      </c>
      <c r="B4218" s="5" t="s">
        <v>184</v>
      </c>
      <c r="C4218" s="5" t="s">
        <v>185</v>
      </c>
      <c r="D4218" s="4" t="s">
        <v>16</v>
      </c>
      <c r="E4218" s="4" t="s">
        <v>1864</v>
      </c>
      <c r="F4218" s="4" t="s">
        <v>406</v>
      </c>
      <c r="G4218" s="4" t="s">
        <v>1865</v>
      </c>
      <c r="H4218" s="12" t="n">
        <v>1</v>
      </c>
      <c r="I4218" s="4" t="s">
        <v>474</v>
      </c>
      <c r="J4218" s="4" t="s">
        <v>409</v>
      </c>
      <c r="K4218" s="13" t="n">
        <v>450</v>
      </c>
      <c r="L4218" s="6" t="n">
        <f aca="false">H4218*K4218</f>
        <v>450</v>
      </c>
      <c r="M4218" s="14" t="s">
        <v>410</v>
      </c>
    </row>
    <row r="4219" customFormat="false" ht="15" hidden="false" customHeight="false" outlineLevel="0" collapsed="false">
      <c r="A4219" s="4" t="s">
        <v>183</v>
      </c>
      <c r="B4219" s="5" t="s">
        <v>184</v>
      </c>
      <c r="C4219" s="5" t="s">
        <v>185</v>
      </c>
      <c r="D4219" s="4" t="s">
        <v>16</v>
      </c>
      <c r="E4219" s="4" t="s">
        <v>4835</v>
      </c>
      <c r="F4219" s="4" t="s">
        <v>406</v>
      </c>
      <c r="G4219" s="4" t="s">
        <v>4836</v>
      </c>
      <c r="H4219" s="12" t="n">
        <v>1</v>
      </c>
      <c r="I4219" s="4" t="s">
        <v>474</v>
      </c>
      <c r="J4219" s="4" t="s">
        <v>416</v>
      </c>
      <c r="K4219" s="13" t="n">
        <v>650</v>
      </c>
      <c r="L4219" s="6" t="n">
        <f aca="false">H4219*K4219</f>
        <v>650</v>
      </c>
      <c r="M4219" s="4" t="s">
        <v>371</v>
      </c>
    </row>
    <row r="4220" customFormat="false" ht="15" hidden="false" customHeight="false" outlineLevel="0" collapsed="false">
      <c r="A4220" s="4" t="s">
        <v>183</v>
      </c>
      <c r="B4220" s="5" t="s">
        <v>184</v>
      </c>
      <c r="C4220" s="5" t="s">
        <v>185</v>
      </c>
      <c r="D4220" s="4" t="s">
        <v>16</v>
      </c>
      <c r="E4220" s="4" t="s">
        <v>4837</v>
      </c>
      <c r="F4220" s="4" t="s">
        <v>406</v>
      </c>
      <c r="G4220" s="4" t="s">
        <v>4838</v>
      </c>
      <c r="H4220" s="12" t="n">
        <v>1</v>
      </c>
      <c r="I4220" s="4" t="s">
        <v>474</v>
      </c>
      <c r="J4220" s="4" t="s">
        <v>416</v>
      </c>
      <c r="K4220" s="13" t="n">
        <v>850</v>
      </c>
      <c r="L4220" s="6" t="n">
        <f aca="false">H4220*K4220</f>
        <v>850</v>
      </c>
      <c r="M4220" s="4" t="s">
        <v>371</v>
      </c>
    </row>
    <row r="4221" customFormat="false" ht="15" hidden="false" customHeight="false" outlineLevel="0" collapsed="false">
      <c r="A4221" s="4" t="s">
        <v>183</v>
      </c>
      <c r="B4221" s="5" t="s">
        <v>184</v>
      </c>
      <c r="C4221" s="5" t="s">
        <v>185</v>
      </c>
      <c r="D4221" s="4" t="s">
        <v>16</v>
      </c>
      <c r="E4221" s="4" t="s">
        <v>4564</v>
      </c>
      <c r="F4221" s="4" t="s">
        <v>406</v>
      </c>
      <c r="G4221" s="4" t="s">
        <v>4565</v>
      </c>
      <c r="H4221" s="12" t="n">
        <v>1</v>
      </c>
      <c r="I4221" s="4" t="s">
        <v>474</v>
      </c>
      <c r="J4221" s="4" t="s">
        <v>409</v>
      </c>
      <c r="K4221" s="13" t="n">
        <v>350</v>
      </c>
      <c r="L4221" s="6" t="n">
        <f aca="false">H4221*K4221</f>
        <v>350</v>
      </c>
      <c r="M4221" s="14" t="s">
        <v>410</v>
      </c>
    </row>
    <row r="4222" customFormat="false" ht="15" hidden="false" customHeight="false" outlineLevel="0" collapsed="false">
      <c r="A4222" s="4" t="s">
        <v>183</v>
      </c>
      <c r="B4222" s="5" t="s">
        <v>184</v>
      </c>
      <c r="C4222" s="5" t="s">
        <v>185</v>
      </c>
      <c r="D4222" s="4" t="s">
        <v>16</v>
      </c>
      <c r="E4222" s="4" t="s">
        <v>4466</v>
      </c>
      <c r="F4222" s="4" t="s">
        <v>406</v>
      </c>
      <c r="G4222" s="4" t="s">
        <v>4467</v>
      </c>
      <c r="H4222" s="12" t="n">
        <v>1</v>
      </c>
      <c r="I4222" s="4" t="s">
        <v>474</v>
      </c>
      <c r="J4222" s="4" t="s">
        <v>409</v>
      </c>
      <c r="K4222" s="13" t="n">
        <v>180</v>
      </c>
      <c r="L4222" s="6" t="n">
        <f aca="false">H4222*K4222</f>
        <v>180</v>
      </c>
      <c r="M4222" s="14" t="s">
        <v>410</v>
      </c>
    </row>
    <row r="4223" customFormat="false" ht="15" hidden="false" customHeight="false" outlineLevel="0" collapsed="false">
      <c r="A4223" s="4" t="s">
        <v>183</v>
      </c>
      <c r="B4223" s="5" t="s">
        <v>184</v>
      </c>
      <c r="C4223" s="5" t="s">
        <v>185</v>
      </c>
      <c r="D4223" s="4" t="s">
        <v>16</v>
      </c>
      <c r="E4223" s="4" t="s">
        <v>4839</v>
      </c>
      <c r="F4223" s="4" t="s">
        <v>406</v>
      </c>
      <c r="G4223" s="4" t="s">
        <v>4840</v>
      </c>
      <c r="H4223" s="12" t="n">
        <v>1</v>
      </c>
      <c r="I4223" s="4" t="s">
        <v>474</v>
      </c>
      <c r="J4223" s="4" t="s">
        <v>416</v>
      </c>
      <c r="K4223" s="13" t="n">
        <v>1800</v>
      </c>
      <c r="L4223" s="6" t="n">
        <f aca="false">H4223*K4223</f>
        <v>1800</v>
      </c>
      <c r="M4223" s="14" t="s">
        <v>410</v>
      </c>
    </row>
    <row r="4224" customFormat="false" ht="15" hidden="false" customHeight="false" outlineLevel="0" collapsed="false">
      <c r="A4224" s="4" t="s">
        <v>183</v>
      </c>
      <c r="B4224" s="5" t="s">
        <v>184</v>
      </c>
      <c r="C4224" s="5" t="s">
        <v>185</v>
      </c>
      <c r="D4224" s="4" t="s">
        <v>16</v>
      </c>
      <c r="E4224" s="4" t="s">
        <v>4841</v>
      </c>
      <c r="F4224" s="4" t="s">
        <v>406</v>
      </c>
      <c r="G4224" s="4" t="s">
        <v>4842</v>
      </c>
      <c r="H4224" s="12" t="n">
        <v>1</v>
      </c>
      <c r="I4224" s="4" t="s">
        <v>474</v>
      </c>
      <c r="J4224" s="4" t="s">
        <v>409</v>
      </c>
      <c r="K4224" s="13" t="n">
        <v>4500</v>
      </c>
      <c r="L4224" s="6" t="n">
        <f aca="false">H4224*K4224</f>
        <v>4500</v>
      </c>
      <c r="M4224" s="4" t="s">
        <v>371</v>
      </c>
    </row>
    <row r="4225" customFormat="false" ht="15" hidden="false" customHeight="false" outlineLevel="0" collapsed="false">
      <c r="A4225" s="4" t="s">
        <v>183</v>
      </c>
      <c r="B4225" s="5" t="s">
        <v>184</v>
      </c>
      <c r="C4225" s="5" t="s">
        <v>185</v>
      </c>
      <c r="D4225" s="4" t="s">
        <v>16</v>
      </c>
      <c r="E4225" s="4" t="s">
        <v>4843</v>
      </c>
      <c r="F4225" s="4" t="s">
        <v>406</v>
      </c>
      <c r="G4225" s="4" t="s">
        <v>4844</v>
      </c>
      <c r="H4225" s="12" t="n">
        <v>2</v>
      </c>
      <c r="I4225" s="4" t="s">
        <v>474</v>
      </c>
      <c r="J4225" s="4" t="s">
        <v>409</v>
      </c>
      <c r="K4225" s="13" t="n">
        <v>4500</v>
      </c>
      <c r="L4225" s="6" t="n">
        <f aca="false">H4225*K4225</f>
        <v>9000</v>
      </c>
      <c r="M4225" s="14" t="s">
        <v>410</v>
      </c>
    </row>
    <row r="4226" customFormat="false" ht="15" hidden="false" customHeight="false" outlineLevel="0" collapsed="false">
      <c r="A4226" s="4" t="s">
        <v>183</v>
      </c>
      <c r="B4226" s="5" t="s">
        <v>184</v>
      </c>
      <c r="C4226" s="5" t="s">
        <v>185</v>
      </c>
      <c r="D4226" s="4" t="s">
        <v>16</v>
      </c>
      <c r="E4226" s="4" t="s">
        <v>4845</v>
      </c>
      <c r="F4226" s="4" t="s">
        <v>406</v>
      </c>
      <c r="G4226" s="4" t="s">
        <v>4846</v>
      </c>
      <c r="H4226" s="12" t="n">
        <v>5</v>
      </c>
      <c r="I4226" s="4" t="s">
        <v>474</v>
      </c>
      <c r="J4226" s="4" t="s">
        <v>409</v>
      </c>
      <c r="K4226" s="13" t="n">
        <v>45000</v>
      </c>
      <c r="L4226" s="6" t="n">
        <f aca="false">H4226*K4226</f>
        <v>225000</v>
      </c>
      <c r="M4226" s="14" t="s">
        <v>410</v>
      </c>
    </row>
    <row r="4227" customFormat="false" ht="15" hidden="false" customHeight="false" outlineLevel="0" collapsed="false">
      <c r="A4227" s="4" t="s">
        <v>183</v>
      </c>
      <c r="B4227" s="5" t="s">
        <v>184</v>
      </c>
      <c r="C4227" s="5" t="s">
        <v>185</v>
      </c>
      <c r="D4227" s="4" t="s">
        <v>16</v>
      </c>
      <c r="E4227" s="4" t="s">
        <v>4847</v>
      </c>
      <c r="F4227" s="4" t="s">
        <v>406</v>
      </c>
      <c r="G4227" s="4" t="s">
        <v>4848</v>
      </c>
      <c r="H4227" s="12" t="n">
        <v>2</v>
      </c>
      <c r="I4227" s="4" t="s">
        <v>474</v>
      </c>
      <c r="J4227" s="4" t="s">
        <v>543</v>
      </c>
      <c r="K4227" s="13" t="n">
        <v>450000</v>
      </c>
      <c r="L4227" s="6" t="n">
        <f aca="false">H4227*K4227</f>
        <v>900000</v>
      </c>
      <c r="M4227" s="4" t="s">
        <v>371</v>
      </c>
    </row>
    <row r="4228" customFormat="false" ht="15" hidden="false" customHeight="false" outlineLevel="0" collapsed="false">
      <c r="A4228" s="4" t="s">
        <v>183</v>
      </c>
      <c r="B4228" s="5" t="s">
        <v>184</v>
      </c>
      <c r="C4228" s="5" t="s">
        <v>185</v>
      </c>
      <c r="D4228" s="4" t="s">
        <v>16</v>
      </c>
      <c r="E4228" s="4" t="s">
        <v>1208</v>
      </c>
      <c r="F4228" s="4" t="s">
        <v>406</v>
      </c>
      <c r="G4228" s="4" t="s">
        <v>1209</v>
      </c>
      <c r="H4228" s="12" t="n">
        <v>4</v>
      </c>
      <c r="I4228" s="4" t="s">
        <v>474</v>
      </c>
      <c r="J4228" s="4" t="s">
        <v>409</v>
      </c>
      <c r="K4228" s="13" t="n">
        <v>850</v>
      </c>
      <c r="L4228" s="6" t="n">
        <f aca="false">H4228*K4228</f>
        <v>3400</v>
      </c>
      <c r="M4228" s="14" t="s">
        <v>410</v>
      </c>
    </row>
    <row r="4229" customFormat="false" ht="15" hidden="false" customHeight="false" outlineLevel="0" collapsed="false">
      <c r="A4229" s="4" t="s">
        <v>183</v>
      </c>
      <c r="B4229" s="5" t="s">
        <v>184</v>
      </c>
      <c r="C4229" s="5" t="s">
        <v>185</v>
      </c>
      <c r="D4229" s="4" t="s">
        <v>16</v>
      </c>
      <c r="E4229" s="4" t="s">
        <v>1902</v>
      </c>
      <c r="F4229" s="4" t="s">
        <v>406</v>
      </c>
      <c r="G4229" s="4" t="s">
        <v>1680</v>
      </c>
      <c r="H4229" s="12" t="n">
        <v>4</v>
      </c>
      <c r="I4229" s="4" t="s">
        <v>474</v>
      </c>
      <c r="J4229" s="4" t="s">
        <v>409</v>
      </c>
      <c r="K4229" s="13" t="n">
        <v>8500</v>
      </c>
      <c r="L4229" s="6" t="n">
        <f aca="false">H4229*K4229</f>
        <v>34000</v>
      </c>
      <c r="M4229" s="14" t="s">
        <v>410</v>
      </c>
    </row>
    <row r="4230" customFormat="false" ht="15" hidden="false" customHeight="false" outlineLevel="0" collapsed="false">
      <c r="A4230" s="4" t="s">
        <v>183</v>
      </c>
      <c r="B4230" s="5" t="s">
        <v>184</v>
      </c>
      <c r="C4230" s="5" t="s">
        <v>185</v>
      </c>
      <c r="D4230" s="4" t="s">
        <v>16</v>
      </c>
      <c r="E4230" s="4" t="s">
        <v>1898</v>
      </c>
      <c r="F4230" s="4" t="s">
        <v>406</v>
      </c>
      <c r="G4230" s="4" t="s">
        <v>1899</v>
      </c>
      <c r="H4230" s="12" t="n">
        <v>2</v>
      </c>
      <c r="I4230" s="4" t="s">
        <v>474</v>
      </c>
      <c r="J4230" s="4" t="s">
        <v>409</v>
      </c>
      <c r="K4230" s="13" t="n">
        <v>6500</v>
      </c>
      <c r="L4230" s="6" t="n">
        <f aca="false">H4230*K4230</f>
        <v>13000</v>
      </c>
      <c r="M4230" s="14" t="s">
        <v>410</v>
      </c>
    </row>
    <row r="4231" customFormat="false" ht="15" hidden="false" customHeight="false" outlineLevel="0" collapsed="false">
      <c r="A4231" s="4" t="s">
        <v>183</v>
      </c>
      <c r="B4231" s="5" t="s">
        <v>184</v>
      </c>
      <c r="C4231" s="5" t="s">
        <v>185</v>
      </c>
      <c r="D4231" s="4" t="s">
        <v>16</v>
      </c>
      <c r="E4231" s="4" t="s">
        <v>1903</v>
      </c>
      <c r="F4231" s="4" t="s">
        <v>406</v>
      </c>
      <c r="G4231" s="4" t="s">
        <v>1904</v>
      </c>
      <c r="H4231" s="12" t="n">
        <v>2</v>
      </c>
      <c r="I4231" s="4" t="s">
        <v>474</v>
      </c>
      <c r="J4231" s="4" t="s">
        <v>409</v>
      </c>
      <c r="K4231" s="13" t="n">
        <v>8500</v>
      </c>
      <c r="L4231" s="6" t="n">
        <f aca="false">H4231*K4231</f>
        <v>17000</v>
      </c>
      <c r="M4231" s="14" t="s">
        <v>410</v>
      </c>
    </row>
    <row r="4232" customFormat="false" ht="15" hidden="false" customHeight="false" outlineLevel="0" collapsed="false">
      <c r="A4232" s="4" t="s">
        <v>183</v>
      </c>
      <c r="B4232" s="5" t="s">
        <v>184</v>
      </c>
      <c r="C4232" s="5" t="s">
        <v>185</v>
      </c>
      <c r="D4232" s="4" t="s">
        <v>16</v>
      </c>
      <c r="E4232" s="4" t="s">
        <v>4849</v>
      </c>
      <c r="F4232" s="4" t="s">
        <v>406</v>
      </c>
      <c r="G4232" s="4" t="s">
        <v>4850</v>
      </c>
      <c r="H4232" s="12" t="n">
        <v>2</v>
      </c>
      <c r="I4232" s="4" t="s">
        <v>474</v>
      </c>
      <c r="J4232" s="4" t="s">
        <v>409</v>
      </c>
      <c r="K4232" s="13" t="n">
        <v>1800</v>
      </c>
      <c r="L4232" s="6" t="n">
        <f aca="false">H4232*K4232</f>
        <v>3600</v>
      </c>
      <c r="M4232" s="14" t="s">
        <v>410</v>
      </c>
    </row>
    <row r="4233" customFormat="false" ht="15" hidden="false" customHeight="false" outlineLevel="0" collapsed="false">
      <c r="A4233" s="4" t="s">
        <v>183</v>
      </c>
      <c r="B4233" s="5" t="s">
        <v>184</v>
      </c>
      <c r="C4233" s="5" t="s">
        <v>185</v>
      </c>
      <c r="D4233" s="4" t="s">
        <v>16</v>
      </c>
      <c r="E4233" s="4" t="s">
        <v>4851</v>
      </c>
      <c r="F4233" s="4" t="s">
        <v>406</v>
      </c>
      <c r="G4233" s="4" t="s">
        <v>4852</v>
      </c>
      <c r="H4233" s="12" t="n">
        <v>2</v>
      </c>
      <c r="I4233" s="4" t="s">
        <v>474</v>
      </c>
      <c r="J4233" s="4" t="s">
        <v>409</v>
      </c>
      <c r="K4233" s="13" t="n">
        <v>2500</v>
      </c>
      <c r="L4233" s="6" t="n">
        <f aca="false">H4233*K4233</f>
        <v>5000</v>
      </c>
      <c r="M4233" s="14" t="s">
        <v>410</v>
      </c>
    </row>
    <row r="4234" customFormat="false" ht="15" hidden="false" customHeight="false" outlineLevel="0" collapsed="false">
      <c r="A4234" s="4" t="s">
        <v>183</v>
      </c>
      <c r="B4234" s="5" t="s">
        <v>184</v>
      </c>
      <c r="C4234" s="5" t="s">
        <v>185</v>
      </c>
      <c r="D4234" s="4" t="s">
        <v>16</v>
      </c>
      <c r="E4234" s="4" t="s">
        <v>4853</v>
      </c>
      <c r="F4234" s="4" t="s">
        <v>406</v>
      </c>
      <c r="G4234" s="4" t="s">
        <v>4854</v>
      </c>
      <c r="H4234" s="12" t="n">
        <v>1</v>
      </c>
      <c r="I4234" s="4" t="s">
        <v>474</v>
      </c>
      <c r="J4234" s="4" t="s">
        <v>409</v>
      </c>
      <c r="K4234" s="13" t="n">
        <v>4500</v>
      </c>
      <c r="L4234" s="6" t="n">
        <f aca="false">H4234*K4234</f>
        <v>4500</v>
      </c>
      <c r="M4234" s="14" t="s">
        <v>410</v>
      </c>
    </row>
    <row r="4235" customFormat="false" ht="15" hidden="false" customHeight="false" outlineLevel="0" collapsed="false">
      <c r="A4235" s="4" t="s">
        <v>183</v>
      </c>
      <c r="B4235" s="5" t="s">
        <v>184</v>
      </c>
      <c r="C4235" s="5" t="s">
        <v>185</v>
      </c>
      <c r="D4235" s="4" t="s">
        <v>16</v>
      </c>
      <c r="E4235" s="4" t="s">
        <v>4855</v>
      </c>
      <c r="F4235" s="4" t="s">
        <v>406</v>
      </c>
      <c r="G4235" s="4" t="s">
        <v>4856</v>
      </c>
      <c r="H4235" s="12" t="n">
        <v>1</v>
      </c>
      <c r="I4235" s="4" t="s">
        <v>474</v>
      </c>
      <c r="J4235" s="4" t="s">
        <v>543</v>
      </c>
      <c r="K4235" s="13" t="n">
        <v>450000</v>
      </c>
      <c r="L4235" s="6" t="n">
        <f aca="false">H4235*K4235</f>
        <v>450000</v>
      </c>
      <c r="M4235" s="4" t="s">
        <v>371</v>
      </c>
    </row>
    <row r="4236" customFormat="false" ht="15" hidden="false" customHeight="false" outlineLevel="0" collapsed="false">
      <c r="A4236" s="4" t="s">
        <v>183</v>
      </c>
      <c r="B4236" s="5" t="s">
        <v>184</v>
      </c>
      <c r="C4236" s="5" t="s">
        <v>185</v>
      </c>
      <c r="D4236" s="4" t="s">
        <v>16</v>
      </c>
      <c r="E4236" s="4" t="s">
        <v>4857</v>
      </c>
      <c r="F4236" s="4" t="s">
        <v>406</v>
      </c>
      <c r="G4236" s="4" t="s">
        <v>4858</v>
      </c>
      <c r="H4236" s="12" t="n">
        <v>2</v>
      </c>
      <c r="I4236" s="4" t="s">
        <v>474</v>
      </c>
      <c r="J4236" s="4" t="s">
        <v>409</v>
      </c>
      <c r="K4236" s="13" t="n">
        <v>1800</v>
      </c>
      <c r="L4236" s="6" t="n">
        <f aca="false">H4236*K4236</f>
        <v>3600</v>
      </c>
      <c r="M4236" s="14" t="s">
        <v>410</v>
      </c>
    </row>
    <row r="4237" customFormat="false" ht="15" hidden="false" customHeight="false" outlineLevel="0" collapsed="false">
      <c r="A4237" s="4" t="s">
        <v>183</v>
      </c>
      <c r="B4237" s="5" t="s">
        <v>184</v>
      </c>
      <c r="C4237" s="5" t="s">
        <v>185</v>
      </c>
      <c r="D4237" s="4" t="s">
        <v>16</v>
      </c>
      <c r="E4237" s="4" t="s">
        <v>4859</v>
      </c>
      <c r="F4237" s="4" t="s">
        <v>406</v>
      </c>
      <c r="G4237" s="4" t="s">
        <v>4860</v>
      </c>
      <c r="H4237" s="12" t="n">
        <v>1</v>
      </c>
      <c r="I4237" s="4" t="s">
        <v>474</v>
      </c>
      <c r="J4237" s="4" t="s">
        <v>409</v>
      </c>
      <c r="K4237" s="13" t="n">
        <v>1800</v>
      </c>
      <c r="L4237" s="6" t="n">
        <f aca="false">H4237*K4237</f>
        <v>1800</v>
      </c>
      <c r="M4237" s="14" t="s">
        <v>410</v>
      </c>
    </row>
    <row r="4238" customFormat="false" ht="15" hidden="false" customHeight="false" outlineLevel="0" collapsed="false">
      <c r="A4238" s="4" t="s">
        <v>183</v>
      </c>
      <c r="B4238" s="5" t="s">
        <v>184</v>
      </c>
      <c r="C4238" s="5" t="s">
        <v>185</v>
      </c>
      <c r="D4238" s="4" t="s">
        <v>16</v>
      </c>
      <c r="E4238" s="4" t="s">
        <v>4242</v>
      </c>
      <c r="F4238" s="4" t="s">
        <v>406</v>
      </c>
      <c r="G4238" s="4" t="s">
        <v>4243</v>
      </c>
      <c r="H4238" s="12" t="n">
        <v>1</v>
      </c>
      <c r="I4238" s="4" t="s">
        <v>474</v>
      </c>
      <c r="J4238" s="4" t="s">
        <v>409</v>
      </c>
      <c r="K4238" s="13" t="n">
        <v>1800</v>
      </c>
      <c r="L4238" s="6" t="n">
        <f aca="false">H4238*K4238</f>
        <v>1800</v>
      </c>
      <c r="M4238" s="4" t="s">
        <v>371</v>
      </c>
    </row>
    <row r="4239" customFormat="false" ht="15" hidden="false" customHeight="false" outlineLevel="0" collapsed="false">
      <c r="A4239" s="4" t="s">
        <v>183</v>
      </c>
      <c r="B4239" s="5" t="s">
        <v>184</v>
      </c>
      <c r="C4239" s="5" t="s">
        <v>185</v>
      </c>
      <c r="D4239" s="4" t="s">
        <v>16</v>
      </c>
      <c r="E4239" s="4" t="s">
        <v>4861</v>
      </c>
      <c r="F4239" s="4" t="s">
        <v>406</v>
      </c>
      <c r="G4239" s="4" t="s">
        <v>4862</v>
      </c>
      <c r="H4239" s="12" t="n">
        <v>1</v>
      </c>
      <c r="I4239" s="4" t="s">
        <v>474</v>
      </c>
      <c r="J4239" s="4" t="s">
        <v>409</v>
      </c>
      <c r="K4239" s="13" t="n">
        <v>4500</v>
      </c>
      <c r="L4239" s="6" t="n">
        <f aca="false">H4239*K4239</f>
        <v>4500</v>
      </c>
      <c r="M4239" s="14" t="s">
        <v>410</v>
      </c>
    </row>
    <row r="4240" customFormat="false" ht="15" hidden="false" customHeight="false" outlineLevel="0" collapsed="false">
      <c r="A4240" s="4" t="s">
        <v>183</v>
      </c>
      <c r="B4240" s="5" t="s">
        <v>184</v>
      </c>
      <c r="C4240" s="5" t="s">
        <v>185</v>
      </c>
      <c r="D4240" s="4" t="s">
        <v>16</v>
      </c>
      <c r="E4240" s="4" t="s">
        <v>4863</v>
      </c>
      <c r="F4240" s="4" t="s">
        <v>406</v>
      </c>
      <c r="G4240" s="4" t="s">
        <v>4864</v>
      </c>
      <c r="H4240" s="12" t="n">
        <v>2</v>
      </c>
      <c r="I4240" s="4" t="s">
        <v>474</v>
      </c>
      <c r="J4240" s="4" t="s">
        <v>416</v>
      </c>
      <c r="K4240" s="13" t="n">
        <v>4500</v>
      </c>
      <c r="L4240" s="6" t="n">
        <f aca="false">H4240*K4240</f>
        <v>9000</v>
      </c>
      <c r="M4240" s="4" t="s">
        <v>371</v>
      </c>
    </row>
    <row r="4241" customFormat="false" ht="15" hidden="false" customHeight="false" outlineLevel="0" collapsed="false">
      <c r="A4241" s="4" t="s">
        <v>183</v>
      </c>
      <c r="B4241" s="5" t="s">
        <v>184</v>
      </c>
      <c r="C4241" s="5" t="s">
        <v>185</v>
      </c>
      <c r="D4241" s="4" t="s">
        <v>16</v>
      </c>
      <c r="E4241" s="4" t="s">
        <v>4865</v>
      </c>
      <c r="F4241" s="4" t="s">
        <v>406</v>
      </c>
      <c r="G4241" s="4" t="s">
        <v>4866</v>
      </c>
      <c r="H4241" s="12" t="n">
        <v>2</v>
      </c>
      <c r="I4241" s="4" t="s">
        <v>474</v>
      </c>
      <c r="J4241" s="4" t="s">
        <v>409</v>
      </c>
      <c r="K4241" s="13" t="n">
        <v>4500</v>
      </c>
      <c r="L4241" s="6" t="n">
        <f aca="false">H4241*K4241</f>
        <v>9000</v>
      </c>
      <c r="M4241" s="14" t="s">
        <v>410</v>
      </c>
    </row>
    <row r="4242" customFormat="false" ht="15" hidden="false" customHeight="false" outlineLevel="0" collapsed="false">
      <c r="A4242" s="4" t="s">
        <v>183</v>
      </c>
      <c r="B4242" s="5" t="s">
        <v>184</v>
      </c>
      <c r="C4242" s="5" t="s">
        <v>185</v>
      </c>
      <c r="D4242" s="4" t="s">
        <v>16</v>
      </c>
      <c r="E4242" s="4" t="s">
        <v>1915</v>
      </c>
      <c r="F4242" s="4" t="s">
        <v>470</v>
      </c>
      <c r="G4242" s="4" t="s">
        <v>1916</v>
      </c>
      <c r="H4242" s="12" t="n">
        <v>8</v>
      </c>
      <c r="I4242" s="4" t="s">
        <v>474</v>
      </c>
      <c r="J4242" s="4" t="s">
        <v>409</v>
      </c>
      <c r="K4242" s="13" t="n">
        <v>850</v>
      </c>
      <c r="L4242" s="6" t="n">
        <f aca="false">H4242*K4242</f>
        <v>6800</v>
      </c>
      <c r="M4242" s="4" t="s">
        <v>371</v>
      </c>
    </row>
    <row r="4243" customFormat="false" ht="15" hidden="false" customHeight="false" outlineLevel="0" collapsed="false">
      <c r="A4243" s="4" t="s">
        <v>183</v>
      </c>
      <c r="B4243" s="5" t="s">
        <v>184</v>
      </c>
      <c r="C4243" s="5" t="s">
        <v>185</v>
      </c>
      <c r="D4243" s="4" t="s">
        <v>16</v>
      </c>
      <c r="E4243" s="4" t="s">
        <v>1919</v>
      </c>
      <c r="F4243" s="4" t="s">
        <v>470</v>
      </c>
      <c r="G4243" s="4" t="s">
        <v>1920</v>
      </c>
      <c r="H4243" s="12" t="n">
        <v>8</v>
      </c>
      <c r="I4243" s="4" t="s">
        <v>474</v>
      </c>
      <c r="J4243" s="4" t="s">
        <v>409</v>
      </c>
      <c r="K4243" s="13" t="n">
        <v>80</v>
      </c>
      <c r="L4243" s="6" t="n">
        <f aca="false">H4243*K4243</f>
        <v>640</v>
      </c>
      <c r="M4243" s="4" t="s">
        <v>371</v>
      </c>
    </row>
    <row r="4244" customFormat="false" ht="15" hidden="false" customHeight="false" outlineLevel="0" collapsed="false">
      <c r="A4244" s="4" t="s">
        <v>183</v>
      </c>
      <c r="B4244" s="5" t="s">
        <v>184</v>
      </c>
      <c r="C4244" s="5" t="s">
        <v>185</v>
      </c>
      <c r="D4244" s="4" t="s">
        <v>16</v>
      </c>
      <c r="E4244" s="4" t="s">
        <v>1921</v>
      </c>
      <c r="F4244" s="4" t="s">
        <v>470</v>
      </c>
      <c r="G4244" s="4" t="s">
        <v>1922</v>
      </c>
      <c r="H4244" s="12" t="n">
        <v>8</v>
      </c>
      <c r="I4244" s="4" t="s">
        <v>474</v>
      </c>
      <c r="J4244" s="4" t="s">
        <v>475</v>
      </c>
      <c r="K4244" s="13" t="n">
        <v>350</v>
      </c>
      <c r="L4244" s="6" t="n">
        <f aca="false">H4244*K4244</f>
        <v>2800</v>
      </c>
      <c r="M4244" s="4" t="s">
        <v>371</v>
      </c>
    </row>
    <row r="4245" customFormat="false" ht="15" hidden="false" customHeight="false" outlineLevel="0" collapsed="false">
      <c r="A4245" s="4" t="s">
        <v>183</v>
      </c>
      <c r="B4245" s="5" t="s">
        <v>184</v>
      </c>
      <c r="C4245" s="5" t="s">
        <v>185</v>
      </c>
      <c r="D4245" s="4" t="s">
        <v>16</v>
      </c>
      <c r="E4245" s="4" t="s">
        <v>1923</v>
      </c>
      <c r="F4245" s="4" t="s">
        <v>470</v>
      </c>
      <c r="G4245" s="4" t="s">
        <v>1924</v>
      </c>
      <c r="H4245" s="12" t="n">
        <v>8</v>
      </c>
      <c r="I4245" s="4" t="s">
        <v>474</v>
      </c>
      <c r="J4245" s="4" t="s">
        <v>475</v>
      </c>
      <c r="K4245" s="13" t="n">
        <v>180</v>
      </c>
      <c r="L4245" s="6" t="n">
        <f aca="false">H4245*K4245</f>
        <v>1440</v>
      </c>
      <c r="M4245" s="4" t="s">
        <v>371</v>
      </c>
    </row>
    <row r="4246" customFormat="false" ht="15" hidden="false" customHeight="false" outlineLevel="0" collapsed="false">
      <c r="A4246" s="4" t="s">
        <v>183</v>
      </c>
      <c r="B4246" s="5" t="s">
        <v>184</v>
      </c>
      <c r="C4246" s="5" t="s">
        <v>185</v>
      </c>
      <c r="D4246" s="4" t="s">
        <v>16</v>
      </c>
      <c r="E4246" s="4" t="s">
        <v>4267</v>
      </c>
      <c r="F4246" s="4" t="s">
        <v>470</v>
      </c>
      <c r="G4246" s="4" t="s">
        <v>4268</v>
      </c>
      <c r="H4246" s="12" t="n">
        <v>8</v>
      </c>
      <c r="I4246" s="4" t="s">
        <v>474</v>
      </c>
      <c r="J4246" s="4" t="s">
        <v>475</v>
      </c>
      <c r="K4246" s="13" t="n">
        <v>3500</v>
      </c>
      <c r="L4246" s="6" t="n">
        <f aca="false">H4246*K4246</f>
        <v>28000</v>
      </c>
      <c r="M4246" s="4" t="s">
        <v>371</v>
      </c>
    </row>
    <row r="4247" customFormat="false" ht="15" hidden="false" customHeight="false" outlineLevel="0" collapsed="false">
      <c r="A4247" s="4" t="s">
        <v>183</v>
      </c>
      <c r="B4247" s="5" t="s">
        <v>184</v>
      </c>
      <c r="C4247" s="5" t="s">
        <v>185</v>
      </c>
      <c r="D4247" s="4" t="s">
        <v>16</v>
      </c>
      <c r="E4247" s="4" t="s">
        <v>1925</v>
      </c>
      <c r="F4247" s="4" t="s">
        <v>470</v>
      </c>
      <c r="G4247" s="4" t="s">
        <v>1926</v>
      </c>
      <c r="H4247" s="12" t="n">
        <v>8</v>
      </c>
      <c r="I4247" s="4" t="s">
        <v>474</v>
      </c>
      <c r="J4247" s="4" t="s">
        <v>475</v>
      </c>
      <c r="K4247" s="13" t="n">
        <v>180</v>
      </c>
      <c r="L4247" s="6" t="n">
        <f aca="false">H4247*K4247</f>
        <v>1440</v>
      </c>
      <c r="M4247" s="4" t="s">
        <v>371</v>
      </c>
    </row>
    <row r="4248" customFormat="false" ht="15" hidden="false" customHeight="false" outlineLevel="0" collapsed="false">
      <c r="A4248" s="4" t="s">
        <v>183</v>
      </c>
      <c r="B4248" s="5" t="s">
        <v>184</v>
      </c>
      <c r="C4248" s="5" t="s">
        <v>185</v>
      </c>
      <c r="D4248" s="4" t="s">
        <v>16</v>
      </c>
      <c r="E4248" s="4" t="s">
        <v>4269</v>
      </c>
      <c r="F4248" s="4" t="s">
        <v>470</v>
      </c>
      <c r="G4248" s="4" t="s">
        <v>4270</v>
      </c>
      <c r="H4248" s="12" t="n">
        <v>8</v>
      </c>
      <c r="I4248" s="4" t="s">
        <v>474</v>
      </c>
      <c r="J4248" s="4" t="s">
        <v>409</v>
      </c>
      <c r="K4248" s="13" t="n">
        <v>850</v>
      </c>
      <c r="L4248" s="6" t="n">
        <f aca="false">H4248*K4248</f>
        <v>6800</v>
      </c>
      <c r="M4248" s="4" t="s">
        <v>371</v>
      </c>
    </row>
    <row r="4249" customFormat="false" ht="15" hidden="false" customHeight="false" outlineLevel="0" collapsed="false">
      <c r="A4249" s="4" t="s">
        <v>183</v>
      </c>
      <c r="B4249" s="5" t="s">
        <v>184</v>
      </c>
      <c r="C4249" s="5" t="s">
        <v>185</v>
      </c>
      <c r="D4249" s="4" t="s">
        <v>16</v>
      </c>
      <c r="E4249" s="4" t="s">
        <v>4271</v>
      </c>
      <c r="F4249" s="4" t="s">
        <v>470</v>
      </c>
      <c r="G4249" s="4" t="s">
        <v>4272</v>
      </c>
      <c r="H4249" s="12" t="n">
        <v>8</v>
      </c>
      <c r="I4249" s="4" t="s">
        <v>474</v>
      </c>
      <c r="J4249" s="4" t="s">
        <v>475</v>
      </c>
      <c r="K4249" s="13" t="n">
        <v>3500</v>
      </c>
      <c r="L4249" s="6" t="n">
        <f aca="false">H4249*K4249</f>
        <v>28000</v>
      </c>
      <c r="M4249" s="4" t="s">
        <v>371</v>
      </c>
    </row>
    <row r="4250" customFormat="false" ht="15" hidden="false" customHeight="false" outlineLevel="0" collapsed="false">
      <c r="A4250" s="4" t="s">
        <v>183</v>
      </c>
      <c r="B4250" s="5" t="s">
        <v>184</v>
      </c>
      <c r="C4250" s="5" t="s">
        <v>185</v>
      </c>
      <c r="D4250" s="4" t="s">
        <v>16</v>
      </c>
      <c r="E4250" s="4" t="s">
        <v>4867</v>
      </c>
      <c r="F4250" s="4" t="s">
        <v>470</v>
      </c>
      <c r="G4250" s="4" t="s">
        <v>4868</v>
      </c>
      <c r="H4250" s="12" t="n">
        <v>8</v>
      </c>
      <c r="I4250" s="4" t="s">
        <v>474</v>
      </c>
      <c r="J4250" s="4" t="s">
        <v>409</v>
      </c>
      <c r="K4250" s="13" t="n">
        <v>1800</v>
      </c>
      <c r="L4250" s="6" t="n">
        <f aca="false">H4250*K4250</f>
        <v>14400</v>
      </c>
      <c r="M4250" s="4" t="s">
        <v>371</v>
      </c>
    </row>
    <row r="4251" customFormat="false" ht="15" hidden="false" customHeight="false" outlineLevel="0" collapsed="false">
      <c r="A4251" s="4" t="s">
        <v>183</v>
      </c>
      <c r="B4251" s="5" t="s">
        <v>184</v>
      </c>
      <c r="C4251" s="5" t="s">
        <v>185</v>
      </c>
      <c r="D4251" s="4" t="s">
        <v>16</v>
      </c>
      <c r="E4251" s="4" t="s">
        <v>4869</v>
      </c>
      <c r="F4251" s="4" t="s">
        <v>470</v>
      </c>
      <c r="G4251" s="4" t="s">
        <v>4870</v>
      </c>
      <c r="H4251" s="12" t="n">
        <v>8</v>
      </c>
      <c r="I4251" s="4" t="s">
        <v>474</v>
      </c>
      <c r="J4251" s="4" t="s">
        <v>475</v>
      </c>
      <c r="K4251" s="13" t="n">
        <v>450</v>
      </c>
      <c r="L4251" s="6" t="n">
        <f aca="false">H4251*K4251</f>
        <v>3600</v>
      </c>
      <c r="M4251" s="4" t="s">
        <v>371</v>
      </c>
    </row>
    <row r="4252" customFormat="false" ht="15" hidden="false" customHeight="false" outlineLevel="0" collapsed="false">
      <c r="A4252" s="4" t="s">
        <v>183</v>
      </c>
      <c r="B4252" s="5" t="s">
        <v>184</v>
      </c>
      <c r="C4252" s="5" t="s">
        <v>185</v>
      </c>
      <c r="D4252" s="4" t="s">
        <v>16</v>
      </c>
      <c r="E4252" s="4" t="s">
        <v>4871</v>
      </c>
      <c r="F4252" s="4" t="s">
        <v>470</v>
      </c>
      <c r="G4252" s="4" t="s">
        <v>4872</v>
      </c>
      <c r="H4252" s="12" t="n">
        <v>8</v>
      </c>
      <c r="I4252" s="4" t="s">
        <v>474</v>
      </c>
      <c r="J4252" s="4" t="s">
        <v>409</v>
      </c>
      <c r="K4252" s="13" t="n">
        <v>3500</v>
      </c>
      <c r="L4252" s="6" t="n">
        <f aca="false">H4252*K4252</f>
        <v>28000</v>
      </c>
      <c r="M4252" s="4" t="s">
        <v>371</v>
      </c>
    </row>
    <row r="4253" customFormat="false" ht="15" hidden="false" customHeight="false" outlineLevel="0" collapsed="false">
      <c r="A4253" s="4" t="s">
        <v>183</v>
      </c>
      <c r="B4253" s="5" t="s">
        <v>184</v>
      </c>
      <c r="C4253" s="5" t="s">
        <v>185</v>
      </c>
      <c r="D4253" s="4" t="s">
        <v>16</v>
      </c>
      <c r="E4253" s="4" t="s">
        <v>4873</v>
      </c>
      <c r="F4253" s="4" t="s">
        <v>470</v>
      </c>
      <c r="G4253" s="4" t="s">
        <v>4874</v>
      </c>
      <c r="H4253" s="12" t="n">
        <v>8</v>
      </c>
      <c r="I4253" s="4" t="s">
        <v>474</v>
      </c>
      <c r="J4253" s="4" t="s">
        <v>409</v>
      </c>
      <c r="K4253" s="13" t="n">
        <v>4500</v>
      </c>
      <c r="L4253" s="6" t="n">
        <f aca="false">H4253*K4253</f>
        <v>36000</v>
      </c>
      <c r="M4253" s="4" t="s">
        <v>371</v>
      </c>
    </row>
    <row r="4254" customFormat="false" ht="15" hidden="false" customHeight="false" outlineLevel="0" collapsed="false">
      <c r="A4254" s="4" t="s">
        <v>183</v>
      </c>
      <c r="B4254" s="5" t="s">
        <v>184</v>
      </c>
      <c r="C4254" s="5" t="s">
        <v>185</v>
      </c>
      <c r="D4254" s="4" t="s">
        <v>16</v>
      </c>
      <c r="E4254" s="4" t="s">
        <v>4875</v>
      </c>
      <c r="F4254" s="4" t="s">
        <v>470</v>
      </c>
      <c r="G4254" s="4" t="s">
        <v>4876</v>
      </c>
      <c r="H4254" s="12" t="n">
        <v>8</v>
      </c>
      <c r="I4254" s="4" t="s">
        <v>474</v>
      </c>
      <c r="J4254" s="4" t="s">
        <v>409</v>
      </c>
      <c r="K4254" s="13" t="n">
        <v>850</v>
      </c>
      <c r="L4254" s="6" t="n">
        <f aca="false">H4254*K4254</f>
        <v>6800</v>
      </c>
      <c r="M4254" s="4" t="s">
        <v>371</v>
      </c>
    </row>
    <row r="4255" customFormat="false" ht="15" hidden="false" customHeight="false" outlineLevel="0" collapsed="false">
      <c r="A4255" s="4" t="s">
        <v>183</v>
      </c>
      <c r="B4255" s="5" t="s">
        <v>184</v>
      </c>
      <c r="C4255" s="5" t="s">
        <v>185</v>
      </c>
      <c r="D4255" s="4" t="s">
        <v>16</v>
      </c>
      <c r="E4255" s="4" t="s">
        <v>4877</v>
      </c>
      <c r="F4255" s="4" t="s">
        <v>470</v>
      </c>
      <c r="G4255" s="4" t="s">
        <v>4878</v>
      </c>
      <c r="H4255" s="12" t="n">
        <v>8</v>
      </c>
      <c r="I4255" s="4" t="s">
        <v>474</v>
      </c>
      <c r="J4255" s="4" t="s">
        <v>409</v>
      </c>
      <c r="K4255" s="13" t="n">
        <v>3500</v>
      </c>
      <c r="L4255" s="6" t="n">
        <f aca="false">H4255*K4255</f>
        <v>28000</v>
      </c>
      <c r="M4255" s="4" t="s">
        <v>371</v>
      </c>
    </row>
    <row r="4256" customFormat="false" ht="15" hidden="false" customHeight="false" outlineLevel="0" collapsed="false">
      <c r="A4256" s="4" t="s">
        <v>183</v>
      </c>
      <c r="B4256" s="5" t="s">
        <v>184</v>
      </c>
      <c r="C4256" s="5" t="s">
        <v>185</v>
      </c>
      <c r="D4256" s="4" t="s">
        <v>16</v>
      </c>
      <c r="E4256" s="4" t="s">
        <v>4879</v>
      </c>
      <c r="F4256" s="4" t="s">
        <v>470</v>
      </c>
      <c r="G4256" s="4" t="s">
        <v>4880</v>
      </c>
      <c r="H4256" s="12" t="n">
        <v>8</v>
      </c>
      <c r="I4256" s="4" t="s">
        <v>474</v>
      </c>
      <c r="J4256" s="4" t="s">
        <v>409</v>
      </c>
      <c r="K4256" s="13" t="n">
        <v>850</v>
      </c>
      <c r="L4256" s="6" t="n">
        <f aca="false">H4256*K4256</f>
        <v>6800</v>
      </c>
      <c r="M4256" s="4" t="s">
        <v>371</v>
      </c>
    </row>
    <row r="4257" customFormat="false" ht="15" hidden="false" customHeight="false" outlineLevel="0" collapsed="false">
      <c r="A4257" s="4" t="s">
        <v>183</v>
      </c>
      <c r="B4257" s="5" t="s">
        <v>184</v>
      </c>
      <c r="C4257" s="5" t="s">
        <v>185</v>
      </c>
      <c r="D4257" s="4" t="s">
        <v>16</v>
      </c>
      <c r="E4257" s="4" t="s">
        <v>1104</v>
      </c>
      <c r="F4257" s="4" t="s">
        <v>470</v>
      </c>
      <c r="G4257" s="4" t="s">
        <v>1105</v>
      </c>
      <c r="H4257" s="12" t="n">
        <v>2</v>
      </c>
      <c r="I4257" s="4" t="s">
        <v>474</v>
      </c>
      <c r="J4257" s="4" t="s">
        <v>409</v>
      </c>
      <c r="K4257" s="13" t="n">
        <v>3500</v>
      </c>
      <c r="L4257" s="6" t="n">
        <f aca="false">H4257*K4257</f>
        <v>7000</v>
      </c>
      <c r="M4257" s="4" t="s">
        <v>371</v>
      </c>
    </row>
    <row r="4258" customFormat="false" ht="15" hidden="false" customHeight="false" outlineLevel="0" collapsed="false">
      <c r="A4258" s="4" t="s">
        <v>183</v>
      </c>
      <c r="B4258" s="5" t="s">
        <v>184</v>
      </c>
      <c r="C4258" s="5" t="s">
        <v>185</v>
      </c>
      <c r="D4258" s="4" t="s">
        <v>16</v>
      </c>
      <c r="E4258" s="4" t="s">
        <v>4881</v>
      </c>
      <c r="F4258" s="4" t="s">
        <v>470</v>
      </c>
      <c r="G4258" s="4" t="s">
        <v>2657</v>
      </c>
      <c r="H4258" s="12" t="n">
        <v>2</v>
      </c>
      <c r="I4258" s="4" t="s">
        <v>474</v>
      </c>
      <c r="J4258" s="4" t="s">
        <v>416</v>
      </c>
      <c r="K4258" s="13" t="n">
        <v>1800</v>
      </c>
      <c r="L4258" s="6" t="n">
        <f aca="false">H4258*K4258</f>
        <v>3600</v>
      </c>
      <c r="M4258" s="4" t="s">
        <v>371</v>
      </c>
    </row>
    <row r="4259" customFormat="false" ht="15" hidden="false" customHeight="false" outlineLevel="0" collapsed="false">
      <c r="A4259" s="4" t="s">
        <v>183</v>
      </c>
      <c r="B4259" s="5" t="s">
        <v>184</v>
      </c>
      <c r="C4259" s="5" t="s">
        <v>185</v>
      </c>
      <c r="D4259" s="4" t="s">
        <v>16</v>
      </c>
      <c r="E4259" s="4" t="s">
        <v>1451</v>
      </c>
      <c r="F4259" s="4" t="s">
        <v>470</v>
      </c>
      <c r="G4259" s="4" t="s">
        <v>1452</v>
      </c>
      <c r="H4259" s="12" t="n">
        <v>2</v>
      </c>
      <c r="I4259" s="4" t="s">
        <v>474</v>
      </c>
      <c r="J4259" s="4" t="s">
        <v>413</v>
      </c>
      <c r="K4259" s="13" t="n">
        <v>450</v>
      </c>
      <c r="L4259" s="6" t="n">
        <f aca="false">H4259*K4259</f>
        <v>900</v>
      </c>
      <c r="M4259" s="4" t="s">
        <v>371</v>
      </c>
    </row>
    <row r="4260" customFormat="false" ht="15" hidden="false" customHeight="false" outlineLevel="0" collapsed="false">
      <c r="A4260" s="4" t="s">
        <v>183</v>
      </c>
      <c r="B4260" s="5" t="s">
        <v>184</v>
      </c>
      <c r="C4260" s="5" t="s">
        <v>185</v>
      </c>
      <c r="D4260" s="4" t="s">
        <v>16</v>
      </c>
      <c r="E4260" s="4" t="s">
        <v>4882</v>
      </c>
      <c r="F4260" s="4" t="s">
        <v>470</v>
      </c>
      <c r="G4260" s="4" t="s">
        <v>4883</v>
      </c>
      <c r="H4260" s="12" t="n">
        <v>10</v>
      </c>
      <c r="I4260" s="4" t="s">
        <v>474</v>
      </c>
      <c r="J4260" s="4" t="s">
        <v>416</v>
      </c>
      <c r="K4260" s="13" t="n">
        <v>850</v>
      </c>
      <c r="L4260" s="6" t="n">
        <f aca="false">H4260*K4260</f>
        <v>8500</v>
      </c>
      <c r="M4260" s="4" t="s">
        <v>371</v>
      </c>
    </row>
    <row r="4261" customFormat="false" ht="15" hidden="false" customHeight="false" outlineLevel="0" collapsed="false">
      <c r="A4261" s="4" t="s">
        <v>183</v>
      </c>
      <c r="B4261" s="5" t="s">
        <v>184</v>
      </c>
      <c r="C4261" s="5" t="s">
        <v>185</v>
      </c>
      <c r="D4261" s="4" t="s">
        <v>16</v>
      </c>
      <c r="E4261" s="4" t="s">
        <v>4884</v>
      </c>
      <c r="F4261" s="4" t="s">
        <v>470</v>
      </c>
      <c r="G4261" s="4" t="s">
        <v>4885</v>
      </c>
      <c r="H4261" s="12" t="n">
        <v>10</v>
      </c>
      <c r="I4261" s="4" t="s">
        <v>474</v>
      </c>
      <c r="J4261" s="4" t="s">
        <v>416</v>
      </c>
      <c r="K4261" s="13" t="n">
        <v>850</v>
      </c>
      <c r="L4261" s="6" t="n">
        <f aca="false">H4261*K4261</f>
        <v>8500</v>
      </c>
      <c r="M4261" s="4" t="s">
        <v>371</v>
      </c>
    </row>
    <row r="4262" customFormat="false" ht="15" hidden="false" customHeight="false" outlineLevel="0" collapsed="false">
      <c r="A4262" s="4" t="s">
        <v>183</v>
      </c>
      <c r="B4262" s="5" t="s">
        <v>184</v>
      </c>
      <c r="C4262" s="5" t="s">
        <v>185</v>
      </c>
      <c r="D4262" s="4" t="s">
        <v>16</v>
      </c>
      <c r="E4262" s="4" t="s">
        <v>4886</v>
      </c>
      <c r="F4262" s="4" t="s">
        <v>470</v>
      </c>
      <c r="G4262" s="4" t="s">
        <v>4887</v>
      </c>
      <c r="H4262" s="12" t="n">
        <v>5</v>
      </c>
      <c r="I4262" s="4" t="s">
        <v>474</v>
      </c>
      <c r="J4262" s="4" t="s">
        <v>416</v>
      </c>
      <c r="K4262" s="13" t="n">
        <v>850</v>
      </c>
      <c r="L4262" s="6" t="n">
        <f aca="false">H4262*K4262</f>
        <v>4250</v>
      </c>
      <c r="M4262" s="4" t="s">
        <v>371</v>
      </c>
    </row>
    <row r="4263" customFormat="false" ht="15" hidden="false" customHeight="false" outlineLevel="0" collapsed="false">
      <c r="A4263" s="4" t="s">
        <v>183</v>
      </c>
      <c r="B4263" s="5" t="s">
        <v>184</v>
      </c>
      <c r="C4263" s="5" t="s">
        <v>185</v>
      </c>
      <c r="D4263" s="4" t="s">
        <v>16</v>
      </c>
      <c r="E4263" s="4" t="s">
        <v>4888</v>
      </c>
      <c r="F4263" s="4" t="s">
        <v>470</v>
      </c>
      <c r="G4263" s="4" t="s">
        <v>4889</v>
      </c>
      <c r="H4263" s="12" t="n">
        <v>5</v>
      </c>
      <c r="I4263" s="4" t="s">
        <v>474</v>
      </c>
      <c r="J4263" s="4" t="s">
        <v>416</v>
      </c>
      <c r="K4263" s="13" t="n">
        <v>2500</v>
      </c>
      <c r="L4263" s="6" t="n">
        <f aca="false">H4263*K4263</f>
        <v>12500</v>
      </c>
      <c r="M4263" s="4" t="s">
        <v>371</v>
      </c>
    </row>
    <row r="4264" customFormat="false" ht="15" hidden="false" customHeight="false" outlineLevel="0" collapsed="false">
      <c r="A4264" s="4" t="s">
        <v>183</v>
      </c>
      <c r="B4264" s="5" t="s">
        <v>184</v>
      </c>
      <c r="C4264" s="5" t="s">
        <v>185</v>
      </c>
      <c r="D4264" s="4" t="s">
        <v>16</v>
      </c>
      <c r="E4264" s="4" t="s">
        <v>4890</v>
      </c>
      <c r="F4264" s="4" t="s">
        <v>470</v>
      </c>
      <c r="G4264" s="4" t="s">
        <v>4891</v>
      </c>
      <c r="H4264" s="12" t="n">
        <v>10</v>
      </c>
      <c r="I4264" s="4" t="s">
        <v>474</v>
      </c>
      <c r="J4264" s="4" t="s">
        <v>416</v>
      </c>
      <c r="K4264" s="13" t="n">
        <v>850</v>
      </c>
      <c r="L4264" s="6" t="n">
        <f aca="false">H4264*K4264</f>
        <v>8500</v>
      </c>
      <c r="M4264" s="4" t="s">
        <v>371</v>
      </c>
    </row>
    <row r="4265" customFormat="false" ht="15" hidden="false" customHeight="false" outlineLevel="0" collapsed="false">
      <c r="A4265" s="4" t="s">
        <v>183</v>
      </c>
      <c r="B4265" s="5" t="s">
        <v>184</v>
      </c>
      <c r="C4265" s="5" t="s">
        <v>185</v>
      </c>
      <c r="D4265" s="4" t="s">
        <v>16</v>
      </c>
      <c r="E4265" s="4" t="s">
        <v>4892</v>
      </c>
      <c r="F4265" s="4" t="s">
        <v>470</v>
      </c>
      <c r="G4265" s="4" t="s">
        <v>4893</v>
      </c>
      <c r="H4265" s="12" t="n">
        <v>2</v>
      </c>
      <c r="I4265" s="4" t="s">
        <v>474</v>
      </c>
      <c r="J4265" s="4" t="s">
        <v>409</v>
      </c>
      <c r="K4265" s="13" t="n">
        <v>850</v>
      </c>
      <c r="L4265" s="6" t="n">
        <f aca="false">H4265*K4265</f>
        <v>1700</v>
      </c>
      <c r="M4265" s="4" t="s">
        <v>371</v>
      </c>
    </row>
    <row r="4266" customFormat="false" ht="15" hidden="false" customHeight="false" outlineLevel="0" collapsed="false">
      <c r="A4266" s="4" t="s">
        <v>183</v>
      </c>
      <c r="B4266" s="5" t="s">
        <v>184</v>
      </c>
      <c r="C4266" s="5" t="s">
        <v>185</v>
      </c>
      <c r="D4266" s="4" t="s">
        <v>16</v>
      </c>
      <c r="E4266" s="4" t="s">
        <v>4894</v>
      </c>
      <c r="F4266" s="4" t="s">
        <v>470</v>
      </c>
      <c r="G4266" s="4" t="s">
        <v>4895</v>
      </c>
      <c r="H4266" s="12" t="n">
        <v>2</v>
      </c>
      <c r="I4266" s="4" t="s">
        <v>474</v>
      </c>
      <c r="J4266" s="4" t="s">
        <v>416</v>
      </c>
      <c r="K4266" s="13" t="n">
        <v>850</v>
      </c>
      <c r="L4266" s="6" t="n">
        <f aca="false">H4266*K4266</f>
        <v>1700</v>
      </c>
      <c r="M4266" s="4" t="s">
        <v>371</v>
      </c>
    </row>
    <row r="4267" customFormat="false" ht="15" hidden="false" customHeight="false" outlineLevel="0" collapsed="false">
      <c r="A4267" s="4" t="s">
        <v>183</v>
      </c>
      <c r="B4267" s="5" t="s">
        <v>184</v>
      </c>
      <c r="C4267" s="5" t="s">
        <v>185</v>
      </c>
      <c r="D4267" s="4" t="s">
        <v>16</v>
      </c>
      <c r="E4267" s="4" t="s">
        <v>4896</v>
      </c>
      <c r="F4267" s="4" t="s">
        <v>470</v>
      </c>
      <c r="G4267" s="4" t="s">
        <v>4897</v>
      </c>
      <c r="H4267" s="12" t="n">
        <v>4</v>
      </c>
      <c r="I4267" s="4" t="s">
        <v>474</v>
      </c>
      <c r="J4267" s="4" t="s">
        <v>416</v>
      </c>
      <c r="K4267" s="13" t="n">
        <v>850</v>
      </c>
      <c r="L4267" s="6" t="n">
        <f aca="false">H4267*K4267</f>
        <v>3400</v>
      </c>
      <c r="M4267" s="4" t="s">
        <v>371</v>
      </c>
    </row>
    <row r="4268" customFormat="false" ht="15" hidden="false" customHeight="false" outlineLevel="0" collapsed="false">
      <c r="A4268" s="4" t="s">
        <v>183</v>
      </c>
      <c r="B4268" s="5" t="s">
        <v>184</v>
      </c>
      <c r="C4268" s="5" t="s">
        <v>185</v>
      </c>
      <c r="D4268" s="4" t="s">
        <v>16</v>
      </c>
      <c r="E4268" s="4" t="s">
        <v>4898</v>
      </c>
      <c r="F4268" s="4" t="s">
        <v>488</v>
      </c>
      <c r="G4268" s="4" t="s">
        <v>4899</v>
      </c>
      <c r="H4268" s="12" t="n">
        <v>1</v>
      </c>
      <c r="I4268" s="4" t="s">
        <v>474</v>
      </c>
      <c r="J4268" s="4" t="s">
        <v>416</v>
      </c>
      <c r="K4268" s="13" t="n">
        <v>1200</v>
      </c>
      <c r="L4268" s="6" t="n">
        <f aca="false">H4268*K4268</f>
        <v>1200</v>
      </c>
      <c r="M4268" s="4" t="s">
        <v>371</v>
      </c>
    </row>
    <row r="4269" customFormat="false" ht="15" hidden="false" customHeight="false" outlineLevel="0" collapsed="false">
      <c r="A4269" s="4" t="s">
        <v>183</v>
      </c>
      <c r="B4269" s="5" t="s">
        <v>190</v>
      </c>
      <c r="C4269" s="5" t="s">
        <v>191</v>
      </c>
      <c r="D4269" s="4" t="s">
        <v>16</v>
      </c>
      <c r="E4269" s="4" t="s">
        <v>777</v>
      </c>
      <c r="F4269" s="4" t="s">
        <v>406</v>
      </c>
      <c r="G4269" s="4" t="s">
        <v>778</v>
      </c>
      <c r="H4269" s="12" t="n">
        <v>2</v>
      </c>
      <c r="I4269" s="4" t="s">
        <v>474</v>
      </c>
      <c r="J4269" s="4" t="s">
        <v>409</v>
      </c>
      <c r="K4269" s="13" t="n">
        <v>120</v>
      </c>
      <c r="L4269" s="6" t="n">
        <f aca="false">H4269*K4269</f>
        <v>240</v>
      </c>
      <c r="M4269" s="14" t="s">
        <v>410</v>
      </c>
    </row>
    <row r="4270" customFormat="false" ht="15" hidden="false" customHeight="false" outlineLevel="0" collapsed="false">
      <c r="A4270" s="4" t="s">
        <v>183</v>
      </c>
      <c r="B4270" s="5" t="s">
        <v>190</v>
      </c>
      <c r="C4270" s="5" t="s">
        <v>191</v>
      </c>
      <c r="D4270" s="4" t="s">
        <v>16</v>
      </c>
      <c r="E4270" s="4" t="s">
        <v>2540</v>
      </c>
      <c r="F4270" s="4" t="s">
        <v>406</v>
      </c>
      <c r="G4270" s="4" t="s">
        <v>1547</v>
      </c>
      <c r="H4270" s="12" t="n">
        <v>2</v>
      </c>
      <c r="I4270" s="4" t="s">
        <v>474</v>
      </c>
      <c r="J4270" s="4" t="s">
        <v>409</v>
      </c>
      <c r="K4270" s="13" t="n">
        <v>650</v>
      </c>
      <c r="L4270" s="6" t="n">
        <f aca="false">H4270*K4270</f>
        <v>1300</v>
      </c>
      <c r="M4270" s="14" t="s">
        <v>410</v>
      </c>
    </row>
    <row r="4271" customFormat="false" ht="15" hidden="false" customHeight="false" outlineLevel="0" collapsed="false">
      <c r="A4271" s="4" t="s">
        <v>183</v>
      </c>
      <c r="B4271" s="5" t="s">
        <v>190</v>
      </c>
      <c r="C4271" s="5" t="s">
        <v>191</v>
      </c>
      <c r="D4271" s="4" t="s">
        <v>16</v>
      </c>
      <c r="E4271" s="4" t="s">
        <v>4900</v>
      </c>
      <c r="F4271" s="4" t="s">
        <v>406</v>
      </c>
      <c r="G4271" s="4" t="s">
        <v>4522</v>
      </c>
      <c r="H4271" s="12" t="n">
        <v>2</v>
      </c>
      <c r="I4271" s="4" t="s">
        <v>474</v>
      </c>
      <c r="J4271" s="4" t="s">
        <v>409</v>
      </c>
      <c r="K4271" s="13" t="n">
        <v>450</v>
      </c>
      <c r="L4271" s="6" t="n">
        <f aca="false">H4271*K4271</f>
        <v>900</v>
      </c>
      <c r="M4271" s="14" t="s">
        <v>410</v>
      </c>
    </row>
    <row r="4272" customFormat="false" ht="15" hidden="false" customHeight="false" outlineLevel="0" collapsed="false">
      <c r="A4272" s="4" t="s">
        <v>183</v>
      </c>
      <c r="B4272" s="5" t="s">
        <v>190</v>
      </c>
      <c r="C4272" s="5" t="s">
        <v>191</v>
      </c>
      <c r="D4272" s="4" t="s">
        <v>16</v>
      </c>
      <c r="E4272" s="4" t="s">
        <v>4901</v>
      </c>
      <c r="F4272" s="4" t="s">
        <v>406</v>
      </c>
      <c r="G4272" s="4" t="s">
        <v>4902</v>
      </c>
      <c r="H4272" s="12" t="n">
        <v>2</v>
      </c>
      <c r="I4272" s="4" t="s">
        <v>474</v>
      </c>
      <c r="J4272" s="4" t="s">
        <v>416</v>
      </c>
      <c r="K4272" s="13" t="n">
        <v>850</v>
      </c>
      <c r="L4272" s="6" t="n">
        <f aca="false">H4272*K4272</f>
        <v>1700</v>
      </c>
      <c r="M4272" s="4" t="s">
        <v>371</v>
      </c>
    </row>
    <row r="4273" customFormat="false" ht="15" hidden="false" customHeight="false" outlineLevel="0" collapsed="false">
      <c r="A4273" s="4" t="s">
        <v>183</v>
      </c>
      <c r="B4273" s="5" t="s">
        <v>190</v>
      </c>
      <c r="C4273" s="5" t="s">
        <v>191</v>
      </c>
      <c r="D4273" s="4" t="s">
        <v>16</v>
      </c>
      <c r="E4273" s="4" t="s">
        <v>4903</v>
      </c>
      <c r="F4273" s="4" t="s">
        <v>406</v>
      </c>
      <c r="G4273" s="4" t="s">
        <v>4904</v>
      </c>
      <c r="H4273" s="12" t="n">
        <v>1</v>
      </c>
      <c r="I4273" s="4" t="s">
        <v>474</v>
      </c>
      <c r="J4273" s="4" t="s">
        <v>416</v>
      </c>
      <c r="K4273" s="13" t="n">
        <v>1800</v>
      </c>
      <c r="L4273" s="6" t="n">
        <f aca="false">H4273*K4273</f>
        <v>1800</v>
      </c>
      <c r="M4273" s="4" t="s">
        <v>371</v>
      </c>
    </row>
    <row r="4274" customFormat="false" ht="15" hidden="false" customHeight="false" outlineLevel="0" collapsed="false">
      <c r="A4274" s="4" t="s">
        <v>183</v>
      </c>
      <c r="B4274" s="5" t="s">
        <v>190</v>
      </c>
      <c r="C4274" s="5" t="s">
        <v>191</v>
      </c>
      <c r="D4274" s="4" t="s">
        <v>16</v>
      </c>
      <c r="E4274" s="4" t="s">
        <v>4905</v>
      </c>
      <c r="F4274" s="4" t="s">
        <v>406</v>
      </c>
      <c r="G4274" s="4" t="s">
        <v>4906</v>
      </c>
      <c r="H4274" s="12" t="n">
        <v>2</v>
      </c>
      <c r="I4274" s="4" t="s">
        <v>474</v>
      </c>
      <c r="J4274" s="4" t="s">
        <v>416</v>
      </c>
      <c r="K4274" s="13" t="n">
        <v>850</v>
      </c>
      <c r="L4274" s="6" t="n">
        <f aca="false">H4274*K4274</f>
        <v>1700</v>
      </c>
      <c r="M4274" s="4" t="s">
        <v>371</v>
      </c>
    </row>
    <row r="4275" customFormat="false" ht="15" hidden="false" customHeight="false" outlineLevel="0" collapsed="false">
      <c r="A4275" s="4" t="s">
        <v>183</v>
      </c>
      <c r="B4275" s="5" t="s">
        <v>190</v>
      </c>
      <c r="C4275" s="5" t="s">
        <v>191</v>
      </c>
      <c r="D4275" s="4" t="s">
        <v>16</v>
      </c>
      <c r="E4275" s="4" t="s">
        <v>4907</v>
      </c>
      <c r="F4275" s="4" t="s">
        <v>406</v>
      </c>
      <c r="G4275" s="4" t="s">
        <v>4908</v>
      </c>
      <c r="H4275" s="12" t="n">
        <v>1</v>
      </c>
      <c r="I4275" s="4" t="s">
        <v>474</v>
      </c>
      <c r="J4275" s="4" t="s">
        <v>416</v>
      </c>
      <c r="K4275" s="13" t="n">
        <v>18000</v>
      </c>
      <c r="L4275" s="6" t="n">
        <f aca="false">H4275*K4275</f>
        <v>18000</v>
      </c>
      <c r="M4275" s="14" t="s">
        <v>410</v>
      </c>
    </row>
    <row r="4276" customFormat="false" ht="15" hidden="false" customHeight="false" outlineLevel="0" collapsed="false">
      <c r="A4276" s="4" t="s">
        <v>183</v>
      </c>
      <c r="B4276" s="5" t="s">
        <v>190</v>
      </c>
      <c r="C4276" s="5" t="s">
        <v>191</v>
      </c>
      <c r="D4276" s="4" t="s">
        <v>16</v>
      </c>
      <c r="E4276" s="4" t="s">
        <v>4909</v>
      </c>
      <c r="F4276" s="4" t="s">
        <v>406</v>
      </c>
      <c r="G4276" s="4" t="s">
        <v>4910</v>
      </c>
      <c r="H4276" s="12" t="n">
        <v>1</v>
      </c>
      <c r="I4276" s="4" t="s">
        <v>474</v>
      </c>
      <c r="J4276" s="4" t="s">
        <v>416</v>
      </c>
      <c r="K4276" s="13" t="n">
        <v>12000</v>
      </c>
      <c r="L4276" s="6" t="n">
        <f aca="false">H4276*K4276</f>
        <v>12000</v>
      </c>
      <c r="M4276" s="14" t="s">
        <v>410</v>
      </c>
    </row>
    <row r="4277" customFormat="false" ht="15" hidden="false" customHeight="false" outlineLevel="0" collapsed="false">
      <c r="A4277" s="4" t="s">
        <v>183</v>
      </c>
      <c r="B4277" s="5" t="s">
        <v>190</v>
      </c>
      <c r="C4277" s="5" t="s">
        <v>191</v>
      </c>
      <c r="D4277" s="4" t="s">
        <v>16</v>
      </c>
      <c r="E4277" s="4" t="s">
        <v>4911</v>
      </c>
      <c r="F4277" s="4" t="s">
        <v>406</v>
      </c>
      <c r="G4277" s="4" t="s">
        <v>4912</v>
      </c>
      <c r="H4277" s="12" t="n">
        <v>10</v>
      </c>
      <c r="I4277" s="4" t="s">
        <v>474</v>
      </c>
      <c r="J4277" s="4" t="s">
        <v>416</v>
      </c>
      <c r="K4277" s="13" t="n">
        <v>8500</v>
      </c>
      <c r="L4277" s="6" t="n">
        <f aca="false">H4277*K4277</f>
        <v>85000</v>
      </c>
      <c r="M4277" s="4" t="s">
        <v>371</v>
      </c>
    </row>
    <row r="4278" customFormat="false" ht="15" hidden="false" customHeight="false" outlineLevel="0" collapsed="false">
      <c r="A4278" s="4" t="s">
        <v>183</v>
      </c>
      <c r="B4278" s="5" t="s">
        <v>190</v>
      </c>
      <c r="C4278" s="5" t="s">
        <v>191</v>
      </c>
      <c r="D4278" s="4" t="s">
        <v>16</v>
      </c>
      <c r="E4278" s="4" t="s">
        <v>4913</v>
      </c>
      <c r="F4278" s="4" t="s">
        <v>406</v>
      </c>
      <c r="G4278" s="4" t="s">
        <v>4914</v>
      </c>
      <c r="H4278" s="12" t="n">
        <v>1</v>
      </c>
      <c r="I4278" s="4" t="s">
        <v>474</v>
      </c>
      <c r="J4278" s="4" t="s">
        <v>409</v>
      </c>
      <c r="K4278" s="13" t="n">
        <v>18000</v>
      </c>
      <c r="L4278" s="6" t="n">
        <f aca="false">H4278*K4278</f>
        <v>18000</v>
      </c>
      <c r="M4278" s="14" t="s">
        <v>410</v>
      </c>
    </row>
    <row r="4279" customFormat="false" ht="15" hidden="false" customHeight="false" outlineLevel="0" collapsed="false">
      <c r="A4279" s="4" t="s">
        <v>183</v>
      </c>
      <c r="B4279" s="5" t="s">
        <v>190</v>
      </c>
      <c r="C4279" s="5" t="s">
        <v>191</v>
      </c>
      <c r="D4279" s="4" t="s">
        <v>16</v>
      </c>
      <c r="E4279" s="4" t="s">
        <v>4915</v>
      </c>
      <c r="F4279" s="4" t="s">
        <v>406</v>
      </c>
      <c r="G4279" s="4" t="s">
        <v>4916</v>
      </c>
      <c r="H4279" s="12" t="n">
        <v>1</v>
      </c>
      <c r="I4279" s="4" t="s">
        <v>474</v>
      </c>
      <c r="J4279" s="4" t="s">
        <v>409</v>
      </c>
      <c r="K4279" s="13" t="n">
        <v>65000</v>
      </c>
      <c r="L4279" s="6" t="n">
        <f aca="false">H4279*K4279</f>
        <v>65000</v>
      </c>
      <c r="M4279" s="4" t="s">
        <v>371</v>
      </c>
    </row>
    <row r="4280" customFormat="false" ht="15" hidden="false" customHeight="false" outlineLevel="0" collapsed="false">
      <c r="A4280" s="4" t="s">
        <v>183</v>
      </c>
      <c r="B4280" s="5" t="s">
        <v>190</v>
      </c>
      <c r="C4280" s="5" t="s">
        <v>191</v>
      </c>
      <c r="D4280" s="4" t="s">
        <v>16</v>
      </c>
      <c r="E4280" s="4" t="s">
        <v>4917</v>
      </c>
      <c r="F4280" s="4" t="s">
        <v>406</v>
      </c>
      <c r="G4280" s="4" t="s">
        <v>4918</v>
      </c>
      <c r="H4280" s="12" t="n">
        <v>1</v>
      </c>
      <c r="I4280" s="4" t="s">
        <v>474</v>
      </c>
      <c r="J4280" s="4" t="s">
        <v>409</v>
      </c>
      <c r="K4280" s="13" t="n">
        <v>180000</v>
      </c>
      <c r="L4280" s="6" t="n">
        <f aca="false">H4280*K4280</f>
        <v>180000</v>
      </c>
      <c r="M4280" s="4" t="s">
        <v>371</v>
      </c>
    </row>
    <row r="4281" customFormat="false" ht="15" hidden="false" customHeight="false" outlineLevel="0" collapsed="false">
      <c r="A4281" s="4" t="s">
        <v>183</v>
      </c>
      <c r="B4281" s="5" t="s">
        <v>190</v>
      </c>
      <c r="C4281" s="5" t="s">
        <v>191</v>
      </c>
      <c r="D4281" s="4" t="s">
        <v>16</v>
      </c>
      <c r="E4281" s="4" t="s">
        <v>4919</v>
      </c>
      <c r="F4281" s="4" t="s">
        <v>406</v>
      </c>
      <c r="G4281" s="4" t="s">
        <v>4920</v>
      </c>
      <c r="H4281" s="12" t="n">
        <v>1</v>
      </c>
      <c r="I4281" s="4" t="s">
        <v>474</v>
      </c>
      <c r="J4281" s="4" t="s">
        <v>409</v>
      </c>
      <c r="K4281" s="13" t="n">
        <v>85000</v>
      </c>
      <c r="L4281" s="6" t="n">
        <f aca="false">H4281*K4281</f>
        <v>85000</v>
      </c>
      <c r="M4281" s="4" t="s">
        <v>371</v>
      </c>
    </row>
    <row r="4282" customFormat="false" ht="15" hidden="false" customHeight="false" outlineLevel="0" collapsed="false">
      <c r="A4282" s="4" t="s">
        <v>183</v>
      </c>
      <c r="B4282" s="5" t="s">
        <v>190</v>
      </c>
      <c r="C4282" s="5" t="s">
        <v>191</v>
      </c>
      <c r="D4282" s="4" t="s">
        <v>16</v>
      </c>
      <c r="E4282" s="4" t="s">
        <v>4921</v>
      </c>
      <c r="F4282" s="4" t="s">
        <v>406</v>
      </c>
      <c r="G4282" s="4" t="s">
        <v>4922</v>
      </c>
      <c r="H4282" s="12" t="n">
        <v>1</v>
      </c>
      <c r="I4282" s="4" t="s">
        <v>474</v>
      </c>
      <c r="J4282" s="4" t="s">
        <v>409</v>
      </c>
      <c r="K4282" s="13" t="n">
        <v>85000</v>
      </c>
      <c r="L4282" s="6" t="n">
        <f aca="false">H4282*K4282</f>
        <v>85000</v>
      </c>
      <c r="M4282" s="4" t="s">
        <v>371</v>
      </c>
    </row>
    <row r="4283" customFormat="false" ht="15" hidden="false" customHeight="false" outlineLevel="0" collapsed="false">
      <c r="A4283" s="4" t="s">
        <v>183</v>
      </c>
      <c r="B4283" s="5" t="s">
        <v>190</v>
      </c>
      <c r="C4283" s="5" t="s">
        <v>191</v>
      </c>
      <c r="D4283" s="4" t="s">
        <v>16</v>
      </c>
      <c r="E4283" s="4" t="s">
        <v>4923</v>
      </c>
      <c r="F4283" s="4" t="s">
        <v>406</v>
      </c>
      <c r="G4283" s="4" t="s">
        <v>4924</v>
      </c>
      <c r="H4283" s="12" t="n">
        <v>1</v>
      </c>
      <c r="I4283" s="4" t="s">
        <v>474</v>
      </c>
      <c r="J4283" s="4" t="s">
        <v>416</v>
      </c>
      <c r="K4283" s="13" t="n">
        <v>4500</v>
      </c>
      <c r="L4283" s="6" t="n">
        <f aca="false">H4283*K4283</f>
        <v>4500</v>
      </c>
      <c r="M4283" s="14" t="s">
        <v>410</v>
      </c>
    </row>
    <row r="4284" customFormat="false" ht="15" hidden="false" customHeight="false" outlineLevel="0" collapsed="false">
      <c r="A4284" s="4" t="s">
        <v>183</v>
      </c>
      <c r="B4284" s="5" t="s">
        <v>190</v>
      </c>
      <c r="C4284" s="5" t="s">
        <v>191</v>
      </c>
      <c r="D4284" s="4" t="s">
        <v>16</v>
      </c>
      <c r="E4284" s="4" t="s">
        <v>4925</v>
      </c>
      <c r="F4284" s="4" t="s">
        <v>406</v>
      </c>
      <c r="G4284" s="4" t="s">
        <v>4926</v>
      </c>
      <c r="H4284" s="12" t="n">
        <v>1</v>
      </c>
      <c r="I4284" s="4" t="s">
        <v>474</v>
      </c>
      <c r="J4284" s="4" t="s">
        <v>416</v>
      </c>
      <c r="K4284" s="13" t="n">
        <v>2500</v>
      </c>
      <c r="L4284" s="6" t="n">
        <f aca="false">H4284*K4284</f>
        <v>2500</v>
      </c>
      <c r="M4284" s="4" t="s">
        <v>371</v>
      </c>
    </row>
    <row r="4285" customFormat="false" ht="15" hidden="false" customHeight="false" outlineLevel="0" collapsed="false">
      <c r="A4285" s="4" t="s">
        <v>183</v>
      </c>
      <c r="B4285" s="5" t="s">
        <v>190</v>
      </c>
      <c r="C4285" s="5" t="s">
        <v>191</v>
      </c>
      <c r="D4285" s="4" t="s">
        <v>16</v>
      </c>
      <c r="E4285" s="4" t="s">
        <v>4927</v>
      </c>
      <c r="F4285" s="4" t="s">
        <v>470</v>
      </c>
      <c r="G4285" s="4" t="s">
        <v>4928</v>
      </c>
      <c r="H4285" s="12" t="n">
        <v>1</v>
      </c>
      <c r="I4285" s="4" t="s">
        <v>408</v>
      </c>
      <c r="J4285" s="4" t="s">
        <v>416</v>
      </c>
      <c r="K4285" s="13" t="n">
        <v>2500</v>
      </c>
      <c r="L4285" s="6" t="n">
        <f aca="false">H4285*K4285</f>
        <v>2500</v>
      </c>
      <c r="M4285" s="4" t="s">
        <v>371</v>
      </c>
    </row>
    <row r="4286" customFormat="false" ht="15" hidden="false" customHeight="false" outlineLevel="0" collapsed="false">
      <c r="A4286" s="4" t="s">
        <v>183</v>
      </c>
      <c r="B4286" s="5" t="s">
        <v>190</v>
      </c>
      <c r="C4286" s="5" t="s">
        <v>191</v>
      </c>
      <c r="D4286" s="4" t="s">
        <v>16</v>
      </c>
      <c r="E4286" s="4" t="s">
        <v>4929</v>
      </c>
      <c r="F4286" s="4" t="s">
        <v>488</v>
      </c>
      <c r="G4286" s="4" t="s">
        <v>4930</v>
      </c>
      <c r="H4286" s="12" t="n">
        <v>1</v>
      </c>
      <c r="I4286" s="4" t="s">
        <v>408</v>
      </c>
      <c r="J4286" s="4" t="s">
        <v>416</v>
      </c>
      <c r="K4286" s="13" t="n">
        <v>350</v>
      </c>
      <c r="L4286" s="6" t="n">
        <f aca="false">H4286*K4286</f>
        <v>350</v>
      </c>
      <c r="M4286" s="4" t="s">
        <v>371</v>
      </c>
    </row>
    <row r="4287" customFormat="false" ht="15" hidden="false" customHeight="false" outlineLevel="0" collapsed="false">
      <c r="A4287" s="4" t="s">
        <v>183</v>
      </c>
      <c r="B4287" s="5" t="s">
        <v>190</v>
      </c>
      <c r="C4287" s="5" t="s">
        <v>191</v>
      </c>
      <c r="D4287" s="4" t="s">
        <v>16</v>
      </c>
      <c r="E4287" s="4" t="s">
        <v>4931</v>
      </c>
      <c r="F4287" s="4" t="s">
        <v>488</v>
      </c>
      <c r="G4287" s="4" t="s">
        <v>4932</v>
      </c>
      <c r="H4287" s="12" t="n">
        <v>10</v>
      </c>
      <c r="I4287" s="4" t="s">
        <v>474</v>
      </c>
      <c r="J4287" s="4" t="s">
        <v>429</v>
      </c>
      <c r="K4287" s="13" t="n">
        <v>120</v>
      </c>
      <c r="L4287" s="6" t="n">
        <f aca="false">H4287*K4287</f>
        <v>1200</v>
      </c>
      <c r="M4287" s="4" t="s">
        <v>371</v>
      </c>
    </row>
    <row r="4288" customFormat="false" ht="15" hidden="false" customHeight="false" outlineLevel="0" collapsed="false">
      <c r="A4288" s="4" t="s">
        <v>183</v>
      </c>
      <c r="B4288" s="5" t="s">
        <v>190</v>
      </c>
      <c r="C4288" s="5" t="s">
        <v>191</v>
      </c>
      <c r="D4288" s="4" t="s">
        <v>16</v>
      </c>
      <c r="E4288" s="4" t="s">
        <v>4933</v>
      </c>
      <c r="F4288" s="4" t="s">
        <v>488</v>
      </c>
      <c r="G4288" s="4" t="s">
        <v>4934</v>
      </c>
      <c r="H4288" s="12" t="n">
        <v>1</v>
      </c>
      <c r="I4288" s="4" t="s">
        <v>474</v>
      </c>
      <c r="J4288" s="4" t="s">
        <v>416</v>
      </c>
      <c r="K4288" s="13" t="n">
        <v>180</v>
      </c>
      <c r="L4288" s="6" t="n">
        <f aca="false">H4288*K4288</f>
        <v>180</v>
      </c>
      <c r="M4288" s="4" t="s">
        <v>371</v>
      </c>
    </row>
    <row r="4289" customFormat="false" ht="15" hidden="false" customHeight="false" outlineLevel="0" collapsed="false">
      <c r="A4289" s="4" t="s">
        <v>183</v>
      </c>
      <c r="B4289" s="5" t="s">
        <v>192</v>
      </c>
      <c r="C4289" s="5" t="s">
        <v>193</v>
      </c>
      <c r="D4289" s="4" t="s">
        <v>16</v>
      </c>
      <c r="E4289" s="4" t="s">
        <v>777</v>
      </c>
      <c r="F4289" s="4" t="s">
        <v>406</v>
      </c>
      <c r="G4289" s="4" t="s">
        <v>778</v>
      </c>
      <c r="H4289" s="12" t="n">
        <v>2</v>
      </c>
      <c r="I4289" s="4" t="s">
        <v>474</v>
      </c>
      <c r="J4289" s="4" t="s">
        <v>409</v>
      </c>
      <c r="K4289" s="13" t="n">
        <v>120</v>
      </c>
      <c r="L4289" s="6" t="n">
        <f aca="false">H4289*K4289</f>
        <v>240</v>
      </c>
      <c r="M4289" s="14" t="s">
        <v>410</v>
      </c>
    </row>
    <row r="4290" customFormat="false" ht="15" hidden="false" customHeight="false" outlineLevel="0" collapsed="false">
      <c r="A4290" s="4" t="s">
        <v>183</v>
      </c>
      <c r="B4290" s="5" t="s">
        <v>192</v>
      </c>
      <c r="C4290" s="5" t="s">
        <v>193</v>
      </c>
      <c r="D4290" s="4" t="s">
        <v>16</v>
      </c>
      <c r="E4290" s="4" t="s">
        <v>2540</v>
      </c>
      <c r="F4290" s="4" t="s">
        <v>406</v>
      </c>
      <c r="G4290" s="4" t="s">
        <v>1547</v>
      </c>
      <c r="H4290" s="12" t="n">
        <v>2</v>
      </c>
      <c r="I4290" s="4" t="s">
        <v>474</v>
      </c>
      <c r="J4290" s="4" t="s">
        <v>409</v>
      </c>
      <c r="K4290" s="13" t="n">
        <v>650</v>
      </c>
      <c r="L4290" s="6" t="n">
        <f aca="false">H4290*K4290</f>
        <v>1300</v>
      </c>
      <c r="M4290" s="14" t="s">
        <v>410</v>
      </c>
    </row>
    <row r="4291" customFormat="false" ht="15" hidden="false" customHeight="false" outlineLevel="0" collapsed="false">
      <c r="A4291" s="4" t="s">
        <v>183</v>
      </c>
      <c r="B4291" s="5" t="s">
        <v>192</v>
      </c>
      <c r="C4291" s="5" t="s">
        <v>193</v>
      </c>
      <c r="D4291" s="4" t="s">
        <v>16</v>
      </c>
      <c r="E4291" s="4" t="s">
        <v>4900</v>
      </c>
      <c r="F4291" s="4" t="s">
        <v>406</v>
      </c>
      <c r="G4291" s="4" t="s">
        <v>4522</v>
      </c>
      <c r="H4291" s="12" t="n">
        <v>2</v>
      </c>
      <c r="I4291" s="4" t="s">
        <v>474</v>
      </c>
      <c r="J4291" s="4" t="s">
        <v>409</v>
      </c>
      <c r="K4291" s="13" t="n">
        <v>450</v>
      </c>
      <c r="L4291" s="6" t="n">
        <f aca="false">H4291*K4291</f>
        <v>900</v>
      </c>
      <c r="M4291" s="14" t="s">
        <v>410</v>
      </c>
    </row>
    <row r="4292" customFormat="false" ht="15" hidden="false" customHeight="false" outlineLevel="0" collapsed="false">
      <c r="A4292" s="4" t="s">
        <v>183</v>
      </c>
      <c r="B4292" s="5" t="s">
        <v>192</v>
      </c>
      <c r="C4292" s="5" t="s">
        <v>193</v>
      </c>
      <c r="D4292" s="4" t="s">
        <v>16</v>
      </c>
      <c r="E4292" s="4" t="s">
        <v>1194</v>
      </c>
      <c r="F4292" s="4" t="s">
        <v>406</v>
      </c>
      <c r="G4292" s="4" t="s">
        <v>1195</v>
      </c>
      <c r="H4292" s="12" t="n">
        <v>2</v>
      </c>
      <c r="I4292" s="4" t="s">
        <v>474</v>
      </c>
      <c r="J4292" s="4" t="s">
        <v>409</v>
      </c>
      <c r="K4292" s="13" t="n">
        <v>450</v>
      </c>
      <c r="L4292" s="6" t="n">
        <f aca="false">H4292*K4292</f>
        <v>900</v>
      </c>
      <c r="M4292" s="14" t="s">
        <v>410</v>
      </c>
    </row>
    <row r="4293" customFormat="false" ht="15" hidden="false" customHeight="false" outlineLevel="0" collapsed="false">
      <c r="A4293" s="4" t="s">
        <v>183</v>
      </c>
      <c r="B4293" s="5" t="s">
        <v>192</v>
      </c>
      <c r="C4293" s="5" t="s">
        <v>193</v>
      </c>
      <c r="D4293" s="4" t="s">
        <v>16</v>
      </c>
      <c r="E4293" s="4" t="s">
        <v>4935</v>
      </c>
      <c r="F4293" s="4" t="s">
        <v>406</v>
      </c>
      <c r="G4293" s="4" t="s">
        <v>4936</v>
      </c>
      <c r="H4293" s="12" t="n">
        <v>2</v>
      </c>
      <c r="I4293" s="4" t="s">
        <v>474</v>
      </c>
      <c r="J4293" s="4" t="s">
        <v>409</v>
      </c>
      <c r="K4293" s="13" t="n">
        <v>350</v>
      </c>
      <c r="L4293" s="6" t="n">
        <f aca="false">H4293*K4293</f>
        <v>700</v>
      </c>
      <c r="M4293" s="14" t="s">
        <v>410</v>
      </c>
    </row>
    <row r="4294" customFormat="false" ht="15" hidden="false" customHeight="false" outlineLevel="0" collapsed="false">
      <c r="A4294" s="4" t="s">
        <v>183</v>
      </c>
      <c r="B4294" s="5" t="s">
        <v>192</v>
      </c>
      <c r="C4294" s="5" t="s">
        <v>193</v>
      </c>
      <c r="D4294" s="4" t="s">
        <v>16</v>
      </c>
      <c r="E4294" s="4" t="s">
        <v>4937</v>
      </c>
      <c r="F4294" s="4" t="s">
        <v>406</v>
      </c>
      <c r="G4294" s="4" t="s">
        <v>4938</v>
      </c>
      <c r="H4294" s="12" t="n">
        <v>2</v>
      </c>
      <c r="I4294" s="4" t="s">
        <v>474</v>
      </c>
      <c r="J4294" s="4" t="s">
        <v>409</v>
      </c>
      <c r="K4294" s="13" t="n">
        <v>180</v>
      </c>
      <c r="L4294" s="6" t="n">
        <f aca="false">H4294*K4294</f>
        <v>360</v>
      </c>
      <c r="M4294" s="14" t="s">
        <v>410</v>
      </c>
    </row>
    <row r="4295" customFormat="false" ht="15" hidden="false" customHeight="false" outlineLevel="0" collapsed="false">
      <c r="A4295" s="4" t="s">
        <v>183</v>
      </c>
      <c r="B4295" s="5" t="s">
        <v>192</v>
      </c>
      <c r="C4295" s="5" t="s">
        <v>193</v>
      </c>
      <c r="D4295" s="4" t="s">
        <v>16</v>
      </c>
      <c r="E4295" s="4" t="s">
        <v>860</v>
      </c>
      <c r="F4295" s="4" t="s">
        <v>406</v>
      </c>
      <c r="G4295" s="4" t="s">
        <v>861</v>
      </c>
      <c r="H4295" s="12" t="n">
        <v>2</v>
      </c>
      <c r="I4295" s="4" t="s">
        <v>474</v>
      </c>
      <c r="J4295" s="4" t="s">
        <v>409</v>
      </c>
      <c r="K4295" s="13" t="n">
        <v>250</v>
      </c>
      <c r="L4295" s="6" t="n">
        <f aca="false">H4295*K4295</f>
        <v>500</v>
      </c>
      <c r="M4295" s="4" t="s">
        <v>371</v>
      </c>
    </row>
    <row r="4296" customFormat="false" ht="15" hidden="false" customHeight="false" outlineLevel="0" collapsed="false">
      <c r="A4296" s="4" t="s">
        <v>183</v>
      </c>
      <c r="B4296" s="5" t="s">
        <v>192</v>
      </c>
      <c r="C4296" s="5" t="s">
        <v>193</v>
      </c>
      <c r="D4296" s="4" t="s">
        <v>16</v>
      </c>
      <c r="E4296" s="4" t="s">
        <v>4939</v>
      </c>
      <c r="F4296" s="4" t="s">
        <v>406</v>
      </c>
      <c r="G4296" s="4" t="s">
        <v>1669</v>
      </c>
      <c r="H4296" s="12" t="n">
        <v>2</v>
      </c>
      <c r="I4296" s="4" t="s">
        <v>474</v>
      </c>
      <c r="J4296" s="4" t="s">
        <v>416</v>
      </c>
      <c r="K4296" s="13" t="n">
        <v>1200</v>
      </c>
      <c r="L4296" s="6" t="n">
        <f aca="false">H4296*K4296</f>
        <v>2400</v>
      </c>
      <c r="M4296" s="14" t="s">
        <v>410</v>
      </c>
    </row>
    <row r="4297" customFormat="false" ht="15" hidden="false" customHeight="false" outlineLevel="0" collapsed="false">
      <c r="A4297" s="4" t="s">
        <v>183</v>
      </c>
      <c r="B4297" s="5" t="s">
        <v>192</v>
      </c>
      <c r="C4297" s="5" t="s">
        <v>193</v>
      </c>
      <c r="D4297" s="4" t="s">
        <v>16</v>
      </c>
      <c r="E4297" s="4" t="s">
        <v>4940</v>
      </c>
      <c r="F4297" s="4" t="s">
        <v>406</v>
      </c>
      <c r="G4297" s="4" t="s">
        <v>4941</v>
      </c>
      <c r="H4297" s="12" t="n">
        <v>2</v>
      </c>
      <c r="I4297" s="4" t="s">
        <v>474</v>
      </c>
      <c r="J4297" s="4" t="s">
        <v>416</v>
      </c>
      <c r="K4297" s="13" t="n">
        <v>850</v>
      </c>
      <c r="L4297" s="6" t="n">
        <f aca="false">H4297*K4297</f>
        <v>1700</v>
      </c>
      <c r="M4297" s="4" t="s">
        <v>371</v>
      </c>
    </row>
    <row r="4298" customFormat="false" ht="15" hidden="false" customHeight="false" outlineLevel="0" collapsed="false">
      <c r="A4298" s="4" t="s">
        <v>183</v>
      </c>
      <c r="B4298" s="5" t="s">
        <v>192</v>
      </c>
      <c r="C4298" s="5" t="s">
        <v>193</v>
      </c>
      <c r="D4298" s="4" t="s">
        <v>16</v>
      </c>
      <c r="E4298" s="4" t="s">
        <v>4942</v>
      </c>
      <c r="F4298" s="4" t="s">
        <v>406</v>
      </c>
      <c r="G4298" s="4" t="s">
        <v>4943</v>
      </c>
      <c r="H4298" s="12" t="n">
        <v>2</v>
      </c>
      <c r="I4298" s="4" t="s">
        <v>474</v>
      </c>
      <c r="J4298" s="4" t="s">
        <v>409</v>
      </c>
      <c r="K4298" s="13" t="n">
        <v>350</v>
      </c>
      <c r="L4298" s="6" t="n">
        <f aca="false">H4298*K4298</f>
        <v>700</v>
      </c>
      <c r="M4298" s="4" t="s">
        <v>371</v>
      </c>
    </row>
    <row r="4299" customFormat="false" ht="15" hidden="false" customHeight="false" outlineLevel="0" collapsed="false">
      <c r="A4299" s="4" t="s">
        <v>183</v>
      </c>
      <c r="B4299" s="5" t="s">
        <v>192</v>
      </c>
      <c r="C4299" s="5" t="s">
        <v>193</v>
      </c>
      <c r="D4299" s="4" t="s">
        <v>16</v>
      </c>
      <c r="E4299" s="4" t="s">
        <v>4944</v>
      </c>
      <c r="F4299" s="4" t="s">
        <v>406</v>
      </c>
      <c r="G4299" s="4" t="s">
        <v>4945</v>
      </c>
      <c r="H4299" s="12" t="n">
        <v>2</v>
      </c>
      <c r="I4299" s="4" t="s">
        <v>474</v>
      </c>
      <c r="J4299" s="4" t="s">
        <v>409</v>
      </c>
      <c r="K4299" s="13" t="n">
        <v>250</v>
      </c>
      <c r="L4299" s="6" t="n">
        <f aca="false">H4299*K4299</f>
        <v>500</v>
      </c>
      <c r="M4299" s="14" t="s">
        <v>410</v>
      </c>
    </row>
    <row r="4300" customFormat="false" ht="15" hidden="false" customHeight="false" outlineLevel="0" collapsed="false">
      <c r="A4300" s="4" t="s">
        <v>183</v>
      </c>
      <c r="B4300" s="5" t="s">
        <v>192</v>
      </c>
      <c r="C4300" s="5" t="s">
        <v>193</v>
      </c>
      <c r="D4300" s="4" t="s">
        <v>16</v>
      </c>
      <c r="E4300" s="4" t="s">
        <v>4946</v>
      </c>
      <c r="F4300" s="4" t="s">
        <v>406</v>
      </c>
      <c r="G4300" s="4" t="s">
        <v>4253</v>
      </c>
      <c r="H4300" s="12" t="n">
        <v>2</v>
      </c>
      <c r="I4300" s="4" t="s">
        <v>474</v>
      </c>
      <c r="J4300" s="4" t="s">
        <v>409</v>
      </c>
      <c r="K4300" s="13" t="n">
        <v>650</v>
      </c>
      <c r="L4300" s="6" t="n">
        <f aca="false">H4300*K4300</f>
        <v>1300</v>
      </c>
      <c r="M4300" s="14" t="s">
        <v>410</v>
      </c>
    </row>
    <row r="4301" customFormat="false" ht="15" hidden="false" customHeight="false" outlineLevel="0" collapsed="false">
      <c r="A4301" s="4" t="s">
        <v>183</v>
      </c>
      <c r="B4301" s="5" t="s">
        <v>192</v>
      </c>
      <c r="C4301" s="5" t="s">
        <v>193</v>
      </c>
      <c r="D4301" s="4" t="s">
        <v>16</v>
      </c>
      <c r="E4301" s="4" t="s">
        <v>1560</v>
      </c>
      <c r="F4301" s="4" t="s">
        <v>406</v>
      </c>
      <c r="G4301" s="4" t="s">
        <v>617</v>
      </c>
      <c r="H4301" s="12" t="n">
        <v>1</v>
      </c>
      <c r="I4301" s="4" t="s">
        <v>474</v>
      </c>
      <c r="J4301" s="4" t="s">
        <v>409</v>
      </c>
      <c r="K4301" s="13" t="n">
        <v>850</v>
      </c>
      <c r="L4301" s="6" t="n">
        <f aca="false">H4301*K4301</f>
        <v>850</v>
      </c>
      <c r="M4301" s="14" t="s">
        <v>410</v>
      </c>
    </row>
    <row r="4302" customFormat="false" ht="15" hidden="false" customHeight="false" outlineLevel="0" collapsed="false">
      <c r="A4302" s="4" t="s">
        <v>183</v>
      </c>
      <c r="B4302" s="5" t="s">
        <v>192</v>
      </c>
      <c r="C4302" s="5" t="s">
        <v>193</v>
      </c>
      <c r="D4302" s="4" t="s">
        <v>16</v>
      </c>
      <c r="E4302" s="4" t="s">
        <v>4947</v>
      </c>
      <c r="F4302" s="4" t="s">
        <v>406</v>
      </c>
      <c r="G4302" s="4" t="s">
        <v>4948</v>
      </c>
      <c r="H4302" s="12" t="n">
        <v>1</v>
      </c>
      <c r="I4302" s="4" t="s">
        <v>474</v>
      </c>
      <c r="J4302" s="4" t="s">
        <v>409</v>
      </c>
      <c r="K4302" s="13" t="n">
        <v>1200</v>
      </c>
      <c r="L4302" s="6" t="n">
        <f aca="false">H4302*K4302</f>
        <v>1200</v>
      </c>
      <c r="M4302" s="14" t="s">
        <v>410</v>
      </c>
    </row>
    <row r="4303" customFormat="false" ht="15" hidden="false" customHeight="false" outlineLevel="0" collapsed="false">
      <c r="A4303" s="4" t="s">
        <v>183</v>
      </c>
      <c r="B4303" s="5" t="s">
        <v>192</v>
      </c>
      <c r="C4303" s="5" t="s">
        <v>193</v>
      </c>
      <c r="D4303" s="4" t="s">
        <v>16</v>
      </c>
      <c r="E4303" s="4" t="s">
        <v>4949</v>
      </c>
      <c r="F4303" s="4" t="s">
        <v>406</v>
      </c>
      <c r="G4303" s="4" t="s">
        <v>4950</v>
      </c>
      <c r="H4303" s="12" t="n">
        <v>2</v>
      </c>
      <c r="I4303" s="4" t="s">
        <v>474</v>
      </c>
      <c r="J4303" s="4" t="s">
        <v>409</v>
      </c>
      <c r="K4303" s="13" t="n">
        <v>450</v>
      </c>
      <c r="L4303" s="6" t="n">
        <f aca="false">H4303*K4303</f>
        <v>900</v>
      </c>
      <c r="M4303" s="4" t="s">
        <v>371</v>
      </c>
    </row>
    <row r="4304" customFormat="false" ht="15" hidden="false" customHeight="false" outlineLevel="0" collapsed="false">
      <c r="A4304" s="4" t="s">
        <v>183</v>
      </c>
      <c r="B4304" s="5" t="s">
        <v>192</v>
      </c>
      <c r="C4304" s="5" t="s">
        <v>193</v>
      </c>
      <c r="D4304" s="4" t="s">
        <v>16</v>
      </c>
      <c r="E4304" s="4" t="s">
        <v>4951</v>
      </c>
      <c r="F4304" s="4" t="s">
        <v>406</v>
      </c>
      <c r="G4304" s="4" t="s">
        <v>4952</v>
      </c>
      <c r="H4304" s="12" t="n">
        <v>2</v>
      </c>
      <c r="I4304" s="4" t="s">
        <v>474</v>
      </c>
      <c r="J4304" s="4" t="s">
        <v>409</v>
      </c>
      <c r="K4304" s="13" t="n">
        <v>180</v>
      </c>
      <c r="L4304" s="6" t="n">
        <f aca="false">H4304*K4304</f>
        <v>360</v>
      </c>
      <c r="M4304" s="4" t="s">
        <v>371</v>
      </c>
    </row>
    <row r="4305" customFormat="false" ht="15" hidden="false" customHeight="false" outlineLevel="0" collapsed="false">
      <c r="A4305" s="4" t="s">
        <v>183</v>
      </c>
      <c r="B4305" s="5" t="s">
        <v>192</v>
      </c>
      <c r="C4305" s="5" t="s">
        <v>193</v>
      </c>
      <c r="D4305" s="4" t="s">
        <v>16</v>
      </c>
      <c r="E4305" s="4" t="s">
        <v>4907</v>
      </c>
      <c r="F4305" s="4" t="s">
        <v>406</v>
      </c>
      <c r="G4305" s="4" t="s">
        <v>4908</v>
      </c>
      <c r="H4305" s="12" t="n">
        <v>1</v>
      </c>
      <c r="I4305" s="4" t="s">
        <v>474</v>
      </c>
      <c r="J4305" s="4" t="s">
        <v>416</v>
      </c>
      <c r="K4305" s="13" t="n">
        <v>18000</v>
      </c>
      <c r="L4305" s="6" t="n">
        <f aca="false">H4305*K4305</f>
        <v>18000</v>
      </c>
      <c r="M4305" s="14" t="s">
        <v>410</v>
      </c>
    </row>
    <row r="4306" customFormat="false" ht="15" hidden="false" customHeight="false" outlineLevel="0" collapsed="false">
      <c r="A4306" s="4" t="s">
        <v>183</v>
      </c>
      <c r="B4306" s="5" t="s">
        <v>192</v>
      </c>
      <c r="C4306" s="5" t="s">
        <v>193</v>
      </c>
      <c r="D4306" s="4" t="s">
        <v>16</v>
      </c>
      <c r="E4306" s="4" t="s">
        <v>4909</v>
      </c>
      <c r="F4306" s="4" t="s">
        <v>406</v>
      </c>
      <c r="G4306" s="4" t="s">
        <v>4910</v>
      </c>
      <c r="H4306" s="12" t="n">
        <v>1</v>
      </c>
      <c r="I4306" s="4" t="s">
        <v>474</v>
      </c>
      <c r="J4306" s="4" t="s">
        <v>416</v>
      </c>
      <c r="K4306" s="13" t="n">
        <v>12000</v>
      </c>
      <c r="L4306" s="6" t="n">
        <f aca="false">H4306*K4306</f>
        <v>12000</v>
      </c>
      <c r="M4306" s="14" t="s">
        <v>410</v>
      </c>
    </row>
    <row r="4307" customFormat="false" ht="15" hidden="false" customHeight="false" outlineLevel="0" collapsed="false">
      <c r="A4307" s="4" t="s">
        <v>183</v>
      </c>
      <c r="B4307" s="5" t="s">
        <v>192</v>
      </c>
      <c r="C4307" s="5" t="s">
        <v>193</v>
      </c>
      <c r="D4307" s="4" t="s">
        <v>16</v>
      </c>
      <c r="E4307" s="4" t="s">
        <v>4953</v>
      </c>
      <c r="F4307" s="4" t="s">
        <v>488</v>
      </c>
      <c r="G4307" s="4" t="s">
        <v>4954</v>
      </c>
      <c r="H4307" s="12" t="n">
        <v>50</v>
      </c>
      <c r="I4307" s="4" t="s">
        <v>474</v>
      </c>
      <c r="J4307" s="4" t="s">
        <v>3192</v>
      </c>
      <c r="K4307" s="13" t="n">
        <v>420</v>
      </c>
      <c r="L4307" s="6" t="n">
        <f aca="false">H4307*K4307</f>
        <v>21000</v>
      </c>
      <c r="M4307" s="4" t="s">
        <v>371</v>
      </c>
    </row>
    <row r="4308" customFormat="false" ht="15" hidden="false" customHeight="false" outlineLevel="0" collapsed="false">
      <c r="A4308" s="4" t="s">
        <v>183</v>
      </c>
      <c r="B4308" s="5" t="s">
        <v>192</v>
      </c>
      <c r="C4308" s="5" t="s">
        <v>193</v>
      </c>
      <c r="D4308" s="4" t="s">
        <v>16</v>
      </c>
      <c r="E4308" s="4" t="s">
        <v>4955</v>
      </c>
      <c r="F4308" s="4" t="s">
        <v>488</v>
      </c>
      <c r="G4308" s="4" t="s">
        <v>4956</v>
      </c>
      <c r="H4308" s="12" t="n">
        <v>1</v>
      </c>
      <c r="I4308" s="4" t="s">
        <v>408</v>
      </c>
      <c r="J4308" s="4" t="s">
        <v>4957</v>
      </c>
      <c r="K4308" s="13" t="n">
        <v>1800</v>
      </c>
      <c r="L4308" s="6" t="n">
        <f aca="false">H4308*K4308</f>
        <v>1800</v>
      </c>
      <c r="M4308" s="4" t="s">
        <v>371</v>
      </c>
    </row>
    <row r="4309" customFormat="false" ht="15" hidden="false" customHeight="false" outlineLevel="0" collapsed="false">
      <c r="A4309" s="4" t="s">
        <v>183</v>
      </c>
      <c r="B4309" s="5" t="s">
        <v>192</v>
      </c>
      <c r="C4309" s="5" t="s">
        <v>193</v>
      </c>
      <c r="D4309" s="4" t="s">
        <v>16</v>
      </c>
      <c r="E4309" s="4" t="s">
        <v>1593</v>
      </c>
      <c r="F4309" s="4" t="s">
        <v>488</v>
      </c>
      <c r="G4309" s="4" t="s">
        <v>1594</v>
      </c>
      <c r="H4309" s="12" t="n">
        <v>1</v>
      </c>
      <c r="I4309" s="4" t="s">
        <v>408</v>
      </c>
      <c r="J4309" s="4" t="s">
        <v>432</v>
      </c>
      <c r="K4309" s="13" t="n">
        <v>8</v>
      </c>
      <c r="L4309" s="6" t="n">
        <f aca="false">H4309*K4309</f>
        <v>8</v>
      </c>
      <c r="M4309" s="4" t="s">
        <v>371</v>
      </c>
    </row>
    <row r="4310" customFormat="false" ht="15" hidden="false" customHeight="false" outlineLevel="0" collapsed="false">
      <c r="A4310" s="4" t="s">
        <v>183</v>
      </c>
      <c r="B4310" s="5" t="s">
        <v>192</v>
      </c>
      <c r="C4310" s="5" t="s">
        <v>193</v>
      </c>
      <c r="D4310" s="4" t="s">
        <v>16</v>
      </c>
      <c r="E4310" s="4" t="s">
        <v>4958</v>
      </c>
      <c r="F4310" s="4" t="s">
        <v>488</v>
      </c>
      <c r="G4310" s="4" t="s">
        <v>4959</v>
      </c>
      <c r="H4310" s="12" t="n">
        <v>1</v>
      </c>
      <c r="I4310" s="4" t="s">
        <v>408</v>
      </c>
      <c r="J4310" s="4" t="s">
        <v>490</v>
      </c>
      <c r="K4310" s="13" t="n">
        <v>2</v>
      </c>
      <c r="L4310" s="6" t="n">
        <f aca="false">H4310*K4310</f>
        <v>2</v>
      </c>
      <c r="M4310" s="4" t="s">
        <v>371</v>
      </c>
    </row>
    <row r="4311" customFormat="false" ht="15" hidden="false" customHeight="false" outlineLevel="0" collapsed="false">
      <c r="A4311" s="4" t="s">
        <v>183</v>
      </c>
      <c r="B4311" s="5" t="s">
        <v>192</v>
      </c>
      <c r="C4311" s="5" t="s">
        <v>193</v>
      </c>
      <c r="D4311" s="4" t="s">
        <v>16</v>
      </c>
      <c r="E4311" s="4" t="s">
        <v>4960</v>
      </c>
      <c r="F4311" s="4" t="s">
        <v>488</v>
      </c>
      <c r="G4311" s="4" t="s">
        <v>4961</v>
      </c>
      <c r="H4311" s="12" t="n">
        <v>2</v>
      </c>
      <c r="I4311" s="4" t="s">
        <v>474</v>
      </c>
      <c r="J4311" s="4" t="s">
        <v>409</v>
      </c>
      <c r="K4311" s="13" t="n">
        <v>180</v>
      </c>
      <c r="L4311" s="6" t="n">
        <f aca="false">H4311*K4311</f>
        <v>360</v>
      </c>
      <c r="M4311" s="4" t="s">
        <v>371</v>
      </c>
    </row>
    <row r="4312" customFormat="false" ht="15" hidden="false" customHeight="false" outlineLevel="0" collapsed="false">
      <c r="A4312" s="4" t="s">
        <v>183</v>
      </c>
      <c r="B4312" s="5" t="s">
        <v>192</v>
      </c>
      <c r="C4312" s="5" t="s">
        <v>193</v>
      </c>
      <c r="D4312" s="4" t="s">
        <v>16</v>
      </c>
      <c r="E4312" s="4" t="s">
        <v>4962</v>
      </c>
      <c r="F4312" s="4" t="s">
        <v>488</v>
      </c>
      <c r="G4312" s="4" t="s">
        <v>4963</v>
      </c>
      <c r="H4312" s="12" t="n">
        <v>10</v>
      </c>
      <c r="I4312" s="4" t="s">
        <v>474</v>
      </c>
      <c r="J4312" s="4" t="s">
        <v>416</v>
      </c>
      <c r="K4312" s="13" t="n">
        <v>850</v>
      </c>
      <c r="L4312" s="6" t="n">
        <f aca="false">H4312*K4312</f>
        <v>8500</v>
      </c>
      <c r="M4312" s="4" t="s">
        <v>371</v>
      </c>
    </row>
    <row r="4313" customFormat="false" ht="15" hidden="false" customHeight="false" outlineLevel="0" collapsed="false">
      <c r="A4313" s="4" t="s">
        <v>183</v>
      </c>
      <c r="B4313" s="5" t="s">
        <v>192</v>
      </c>
      <c r="C4313" s="5" t="s">
        <v>193</v>
      </c>
      <c r="D4313" s="4" t="s">
        <v>16</v>
      </c>
      <c r="E4313" s="4" t="s">
        <v>4964</v>
      </c>
      <c r="F4313" s="4" t="s">
        <v>488</v>
      </c>
      <c r="G4313" s="4" t="s">
        <v>4965</v>
      </c>
      <c r="H4313" s="12" t="n">
        <v>10</v>
      </c>
      <c r="I4313" s="4" t="s">
        <v>474</v>
      </c>
      <c r="J4313" s="4" t="s">
        <v>506</v>
      </c>
      <c r="K4313" s="13" t="n">
        <v>150</v>
      </c>
      <c r="L4313" s="6" t="n">
        <f aca="false">H4313*K4313</f>
        <v>1500</v>
      </c>
      <c r="M4313" s="4" t="s">
        <v>371</v>
      </c>
    </row>
    <row r="4314" customFormat="false" ht="15" hidden="false" customHeight="false" outlineLevel="0" collapsed="false">
      <c r="A4314" s="4" t="s">
        <v>183</v>
      </c>
      <c r="B4314" s="5" t="s">
        <v>192</v>
      </c>
      <c r="C4314" s="5" t="s">
        <v>193</v>
      </c>
      <c r="D4314" s="4" t="s">
        <v>16</v>
      </c>
      <c r="E4314" s="4" t="s">
        <v>4966</v>
      </c>
      <c r="F4314" s="4" t="s">
        <v>488</v>
      </c>
      <c r="G4314" s="4" t="s">
        <v>4967</v>
      </c>
      <c r="H4314" s="12" t="n">
        <v>10</v>
      </c>
      <c r="I4314" s="4" t="s">
        <v>474</v>
      </c>
      <c r="J4314" s="4" t="s">
        <v>475</v>
      </c>
      <c r="K4314" s="13" t="n">
        <v>180</v>
      </c>
      <c r="L4314" s="6" t="n">
        <f aca="false">H4314*K4314</f>
        <v>1800</v>
      </c>
      <c r="M4314" s="4" t="s">
        <v>371</v>
      </c>
    </row>
    <row r="4315" customFormat="false" ht="15" hidden="false" customHeight="false" outlineLevel="0" collapsed="false">
      <c r="A4315" s="4" t="s">
        <v>183</v>
      </c>
      <c r="B4315" s="5" t="s">
        <v>192</v>
      </c>
      <c r="C4315" s="5" t="s">
        <v>193</v>
      </c>
      <c r="D4315" s="4" t="s">
        <v>16</v>
      </c>
      <c r="E4315" s="4" t="s">
        <v>4968</v>
      </c>
      <c r="F4315" s="4" t="s">
        <v>488</v>
      </c>
      <c r="G4315" s="4" t="s">
        <v>4969</v>
      </c>
      <c r="H4315" s="12" t="n">
        <v>10</v>
      </c>
      <c r="I4315" s="4" t="s">
        <v>474</v>
      </c>
      <c r="J4315" s="4" t="s">
        <v>429</v>
      </c>
      <c r="K4315" s="13" t="n">
        <v>450</v>
      </c>
      <c r="L4315" s="6" t="n">
        <f aca="false">H4315*K4315</f>
        <v>4500</v>
      </c>
      <c r="M4315" s="4" t="s">
        <v>371</v>
      </c>
    </row>
    <row r="4316" customFormat="false" ht="15" hidden="false" customHeight="false" outlineLevel="0" collapsed="false">
      <c r="A4316" s="4" t="s">
        <v>183</v>
      </c>
      <c r="B4316" s="5" t="s">
        <v>192</v>
      </c>
      <c r="C4316" s="5" t="s">
        <v>193</v>
      </c>
      <c r="D4316" s="4" t="s">
        <v>16</v>
      </c>
      <c r="E4316" s="4" t="s">
        <v>4970</v>
      </c>
      <c r="F4316" s="4" t="s">
        <v>488</v>
      </c>
      <c r="G4316" s="4" t="s">
        <v>4971</v>
      </c>
      <c r="H4316" s="12" t="n">
        <v>10</v>
      </c>
      <c r="I4316" s="4" t="s">
        <v>474</v>
      </c>
      <c r="J4316" s="4" t="s">
        <v>409</v>
      </c>
      <c r="K4316" s="13" t="n">
        <v>450</v>
      </c>
      <c r="L4316" s="6" t="n">
        <f aca="false">H4316*K4316</f>
        <v>4500</v>
      </c>
      <c r="M4316" s="4" t="s">
        <v>371</v>
      </c>
    </row>
    <row r="4317" customFormat="false" ht="15" hidden="false" customHeight="false" outlineLevel="0" collapsed="false">
      <c r="A4317" s="4" t="s">
        <v>183</v>
      </c>
      <c r="B4317" s="5" t="s">
        <v>192</v>
      </c>
      <c r="C4317" s="5" t="s">
        <v>193</v>
      </c>
      <c r="D4317" s="4" t="s">
        <v>16</v>
      </c>
      <c r="E4317" s="4" t="s">
        <v>4972</v>
      </c>
      <c r="F4317" s="4" t="s">
        <v>488</v>
      </c>
      <c r="G4317" s="4" t="s">
        <v>4973</v>
      </c>
      <c r="H4317" s="12" t="n">
        <v>10</v>
      </c>
      <c r="I4317" s="4" t="s">
        <v>474</v>
      </c>
      <c r="J4317" s="4" t="s">
        <v>416</v>
      </c>
      <c r="K4317" s="13" t="n">
        <v>250</v>
      </c>
      <c r="L4317" s="6" t="n">
        <f aca="false">H4317*K4317</f>
        <v>2500</v>
      </c>
      <c r="M4317" s="4" t="s">
        <v>371</v>
      </c>
    </row>
    <row r="4318" customFormat="false" ht="15" hidden="false" customHeight="false" outlineLevel="0" collapsed="false">
      <c r="A4318" s="4" t="s">
        <v>183</v>
      </c>
      <c r="B4318" s="5" t="s">
        <v>192</v>
      </c>
      <c r="C4318" s="5" t="s">
        <v>193</v>
      </c>
      <c r="D4318" s="4" t="s">
        <v>16</v>
      </c>
      <c r="E4318" s="4" t="s">
        <v>4931</v>
      </c>
      <c r="F4318" s="4" t="s">
        <v>488</v>
      </c>
      <c r="G4318" s="4" t="s">
        <v>4932</v>
      </c>
      <c r="H4318" s="12" t="n">
        <v>10</v>
      </c>
      <c r="I4318" s="4" t="s">
        <v>474</v>
      </c>
      <c r="J4318" s="4" t="s">
        <v>429</v>
      </c>
      <c r="K4318" s="13" t="n">
        <v>120</v>
      </c>
      <c r="L4318" s="6" t="n">
        <f aca="false">H4318*K4318</f>
        <v>1200</v>
      </c>
      <c r="M4318" s="4" t="s">
        <v>371</v>
      </c>
    </row>
    <row r="4319" customFormat="false" ht="15" hidden="false" customHeight="false" outlineLevel="0" collapsed="false">
      <c r="A4319" s="4" t="s">
        <v>183</v>
      </c>
      <c r="B4319" s="5" t="s">
        <v>192</v>
      </c>
      <c r="C4319" s="5" t="s">
        <v>193</v>
      </c>
      <c r="D4319" s="4" t="s">
        <v>16</v>
      </c>
      <c r="E4319" s="4" t="s">
        <v>4974</v>
      </c>
      <c r="F4319" s="4" t="s">
        <v>488</v>
      </c>
      <c r="G4319" s="4" t="s">
        <v>1941</v>
      </c>
      <c r="H4319" s="12" t="n">
        <v>1</v>
      </c>
      <c r="I4319" s="4" t="s">
        <v>474</v>
      </c>
      <c r="J4319" s="4" t="s">
        <v>506</v>
      </c>
      <c r="K4319" s="13" t="n">
        <v>100</v>
      </c>
      <c r="L4319" s="6" t="n">
        <f aca="false">H4319*K4319</f>
        <v>100</v>
      </c>
      <c r="M4319" s="4" t="s">
        <v>371</v>
      </c>
    </row>
    <row r="4320" customFormat="false" ht="15" hidden="false" customHeight="false" outlineLevel="0" collapsed="false">
      <c r="A4320" s="4" t="s">
        <v>194</v>
      </c>
      <c r="B4320" s="5" t="s">
        <v>195</v>
      </c>
      <c r="C4320" s="5" t="s">
        <v>196</v>
      </c>
      <c r="D4320" s="4" t="s">
        <v>16</v>
      </c>
      <c r="E4320" s="4" t="s">
        <v>4975</v>
      </c>
      <c r="F4320" s="4" t="s">
        <v>406</v>
      </c>
      <c r="G4320" s="4" t="s">
        <v>4976</v>
      </c>
      <c r="H4320" s="12" t="n">
        <v>1</v>
      </c>
      <c r="I4320" s="4" t="s">
        <v>408</v>
      </c>
      <c r="J4320" s="4" t="s">
        <v>409</v>
      </c>
      <c r="K4320" s="13" t="n">
        <v>850</v>
      </c>
      <c r="L4320" s="6" t="n">
        <f aca="false">H4320*K4320</f>
        <v>850</v>
      </c>
      <c r="M4320" s="14" t="s">
        <v>410</v>
      </c>
    </row>
    <row r="4321" customFormat="false" ht="15" hidden="false" customHeight="false" outlineLevel="0" collapsed="false">
      <c r="A4321" s="4" t="s">
        <v>194</v>
      </c>
      <c r="B4321" s="5" t="s">
        <v>195</v>
      </c>
      <c r="C4321" s="5" t="s">
        <v>196</v>
      </c>
      <c r="D4321" s="4" t="s">
        <v>16</v>
      </c>
      <c r="E4321" s="4" t="s">
        <v>4977</v>
      </c>
      <c r="F4321" s="4" t="s">
        <v>406</v>
      </c>
      <c r="G4321" s="4" t="s">
        <v>4978</v>
      </c>
      <c r="H4321" s="12" t="n">
        <v>1</v>
      </c>
      <c r="I4321" s="4" t="s">
        <v>408</v>
      </c>
      <c r="J4321" s="4" t="s">
        <v>409</v>
      </c>
      <c r="K4321" s="13" t="n">
        <v>1200</v>
      </c>
      <c r="L4321" s="6" t="n">
        <f aca="false">H4321*K4321</f>
        <v>1200</v>
      </c>
      <c r="M4321" s="14" t="s">
        <v>410</v>
      </c>
    </row>
    <row r="4322" customFormat="false" ht="15" hidden="false" customHeight="false" outlineLevel="0" collapsed="false">
      <c r="A4322" s="4" t="s">
        <v>194</v>
      </c>
      <c r="B4322" s="5" t="s">
        <v>195</v>
      </c>
      <c r="C4322" s="5" t="s">
        <v>196</v>
      </c>
      <c r="D4322" s="4" t="s">
        <v>16</v>
      </c>
      <c r="E4322" s="4" t="s">
        <v>4979</v>
      </c>
      <c r="F4322" s="4" t="s">
        <v>406</v>
      </c>
      <c r="G4322" s="4" t="s">
        <v>4980</v>
      </c>
      <c r="H4322" s="12" t="n">
        <v>1</v>
      </c>
      <c r="I4322" s="4" t="s">
        <v>408</v>
      </c>
      <c r="J4322" s="4" t="s">
        <v>409</v>
      </c>
      <c r="K4322" s="13" t="n">
        <v>4500</v>
      </c>
      <c r="L4322" s="6" t="n">
        <f aca="false">H4322*K4322</f>
        <v>4500</v>
      </c>
      <c r="M4322" s="14" t="s">
        <v>410</v>
      </c>
    </row>
    <row r="4323" customFormat="false" ht="15" hidden="false" customHeight="false" outlineLevel="0" collapsed="false">
      <c r="A4323" s="4" t="s">
        <v>194</v>
      </c>
      <c r="B4323" s="5" t="s">
        <v>195</v>
      </c>
      <c r="C4323" s="5" t="s">
        <v>196</v>
      </c>
      <c r="D4323" s="4" t="s">
        <v>16</v>
      </c>
      <c r="E4323" s="4" t="s">
        <v>4981</v>
      </c>
      <c r="F4323" s="4" t="s">
        <v>406</v>
      </c>
      <c r="G4323" s="4" t="s">
        <v>4982</v>
      </c>
      <c r="H4323" s="12" t="n">
        <v>1</v>
      </c>
      <c r="I4323" s="4" t="s">
        <v>408</v>
      </c>
      <c r="J4323" s="4" t="s">
        <v>409</v>
      </c>
      <c r="K4323" s="13" t="n">
        <v>850</v>
      </c>
      <c r="L4323" s="6" t="n">
        <f aca="false">H4323*K4323</f>
        <v>850</v>
      </c>
      <c r="M4323" s="14" t="s">
        <v>410</v>
      </c>
    </row>
    <row r="4324" customFormat="false" ht="15" hidden="false" customHeight="false" outlineLevel="0" collapsed="false">
      <c r="A4324" s="4" t="s">
        <v>194</v>
      </c>
      <c r="B4324" s="5" t="s">
        <v>195</v>
      </c>
      <c r="C4324" s="5" t="s">
        <v>196</v>
      </c>
      <c r="D4324" s="4" t="s">
        <v>16</v>
      </c>
      <c r="E4324" s="4" t="s">
        <v>4983</v>
      </c>
      <c r="F4324" s="4" t="s">
        <v>406</v>
      </c>
      <c r="G4324" s="4" t="s">
        <v>4984</v>
      </c>
      <c r="H4324" s="12" t="n">
        <v>1</v>
      </c>
      <c r="I4324" s="4" t="s">
        <v>408</v>
      </c>
      <c r="J4324" s="4" t="s">
        <v>409</v>
      </c>
      <c r="K4324" s="13" t="n">
        <v>850</v>
      </c>
      <c r="L4324" s="6" t="n">
        <f aca="false">H4324*K4324</f>
        <v>850</v>
      </c>
      <c r="M4324" s="14" t="s">
        <v>410</v>
      </c>
    </row>
    <row r="4325" customFormat="false" ht="15" hidden="false" customHeight="false" outlineLevel="0" collapsed="false">
      <c r="A4325" s="4" t="s">
        <v>194</v>
      </c>
      <c r="B4325" s="5" t="s">
        <v>195</v>
      </c>
      <c r="C4325" s="5" t="s">
        <v>196</v>
      </c>
      <c r="D4325" s="4" t="s">
        <v>16</v>
      </c>
      <c r="E4325" s="4" t="s">
        <v>4985</v>
      </c>
      <c r="F4325" s="4" t="s">
        <v>406</v>
      </c>
      <c r="G4325" s="4" t="s">
        <v>4986</v>
      </c>
      <c r="H4325" s="12" t="n">
        <v>1</v>
      </c>
      <c r="I4325" s="4" t="s">
        <v>408</v>
      </c>
      <c r="J4325" s="4" t="s">
        <v>409</v>
      </c>
      <c r="K4325" s="13" t="n">
        <v>850</v>
      </c>
      <c r="L4325" s="6" t="n">
        <f aca="false">H4325*K4325</f>
        <v>850</v>
      </c>
      <c r="M4325" s="14" t="s">
        <v>410</v>
      </c>
    </row>
    <row r="4326" customFormat="false" ht="15" hidden="false" customHeight="false" outlineLevel="0" collapsed="false">
      <c r="A4326" s="4" t="s">
        <v>194</v>
      </c>
      <c r="B4326" s="5" t="s">
        <v>195</v>
      </c>
      <c r="C4326" s="5" t="s">
        <v>196</v>
      </c>
      <c r="D4326" s="4" t="s">
        <v>16</v>
      </c>
      <c r="E4326" s="4" t="s">
        <v>525</v>
      </c>
      <c r="F4326" s="4" t="s">
        <v>406</v>
      </c>
      <c r="G4326" s="4" t="s">
        <v>526</v>
      </c>
      <c r="H4326" s="12" t="n">
        <v>1</v>
      </c>
      <c r="I4326" s="4" t="s">
        <v>408</v>
      </c>
      <c r="J4326" s="4" t="s">
        <v>409</v>
      </c>
      <c r="K4326" s="13" t="n">
        <v>850</v>
      </c>
      <c r="L4326" s="6" t="n">
        <f aca="false">H4326*K4326</f>
        <v>850</v>
      </c>
      <c r="M4326" s="14" t="s">
        <v>410</v>
      </c>
    </row>
    <row r="4327" customFormat="false" ht="15" hidden="false" customHeight="false" outlineLevel="0" collapsed="false">
      <c r="A4327" s="4" t="s">
        <v>194</v>
      </c>
      <c r="B4327" s="5" t="s">
        <v>195</v>
      </c>
      <c r="C4327" s="5" t="s">
        <v>196</v>
      </c>
      <c r="D4327" s="4" t="s">
        <v>16</v>
      </c>
      <c r="E4327" s="4" t="s">
        <v>4987</v>
      </c>
      <c r="F4327" s="4" t="s">
        <v>406</v>
      </c>
      <c r="G4327" s="4" t="s">
        <v>4988</v>
      </c>
      <c r="H4327" s="12" t="n">
        <v>1</v>
      </c>
      <c r="I4327" s="4" t="s">
        <v>408</v>
      </c>
      <c r="J4327" s="4" t="s">
        <v>416</v>
      </c>
      <c r="K4327" s="13" t="n">
        <v>2500</v>
      </c>
      <c r="L4327" s="6" t="n">
        <f aca="false">H4327*K4327</f>
        <v>2500</v>
      </c>
      <c r="M4327" s="14" t="s">
        <v>410</v>
      </c>
    </row>
    <row r="4328" customFormat="false" ht="15" hidden="false" customHeight="false" outlineLevel="0" collapsed="false">
      <c r="A4328" s="4" t="s">
        <v>194</v>
      </c>
      <c r="B4328" s="5" t="s">
        <v>195</v>
      </c>
      <c r="C4328" s="5" t="s">
        <v>196</v>
      </c>
      <c r="D4328" s="4" t="s">
        <v>16</v>
      </c>
      <c r="E4328" s="4" t="s">
        <v>4989</v>
      </c>
      <c r="F4328" s="4" t="s">
        <v>406</v>
      </c>
      <c r="G4328" s="4" t="s">
        <v>4990</v>
      </c>
      <c r="H4328" s="12" t="n">
        <v>1</v>
      </c>
      <c r="I4328" s="4" t="s">
        <v>408</v>
      </c>
      <c r="J4328" s="4" t="s">
        <v>416</v>
      </c>
      <c r="K4328" s="13" t="n">
        <v>850</v>
      </c>
      <c r="L4328" s="6" t="n">
        <f aca="false">H4328*K4328</f>
        <v>850</v>
      </c>
      <c r="M4328" s="4" t="s">
        <v>371</v>
      </c>
    </row>
    <row r="4329" customFormat="false" ht="15" hidden="false" customHeight="false" outlineLevel="0" collapsed="false">
      <c r="A4329" s="4" t="s">
        <v>194</v>
      </c>
      <c r="B4329" s="5" t="s">
        <v>195</v>
      </c>
      <c r="C4329" s="5" t="s">
        <v>196</v>
      </c>
      <c r="D4329" s="4" t="s">
        <v>16</v>
      </c>
      <c r="E4329" s="4" t="s">
        <v>4991</v>
      </c>
      <c r="F4329" s="4" t="s">
        <v>406</v>
      </c>
      <c r="G4329" s="4" t="s">
        <v>4992</v>
      </c>
      <c r="H4329" s="12" t="n">
        <v>1</v>
      </c>
      <c r="I4329" s="4" t="s">
        <v>408</v>
      </c>
      <c r="J4329" s="4" t="s">
        <v>409</v>
      </c>
      <c r="K4329" s="13" t="n">
        <v>850</v>
      </c>
      <c r="L4329" s="6" t="n">
        <f aca="false">H4329*K4329</f>
        <v>850</v>
      </c>
      <c r="M4329" s="14" t="s">
        <v>410</v>
      </c>
    </row>
    <row r="4330" customFormat="false" ht="15" hidden="false" customHeight="false" outlineLevel="0" collapsed="false">
      <c r="A4330" s="4" t="s">
        <v>194</v>
      </c>
      <c r="B4330" s="5" t="s">
        <v>195</v>
      </c>
      <c r="C4330" s="5" t="s">
        <v>196</v>
      </c>
      <c r="D4330" s="4" t="s">
        <v>16</v>
      </c>
      <c r="E4330" s="4" t="s">
        <v>4993</v>
      </c>
      <c r="F4330" s="4" t="s">
        <v>406</v>
      </c>
      <c r="G4330" s="4" t="s">
        <v>4994</v>
      </c>
      <c r="H4330" s="12" t="n">
        <v>1</v>
      </c>
      <c r="I4330" s="4" t="s">
        <v>408</v>
      </c>
      <c r="J4330" s="4" t="s">
        <v>409</v>
      </c>
      <c r="K4330" s="13" t="n">
        <v>350</v>
      </c>
      <c r="L4330" s="6" t="n">
        <f aca="false">H4330*K4330</f>
        <v>350</v>
      </c>
      <c r="M4330" s="14" t="s">
        <v>410</v>
      </c>
    </row>
    <row r="4331" customFormat="false" ht="15" hidden="false" customHeight="false" outlineLevel="0" collapsed="false">
      <c r="A4331" s="4" t="s">
        <v>194</v>
      </c>
      <c r="B4331" s="5" t="s">
        <v>195</v>
      </c>
      <c r="C4331" s="5" t="s">
        <v>196</v>
      </c>
      <c r="D4331" s="4" t="s">
        <v>16</v>
      </c>
      <c r="E4331" s="4" t="s">
        <v>2225</v>
      </c>
      <c r="F4331" s="4" t="s">
        <v>406</v>
      </c>
      <c r="G4331" s="4" t="s">
        <v>2226</v>
      </c>
      <c r="H4331" s="12" t="n">
        <v>1</v>
      </c>
      <c r="I4331" s="4" t="s">
        <v>408</v>
      </c>
      <c r="J4331" s="4" t="s">
        <v>409</v>
      </c>
      <c r="K4331" s="13" t="n">
        <v>350</v>
      </c>
      <c r="L4331" s="6" t="n">
        <f aca="false">H4331*K4331</f>
        <v>350</v>
      </c>
      <c r="M4331" s="14" t="s">
        <v>410</v>
      </c>
    </row>
    <row r="4332" customFormat="false" ht="15" hidden="false" customHeight="false" outlineLevel="0" collapsed="false">
      <c r="A4332" s="4" t="s">
        <v>194</v>
      </c>
      <c r="B4332" s="5" t="s">
        <v>195</v>
      </c>
      <c r="C4332" s="5" t="s">
        <v>196</v>
      </c>
      <c r="D4332" s="4" t="s">
        <v>16</v>
      </c>
      <c r="E4332" s="4" t="s">
        <v>4975</v>
      </c>
      <c r="F4332" s="4" t="s">
        <v>406</v>
      </c>
      <c r="G4332" s="4" t="s">
        <v>4976</v>
      </c>
      <c r="H4332" s="12" t="n">
        <v>10</v>
      </c>
      <c r="I4332" s="4" t="s">
        <v>474</v>
      </c>
      <c r="J4332" s="4" t="s">
        <v>409</v>
      </c>
      <c r="K4332" s="13" t="n">
        <v>850</v>
      </c>
      <c r="L4332" s="6" t="n">
        <f aca="false">H4332*K4332</f>
        <v>8500</v>
      </c>
      <c r="M4332" s="14" t="s">
        <v>410</v>
      </c>
    </row>
    <row r="4333" customFormat="false" ht="15" hidden="false" customHeight="false" outlineLevel="0" collapsed="false">
      <c r="A4333" s="4" t="s">
        <v>194</v>
      </c>
      <c r="B4333" s="5" t="s">
        <v>195</v>
      </c>
      <c r="C4333" s="5" t="s">
        <v>196</v>
      </c>
      <c r="D4333" s="4" t="s">
        <v>16</v>
      </c>
      <c r="E4333" s="4" t="s">
        <v>4977</v>
      </c>
      <c r="F4333" s="4" t="s">
        <v>406</v>
      </c>
      <c r="G4333" s="4" t="s">
        <v>4978</v>
      </c>
      <c r="H4333" s="12" t="n">
        <v>4</v>
      </c>
      <c r="I4333" s="4" t="s">
        <v>474</v>
      </c>
      <c r="J4333" s="4" t="s">
        <v>409</v>
      </c>
      <c r="K4333" s="13" t="n">
        <v>1200</v>
      </c>
      <c r="L4333" s="6" t="n">
        <f aca="false">H4333*K4333</f>
        <v>4800</v>
      </c>
      <c r="M4333" s="14" t="s">
        <v>410</v>
      </c>
    </row>
    <row r="4334" customFormat="false" ht="15" hidden="false" customHeight="false" outlineLevel="0" collapsed="false">
      <c r="A4334" s="4" t="s">
        <v>194</v>
      </c>
      <c r="B4334" s="5" t="s">
        <v>195</v>
      </c>
      <c r="C4334" s="5" t="s">
        <v>196</v>
      </c>
      <c r="D4334" s="4" t="s">
        <v>16</v>
      </c>
      <c r="E4334" s="4" t="s">
        <v>4995</v>
      </c>
      <c r="F4334" s="4" t="s">
        <v>406</v>
      </c>
      <c r="G4334" s="4" t="s">
        <v>4996</v>
      </c>
      <c r="H4334" s="12" t="n">
        <v>5</v>
      </c>
      <c r="I4334" s="4" t="s">
        <v>474</v>
      </c>
      <c r="J4334" s="4" t="s">
        <v>409</v>
      </c>
      <c r="K4334" s="13" t="n">
        <v>4500</v>
      </c>
      <c r="L4334" s="6" t="n">
        <f aca="false">H4334*K4334</f>
        <v>22500</v>
      </c>
      <c r="M4334" s="4" t="s">
        <v>371</v>
      </c>
    </row>
    <row r="4335" customFormat="false" ht="15" hidden="false" customHeight="false" outlineLevel="0" collapsed="false">
      <c r="A4335" s="4" t="s">
        <v>194</v>
      </c>
      <c r="B4335" s="5" t="s">
        <v>195</v>
      </c>
      <c r="C4335" s="5" t="s">
        <v>196</v>
      </c>
      <c r="D4335" s="4" t="s">
        <v>16</v>
      </c>
      <c r="E4335" s="4" t="s">
        <v>4981</v>
      </c>
      <c r="F4335" s="4" t="s">
        <v>406</v>
      </c>
      <c r="G4335" s="4" t="s">
        <v>4982</v>
      </c>
      <c r="H4335" s="12" t="n">
        <v>20</v>
      </c>
      <c r="I4335" s="4" t="s">
        <v>474</v>
      </c>
      <c r="J4335" s="4" t="s">
        <v>409</v>
      </c>
      <c r="K4335" s="13" t="n">
        <v>850</v>
      </c>
      <c r="L4335" s="6" t="n">
        <f aca="false">H4335*K4335</f>
        <v>17000</v>
      </c>
      <c r="M4335" s="14" t="s">
        <v>410</v>
      </c>
    </row>
    <row r="4336" customFormat="false" ht="15" hidden="false" customHeight="false" outlineLevel="0" collapsed="false">
      <c r="A4336" s="4" t="s">
        <v>194</v>
      </c>
      <c r="B4336" s="5" t="s">
        <v>195</v>
      </c>
      <c r="C4336" s="5" t="s">
        <v>196</v>
      </c>
      <c r="D4336" s="4" t="s">
        <v>16</v>
      </c>
      <c r="E4336" s="4" t="s">
        <v>4983</v>
      </c>
      <c r="F4336" s="4" t="s">
        <v>406</v>
      </c>
      <c r="G4336" s="4" t="s">
        <v>4984</v>
      </c>
      <c r="H4336" s="12" t="n">
        <v>10</v>
      </c>
      <c r="I4336" s="4" t="s">
        <v>474</v>
      </c>
      <c r="J4336" s="4" t="s">
        <v>409</v>
      </c>
      <c r="K4336" s="13" t="n">
        <v>850</v>
      </c>
      <c r="L4336" s="6" t="n">
        <f aca="false">H4336*K4336</f>
        <v>8500</v>
      </c>
      <c r="M4336" s="14" t="s">
        <v>410</v>
      </c>
    </row>
    <row r="4337" customFormat="false" ht="15" hidden="false" customHeight="false" outlineLevel="0" collapsed="false">
      <c r="A4337" s="4" t="s">
        <v>194</v>
      </c>
      <c r="B4337" s="5" t="s">
        <v>195</v>
      </c>
      <c r="C4337" s="5" t="s">
        <v>196</v>
      </c>
      <c r="D4337" s="4" t="s">
        <v>16</v>
      </c>
      <c r="E4337" s="4" t="s">
        <v>4985</v>
      </c>
      <c r="F4337" s="4" t="s">
        <v>406</v>
      </c>
      <c r="G4337" s="4" t="s">
        <v>4986</v>
      </c>
      <c r="H4337" s="12" t="n">
        <v>10</v>
      </c>
      <c r="I4337" s="4" t="s">
        <v>474</v>
      </c>
      <c r="J4337" s="4" t="s">
        <v>409</v>
      </c>
      <c r="K4337" s="13" t="n">
        <v>850</v>
      </c>
      <c r="L4337" s="6" t="n">
        <f aca="false">H4337*K4337</f>
        <v>8500</v>
      </c>
      <c r="M4337" s="14" t="s">
        <v>410</v>
      </c>
    </row>
    <row r="4338" customFormat="false" ht="15" hidden="false" customHeight="false" outlineLevel="0" collapsed="false">
      <c r="A4338" s="4" t="s">
        <v>194</v>
      </c>
      <c r="B4338" s="5" t="s">
        <v>195</v>
      </c>
      <c r="C4338" s="5" t="s">
        <v>196</v>
      </c>
      <c r="D4338" s="4" t="s">
        <v>16</v>
      </c>
      <c r="E4338" s="4" t="s">
        <v>525</v>
      </c>
      <c r="F4338" s="4" t="s">
        <v>406</v>
      </c>
      <c r="G4338" s="4" t="s">
        <v>526</v>
      </c>
      <c r="H4338" s="12" t="n">
        <v>10</v>
      </c>
      <c r="I4338" s="4" t="s">
        <v>474</v>
      </c>
      <c r="J4338" s="4" t="s">
        <v>409</v>
      </c>
      <c r="K4338" s="13" t="n">
        <v>850</v>
      </c>
      <c r="L4338" s="6" t="n">
        <f aca="false">H4338*K4338</f>
        <v>8500</v>
      </c>
      <c r="M4338" s="14" t="s">
        <v>410</v>
      </c>
    </row>
    <row r="4339" customFormat="false" ht="15" hidden="false" customHeight="false" outlineLevel="0" collapsed="false">
      <c r="A4339" s="4" t="s">
        <v>194</v>
      </c>
      <c r="B4339" s="5" t="s">
        <v>195</v>
      </c>
      <c r="C4339" s="5" t="s">
        <v>196</v>
      </c>
      <c r="D4339" s="4" t="s">
        <v>16</v>
      </c>
      <c r="E4339" s="4" t="s">
        <v>4987</v>
      </c>
      <c r="F4339" s="4" t="s">
        <v>406</v>
      </c>
      <c r="G4339" s="4" t="s">
        <v>4988</v>
      </c>
      <c r="H4339" s="12" t="n">
        <v>5</v>
      </c>
      <c r="I4339" s="4" t="s">
        <v>474</v>
      </c>
      <c r="J4339" s="4" t="s">
        <v>416</v>
      </c>
      <c r="K4339" s="13" t="n">
        <v>2500</v>
      </c>
      <c r="L4339" s="6" t="n">
        <f aca="false">H4339*K4339</f>
        <v>12500</v>
      </c>
      <c r="M4339" s="14" t="s">
        <v>410</v>
      </c>
    </row>
    <row r="4340" customFormat="false" ht="15" hidden="false" customHeight="false" outlineLevel="0" collapsed="false">
      <c r="A4340" s="4" t="s">
        <v>194</v>
      </c>
      <c r="B4340" s="5" t="s">
        <v>195</v>
      </c>
      <c r="C4340" s="5" t="s">
        <v>196</v>
      </c>
      <c r="D4340" s="4" t="s">
        <v>16</v>
      </c>
      <c r="E4340" s="4" t="s">
        <v>4989</v>
      </c>
      <c r="F4340" s="4" t="s">
        <v>406</v>
      </c>
      <c r="G4340" s="4" t="s">
        <v>4990</v>
      </c>
      <c r="H4340" s="12" t="n">
        <v>20</v>
      </c>
      <c r="I4340" s="4" t="s">
        <v>474</v>
      </c>
      <c r="J4340" s="4" t="s">
        <v>416</v>
      </c>
      <c r="K4340" s="13" t="n">
        <v>850</v>
      </c>
      <c r="L4340" s="6" t="n">
        <f aca="false">H4340*K4340</f>
        <v>17000</v>
      </c>
      <c r="M4340" s="4" t="s">
        <v>371</v>
      </c>
    </row>
    <row r="4341" customFormat="false" ht="15" hidden="false" customHeight="false" outlineLevel="0" collapsed="false">
      <c r="A4341" s="4" t="s">
        <v>194</v>
      </c>
      <c r="B4341" s="5" t="s">
        <v>195</v>
      </c>
      <c r="C4341" s="5" t="s">
        <v>196</v>
      </c>
      <c r="D4341" s="4" t="s">
        <v>16</v>
      </c>
      <c r="E4341" s="4" t="s">
        <v>4991</v>
      </c>
      <c r="F4341" s="4" t="s">
        <v>406</v>
      </c>
      <c r="G4341" s="4" t="s">
        <v>4992</v>
      </c>
      <c r="H4341" s="12" t="n">
        <v>10</v>
      </c>
      <c r="I4341" s="4" t="s">
        <v>474</v>
      </c>
      <c r="J4341" s="4" t="s">
        <v>409</v>
      </c>
      <c r="K4341" s="13" t="n">
        <v>850</v>
      </c>
      <c r="L4341" s="6" t="n">
        <f aca="false">H4341*K4341</f>
        <v>8500</v>
      </c>
      <c r="M4341" s="14" t="s">
        <v>410</v>
      </c>
    </row>
    <row r="4342" customFormat="false" ht="15" hidden="false" customHeight="false" outlineLevel="0" collapsed="false">
      <c r="A4342" s="4" t="s">
        <v>194</v>
      </c>
      <c r="B4342" s="5" t="s">
        <v>195</v>
      </c>
      <c r="C4342" s="5" t="s">
        <v>196</v>
      </c>
      <c r="D4342" s="4" t="s">
        <v>16</v>
      </c>
      <c r="E4342" s="4" t="s">
        <v>4993</v>
      </c>
      <c r="F4342" s="4" t="s">
        <v>406</v>
      </c>
      <c r="G4342" s="4" t="s">
        <v>4994</v>
      </c>
      <c r="H4342" s="12" t="n">
        <v>20</v>
      </c>
      <c r="I4342" s="4" t="s">
        <v>474</v>
      </c>
      <c r="J4342" s="4" t="s">
        <v>409</v>
      </c>
      <c r="K4342" s="13" t="n">
        <v>350</v>
      </c>
      <c r="L4342" s="6" t="n">
        <f aca="false">H4342*K4342</f>
        <v>7000</v>
      </c>
      <c r="M4342" s="14" t="s">
        <v>410</v>
      </c>
    </row>
    <row r="4343" customFormat="false" ht="15" hidden="false" customHeight="false" outlineLevel="0" collapsed="false">
      <c r="A4343" s="4" t="s">
        <v>194</v>
      </c>
      <c r="B4343" s="5" t="s">
        <v>195</v>
      </c>
      <c r="C4343" s="5" t="s">
        <v>196</v>
      </c>
      <c r="D4343" s="4" t="s">
        <v>16</v>
      </c>
      <c r="E4343" s="4" t="s">
        <v>777</v>
      </c>
      <c r="F4343" s="4" t="s">
        <v>406</v>
      </c>
      <c r="G4343" s="4" t="s">
        <v>778</v>
      </c>
      <c r="H4343" s="12" t="n">
        <v>20</v>
      </c>
      <c r="I4343" s="4" t="s">
        <v>474</v>
      </c>
      <c r="J4343" s="4" t="s">
        <v>409</v>
      </c>
      <c r="K4343" s="13" t="n">
        <v>120</v>
      </c>
      <c r="L4343" s="6" t="n">
        <f aca="false">H4343*K4343</f>
        <v>2400</v>
      </c>
      <c r="M4343" s="14" t="s">
        <v>410</v>
      </c>
    </row>
    <row r="4344" customFormat="false" ht="15" hidden="false" customHeight="false" outlineLevel="0" collapsed="false">
      <c r="A4344" s="4" t="s">
        <v>194</v>
      </c>
      <c r="B4344" s="5" t="s">
        <v>195</v>
      </c>
      <c r="C4344" s="5" t="s">
        <v>196</v>
      </c>
      <c r="D4344" s="4" t="s">
        <v>16</v>
      </c>
      <c r="E4344" s="4" t="s">
        <v>4997</v>
      </c>
      <c r="F4344" s="4" t="s">
        <v>406</v>
      </c>
      <c r="G4344" s="4" t="s">
        <v>4998</v>
      </c>
      <c r="H4344" s="12" t="n">
        <v>1</v>
      </c>
      <c r="I4344" s="4" t="s">
        <v>408</v>
      </c>
      <c r="J4344" s="4" t="s">
        <v>416</v>
      </c>
      <c r="K4344" s="13" t="n">
        <v>25000</v>
      </c>
      <c r="L4344" s="6" t="n">
        <f aca="false">H4344*K4344</f>
        <v>25000</v>
      </c>
      <c r="M4344" s="4" t="s">
        <v>371</v>
      </c>
    </row>
    <row r="4345" customFormat="false" ht="15" hidden="false" customHeight="false" outlineLevel="0" collapsed="false">
      <c r="A4345" s="4" t="s">
        <v>194</v>
      </c>
      <c r="B4345" s="5" t="s">
        <v>195</v>
      </c>
      <c r="C4345" s="5" t="s">
        <v>196</v>
      </c>
      <c r="D4345" s="4" t="s">
        <v>16</v>
      </c>
      <c r="E4345" s="4" t="s">
        <v>4999</v>
      </c>
      <c r="F4345" s="4" t="s">
        <v>406</v>
      </c>
      <c r="G4345" s="4" t="s">
        <v>5000</v>
      </c>
      <c r="H4345" s="12" t="n">
        <v>1</v>
      </c>
      <c r="I4345" s="4" t="s">
        <v>408</v>
      </c>
      <c r="J4345" s="4" t="s">
        <v>409</v>
      </c>
      <c r="K4345" s="13" t="n">
        <v>2500</v>
      </c>
      <c r="L4345" s="6" t="n">
        <f aca="false">H4345*K4345</f>
        <v>2500</v>
      </c>
      <c r="M4345" s="4" t="s">
        <v>371</v>
      </c>
    </row>
    <row r="4346" customFormat="false" ht="15" hidden="false" customHeight="false" outlineLevel="0" collapsed="false">
      <c r="A4346" s="4" t="s">
        <v>194</v>
      </c>
      <c r="B4346" s="5" t="s">
        <v>195</v>
      </c>
      <c r="C4346" s="5" t="s">
        <v>196</v>
      </c>
      <c r="D4346" s="4" t="s">
        <v>16</v>
      </c>
      <c r="E4346" s="4" t="s">
        <v>5001</v>
      </c>
      <c r="F4346" s="4" t="s">
        <v>406</v>
      </c>
      <c r="G4346" s="4" t="s">
        <v>5002</v>
      </c>
      <c r="H4346" s="12" t="n">
        <v>1</v>
      </c>
      <c r="I4346" s="4" t="s">
        <v>408</v>
      </c>
      <c r="J4346" s="4" t="s">
        <v>409</v>
      </c>
      <c r="K4346" s="13" t="n">
        <v>8500</v>
      </c>
      <c r="L4346" s="6" t="n">
        <f aca="false">H4346*K4346</f>
        <v>8500</v>
      </c>
      <c r="M4346" s="14" t="s">
        <v>410</v>
      </c>
    </row>
    <row r="4347" customFormat="false" ht="15" hidden="false" customHeight="false" outlineLevel="0" collapsed="false">
      <c r="A4347" s="4" t="s">
        <v>194</v>
      </c>
      <c r="B4347" s="5" t="s">
        <v>195</v>
      </c>
      <c r="C4347" s="5" t="s">
        <v>196</v>
      </c>
      <c r="D4347" s="4" t="s">
        <v>16</v>
      </c>
      <c r="E4347" s="4" t="s">
        <v>5003</v>
      </c>
      <c r="F4347" s="4" t="s">
        <v>406</v>
      </c>
      <c r="G4347" s="4" t="s">
        <v>5004</v>
      </c>
      <c r="H4347" s="12" t="n">
        <v>1</v>
      </c>
      <c r="I4347" s="4" t="s">
        <v>408</v>
      </c>
      <c r="J4347" s="4" t="s">
        <v>409</v>
      </c>
      <c r="K4347" s="13" t="n">
        <v>3500</v>
      </c>
      <c r="L4347" s="6" t="n">
        <f aca="false">H4347*K4347</f>
        <v>3500</v>
      </c>
      <c r="M4347" s="14" t="s">
        <v>410</v>
      </c>
    </row>
    <row r="4348" customFormat="false" ht="15" hidden="false" customHeight="false" outlineLevel="0" collapsed="false">
      <c r="A4348" s="4" t="s">
        <v>194</v>
      </c>
      <c r="B4348" s="5" t="s">
        <v>195</v>
      </c>
      <c r="C4348" s="5" t="s">
        <v>196</v>
      </c>
      <c r="D4348" s="4" t="s">
        <v>16</v>
      </c>
      <c r="E4348" s="4" t="s">
        <v>5005</v>
      </c>
      <c r="F4348" s="4" t="s">
        <v>406</v>
      </c>
      <c r="G4348" s="4" t="s">
        <v>5006</v>
      </c>
      <c r="H4348" s="12" t="n">
        <v>1</v>
      </c>
      <c r="I4348" s="4" t="s">
        <v>408</v>
      </c>
      <c r="J4348" s="4" t="s">
        <v>409</v>
      </c>
      <c r="K4348" s="13" t="n">
        <v>4500</v>
      </c>
      <c r="L4348" s="6" t="n">
        <f aca="false">H4348*K4348</f>
        <v>4500</v>
      </c>
      <c r="M4348" s="14" t="s">
        <v>410</v>
      </c>
    </row>
    <row r="4349" customFormat="false" ht="15" hidden="false" customHeight="false" outlineLevel="0" collapsed="false">
      <c r="A4349" s="4" t="s">
        <v>194</v>
      </c>
      <c r="B4349" s="5" t="s">
        <v>195</v>
      </c>
      <c r="C4349" s="5" t="s">
        <v>196</v>
      </c>
      <c r="D4349" s="4" t="s">
        <v>16</v>
      </c>
      <c r="E4349" s="4" t="s">
        <v>2369</v>
      </c>
      <c r="F4349" s="4" t="s">
        <v>406</v>
      </c>
      <c r="G4349" s="4" t="s">
        <v>2370</v>
      </c>
      <c r="H4349" s="12" t="n">
        <v>1</v>
      </c>
      <c r="I4349" s="4" t="s">
        <v>408</v>
      </c>
      <c r="J4349" s="4" t="s">
        <v>543</v>
      </c>
      <c r="K4349" s="13" t="n">
        <v>25000</v>
      </c>
      <c r="L4349" s="6" t="n">
        <f aca="false">H4349*K4349</f>
        <v>25000</v>
      </c>
      <c r="M4349" s="4" t="s">
        <v>371</v>
      </c>
    </row>
    <row r="4350" customFormat="false" ht="15" hidden="false" customHeight="false" outlineLevel="0" collapsed="false">
      <c r="A4350" s="4" t="s">
        <v>194</v>
      </c>
      <c r="B4350" s="5" t="s">
        <v>195</v>
      </c>
      <c r="C4350" s="5" t="s">
        <v>196</v>
      </c>
      <c r="D4350" s="4" t="s">
        <v>16</v>
      </c>
      <c r="E4350" s="4" t="s">
        <v>2257</v>
      </c>
      <c r="F4350" s="4" t="s">
        <v>406</v>
      </c>
      <c r="G4350" s="4" t="s">
        <v>2258</v>
      </c>
      <c r="H4350" s="12" t="n">
        <v>1</v>
      </c>
      <c r="I4350" s="4" t="s">
        <v>408</v>
      </c>
      <c r="J4350" s="4" t="s">
        <v>409</v>
      </c>
      <c r="K4350" s="13" t="n">
        <v>6500</v>
      </c>
      <c r="L4350" s="6" t="n">
        <f aca="false">H4350*K4350</f>
        <v>6500</v>
      </c>
      <c r="M4350" s="14" t="s">
        <v>410</v>
      </c>
    </row>
    <row r="4351" customFormat="false" ht="15" hidden="false" customHeight="false" outlineLevel="0" collapsed="false">
      <c r="A4351" s="4" t="s">
        <v>194</v>
      </c>
      <c r="B4351" s="5" t="s">
        <v>195</v>
      </c>
      <c r="C4351" s="5" t="s">
        <v>196</v>
      </c>
      <c r="D4351" s="4" t="s">
        <v>16</v>
      </c>
      <c r="E4351" s="4" t="s">
        <v>2259</v>
      </c>
      <c r="F4351" s="4" t="s">
        <v>406</v>
      </c>
      <c r="G4351" s="4" t="s">
        <v>2260</v>
      </c>
      <c r="H4351" s="12" t="n">
        <v>1</v>
      </c>
      <c r="I4351" s="4" t="s">
        <v>408</v>
      </c>
      <c r="J4351" s="4" t="s">
        <v>409</v>
      </c>
      <c r="K4351" s="13" t="n">
        <v>85000</v>
      </c>
      <c r="L4351" s="6" t="n">
        <f aca="false">H4351*K4351</f>
        <v>85000</v>
      </c>
      <c r="M4351" s="14" t="s">
        <v>410</v>
      </c>
    </row>
    <row r="4352" customFormat="false" ht="15" hidden="false" customHeight="false" outlineLevel="0" collapsed="false">
      <c r="A4352" s="4" t="s">
        <v>194</v>
      </c>
      <c r="B4352" s="5" t="s">
        <v>195</v>
      </c>
      <c r="C4352" s="5" t="s">
        <v>196</v>
      </c>
      <c r="D4352" s="4" t="s">
        <v>16</v>
      </c>
      <c r="E4352" s="4" t="s">
        <v>2261</v>
      </c>
      <c r="F4352" s="4" t="s">
        <v>406</v>
      </c>
      <c r="G4352" s="4" t="s">
        <v>2262</v>
      </c>
      <c r="H4352" s="12" t="n">
        <v>1</v>
      </c>
      <c r="I4352" s="4" t="s">
        <v>408</v>
      </c>
      <c r="J4352" s="4" t="s">
        <v>409</v>
      </c>
      <c r="K4352" s="13" t="n">
        <v>18000</v>
      </c>
      <c r="L4352" s="6" t="n">
        <f aca="false">H4352*K4352</f>
        <v>18000</v>
      </c>
      <c r="M4352" s="14" t="s">
        <v>410</v>
      </c>
    </row>
    <row r="4353" customFormat="false" ht="15" hidden="false" customHeight="false" outlineLevel="0" collapsed="false">
      <c r="A4353" s="4" t="s">
        <v>194</v>
      </c>
      <c r="B4353" s="5" t="s">
        <v>195</v>
      </c>
      <c r="C4353" s="5" t="s">
        <v>196</v>
      </c>
      <c r="D4353" s="4" t="s">
        <v>16</v>
      </c>
      <c r="E4353" s="4" t="s">
        <v>2263</v>
      </c>
      <c r="F4353" s="4" t="s">
        <v>406</v>
      </c>
      <c r="G4353" s="4" t="s">
        <v>2264</v>
      </c>
      <c r="H4353" s="12" t="n">
        <v>1</v>
      </c>
      <c r="I4353" s="4" t="s">
        <v>408</v>
      </c>
      <c r="J4353" s="4" t="s">
        <v>409</v>
      </c>
      <c r="K4353" s="13" t="n">
        <v>25000</v>
      </c>
      <c r="L4353" s="6" t="n">
        <f aca="false">H4353*K4353</f>
        <v>25000</v>
      </c>
      <c r="M4353" s="4" t="s">
        <v>371</v>
      </c>
    </row>
    <row r="4354" customFormat="false" ht="15" hidden="false" customHeight="false" outlineLevel="0" collapsed="false">
      <c r="A4354" s="4" t="s">
        <v>194</v>
      </c>
      <c r="B4354" s="5" t="s">
        <v>195</v>
      </c>
      <c r="C4354" s="5" t="s">
        <v>196</v>
      </c>
      <c r="D4354" s="4" t="s">
        <v>16</v>
      </c>
      <c r="E4354" s="4" t="s">
        <v>5007</v>
      </c>
      <c r="F4354" s="4" t="s">
        <v>406</v>
      </c>
      <c r="G4354" s="4" t="s">
        <v>2266</v>
      </c>
      <c r="H4354" s="12" t="n">
        <v>1</v>
      </c>
      <c r="I4354" s="4" t="s">
        <v>408</v>
      </c>
      <c r="J4354" s="4" t="s">
        <v>416</v>
      </c>
      <c r="K4354" s="13" t="n">
        <v>18000</v>
      </c>
      <c r="L4354" s="6" t="n">
        <f aca="false">H4354*K4354</f>
        <v>18000</v>
      </c>
      <c r="M4354" s="4" t="s">
        <v>371</v>
      </c>
    </row>
    <row r="4355" customFormat="false" ht="15" hidden="false" customHeight="false" outlineLevel="0" collapsed="false">
      <c r="A4355" s="4" t="s">
        <v>194</v>
      </c>
      <c r="B4355" s="5" t="s">
        <v>195</v>
      </c>
      <c r="C4355" s="5" t="s">
        <v>196</v>
      </c>
      <c r="D4355" s="4" t="s">
        <v>16</v>
      </c>
      <c r="E4355" s="4" t="s">
        <v>4999</v>
      </c>
      <c r="F4355" s="4" t="s">
        <v>406</v>
      </c>
      <c r="G4355" s="4" t="s">
        <v>5000</v>
      </c>
      <c r="H4355" s="12" t="n">
        <v>5</v>
      </c>
      <c r="I4355" s="4" t="s">
        <v>474</v>
      </c>
      <c r="J4355" s="4" t="s">
        <v>409</v>
      </c>
      <c r="K4355" s="13" t="n">
        <v>2500</v>
      </c>
      <c r="L4355" s="6" t="n">
        <f aca="false">H4355*K4355</f>
        <v>12500</v>
      </c>
      <c r="M4355" s="4" t="s">
        <v>371</v>
      </c>
    </row>
    <row r="4356" customFormat="false" ht="15" hidden="false" customHeight="false" outlineLevel="0" collapsed="false">
      <c r="A4356" s="4" t="s">
        <v>194</v>
      </c>
      <c r="B4356" s="5" t="s">
        <v>195</v>
      </c>
      <c r="C4356" s="5" t="s">
        <v>196</v>
      </c>
      <c r="D4356" s="4" t="s">
        <v>16</v>
      </c>
      <c r="E4356" s="4" t="s">
        <v>5001</v>
      </c>
      <c r="F4356" s="4" t="s">
        <v>406</v>
      </c>
      <c r="G4356" s="4" t="s">
        <v>5002</v>
      </c>
      <c r="H4356" s="12" t="n">
        <v>5</v>
      </c>
      <c r="I4356" s="4" t="s">
        <v>474</v>
      </c>
      <c r="J4356" s="4" t="s">
        <v>409</v>
      </c>
      <c r="K4356" s="13" t="n">
        <v>8500</v>
      </c>
      <c r="L4356" s="6" t="n">
        <f aca="false">H4356*K4356</f>
        <v>42500</v>
      </c>
      <c r="M4356" s="14" t="s">
        <v>410</v>
      </c>
    </row>
    <row r="4357" customFormat="false" ht="15" hidden="false" customHeight="false" outlineLevel="0" collapsed="false">
      <c r="A4357" s="4" t="s">
        <v>194</v>
      </c>
      <c r="B4357" s="5" t="s">
        <v>195</v>
      </c>
      <c r="C4357" s="5" t="s">
        <v>196</v>
      </c>
      <c r="D4357" s="4" t="s">
        <v>16</v>
      </c>
      <c r="E4357" s="4" t="s">
        <v>5003</v>
      </c>
      <c r="F4357" s="4" t="s">
        <v>406</v>
      </c>
      <c r="G4357" s="4" t="s">
        <v>5004</v>
      </c>
      <c r="H4357" s="12" t="n">
        <v>5</v>
      </c>
      <c r="I4357" s="4" t="s">
        <v>474</v>
      </c>
      <c r="J4357" s="4" t="s">
        <v>409</v>
      </c>
      <c r="K4357" s="13" t="n">
        <v>3500</v>
      </c>
      <c r="L4357" s="6" t="n">
        <f aca="false">H4357*K4357</f>
        <v>17500</v>
      </c>
      <c r="M4357" s="14" t="s">
        <v>410</v>
      </c>
    </row>
    <row r="4358" customFormat="false" ht="15" hidden="false" customHeight="false" outlineLevel="0" collapsed="false">
      <c r="A4358" s="4" t="s">
        <v>194</v>
      </c>
      <c r="B4358" s="5" t="s">
        <v>195</v>
      </c>
      <c r="C4358" s="5" t="s">
        <v>196</v>
      </c>
      <c r="D4358" s="4" t="s">
        <v>16</v>
      </c>
      <c r="E4358" s="4" t="s">
        <v>5005</v>
      </c>
      <c r="F4358" s="4" t="s">
        <v>406</v>
      </c>
      <c r="G4358" s="4" t="s">
        <v>5006</v>
      </c>
      <c r="H4358" s="12" t="n">
        <v>10</v>
      </c>
      <c r="I4358" s="4" t="s">
        <v>474</v>
      </c>
      <c r="J4358" s="4" t="s">
        <v>409</v>
      </c>
      <c r="K4358" s="13" t="n">
        <v>4500</v>
      </c>
      <c r="L4358" s="6" t="n">
        <f aca="false">H4358*K4358</f>
        <v>45000</v>
      </c>
      <c r="M4358" s="14" t="s">
        <v>410</v>
      </c>
    </row>
    <row r="4359" customFormat="false" ht="15" hidden="false" customHeight="false" outlineLevel="0" collapsed="false">
      <c r="A4359" s="4" t="s">
        <v>194</v>
      </c>
      <c r="B4359" s="5" t="s">
        <v>195</v>
      </c>
      <c r="C4359" s="5" t="s">
        <v>196</v>
      </c>
      <c r="D4359" s="4" t="s">
        <v>16</v>
      </c>
      <c r="E4359" s="4" t="s">
        <v>5008</v>
      </c>
      <c r="F4359" s="4" t="s">
        <v>406</v>
      </c>
      <c r="G4359" s="4" t="s">
        <v>5009</v>
      </c>
      <c r="H4359" s="12" t="n">
        <v>1</v>
      </c>
      <c r="I4359" s="4" t="s">
        <v>408</v>
      </c>
      <c r="J4359" s="4" t="s">
        <v>409</v>
      </c>
      <c r="K4359" s="13" t="n">
        <v>250000</v>
      </c>
      <c r="L4359" s="6" t="n">
        <f aca="false">H4359*K4359</f>
        <v>250000</v>
      </c>
      <c r="M4359" s="14" t="s">
        <v>410</v>
      </c>
    </row>
    <row r="4360" customFormat="false" ht="15" hidden="false" customHeight="false" outlineLevel="0" collapsed="false">
      <c r="A4360" s="4" t="s">
        <v>194</v>
      </c>
      <c r="B4360" s="5" t="s">
        <v>195</v>
      </c>
      <c r="C4360" s="5" t="s">
        <v>196</v>
      </c>
      <c r="D4360" s="4" t="s">
        <v>16</v>
      </c>
      <c r="E4360" s="4" t="s">
        <v>5010</v>
      </c>
      <c r="F4360" s="4" t="s">
        <v>406</v>
      </c>
      <c r="G4360" s="4" t="s">
        <v>5011</v>
      </c>
      <c r="H4360" s="12" t="n">
        <v>1</v>
      </c>
      <c r="I4360" s="4" t="s">
        <v>408</v>
      </c>
      <c r="J4360" s="4" t="s">
        <v>409</v>
      </c>
      <c r="K4360" s="13" t="n">
        <v>180000</v>
      </c>
      <c r="L4360" s="6" t="n">
        <f aca="false">H4360*K4360</f>
        <v>180000</v>
      </c>
      <c r="M4360" s="14" t="s">
        <v>410</v>
      </c>
    </row>
    <row r="4361" customFormat="false" ht="15" hidden="false" customHeight="false" outlineLevel="0" collapsed="false">
      <c r="A4361" s="4" t="s">
        <v>194</v>
      </c>
      <c r="B4361" s="5" t="s">
        <v>195</v>
      </c>
      <c r="C4361" s="5" t="s">
        <v>196</v>
      </c>
      <c r="D4361" s="4" t="s">
        <v>16</v>
      </c>
      <c r="E4361" s="4" t="s">
        <v>5012</v>
      </c>
      <c r="F4361" s="4" t="s">
        <v>406</v>
      </c>
      <c r="G4361" s="4" t="s">
        <v>5013</v>
      </c>
      <c r="H4361" s="12" t="n">
        <v>1</v>
      </c>
      <c r="I4361" s="4" t="s">
        <v>408</v>
      </c>
      <c r="J4361" s="4" t="s">
        <v>409</v>
      </c>
      <c r="K4361" s="13" t="n">
        <v>180000</v>
      </c>
      <c r="L4361" s="6" t="n">
        <f aca="false">H4361*K4361</f>
        <v>180000</v>
      </c>
      <c r="M4361" s="14" t="s">
        <v>410</v>
      </c>
    </row>
    <row r="4362" customFormat="false" ht="15" hidden="false" customHeight="false" outlineLevel="0" collapsed="false">
      <c r="A4362" s="4" t="s">
        <v>194</v>
      </c>
      <c r="B4362" s="5" t="s">
        <v>195</v>
      </c>
      <c r="C4362" s="5" t="s">
        <v>196</v>
      </c>
      <c r="D4362" s="4" t="s">
        <v>16</v>
      </c>
      <c r="E4362" s="4" t="s">
        <v>5014</v>
      </c>
      <c r="F4362" s="4" t="s">
        <v>406</v>
      </c>
      <c r="G4362" s="4" t="s">
        <v>5015</v>
      </c>
      <c r="H4362" s="12" t="n">
        <v>1</v>
      </c>
      <c r="I4362" s="4" t="s">
        <v>408</v>
      </c>
      <c r="J4362" s="4" t="s">
        <v>409</v>
      </c>
      <c r="K4362" s="13" t="n">
        <v>180000</v>
      </c>
      <c r="L4362" s="6" t="n">
        <f aca="false">H4362*K4362</f>
        <v>180000</v>
      </c>
      <c r="M4362" s="14" t="s">
        <v>410</v>
      </c>
    </row>
    <row r="4363" customFormat="false" ht="15" hidden="false" customHeight="false" outlineLevel="0" collapsed="false">
      <c r="A4363" s="4" t="s">
        <v>194</v>
      </c>
      <c r="B4363" s="5" t="s">
        <v>195</v>
      </c>
      <c r="C4363" s="5" t="s">
        <v>196</v>
      </c>
      <c r="D4363" s="4" t="s">
        <v>16</v>
      </c>
      <c r="E4363" s="4" t="s">
        <v>5016</v>
      </c>
      <c r="F4363" s="4" t="s">
        <v>406</v>
      </c>
      <c r="G4363" s="4" t="s">
        <v>5017</v>
      </c>
      <c r="H4363" s="12" t="n">
        <v>1</v>
      </c>
      <c r="I4363" s="4" t="s">
        <v>408</v>
      </c>
      <c r="J4363" s="4" t="s">
        <v>409</v>
      </c>
      <c r="K4363" s="13" t="n">
        <v>85000</v>
      </c>
      <c r="L4363" s="6" t="n">
        <f aca="false">H4363*K4363</f>
        <v>85000</v>
      </c>
      <c r="M4363" s="14" t="s">
        <v>410</v>
      </c>
    </row>
    <row r="4364" customFormat="false" ht="15" hidden="false" customHeight="false" outlineLevel="0" collapsed="false">
      <c r="A4364" s="4" t="s">
        <v>194</v>
      </c>
      <c r="B4364" s="5" t="s">
        <v>195</v>
      </c>
      <c r="C4364" s="5" t="s">
        <v>196</v>
      </c>
      <c r="D4364" s="4" t="s">
        <v>16</v>
      </c>
      <c r="E4364" s="4" t="s">
        <v>5018</v>
      </c>
      <c r="F4364" s="4" t="s">
        <v>406</v>
      </c>
      <c r="G4364" s="4" t="s">
        <v>5019</v>
      </c>
      <c r="H4364" s="12" t="n">
        <v>1</v>
      </c>
      <c r="I4364" s="4" t="s">
        <v>408</v>
      </c>
      <c r="J4364" s="4" t="s">
        <v>409</v>
      </c>
      <c r="K4364" s="13" t="n">
        <v>250000</v>
      </c>
      <c r="L4364" s="6" t="n">
        <f aca="false">H4364*K4364</f>
        <v>250000</v>
      </c>
      <c r="M4364" s="14" t="s">
        <v>410</v>
      </c>
    </row>
    <row r="4365" customFormat="false" ht="15" hidden="false" customHeight="false" outlineLevel="0" collapsed="false">
      <c r="A4365" s="4" t="s">
        <v>194</v>
      </c>
      <c r="B4365" s="5" t="s">
        <v>195</v>
      </c>
      <c r="C4365" s="5" t="s">
        <v>196</v>
      </c>
      <c r="D4365" s="4" t="s">
        <v>16</v>
      </c>
      <c r="E4365" s="4" t="s">
        <v>5020</v>
      </c>
      <c r="F4365" s="4" t="s">
        <v>406</v>
      </c>
      <c r="G4365" s="4" t="s">
        <v>5021</v>
      </c>
      <c r="H4365" s="12" t="n">
        <v>1</v>
      </c>
      <c r="I4365" s="4" t="s">
        <v>408</v>
      </c>
      <c r="J4365" s="4" t="s">
        <v>409</v>
      </c>
      <c r="K4365" s="13" t="n">
        <v>450000</v>
      </c>
      <c r="L4365" s="6" t="n">
        <f aca="false">H4365*K4365</f>
        <v>450000</v>
      </c>
      <c r="M4365" s="14" t="s">
        <v>410</v>
      </c>
    </row>
    <row r="4366" customFormat="false" ht="15" hidden="false" customHeight="false" outlineLevel="0" collapsed="false">
      <c r="A4366" s="4" t="s">
        <v>194</v>
      </c>
      <c r="B4366" s="5" t="s">
        <v>195</v>
      </c>
      <c r="C4366" s="5" t="s">
        <v>196</v>
      </c>
      <c r="D4366" s="4" t="s">
        <v>16</v>
      </c>
      <c r="E4366" s="4" t="s">
        <v>5022</v>
      </c>
      <c r="F4366" s="4" t="s">
        <v>406</v>
      </c>
      <c r="G4366" s="4" t="s">
        <v>5023</v>
      </c>
      <c r="H4366" s="12" t="n">
        <v>1</v>
      </c>
      <c r="I4366" s="4" t="s">
        <v>408</v>
      </c>
      <c r="J4366" s="4" t="s">
        <v>409</v>
      </c>
      <c r="K4366" s="13" t="n">
        <v>250000</v>
      </c>
      <c r="L4366" s="6" t="n">
        <f aca="false">H4366*K4366</f>
        <v>250000</v>
      </c>
      <c r="M4366" s="14" t="s">
        <v>410</v>
      </c>
    </row>
    <row r="4367" customFormat="false" ht="15" hidden="false" customHeight="false" outlineLevel="0" collapsed="false">
      <c r="A4367" s="4" t="s">
        <v>194</v>
      </c>
      <c r="B4367" s="5" t="s">
        <v>195</v>
      </c>
      <c r="C4367" s="5" t="s">
        <v>196</v>
      </c>
      <c r="D4367" s="4" t="s">
        <v>16</v>
      </c>
      <c r="E4367" s="4" t="s">
        <v>5024</v>
      </c>
      <c r="F4367" s="4" t="s">
        <v>406</v>
      </c>
      <c r="G4367" s="4" t="s">
        <v>5025</v>
      </c>
      <c r="H4367" s="12" t="n">
        <v>1</v>
      </c>
      <c r="I4367" s="4" t="s">
        <v>408</v>
      </c>
      <c r="J4367" s="4" t="s">
        <v>409</v>
      </c>
      <c r="K4367" s="13" t="n">
        <v>350000</v>
      </c>
      <c r="L4367" s="6" t="n">
        <f aca="false">H4367*K4367</f>
        <v>350000</v>
      </c>
      <c r="M4367" s="14" t="s">
        <v>410</v>
      </c>
    </row>
    <row r="4368" customFormat="false" ht="15" hidden="false" customHeight="false" outlineLevel="0" collapsed="false">
      <c r="A4368" s="4" t="s">
        <v>194</v>
      </c>
      <c r="B4368" s="5" t="s">
        <v>195</v>
      </c>
      <c r="C4368" s="5" t="s">
        <v>196</v>
      </c>
      <c r="D4368" s="4" t="s">
        <v>16</v>
      </c>
      <c r="E4368" s="4" t="s">
        <v>5008</v>
      </c>
      <c r="F4368" s="4" t="s">
        <v>406</v>
      </c>
      <c r="G4368" s="4" t="s">
        <v>5009</v>
      </c>
      <c r="H4368" s="12" t="n">
        <v>5</v>
      </c>
      <c r="I4368" s="4" t="s">
        <v>474</v>
      </c>
      <c r="J4368" s="4" t="s">
        <v>409</v>
      </c>
      <c r="K4368" s="13" t="n">
        <v>250000</v>
      </c>
      <c r="L4368" s="6" t="n">
        <f aca="false">H4368*K4368</f>
        <v>1250000</v>
      </c>
      <c r="M4368" s="14" t="s">
        <v>410</v>
      </c>
    </row>
    <row r="4369" customFormat="false" ht="15" hidden="false" customHeight="false" outlineLevel="0" collapsed="false">
      <c r="A4369" s="4" t="s">
        <v>194</v>
      </c>
      <c r="B4369" s="5" t="s">
        <v>195</v>
      </c>
      <c r="C4369" s="5" t="s">
        <v>196</v>
      </c>
      <c r="D4369" s="4" t="s">
        <v>16</v>
      </c>
      <c r="E4369" s="4" t="s">
        <v>5014</v>
      </c>
      <c r="F4369" s="4" t="s">
        <v>406</v>
      </c>
      <c r="G4369" s="4" t="s">
        <v>5015</v>
      </c>
      <c r="H4369" s="12" t="n">
        <v>1</v>
      </c>
      <c r="I4369" s="4" t="s">
        <v>474</v>
      </c>
      <c r="J4369" s="4" t="s">
        <v>409</v>
      </c>
      <c r="K4369" s="13" t="n">
        <v>180000</v>
      </c>
      <c r="L4369" s="6" t="n">
        <f aca="false">H4369*K4369</f>
        <v>180000</v>
      </c>
      <c r="M4369" s="14" t="s">
        <v>410</v>
      </c>
    </row>
    <row r="4370" customFormat="false" ht="15" hidden="false" customHeight="false" outlineLevel="0" collapsed="false">
      <c r="A4370" s="4" t="s">
        <v>194</v>
      </c>
      <c r="B4370" s="5" t="s">
        <v>195</v>
      </c>
      <c r="C4370" s="5" t="s">
        <v>196</v>
      </c>
      <c r="D4370" s="4" t="s">
        <v>16</v>
      </c>
      <c r="E4370" s="4" t="s">
        <v>5020</v>
      </c>
      <c r="F4370" s="4" t="s">
        <v>406</v>
      </c>
      <c r="G4370" s="4" t="s">
        <v>5021</v>
      </c>
      <c r="H4370" s="12" t="n">
        <v>1</v>
      </c>
      <c r="I4370" s="4" t="s">
        <v>474</v>
      </c>
      <c r="J4370" s="4" t="s">
        <v>409</v>
      </c>
      <c r="K4370" s="13" t="n">
        <v>450000</v>
      </c>
      <c r="L4370" s="6" t="n">
        <f aca="false">H4370*K4370</f>
        <v>450000</v>
      </c>
      <c r="M4370" s="14" t="s">
        <v>410</v>
      </c>
    </row>
    <row r="4371" customFormat="false" ht="15" hidden="false" customHeight="false" outlineLevel="0" collapsed="false">
      <c r="A4371" s="4" t="s">
        <v>194</v>
      </c>
      <c r="B4371" s="5" t="s">
        <v>195</v>
      </c>
      <c r="C4371" s="5" t="s">
        <v>196</v>
      </c>
      <c r="D4371" s="4" t="s">
        <v>16</v>
      </c>
      <c r="E4371" s="4" t="s">
        <v>2271</v>
      </c>
      <c r="F4371" s="4" t="s">
        <v>470</v>
      </c>
      <c r="G4371" s="4" t="s">
        <v>2272</v>
      </c>
      <c r="H4371" s="12" t="n">
        <v>1</v>
      </c>
      <c r="I4371" s="4" t="s">
        <v>408</v>
      </c>
      <c r="J4371" s="4" t="s">
        <v>409</v>
      </c>
      <c r="K4371" s="13" t="n">
        <v>4500</v>
      </c>
      <c r="L4371" s="6" t="n">
        <f aca="false">H4371*K4371</f>
        <v>4500</v>
      </c>
      <c r="M4371" s="14" t="s">
        <v>410</v>
      </c>
    </row>
    <row r="4372" customFormat="false" ht="15" hidden="false" customHeight="false" outlineLevel="0" collapsed="false">
      <c r="A4372" s="4" t="s">
        <v>194</v>
      </c>
      <c r="B4372" s="5" t="s">
        <v>195</v>
      </c>
      <c r="C4372" s="5" t="s">
        <v>196</v>
      </c>
      <c r="D4372" s="4" t="s">
        <v>16</v>
      </c>
      <c r="E4372" s="4" t="s">
        <v>2273</v>
      </c>
      <c r="F4372" s="4" t="s">
        <v>470</v>
      </c>
      <c r="G4372" s="4" t="s">
        <v>2274</v>
      </c>
      <c r="H4372" s="12" t="n">
        <v>1</v>
      </c>
      <c r="I4372" s="4" t="s">
        <v>408</v>
      </c>
      <c r="J4372" s="4" t="s">
        <v>409</v>
      </c>
      <c r="K4372" s="13" t="n">
        <v>25000</v>
      </c>
      <c r="L4372" s="6" t="n">
        <f aca="false">H4372*K4372</f>
        <v>25000</v>
      </c>
      <c r="M4372" s="14" t="s">
        <v>410</v>
      </c>
    </row>
    <row r="4373" customFormat="false" ht="15" hidden="false" customHeight="false" outlineLevel="0" collapsed="false">
      <c r="A4373" s="4" t="s">
        <v>194</v>
      </c>
      <c r="B4373" s="5" t="s">
        <v>195</v>
      </c>
      <c r="C4373" s="5" t="s">
        <v>196</v>
      </c>
      <c r="D4373" s="4" t="s">
        <v>16</v>
      </c>
      <c r="E4373" s="4" t="s">
        <v>2163</v>
      </c>
      <c r="F4373" s="4" t="s">
        <v>470</v>
      </c>
      <c r="G4373" s="4" t="s">
        <v>2164</v>
      </c>
      <c r="H4373" s="12" t="n">
        <v>1</v>
      </c>
      <c r="I4373" s="4" t="s">
        <v>408</v>
      </c>
      <c r="J4373" s="4" t="s">
        <v>409</v>
      </c>
      <c r="K4373" s="13" t="n">
        <v>35000</v>
      </c>
      <c r="L4373" s="6" t="n">
        <f aca="false">H4373*K4373</f>
        <v>35000</v>
      </c>
      <c r="M4373" s="14" t="s">
        <v>410</v>
      </c>
    </row>
    <row r="4374" customFormat="false" ht="15" hidden="false" customHeight="false" outlineLevel="0" collapsed="false">
      <c r="A4374" s="4" t="s">
        <v>194</v>
      </c>
      <c r="B4374" s="5" t="s">
        <v>195</v>
      </c>
      <c r="C4374" s="5" t="s">
        <v>196</v>
      </c>
      <c r="D4374" s="4" t="s">
        <v>16</v>
      </c>
      <c r="E4374" s="4" t="s">
        <v>1058</v>
      </c>
      <c r="F4374" s="4" t="s">
        <v>470</v>
      </c>
      <c r="G4374" s="4" t="s">
        <v>1059</v>
      </c>
      <c r="H4374" s="12" t="n">
        <v>1</v>
      </c>
      <c r="I4374" s="4" t="s">
        <v>408</v>
      </c>
      <c r="J4374" s="4" t="s">
        <v>409</v>
      </c>
      <c r="K4374" s="13" t="n">
        <v>45000</v>
      </c>
      <c r="L4374" s="6" t="n">
        <f aca="false">H4374*K4374</f>
        <v>45000</v>
      </c>
      <c r="M4374" s="14" t="s">
        <v>410</v>
      </c>
    </row>
    <row r="4375" customFormat="false" ht="15" hidden="false" customHeight="false" outlineLevel="0" collapsed="false">
      <c r="A4375" s="4" t="s">
        <v>194</v>
      </c>
      <c r="B4375" s="5" t="s">
        <v>195</v>
      </c>
      <c r="C4375" s="5" t="s">
        <v>196</v>
      </c>
      <c r="D4375" s="4" t="s">
        <v>16</v>
      </c>
      <c r="E4375" s="4" t="s">
        <v>5026</v>
      </c>
      <c r="F4375" s="4" t="s">
        <v>470</v>
      </c>
      <c r="G4375" s="4" t="s">
        <v>5027</v>
      </c>
      <c r="H4375" s="12" t="n">
        <v>1</v>
      </c>
      <c r="I4375" s="4" t="s">
        <v>408</v>
      </c>
      <c r="J4375" s="4" t="s">
        <v>416</v>
      </c>
      <c r="K4375" s="13" t="n">
        <v>450</v>
      </c>
      <c r="L4375" s="6" t="n">
        <f aca="false">H4375*K4375</f>
        <v>450</v>
      </c>
      <c r="M4375" s="4" t="s">
        <v>371</v>
      </c>
    </row>
    <row r="4376" customFormat="false" ht="15" hidden="false" customHeight="false" outlineLevel="0" collapsed="false">
      <c r="A4376" s="4" t="s">
        <v>194</v>
      </c>
      <c r="B4376" s="5" t="s">
        <v>195</v>
      </c>
      <c r="C4376" s="5" t="s">
        <v>196</v>
      </c>
      <c r="D4376" s="4" t="s">
        <v>16</v>
      </c>
      <c r="E4376" s="4" t="s">
        <v>5028</v>
      </c>
      <c r="F4376" s="4" t="s">
        <v>470</v>
      </c>
      <c r="G4376" s="4" t="s">
        <v>5029</v>
      </c>
      <c r="H4376" s="12" t="n">
        <v>1</v>
      </c>
      <c r="I4376" s="4" t="s">
        <v>408</v>
      </c>
      <c r="J4376" s="4" t="s">
        <v>409</v>
      </c>
      <c r="K4376" s="13" t="n">
        <v>450</v>
      </c>
      <c r="L4376" s="6" t="n">
        <f aca="false">H4376*K4376</f>
        <v>450</v>
      </c>
      <c r="M4376" s="4" t="s">
        <v>371</v>
      </c>
    </row>
    <row r="4377" customFormat="false" ht="15" hidden="false" customHeight="false" outlineLevel="0" collapsed="false">
      <c r="A4377" s="4" t="s">
        <v>194</v>
      </c>
      <c r="B4377" s="5" t="s">
        <v>195</v>
      </c>
      <c r="C4377" s="5" t="s">
        <v>196</v>
      </c>
      <c r="D4377" s="4" t="s">
        <v>16</v>
      </c>
      <c r="E4377" s="4" t="s">
        <v>5030</v>
      </c>
      <c r="F4377" s="4" t="s">
        <v>470</v>
      </c>
      <c r="G4377" s="4" t="s">
        <v>5031</v>
      </c>
      <c r="H4377" s="12" t="n">
        <v>1</v>
      </c>
      <c r="I4377" s="4" t="s">
        <v>408</v>
      </c>
      <c r="J4377" s="4" t="s">
        <v>475</v>
      </c>
      <c r="K4377" s="13" t="n">
        <v>450</v>
      </c>
      <c r="L4377" s="6" t="n">
        <f aca="false">H4377*K4377</f>
        <v>450</v>
      </c>
      <c r="M4377" s="4" t="s">
        <v>371</v>
      </c>
    </row>
    <row r="4378" customFormat="false" ht="15" hidden="false" customHeight="false" outlineLevel="0" collapsed="false">
      <c r="A4378" s="4" t="s">
        <v>194</v>
      </c>
      <c r="B4378" s="5" t="s">
        <v>195</v>
      </c>
      <c r="C4378" s="5" t="s">
        <v>196</v>
      </c>
      <c r="D4378" s="4" t="s">
        <v>16</v>
      </c>
      <c r="E4378" s="4" t="s">
        <v>469</v>
      </c>
      <c r="F4378" s="4" t="s">
        <v>470</v>
      </c>
      <c r="G4378" s="4" t="s">
        <v>471</v>
      </c>
      <c r="H4378" s="12" t="n">
        <v>1</v>
      </c>
      <c r="I4378" s="4" t="s">
        <v>408</v>
      </c>
      <c r="J4378" s="4" t="s">
        <v>409</v>
      </c>
      <c r="K4378" s="13" t="n">
        <v>350</v>
      </c>
      <c r="L4378" s="6" t="n">
        <f aca="false">H4378*K4378</f>
        <v>350</v>
      </c>
      <c r="M4378" s="4" t="s">
        <v>371</v>
      </c>
    </row>
    <row r="4379" customFormat="false" ht="15" hidden="false" customHeight="false" outlineLevel="0" collapsed="false">
      <c r="A4379" s="4" t="s">
        <v>194</v>
      </c>
      <c r="B4379" s="5" t="s">
        <v>195</v>
      </c>
      <c r="C4379" s="5" t="s">
        <v>196</v>
      </c>
      <c r="D4379" s="4" t="s">
        <v>16</v>
      </c>
      <c r="E4379" s="4" t="s">
        <v>1089</v>
      </c>
      <c r="F4379" s="4" t="s">
        <v>470</v>
      </c>
      <c r="G4379" s="4" t="s">
        <v>1090</v>
      </c>
      <c r="H4379" s="12" t="n">
        <v>1</v>
      </c>
      <c r="I4379" s="4" t="s">
        <v>408</v>
      </c>
      <c r="J4379" s="4" t="s">
        <v>409</v>
      </c>
      <c r="K4379" s="13" t="n">
        <v>3500</v>
      </c>
      <c r="L4379" s="6" t="n">
        <f aca="false">H4379*K4379</f>
        <v>3500</v>
      </c>
      <c r="M4379" s="4" t="s">
        <v>371</v>
      </c>
    </row>
    <row r="4380" customFormat="false" ht="15" hidden="false" customHeight="false" outlineLevel="0" collapsed="false">
      <c r="A4380" s="4" t="s">
        <v>194</v>
      </c>
      <c r="B4380" s="5" t="s">
        <v>195</v>
      </c>
      <c r="C4380" s="5" t="s">
        <v>196</v>
      </c>
      <c r="D4380" s="4" t="s">
        <v>16</v>
      </c>
      <c r="E4380" s="4" t="s">
        <v>2289</v>
      </c>
      <c r="F4380" s="4" t="s">
        <v>470</v>
      </c>
      <c r="G4380" s="4" t="s">
        <v>2290</v>
      </c>
      <c r="H4380" s="12" t="n">
        <v>1</v>
      </c>
      <c r="I4380" s="4" t="s">
        <v>408</v>
      </c>
      <c r="J4380" s="4" t="s">
        <v>409</v>
      </c>
      <c r="K4380" s="13" t="n">
        <v>2500</v>
      </c>
      <c r="L4380" s="6" t="n">
        <f aca="false">H4380*K4380</f>
        <v>2500</v>
      </c>
      <c r="M4380" s="4" t="s">
        <v>371</v>
      </c>
    </row>
    <row r="4381" customFormat="false" ht="15" hidden="false" customHeight="false" outlineLevel="0" collapsed="false">
      <c r="A4381" s="4" t="s">
        <v>194</v>
      </c>
      <c r="B4381" s="5" t="s">
        <v>195</v>
      </c>
      <c r="C4381" s="5" t="s">
        <v>196</v>
      </c>
      <c r="D4381" s="4" t="s">
        <v>16</v>
      </c>
      <c r="E4381" s="4" t="s">
        <v>2359</v>
      </c>
      <c r="F4381" s="4" t="s">
        <v>470</v>
      </c>
      <c r="G4381" s="4" t="s">
        <v>2360</v>
      </c>
      <c r="H4381" s="12" t="n">
        <v>1</v>
      </c>
      <c r="I4381" s="4" t="s">
        <v>408</v>
      </c>
      <c r="J4381" s="4" t="s">
        <v>416</v>
      </c>
      <c r="K4381" s="13" t="n">
        <v>4500</v>
      </c>
      <c r="L4381" s="6" t="n">
        <f aca="false">H4381*K4381</f>
        <v>4500</v>
      </c>
      <c r="M4381" s="4" t="s">
        <v>371</v>
      </c>
    </row>
    <row r="4382" customFormat="false" ht="15" hidden="false" customHeight="false" outlineLevel="0" collapsed="false">
      <c r="A4382" s="4" t="s">
        <v>194</v>
      </c>
      <c r="B4382" s="5" t="s">
        <v>195</v>
      </c>
      <c r="C4382" s="5" t="s">
        <v>196</v>
      </c>
      <c r="D4382" s="4" t="s">
        <v>16</v>
      </c>
      <c r="E4382" s="4" t="s">
        <v>5032</v>
      </c>
      <c r="F4382" s="4" t="s">
        <v>470</v>
      </c>
      <c r="G4382" s="4" t="s">
        <v>5033</v>
      </c>
      <c r="H4382" s="12" t="n">
        <v>40</v>
      </c>
      <c r="I4382" s="4" t="s">
        <v>474</v>
      </c>
      <c r="J4382" s="4" t="s">
        <v>475</v>
      </c>
      <c r="K4382" s="13" t="n">
        <v>180</v>
      </c>
      <c r="L4382" s="6" t="n">
        <f aca="false">H4382*K4382</f>
        <v>7200</v>
      </c>
      <c r="M4382" s="4" t="s">
        <v>371</v>
      </c>
    </row>
    <row r="4383" customFormat="false" ht="15" hidden="false" customHeight="false" outlineLevel="0" collapsed="false">
      <c r="A4383" s="4" t="s">
        <v>194</v>
      </c>
      <c r="B4383" s="5" t="s">
        <v>195</v>
      </c>
      <c r="C4383" s="5" t="s">
        <v>196</v>
      </c>
      <c r="D4383" s="4" t="s">
        <v>16</v>
      </c>
      <c r="E4383" s="4" t="s">
        <v>1096</v>
      </c>
      <c r="F4383" s="4" t="s">
        <v>470</v>
      </c>
      <c r="G4383" s="4" t="s">
        <v>1097</v>
      </c>
      <c r="H4383" s="12" t="n">
        <v>40</v>
      </c>
      <c r="I4383" s="4" t="s">
        <v>474</v>
      </c>
      <c r="J4383" s="4" t="s">
        <v>475</v>
      </c>
      <c r="K4383" s="13" t="n">
        <v>350</v>
      </c>
      <c r="L4383" s="6" t="n">
        <f aca="false">H4383*K4383</f>
        <v>14000</v>
      </c>
      <c r="M4383" s="4" t="s">
        <v>371</v>
      </c>
    </row>
    <row r="4384" customFormat="false" ht="15" hidden="false" customHeight="false" outlineLevel="0" collapsed="false">
      <c r="A4384" s="4" t="s">
        <v>194</v>
      </c>
      <c r="B4384" s="5" t="s">
        <v>195</v>
      </c>
      <c r="C4384" s="5" t="s">
        <v>196</v>
      </c>
      <c r="D4384" s="4" t="s">
        <v>16</v>
      </c>
      <c r="E4384" s="4" t="s">
        <v>5028</v>
      </c>
      <c r="F4384" s="4" t="s">
        <v>470</v>
      </c>
      <c r="G4384" s="4" t="s">
        <v>5029</v>
      </c>
      <c r="H4384" s="12" t="n">
        <v>40</v>
      </c>
      <c r="I4384" s="4" t="s">
        <v>474</v>
      </c>
      <c r="J4384" s="4" t="s">
        <v>409</v>
      </c>
      <c r="K4384" s="13" t="n">
        <v>450</v>
      </c>
      <c r="L4384" s="6" t="n">
        <f aca="false">H4384*K4384</f>
        <v>18000</v>
      </c>
      <c r="M4384" s="4" t="s">
        <v>371</v>
      </c>
    </row>
    <row r="4385" customFormat="false" ht="15" hidden="false" customHeight="false" outlineLevel="0" collapsed="false">
      <c r="A4385" s="4" t="s">
        <v>194</v>
      </c>
      <c r="B4385" s="5" t="s">
        <v>195</v>
      </c>
      <c r="C4385" s="5" t="s">
        <v>196</v>
      </c>
      <c r="D4385" s="4" t="s">
        <v>16</v>
      </c>
      <c r="E4385" s="4" t="s">
        <v>5030</v>
      </c>
      <c r="F4385" s="4" t="s">
        <v>470</v>
      </c>
      <c r="G4385" s="4" t="s">
        <v>5031</v>
      </c>
      <c r="H4385" s="12" t="n">
        <v>40</v>
      </c>
      <c r="I4385" s="4" t="s">
        <v>474</v>
      </c>
      <c r="J4385" s="4" t="s">
        <v>475</v>
      </c>
      <c r="K4385" s="13" t="n">
        <v>450</v>
      </c>
      <c r="L4385" s="6" t="n">
        <f aca="false">H4385*K4385</f>
        <v>18000</v>
      </c>
      <c r="M4385" s="4" t="s">
        <v>371</v>
      </c>
    </row>
    <row r="4386" customFormat="false" ht="15" hidden="false" customHeight="false" outlineLevel="0" collapsed="false">
      <c r="A4386" s="4" t="s">
        <v>194</v>
      </c>
      <c r="B4386" s="5" t="s">
        <v>195</v>
      </c>
      <c r="C4386" s="5" t="s">
        <v>196</v>
      </c>
      <c r="D4386" s="4" t="s">
        <v>16</v>
      </c>
      <c r="E4386" s="4" t="s">
        <v>469</v>
      </c>
      <c r="F4386" s="4" t="s">
        <v>470</v>
      </c>
      <c r="G4386" s="4" t="s">
        <v>471</v>
      </c>
      <c r="H4386" s="12" t="n">
        <v>40</v>
      </c>
      <c r="I4386" s="4" t="s">
        <v>474</v>
      </c>
      <c r="J4386" s="4" t="s">
        <v>409</v>
      </c>
      <c r="K4386" s="13" t="n">
        <v>350</v>
      </c>
      <c r="L4386" s="6" t="n">
        <f aca="false">H4386*K4386</f>
        <v>14000</v>
      </c>
      <c r="M4386" s="4" t="s">
        <v>371</v>
      </c>
    </row>
    <row r="4387" customFormat="false" ht="15" hidden="false" customHeight="false" outlineLevel="0" collapsed="false">
      <c r="A4387" s="4" t="s">
        <v>194</v>
      </c>
      <c r="B4387" s="5" t="s">
        <v>195</v>
      </c>
      <c r="C4387" s="5" t="s">
        <v>196</v>
      </c>
      <c r="D4387" s="4" t="s">
        <v>16</v>
      </c>
      <c r="E4387" s="4" t="s">
        <v>2373</v>
      </c>
      <c r="F4387" s="4" t="s">
        <v>470</v>
      </c>
      <c r="G4387" s="4" t="s">
        <v>2374</v>
      </c>
      <c r="H4387" s="12" t="n">
        <v>1</v>
      </c>
      <c r="I4387" s="4" t="s">
        <v>408</v>
      </c>
      <c r="J4387" s="4" t="s">
        <v>416</v>
      </c>
      <c r="K4387" s="13" t="n">
        <v>850</v>
      </c>
      <c r="L4387" s="6" t="n">
        <f aca="false">H4387*K4387</f>
        <v>850</v>
      </c>
      <c r="M4387" s="4" t="s">
        <v>371</v>
      </c>
    </row>
    <row r="4388" customFormat="false" ht="15" hidden="false" customHeight="false" outlineLevel="0" collapsed="false">
      <c r="A4388" s="4" t="s">
        <v>194</v>
      </c>
      <c r="B4388" s="5" t="s">
        <v>195</v>
      </c>
      <c r="C4388" s="5" t="s">
        <v>196</v>
      </c>
      <c r="D4388" s="4" t="s">
        <v>16</v>
      </c>
      <c r="E4388" s="4" t="s">
        <v>5034</v>
      </c>
      <c r="F4388" s="4" t="s">
        <v>470</v>
      </c>
      <c r="G4388" s="4" t="s">
        <v>5035</v>
      </c>
      <c r="H4388" s="12" t="n">
        <v>1</v>
      </c>
      <c r="I4388" s="4" t="s">
        <v>408</v>
      </c>
      <c r="J4388" s="4" t="s">
        <v>416</v>
      </c>
      <c r="K4388" s="13" t="n">
        <v>850</v>
      </c>
      <c r="L4388" s="6" t="n">
        <f aca="false">H4388*K4388</f>
        <v>850</v>
      </c>
      <c r="M4388" s="4" t="s">
        <v>371</v>
      </c>
    </row>
    <row r="4389" customFormat="false" ht="15" hidden="false" customHeight="false" outlineLevel="0" collapsed="false">
      <c r="A4389" s="4" t="s">
        <v>194</v>
      </c>
      <c r="B4389" s="5" t="s">
        <v>195</v>
      </c>
      <c r="C4389" s="5" t="s">
        <v>196</v>
      </c>
      <c r="D4389" s="4" t="s">
        <v>16</v>
      </c>
      <c r="E4389" s="4" t="s">
        <v>5036</v>
      </c>
      <c r="F4389" s="4" t="s">
        <v>470</v>
      </c>
      <c r="G4389" s="4" t="s">
        <v>5037</v>
      </c>
      <c r="H4389" s="12" t="n">
        <v>1</v>
      </c>
      <c r="I4389" s="4" t="s">
        <v>408</v>
      </c>
      <c r="J4389" s="4" t="s">
        <v>416</v>
      </c>
      <c r="K4389" s="13" t="n">
        <v>1800</v>
      </c>
      <c r="L4389" s="6" t="n">
        <f aca="false">H4389*K4389</f>
        <v>1800</v>
      </c>
      <c r="M4389" s="4" t="s">
        <v>371</v>
      </c>
    </row>
    <row r="4390" customFormat="false" ht="15" hidden="false" customHeight="false" outlineLevel="0" collapsed="false">
      <c r="A4390" s="4" t="s">
        <v>194</v>
      </c>
      <c r="B4390" s="5" t="s">
        <v>195</v>
      </c>
      <c r="C4390" s="5" t="s">
        <v>196</v>
      </c>
      <c r="D4390" s="4" t="s">
        <v>16</v>
      </c>
      <c r="E4390" s="4" t="s">
        <v>5038</v>
      </c>
      <c r="F4390" s="4" t="s">
        <v>470</v>
      </c>
      <c r="G4390" s="4" t="s">
        <v>5039</v>
      </c>
      <c r="H4390" s="12" t="n">
        <v>1</v>
      </c>
      <c r="I4390" s="4" t="s">
        <v>408</v>
      </c>
      <c r="J4390" s="4" t="s">
        <v>416</v>
      </c>
      <c r="K4390" s="13" t="n">
        <v>850</v>
      </c>
      <c r="L4390" s="6" t="n">
        <f aca="false">H4390*K4390</f>
        <v>850</v>
      </c>
      <c r="M4390" s="4" t="s">
        <v>371</v>
      </c>
    </row>
    <row r="4391" customFormat="false" ht="15" hidden="false" customHeight="false" outlineLevel="0" collapsed="false">
      <c r="A4391" s="4" t="s">
        <v>194</v>
      </c>
      <c r="B4391" s="5" t="s">
        <v>195</v>
      </c>
      <c r="C4391" s="5" t="s">
        <v>196</v>
      </c>
      <c r="D4391" s="4" t="s">
        <v>16</v>
      </c>
      <c r="E4391" s="4" t="s">
        <v>5040</v>
      </c>
      <c r="F4391" s="4" t="s">
        <v>470</v>
      </c>
      <c r="G4391" s="4" t="s">
        <v>5041</v>
      </c>
      <c r="H4391" s="12" t="n">
        <v>1</v>
      </c>
      <c r="I4391" s="4" t="s">
        <v>408</v>
      </c>
      <c r="J4391" s="4" t="s">
        <v>416</v>
      </c>
      <c r="K4391" s="13" t="n">
        <v>850</v>
      </c>
      <c r="L4391" s="6" t="n">
        <f aca="false">H4391*K4391</f>
        <v>850</v>
      </c>
      <c r="M4391" s="4" t="s">
        <v>371</v>
      </c>
    </row>
    <row r="4392" customFormat="false" ht="15" hidden="false" customHeight="false" outlineLevel="0" collapsed="false">
      <c r="A4392" s="4" t="s">
        <v>194</v>
      </c>
      <c r="B4392" s="5" t="s">
        <v>195</v>
      </c>
      <c r="C4392" s="5" t="s">
        <v>196</v>
      </c>
      <c r="D4392" s="4" t="s">
        <v>16</v>
      </c>
      <c r="E4392" s="4" t="s">
        <v>5042</v>
      </c>
      <c r="F4392" s="4" t="s">
        <v>470</v>
      </c>
      <c r="G4392" s="4" t="s">
        <v>5043</v>
      </c>
      <c r="H4392" s="12" t="n">
        <v>1</v>
      </c>
      <c r="I4392" s="4" t="s">
        <v>408</v>
      </c>
      <c r="J4392" s="4" t="s">
        <v>416</v>
      </c>
      <c r="K4392" s="13" t="n">
        <v>850</v>
      </c>
      <c r="L4392" s="6" t="n">
        <f aca="false">H4392*K4392</f>
        <v>850</v>
      </c>
      <c r="M4392" s="4" t="s">
        <v>371</v>
      </c>
    </row>
    <row r="4393" customFormat="false" ht="15" hidden="false" customHeight="false" outlineLevel="0" collapsed="false">
      <c r="A4393" s="4" t="s">
        <v>194</v>
      </c>
      <c r="B4393" s="5" t="s">
        <v>195</v>
      </c>
      <c r="C4393" s="5" t="s">
        <v>196</v>
      </c>
      <c r="D4393" s="4" t="s">
        <v>16</v>
      </c>
      <c r="E4393" s="4" t="s">
        <v>2301</v>
      </c>
      <c r="F4393" s="4" t="s">
        <v>470</v>
      </c>
      <c r="G4393" s="4" t="s">
        <v>2302</v>
      </c>
      <c r="H4393" s="12" t="n">
        <v>1</v>
      </c>
      <c r="I4393" s="4" t="s">
        <v>408</v>
      </c>
      <c r="J4393" s="4" t="s">
        <v>409</v>
      </c>
      <c r="K4393" s="13" t="n">
        <v>8500</v>
      </c>
      <c r="L4393" s="6" t="n">
        <f aca="false">H4393*K4393</f>
        <v>8500</v>
      </c>
      <c r="M4393" s="4" t="s">
        <v>371</v>
      </c>
    </row>
    <row r="4394" customFormat="false" ht="15" hidden="false" customHeight="false" outlineLevel="0" collapsed="false">
      <c r="A4394" s="4" t="s">
        <v>194</v>
      </c>
      <c r="B4394" s="5" t="s">
        <v>195</v>
      </c>
      <c r="C4394" s="5" t="s">
        <v>196</v>
      </c>
      <c r="D4394" s="4" t="s">
        <v>16</v>
      </c>
      <c r="E4394" s="4" t="s">
        <v>2303</v>
      </c>
      <c r="F4394" s="4" t="s">
        <v>470</v>
      </c>
      <c r="G4394" s="4" t="s">
        <v>2304</v>
      </c>
      <c r="H4394" s="12" t="n">
        <v>1</v>
      </c>
      <c r="I4394" s="4" t="s">
        <v>408</v>
      </c>
      <c r="J4394" s="4" t="s">
        <v>409</v>
      </c>
      <c r="K4394" s="13" t="n">
        <v>3500</v>
      </c>
      <c r="L4394" s="6" t="n">
        <f aca="false">H4394*K4394</f>
        <v>3500</v>
      </c>
      <c r="M4394" s="4" t="s">
        <v>371</v>
      </c>
    </row>
    <row r="4395" customFormat="false" ht="15" hidden="false" customHeight="false" outlineLevel="0" collapsed="false">
      <c r="A4395" s="4" t="s">
        <v>194</v>
      </c>
      <c r="B4395" s="5" t="s">
        <v>195</v>
      </c>
      <c r="C4395" s="5" t="s">
        <v>196</v>
      </c>
      <c r="D4395" s="4" t="s">
        <v>16</v>
      </c>
      <c r="E4395" s="4" t="s">
        <v>2305</v>
      </c>
      <c r="F4395" s="4" t="s">
        <v>470</v>
      </c>
      <c r="G4395" s="4" t="s">
        <v>2306</v>
      </c>
      <c r="H4395" s="12" t="n">
        <v>1</v>
      </c>
      <c r="I4395" s="4" t="s">
        <v>408</v>
      </c>
      <c r="J4395" s="4" t="s">
        <v>409</v>
      </c>
      <c r="K4395" s="13" t="n">
        <v>850</v>
      </c>
      <c r="L4395" s="6" t="n">
        <f aca="false">H4395*K4395</f>
        <v>850</v>
      </c>
      <c r="M4395" s="4" t="s">
        <v>371</v>
      </c>
    </row>
    <row r="4396" customFormat="false" ht="15" hidden="false" customHeight="false" outlineLevel="0" collapsed="false">
      <c r="A4396" s="4" t="s">
        <v>194</v>
      </c>
      <c r="B4396" s="5" t="s">
        <v>195</v>
      </c>
      <c r="C4396" s="5" t="s">
        <v>196</v>
      </c>
      <c r="D4396" s="4" t="s">
        <v>16</v>
      </c>
      <c r="E4396" s="4" t="s">
        <v>2325</v>
      </c>
      <c r="F4396" s="4" t="s">
        <v>488</v>
      </c>
      <c r="G4396" s="4" t="s">
        <v>2326</v>
      </c>
      <c r="H4396" s="12" t="n">
        <v>1</v>
      </c>
      <c r="I4396" s="4" t="s">
        <v>408</v>
      </c>
      <c r="J4396" s="4" t="s">
        <v>416</v>
      </c>
      <c r="K4396" s="13" t="n">
        <v>650</v>
      </c>
      <c r="L4396" s="6" t="n">
        <f aca="false">H4396*K4396</f>
        <v>650</v>
      </c>
      <c r="M4396" s="4" t="s">
        <v>371</v>
      </c>
    </row>
    <row r="4397" customFormat="false" ht="15" hidden="false" customHeight="false" outlineLevel="0" collapsed="false">
      <c r="A4397" s="4" t="s">
        <v>194</v>
      </c>
      <c r="B4397" s="5" t="s">
        <v>195</v>
      </c>
      <c r="C4397" s="5" t="s">
        <v>196</v>
      </c>
      <c r="D4397" s="4" t="s">
        <v>16</v>
      </c>
      <c r="E4397" s="4" t="s">
        <v>2327</v>
      </c>
      <c r="F4397" s="4" t="s">
        <v>488</v>
      </c>
      <c r="G4397" s="4" t="s">
        <v>2328</v>
      </c>
      <c r="H4397" s="12" t="n">
        <v>1</v>
      </c>
      <c r="I4397" s="4" t="s">
        <v>408</v>
      </c>
      <c r="J4397" s="4" t="s">
        <v>506</v>
      </c>
      <c r="K4397" s="13" t="n">
        <v>450</v>
      </c>
      <c r="L4397" s="6" t="n">
        <f aca="false">H4397*K4397</f>
        <v>450</v>
      </c>
      <c r="M4397" s="4" t="s">
        <v>371</v>
      </c>
    </row>
    <row r="4398" customFormat="false" ht="15" hidden="false" customHeight="false" outlineLevel="0" collapsed="false">
      <c r="A4398" s="4" t="s">
        <v>194</v>
      </c>
      <c r="B4398" s="5" t="s">
        <v>195</v>
      </c>
      <c r="C4398" s="5" t="s">
        <v>196</v>
      </c>
      <c r="D4398" s="4" t="s">
        <v>16</v>
      </c>
      <c r="E4398" s="4" t="s">
        <v>2339</v>
      </c>
      <c r="F4398" s="4" t="s">
        <v>470</v>
      </c>
      <c r="G4398" s="4" t="s">
        <v>2340</v>
      </c>
      <c r="H4398" s="12" t="n">
        <v>1</v>
      </c>
      <c r="I4398" s="4" t="s">
        <v>408</v>
      </c>
      <c r="J4398" s="4" t="s">
        <v>416</v>
      </c>
      <c r="K4398" s="13" t="n">
        <v>8500</v>
      </c>
      <c r="L4398" s="6" t="n">
        <f aca="false">H4398*K4398</f>
        <v>8500</v>
      </c>
      <c r="M4398" s="14" t="s">
        <v>410</v>
      </c>
    </row>
    <row r="4399" customFormat="false" ht="15" hidden="false" customHeight="false" outlineLevel="0" collapsed="false">
      <c r="A4399" s="4" t="s">
        <v>194</v>
      </c>
      <c r="B4399" s="5" t="s">
        <v>195</v>
      </c>
      <c r="C4399" s="5" t="s">
        <v>196</v>
      </c>
      <c r="D4399" s="4" t="s">
        <v>16</v>
      </c>
      <c r="E4399" s="4" t="s">
        <v>2341</v>
      </c>
      <c r="F4399" s="4" t="s">
        <v>470</v>
      </c>
      <c r="G4399" s="4" t="s">
        <v>2342</v>
      </c>
      <c r="H4399" s="12" t="n">
        <v>1</v>
      </c>
      <c r="I4399" s="4" t="s">
        <v>408</v>
      </c>
      <c r="J4399" s="4" t="s">
        <v>543</v>
      </c>
      <c r="K4399" s="13" t="n">
        <v>5000</v>
      </c>
      <c r="L4399" s="6" t="n">
        <f aca="false">H4399*K4399</f>
        <v>5000</v>
      </c>
      <c r="M4399" s="4" t="s">
        <v>371</v>
      </c>
    </row>
    <row r="4400" customFormat="false" ht="15" hidden="false" customHeight="false" outlineLevel="0" collapsed="false">
      <c r="A4400" s="4" t="s">
        <v>194</v>
      </c>
      <c r="B4400" s="5" t="s">
        <v>197</v>
      </c>
      <c r="C4400" s="5" t="s">
        <v>198</v>
      </c>
      <c r="D4400" s="4" t="s">
        <v>16</v>
      </c>
      <c r="E4400" s="4" t="s">
        <v>5044</v>
      </c>
      <c r="F4400" s="4" t="s">
        <v>406</v>
      </c>
      <c r="G4400" s="4" t="s">
        <v>5045</v>
      </c>
      <c r="H4400" s="12" t="n">
        <v>1</v>
      </c>
      <c r="I4400" s="4" t="s">
        <v>408</v>
      </c>
      <c r="J4400" s="4" t="s">
        <v>416</v>
      </c>
      <c r="K4400" s="13" t="n">
        <v>1800</v>
      </c>
      <c r="L4400" s="6" t="n">
        <f aca="false">H4400*K4400</f>
        <v>1800</v>
      </c>
      <c r="M4400" s="14" t="s">
        <v>410</v>
      </c>
    </row>
    <row r="4401" customFormat="false" ht="15" hidden="false" customHeight="false" outlineLevel="0" collapsed="false">
      <c r="A4401" s="4" t="s">
        <v>194</v>
      </c>
      <c r="B4401" s="5" t="s">
        <v>197</v>
      </c>
      <c r="C4401" s="5" t="s">
        <v>198</v>
      </c>
      <c r="D4401" s="4" t="s">
        <v>16</v>
      </c>
      <c r="E4401" s="4" t="s">
        <v>2225</v>
      </c>
      <c r="F4401" s="4" t="s">
        <v>406</v>
      </c>
      <c r="G4401" s="4" t="s">
        <v>2226</v>
      </c>
      <c r="H4401" s="12" t="n">
        <v>1</v>
      </c>
      <c r="I4401" s="4" t="s">
        <v>408</v>
      </c>
      <c r="J4401" s="4" t="s">
        <v>409</v>
      </c>
      <c r="K4401" s="13" t="n">
        <v>350</v>
      </c>
      <c r="L4401" s="6" t="n">
        <f aca="false">H4401*K4401</f>
        <v>350</v>
      </c>
      <c r="M4401" s="14" t="s">
        <v>410</v>
      </c>
    </row>
    <row r="4402" customFormat="false" ht="15" hidden="false" customHeight="false" outlineLevel="0" collapsed="false">
      <c r="A4402" s="4" t="s">
        <v>194</v>
      </c>
      <c r="B4402" s="5" t="s">
        <v>197</v>
      </c>
      <c r="C4402" s="5" t="s">
        <v>198</v>
      </c>
      <c r="D4402" s="4" t="s">
        <v>16</v>
      </c>
      <c r="E4402" s="4" t="s">
        <v>5046</v>
      </c>
      <c r="F4402" s="4" t="s">
        <v>406</v>
      </c>
      <c r="G4402" s="4" t="s">
        <v>5047</v>
      </c>
      <c r="H4402" s="12" t="n">
        <v>50</v>
      </c>
      <c r="I4402" s="4" t="s">
        <v>474</v>
      </c>
      <c r="J4402" s="4" t="s">
        <v>416</v>
      </c>
      <c r="K4402" s="13" t="n">
        <v>1800</v>
      </c>
      <c r="L4402" s="6" t="n">
        <f aca="false">H4402*K4402</f>
        <v>90000</v>
      </c>
      <c r="M4402" s="4" t="s">
        <v>371</v>
      </c>
    </row>
    <row r="4403" customFormat="false" ht="15" hidden="false" customHeight="false" outlineLevel="0" collapsed="false">
      <c r="A4403" s="4" t="s">
        <v>194</v>
      </c>
      <c r="B4403" s="5" t="s">
        <v>197</v>
      </c>
      <c r="C4403" s="5" t="s">
        <v>198</v>
      </c>
      <c r="D4403" s="4" t="s">
        <v>16</v>
      </c>
      <c r="E4403" s="4" t="s">
        <v>5048</v>
      </c>
      <c r="F4403" s="4" t="s">
        <v>406</v>
      </c>
      <c r="G4403" s="4" t="s">
        <v>5049</v>
      </c>
      <c r="H4403" s="12" t="n">
        <v>20</v>
      </c>
      <c r="I4403" s="4" t="s">
        <v>474</v>
      </c>
      <c r="J4403" s="4" t="s">
        <v>416</v>
      </c>
      <c r="K4403" s="13" t="n">
        <v>300</v>
      </c>
      <c r="L4403" s="6" t="n">
        <f aca="false">H4403*K4403</f>
        <v>6000</v>
      </c>
      <c r="M4403" s="14" t="s">
        <v>410</v>
      </c>
    </row>
    <row r="4404" customFormat="false" ht="15" hidden="false" customHeight="false" outlineLevel="0" collapsed="false">
      <c r="A4404" s="4" t="s">
        <v>194</v>
      </c>
      <c r="B4404" s="5" t="s">
        <v>197</v>
      </c>
      <c r="C4404" s="5" t="s">
        <v>198</v>
      </c>
      <c r="D4404" s="4" t="s">
        <v>16</v>
      </c>
      <c r="E4404" s="4" t="s">
        <v>5050</v>
      </c>
      <c r="F4404" s="4" t="s">
        <v>406</v>
      </c>
      <c r="G4404" s="4" t="s">
        <v>5051</v>
      </c>
      <c r="H4404" s="12" t="n">
        <v>20</v>
      </c>
      <c r="I4404" s="4" t="s">
        <v>474</v>
      </c>
      <c r="J4404" s="4" t="s">
        <v>416</v>
      </c>
      <c r="K4404" s="13" t="n">
        <v>1200</v>
      </c>
      <c r="L4404" s="6" t="n">
        <f aca="false">H4404*K4404</f>
        <v>24000</v>
      </c>
      <c r="M4404" s="14" t="s">
        <v>410</v>
      </c>
    </row>
    <row r="4405" customFormat="false" ht="15" hidden="false" customHeight="false" outlineLevel="0" collapsed="false">
      <c r="A4405" s="4" t="s">
        <v>194</v>
      </c>
      <c r="B4405" s="5" t="s">
        <v>197</v>
      </c>
      <c r="C4405" s="5" t="s">
        <v>198</v>
      </c>
      <c r="D4405" s="4" t="s">
        <v>16</v>
      </c>
      <c r="E4405" s="4" t="s">
        <v>5052</v>
      </c>
      <c r="F4405" s="4" t="s">
        <v>406</v>
      </c>
      <c r="G4405" s="4" t="s">
        <v>5053</v>
      </c>
      <c r="H4405" s="12" t="n">
        <v>100</v>
      </c>
      <c r="I4405" s="4" t="s">
        <v>474</v>
      </c>
      <c r="J4405" s="4" t="s">
        <v>416</v>
      </c>
      <c r="K4405" s="13" t="n">
        <v>850</v>
      </c>
      <c r="L4405" s="6" t="n">
        <f aca="false">H4405*K4405</f>
        <v>85000</v>
      </c>
      <c r="M4405" s="4" t="s">
        <v>371</v>
      </c>
    </row>
    <row r="4406" customFormat="false" ht="15" hidden="false" customHeight="false" outlineLevel="0" collapsed="false">
      <c r="A4406" s="4" t="s">
        <v>194</v>
      </c>
      <c r="B4406" s="5" t="s">
        <v>197</v>
      </c>
      <c r="C4406" s="5" t="s">
        <v>198</v>
      </c>
      <c r="D4406" s="4" t="s">
        <v>16</v>
      </c>
      <c r="E4406" s="4" t="s">
        <v>5054</v>
      </c>
      <c r="F4406" s="4" t="s">
        <v>406</v>
      </c>
      <c r="G4406" s="4" t="s">
        <v>5055</v>
      </c>
      <c r="H4406" s="12" t="n">
        <v>20</v>
      </c>
      <c r="I4406" s="4" t="s">
        <v>474</v>
      </c>
      <c r="J4406" s="4" t="s">
        <v>416</v>
      </c>
      <c r="K4406" s="13" t="n">
        <v>450</v>
      </c>
      <c r="L4406" s="6" t="n">
        <f aca="false">H4406*K4406</f>
        <v>9000</v>
      </c>
      <c r="M4406" s="14" t="s">
        <v>410</v>
      </c>
    </row>
    <row r="4407" customFormat="false" ht="15" hidden="false" customHeight="false" outlineLevel="0" collapsed="false">
      <c r="A4407" s="4" t="s">
        <v>194</v>
      </c>
      <c r="B4407" s="5" t="s">
        <v>197</v>
      </c>
      <c r="C4407" s="5" t="s">
        <v>198</v>
      </c>
      <c r="D4407" s="4" t="s">
        <v>16</v>
      </c>
      <c r="E4407" s="4" t="s">
        <v>5056</v>
      </c>
      <c r="F4407" s="4" t="s">
        <v>406</v>
      </c>
      <c r="G4407" s="4" t="s">
        <v>5057</v>
      </c>
      <c r="H4407" s="12" t="n">
        <v>20</v>
      </c>
      <c r="I4407" s="4" t="s">
        <v>474</v>
      </c>
      <c r="J4407" s="4" t="s">
        <v>409</v>
      </c>
      <c r="K4407" s="13" t="n">
        <v>250</v>
      </c>
      <c r="L4407" s="6" t="n">
        <f aca="false">H4407*K4407</f>
        <v>5000</v>
      </c>
      <c r="M4407" s="14" t="s">
        <v>410</v>
      </c>
    </row>
    <row r="4408" customFormat="false" ht="15" hidden="false" customHeight="false" outlineLevel="0" collapsed="false">
      <c r="A4408" s="4" t="s">
        <v>194</v>
      </c>
      <c r="B4408" s="5" t="s">
        <v>197</v>
      </c>
      <c r="C4408" s="5" t="s">
        <v>198</v>
      </c>
      <c r="D4408" s="4" t="s">
        <v>16</v>
      </c>
      <c r="E4408" s="4" t="s">
        <v>5058</v>
      </c>
      <c r="F4408" s="4" t="s">
        <v>406</v>
      </c>
      <c r="G4408" s="4" t="s">
        <v>5059</v>
      </c>
      <c r="H4408" s="12" t="n">
        <v>10</v>
      </c>
      <c r="I4408" s="4" t="s">
        <v>474</v>
      </c>
      <c r="J4408" s="4" t="s">
        <v>409</v>
      </c>
      <c r="K4408" s="13" t="n">
        <v>250</v>
      </c>
      <c r="L4408" s="6" t="n">
        <f aca="false">H4408*K4408</f>
        <v>2500</v>
      </c>
      <c r="M4408" s="14" t="s">
        <v>410</v>
      </c>
    </row>
    <row r="4409" customFormat="false" ht="15" hidden="false" customHeight="false" outlineLevel="0" collapsed="false">
      <c r="A4409" s="4" t="s">
        <v>194</v>
      </c>
      <c r="B4409" s="5" t="s">
        <v>197</v>
      </c>
      <c r="C4409" s="5" t="s">
        <v>198</v>
      </c>
      <c r="D4409" s="4" t="s">
        <v>16</v>
      </c>
      <c r="E4409" s="4" t="s">
        <v>5060</v>
      </c>
      <c r="F4409" s="4" t="s">
        <v>406</v>
      </c>
      <c r="G4409" s="4" t="s">
        <v>5061</v>
      </c>
      <c r="H4409" s="12" t="n">
        <v>20</v>
      </c>
      <c r="I4409" s="4" t="s">
        <v>474</v>
      </c>
      <c r="J4409" s="4" t="s">
        <v>416</v>
      </c>
      <c r="K4409" s="13" t="n">
        <v>1200</v>
      </c>
      <c r="L4409" s="6" t="n">
        <f aca="false">H4409*K4409</f>
        <v>24000</v>
      </c>
      <c r="M4409" s="14" t="s">
        <v>410</v>
      </c>
    </row>
    <row r="4410" customFormat="false" ht="15" hidden="false" customHeight="false" outlineLevel="0" collapsed="false">
      <c r="A4410" s="4" t="s">
        <v>194</v>
      </c>
      <c r="B4410" s="5" t="s">
        <v>197</v>
      </c>
      <c r="C4410" s="5" t="s">
        <v>198</v>
      </c>
      <c r="D4410" s="4" t="s">
        <v>16</v>
      </c>
      <c r="E4410" s="4" t="s">
        <v>5062</v>
      </c>
      <c r="F4410" s="4" t="s">
        <v>406</v>
      </c>
      <c r="G4410" s="4" t="s">
        <v>5063</v>
      </c>
      <c r="H4410" s="12" t="n">
        <v>1</v>
      </c>
      <c r="I4410" s="4" t="s">
        <v>408</v>
      </c>
      <c r="J4410" s="4" t="s">
        <v>416</v>
      </c>
      <c r="K4410" s="13" t="n">
        <v>18000</v>
      </c>
      <c r="L4410" s="6" t="n">
        <f aca="false">H4410*K4410</f>
        <v>18000</v>
      </c>
      <c r="M4410" s="4" t="s">
        <v>371</v>
      </c>
    </row>
    <row r="4411" customFormat="false" ht="15" hidden="false" customHeight="false" outlineLevel="0" collapsed="false">
      <c r="A4411" s="4" t="s">
        <v>194</v>
      </c>
      <c r="B4411" s="5" t="s">
        <v>197</v>
      </c>
      <c r="C4411" s="5" t="s">
        <v>198</v>
      </c>
      <c r="D4411" s="4" t="s">
        <v>16</v>
      </c>
      <c r="E4411" s="4" t="s">
        <v>5064</v>
      </c>
      <c r="F4411" s="4" t="s">
        <v>406</v>
      </c>
      <c r="G4411" s="4" t="s">
        <v>5065</v>
      </c>
      <c r="H4411" s="12" t="n">
        <v>1</v>
      </c>
      <c r="I4411" s="4" t="s">
        <v>408</v>
      </c>
      <c r="J4411" s="4" t="s">
        <v>416</v>
      </c>
      <c r="K4411" s="13" t="n">
        <v>25000</v>
      </c>
      <c r="L4411" s="6" t="n">
        <f aca="false">H4411*K4411</f>
        <v>25000</v>
      </c>
      <c r="M4411" s="14" t="s">
        <v>410</v>
      </c>
    </row>
    <row r="4412" customFormat="false" ht="15" hidden="false" customHeight="false" outlineLevel="0" collapsed="false">
      <c r="A4412" s="4" t="s">
        <v>194</v>
      </c>
      <c r="B4412" s="5" t="s">
        <v>197</v>
      </c>
      <c r="C4412" s="5" t="s">
        <v>198</v>
      </c>
      <c r="D4412" s="4" t="s">
        <v>16</v>
      </c>
      <c r="E4412" s="4" t="s">
        <v>5066</v>
      </c>
      <c r="F4412" s="4" t="s">
        <v>406</v>
      </c>
      <c r="G4412" s="4" t="s">
        <v>2370</v>
      </c>
      <c r="H4412" s="12" t="n">
        <v>1</v>
      </c>
      <c r="I4412" s="4" t="s">
        <v>408</v>
      </c>
      <c r="J4412" s="4" t="s">
        <v>543</v>
      </c>
      <c r="K4412" s="13" t="n">
        <v>25000</v>
      </c>
      <c r="L4412" s="6" t="n">
        <f aca="false">H4412*K4412</f>
        <v>25000</v>
      </c>
      <c r="M4412" s="4" t="s">
        <v>371</v>
      </c>
    </row>
    <row r="4413" customFormat="false" ht="15" hidden="false" customHeight="false" outlineLevel="0" collapsed="false">
      <c r="A4413" s="4" t="s">
        <v>194</v>
      </c>
      <c r="B4413" s="5" t="s">
        <v>197</v>
      </c>
      <c r="C4413" s="5" t="s">
        <v>198</v>
      </c>
      <c r="D4413" s="4" t="s">
        <v>16</v>
      </c>
      <c r="E4413" s="4" t="s">
        <v>2257</v>
      </c>
      <c r="F4413" s="4" t="s">
        <v>406</v>
      </c>
      <c r="G4413" s="4" t="s">
        <v>2258</v>
      </c>
      <c r="H4413" s="12" t="n">
        <v>1</v>
      </c>
      <c r="I4413" s="4" t="s">
        <v>408</v>
      </c>
      <c r="J4413" s="4" t="s">
        <v>409</v>
      </c>
      <c r="K4413" s="13" t="n">
        <v>6500</v>
      </c>
      <c r="L4413" s="6" t="n">
        <f aca="false">H4413*K4413</f>
        <v>6500</v>
      </c>
      <c r="M4413" s="14" t="s">
        <v>410</v>
      </c>
    </row>
    <row r="4414" customFormat="false" ht="15" hidden="false" customHeight="false" outlineLevel="0" collapsed="false">
      <c r="A4414" s="4" t="s">
        <v>194</v>
      </c>
      <c r="B4414" s="5" t="s">
        <v>197</v>
      </c>
      <c r="C4414" s="5" t="s">
        <v>198</v>
      </c>
      <c r="D4414" s="4" t="s">
        <v>16</v>
      </c>
      <c r="E4414" s="4" t="s">
        <v>2259</v>
      </c>
      <c r="F4414" s="4" t="s">
        <v>406</v>
      </c>
      <c r="G4414" s="4" t="s">
        <v>2260</v>
      </c>
      <c r="H4414" s="12" t="n">
        <v>1</v>
      </c>
      <c r="I4414" s="4" t="s">
        <v>408</v>
      </c>
      <c r="J4414" s="4" t="s">
        <v>409</v>
      </c>
      <c r="K4414" s="13" t="n">
        <v>85000</v>
      </c>
      <c r="L4414" s="6" t="n">
        <f aca="false">H4414*K4414</f>
        <v>85000</v>
      </c>
      <c r="M4414" s="14" t="s">
        <v>410</v>
      </c>
    </row>
    <row r="4415" customFormat="false" ht="15" hidden="false" customHeight="false" outlineLevel="0" collapsed="false">
      <c r="A4415" s="4" t="s">
        <v>194</v>
      </c>
      <c r="B4415" s="5" t="s">
        <v>197</v>
      </c>
      <c r="C4415" s="5" t="s">
        <v>198</v>
      </c>
      <c r="D4415" s="4" t="s">
        <v>16</v>
      </c>
      <c r="E4415" s="4" t="s">
        <v>2261</v>
      </c>
      <c r="F4415" s="4" t="s">
        <v>406</v>
      </c>
      <c r="G4415" s="4" t="s">
        <v>2262</v>
      </c>
      <c r="H4415" s="12" t="n">
        <v>1</v>
      </c>
      <c r="I4415" s="4" t="s">
        <v>408</v>
      </c>
      <c r="J4415" s="4" t="s">
        <v>409</v>
      </c>
      <c r="K4415" s="13" t="n">
        <v>18000</v>
      </c>
      <c r="L4415" s="6" t="n">
        <f aca="false">H4415*K4415</f>
        <v>18000</v>
      </c>
      <c r="M4415" s="14" t="s">
        <v>410</v>
      </c>
    </row>
    <row r="4416" customFormat="false" ht="15" hidden="false" customHeight="false" outlineLevel="0" collapsed="false">
      <c r="A4416" s="4" t="s">
        <v>194</v>
      </c>
      <c r="B4416" s="5" t="s">
        <v>197</v>
      </c>
      <c r="C4416" s="5" t="s">
        <v>198</v>
      </c>
      <c r="D4416" s="4" t="s">
        <v>16</v>
      </c>
      <c r="E4416" s="4" t="s">
        <v>2263</v>
      </c>
      <c r="F4416" s="4" t="s">
        <v>406</v>
      </c>
      <c r="G4416" s="4" t="s">
        <v>2264</v>
      </c>
      <c r="H4416" s="12" t="n">
        <v>1</v>
      </c>
      <c r="I4416" s="4" t="s">
        <v>408</v>
      </c>
      <c r="J4416" s="4" t="s">
        <v>409</v>
      </c>
      <c r="K4416" s="13" t="n">
        <v>25000</v>
      </c>
      <c r="L4416" s="6" t="n">
        <f aca="false">H4416*K4416</f>
        <v>25000</v>
      </c>
      <c r="M4416" s="4" t="s">
        <v>371</v>
      </c>
    </row>
    <row r="4417" customFormat="false" ht="15" hidden="false" customHeight="false" outlineLevel="0" collapsed="false">
      <c r="A4417" s="4" t="s">
        <v>194</v>
      </c>
      <c r="B4417" s="5" t="s">
        <v>197</v>
      </c>
      <c r="C4417" s="5" t="s">
        <v>198</v>
      </c>
      <c r="D4417" s="4" t="s">
        <v>16</v>
      </c>
      <c r="E4417" s="4" t="s">
        <v>5067</v>
      </c>
      <c r="F4417" s="4" t="s">
        <v>406</v>
      </c>
      <c r="G4417" s="4" t="s">
        <v>5068</v>
      </c>
      <c r="H4417" s="12" t="n">
        <v>1</v>
      </c>
      <c r="I4417" s="4" t="s">
        <v>408</v>
      </c>
      <c r="J4417" s="4" t="s">
        <v>416</v>
      </c>
      <c r="K4417" s="13" t="n">
        <v>18000</v>
      </c>
      <c r="L4417" s="6" t="n">
        <f aca="false">H4417*K4417</f>
        <v>18000</v>
      </c>
      <c r="M4417" s="4" t="s">
        <v>371</v>
      </c>
    </row>
    <row r="4418" customFormat="false" ht="15" hidden="false" customHeight="false" outlineLevel="0" collapsed="false">
      <c r="A4418" s="4" t="s">
        <v>194</v>
      </c>
      <c r="B4418" s="5" t="s">
        <v>197</v>
      </c>
      <c r="C4418" s="5" t="s">
        <v>198</v>
      </c>
      <c r="D4418" s="4" t="s">
        <v>16</v>
      </c>
      <c r="E4418" s="4" t="s">
        <v>5069</v>
      </c>
      <c r="F4418" s="4" t="s">
        <v>406</v>
      </c>
      <c r="G4418" s="4" t="s">
        <v>5070</v>
      </c>
      <c r="H4418" s="12" t="n">
        <v>5</v>
      </c>
      <c r="I4418" s="4" t="s">
        <v>474</v>
      </c>
      <c r="J4418" s="4" t="s">
        <v>409</v>
      </c>
      <c r="K4418" s="13" t="n">
        <v>18000</v>
      </c>
      <c r="L4418" s="6" t="n">
        <f aca="false">H4418*K4418</f>
        <v>90000</v>
      </c>
      <c r="M4418" s="14" t="s">
        <v>410</v>
      </c>
    </row>
    <row r="4419" customFormat="false" ht="15" hidden="false" customHeight="false" outlineLevel="0" collapsed="false">
      <c r="A4419" s="4" t="s">
        <v>194</v>
      </c>
      <c r="B4419" s="5" t="s">
        <v>197</v>
      </c>
      <c r="C4419" s="5" t="s">
        <v>198</v>
      </c>
      <c r="D4419" s="4" t="s">
        <v>16</v>
      </c>
      <c r="E4419" s="4" t="s">
        <v>5071</v>
      </c>
      <c r="F4419" s="4" t="s">
        <v>406</v>
      </c>
      <c r="G4419" s="4" t="s">
        <v>5072</v>
      </c>
      <c r="H4419" s="12" t="n">
        <v>1</v>
      </c>
      <c r="I4419" s="4" t="s">
        <v>474</v>
      </c>
      <c r="J4419" s="4" t="s">
        <v>409</v>
      </c>
      <c r="K4419" s="13" t="n">
        <v>8500</v>
      </c>
      <c r="L4419" s="6" t="n">
        <f aca="false">H4419*K4419</f>
        <v>8500</v>
      </c>
      <c r="M4419" s="14" t="s">
        <v>410</v>
      </c>
    </row>
    <row r="4420" customFormat="false" ht="15" hidden="false" customHeight="false" outlineLevel="0" collapsed="false">
      <c r="A4420" s="4" t="s">
        <v>194</v>
      </c>
      <c r="B4420" s="5" t="s">
        <v>197</v>
      </c>
      <c r="C4420" s="5" t="s">
        <v>198</v>
      </c>
      <c r="D4420" s="4" t="s">
        <v>16</v>
      </c>
      <c r="E4420" s="4" t="s">
        <v>5073</v>
      </c>
      <c r="F4420" s="4" t="s">
        <v>406</v>
      </c>
      <c r="G4420" s="4" t="s">
        <v>4495</v>
      </c>
      <c r="H4420" s="12" t="n">
        <v>2</v>
      </c>
      <c r="I4420" s="4" t="s">
        <v>474</v>
      </c>
      <c r="J4420" s="4" t="s">
        <v>409</v>
      </c>
      <c r="K4420" s="13" t="n">
        <v>1800</v>
      </c>
      <c r="L4420" s="6" t="n">
        <f aca="false">H4420*K4420</f>
        <v>3600</v>
      </c>
      <c r="M4420" s="14" t="s">
        <v>410</v>
      </c>
    </row>
    <row r="4421" customFormat="false" ht="15" hidden="false" customHeight="false" outlineLevel="0" collapsed="false">
      <c r="A4421" s="4" t="s">
        <v>194</v>
      </c>
      <c r="B4421" s="5" t="s">
        <v>197</v>
      </c>
      <c r="C4421" s="5" t="s">
        <v>198</v>
      </c>
      <c r="D4421" s="4" t="s">
        <v>16</v>
      </c>
      <c r="E4421" s="4" t="s">
        <v>2271</v>
      </c>
      <c r="F4421" s="4" t="s">
        <v>470</v>
      </c>
      <c r="G4421" s="4" t="s">
        <v>2272</v>
      </c>
      <c r="H4421" s="12" t="n">
        <v>1</v>
      </c>
      <c r="I4421" s="4" t="s">
        <v>408</v>
      </c>
      <c r="J4421" s="4" t="s">
        <v>409</v>
      </c>
      <c r="K4421" s="13" t="n">
        <v>4500</v>
      </c>
      <c r="L4421" s="6" t="n">
        <f aca="false">H4421*K4421</f>
        <v>4500</v>
      </c>
      <c r="M4421" s="14" t="s">
        <v>410</v>
      </c>
    </row>
    <row r="4422" customFormat="false" ht="15" hidden="false" customHeight="false" outlineLevel="0" collapsed="false">
      <c r="A4422" s="4" t="s">
        <v>194</v>
      </c>
      <c r="B4422" s="5" t="s">
        <v>197</v>
      </c>
      <c r="C4422" s="5" t="s">
        <v>198</v>
      </c>
      <c r="D4422" s="4" t="s">
        <v>16</v>
      </c>
      <c r="E4422" s="4" t="s">
        <v>2273</v>
      </c>
      <c r="F4422" s="4" t="s">
        <v>470</v>
      </c>
      <c r="G4422" s="4" t="s">
        <v>2274</v>
      </c>
      <c r="H4422" s="12" t="n">
        <v>1</v>
      </c>
      <c r="I4422" s="4" t="s">
        <v>408</v>
      </c>
      <c r="J4422" s="4" t="s">
        <v>409</v>
      </c>
      <c r="K4422" s="13" t="n">
        <v>25000</v>
      </c>
      <c r="L4422" s="6" t="n">
        <f aca="false">H4422*K4422</f>
        <v>25000</v>
      </c>
      <c r="M4422" s="14" t="s">
        <v>410</v>
      </c>
    </row>
    <row r="4423" customFormat="false" ht="15" hidden="false" customHeight="false" outlineLevel="0" collapsed="false">
      <c r="A4423" s="4" t="s">
        <v>194</v>
      </c>
      <c r="B4423" s="5" t="s">
        <v>197</v>
      </c>
      <c r="C4423" s="5" t="s">
        <v>198</v>
      </c>
      <c r="D4423" s="4" t="s">
        <v>16</v>
      </c>
      <c r="E4423" s="4" t="s">
        <v>2163</v>
      </c>
      <c r="F4423" s="4" t="s">
        <v>470</v>
      </c>
      <c r="G4423" s="4" t="s">
        <v>2164</v>
      </c>
      <c r="H4423" s="12" t="n">
        <v>1</v>
      </c>
      <c r="I4423" s="4" t="s">
        <v>408</v>
      </c>
      <c r="J4423" s="4" t="s">
        <v>409</v>
      </c>
      <c r="K4423" s="13" t="n">
        <v>35000</v>
      </c>
      <c r="L4423" s="6" t="n">
        <f aca="false">H4423*K4423</f>
        <v>35000</v>
      </c>
      <c r="M4423" s="14" t="s">
        <v>410</v>
      </c>
    </row>
    <row r="4424" customFormat="false" ht="15" hidden="false" customHeight="false" outlineLevel="0" collapsed="false">
      <c r="A4424" s="4" t="s">
        <v>194</v>
      </c>
      <c r="B4424" s="5" t="s">
        <v>197</v>
      </c>
      <c r="C4424" s="5" t="s">
        <v>198</v>
      </c>
      <c r="D4424" s="4" t="s">
        <v>16</v>
      </c>
      <c r="E4424" s="4" t="s">
        <v>1058</v>
      </c>
      <c r="F4424" s="4" t="s">
        <v>470</v>
      </c>
      <c r="G4424" s="4" t="s">
        <v>1059</v>
      </c>
      <c r="H4424" s="12" t="n">
        <v>1</v>
      </c>
      <c r="I4424" s="4" t="s">
        <v>408</v>
      </c>
      <c r="J4424" s="4" t="s">
        <v>409</v>
      </c>
      <c r="K4424" s="13" t="n">
        <v>45000</v>
      </c>
      <c r="L4424" s="6" t="n">
        <f aca="false">H4424*K4424</f>
        <v>45000</v>
      </c>
      <c r="M4424" s="14" t="s">
        <v>410</v>
      </c>
    </row>
    <row r="4425" customFormat="false" ht="15" hidden="false" customHeight="false" outlineLevel="0" collapsed="false">
      <c r="A4425" s="4" t="s">
        <v>194</v>
      </c>
      <c r="B4425" s="5" t="s">
        <v>197</v>
      </c>
      <c r="C4425" s="5" t="s">
        <v>198</v>
      </c>
      <c r="D4425" s="4" t="s">
        <v>16</v>
      </c>
      <c r="E4425" s="4" t="s">
        <v>5074</v>
      </c>
      <c r="F4425" s="4" t="s">
        <v>470</v>
      </c>
      <c r="G4425" s="4" t="s">
        <v>5075</v>
      </c>
      <c r="H4425" s="12" t="n">
        <v>1</v>
      </c>
      <c r="I4425" s="4" t="s">
        <v>408</v>
      </c>
      <c r="J4425" s="4" t="s">
        <v>416</v>
      </c>
      <c r="K4425" s="13" t="n">
        <v>85000</v>
      </c>
      <c r="L4425" s="6" t="n">
        <f aca="false">H4425*K4425</f>
        <v>85000</v>
      </c>
      <c r="M4425" s="4" t="s">
        <v>371</v>
      </c>
    </row>
    <row r="4426" customFormat="false" ht="15" hidden="false" customHeight="false" outlineLevel="0" collapsed="false">
      <c r="A4426" s="4" t="s">
        <v>194</v>
      </c>
      <c r="B4426" s="5" t="s">
        <v>197</v>
      </c>
      <c r="C4426" s="5" t="s">
        <v>198</v>
      </c>
      <c r="D4426" s="4" t="s">
        <v>16</v>
      </c>
      <c r="E4426" s="4" t="s">
        <v>5076</v>
      </c>
      <c r="F4426" s="4" t="s">
        <v>470</v>
      </c>
      <c r="G4426" s="4" t="s">
        <v>5077</v>
      </c>
      <c r="H4426" s="12" t="n">
        <v>5</v>
      </c>
      <c r="I4426" s="4" t="s">
        <v>474</v>
      </c>
      <c r="J4426" s="4" t="s">
        <v>409</v>
      </c>
      <c r="K4426" s="13" t="n">
        <v>12000</v>
      </c>
      <c r="L4426" s="6" t="n">
        <f aca="false">H4426*K4426</f>
        <v>60000</v>
      </c>
      <c r="M4426" s="4" t="s">
        <v>371</v>
      </c>
    </row>
    <row r="4427" customFormat="false" ht="15" hidden="false" customHeight="false" outlineLevel="0" collapsed="false">
      <c r="A4427" s="4" t="s">
        <v>194</v>
      </c>
      <c r="B4427" s="5" t="s">
        <v>197</v>
      </c>
      <c r="C4427" s="5" t="s">
        <v>198</v>
      </c>
      <c r="D4427" s="4" t="s">
        <v>16</v>
      </c>
      <c r="E4427" s="4" t="s">
        <v>5078</v>
      </c>
      <c r="F4427" s="4" t="s">
        <v>470</v>
      </c>
      <c r="G4427" s="4" t="s">
        <v>5079</v>
      </c>
      <c r="H4427" s="12" t="n">
        <v>5</v>
      </c>
      <c r="I4427" s="4" t="s">
        <v>474</v>
      </c>
      <c r="J4427" s="4" t="s">
        <v>409</v>
      </c>
      <c r="K4427" s="13" t="n">
        <v>8500</v>
      </c>
      <c r="L4427" s="6" t="n">
        <f aca="false">H4427*K4427</f>
        <v>42500</v>
      </c>
      <c r="M4427" s="4" t="s">
        <v>371</v>
      </c>
    </row>
    <row r="4428" customFormat="false" ht="15" hidden="false" customHeight="false" outlineLevel="0" collapsed="false">
      <c r="A4428" s="4" t="s">
        <v>194</v>
      </c>
      <c r="B4428" s="5" t="s">
        <v>197</v>
      </c>
      <c r="C4428" s="5" t="s">
        <v>198</v>
      </c>
      <c r="D4428" s="4" t="s">
        <v>16</v>
      </c>
      <c r="E4428" s="4" t="s">
        <v>5080</v>
      </c>
      <c r="F4428" s="4" t="s">
        <v>470</v>
      </c>
      <c r="G4428" s="4" t="s">
        <v>5081</v>
      </c>
      <c r="H4428" s="12" t="n">
        <v>10</v>
      </c>
      <c r="I4428" s="4" t="s">
        <v>474</v>
      </c>
      <c r="J4428" s="4" t="s">
        <v>409</v>
      </c>
      <c r="K4428" s="13" t="n">
        <v>4500</v>
      </c>
      <c r="L4428" s="6" t="n">
        <f aca="false">H4428*K4428</f>
        <v>45000</v>
      </c>
      <c r="M4428" s="4" t="s">
        <v>371</v>
      </c>
    </row>
    <row r="4429" customFormat="false" ht="15" hidden="false" customHeight="false" outlineLevel="0" collapsed="false">
      <c r="A4429" s="4" t="s">
        <v>194</v>
      </c>
      <c r="B4429" s="5" t="s">
        <v>197</v>
      </c>
      <c r="C4429" s="5" t="s">
        <v>198</v>
      </c>
      <c r="D4429" s="4" t="s">
        <v>16</v>
      </c>
      <c r="E4429" s="4" t="s">
        <v>1089</v>
      </c>
      <c r="F4429" s="4" t="s">
        <v>470</v>
      </c>
      <c r="G4429" s="4" t="s">
        <v>1090</v>
      </c>
      <c r="H4429" s="12" t="n">
        <v>1</v>
      </c>
      <c r="I4429" s="4" t="s">
        <v>408</v>
      </c>
      <c r="J4429" s="4" t="s">
        <v>409</v>
      </c>
      <c r="K4429" s="13" t="n">
        <v>3500</v>
      </c>
      <c r="L4429" s="6" t="n">
        <f aca="false">H4429*K4429</f>
        <v>3500</v>
      </c>
      <c r="M4429" s="4" t="s">
        <v>371</v>
      </c>
    </row>
    <row r="4430" customFormat="false" ht="15" hidden="false" customHeight="false" outlineLevel="0" collapsed="false">
      <c r="A4430" s="4" t="s">
        <v>194</v>
      </c>
      <c r="B4430" s="5" t="s">
        <v>197</v>
      </c>
      <c r="C4430" s="5" t="s">
        <v>198</v>
      </c>
      <c r="D4430" s="4" t="s">
        <v>16</v>
      </c>
      <c r="E4430" s="4" t="s">
        <v>2289</v>
      </c>
      <c r="F4430" s="4" t="s">
        <v>470</v>
      </c>
      <c r="G4430" s="4" t="s">
        <v>2290</v>
      </c>
      <c r="H4430" s="12" t="n">
        <v>1</v>
      </c>
      <c r="I4430" s="4" t="s">
        <v>408</v>
      </c>
      <c r="J4430" s="4" t="s">
        <v>409</v>
      </c>
      <c r="K4430" s="13" t="n">
        <v>2500</v>
      </c>
      <c r="L4430" s="6" t="n">
        <f aca="false">H4430*K4430</f>
        <v>2500</v>
      </c>
      <c r="M4430" s="4" t="s">
        <v>371</v>
      </c>
    </row>
    <row r="4431" customFormat="false" ht="15" hidden="false" customHeight="false" outlineLevel="0" collapsed="false">
      <c r="A4431" s="4" t="s">
        <v>194</v>
      </c>
      <c r="B4431" s="5" t="s">
        <v>197</v>
      </c>
      <c r="C4431" s="5" t="s">
        <v>198</v>
      </c>
      <c r="D4431" s="4" t="s">
        <v>16</v>
      </c>
      <c r="E4431" s="4" t="s">
        <v>5082</v>
      </c>
      <c r="F4431" s="4" t="s">
        <v>470</v>
      </c>
      <c r="G4431" s="4" t="s">
        <v>5083</v>
      </c>
      <c r="H4431" s="12" t="n">
        <v>1</v>
      </c>
      <c r="I4431" s="4" t="s">
        <v>408</v>
      </c>
      <c r="J4431" s="4" t="s">
        <v>416</v>
      </c>
      <c r="K4431" s="13" t="n">
        <v>4500</v>
      </c>
      <c r="L4431" s="6" t="n">
        <f aca="false">H4431*K4431</f>
        <v>4500</v>
      </c>
      <c r="M4431" s="4" t="s">
        <v>371</v>
      </c>
    </row>
    <row r="4432" customFormat="false" ht="15" hidden="false" customHeight="false" outlineLevel="0" collapsed="false">
      <c r="A4432" s="4" t="s">
        <v>194</v>
      </c>
      <c r="B4432" s="5" t="s">
        <v>197</v>
      </c>
      <c r="C4432" s="5" t="s">
        <v>198</v>
      </c>
      <c r="D4432" s="4" t="s">
        <v>16</v>
      </c>
      <c r="E4432" s="4" t="s">
        <v>1636</v>
      </c>
      <c r="F4432" s="4" t="s">
        <v>470</v>
      </c>
      <c r="G4432" s="4" t="s">
        <v>1637</v>
      </c>
      <c r="H4432" s="12" t="n">
        <v>40</v>
      </c>
      <c r="I4432" s="4" t="s">
        <v>474</v>
      </c>
      <c r="J4432" s="4" t="s">
        <v>475</v>
      </c>
      <c r="K4432" s="13" t="n">
        <v>180</v>
      </c>
      <c r="L4432" s="6" t="n">
        <f aca="false">H4432*K4432</f>
        <v>7200</v>
      </c>
      <c r="M4432" s="4" t="s">
        <v>371</v>
      </c>
    </row>
    <row r="4433" customFormat="false" ht="15" hidden="false" customHeight="false" outlineLevel="0" collapsed="false">
      <c r="A4433" s="4" t="s">
        <v>194</v>
      </c>
      <c r="B4433" s="5" t="s">
        <v>197</v>
      </c>
      <c r="C4433" s="5" t="s">
        <v>198</v>
      </c>
      <c r="D4433" s="4" t="s">
        <v>16</v>
      </c>
      <c r="E4433" s="4" t="s">
        <v>1921</v>
      </c>
      <c r="F4433" s="4" t="s">
        <v>470</v>
      </c>
      <c r="G4433" s="4" t="s">
        <v>1922</v>
      </c>
      <c r="H4433" s="12" t="n">
        <v>40</v>
      </c>
      <c r="I4433" s="4" t="s">
        <v>474</v>
      </c>
      <c r="J4433" s="4" t="s">
        <v>475</v>
      </c>
      <c r="K4433" s="13" t="n">
        <v>350</v>
      </c>
      <c r="L4433" s="6" t="n">
        <f aca="false">H4433*K4433</f>
        <v>14000</v>
      </c>
      <c r="M4433" s="4" t="s">
        <v>371</v>
      </c>
    </row>
    <row r="4434" customFormat="false" ht="15" hidden="false" customHeight="false" outlineLevel="0" collapsed="false">
      <c r="A4434" s="4" t="s">
        <v>194</v>
      </c>
      <c r="B4434" s="5" t="s">
        <v>197</v>
      </c>
      <c r="C4434" s="5" t="s">
        <v>198</v>
      </c>
      <c r="D4434" s="4" t="s">
        <v>16</v>
      </c>
      <c r="E4434" s="4" t="s">
        <v>2286</v>
      </c>
      <c r="F4434" s="4" t="s">
        <v>470</v>
      </c>
      <c r="G4434" s="4" t="s">
        <v>2287</v>
      </c>
      <c r="H4434" s="12" t="n">
        <v>40</v>
      </c>
      <c r="I4434" s="4" t="s">
        <v>474</v>
      </c>
      <c r="J4434" s="4" t="s">
        <v>409</v>
      </c>
      <c r="K4434" s="13" t="n">
        <v>350</v>
      </c>
      <c r="L4434" s="6" t="n">
        <f aca="false">H4434*K4434</f>
        <v>14000</v>
      </c>
      <c r="M4434" s="4" t="s">
        <v>371</v>
      </c>
    </row>
    <row r="4435" customFormat="false" ht="15" hidden="false" customHeight="false" outlineLevel="0" collapsed="false">
      <c r="A4435" s="4" t="s">
        <v>194</v>
      </c>
      <c r="B4435" s="5" t="s">
        <v>197</v>
      </c>
      <c r="C4435" s="5" t="s">
        <v>198</v>
      </c>
      <c r="D4435" s="4" t="s">
        <v>16</v>
      </c>
      <c r="E4435" s="4" t="s">
        <v>5084</v>
      </c>
      <c r="F4435" s="4" t="s">
        <v>470</v>
      </c>
      <c r="G4435" s="4" t="s">
        <v>5085</v>
      </c>
      <c r="H4435" s="12" t="n">
        <v>1</v>
      </c>
      <c r="I4435" s="4" t="s">
        <v>408</v>
      </c>
      <c r="J4435" s="4" t="s">
        <v>416</v>
      </c>
      <c r="K4435" s="13" t="n">
        <v>850</v>
      </c>
      <c r="L4435" s="6" t="n">
        <f aca="false">H4435*K4435</f>
        <v>850</v>
      </c>
      <c r="M4435" s="4" t="s">
        <v>371</v>
      </c>
    </row>
    <row r="4436" customFormat="false" ht="15" hidden="false" customHeight="false" outlineLevel="0" collapsed="false">
      <c r="A4436" s="4" t="s">
        <v>194</v>
      </c>
      <c r="B4436" s="5" t="s">
        <v>197</v>
      </c>
      <c r="C4436" s="5" t="s">
        <v>198</v>
      </c>
      <c r="D4436" s="4" t="s">
        <v>16</v>
      </c>
      <c r="E4436" s="4" t="s">
        <v>5086</v>
      </c>
      <c r="F4436" s="4" t="s">
        <v>470</v>
      </c>
      <c r="G4436" s="4" t="s">
        <v>5087</v>
      </c>
      <c r="H4436" s="12" t="n">
        <v>1</v>
      </c>
      <c r="I4436" s="4" t="s">
        <v>408</v>
      </c>
      <c r="J4436" s="4" t="s">
        <v>416</v>
      </c>
      <c r="K4436" s="13" t="n">
        <v>850</v>
      </c>
      <c r="L4436" s="6" t="n">
        <f aca="false">H4436*K4436</f>
        <v>850</v>
      </c>
      <c r="M4436" s="4" t="s">
        <v>371</v>
      </c>
    </row>
    <row r="4437" customFormat="false" ht="15" hidden="false" customHeight="false" outlineLevel="0" collapsed="false">
      <c r="A4437" s="4" t="s">
        <v>194</v>
      </c>
      <c r="B4437" s="5" t="s">
        <v>197</v>
      </c>
      <c r="C4437" s="5" t="s">
        <v>198</v>
      </c>
      <c r="D4437" s="4" t="s">
        <v>16</v>
      </c>
      <c r="E4437" s="4" t="s">
        <v>5088</v>
      </c>
      <c r="F4437" s="4" t="s">
        <v>470</v>
      </c>
      <c r="G4437" s="4" t="s">
        <v>5089</v>
      </c>
      <c r="H4437" s="12" t="n">
        <v>1</v>
      </c>
      <c r="I4437" s="4" t="s">
        <v>408</v>
      </c>
      <c r="J4437" s="4" t="s">
        <v>416</v>
      </c>
      <c r="K4437" s="13" t="n">
        <v>2500</v>
      </c>
      <c r="L4437" s="6" t="n">
        <f aca="false">H4437*K4437</f>
        <v>2500</v>
      </c>
      <c r="M4437" s="4" t="s">
        <v>371</v>
      </c>
    </row>
    <row r="4438" customFormat="false" ht="15" hidden="false" customHeight="false" outlineLevel="0" collapsed="false">
      <c r="A4438" s="4" t="s">
        <v>194</v>
      </c>
      <c r="B4438" s="5" t="s">
        <v>197</v>
      </c>
      <c r="C4438" s="5" t="s">
        <v>198</v>
      </c>
      <c r="D4438" s="4" t="s">
        <v>16</v>
      </c>
      <c r="E4438" s="4" t="s">
        <v>5090</v>
      </c>
      <c r="F4438" s="4" t="s">
        <v>470</v>
      </c>
      <c r="G4438" s="4" t="s">
        <v>5091</v>
      </c>
      <c r="H4438" s="12" t="n">
        <v>1</v>
      </c>
      <c r="I4438" s="4" t="s">
        <v>408</v>
      </c>
      <c r="J4438" s="4" t="s">
        <v>416</v>
      </c>
      <c r="K4438" s="13" t="n">
        <v>850</v>
      </c>
      <c r="L4438" s="6" t="n">
        <f aca="false">H4438*K4438</f>
        <v>850</v>
      </c>
      <c r="M4438" s="4" t="s">
        <v>371</v>
      </c>
    </row>
    <row r="4439" customFormat="false" ht="15" hidden="false" customHeight="false" outlineLevel="0" collapsed="false">
      <c r="A4439" s="4" t="s">
        <v>194</v>
      </c>
      <c r="B4439" s="5" t="s">
        <v>197</v>
      </c>
      <c r="C4439" s="5" t="s">
        <v>198</v>
      </c>
      <c r="D4439" s="4" t="s">
        <v>16</v>
      </c>
      <c r="E4439" s="4" t="s">
        <v>2301</v>
      </c>
      <c r="F4439" s="4" t="s">
        <v>470</v>
      </c>
      <c r="G4439" s="4" t="s">
        <v>2302</v>
      </c>
      <c r="H4439" s="12" t="n">
        <v>1</v>
      </c>
      <c r="I4439" s="4" t="s">
        <v>408</v>
      </c>
      <c r="J4439" s="4" t="s">
        <v>409</v>
      </c>
      <c r="K4439" s="13" t="n">
        <v>8500</v>
      </c>
      <c r="L4439" s="6" t="n">
        <f aca="false">H4439*K4439</f>
        <v>8500</v>
      </c>
      <c r="M4439" s="4" t="s">
        <v>371</v>
      </c>
    </row>
    <row r="4440" customFormat="false" ht="15" hidden="false" customHeight="false" outlineLevel="0" collapsed="false">
      <c r="A4440" s="4" t="s">
        <v>194</v>
      </c>
      <c r="B4440" s="5" t="s">
        <v>197</v>
      </c>
      <c r="C4440" s="5" t="s">
        <v>198</v>
      </c>
      <c r="D4440" s="4" t="s">
        <v>16</v>
      </c>
      <c r="E4440" s="4" t="s">
        <v>2303</v>
      </c>
      <c r="F4440" s="4" t="s">
        <v>470</v>
      </c>
      <c r="G4440" s="4" t="s">
        <v>2304</v>
      </c>
      <c r="H4440" s="12" t="n">
        <v>1</v>
      </c>
      <c r="I4440" s="4" t="s">
        <v>408</v>
      </c>
      <c r="J4440" s="4" t="s">
        <v>409</v>
      </c>
      <c r="K4440" s="13" t="n">
        <v>3500</v>
      </c>
      <c r="L4440" s="6" t="n">
        <f aca="false">H4440*K4440</f>
        <v>3500</v>
      </c>
      <c r="M4440" s="4" t="s">
        <v>371</v>
      </c>
    </row>
    <row r="4441" customFormat="false" ht="15" hidden="false" customHeight="false" outlineLevel="0" collapsed="false">
      <c r="A4441" s="4" t="s">
        <v>194</v>
      </c>
      <c r="B4441" s="5" t="s">
        <v>197</v>
      </c>
      <c r="C4441" s="5" t="s">
        <v>198</v>
      </c>
      <c r="D4441" s="4" t="s">
        <v>16</v>
      </c>
      <c r="E4441" s="4" t="s">
        <v>2305</v>
      </c>
      <c r="F4441" s="4" t="s">
        <v>470</v>
      </c>
      <c r="G4441" s="4" t="s">
        <v>2306</v>
      </c>
      <c r="H4441" s="12" t="n">
        <v>1</v>
      </c>
      <c r="I4441" s="4" t="s">
        <v>408</v>
      </c>
      <c r="J4441" s="4" t="s">
        <v>409</v>
      </c>
      <c r="K4441" s="13" t="n">
        <v>850</v>
      </c>
      <c r="L4441" s="6" t="n">
        <f aca="false">H4441*K4441</f>
        <v>850</v>
      </c>
      <c r="M4441" s="4" t="s">
        <v>371</v>
      </c>
    </row>
    <row r="4442" customFormat="false" ht="15" hidden="false" customHeight="false" outlineLevel="0" collapsed="false">
      <c r="A4442" s="4" t="s">
        <v>194</v>
      </c>
      <c r="B4442" s="5" t="s">
        <v>197</v>
      </c>
      <c r="C4442" s="5" t="s">
        <v>198</v>
      </c>
      <c r="D4442" s="4" t="s">
        <v>16</v>
      </c>
      <c r="E4442" s="4" t="s">
        <v>2325</v>
      </c>
      <c r="F4442" s="4" t="s">
        <v>488</v>
      </c>
      <c r="G4442" s="4" t="s">
        <v>2326</v>
      </c>
      <c r="H4442" s="12" t="n">
        <v>1</v>
      </c>
      <c r="I4442" s="4" t="s">
        <v>408</v>
      </c>
      <c r="J4442" s="4" t="s">
        <v>416</v>
      </c>
      <c r="K4442" s="13" t="n">
        <v>650</v>
      </c>
      <c r="L4442" s="6" t="n">
        <f aca="false">H4442*K4442</f>
        <v>650</v>
      </c>
      <c r="M4442" s="4" t="s">
        <v>371</v>
      </c>
    </row>
    <row r="4443" customFormat="false" ht="15" hidden="false" customHeight="false" outlineLevel="0" collapsed="false">
      <c r="A4443" s="4" t="s">
        <v>194</v>
      </c>
      <c r="B4443" s="5" t="s">
        <v>197</v>
      </c>
      <c r="C4443" s="5" t="s">
        <v>198</v>
      </c>
      <c r="D4443" s="4" t="s">
        <v>16</v>
      </c>
      <c r="E4443" s="4" t="s">
        <v>2327</v>
      </c>
      <c r="F4443" s="4" t="s">
        <v>488</v>
      </c>
      <c r="G4443" s="4" t="s">
        <v>2328</v>
      </c>
      <c r="H4443" s="12" t="n">
        <v>1</v>
      </c>
      <c r="I4443" s="4" t="s">
        <v>408</v>
      </c>
      <c r="J4443" s="4" t="s">
        <v>506</v>
      </c>
      <c r="K4443" s="13" t="n">
        <v>450</v>
      </c>
      <c r="L4443" s="6" t="n">
        <f aca="false">H4443*K4443</f>
        <v>450</v>
      </c>
      <c r="M4443" s="4" t="s">
        <v>371</v>
      </c>
    </row>
    <row r="4444" customFormat="false" ht="15" hidden="false" customHeight="false" outlineLevel="0" collapsed="false">
      <c r="A4444" s="4" t="s">
        <v>194</v>
      </c>
      <c r="B4444" s="5" t="s">
        <v>197</v>
      </c>
      <c r="C4444" s="5" t="s">
        <v>198</v>
      </c>
      <c r="D4444" s="4" t="s">
        <v>16</v>
      </c>
      <c r="E4444" s="4" t="s">
        <v>5092</v>
      </c>
      <c r="F4444" s="4" t="s">
        <v>488</v>
      </c>
      <c r="G4444" s="4" t="s">
        <v>5093</v>
      </c>
      <c r="H4444" s="12" t="n">
        <v>100</v>
      </c>
      <c r="I4444" s="4" t="s">
        <v>474</v>
      </c>
      <c r="J4444" s="4" t="s">
        <v>429</v>
      </c>
      <c r="K4444" s="13" t="n">
        <v>120</v>
      </c>
      <c r="L4444" s="6" t="n">
        <f aca="false">H4444*K4444</f>
        <v>12000</v>
      </c>
      <c r="M4444" s="4" t="s">
        <v>371</v>
      </c>
    </row>
    <row r="4445" customFormat="false" ht="15" hidden="false" customHeight="false" outlineLevel="0" collapsed="false">
      <c r="A4445" s="4" t="s">
        <v>194</v>
      </c>
      <c r="B4445" s="5" t="s">
        <v>197</v>
      </c>
      <c r="C4445" s="5" t="s">
        <v>198</v>
      </c>
      <c r="D4445" s="4" t="s">
        <v>16</v>
      </c>
      <c r="E4445" s="4" t="s">
        <v>5094</v>
      </c>
      <c r="F4445" s="4" t="s">
        <v>488</v>
      </c>
      <c r="G4445" s="4" t="s">
        <v>5095</v>
      </c>
      <c r="H4445" s="12" t="n">
        <v>20</v>
      </c>
      <c r="I4445" s="4" t="s">
        <v>474</v>
      </c>
      <c r="J4445" s="4" t="s">
        <v>429</v>
      </c>
      <c r="K4445" s="13" t="n">
        <v>450</v>
      </c>
      <c r="L4445" s="6" t="n">
        <f aca="false">H4445*K4445</f>
        <v>9000</v>
      </c>
      <c r="M4445" s="4" t="s">
        <v>371</v>
      </c>
    </row>
    <row r="4446" customFormat="false" ht="15" hidden="false" customHeight="false" outlineLevel="0" collapsed="false">
      <c r="A4446" s="4" t="s">
        <v>194</v>
      </c>
      <c r="B4446" s="5" t="s">
        <v>197</v>
      </c>
      <c r="C4446" s="5" t="s">
        <v>198</v>
      </c>
      <c r="D4446" s="4" t="s">
        <v>16</v>
      </c>
      <c r="E4446" s="4" t="s">
        <v>5096</v>
      </c>
      <c r="F4446" s="4" t="s">
        <v>488</v>
      </c>
      <c r="G4446" s="4" t="s">
        <v>5097</v>
      </c>
      <c r="H4446" s="12" t="n">
        <v>10</v>
      </c>
      <c r="I4446" s="4" t="s">
        <v>474</v>
      </c>
      <c r="J4446" s="4" t="s">
        <v>432</v>
      </c>
      <c r="K4446" s="13" t="n">
        <v>650</v>
      </c>
      <c r="L4446" s="6" t="n">
        <f aca="false">H4446*K4446</f>
        <v>6500</v>
      </c>
      <c r="M4446" s="4" t="s">
        <v>371</v>
      </c>
    </row>
    <row r="4447" customFormat="false" ht="15" hidden="false" customHeight="false" outlineLevel="0" collapsed="false">
      <c r="A4447" s="4" t="s">
        <v>194</v>
      </c>
      <c r="B4447" s="5" t="s">
        <v>197</v>
      </c>
      <c r="C4447" s="5" t="s">
        <v>198</v>
      </c>
      <c r="D4447" s="4" t="s">
        <v>16</v>
      </c>
      <c r="E4447" s="4" t="s">
        <v>5098</v>
      </c>
      <c r="F4447" s="4" t="s">
        <v>488</v>
      </c>
      <c r="G4447" s="4" t="s">
        <v>5099</v>
      </c>
      <c r="H4447" s="12" t="n">
        <v>10</v>
      </c>
      <c r="I4447" s="4" t="s">
        <v>474</v>
      </c>
      <c r="J4447" s="4" t="s">
        <v>432</v>
      </c>
      <c r="K4447" s="13" t="n">
        <v>650</v>
      </c>
      <c r="L4447" s="6" t="n">
        <f aca="false">H4447*K4447</f>
        <v>6500</v>
      </c>
      <c r="M4447" s="4" t="s">
        <v>371</v>
      </c>
    </row>
    <row r="4448" customFormat="false" ht="15" hidden="false" customHeight="false" outlineLevel="0" collapsed="false">
      <c r="A4448" s="4" t="s">
        <v>194</v>
      </c>
      <c r="B4448" s="5" t="s">
        <v>197</v>
      </c>
      <c r="C4448" s="5" t="s">
        <v>198</v>
      </c>
      <c r="D4448" s="4" t="s">
        <v>16</v>
      </c>
      <c r="E4448" s="4" t="s">
        <v>5100</v>
      </c>
      <c r="F4448" s="4" t="s">
        <v>488</v>
      </c>
      <c r="G4448" s="4" t="s">
        <v>5101</v>
      </c>
      <c r="H4448" s="12" t="n">
        <v>20</v>
      </c>
      <c r="I4448" s="4" t="s">
        <v>474</v>
      </c>
      <c r="J4448" s="4" t="s">
        <v>807</v>
      </c>
      <c r="K4448" s="13" t="n">
        <v>80</v>
      </c>
      <c r="L4448" s="6" t="n">
        <f aca="false">H4448*K4448</f>
        <v>1600</v>
      </c>
      <c r="M4448" s="4" t="s">
        <v>371</v>
      </c>
    </row>
    <row r="4449" customFormat="false" ht="15" hidden="false" customHeight="false" outlineLevel="0" collapsed="false">
      <c r="A4449" s="4" t="s">
        <v>194</v>
      </c>
      <c r="B4449" s="5" t="s">
        <v>197</v>
      </c>
      <c r="C4449" s="5" t="s">
        <v>198</v>
      </c>
      <c r="D4449" s="4" t="s">
        <v>16</v>
      </c>
      <c r="E4449" s="4" t="s">
        <v>5102</v>
      </c>
      <c r="F4449" s="4" t="s">
        <v>488</v>
      </c>
      <c r="G4449" s="4" t="s">
        <v>5103</v>
      </c>
      <c r="H4449" s="12" t="n">
        <v>20</v>
      </c>
      <c r="I4449" s="4" t="s">
        <v>474</v>
      </c>
      <c r="J4449" s="4" t="s">
        <v>807</v>
      </c>
      <c r="K4449" s="13" t="n">
        <v>350</v>
      </c>
      <c r="L4449" s="6" t="n">
        <f aca="false">H4449*K4449</f>
        <v>7000</v>
      </c>
      <c r="M4449" s="4" t="s">
        <v>371</v>
      </c>
    </row>
    <row r="4450" customFormat="false" ht="15" hidden="false" customHeight="false" outlineLevel="0" collapsed="false">
      <c r="A4450" s="4" t="s">
        <v>194</v>
      </c>
      <c r="B4450" s="5" t="s">
        <v>197</v>
      </c>
      <c r="C4450" s="5" t="s">
        <v>198</v>
      </c>
      <c r="D4450" s="4" t="s">
        <v>16</v>
      </c>
      <c r="E4450" s="4" t="s">
        <v>5104</v>
      </c>
      <c r="F4450" s="4" t="s">
        <v>488</v>
      </c>
      <c r="G4450" s="4" t="s">
        <v>5105</v>
      </c>
      <c r="H4450" s="12" t="n">
        <v>20</v>
      </c>
      <c r="I4450" s="4" t="s">
        <v>474</v>
      </c>
      <c r="J4450" s="4" t="s">
        <v>506</v>
      </c>
      <c r="K4450" s="13" t="n">
        <v>120</v>
      </c>
      <c r="L4450" s="6" t="n">
        <f aca="false">H4450*K4450</f>
        <v>2400</v>
      </c>
      <c r="M4450" s="4" t="s">
        <v>371</v>
      </c>
    </row>
    <row r="4451" customFormat="false" ht="15" hidden="false" customHeight="false" outlineLevel="0" collapsed="false">
      <c r="A4451" s="4" t="s">
        <v>194</v>
      </c>
      <c r="B4451" s="5" t="s">
        <v>197</v>
      </c>
      <c r="C4451" s="5" t="s">
        <v>198</v>
      </c>
      <c r="D4451" s="4" t="s">
        <v>16</v>
      </c>
      <c r="E4451" s="4" t="s">
        <v>2339</v>
      </c>
      <c r="F4451" s="4" t="s">
        <v>470</v>
      </c>
      <c r="G4451" s="4" t="s">
        <v>2340</v>
      </c>
      <c r="H4451" s="12" t="n">
        <v>1</v>
      </c>
      <c r="I4451" s="4" t="s">
        <v>408</v>
      </c>
      <c r="J4451" s="4" t="s">
        <v>416</v>
      </c>
      <c r="K4451" s="13" t="n">
        <v>8500</v>
      </c>
      <c r="L4451" s="6" t="n">
        <f aca="false">H4451*K4451</f>
        <v>8500</v>
      </c>
      <c r="M4451" s="14" t="s">
        <v>410</v>
      </c>
    </row>
    <row r="4452" customFormat="false" ht="15" hidden="false" customHeight="false" outlineLevel="0" collapsed="false">
      <c r="A4452" s="4" t="s">
        <v>194</v>
      </c>
      <c r="B4452" s="5" t="s">
        <v>197</v>
      </c>
      <c r="C4452" s="5" t="s">
        <v>198</v>
      </c>
      <c r="D4452" s="4" t="s">
        <v>16</v>
      </c>
      <c r="E4452" s="4" t="s">
        <v>5106</v>
      </c>
      <c r="F4452" s="4" t="s">
        <v>470</v>
      </c>
      <c r="G4452" s="4" t="s">
        <v>5107</v>
      </c>
      <c r="H4452" s="12" t="n">
        <v>1</v>
      </c>
      <c r="I4452" s="4" t="s">
        <v>408</v>
      </c>
      <c r="J4452" s="4" t="s">
        <v>543</v>
      </c>
      <c r="K4452" s="13" t="n">
        <v>5000</v>
      </c>
      <c r="L4452" s="6" t="n">
        <f aca="false">H4452*K4452</f>
        <v>5000</v>
      </c>
      <c r="M4452" s="4" t="s">
        <v>371</v>
      </c>
    </row>
    <row r="4453" customFormat="false" ht="15" hidden="false" customHeight="false" outlineLevel="0" collapsed="false">
      <c r="A4453" s="4" t="s">
        <v>194</v>
      </c>
      <c r="B4453" s="5" t="s">
        <v>197</v>
      </c>
      <c r="C4453" s="5" t="s">
        <v>198</v>
      </c>
      <c r="D4453" s="4" t="s">
        <v>16</v>
      </c>
      <c r="E4453" s="4" t="s">
        <v>5108</v>
      </c>
      <c r="F4453" s="4" t="s">
        <v>470</v>
      </c>
      <c r="G4453" s="4" t="s">
        <v>1475</v>
      </c>
      <c r="H4453" s="12" t="n">
        <v>5</v>
      </c>
      <c r="I4453" s="4" t="s">
        <v>474</v>
      </c>
      <c r="J4453" s="4" t="s">
        <v>409</v>
      </c>
      <c r="K4453" s="13" t="n">
        <v>850</v>
      </c>
      <c r="L4453" s="6" t="n">
        <f aca="false">H4453*K4453</f>
        <v>4250</v>
      </c>
      <c r="M4453" s="4" t="s">
        <v>371</v>
      </c>
    </row>
    <row r="4454" customFormat="false" ht="15" hidden="false" customHeight="false" outlineLevel="0" collapsed="false">
      <c r="A4454" s="4" t="s">
        <v>194</v>
      </c>
      <c r="B4454" s="5" t="s">
        <v>199</v>
      </c>
      <c r="C4454" s="5" t="s">
        <v>200</v>
      </c>
      <c r="D4454" s="4" t="s">
        <v>16</v>
      </c>
      <c r="E4454" s="4" t="s">
        <v>2225</v>
      </c>
      <c r="F4454" s="4" t="s">
        <v>406</v>
      </c>
      <c r="G4454" s="4" t="s">
        <v>2226</v>
      </c>
      <c r="H4454" s="12" t="n">
        <v>1</v>
      </c>
      <c r="I4454" s="4" t="s">
        <v>408</v>
      </c>
      <c r="J4454" s="4" t="s">
        <v>409</v>
      </c>
      <c r="K4454" s="13" t="n">
        <v>350</v>
      </c>
      <c r="L4454" s="6" t="n">
        <f aca="false">H4454*K4454</f>
        <v>350</v>
      </c>
      <c r="M4454" s="14" t="s">
        <v>410</v>
      </c>
    </row>
    <row r="4455" customFormat="false" ht="15" hidden="false" customHeight="false" outlineLevel="0" collapsed="false">
      <c r="A4455" s="4" t="s">
        <v>194</v>
      </c>
      <c r="B4455" s="5" t="s">
        <v>199</v>
      </c>
      <c r="C4455" s="5" t="s">
        <v>200</v>
      </c>
      <c r="D4455" s="4" t="s">
        <v>16</v>
      </c>
      <c r="E4455" s="4" t="s">
        <v>771</v>
      </c>
      <c r="F4455" s="4" t="s">
        <v>406</v>
      </c>
      <c r="G4455" s="4" t="s">
        <v>772</v>
      </c>
      <c r="H4455" s="12" t="n">
        <v>20</v>
      </c>
      <c r="I4455" s="4" t="s">
        <v>474</v>
      </c>
      <c r="J4455" s="4" t="s">
        <v>416</v>
      </c>
      <c r="K4455" s="13" t="n">
        <v>850</v>
      </c>
      <c r="L4455" s="6" t="n">
        <f aca="false">H4455*K4455</f>
        <v>17000</v>
      </c>
      <c r="M4455" s="14" t="s">
        <v>410</v>
      </c>
    </row>
    <row r="4456" customFormat="false" ht="15" hidden="false" customHeight="false" outlineLevel="0" collapsed="false">
      <c r="A4456" s="4" t="s">
        <v>194</v>
      </c>
      <c r="B4456" s="5" t="s">
        <v>199</v>
      </c>
      <c r="C4456" s="5" t="s">
        <v>200</v>
      </c>
      <c r="D4456" s="4" t="s">
        <v>16</v>
      </c>
      <c r="E4456" s="4" t="s">
        <v>3602</v>
      </c>
      <c r="F4456" s="4" t="s">
        <v>406</v>
      </c>
      <c r="G4456" s="4" t="s">
        <v>3603</v>
      </c>
      <c r="H4456" s="12" t="n">
        <v>20</v>
      </c>
      <c r="I4456" s="4" t="s">
        <v>474</v>
      </c>
      <c r="J4456" s="4" t="s">
        <v>409</v>
      </c>
      <c r="K4456" s="13" t="n">
        <v>850</v>
      </c>
      <c r="L4456" s="6" t="n">
        <f aca="false">H4456*K4456</f>
        <v>17000</v>
      </c>
      <c r="M4456" s="14" t="s">
        <v>410</v>
      </c>
    </row>
    <row r="4457" customFormat="false" ht="15" hidden="false" customHeight="false" outlineLevel="0" collapsed="false">
      <c r="A4457" s="4" t="s">
        <v>194</v>
      </c>
      <c r="B4457" s="5" t="s">
        <v>199</v>
      </c>
      <c r="C4457" s="5" t="s">
        <v>200</v>
      </c>
      <c r="D4457" s="4" t="s">
        <v>16</v>
      </c>
      <c r="E4457" s="4" t="s">
        <v>882</v>
      </c>
      <c r="F4457" s="4" t="s">
        <v>406</v>
      </c>
      <c r="G4457" s="4" t="s">
        <v>766</v>
      </c>
      <c r="H4457" s="12" t="n">
        <v>40</v>
      </c>
      <c r="I4457" s="4" t="s">
        <v>474</v>
      </c>
      <c r="J4457" s="4" t="s">
        <v>409</v>
      </c>
      <c r="K4457" s="13" t="n">
        <v>80</v>
      </c>
      <c r="L4457" s="6" t="n">
        <f aca="false">H4457*K4457</f>
        <v>3200</v>
      </c>
      <c r="M4457" s="14" t="s">
        <v>410</v>
      </c>
    </row>
    <row r="4458" customFormat="false" ht="15" hidden="false" customHeight="false" outlineLevel="0" collapsed="false">
      <c r="A4458" s="4" t="s">
        <v>194</v>
      </c>
      <c r="B4458" s="5" t="s">
        <v>199</v>
      </c>
      <c r="C4458" s="5" t="s">
        <v>200</v>
      </c>
      <c r="D4458" s="4" t="s">
        <v>16</v>
      </c>
      <c r="E4458" s="4" t="s">
        <v>3493</v>
      </c>
      <c r="F4458" s="4" t="s">
        <v>406</v>
      </c>
      <c r="G4458" s="4" t="s">
        <v>881</v>
      </c>
      <c r="H4458" s="12" t="n">
        <v>5</v>
      </c>
      <c r="I4458" s="4" t="s">
        <v>474</v>
      </c>
      <c r="J4458" s="4" t="s">
        <v>409</v>
      </c>
      <c r="K4458" s="13" t="n">
        <v>650</v>
      </c>
      <c r="L4458" s="6" t="n">
        <f aca="false">H4458*K4458</f>
        <v>3250</v>
      </c>
      <c r="M4458" s="14" t="s">
        <v>410</v>
      </c>
    </row>
    <row r="4459" customFormat="false" ht="15" hidden="false" customHeight="false" outlineLevel="0" collapsed="false">
      <c r="A4459" s="4" t="s">
        <v>194</v>
      </c>
      <c r="B4459" s="5" t="s">
        <v>199</v>
      </c>
      <c r="C4459" s="5" t="s">
        <v>200</v>
      </c>
      <c r="D4459" s="4" t="s">
        <v>16</v>
      </c>
      <c r="E4459" s="4" t="s">
        <v>3494</v>
      </c>
      <c r="F4459" s="4" t="s">
        <v>406</v>
      </c>
      <c r="G4459" s="4" t="s">
        <v>3495</v>
      </c>
      <c r="H4459" s="12" t="n">
        <v>20</v>
      </c>
      <c r="I4459" s="4" t="s">
        <v>474</v>
      </c>
      <c r="J4459" s="4" t="s">
        <v>409</v>
      </c>
      <c r="K4459" s="13" t="n">
        <v>250</v>
      </c>
      <c r="L4459" s="6" t="n">
        <f aca="false">H4459*K4459</f>
        <v>5000</v>
      </c>
      <c r="M4459" s="14" t="s">
        <v>410</v>
      </c>
    </row>
    <row r="4460" customFormat="false" ht="15" hidden="false" customHeight="false" outlineLevel="0" collapsed="false">
      <c r="A4460" s="4" t="s">
        <v>194</v>
      </c>
      <c r="B4460" s="5" t="s">
        <v>199</v>
      </c>
      <c r="C4460" s="5" t="s">
        <v>200</v>
      </c>
      <c r="D4460" s="4" t="s">
        <v>16</v>
      </c>
      <c r="E4460" s="4" t="s">
        <v>3604</v>
      </c>
      <c r="F4460" s="4" t="s">
        <v>406</v>
      </c>
      <c r="G4460" s="4" t="s">
        <v>2539</v>
      </c>
      <c r="H4460" s="12" t="n">
        <v>10</v>
      </c>
      <c r="I4460" s="4" t="s">
        <v>474</v>
      </c>
      <c r="J4460" s="4" t="s">
        <v>409</v>
      </c>
      <c r="K4460" s="13" t="n">
        <v>450</v>
      </c>
      <c r="L4460" s="6" t="n">
        <f aca="false">H4460*K4460</f>
        <v>4500</v>
      </c>
      <c r="M4460" s="14" t="s">
        <v>410</v>
      </c>
    </row>
    <row r="4461" customFormat="false" ht="15" hidden="false" customHeight="false" outlineLevel="0" collapsed="false">
      <c r="A4461" s="4" t="s">
        <v>194</v>
      </c>
      <c r="B4461" s="5" t="s">
        <v>199</v>
      </c>
      <c r="C4461" s="5" t="s">
        <v>200</v>
      </c>
      <c r="D4461" s="4" t="s">
        <v>16</v>
      </c>
      <c r="E4461" s="4" t="s">
        <v>5109</v>
      </c>
      <c r="F4461" s="4" t="s">
        <v>406</v>
      </c>
      <c r="G4461" s="4" t="s">
        <v>5110</v>
      </c>
      <c r="H4461" s="12" t="n">
        <v>10</v>
      </c>
      <c r="I4461" s="4" t="s">
        <v>474</v>
      </c>
      <c r="J4461" s="4" t="s">
        <v>416</v>
      </c>
      <c r="K4461" s="13" t="n">
        <v>350</v>
      </c>
      <c r="L4461" s="6" t="n">
        <f aca="false">H4461*K4461</f>
        <v>3500</v>
      </c>
      <c r="M4461" s="14" t="s">
        <v>410</v>
      </c>
    </row>
    <row r="4462" customFormat="false" ht="15" hidden="false" customHeight="false" outlineLevel="0" collapsed="false">
      <c r="A4462" s="4" t="s">
        <v>194</v>
      </c>
      <c r="B4462" s="5" t="s">
        <v>199</v>
      </c>
      <c r="C4462" s="5" t="s">
        <v>200</v>
      </c>
      <c r="D4462" s="4" t="s">
        <v>16</v>
      </c>
      <c r="E4462" s="4" t="s">
        <v>777</v>
      </c>
      <c r="F4462" s="4" t="s">
        <v>406</v>
      </c>
      <c r="G4462" s="4" t="s">
        <v>778</v>
      </c>
      <c r="H4462" s="12" t="n">
        <v>20</v>
      </c>
      <c r="I4462" s="4" t="s">
        <v>474</v>
      </c>
      <c r="J4462" s="4" t="s">
        <v>409</v>
      </c>
      <c r="K4462" s="13" t="n">
        <v>120</v>
      </c>
      <c r="L4462" s="6" t="n">
        <f aca="false">H4462*K4462</f>
        <v>2400</v>
      </c>
      <c r="M4462" s="14" t="s">
        <v>410</v>
      </c>
    </row>
    <row r="4463" customFormat="false" ht="15" hidden="false" customHeight="false" outlineLevel="0" collapsed="false">
      <c r="A4463" s="4" t="s">
        <v>194</v>
      </c>
      <c r="B4463" s="5" t="s">
        <v>199</v>
      </c>
      <c r="C4463" s="5" t="s">
        <v>200</v>
      </c>
      <c r="D4463" s="4" t="s">
        <v>16</v>
      </c>
      <c r="E4463" s="4" t="s">
        <v>5111</v>
      </c>
      <c r="F4463" s="4" t="s">
        <v>406</v>
      </c>
      <c r="G4463" s="4" t="s">
        <v>831</v>
      </c>
      <c r="H4463" s="12" t="n">
        <v>10</v>
      </c>
      <c r="I4463" s="4" t="s">
        <v>474</v>
      </c>
      <c r="J4463" s="4" t="s">
        <v>416</v>
      </c>
      <c r="K4463" s="13" t="n">
        <v>180</v>
      </c>
      <c r="L4463" s="6" t="n">
        <f aca="false">H4463*K4463</f>
        <v>1800</v>
      </c>
      <c r="M4463" s="14" t="s">
        <v>410</v>
      </c>
    </row>
    <row r="4464" customFormat="false" ht="15" hidden="false" customHeight="false" outlineLevel="0" collapsed="false">
      <c r="A4464" s="4" t="s">
        <v>194</v>
      </c>
      <c r="B4464" s="5" t="s">
        <v>199</v>
      </c>
      <c r="C4464" s="5" t="s">
        <v>200</v>
      </c>
      <c r="D4464" s="4" t="s">
        <v>16</v>
      </c>
      <c r="E4464" s="4" t="s">
        <v>5112</v>
      </c>
      <c r="F4464" s="4" t="s">
        <v>406</v>
      </c>
      <c r="G4464" s="4" t="s">
        <v>3697</v>
      </c>
      <c r="H4464" s="12" t="n">
        <v>5</v>
      </c>
      <c r="I4464" s="4" t="s">
        <v>474</v>
      </c>
      <c r="J4464" s="4" t="s">
        <v>409</v>
      </c>
      <c r="K4464" s="13" t="n">
        <v>180</v>
      </c>
      <c r="L4464" s="6" t="n">
        <f aca="false">H4464*K4464</f>
        <v>900</v>
      </c>
      <c r="M4464" s="14" t="s">
        <v>410</v>
      </c>
    </row>
    <row r="4465" customFormat="false" ht="15" hidden="false" customHeight="false" outlineLevel="0" collapsed="false">
      <c r="A4465" s="4" t="s">
        <v>194</v>
      </c>
      <c r="B4465" s="5" t="s">
        <v>199</v>
      </c>
      <c r="C4465" s="5" t="s">
        <v>200</v>
      </c>
      <c r="D4465" s="4" t="s">
        <v>16</v>
      </c>
      <c r="E4465" s="4" t="s">
        <v>763</v>
      </c>
      <c r="F4465" s="4" t="s">
        <v>406</v>
      </c>
      <c r="G4465" s="4" t="s">
        <v>764</v>
      </c>
      <c r="H4465" s="12" t="n">
        <v>15</v>
      </c>
      <c r="I4465" s="4" t="s">
        <v>474</v>
      </c>
      <c r="J4465" s="4" t="s">
        <v>409</v>
      </c>
      <c r="K4465" s="13" t="n">
        <v>50</v>
      </c>
      <c r="L4465" s="6" t="n">
        <f aca="false">H4465*K4465</f>
        <v>750</v>
      </c>
      <c r="M4465" s="14" t="s">
        <v>410</v>
      </c>
    </row>
    <row r="4466" customFormat="false" ht="15" hidden="false" customHeight="false" outlineLevel="0" collapsed="false">
      <c r="A4466" s="4" t="s">
        <v>194</v>
      </c>
      <c r="B4466" s="5" t="s">
        <v>199</v>
      </c>
      <c r="C4466" s="5" t="s">
        <v>200</v>
      </c>
      <c r="D4466" s="4" t="s">
        <v>16</v>
      </c>
      <c r="E4466" s="4" t="s">
        <v>3702</v>
      </c>
      <c r="F4466" s="4" t="s">
        <v>406</v>
      </c>
      <c r="G4466" s="4" t="s">
        <v>3703</v>
      </c>
      <c r="H4466" s="12" t="n">
        <v>5</v>
      </c>
      <c r="I4466" s="4" t="s">
        <v>474</v>
      </c>
      <c r="J4466" s="4" t="s">
        <v>409</v>
      </c>
      <c r="K4466" s="13" t="n">
        <v>2500</v>
      </c>
      <c r="L4466" s="6" t="n">
        <f aca="false">H4466*K4466</f>
        <v>12500</v>
      </c>
      <c r="M4466" s="14" t="s">
        <v>410</v>
      </c>
    </row>
    <row r="4467" customFormat="false" ht="15" hidden="false" customHeight="false" outlineLevel="0" collapsed="false">
      <c r="A4467" s="4" t="s">
        <v>194</v>
      </c>
      <c r="B4467" s="5" t="s">
        <v>199</v>
      </c>
      <c r="C4467" s="5" t="s">
        <v>200</v>
      </c>
      <c r="D4467" s="4" t="s">
        <v>16</v>
      </c>
      <c r="E4467" s="4" t="s">
        <v>775</v>
      </c>
      <c r="F4467" s="4" t="s">
        <v>406</v>
      </c>
      <c r="G4467" s="4" t="s">
        <v>776</v>
      </c>
      <c r="H4467" s="12" t="n">
        <v>20</v>
      </c>
      <c r="I4467" s="4" t="s">
        <v>474</v>
      </c>
      <c r="J4467" s="4" t="s">
        <v>409</v>
      </c>
      <c r="K4467" s="13" t="n">
        <v>30</v>
      </c>
      <c r="L4467" s="6" t="n">
        <f aca="false">H4467*K4467</f>
        <v>600</v>
      </c>
      <c r="M4467" s="14" t="s">
        <v>410</v>
      </c>
    </row>
    <row r="4468" customFormat="false" ht="15" hidden="false" customHeight="false" outlineLevel="0" collapsed="false">
      <c r="A4468" s="4" t="s">
        <v>194</v>
      </c>
      <c r="B4468" s="5" t="s">
        <v>199</v>
      </c>
      <c r="C4468" s="5" t="s">
        <v>200</v>
      </c>
      <c r="D4468" s="4" t="s">
        <v>16</v>
      </c>
      <c r="E4468" s="4" t="s">
        <v>5113</v>
      </c>
      <c r="F4468" s="4" t="s">
        <v>406</v>
      </c>
      <c r="G4468" s="4" t="s">
        <v>5114</v>
      </c>
      <c r="H4468" s="12" t="n">
        <v>1</v>
      </c>
      <c r="I4468" s="4" t="s">
        <v>408</v>
      </c>
      <c r="J4468" s="4" t="s">
        <v>416</v>
      </c>
      <c r="K4468" s="13" t="n">
        <v>18000</v>
      </c>
      <c r="L4468" s="6" t="n">
        <f aca="false">H4468*K4468</f>
        <v>18000</v>
      </c>
      <c r="M4468" s="4" t="s">
        <v>371</v>
      </c>
    </row>
    <row r="4469" customFormat="false" ht="15" hidden="false" customHeight="false" outlineLevel="0" collapsed="false">
      <c r="A4469" s="4" t="s">
        <v>194</v>
      </c>
      <c r="B4469" s="5" t="s">
        <v>199</v>
      </c>
      <c r="C4469" s="5" t="s">
        <v>200</v>
      </c>
      <c r="D4469" s="4" t="s">
        <v>16</v>
      </c>
      <c r="E4469" s="4" t="s">
        <v>2257</v>
      </c>
      <c r="F4469" s="4" t="s">
        <v>406</v>
      </c>
      <c r="G4469" s="4" t="s">
        <v>2258</v>
      </c>
      <c r="H4469" s="12" t="n">
        <v>1</v>
      </c>
      <c r="I4469" s="4" t="s">
        <v>408</v>
      </c>
      <c r="J4469" s="4" t="s">
        <v>409</v>
      </c>
      <c r="K4469" s="13" t="n">
        <v>6500</v>
      </c>
      <c r="L4469" s="6" t="n">
        <f aca="false">H4469*K4469</f>
        <v>6500</v>
      </c>
      <c r="M4469" s="14" t="s">
        <v>410</v>
      </c>
    </row>
    <row r="4470" customFormat="false" ht="15" hidden="false" customHeight="false" outlineLevel="0" collapsed="false">
      <c r="A4470" s="4" t="s">
        <v>194</v>
      </c>
      <c r="B4470" s="5" t="s">
        <v>199</v>
      </c>
      <c r="C4470" s="5" t="s">
        <v>200</v>
      </c>
      <c r="D4470" s="4" t="s">
        <v>16</v>
      </c>
      <c r="E4470" s="4" t="s">
        <v>2259</v>
      </c>
      <c r="F4470" s="4" t="s">
        <v>406</v>
      </c>
      <c r="G4470" s="4" t="s">
        <v>2260</v>
      </c>
      <c r="H4470" s="12" t="n">
        <v>1</v>
      </c>
      <c r="I4470" s="4" t="s">
        <v>408</v>
      </c>
      <c r="J4470" s="4" t="s">
        <v>409</v>
      </c>
      <c r="K4470" s="13" t="n">
        <v>85000</v>
      </c>
      <c r="L4470" s="6" t="n">
        <f aca="false">H4470*K4470</f>
        <v>85000</v>
      </c>
      <c r="M4470" s="14" t="s">
        <v>410</v>
      </c>
    </row>
    <row r="4471" customFormat="false" ht="15" hidden="false" customHeight="false" outlineLevel="0" collapsed="false">
      <c r="A4471" s="4" t="s">
        <v>194</v>
      </c>
      <c r="B4471" s="5" t="s">
        <v>199</v>
      </c>
      <c r="C4471" s="5" t="s">
        <v>200</v>
      </c>
      <c r="D4471" s="4" t="s">
        <v>16</v>
      </c>
      <c r="E4471" s="4" t="s">
        <v>2261</v>
      </c>
      <c r="F4471" s="4" t="s">
        <v>406</v>
      </c>
      <c r="G4471" s="4" t="s">
        <v>2262</v>
      </c>
      <c r="H4471" s="12" t="n">
        <v>1</v>
      </c>
      <c r="I4471" s="4" t="s">
        <v>408</v>
      </c>
      <c r="J4471" s="4" t="s">
        <v>409</v>
      </c>
      <c r="K4471" s="13" t="n">
        <v>18000</v>
      </c>
      <c r="L4471" s="6" t="n">
        <f aca="false">H4471*K4471</f>
        <v>18000</v>
      </c>
      <c r="M4471" s="14" t="s">
        <v>410</v>
      </c>
    </row>
    <row r="4472" customFormat="false" ht="15" hidden="false" customHeight="false" outlineLevel="0" collapsed="false">
      <c r="A4472" s="4" t="s">
        <v>194</v>
      </c>
      <c r="B4472" s="5" t="s">
        <v>199</v>
      </c>
      <c r="C4472" s="5" t="s">
        <v>200</v>
      </c>
      <c r="D4472" s="4" t="s">
        <v>16</v>
      </c>
      <c r="E4472" s="4" t="s">
        <v>2263</v>
      </c>
      <c r="F4472" s="4" t="s">
        <v>406</v>
      </c>
      <c r="G4472" s="4" t="s">
        <v>2264</v>
      </c>
      <c r="H4472" s="12" t="n">
        <v>1</v>
      </c>
      <c r="I4472" s="4" t="s">
        <v>408</v>
      </c>
      <c r="J4472" s="4" t="s">
        <v>409</v>
      </c>
      <c r="K4472" s="13" t="n">
        <v>25000</v>
      </c>
      <c r="L4472" s="6" t="n">
        <f aca="false">H4472*K4472</f>
        <v>25000</v>
      </c>
      <c r="M4472" s="4" t="s">
        <v>371</v>
      </c>
    </row>
    <row r="4473" customFormat="false" ht="15" hidden="false" customHeight="false" outlineLevel="0" collapsed="false">
      <c r="A4473" s="4" t="s">
        <v>194</v>
      </c>
      <c r="B4473" s="5" t="s">
        <v>199</v>
      </c>
      <c r="C4473" s="5" t="s">
        <v>200</v>
      </c>
      <c r="D4473" s="4" t="s">
        <v>16</v>
      </c>
      <c r="E4473" s="4" t="s">
        <v>2265</v>
      </c>
      <c r="F4473" s="4" t="s">
        <v>406</v>
      </c>
      <c r="G4473" s="4" t="s">
        <v>2266</v>
      </c>
      <c r="H4473" s="12" t="n">
        <v>1</v>
      </c>
      <c r="I4473" s="4" t="s">
        <v>408</v>
      </c>
      <c r="J4473" s="4" t="s">
        <v>416</v>
      </c>
      <c r="K4473" s="13" t="n">
        <v>18000</v>
      </c>
      <c r="L4473" s="6" t="n">
        <f aca="false">H4473*K4473</f>
        <v>18000</v>
      </c>
      <c r="M4473" s="4" t="s">
        <v>371</v>
      </c>
    </row>
    <row r="4474" customFormat="false" ht="15" hidden="false" customHeight="false" outlineLevel="0" collapsed="false">
      <c r="A4474" s="4" t="s">
        <v>194</v>
      </c>
      <c r="B4474" s="5" t="s">
        <v>199</v>
      </c>
      <c r="C4474" s="5" t="s">
        <v>200</v>
      </c>
      <c r="D4474" s="4" t="s">
        <v>16</v>
      </c>
      <c r="E4474" s="4" t="s">
        <v>5115</v>
      </c>
      <c r="F4474" s="4" t="s">
        <v>406</v>
      </c>
      <c r="G4474" s="4" t="s">
        <v>5116</v>
      </c>
      <c r="H4474" s="12" t="n">
        <v>5</v>
      </c>
      <c r="I4474" s="4" t="s">
        <v>474</v>
      </c>
      <c r="J4474" s="4" t="s">
        <v>416</v>
      </c>
      <c r="K4474" s="13" t="n">
        <v>85000</v>
      </c>
      <c r="L4474" s="6" t="n">
        <f aca="false">H4474*K4474</f>
        <v>425000</v>
      </c>
      <c r="M4474" s="4" t="s">
        <v>371</v>
      </c>
    </row>
    <row r="4475" customFormat="false" ht="15" hidden="false" customHeight="false" outlineLevel="0" collapsed="false">
      <c r="A4475" s="4" t="s">
        <v>194</v>
      </c>
      <c r="B4475" s="5" t="s">
        <v>199</v>
      </c>
      <c r="C4475" s="5" t="s">
        <v>200</v>
      </c>
      <c r="D4475" s="4" t="s">
        <v>16</v>
      </c>
      <c r="E4475" s="4" t="s">
        <v>779</v>
      </c>
      <c r="F4475" s="4" t="s">
        <v>406</v>
      </c>
      <c r="G4475" s="4" t="s">
        <v>780</v>
      </c>
      <c r="H4475" s="12" t="n">
        <v>10</v>
      </c>
      <c r="I4475" s="4" t="s">
        <v>474</v>
      </c>
      <c r="J4475" s="4" t="s">
        <v>409</v>
      </c>
      <c r="K4475" s="13" t="n">
        <v>1800</v>
      </c>
      <c r="L4475" s="6" t="n">
        <f aca="false">H4475*K4475</f>
        <v>18000</v>
      </c>
      <c r="M4475" s="14" t="s">
        <v>410</v>
      </c>
    </row>
    <row r="4476" customFormat="false" ht="15" hidden="false" customHeight="false" outlineLevel="0" collapsed="false">
      <c r="A4476" s="4" t="s">
        <v>194</v>
      </c>
      <c r="B4476" s="5" t="s">
        <v>199</v>
      </c>
      <c r="C4476" s="5" t="s">
        <v>200</v>
      </c>
      <c r="D4476" s="4" t="s">
        <v>16</v>
      </c>
      <c r="E4476" s="4" t="s">
        <v>5117</v>
      </c>
      <c r="F4476" s="4" t="s">
        <v>406</v>
      </c>
      <c r="G4476" s="4" t="s">
        <v>5118</v>
      </c>
      <c r="H4476" s="12" t="n">
        <v>5</v>
      </c>
      <c r="I4476" s="4" t="s">
        <v>474</v>
      </c>
      <c r="J4476" s="4" t="s">
        <v>416</v>
      </c>
      <c r="K4476" s="13" t="n">
        <v>18000</v>
      </c>
      <c r="L4476" s="6" t="n">
        <f aca="false">H4476*K4476</f>
        <v>90000</v>
      </c>
      <c r="M4476" s="14" t="s">
        <v>410</v>
      </c>
    </row>
    <row r="4477" customFormat="false" ht="15" hidden="false" customHeight="false" outlineLevel="0" collapsed="false">
      <c r="A4477" s="4" t="s">
        <v>194</v>
      </c>
      <c r="B4477" s="5" t="s">
        <v>199</v>
      </c>
      <c r="C4477" s="5" t="s">
        <v>200</v>
      </c>
      <c r="D4477" s="4" t="s">
        <v>16</v>
      </c>
      <c r="E4477" s="4" t="s">
        <v>5119</v>
      </c>
      <c r="F4477" s="4" t="s">
        <v>406</v>
      </c>
      <c r="G4477" s="4" t="s">
        <v>5120</v>
      </c>
      <c r="H4477" s="12" t="n">
        <v>5</v>
      </c>
      <c r="I4477" s="4" t="s">
        <v>474</v>
      </c>
      <c r="J4477" s="4" t="s">
        <v>416</v>
      </c>
      <c r="K4477" s="13" t="n">
        <v>85000</v>
      </c>
      <c r="L4477" s="6" t="n">
        <f aca="false">H4477*K4477</f>
        <v>425000</v>
      </c>
      <c r="M4477" s="14" t="s">
        <v>410</v>
      </c>
    </row>
    <row r="4478" customFormat="false" ht="15" hidden="false" customHeight="false" outlineLevel="0" collapsed="false">
      <c r="A4478" s="4" t="s">
        <v>194</v>
      </c>
      <c r="B4478" s="5" t="s">
        <v>199</v>
      </c>
      <c r="C4478" s="5" t="s">
        <v>200</v>
      </c>
      <c r="D4478" s="4" t="s">
        <v>16</v>
      </c>
      <c r="E4478" s="4" t="s">
        <v>5121</v>
      </c>
      <c r="F4478" s="4" t="s">
        <v>406</v>
      </c>
      <c r="G4478" s="4" t="s">
        <v>5122</v>
      </c>
      <c r="H4478" s="12" t="n">
        <v>2</v>
      </c>
      <c r="I4478" s="4" t="s">
        <v>474</v>
      </c>
      <c r="J4478" s="4" t="s">
        <v>409</v>
      </c>
      <c r="K4478" s="13" t="n">
        <v>1800</v>
      </c>
      <c r="L4478" s="6" t="n">
        <f aca="false">H4478*K4478</f>
        <v>3600</v>
      </c>
      <c r="M4478" s="14" t="s">
        <v>410</v>
      </c>
    </row>
    <row r="4479" customFormat="false" ht="15" hidden="false" customHeight="false" outlineLevel="0" collapsed="false">
      <c r="A4479" s="4" t="s">
        <v>194</v>
      </c>
      <c r="B4479" s="5" t="s">
        <v>199</v>
      </c>
      <c r="C4479" s="5" t="s">
        <v>200</v>
      </c>
      <c r="D4479" s="4" t="s">
        <v>16</v>
      </c>
      <c r="E4479" s="4" t="s">
        <v>5123</v>
      </c>
      <c r="F4479" s="4" t="s">
        <v>406</v>
      </c>
      <c r="G4479" s="4" t="s">
        <v>5124</v>
      </c>
      <c r="H4479" s="12" t="n">
        <v>1</v>
      </c>
      <c r="I4479" s="4" t="s">
        <v>474</v>
      </c>
      <c r="J4479" s="4" t="s">
        <v>409</v>
      </c>
      <c r="K4479" s="13" t="n">
        <v>18000</v>
      </c>
      <c r="L4479" s="6" t="n">
        <f aca="false">H4479*K4479</f>
        <v>18000</v>
      </c>
      <c r="M4479" s="14" t="s">
        <v>410</v>
      </c>
    </row>
    <row r="4480" customFormat="false" ht="15" hidden="false" customHeight="false" outlineLevel="0" collapsed="false">
      <c r="A4480" s="4" t="s">
        <v>194</v>
      </c>
      <c r="B4480" s="5" t="s">
        <v>199</v>
      </c>
      <c r="C4480" s="5" t="s">
        <v>200</v>
      </c>
      <c r="D4480" s="4" t="s">
        <v>16</v>
      </c>
      <c r="E4480" s="4" t="s">
        <v>5125</v>
      </c>
      <c r="F4480" s="4" t="s">
        <v>406</v>
      </c>
      <c r="G4480" s="4" t="s">
        <v>5126</v>
      </c>
      <c r="H4480" s="12" t="n">
        <v>1</v>
      </c>
      <c r="I4480" s="4" t="s">
        <v>408</v>
      </c>
      <c r="J4480" s="4" t="s">
        <v>409</v>
      </c>
      <c r="K4480" s="13" t="n">
        <v>85000</v>
      </c>
      <c r="L4480" s="6" t="n">
        <f aca="false">H4480*K4480</f>
        <v>85000</v>
      </c>
      <c r="M4480" s="14" t="s">
        <v>410</v>
      </c>
    </row>
    <row r="4481" customFormat="false" ht="15" hidden="false" customHeight="false" outlineLevel="0" collapsed="false">
      <c r="A4481" s="4" t="s">
        <v>194</v>
      </c>
      <c r="B4481" s="5" t="s">
        <v>199</v>
      </c>
      <c r="C4481" s="5" t="s">
        <v>200</v>
      </c>
      <c r="D4481" s="4" t="s">
        <v>16</v>
      </c>
      <c r="E4481" s="4" t="s">
        <v>5127</v>
      </c>
      <c r="F4481" s="4" t="s">
        <v>406</v>
      </c>
      <c r="G4481" s="4" t="s">
        <v>5128</v>
      </c>
      <c r="H4481" s="12" t="n">
        <v>1</v>
      </c>
      <c r="I4481" s="4" t="s">
        <v>408</v>
      </c>
      <c r="J4481" s="4" t="s">
        <v>543</v>
      </c>
      <c r="K4481" s="13" t="n">
        <v>180000</v>
      </c>
      <c r="L4481" s="6" t="n">
        <f aca="false">H4481*K4481</f>
        <v>180000</v>
      </c>
      <c r="M4481" s="14" t="s">
        <v>410</v>
      </c>
    </row>
    <row r="4482" customFormat="false" ht="15" hidden="false" customHeight="false" outlineLevel="0" collapsed="false">
      <c r="A4482" s="4" t="s">
        <v>194</v>
      </c>
      <c r="B4482" s="5" t="s">
        <v>199</v>
      </c>
      <c r="C4482" s="5" t="s">
        <v>200</v>
      </c>
      <c r="D4482" s="4" t="s">
        <v>16</v>
      </c>
      <c r="E4482" s="4" t="s">
        <v>5129</v>
      </c>
      <c r="F4482" s="4" t="s">
        <v>406</v>
      </c>
      <c r="G4482" s="4" t="s">
        <v>5130</v>
      </c>
      <c r="H4482" s="12" t="n">
        <v>1</v>
      </c>
      <c r="I4482" s="4" t="s">
        <v>474</v>
      </c>
      <c r="J4482" s="4" t="s">
        <v>409</v>
      </c>
      <c r="K4482" s="13" t="n">
        <v>250000</v>
      </c>
      <c r="L4482" s="6" t="n">
        <f aca="false">H4482*K4482</f>
        <v>250000</v>
      </c>
      <c r="M4482" s="14" t="s">
        <v>410</v>
      </c>
    </row>
    <row r="4483" customFormat="false" ht="15" hidden="false" customHeight="false" outlineLevel="0" collapsed="false">
      <c r="A4483" s="4" t="s">
        <v>194</v>
      </c>
      <c r="B4483" s="5" t="s">
        <v>199</v>
      </c>
      <c r="C4483" s="5" t="s">
        <v>200</v>
      </c>
      <c r="D4483" s="4" t="s">
        <v>16</v>
      </c>
      <c r="E4483" s="4" t="s">
        <v>5131</v>
      </c>
      <c r="F4483" s="4" t="s">
        <v>406</v>
      </c>
      <c r="G4483" s="4" t="s">
        <v>5132</v>
      </c>
      <c r="H4483" s="12" t="n">
        <v>5</v>
      </c>
      <c r="I4483" s="4" t="s">
        <v>474</v>
      </c>
      <c r="J4483" s="4" t="s">
        <v>409</v>
      </c>
      <c r="K4483" s="13" t="n">
        <v>250000</v>
      </c>
      <c r="L4483" s="6" t="n">
        <f aca="false">H4483*K4483</f>
        <v>1250000</v>
      </c>
      <c r="M4483" s="14" t="s">
        <v>410</v>
      </c>
    </row>
    <row r="4484" customFormat="false" ht="15" hidden="false" customHeight="false" outlineLevel="0" collapsed="false">
      <c r="A4484" s="4" t="s">
        <v>194</v>
      </c>
      <c r="B4484" s="5" t="s">
        <v>199</v>
      </c>
      <c r="C4484" s="5" t="s">
        <v>200</v>
      </c>
      <c r="D4484" s="4" t="s">
        <v>16</v>
      </c>
      <c r="E4484" s="4" t="s">
        <v>5133</v>
      </c>
      <c r="F4484" s="4" t="s">
        <v>406</v>
      </c>
      <c r="G4484" s="4" t="s">
        <v>5134</v>
      </c>
      <c r="H4484" s="12" t="n">
        <v>2</v>
      </c>
      <c r="I4484" s="4" t="s">
        <v>474</v>
      </c>
      <c r="J4484" s="4" t="s">
        <v>409</v>
      </c>
      <c r="K4484" s="13" t="n">
        <v>180000</v>
      </c>
      <c r="L4484" s="6" t="n">
        <f aca="false">H4484*K4484</f>
        <v>360000</v>
      </c>
      <c r="M4484" s="14" t="s">
        <v>410</v>
      </c>
    </row>
    <row r="4485" customFormat="false" ht="15" hidden="false" customHeight="false" outlineLevel="0" collapsed="false">
      <c r="A4485" s="4" t="s">
        <v>194</v>
      </c>
      <c r="B4485" s="5" t="s">
        <v>199</v>
      </c>
      <c r="C4485" s="5" t="s">
        <v>200</v>
      </c>
      <c r="D4485" s="4" t="s">
        <v>16</v>
      </c>
      <c r="E4485" s="4" t="s">
        <v>2271</v>
      </c>
      <c r="F4485" s="4" t="s">
        <v>470</v>
      </c>
      <c r="G4485" s="4" t="s">
        <v>2272</v>
      </c>
      <c r="H4485" s="12" t="n">
        <v>1</v>
      </c>
      <c r="I4485" s="4" t="s">
        <v>408</v>
      </c>
      <c r="J4485" s="4" t="s">
        <v>409</v>
      </c>
      <c r="K4485" s="13" t="n">
        <v>4500</v>
      </c>
      <c r="L4485" s="6" t="n">
        <f aca="false">H4485*K4485</f>
        <v>4500</v>
      </c>
      <c r="M4485" s="14" t="s">
        <v>410</v>
      </c>
    </row>
    <row r="4486" customFormat="false" ht="15" hidden="false" customHeight="false" outlineLevel="0" collapsed="false">
      <c r="A4486" s="4" t="s">
        <v>194</v>
      </c>
      <c r="B4486" s="5" t="s">
        <v>199</v>
      </c>
      <c r="C4486" s="5" t="s">
        <v>200</v>
      </c>
      <c r="D4486" s="4" t="s">
        <v>16</v>
      </c>
      <c r="E4486" s="4" t="s">
        <v>2273</v>
      </c>
      <c r="F4486" s="4" t="s">
        <v>470</v>
      </c>
      <c r="G4486" s="4" t="s">
        <v>2274</v>
      </c>
      <c r="H4486" s="12" t="n">
        <v>1</v>
      </c>
      <c r="I4486" s="4" t="s">
        <v>408</v>
      </c>
      <c r="J4486" s="4" t="s">
        <v>409</v>
      </c>
      <c r="K4486" s="13" t="n">
        <v>25000</v>
      </c>
      <c r="L4486" s="6" t="n">
        <f aca="false">H4486*K4486</f>
        <v>25000</v>
      </c>
      <c r="M4486" s="14" t="s">
        <v>410</v>
      </c>
    </row>
    <row r="4487" customFormat="false" ht="15" hidden="false" customHeight="false" outlineLevel="0" collapsed="false">
      <c r="A4487" s="4" t="s">
        <v>194</v>
      </c>
      <c r="B4487" s="5" t="s">
        <v>199</v>
      </c>
      <c r="C4487" s="5" t="s">
        <v>200</v>
      </c>
      <c r="D4487" s="4" t="s">
        <v>16</v>
      </c>
      <c r="E4487" s="4" t="s">
        <v>2163</v>
      </c>
      <c r="F4487" s="4" t="s">
        <v>470</v>
      </c>
      <c r="G4487" s="4" t="s">
        <v>2164</v>
      </c>
      <c r="H4487" s="12" t="n">
        <v>1</v>
      </c>
      <c r="I4487" s="4" t="s">
        <v>408</v>
      </c>
      <c r="J4487" s="4" t="s">
        <v>409</v>
      </c>
      <c r="K4487" s="13" t="n">
        <v>35000</v>
      </c>
      <c r="L4487" s="6" t="n">
        <f aca="false">H4487*K4487</f>
        <v>35000</v>
      </c>
      <c r="M4487" s="14" t="s">
        <v>410</v>
      </c>
    </row>
    <row r="4488" customFormat="false" ht="15" hidden="false" customHeight="false" outlineLevel="0" collapsed="false">
      <c r="A4488" s="4" t="s">
        <v>194</v>
      </c>
      <c r="B4488" s="5" t="s">
        <v>199</v>
      </c>
      <c r="C4488" s="5" t="s">
        <v>200</v>
      </c>
      <c r="D4488" s="4" t="s">
        <v>16</v>
      </c>
      <c r="E4488" s="4" t="s">
        <v>1058</v>
      </c>
      <c r="F4488" s="4" t="s">
        <v>470</v>
      </c>
      <c r="G4488" s="4" t="s">
        <v>1059</v>
      </c>
      <c r="H4488" s="12" t="n">
        <v>1</v>
      </c>
      <c r="I4488" s="4" t="s">
        <v>408</v>
      </c>
      <c r="J4488" s="4" t="s">
        <v>409</v>
      </c>
      <c r="K4488" s="13" t="n">
        <v>45000</v>
      </c>
      <c r="L4488" s="6" t="n">
        <f aca="false">H4488*K4488</f>
        <v>45000</v>
      </c>
      <c r="M4488" s="14" t="s">
        <v>410</v>
      </c>
    </row>
    <row r="4489" customFormat="false" ht="15" hidden="false" customHeight="false" outlineLevel="0" collapsed="false">
      <c r="A4489" s="4" t="s">
        <v>194</v>
      </c>
      <c r="B4489" s="5" t="s">
        <v>199</v>
      </c>
      <c r="C4489" s="5" t="s">
        <v>200</v>
      </c>
      <c r="D4489" s="4" t="s">
        <v>16</v>
      </c>
      <c r="E4489" s="4" t="s">
        <v>781</v>
      </c>
      <c r="F4489" s="4" t="s">
        <v>470</v>
      </c>
      <c r="G4489" s="4" t="s">
        <v>782</v>
      </c>
      <c r="H4489" s="12" t="n">
        <v>5</v>
      </c>
      <c r="I4489" s="4" t="s">
        <v>474</v>
      </c>
      <c r="J4489" s="4" t="s">
        <v>409</v>
      </c>
      <c r="K4489" s="13" t="n">
        <v>6500</v>
      </c>
      <c r="L4489" s="6" t="n">
        <f aca="false">H4489*K4489</f>
        <v>32500</v>
      </c>
      <c r="M4489" s="4" t="s">
        <v>371</v>
      </c>
    </row>
    <row r="4490" customFormat="false" ht="15" hidden="false" customHeight="false" outlineLevel="0" collapsed="false">
      <c r="A4490" s="4" t="s">
        <v>194</v>
      </c>
      <c r="B4490" s="5" t="s">
        <v>199</v>
      </c>
      <c r="C4490" s="5" t="s">
        <v>200</v>
      </c>
      <c r="D4490" s="4" t="s">
        <v>16</v>
      </c>
      <c r="E4490" s="4" t="s">
        <v>5135</v>
      </c>
      <c r="F4490" s="4" t="s">
        <v>470</v>
      </c>
      <c r="G4490" s="4" t="s">
        <v>5136</v>
      </c>
      <c r="H4490" s="12" t="n">
        <v>1</v>
      </c>
      <c r="I4490" s="4" t="s">
        <v>408</v>
      </c>
      <c r="J4490" s="4" t="s">
        <v>416</v>
      </c>
      <c r="K4490" s="13" t="n">
        <v>45000</v>
      </c>
      <c r="L4490" s="6" t="n">
        <f aca="false">H4490*K4490</f>
        <v>45000</v>
      </c>
      <c r="M4490" s="4" t="s">
        <v>371</v>
      </c>
    </row>
    <row r="4491" customFormat="false" ht="15" hidden="false" customHeight="false" outlineLevel="0" collapsed="false">
      <c r="A4491" s="4" t="s">
        <v>194</v>
      </c>
      <c r="B4491" s="5" t="s">
        <v>199</v>
      </c>
      <c r="C4491" s="5" t="s">
        <v>200</v>
      </c>
      <c r="D4491" s="4" t="s">
        <v>16</v>
      </c>
      <c r="E4491" s="4" t="s">
        <v>1089</v>
      </c>
      <c r="F4491" s="4" t="s">
        <v>470</v>
      </c>
      <c r="G4491" s="4" t="s">
        <v>1090</v>
      </c>
      <c r="H4491" s="12" t="n">
        <v>1</v>
      </c>
      <c r="I4491" s="4" t="s">
        <v>408</v>
      </c>
      <c r="J4491" s="4" t="s">
        <v>409</v>
      </c>
      <c r="K4491" s="13" t="n">
        <v>3500</v>
      </c>
      <c r="L4491" s="6" t="n">
        <f aca="false">H4491*K4491</f>
        <v>3500</v>
      </c>
      <c r="M4491" s="4" t="s">
        <v>371</v>
      </c>
    </row>
    <row r="4492" customFormat="false" ht="15" hidden="false" customHeight="false" outlineLevel="0" collapsed="false">
      <c r="A4492" s="4" t="s">
        <v>194</v>
      </c>
      <c r="B4492" s="5" t="s">
        <v>199</v>
      </c>
      <c r="C4492" s="5" t="s">
        <v>200</v>
      </c>
      <c r="D4492" s="4" t="s">
        <v>16</v>
      </c>
      <c r="E4492" s="4" t="s">
        <v>2289</v>
      </c>
      <c r="F4492" s="4" t="s">
        <v>470</v>
      </c>
      <c r="G4492" s="4" t="s">
        <v>2290</v>
      </c>
      <c r="H4492" s="12" t="n">
        <v>1</v>
      </c>
      <c r="I4492" s="4" t="s">
        <v>408</v>
      </c>
      <c r="J4492" s="4" t="s">
        <v>409</v>
      </c>
      <c r="K4492" s="13" t="n">
        <v>2500</v>
      </c>
      <c r="L4492" s="6" t="n">
        <f aca="false">H4492*K4492</f>
        <v>2500</v>
      </c>
      <c r="M4492" s="4" t="s">
        <v>371</v>
      </c>
    </row>
    <row r="4493" customFormat="false" ht="15" hidden="false" customHeight="false" outlineLevel="0" collapsed="false">
      <c r="A4493" s="4" t="s">
        <v>194</v>
      </c>
      <c r="B4493" s="5" t="s">
        <v>199</v>
      </c>
      <c r="C4493" s="5" t="s">
        <v>200</v>
      </c>
      <c r="D4493" s="4" t="s">
        <v>16</v>
      </c>
      <c r="E4493" s="4" t="s">
        <v>2359</v>
      </c>
      <c r="F4493" s="4" t="s">
        <v>470</v>
      </c>
      <c r="G4493" s="4" t="s">
        <v>2360</v>
      </c>
      <c r="H4493" s="12" t="n">
        <v>1</v>
      </c>
      <c r="I4493" s="4" t="s">
        <v>408</v>
      </c>
      <c r="J4493" s="4" t="s">
        <v>416</v>
      </c>
      <c r="K4493" s="13" t="n">
        <v>4500</v>
      </c>
      <c r="L4493" s="6" t="n">
        <f aca="false">H4493*K4493</f>
        <v>4500</v>
      </c>
      <c r="M4493" s="4" t="s">
        <v>371</v>
      </c>
    </row>
    <row r="4494" customFormat="false" ht="15" hidden="false" customHeight="false" outlineLevel="0" collapsed="false">
      <c r="A4494" s="4" t="s">
        <v>194</v>
      </c>
      <c r="B4494" s="5" t="s">
        <v>199</v>
      </c>
      <c r="C4494" s="5" t="s">
        <v>200</v>
      </c>
      <c r="D4494" s="4" t="s">
        <v>16</v>
      </c>
      <c r="E4494" s="4" t="s">
        <v>2373</v>
      </c>
      <c r="F4494" s="4" t="s">
        <v>470</v>
      </c>
      <c r="G4494" s="4" t="s">
        <v>2374</v>
      </c>
      <c r="H4494" s="12" t="n">
        <v>1</v>
      </c>
      <c r="I4494" s="4" t="s">
        <v>408</v>
      </c>
      <c r="J4494" s="4" t="s">
        <v>416</v>
      </c>
      <c r="K4494" s="13" t="n">
        <v>850</v>
      </c>
      <c r="L4494" s="6" t="n">
        <f aca="false">H4494*K4494</f>
        <v>850</v>
      </c>
      <c r="M4494" s="4" t="s">
        <v>371</v>
      </c>
    </row>
    <row r="4495" customFormat="false" ht="15" hidden="false" customHeight="false" outlineLevel="0" collapsed="false">
      <c r="A4495" s="4" t="s">
        <v>194</v>
      </c>
      <c r="B4495" s="5" t="s">
        <v>199</v>
      </c>
      <c r="C4495" s="5" t="s">
        <v>200</v>
      </c>
      <c r="D4495" s="4" t="s">
        <v>16</v>
      </c>
      <c r="E4495" s="4" t="s">
        <v>5137</v>
      </c>
      <c r="F4495" s="4" t="s">
        <v>470</v>
      </c>
      <c r="G4495" s="4" t="s">
        <v>5138</v>
      </c>
      <c r="H4495" s="12" t="n">
        <v>1</v>
      </c>
      <c r="I4495" s="4" t="s">
        <v>408</v>
      </c>
      <c r="J4495" s="4" t="s">
        <v>416</v>
      </c>
      <c r="K4495" s="13" t="n">
        <v>850</v>
      </c>
      <c r="L4495" s="6" t="n">
        <f aca="false">H4495*K4495</f>
        <v>850</v>
      </c>
      <c r="M4495" s="4" t="s">
        <v>371</v>
      </c>
    </row>
    <row r="4496" customFormat="false" ht="15" hidden="false" customHeight="false" outlineLevel="0" collapsed="false">
      <c r="A4496" s="4" t="s">
        <v>194</v>
      </c>
      <c r="B4496" s="5" t="s">
        <v>199</v>
      </c>
      <c r="C4496" s="5" t="s">
        <v>200</v>
      </c>
      <c r="D4496" s="4" t="s">
        <v>16</v>
      </c>
      <c r="E4496" s="4" t="s">
        <v>5139</v>
      </c>
      <c r="F4496" s="4" t="s">
        <v>470</v>
      </c>
      <c r="G4496" s="4" t="s">
        <v>5140</v>
      </c>
      <c r="H4496" s="12" t="n">
        <v>1</v>
      </c>
      <c r="I4496" s="4" t="s">
        <v>408</v>
      </c>
      <c r="J4496" s="4" t="s">
        <v>416</v>
      </c>
      <c r="K4496" s="13" t="n">
        <v>1800</v>
      </c>
      <c r="L4496" s="6" t="n">
        <f aca="false">H4496*K4496</f>
        <v>1800</v>
      </c>
      <c r="M4496" s="4" t="s">
        <v>371</v>
      </c>
    </row>
    <row r="4497" customFormat="false" ht="15" hidden="false" customHeight="false" outlineLevel="0" collapsed="false">
      <c r="A4497" s="4" t="s">
        <v>194</v>
      </c>
      <c r="B4497" s="5" t="s">
        <v>199</v>
      </c>
      <c r="C4497" s="5" t="s">
        <v>200</v>
      </c>
      <c r="D4497" s="4" t="s">
        <v>16</v>
      </c>
      <c r="E4497" s="4" t="s">
        <v>5141</v>
      </c>
      <c r="F4497" s="4" t="s">
        <v>470</v>
      </c>
      <c r="G4497" s="4" t="s">
        <v>5142</v>
      </c>
      <c r="H4497" s="12" t="n">
        <v>1</v>
      </c>
      <c r="I4497" s="4" t="s">
        <v>408</v>
      </c>
      <c r="J4497" s="4" t="s">
        <v>416</v>
      </c>
      <c r="K4497" s="13" t="n">
        <v>850</v>
      </c>
      <c r="L4497" s="6" t="n">
        <f aca="false">H4497*K4497</f>
        <v>850</v>
      </c>
      <c r="M4497" s="4" t="s">
        <v>371</v>
      </c>
    </row>
    <row r="4498" customFormat="false" ht="15" hidden="false" customHeight="false" outlineLevel="0" collapsed="false">
      <c r="A4498" s="4" t="s">
        <v>194</v>
      </c>
      <c r="B4498" s="5" t="s">
        <v>199</v>
      </c>
      <c r="C4498" s="5" t="s">
        <v>200</v>
      </c>
      <c r="D4498" s="4" t="s">
        <v>16</v>
      </c>
      <c r="E4498" s="4" t="s">
        <v>5143</v>
      </c>
      <c r="F4498" s="4" t="s">
        <v>470</v>
      </c>
      <c r="G4498" s="4" t="s">
        <v>5144</v>
      </c>
      <c r="H4498" s="12" t="n">
        <v>1</v>
      </c>
      <c r="I4498" s="4" t="s">
        <v>408</v>
      </c>
      <c r="J4498" s="4" t="s">
        <v>416</v>
      </c>
      <c r="K4498" s="13" t="n">
        <v>450</v>
      </c>
      <c r="L4498" s="6" t="n">
        <f aca="false">H4498*K4498</f>
        <v>450</v>
      </c>
      <c r="M4498" s="4" t="s">
        <v>371</v>
      </c>
    </row>
    <row r="4499" customFormat="false" ht="15" hidden="false" customHeight="false" outlineLevel="0" collapsed="false">
      <c r="A4499" s="4" t="s">
        <v>194</v>
      </c>
      <c r="B4499" s="5" t="s">
        <v>199</v>
      </c>
      <c r="C4499" s="5" t="s">
        <v>200</v>
      </c>
      <c r="D4499" s="4" t="s">
        <v>16</v>
      </c>
      <c r="E4499" s="4" t="s">
        <v>5145</v>
      </c>
      <c r="F4499" s="4" t="s">
        <v>470</v>
      </c>
      <c r="G4499" s="4" t="s">
        <v>5146</v>
      </c>
      <c r="H4499" s="12" t="n">
        <v>1</v>
      </c>
      <c r="I4499" s="4" t="s">
        <v>408</v>
      </c>
      <c r="J4499" s="4" t="s">
        <v>416</v>
      </c>
      <c r="K4499" s="13" t="n">
        <v>850</v>
      </c>
      <c r="L4499" s="6" t="n">
        <f aca="false">H4499*K4499</f>
        <v>850</v>
      </c>
      <c r="M4499" s="4" t="s">
        <v>371</v>
      </c>
    </row>
    <row r="4500" customFormat="false" ht="15" hidden="false" customHeight="false" outlineLevel="0" collapsed="false">
      <c r="A4500" s="4" t="s">
        <v>194</v>
      </c>
      <c r="B4500" s="5" t="s">
        <v>199</v>
      </c>
      <c r="C4500" s="5" t="s">
        <v>200</v>
      </c>
      <c r="D4500" s="4" t="s">
        <v>16</v>
      </c>
      <c r="E4500" s="4" t="s">
        <v>2301</v>
      </c>
      <c r="F4500" s="4" t="s">
        <v>470</v>
      </c>
      <c r="G4500" s="4" t="s">
        <v>2302</v>
      </c>
      <c r="H4500" s="12" t="n">
        <v>1</v>
      </c>
      <c r="I4500" s="4" t="s">
        <v>408</v>
      </c>
      <c r="J4500" s="4" t="s">
        <v>409</v>
      </c>
      <c r="K4500" s="13" t="n">
        <v>8500</v>
      </c>
      <c r="L4500" s="6" t="n">
        <f aca="false">H4500*K4500</f>
        <v>8500</v>
      </c>
      <c r="M4500" s="4" t="s">
        <v>371</v>
      </c>
    </row>
    <row r="4501" customFormat="false" ht="15" hidden="false" customHeight="false" outlineLevel="0" collapsed="false">
      <c r="A4501" s="4" t="s">
        <v>194</v>
      </c>
      <c r="B4501" s="5" t="s">
        <v>199</v>
      </c>
      <c r="C4501" s="5" t="s">
        <v>200</v>
      </c>
      <c r="D4501" s="4" t="s">
        <v>16</v>
      </c>
      <c r="E4501" s="4" t="s">
        <v>2303</v>
      </c>
      <c r="F4501" s="4" t="s">
        <v>470</v>
      </c>
      <c r="G4501" s="4" t="s">
        <v>2304</v>
      </c>
      <c r="H4501" s="12" t="n">
        <v>1</v>
      </c>
      <c r="I4501" s="4" t="s">
        <v>408</v>
      </c>
      <c r="J4501" s="4" t="s">
        <v>409</v>
      </c>
      <c r="K4501" s="13" t="n">
        <v>3500</v>
      </c>
      <c r="L4501" s="6" t="n">
        <f aca="false">H4501*K4501</f>
        <v>3500</v>
      </c>
      <c r="M4501" s="4" t="s">
        <v>371</v>
      </c>
    </row>
    <row r="4502" customFormat="false" ht="15" hidden="false" customHeight="false" outlineLevel="0" collapsed="false">
      <c r="A4502" s="4" t="s">
        <v>194</v>
      </c>
      <c r="B4502" s="5" t="s">
        <v>199</v>
      </c>
      <c r="C4502" s="5" t="s">
        <v>200</v>
      </c>
      <c r="D4502" s="4" t="s">
        <v>16</v>
      </c>
      <c r="E4502" s="4" t="s">
        <v>2305</v>
      </c>
      <c r="F4502" s="4" t="s">
        <v>470</v>
      </c>
      <c r="G4502" s="4" t="s">
        <v>2306</v>
      </c>
      <c r="H4502" s="12" t="n">
        <v>1</v>
      </c>
      <c r="I4502" s="4" t="s">
        <v>408</v>
      </c>
      <c r="J4502" s="4" t="s">
        <v>409</v>
      </c>
      <c r="K4502" s="13" t="n">
        <v>850</v>
      </c>
      <c r="L4502" s="6" t="n">
        <f aca="false">H4502*K4502</f>
        <v>850</v>
      </c>
      <c r="M4502" s="4" t="s">
        <v>371</v>
      </c>
    </row>
    <row r="4503" customFormat="false" ht="15" hidden="false" customHeight="false" outlineLevel="0" collapsed="false">
      <c r="A4503" s="4" t="s">
        <v>194</v>
      </c>
      <c r="B4503" s="5" t="s">
        <v>199</v>
      </c>
      <c r="C4503" s="5" t="s">
        <v>200</v>
      </c>
      <c r="D4503" s="4" t="s">
        <v>16</v>
      </c>
      <c r="E4503" s="4" t="s">
        <v>2325</v>
      </c>
      <c r="F4503" s="4" t="s">
        <v>488</v>
      </c>
      <c r="G4503" s="4" t="s">
        <v>2326</v>
      </c>
      <c r="H4503" s="12" t="n">
        <v>1</v>
      </c>
      <c r="I4503" s="4" t="s">
        <v>408</v>
      </c>
      <c r="J4503" s="4" t="s">
        <v>416</v>
      </c>
      <c r="K4503" s="13" t="n">
        <v>650</v>
      </c>
      <c r="L4503" s="6" t="n">
        <f aca="false">H4503*K4503</f>
        <v>650</v>
      </c>
      <c r="M4503" s="4" t="s">
        <v>371</v>
      </c>
    </row>
    <row r="4504" customFormat="false" ht="15" hidden="false" customHeight="false" outlineLevel="0" collapsed="false">
      <c r="A4504" s="4" t="s">
        <v>194</v>
      </c>
      <c r="B4504" s="5" t="s">
        <v>199</v>
      </c>
      <c r="C4504" s="5" t="s">
        <v>200</v>
      </c>
      <c r="D4504" s="4" t="s">
        <v>16</v>
      </c>
      <c r="E4504" s="4" t="s">
        <v>2327</v>
      </c>
      <c r="F4504" s="4" t="s">
        <v>488</v>
      </c>
      <c r="G4504" s="4" t="s">
        <v>2328</v>
      </c>
      <c r="H4504" s="12" t="n">
        <v>1</v>
      </c>
      <c r="I4504" s="4" t="s">
        <v>408</v>
      </c>
      <c r="J4504" s="4" t="s">
        <v>506</v>
      </c>
      <c r="K4504" s="13" t="n">
        <v>450</v>
      </c>
      <c r="L4504" s="6" t="n">
        <f aca="false">H4504*K4504</f>
        <v>450</v>
      </c>
      <c r="M4504" s="4" t="s">
        <v>371</v>
      </c>
    </row>
    <row r="4505" customFormat="false" ht="15" hidden="false" customHeight="false" outlineLevel="0" collapsed="false">
      <c r="A4505" s="4" t="s">
        <v>194</v>
      </c>
      <c r="B4505" s="5" t="s">
        <v>199</v>
      </c>
      <c r="C4505" s="5" t="s">
        <v>200</v>
      </c>
      <c r="D4505" s="4" t="s">
        <v>16</v>
      </c>
      <c r="E4505" s="4" t="s">
        <v>5147</v>
      </c>
      <c r="F4505" s="4" t="s">
        <v>488</v>
      </c>
      <c r="G4505" s="4" t="s">
        <v>5148</v>
      </c>
      <c r="H4505" s="12" t="n">
        <v>15</v>
      </c>
      <c r="I4505" s="4" t="s">
        <v>474</v>
      </c>
      <c r="J4505" s="4" t="s">
        <v>432</v>
      </c>
      <c r="K4505" s="13" t="n">
        <v>650</v>
      </c>
      <c r="L4505" s="6" t="n">
        <f aca="false">H4505*K4505</f>
        <v>9750</v>
      </c>
      <c r="M4505" s="4" t="s">
        <v>371</v>
      </c>
    </row>
    <row r="4506" customFormat="false" ht="15" hidden="false" customHeight="false" outlineLevel="0" collapsed="false">
      <c r="A4506" s="4" t="s">
        <v>194</v>
      </c>
      <c r="B4506" s="5" t="s">
        <v>199</v>
      </c>
      <c r="C4506" s="5" t="s">
        <v>200</v>
      </c>
      <c r="D4506" s="4" t="s">
        <v>16</v>
      </c>
      <c r="E4506" s="4" t="s">
        <v>5149</v>
      </c>
      <c r="F4506" s="4" t="s">
        <v>488</v>
      </c>
      <c r="G4506" s="4" t="s">
        <v>5150</v>
      </c>
      <c r="H4506" s="12" t="n">
        <v>40</v>
      </c>
      <c r="I4506" s="4" t="s">
        <v>474</v>
      </c>
      <c r="J4506" s="4" t="s">
        <v>432</v>
      </c>
      <c r="K4506" s="13" t="n">
        <v>180</v>
      </c>
      <c r="L4506" s="6" t="n">
        <f aca="false">H4506*K4506</f>
        <v>7200</v>
      </c>
      <c r="M4506" s="4" t="s">
        <v>371</v>
      </c>
    </row>
    <row r="4507" customFormat="false" ht="15" hidden="false" customHeight="false" outlineLevel="0" collapsed="false">
      <c r="A4507" s="4" t="s">
        <v>194</v>
      </c>
      <c r="B4507" s="5" t="s">
        <v>199</v>
      </c>
      <c r="C4507" s="5" t="s">
        <v>200</v>
      </c>
      <c r="D4507" s="4" t="s">
        <v>16</v>
      </c>
      <c r="E4507" s="4" t="s">
        <v>5151</v>
      </c>
      <c r="F4507" s="4" t="s">
        <v>488</v>
      </c>
      <c r="G4507" s="4" t="s">
        <v>5152</v>
      </c>
      <c r="H4507" s="12" t="n">
        <v>50</v>
      </c>
      <c r="I4507" s="4" t="s">
        <v>474</v>
      </c>
      <c r="J4507" s="4" t="s">
        <v>429</v>
      </c>
      <c r="K4507" s="13" t="n">
        <v>120</v>
      </c>
      <c r="L4507" s="6" t="n">
        <f aca="false">H4507*K4507</f>
        <v>6000</v>
      </c>
      <c r="M4507" s="4" t="s">
        <v>371</v>
      </c>
    </row>
    <row r="4508" customFormat="false" ht="15" hidden="false" customHeight="false" outlineLevel="0" collapsed="false">
      <c r="A4508" s="4" t="s">
        <v>194</v>
      </c>
      <c r="B4508" s="5" t="s">
        <v>199</v>
      </c>
      <c r="C4508" s="5" t="s">
        <v>200</v>
      </c>
      <c r="D4508" s="4" t="s">
        <v>16</v>
      </c>
      <c r="E4508" s="4" t="s">
        <v>5153</v>
      </c>
      <c r="F4508" s="4" t="s">
        <v>488</v>
      </c>
      <c r="G4508" s="4" t="s">
        <v>5154</v>
      </c>
      <c r="H4508" s="12" t="n">
        <v>10</v>
      </c>
      <c r="I4508" s="4" t="s">
        <v>474</v>
      </c>
      <c r="J4508" s="4" t="s">
        <v>416</v>
      </c>
      <c r="K4508" s="13" t="n">
        <v>180</v>
      </c>
      <c r="L4508" s="6" t="n">
        <f aca="false">H4508*K4508</f>
        <v>1800</v>
      </c>
      <c r="M4508" s="4" t="s">
        <v>371</v>
      </c>
    </row>
    <row r="4509" customFormat="false" ht="15" hidden="false" customHeight="false" outlineLevel="0" collapsed="false">
      <c r="A4509" s="4" t="s">
        <v>194</v>
      </c>
      <c r="B4509" s="5" t="s">
        <v>199</v>
      </c>
      <c r="C4509" s="5" t="s">
        <v>200</v>
      </c>
      <c r="D4509" s="4" t="s">
        <v>16</v>
      </c>
      <c r="E4509" s="4" t="s">
        <v>3664</v>
      </c>
      <c r="F4509" s="4" t="s">
        <v>488</v>
      </c>
      <c r="G4509" s="4" t="s">
        <v>3665</v>
      </c>
      <c r="H4509" s="12" t="n">
        <v>20</v>
      </c>
      <c r="I4509" s="4" t="s">
        <v>474</v>
      </c>
      <c r="J4509" s="4" t="s">
        <v>416</v>
      </c>
      <c r="K4509" s="13" t="n">
        <v>250</v>
      </c>
      <c r="L4509" s="6" t="n">
        <f aca="false">H4509*K4509</f>
        <v>5000</v>
      </c>
      <c r="M4509" s="4" t="s">
        <v>371</v>
      </c>
    </row>
    <row r="4510" customFormat="false" ht="15" hidden="false" customHeight="false" outlineLevel="0" collapsed="false">
      <c r="A4510" s="4" t="s">
        <v>194</v>
      </c>
      <c r="B4510" s="5" t="s">
        <v>199</v>
      </c>
      <c r="C4510" s="5" t="s">
        <v>200</v>
      </c>
      <c r="D4510" s="4" t="s">
        <v>16</v>
      </c>
      <c r="E4510" s="4" t="s">
        <v>922</v>
      </c>
      <c r="F4510" s="4" t="s">
        <v>488</v>
      </c>
      <c r="G4510" s="4" t="s">
        <v>923</v>
      </c>
      <c r="H4510" s="12" t="n">
        <v>20</v>
      </c>
      <c r="I4510" s="4" t="s">
        <v>474</v>
      </c>
      <c r="J4510" s="4" t="s">
        <v>791</v>
      </c>
      <c r="K4510" s="13" t="n">
        <v>45</v>
      </c>
      <c r="L4510" s="6" t="n">
        <f aca="false">H4510*K4510</f>
        <v>900</v>
      </c>
      <c r="M4510" s="4" t="s">
        <v>371</v>
      </c>
    </row>
    <row r="4511" customFormat="false" ht="15" hidden="false" customHeight="false" outlineLevel="0" collapsed="false">
      <c r="A4511" s="4" t="s">
        <v>194</v>
      </c>
      <c r="B4511" s="5" t="s">
        <v>199</v>
      </c>
      <c r="C4511" s="5" t="s">
        <v>200</v>
      </c>
      <c r="D4511" s="4" t="s">
        <v>16</v>
      </c>
      <c r="E4511" s="4" t="s">
        <v>920</v>
      </c>
      <c r="F4511" s="4" t="s">
        <v>488</v>
      </c>
      <c r="G4511" s="4" t="s">
        <v>921</v>
      </c>
      <c r="H4511" s="12" t="n">
        <v>20</v>
      </c>
      <c r="I4511" s="4" t="s">
        <v>474</v>
      </c>
      <c r="J4511" s="4" t="s">
        <v>506</v>
      </c>
      <c r="K4511" s="13" t="n">
        <v>60</v>
      </c>
      <c r="L4511" s="6" t="n">
        <f aca="false">H4511*K4511</f>
        <v>1200</v>
      </c>
      <c r="M4511" s="14" t="s">
        <v>410</v>
      </c>
    </row>
    <row r="4512" customFormat="false" ht="15" hidden="false" customHeight="false" outlineLevel="0" collapsed="false">
      <c r="A4512" s="4" t="s">
        <v>194</v>
      </c>
      <c r="B4512" s="5" t="s">
        <v>199</v>
      </c>
      <c r="C4512" s="5" t="s">
        <v>200</v>
      </c>
      <c r="D4512" s="4" t="s">
        <v>16</v>
      </c>
      <c r="E4512" s="4" t="s">
        <v>803</v>
      </c>
      <c r="F4512" s="4" t="s">
        <v>488</v>
      </c>
      <c r="G4512" s="4" t="s">
        <v>804</v>
      </c>
      <c r="H4512" s="12" t="n">
        <v>15</v>
      </c>
      <c r="I4512" s="4" t="s">
        <v>474</v>
      </c>
      <c r="J4512" s="4" t="s">
        <v>409</v>
      </c>
      <c r="K4512" s="13" t="n">
        <v>15</v>
      </c>
      <c r="L4512" s="6" t="n">
        <f aca="false">H4512*K4512</f>
        <v>225</v>
      </c>
      <c r="M4512" s="4" t="s">
        <v>371</v>
      </c>
    </row>
    <row r="4513" customFormat="false" ht="15" hidden="false" customHeight="false" outlineLevel="0" collapsed="false">
      <c r="A4513" s="4" t="s">
        <v>194</v>
      </c>
      <c r="B4513" s="5" t="s">
        <v>199</v>
      </c>
      <c r="C4513" s="5" t="s">
        <v>200</v>
      </c>
      <c r="D4513" s="4" t="s">
        <v>16</v>
      </c>
      <c r="E4513" s="4" t="s">
        <v>5155</v>
      </c>
      <c r="F4513" s="4" t="s">
        <v>488</v>
      </c>
      <c r="G4513" s="4" t="s">
        <v>5156</v>
      </c>
      <c r="H4513" s="12" t="n">
        <v>20</v>
      </c>
      <c r="I4513" s="4" t="s">
        <v>474</v>
      </c>
      <c r="J4513" s="4" t="s">
        <v>416</v>
      </c>
      <c r="K4513" s="13" t="n">
        <v>350</v>
      </c>
      <c r="L4513" s="6" t="n">
        <f aca="false">H4513*K4513</f>
        <v>7000</v>
      </c>
      <c r="M4513" s="4" t="s">
        <v>371</v>
      </c>
    </row>
    <row r="4514" customFormat="false" ht="15" hidden="false" customHeight="false" outlineLevel="0" collapsed="false">
      <c r="A4514" s="4" t="s">
        <v>194</v>
      </c>
      <c r="B4514" s="5" t="s">
        <v>199</v>
      </c>
      <c r="C4514" s="5" t="s">
        <v>200</v>
      </c>
      <c r="D4514" s="4" t="s">
        <v>16</v>
      </c>
      <c r="E4514" s="4" t="s">
        <v>5157</v>
      </c>
      <c r="F4514" s="4" t="s">
        <v>488</v>
      </c>
      <c r="G4514" s="4" t="s">
        <v>3711</v>
      </c>
      <c r="H4514" s="12" t="n">
        <v>40</v>
      </c>
      <c r="I4514" s="4" t="s">
        <v>474</v>
      </c>
      <c r="J4514" s="4" t="s">
        <v>807</v>
      </c>
      <c r="K4514" s="13" t="n">
        <v>250</v>
      </c>
      <c r="L4514" s="6" t="n">
        <f aca="false">H4514*K4514</f>
        <v>10000</v>
      </c>
      <c r="M4514" s="4" t="s">
        <v>371</v>
      </c>
    </row>
    <row r="4515" customFormat="false" ht="15" hidden="false" customHeight="false" outlineLevel="0" collapsed="false">
      <c r="A4515" s="4" t="s">
        <v>194</v>
      </c>
      <c r="B4515" s="5" t="s">
        <v>199</v>
      </c>
      <c r="C4515" s="5" t="s">
        <v>200</v>
      </c>
      <c r="D4515" s="4" t="s">
        <v>16</v>
      </c>
      <c r="E4515" s="4" t="s">
        <v>5158</v>
      </c>
      <c r="F4515" s="4" t="s">
        <v>488</v>
      </c>
      <c r="G4515" s="4" t="s">
        <v>837</v>
      </c>
      <c r="H4515" s="12" t="n">
        <v>40</v>
      </c>
      <c r="I4515" s="4" t="s">
        <v>474</v>
      </c>
      <c r="J4515" s="4" t="s">
        <v>796</v>
      </c>
      <c r="K4515" s="13" t="n">
        <v>15</v>
      </c>
      <c r="L4515" s="6" t="n">
        <f aca="false">H4515*K4515</f>
        <v>600</v>
      </c>
      <c r="M4515" s="4" t="s">
        <v>371</v>
      </c>
    </row>
    <row r="4516" customFormat="false" ht="15" hidden="false" customHeight="false" outlineLevel="0" collapsed="false">
      <c r="A4516" s="4" t="s">
        <v>194</v>
      </c>
      <c r="B4516" s="5" t="s">
        <v>199</v>
      </c>
      <c r="C4516" s="5" t="s">
        <v>200</v>
      </c>
      <c r="D4516" s="4" t="s">
        <v>16</v>
      </c>
      <c r="E4516" s="4" t="s">
        <v>5159</v>
      </c>
      <c r="F4516" s="4" t="s">
        <v>488</v>
      </c>
      <c r="G4516" s="4" t="s">
        <v>3713</v>
      </c>
      <c r="H4516" s="12" t="n">
        <v>5</v>
      </c>
      <c r="I4516" s="4" t="s">
        <v>474</v>
      </c>
      <c r="J4516" s="4" t="s">
        <v>807</v>
      </c>
      <c r="K4516" s="13" t="n">
        <v>350</v>
      </c>
      <c r="L4516" s="6" t="n">
        <f aca="false">H4516*K4516</f>
        <v>1750</v>
      </c>
      <c r="M4516" s="4" t="s">
        <v>371</v>
      </c>
    </row>
    <row r="4517" customFormat="false" ht="15" hidden="false" customHeight="false" outlineLevel="0" collapsed="false">
      <c r="A4517" s="4" t="s">
        <v>194</v>
      </c>
      <c r="B4517" s="5" t="s">
        <v>199</v>
      </c>
      <c r="C4517" s="5" t="s">
        <v>200</v>
      </c>
      <c r="D4517" s="4" t="s">
        <v>16</v>
      </c>
      <c r="E4517" s="4" t="s">
        <v>854</v>
      </c>
      <c r="F4517" s="4" t="s">
        <v>488</v>
      </c>
      <c r="G4517" s="4" t="s">
        <v>855</v>
      </c>
      <c r="H4517" s="12" t="n">
        <v>10</v>
      </c>
      <c r="I4517" s="4" t="s">
        <v>474</v>
      </c>
      <c r="J4517" s="4" t="s">
        <v>503</v>
      </c>
      <c r="K4517" s="13" t="n">
        <v>120</v>
      </c>
      <c r="L4517" s="6" t="n">
        <f aca="false">H4517*K4517</f>
        <v>1200</v>
      </c>
      <c r="M4517" s="4" t="s">
        <v>371</v>
      </c>
    </row>
    <row r="4518" customFormat="false" ht="15" hidden="false" customHeight="false" outlineLevel="0" collapsed="false">
      <c r="A4518" s="4" t="s">
        <v>194</v>
      </c>
      <c r="B4518" s="5" t="s">
        <v>199</v>
      </c>
      <c r="C4518" s="5" t="s">
        <v>200</v>
      </c>
      <c r="D4518" s="4" t="s">
        <v>16</v>
      </c>
      <c r="E4518" s="4" t="s">
        <v>5160</v>
      </c>
      <c r="F4518" s="4" t="s">
        <v>488</v>
      </c>
      <c r="G4518" s="4" t="s">
        <v>5161</v>
      </c>
      <c r="H4518" s="12" t="n">
        <v>10</v>
      </c>
      <c r="I4518" s="4" t="s">
        <v>474</v>
      </c>
      <c r="J4518" s="4" t="s">
        <v>416</v>
      </c>
      <c r="K4518" s="13" t="n">
        <v>250</v>
      </c>
      <c r="L4518" s="6" t="n">
        <f aca="false">H4518*K4518</f>
        <v>2500</v>
      </c>
      <c r="M4518" s="4" t="s">
        <v>371</v>
      </c>
    </row>
    <row r="4519" customFormat="false" ht="15" hidden="false" customHeight="false" outlineLevel="0" collapsed="false">
      <c r="A4519" s="4" t="s">
        <v>194</v>
      </c>
      <c r="B4519" s="5" t="s">
        <v>199</v>
      </c>
      <c r="C4519" s="5" t="s">
        <v>200</v>
      </c>
      <c r="D4519" s="4" t="s">
        <v>16</v>
      </c>
      <c r="E4519" s="4" t="s">
        <v>2369</v>
      </c>
      <c r="F4519" s="4" t="s">
        <v>470</v>
      </c>
      <c r="G4519" s="4" t="s">
        <v>2370</v>
      </c>
      <c r="H4519" s="12" t="n">
        <v>1</v>
      </c>
      <c r="I4519" s="4" t="s">
        <v>408</v>
      </c>
      <c r="J4519" s="4" t="s">
        <v>543</v>
      </c>
      <c r="K4519" s="13" t="n">
        <v>25000</v>
      </c>
      <c r="L4519" s="6" t="n">
        <f aca="false">H4519*K4519</f>
        <v>25000</v>
      </c>
      <c r="M4519" s="4" t="s">
        <v>371</v>
      </c>
    </row>
    <row r="4520" customFormat="false" ht="15" hidden="false" customHeight="false" outlineLevel="0" collapsed="false">
      <c r="A4520" s="4" t="s">
        <v>194</v>
      </c>
      <c r="B4520" s="5" t="s">
        <v>199</v>
      </c>
      <c r="C4520" s="5" t="s">
        <v>200</v>
      </c>
      <c r="D4520" s="4" t="s">
        <v>16</v>
      </c>
      <c r="E4520" s="4" t="s">
        <v>2339</v>
      </c>
      <c r="F4520" s="4" t="s">
        <v>470</v>
      </c>
      <c r="G4520" s="4" t="s">
        <v>2340</v>
      </c>
      <c r="H4520" s="12" t="n">
        <v>1</v>
      </c>
      <c r="I4520" s="4" t="s">
        <v>408</v>
      </c>
      <c r="J4520" s="4" t="s">
        <v>416</v>
      </c>
      <c r="K4520" s="13" t="n">
        <v>8500</v>
      </c>
      <c r="L4520" s="6" t="n">
        <f aca="false">H4520*K4520</f>
        <v>8500</v>
      </c>
      <c r="M4520" s="14" t="s">
        <v>410</v>
      </c>
    </row>
    <row r="4521" customFormat="false" ht="15" hidden="false" customHeight="false" outlineLevel="0" collapsed="false">
      <c r="A4521" s="4" t="s">
        <v>194</v>
      </c>
      <c r="B4521" s="5" t="s">
        <v>199</v>
      </c>
      <c r="C4521" s="5" t="s">
        <v>200</v>
      </c>
      <c r="D4521" s="4" t="s">
        <v>16</v>
      </c>
      <c r="E4521" s="4" t="s">
        <v>2341</v>
      </c>
      <c r="F4521" s="4" t="s">
        <v>470</v>
      </c>
      <c r="G4521" s="4" t="s">
        <v>2342</v>
      </c>
      <c r="H4521" s="12" t="n">
        <v>1</v>
      </c>
      <c r="I4521" s="4" t="s">
        <v>408</v>
      </c>
      <c r="J4521" s="4" t="s">
        <v>543</v>
      </c>
      <c r="K4521" s="13" t="n">
        <v>5000</v>
      </c>
      <c r="L4521" s="6" t="n">
        <f aca="false">H4521*K4521</f>
        <v>5000</v>
      </c>
      <c r="M4521" s="4" t="s">
        <v>371</v>
      </c>
    </row>
    <row r="4522" customFormat="false" ht="15" hidden="false" customHeight="false" outlineLevel="0" collapsed="false">
      <c r="A4522" s="4" t="s">
        <v>194</v>
      </c>
      <c r="B4522" s="5" t="s">
        <v>201</v>
      </c>
      <c r="C4522" s="5" t="s">
        <v>202</v>
      </c>
      <c r="D4522" s="4" t="s">
        <v>16</v>
      </c>
      <c r="E4522" s="4" t="s">
        <v>5162</v>
      </c>
      <c r="F4522" s="4" t="s">
        <v>406</v>
      </c>
      <c r="G4522" s="4" t="s">
        <v>5163</v>
      </c>
      <c r="H4522" s="12" t="n">
        <v>1</v>
      </c>
      <c r="I4522" s="4" t="s">
        <v>408</v>
      </c>
      <c r="J4522" s="4" t="s">
        <v>416</v>
      </c>
      <c r="K4522" s="13" t="n">
        <v>2500</v>
      </c>
      <c r="L4522" s="6" t="n">
        <f aca="false">H4522*K4522</f>
        <v>2500</v>
      </c>
      <c r="M4522" s="4" t="s">
        <v>371</v>
      </c>
    </row>
    <row r="4523" customFormat="false" ht="15" hidden="false" customHeight="false" outlineLevel="0" collapsed="false">
      <c r="A4523" s="4" t="s">
        <v>194</v>
      </c>
      <c r="B4523" s="5" t="s">
        <v>201</v>
      </c>
      <c r="C4523" s="5" t="s">
        <v>202</v>
      </c>
      <c r="D4523" s="4" t="s">
        <v>16</v>
      </c>
      <c r="E4523" s="4" t="s">
        <v>5164</v>
      </c>
      <c r="F4523" s="4" t="s">
        <v>406</v>
      </c>
      <c r="G4523" s="4" t="s">
        <v>5165</v>
      </c>
      <c r="H4523" s="12" t="n">
        <v>1</v>
      </c>
      <c r="I4523" s="4" t="s">
        <v>408</v>
      </c>
      <c r="J4523" s="4" t="s">
        <v>416</v>
      </c>
      <c r="K4523" s="13" t="n">
        <v>2500</v>
      </c>
      <c r="L4523" s="6" t="n">
        <f aca="false">H4523*K4523</f>
        <v>2500</v>
      </c>
      <c r="M4523" s="14" t="s">
        <v>410</v>
      </c>
    </row>
    <row r="4524" customFormat="false" ht="15" hidden="false" customHeight="false" outlineLevel="0" collapsed="false">
      <c r="A4524" s="4" t="s">
        <v>194</v>
      </c>
      <c r="B4524" s="5" t="s">
        <v>201</v>
      </c>
      <c r="C4524" s="5" t="s">
        <v>202</v>
      </c>
      <c r="D4524" s="4" t="s">
        <v>16</v>
      </c>
      <c r="E4524" s="4" t="s">
        <v>5166</v>
      </c>
      <c r="F4524" s="4" t="s">
        <v>406</v>
      </c>
      <c r="G4524" s="4" t="s">
        <v>5167</v>
      </c>
      <c r="H4524" s="12" t="n">
        <v>1</v>
      </c>
      <c r="I4524" s="4" t="s">
        <v>408</v>
      </c>
      <c r="J4524" s="4" t="s">
        <v>416</v>
      </c>
      <c r="K4524" s="13" t="n">
        <v>1800</v>
      </c>
      <c r="L4524" s="6" t="n">
        <f aca="false">H4524*K4524</f>
        <v>1800</v>
      </c>
      <c r="M4524" s="4" t="s">
        <v>371</v>
      </c>
    </row>
    <row r="4525" customFormat="false" ht="15" hidden="false" customHeight="false" outlineLevel="0" collapsed="false">
      <c r="A4525" s="4" t="s">
        <v>194</v>
      </c>
      <c r="B4525" s="5" t="s">
        <v>201</v>
      </c>
      <c r="C4525" s="5" t="s">
        <v>202</v>
      </c>
      <c r="D4525" s="4" t="s">
        <v>16</v>
      </c>
      <c r="E4525" s="4" t="s">
        <v>5168</v>
      </c>
      <c r="F4525" s="4" t="s">
        <v>406</v>
      </c>
      <c r="G4525" s="4" t="s">
        <v>5169</v>
      </c>
      <c r="H4525" s="12" t="n">
        <v>1</v>
      </c>
      <c r="I4525" s="4" t="s">
        <v>408</v>
      </c>
      <c r="J4525" s="4" t="s">
        <v>416</v>
      </c>
      <c r="K4525" s="13" t="n">
        <v>1200</v>
      </c>
      <c r="L4525" s="6" t="n">
        <f aca="false">H4525*K4525</f>
        <v>1200</v>
      </c>
      <c r="M4525" s="4" t="s">
        <v>371</v>
      </c>
    </row>
    <row r="4526" customFormat="false" ht="15" hidden="false" customHeight="false" outlineLevel="0" collapsed="false">
      <c r="A4526" s="4" t="s">
        <v>194</v>
      </c>
      <c r="B4526" s="5" t="s">
        <v>201</v>
      </c>
      <c r="C4526" s="5" t="s">
        <v>202</v>
      </c>
      <c r="D4526" s="4" t="s">
        <v>16</v>
      </c>
      <c r="E4526" s="4" t="s">
        <v>2225</v>
      </c>
      <c r="F4526" s="4" t="s">
        <v>406</v>
      </c>
      <c r="G4526" s="4" t="s">
        <v>2226</v>
      </c>
      <c r="H4526" s="12" t="n">
        <v>1</v>
      </c>
      <c r="I4526" s="4" t="s">
        <v>408</v>
      </c>
      <c r="J4526" s="4" t="s">
        <v>409</v>
      </c>
      <c r="K4526" s="13" t="n">
        <v>350</v>
      </c>
      <c r="L4526" s="6" t="n">
        <f aca="false">H4526*K4526</f>
        <v>350</v>
      </c>
      <c r="M4526" s="14" t="s">
        <v>410</v>
      </c>
    </row>
    <row r="4527" customFormat="false" ht="15" hidden="false" customHeight="false" outlineLevel="0" collapsed="false">
      <c r="A4527" s="4" t="s">
        <v>194</v>
      </c>
      <c r="B4527" s="5" t="s">
        <v>201</v>
      </c>
      <c r="C4527" s="5" t="s">
        <v>202</v>
      </c>
      <c r="D4527" s="4" t="s">
        <v>16</v>
      </c>
      <c r="E4527" s="4" t="s">
        <v>5170</v>
      </c>
      <c r="F4527" s="4" t="s">
        <v>406</v>
      </c>
      <c r="G4527" s="4" t="s">
        <v>5171</v>
      </c>
      <c r="H4527" s="12" t="n">
        <v>40</v>
      </c>
      <c r="I4527" s="4" t="s">
        <v>474</v>
      </c>
      <c r="J4527" s="4" t="s">
        <v>416</v>
      </c>
      <c r="K4527" s="13" t="n">
        <v>350</v>
      </c>
      <c r="L4527" s="6" t="n">
        <f aca="false">H4527*K4527</f>
        <v>14000</v>
      </c>
      <c r="M4527" s="4" t="s">
        <v>371</v>
      </c>
    </row>
    <row r="4528" customFormat="false" ht="15" hidden="false" customHeight="false" outlineLevel="0" collapsed="false">
      <c r="A4528" s="4" t="s">
        <v>194</v>
      </c>
      <c r="B4528" s="5" t="s">
        <v>201</v>
      </c>
      <c r="C4528" s="5" t="s">
        <v>202</v>
      </c>
      <c r="D4528" s="4" t="s">
        <v>16</v>
      </c>
      <c r="E4528" s="4" t="s">
        <v>5172</v>
      </c>
      <c r="F4528" s="4" t="s">
        <v>406</v>
      </c>
      <c r="G4528" s="4" t="s">
        <v>5173</v>
      </c>
      <c r="H4528" s="12" t="n">
        <v>10</v>
      </c>
      <c r="I4528" s="4" t="s">
        <v>474</v>
      </c>
      <c r="J4528" s="4" t="s">
        <v>409</v>
      </c>
      <c r="K4528" s="13" t="n">
        <v>180</v>
      </c>
      <c r="L4528" s="6" t="n">
        <f aca="false">H4528*K4528</f>
        <v>1800</v>
      </c>
      <c r="M4528" s="14" t="s">
        <v>410</v>
      </c>
    </row>
    <row r="4529" customFormat="false" ht="15" hidden="false" customHeight="false" outlineLevel="0" collapsed="false">
      <c r="A4529" s="4" t="s">
        <v>194</v>
      </c>
      <c r="B4529" s="5" t="s">
        <v>201</v>
      </c>
      <c r="C4529" s="5" t="s">
        <v>202</v>
      </c>
      <c r="D4529" s="4" t="s">
        <v>16</v>
      </c>
      <c r="E4529" s="4" t="s">
        <v>5174</v>
      </c>
      <c r="F4529" s="4" t="s">
        <v>406</v>
      </c>
      <c r="G4529" s="4" t="s">
        <v>5175</v>
      </c>
      <c r="H4529" s="12" t="n">
        <v>10</v>
      </c>
      <c r="I4529" s="4" t="s">
        <v>474</v>
      </c>
      <c r="J4529" s="4" t="s">
        <v>409</v>
      </c>
      <c r="K4529" s="13" t="n">
        <v>350</v>
      </c>
      <c r="L4529" s="6" t="n">
        <f aca="false">H4529*K4529</f>
        <v>3500</v>
      </c>
      <c r="M4529" s="4" t="s">
        <v>371</v>
      </c>
    </row>
    <row r="4530" customFormat="false" ht="15" hidden="false" customHeight="false" outlineLevel="0" collapsed="false">
      <c r="A4530" s="4" t="s">
        <v>194</v>
      </c>
      <c r="B4530" s="5" t="s">
        <v>201</v>
      </c>
      <c r="C4530" s="5" t="s">
        <v>202</v>
      </c>
      <c r="D4530" s="4" t="s">
        <v>16</v>
      </c>
      <c r="E4530" s="4" t="s">
        <v>5176</v>
      </c>
      <c r="F4530" s="4" t="s">
        <v>406</v>
      </c>
      <c r="G4530" s="4" t="s">
        <v>5177</v>
      </c>
      <c r="H4530" s="12" t="n">
        <v>40</v>
      </c>
      <c r="I4530" s="4" t="s">
        <v>474</v>
      </c>
      <c r="J4530" s="4" t="s">
        <v>409</v>
      </c>
      <c r="K4530" s="13" t="n">
        <v>350</v>
      </c>
      <c r="L4530" s="6" t="n">
        <f aca="false">H4530*K4530</f>
        <v>14000</v>
      </c>
      <c r="M4530" s="14" t="s">
        <v>410</v>
      </c>
    </row>
    <row r="4531" customFormat="false" ht="15" hidden="false" customHeight="false" outlineLevel="0" collapsed="false">
      <c r="A4531" s="4" t="s">
        <v>194</v>
      </c>
      <c r="B4531" s="5" t="s">
        <v>201</v>
      </c>
      <c r="C4531" s="5" t="s">
        <v>202</v>
      </c>
      <c r="D4531" s="4" t="s">
        <v>16</v>
      </c>
      <c r="E4531" s="4" t="s">
        <v>5178</v>
      </c>
      <c r="F4531" s="4" t="s">
        <v>406</v>
      </c>
      <c r="G4531" s="4" t="s">
        <v>5179</v>
      </c>
      <c r="H4531" s="12" t="n">
        <v>10</v>
      </c>
      <c r="I4531" s="4" t="s">
        <v>474</v>
      </c>
      <c r="J4531" s="4" t="s">
        <v>409</v>
      </c>
      <c r="K4531" s="13" t="n">
        <v>250</v>
      </c>
      <c r="L4531" s="6" t="n">
        <f aca="false">H4531*K4531</f>
        <v>2500</v>
      </c>
      <c r="M4531" s="14" t="s">
        <v>410</v>
      </c>
    </row>
    <row r="4532" customFormat="false" ht="15" hidden="false" customHeight="false" outlineLevel="0" collapsed="false">
      <c r="A4532" s="4" t="s">
        <v>194</v>
      </c>
      <c r="B4532" s="5" t="s">
        <v>201</v>
      </c>
      <c r="C4532" s="5" t="s">
        <v>202</v>
      </c>
      <c r="D4532" s="4" t="s">
        <v>16</v>
      </c>
      <c r="E4532" s="4" t="s">
        <v>5180</v>
      </c>
      <c r="F4532" s="4" t="s">
        <v>406</v>
      </c>
      <c r="G4532" s="4" t="s">
        <v>5181</v>
      </c>
      <c r="H4532" s="12" t="n">
        <v>10</v>
      </c>
      <c r="I4532" s="4" t="s">
        <v>474</v>
      </c>
      <c r="J4532" s="4" t="s">
        <v>409</v>
      </c>
      <c r="K4532" s="13" t="n">
        <v>450</v>
      </c>
      <c r="L4532" s="6" t="n">
        <f aca="false">H4532*K4532</f>
        <v>4500</v>
      </c>
      <c r="M4532" s="14" t="s">
        <v>410</v>
      </c>
    </row>
    <row r="4533" customFormat="false" ht="15" hidden="false" customHeight="false" outlineLevel="0" collapsed="false">
      <c r="A4533" s="4" t="s">
        <v>194</v>
      </c>
      <c r="B4533" s="5" t="s">
        <v>201</v>
      </c>
      <c r="C4533" s="5" t="s">
        <v>202</v>
      </c>
      <c r="D4533" s="4" t="s">
        <v>16</v>
      </c>
      <c r="E4533" s="4" t="s">
        <v>5182</v>
      </c>
      <c r="F4533" s="4" t="s">
        <v>406</v>
      </c>
      <c r="G4533" s="4" t="s">
        <v>5183</v>
      </c>
      <c r="H4533" s="12" t="n">
        <v>10</v>
      </c>
      <c r="I4533" s="4" t="s">
        <v>474</v>
      </c>
      <c r="J4533" s="4" t="s">
        <v>409</v>
      </c>
      <c r="K4533" s="13" t="n">
        <v>350</v>
      </c>
      <c r="L4533" s="6" t="n">
        <f aca="false">H4533*K4533</f>
        <v>3500</v>
      </c>
      <c r="M4533" s="14" t="s">
        <v>410</v>
      </c>
    </row>
    <row r="4534" customFormat="false" ht="15" hidden="false" customHeight="false" outlineLevel="0" collapsed="false">
      <c r="A4534" s="4" t="s">
        <v>194</v>
      </c>
      <c r="B4534" s="5" t="s">
        <v>201</v>
      </c>
      <c r="C4534" s="5" t="s">
        <v>202</v>
      </c>
      <c r="D4534" s="4" t="s">
        <v>16</v>
      </c>
      <c r="E4534" s="4" t="s">
        <v>5184</v>
      </c>
      <c r="F4534" s="4" t="s">
        <v>406</v>
      </c>
      <c r="G4534" s="4" t="s">
        <v>5185</v>
      </c>
      <c r="H4534" s="12" t="n">
        <v>15</v>
      </c>
      <c r="I4534" s="4" t="s">
        <v>474</v>
      </c>
      <c r="J4534" s="4" t="s">
        <v>416</v>
      </c>
      <c r="K4534" s="13" t="n">
        <v>850</v>
      </c>
      <c r="L4534" s="6" t="n">
        <f aca="false">H4534*K4534</f>
        <v>12750</v>
      </c>
      <c r="M4534" s="14" t="s">
        <v>410</v>
      </c>
    </row>
    <row r="4535" customFormat="false" ht="15" hidden="false" customHeight="false" outlineLevel="0" collapsed="false">
      <c r="A4535" s="4" t="s">
        <v>194</v>
      </c>
      <c r="B4535" s="5" t="s">
        <v>201</v>
      </c>
      <c r="C4535" s="5" t="s">
        <v>202</v>
      </c>
      <c r="D4535" s="4" t="s">
        <v>16</v>
      </c>
      <c r="E4535" s="4" t="s">
        <v>5186</v>
      </c>
      <c r="F4535" s="4" t="s">
        <v>406</v>
      </c>
      <c r="G4535" s="4" t="s">
        <v>5187</v>
      </c>
      <c r="H4535" s="12" t="n">
        <v>15</v>
      </c>
      <c r="I4535" s="4" t="s">
        <v>474</v>
      </c>
      <c r="J4535" s="4" t="s">
        <v>416</v>
      </c>
      <c r="K4535" s="13" t="n">
        <v>450</v>
      </c>
      <c r="L4535" s="6" t="n">
        <f aca="false">H4535*K4535</f>
        <v>6750</v>
      </c>
      <c r="M4535" s="14" t="s">
        <v>410</v>
      </c>
    </row>
    <row r="4536" customFormat="false" ht="15" hidden="false" customHeight="false" outlineLevel="0" collapsed="false">
      <c r="A4536" s="4" t="s">
        <v>194</v>
      </c>
      <c r="B4536" s="5" t="s">
        <v>201</v>
      </c>
      <c r="C4536" s="5" t="s">
        <v>202</v>
      </c>
      <c r="D4536" s="4" t="s">
        <v>16</v>
      </c>
      <c r="E4536" s="4" t="s">
        <v>5188</v>
      </c>
      <c r="F4536" s="4" t="s">
        <v>406</v>
      </c>
      <c r="G4536" s="4" t="s">
        <v>5189</v>
      </c>
      <c r="H4536" s="12" t="n">
        <v>10</v>
      </c>
      <c r="I4536" s="4" t="s">
        <v>474</v>
      </c>
      <c r="J4536" s="4" t="s">
        <v>409</v>
      </c>
      <c r="K4536" s="13" t="n">
        <v>180</v>
      </c>
      <c r="L4536" s="6" t="n">
        <f aca="false">H4536*K4536</f>
        <v>1800</v>
      </c>
      <c r="M4536" s="14" t="s">
        <v>410</v>
      </c>
    </row>
    <row r="4537" customFormat="false" ht="15" hidden="false" customHeight="false" outlineLevel="0" collapsed="false">
      <c r="A4537" s="4" t="s">
        <v>194</v>
      </c>
      <c r="B4537" s="5" t="s">
        <v>201</v>
      </c>
      <c r="C4537" s="5" t="s">
        <v>202</v>
      </c>
      <c r="D4537" s="4" t="s">
        <v>16</v>
      </c>
      <c r="E4537" s="4" t="s">
        <v>5190</v>
      </c>
      <c r="F4537" s="4" t="s">
        <v>406</v>
      </c>
      <c r="G4537" s="4" t="s">
        <v>5191</v>
      </c>
      <c r="H4537" s="12" t="n">
        <v>10</v>
      </c>
      <c r="I4537" s="4" t="s">
        <v>474</v>
      </c>
      <c r="J4537" s="4" t="s">
        <v>409</v>
      </c>
      <c r="K4537" s="13" t="n">
        <v>350</v>
      </c>
      <c r="L4537" s="6" t="n">
        <f aca="false">H4537*K4537</f>
        <v>3500</v>
      </c>
      <c r="M4537" s="4" t="s">
        <v>371</v>
      </c>
    </row>
    <row r="4538" customFormat="false" ht="15" hidden="false" customHeight="false" outlineLevel="0" collapsed="false">
      <c r="A4538" s="4" t="s">
        <v>194</v>
      </c>
      <c r="B4538" s="5" t="s">
        <v>201</v>
      </c>
      <c r="C4538" s="5" t="s">
        <v>202</v>
      </c>
      <c r="D4538" s="4" t="s">
        <v>16</v>
      </c>
      <c r="E4538" s="4" t="s">
        <v>5192</v>
      </c>
      <c r="F4538" s="4" t="s">
        <v>406</v>
      </c>
      <c r="G4538" s="4" t="s">
        <v>5193</v>
      </c>
      <c r="H4538" s="12" t="n">
        <v>20</v>
      </c>
      <c r="I4538" s="4" t="s">
        <v>474</v>
      </c>
      <c r="J4538" s="4" t="s">
        <v>416</v>
      </c>
      <c r="K4538" s="13" t="n">
        <v>850</v>
      </c>
      <c r="L4538" s="6" t="n">
        <f aca="false">H4538*K4538</f>
        <v>17000</v>
      </c>
      <c r="M4538" s="14" t="s">
        <v>410</v>
      </c>
    </row>
    <row r="4539" customFormat="false" ht="15" hidden="false" customHeight="false" outlineLevel="0" collapsed="false">
      <c r="A4539" s="4" t="s">
        <v>194</v>
      </c>
      <c r="B4539" s="5" t="s">
        <v>201</v>
      </c>
      <c r="C4539" s="5" t="s">
        <v>202</v>
      </c>
      <c r="D4539" s="4" t="s">
        <v>16</v>
      </c>
      <c r="E4539" s="4" t="s">
        <v>5194</v>
      </c>
      <c r="F4539" s="4" t="s">
        <v>406</v>
      </c>
      <c r="G4539" s="4" t="s">
        <v>5195</v>
      </c>
      <c r="H4539" s="12" t="n">
        <v>40</v>
      </c>
      <c r="I4539" s="4" t="s">
        <v>474</v>
      </c>
      <c r="J4539" s="4" t="s">
        <v>416</v>
      </c>
      <c r="K4539" s="13" t="n">
        <v>1200</v>
      </c>
      <c r="L4539" s="6" t="n">
        <f aca="false">H4539*K4539</f>
        <v>48000</v>
      </c>
      <c r="M4539" s="14" t="s">
        <v>410</v>
      </c>
    </row>
    <row r="4540" customFormat="false" ht="15" hidden="false" customHeight="false" outlineLevel="0" collapsed="false">
      <c r="A4540" s="4" t="s">
        <v>194</v>
      </c>
      <c r="B4540" s="5" t="s">
        <v>201</v>
      </c>
      <c r="C4540" s="5" t="s">
        <v>202</v>
      </c>
      <c r="D4540" s="4" t="s">
        <v>16</v>
      </c>
      <c r="E4540" s="4" t="s">
        <v>2257</v>
      </c>
      <c r="F4540" s="4" t="s">
        <v>406</v>
      </c>
      <c r="G4540" s="4" t="s">
        <v>2258</v>
      </c>
      <c r="H4540" s="12" t="n">
        <v>1</v>
      </c>
      <c r="I4540" s="4" t="s">
        <v>408</v>
      </c>
      <c r="J4540" s="4" t="s">
        <v>409</v>
      </c>
      <c r="K4540" s="13" t="n">
        <v>6500</v>
      </c>
      <c r="L4540" s="6" t="n">
        <f aca="false">H4540*K4540</f>
        <v>6500</v>
      </c>
      <c r="M4540" s="14" t="s">
        <v>410</v>
      </c>
    </row>
    <row r="4541" customFormat="false" ht="15" hidden="false" customHeight="false" outlineLevel="0" collapsed="false">
      <c r="A4541" s="4" t="s">
        <v>194</v>
      </c>
      <c r="B4541" s="5" t="s">
        <v>201</v>
      </c>
      <c r="C4541" s="5" t="s">
        <v>202</v>
      </c>
      <c r="D4541" s="4" t="s">
        <v>16</v>
      </c>
      <c r="E4541" s="4" t="s">
        <v>2259</v>
      </c>
      <c r="F4541" s="4" t="s">
        <v>406</v>
      </c>
      <c r="G4541" s="4" t="s">
        <v>2260</v>
      </c>
      <c r="H4541" s="12" t="n">
        <v>1</v>
      </c>
      <c r="I4541" s="4" t="s">
        <v>408</v>
      </c>
      <c r="J4541" s="4" t="s">
        <v>409</v>
      </c>
      <c r="K4541" s="13" t="n">
        <v>85000</v>
      </c>
      <c r="L4541" s="6" t="n">
        <f aca="false">H4541*K4541</f>
        <v>85000</v>
      </c>
      <c r="M4541" s="14" t="s">
        <v>410</v>
      </c>
    </row>
    <row r="4542" customFormat="false" ht="15" hidden="false" customHeight="false" outlineLevel="0" collapsed="false">
      <c r="A4542" s="4" t="s">
        <v>194</v>
      </c>
      <c r="B4542" s="5" t="s">
        <v>201</v>
      </c>
      <c r="C4542" s="5" t="s">
        <v>202</v>
      </c>
      <c r="D4542" s="4" t="s">
        <v>16</v>
      </c>
      <c r="E4542" s="4" t="s">
        <v>2261</v>
      </c>
      <c r="F4542" s="4" t="s">
        <v>406</v>
      </c>
      <c r="G4542" s="4" t="s">
        <v>2262</v>
      </c>
      <c r="H4542" s="12" t="n">
        <v>1</v>
      </c>
      <c r="I4542" s="4" t="s">
        <v>408</v>
      </c>
      <c r="J4542" s="4" t="s">
        <v>409</v>
      </c>
      <c r="K4542" s="13" t="n">
        <v>18000</v>
      </c>
      <c r="L4542" s="6" t="n">
        <f aca="false">H4542*K4542</f>
        <v>18000</v>
      </c>
      <c r="M4542" s="14" t="s">
        <v>410</v>
      </c>
    </row>
    <row r="4543" customFormat="false" ht="15" hidden="false" customHeight="false" outlineLevel="0" collapsed="false">
      <c r="A4543" s="4" t="s">
        <v>194</v>
      </c>
      <c r="B4543" s="5" t="s">
        <v>201</v>
      </c>
      <c r="C4543" s="5" t="s">
        <v>202</v>
      </c>
      <c r="D4543" s="4" t="s">
        <v>16</v>
      </c>
      <c r="E4543" s="4" t="s">
        <v>2263</v>
      </c>
      <c r="F4543" s="4" t="s">
        <v>406</v>
      </c>
      <c r="G4543" s="4" t="s">
        <v>2264</v>
      </c>
      <c r="H4543" s="12" t="n">
        <v>1</v>
      </c>
      <c r="I4543" s="4" t="s">
        <v>408</v>
      </c>
      <c r="J4543" s="4" t="s">
        <v>409</v>
      </c>
      <c r="K4543" s="13" t="n">
        <v>25000</v>
      </c>
      <c r="L4543" s="6" t="n">
        <f aca="false">H4543*K4543</f>
        <v>25000</v>
      </c>
      <c r="M4543" s="4" t="s">
        <v>371</v>
      </c>
    </row>
    <row r="4544" customFormat="false" ht="15" hidden="false" customHeight="false" outlineLevel="0" collapsed="false">
      <c r="A4544" s="4" t="s">
        <v>194</v>
      </c>
      <c r="B4544" s="5" t="s">
        <v>201</v>
      </c>
      <c r="C4544" s="5" t="s">
        <v>202</v>
      </c>
      <c r="D4544" s="4" t="s">
        <v>16</v>
      </c>
      <c r="E4544" s="4" t="s">
        <v>5007</v>
      </c>
      <c r="F4544" s="4" t="s">
        <v>406</v>
      </c>
      <c r="G4544" s="4" t="s">
        <v>2266</v>
      </c>
      <c r="H4544" s="12" t="n">
        <v>1</v>
      </c>
      <c r="I4544" s="4" t="s">
        <v>408</v>
      </c>
      <c r="J4544" s="4" t="s">
        <v>416</v>
      </c>
      <c r="K4544" s="13" t="n">
        <v>18000</v>
      </c>
      <c r="L4544" s="6" t="n">
        <f aca="false">H4544*K4544</f>
        <v>18000</v>
      </c>
      <c r="M4544" s="4" t="s">
        <v>371</v>
      </c>
    </row>
    <row r="4545" customFormat="false" ht="15" hidden="false" customHeight="false" outlineLevel="0" collapsed="false">
      <c r="A4545" s="4" t="s">
        <v>194</v>
      </c>
      <c r="B4545" s="5" t="s">
        <v>201</v>
      </c>
      <c r="C4545" s="5" t="s">
        <v>202</v>
      </c>
      <c r="D4545" s="4" t="s">
        <v>16</v>
      </c>
      <c r="E4545" s="4" t="s">
        <v>5196</v>
      </c>
      <c r="F4545" s="4" t="s">
        <v>406</v>
      </c>
      <c r="G4545" s="4" t="s">
        <v>5197</v>
      </c>
      <c r="H4545" s="12" t="n">
        <v>1</v>
      </c>
      <c r="I4545" s="4" t="s">
        <v>408</v>
      </c>
      <c r="J4545" s="4" t="s">
        <v>416</v>
      </c>
      <c r="K4545" s="13" t="n">
        <v>450000</v>
      </c>
      <c r="L4545" s="6" t="n">
        <f aca="false">H4545*K4545</f>
        <v>450000</v>
      </c>
      <c r="M4545" s="4" t="s">
        <v>371</v>
      </c>
    </row>
    <row r="4546" customFormat="false" ht="15" hidden="false" customHeight="false" outlineLevel="0" collapsed="false">
      <c r="A4546" s="4" t="s">
        <v>194</v>
      </c>
      <c r="B4546" s="5" t="s">
        <v>201</v>
      </c>
      <c r="C4546" s="5" t="s">
        <v>202</v>
      </c>
      <c r="D4546" s="4" t="s">
        <v>16</v>
      </c>
      <c r="E4546" s="4" t="s">
        <v>5198</v>
      </c>
      <c r="F4546" s="4" t="s">
        <v>406</v>
      </c>
      <c r="G4546" s="4" t="s">
        <v>5199</v>
      </c>
      <c r="H4546" s="12" t="n">
        <v>1</v>
      </c>
      <c r="I4546" s="4" t="s">
        <v>474</v>
      </c>
      <c r="J4546" s="4" t="s">
        <v>409</v>
      </c>
      <c r="K4546" s="13" t="n">
        <v>250000</v>
      </c>
      <c r="L4546" s="6" t="n">
        <f aca="false">H4546*K4546</f>
        <v>250000</v>
      </c>
      <c r="M4546" s="4" t="s">
        <v>371</v>
      </c>
    </row>
    <row r="4547" customFormat="false" ht="15" hidden="false" customHeight="false" outlineLevel="0" collapsed="false">
      <c r="A4547" s="4" t="s">
        <v>194</v>
      </c>
      <c r="B4547" s="5" t="s">
        <v>201</v>
      </c>
      <c r="C4547" s="5" t="s">
        <v>202</v>
      </c>
      <c r="D4547" s="4" t="s">
        <v>16</v>
      </c>
      <c r="E4547" s="4" t="s">
        <v>5200</v>
      </c>
      <c r="F4547" s="4" t="s">
        <v>406</v>
      </c>
      <c r="G4547" s="4" t="s">
        <v>5201</v>
      </c>
      <c r="H4547" s="12" t="n">
        <v>1</v>
      </c>
      <c r="I4547" s="4" t="s">
        <v>474</v>
      </c>
      <c r="J4547" s="4" t="s">
        <v>409</v>
      </c>
      <c r="K4547" s="13" t="n">
        <v>45000</v>
      </c>
      <c r="L4547" s="6" t="n">
        <f aca="false">H4547*K4547</f>
        <v>45000</v>
      </c>
      <c r="M4547" s="4" t="s">
        <v>371</v>
      </c>
    </row>
    <row r="4548" customFormat="false" ht="15" hidden="false" customHeight="false" outlineLevel="0" collapsed="false">
      <c r="A4548" s="4" t="s">
        <v>194</v>
      </c>
      <c r="B4548" s="5" t="s">
        <v>201</v>
      </c>
      <c r="C4548" s="5" t="s">
        <v>202</v>
      </c>
      <c r="D4548" s="4" t="s">
        <v>16</v>
      </c>
      <c r="E4548" s="4" t="s">
        <v>2271</v>
      </c>
      <c r="F4548" s="4" t="s">
        <v>470</v>
      </c>
      <c r="G4548" s="4" t="s">
        <v>2272</v>
      </c>
      <c r="H4548" s="12" t="n">
        <v>1</v>
      </c>
      <c r="I4548" s="4" t="s">
        <v>408</v>
      </c>
      <c r="J4548" s="4" t="s">
        <v>409</v>
      </c>
      <c r="K4548" s="13" t="n">
        <v>4500</v>
      </c>
      <c r="L4548" s="6" t="n">
        <f aca="false">H4548*K4548</f>
        <v>4500</v>
      </c>
      <c r="M4548" s="14" t="s">
        <v>410</v>
      </c>
    </row>
    <row r="4549" customFormat="false" ht="15" hidden="false" customHeight="false" outlineLevel="0" collapsed="false">
      <c r="A4549" s="4" t="s">
        <v>194</v>
      </c>
      <c r="B4549" s="5" t="s">
        <v>201</v>
      </c>
      <c r="C4549" s="5" t="s">
        <v>202</v>
      </c>
      <c r="D4549" s="4" t="s">
        <v>16</v>
      </c>
      <c r="E4549" s="4" t="s">
        <v>2273</v>
      </c>
      <c r="F4549" s="4" t="s">
        <v>470</v>
      </c>
      <c r="G4549" s="4" t="s">
        <v>2274</v>
      </c>
      <c r="H4549" s="12" t="n">
        <v>1</v>
      </c>
      <c r="I4549" s="4" t="s">
        <v>408</v>
      </c>
      <c r="J4549" s="4" t="s">
        <v>409</v>
      </c>
      <c r="K4549" s="13" t="n">
        <v>25000</v>
      </c>
      <c r="L4549" s="6" t="n">
        <f aca="false">H4549*K4549</f>
        <v>25000</v>
      </c>
      <c r="M4549" s="14" t="s">
        <v>410</v>
      </c>
    </row>
    <row r="4550" customFormat="false" ht="15" hidden="false" customHeight="false" outlineLevel="0" collapsed="false">
      <c r="A4550" s="4" t="s">
        <v>194</v>
      </c>
      <c r="B4550" s="5" t="s">
        <v>201</v>
      </c>
      <c r="C4550" s="5" t="s">
        <v>202</v>
      </c>
      <c r="D4550" s="4" t="s">
        <v>16</v>
      </c>
      <c r="E4550" s="4" t="s">
        <v>2163</v>
      </c>
      <c r="F4550" s="4" t="s">
        <v>470</v>
      </c>
      <c r="G4550" s="4" t="s">
        <v>2164</v>
      </c>
      <c r="H4550" s="12" t="n">
        <v>1</v>
      </c>
      <c r="I4550" s="4" t="s">
        <v>408</v>
      </c>
      <c r="J4550" s="4" t="s">
        <v>409</v>
      </c>
      <c r="K4550" s="13" t="n">
        <v>35000</v>
      </c>
      <c r="L4550" s="6" t="n">
        <f aca="false">H4550*K4550</f>
        <v>35000</v>
      </c>
      <c r="M4550" s="14" t="s">
        <v>410</v>
      </c>
    </row>
    <row r="4551" customFormat="false" ht="15" hidden="false" customHeight="false" outlineLevel="0" collapsed="false">
      <c r="A4551" s="4" t="s">
        <v>194</v>
      </c>
      <c r="B4551" s="5" t="s">
        <v>201</v>
      </c>
      <c r="C4551" s="5" t="s">
        <v>202</v>
      </c>
      <c r="D4551" s="4" t="s">
        <v>16</v>
      </c>
      <c r="E4551" s="4" t="s">
        <v>1058</v>
      </c>
      <c r="F4551" s="4" t="s">
        <v>470</v>
      </c>
      <c r="G4551" s="4" t="s">
        <v>1059</v>
      </c>
      <c r="H4551" s="12" t="n">
        <v>1</v>
      </c>
      <c r="I4551" s="4" t="s">
        <v>408</v>
      </c>
      <c r="J4551" s="4" t="s">
        <v>409</v>
      </c>
      <c r="K4551" s="13" t="n">
        <v>45000</v>
      </c>
      <c r="L4551" s="6" t="n">
        <f aca="false">H4551*K4551</f>
        <v>45000</v>
      </c>
      <c r="M4551" s="14" t="s">
        <v>410</v>
      </c>
    </row>
    <row r="4552" customFormat="false" ht="15" hidden="false" customHeight="false" outlineLevel="0" collapsed="false">
      <c r="A4552" s="4" t="s">
        <v>194</v>
      </c>
      <c r="B4552" s="5" t="s">
        <v>201</v>
      </c>
      <c r="C4552" s="5" t="s">
        <v>202</v>
      </c>
      <c r="D4552" s="4" t="s">
        <v>16</v>
      </c>
      <c r="E4552" s="4" t="s">
        <v>5202</v>
      </c>
      <c r="F4552" s="4" t="s">
        <v>470</v>
      </c>
      <c r="G4552" s="4" t="s">
        <v>5203</v>
      </c>
      <c r="H4552" s="12" t="n">
        <v>1</v>
      </c>
      <c r="I4552" s="4" t="s">
        <v>408</v>
      </c>
      <c r="J4552" s="4" t="s">
        <v>416</v>
      </c>
      <c r="K4552" s="13" t="n">
        <v>18000</v>
      </c>
      <c r="L4552" s="6" t="n">
        <f aca="false">H4552*K4552</f>
        <v>18000</v>
      </c>
      <c r="M4552" s="4" t="s">
        <v>371</v>
      </c>
    </row>
    <row r="4553" customFormat="false" ht="15" hidden="false" customHeight="false" outlineLevel="0" collapsed="false">
      <c r="A4553" s="4" t="s">
        <v>194</v>
      </c>
      <c r="B4553" s="5" t="s">
        <v>201</v>
      </c>
      <c r="C4553" s="5" t="s">
        <v>202</v>
      </c>
      <c r="D4553" s="4" t="s">
        <v>16</v>
      </c>
      <c r="E4553" s="4" t="s">
        <v>5204</v>
      </c>
      <c r="F4553" s="4" t="s">
        <v>470</v>
      </c>
      <c r="G4553" s="4" t="s">
        <v>5205</v>
      </c>
      <c r="H4553" s="12" t="n">
        <v>1</v>
      </c>
      <c r="I4553" s="4" t="s">
        <v>408</v>
      </c>
      <c r="J4553" s="4" t="s">
        <v>416</v>
      </c>
      <c r="K4553" s="13" t="n">
        <v>1200</v>
      </c>
      <c r="L4553" s="6" t="n">
        <f aca="false">H4553*K4553</f>
        <v>1200</v>
      </c>
      <c r="M4553" s="4" t="s">
        <v>371</v>
      </c>
    </row>
    <row r="4554" customFormat="false" ht="15" hidden="false" customHeight="false" outlineLevel="0" collapsed="false">
      <c r="A4554" s="4" t="s">
        <v>194</v>
      </c>
      <c r="B4554" s="5" t="s">
        <v>201</v>
      </c>
      <c r="C4554" s="5" t="s">
        <v>202</v>
      </c>
      <c r="D4554" s="4" t="s">
        <v>16</v>
      </c>
      <c r="E4554" s="4" t="s">
        <v>5206</v>
      </c>
      <c r="F4554" s="4" t="s">
        <v>470</v>
      </c>
      <c r="G4554" s="4" t="s">
        <v>5207</v>
      </c>
      <c r="H4554" s="12" t="n">
        <v>1</v>
      </c>
      <c r="I4554" s="4" t="s">
        <v>408</v>
      </c>
      <c r="J4554" s="4" t="s">
        <v>416</v>
      </c>
      <c r="K4554" s="13" t="n">
        <v>25000</v>
      </c>
      <c r="L4554" s="6" t="n">
        <f aca="false">H4554*K4554</f>
        <v>25000</v>
      </c>
      <c r="M4554" s="4" t="s">
        <v>371</v>
      </c>
    </row>
    <row r="4555" customFormat="false" ht="15" hidden="false" customHeight="false" outlineLevel="0" collapsed="false">
      <c r="A4555" s="4" t="s">
        <v>194</v>
      </c>
      <c r="B4555" s="5" t="s">
        <v>201</v>
      </c>
      <c r="C4555" s="5" t="s">
        <v>202</v>
      </c>
      <c r="D4555" s="4" t="s">
        <v>16</v>
      </c>
      <c r="E4555" s="4" t="s">
        <v>1089</v>
      </c>
      <c r="F4555" s="4" t="s">
        <v>470</v>
      </c>
      <c r="G4555" s="4" t="s">
        <v>1090</v>
      </c>
      <c r="H4555" s="12" t="n">
        <v>1</v>
      </c>
      <c r="I4555" s="4" t="s">
        <v>408</v>
      </c>
      <c r="J4555" s="4" t="s">
        <v>409</v>
      </c>
      <c r="K4555" s="13" t="n">
        <v>3500</v>
      </c>
      <c r="L4555" s="6" t="n">
        <f aca="false">H4555*K4555</f>
        <v>3500</v>
      </c>
      <c r="M4555" s="4" t="s">
        <v>371</v>
      </c>
    </row>
    <row r="4556" customFormat="false" ht="15" hidden="false" customHeight="false" outlineLevel="0" collapsed="false">
      <c r="A4556" s="4" t="s">
        <v>194</v>
      </c>
      <c r="B4556" s="5" t="s">
        <v>201</v>
      </c>
      <c r="C4556" s="5" t="s">
        <v>202</v>
      </c>
      <c r="D4556" s="4" t="s">
        <v>16</v>
      </c>
      <c r="E4556" s="4" t="s">
        <v>2289</v>
      </c>
      <c r="F4556" s="4" t="s">
        <v>470</v>
      </c>
      <c r="G4556" s="4" t="s">
        <v>2290</v>
      </c>
      <c r="H4556" s="12" t="n">
        <v>1</v>
      </c>
      <c r="I4556" s="4" t="s">
        <v>408</v>
      </c>
      <c r="J4556" s="4" t="s">
        <v>409</v>
      </c>
      <c r="K4556" s="13" t="n">
        <v>2500</v>
      </c>
      <c r="L4556" s="6" t="n">
        <f aca="false">H4556*K4556</f>
        <v>2500</v>
      </c>
      <c r="M4556" s="4" t="s">
        <v>371</v>
      </c>
    </row>
    <row r="4557" customFormat="false" ht="15" hidden="false" customHeight="false" outlineLevel="0" collapsed="false">
      <c r="A4557" s="4" t="s">
        <v>194</v>
      </c>
      <c r="B4557" s="5" t="s">
        <v>201</v>
      </c>
      <c r="C4557" s="5" t="s">
        <v>202</v>
      </c>
      <c r="D4557" s="4" t="s">
        <v>16</v>
      </c>
      <c r="E4557" s="4" t="s">
        <v>2359</v>
      </c>
      <c r="F4557" s="4" t="s">
        <v>470</v>
      </c>
      <c r="G4557" s="4" t="s">
        <v>2360</v>
      </c>
      <c r="H4557" s="12" t="n">
        <v>1</v>
      </c>
      <c r="I4557" s="4" t="s">
        <v>408</v>
      </c>
      <c r="J4557" s="4" t="s">
        <v>416</v>
      </c>
      <c r="K4557" s="13" t="n">
        <v>4500</v>
      </c>
      <c r="L4557" s="6" t="n">
        <f aca="false">H4557*K4557</f>
        <v>4500</v>
      </c>
      <c r="M4557" s="4" t="s">
        <v>371</v>
      </c>
    </row>
    <row r="4558" customFormat="false" ht="15" hidden="false" customHeight="false" outlineLevel="0" collapsed="false">
      <c r="A4558" s="4" t="s">
        <v>194</v>
      </c>
      <c r="B4558" s="5" t="s">
        <v>201</v>
      </c>
      <c r="C4558" s="5" t="s">
        <v>202</v>
      </c>
      <c r="D4558" s="4" t="s">
        <v>16</v>
      </c>
      <c r="E4558" s="4" t="s">
        <v>5208</v>
      </c>
      <c r="F4558" s="4" t="s">
        <v>470</v>
      </c>
      <c r="G4558" s="4" t="s">
        <v>5209</v>
      </c>
      <c r="H4558" s="12" t="n">
        <v>40</v>
      </c>
      <c r="I4558" s="4" t="s">
        <v>474</v>
      </c>
      <c r="J4558" s="4" t="s">
        <v>416</v>
      </c>
      <c r="K4558" s="13" t="n">
        <v>2500</v>
      </c>
      <c r="L4558" s="6" t="n">
        <f aca="false">H4558*K4558</f>
        <v>100000</v>
      </c>
      <c r="M4558" s="4" t="s">
        <v>371</v>
      </c>
    </row>
    <row r="4559" customFormat="false" ht="15" hidden="false" customHeight="false" outlineLevel="0" collapsed="false">
      <c r="A4559" s="4" t="s">
        <v>194</v>
      </c>
      <c r="B4559" s="5" t="s">
        <v>201</v>
      </c>
      <c r="C4559" s="5" t="s">
        <v>202</v>
      </c>
      <c r="D4559" s="4" t="s">
        <v>16</v>
      </c>
      <c r="E4559" s="4" t="s">
        <v>5210</v>
      </c>
      <c r="F4559" s="4" t="s">
        <v>470</v>
      </c>
      <c r="G4559" s="4" t="s">
        <v>5211</v>
      </c>
      <c r="H4559" s="12" t="n">
        <v>1</v>
      </c>
      <c r="I4559" s="4" t="s">
        <v>408</v>
      </c>
      <c r="J4559" s="4" t="s">
        <v>416</v>
      </c>
      <c r="K4559" s="13" t="n">
        <v>850</v>
      </c>
      <c r="L4559" s="6" t="n">
        <f aca="false">H4559*K4559</f>
        <v>850</v>
      </c>
      <c r="M4559" s="4" t="s">
        <v>371</v>
      </c>
    </row>
    <row r="4560" customFormat="false" ht="15" hidden="false" customHeight="false" outlineLevel="0" collapsed="false">
      <c r="A4560" s="4" t="s">
        <v>194</v>
      </c>
      <c r="B4560" s="5" t="s">
        <v>201</v>
      </c>
      <c r="C4560" s="5" t="s">
        <v>202</v>
      </c>
      <c r="D4560" s="4" t="s">
        <v>16</v>
      </c>
      <c r="E4560" s="4" t="s">
        <v>5212</v>
      </c>
      <c r="F4560" s="4" t="s">
        <v>470</v>
      </c>
      <c r="G4560" s="4" t="s">
        <v>5213</v>
      </c>
      <c r="H4560" s="12" t="n">
        <v>1</v>
      </c>
      <c r="I4560" s="4" t="s">
        <v>408</v>
      </c>
      <c r="J4560" s="4" t="s">
        <v>416</v>
      </c>
      <c r="K4560" s="13" t="n">
        <v>2500</v>
      </c>
      <c r="L4560" s="6" t="n">
        <f aca="false">H4560*K4560</f>
        <v>2500</v>
      </c>
      <c r="M4560" s="4" t="s">
        <v>371</v>
      </c>
    </row>
    <row r="4561" customFormat="false" ht="15" hidden="false" customHeight="false" outlineLevel="0" collapsed="false">
      <c r="A4561" s="4" t="s">
        <v>194</v>
      </c>
      <c r="B4561" s="5" t="s">
        <v>201</v>
      </c>
      <c r="C4561" s="5" t="s">
        <v>202</v>
      </c>
      <c r="D4561" s="4" t="s">
        <v>16</v>
      </c>
      <c r="E4561" s="4" t="s">
        <v>5214</v>
      </c>
      <c r="F4561" s="4" t="s">
        <v>470</v>
      </c>
      <c r="G4561" s="4" t="s">
        <v>5215</v>
      </c>
      <c r="H4561" s="12" t="n">
        <v>1</v>
      </c>
      <c r="I4561" s="4" t="s">
        <v>408</v>
      </c>
      <c r="J4561" s="4" t="s">
        <v>416</v>
      </c>
      <c r="K4561" s="13" t="n">
        <v>850</v>
      </c>
      <c r="L4561" s="6" t="n">
        <f aca="false">H4561*K4561</f>
        <v>850</v>
      </c>
      <c r="M4561" s="4" t="s">
        <v>371</v>
      </c>
    </row>
    <row r="4562" customFormat="false" ht="15" hidden="false" customHeight="false" outlineLevel="0" collapsed="false">
      <c r="A4562" s="4" t="s">
        <v>194</v>
      </c>
      <c r="B4562" s="5" t="s">
        <v>201</v>
      </c>
      <c r="C4562" s="5" t="s">
        <v>202</v>
      </c>
      <c r="D4562" s="4" t="s">
        <v>16</v>
      </c>
      <c r="E4562" s="4" t="s">
        <v>2301</v>
      </c>
      <c r="F4562" s="4" t="s">
        <v>470</v>
      </c>
      <c r="G4562" s="4" t="s">
        <v>2302</v>
      </c>
      <c r="H4562" s="12" t="n">
        <v>1</v>
      </c>
      <c r="I4562" s="4" t="s">
        <v>408</v>
      </c>
      <c r="J4562" s="4" t="s">
        <v>409</v>
      </c>
      <c r="K4562" s="13" t="n">
        <v>8500</v>
      </c>
      <c r="L4562" s="6" t="n">
        <f aca="false">H4562*K4562</f>
        <v>8500</v>
      </c>
      <c r="M4562" s="4" t="s">
        <v>371</v>
      </c>
    </row>
    <row r="4563" customFormat="false" ht="15" hidden="false" customHeight="false" outlineLevel="0" collapsed="false">
      <c r="A4563" s="4" t="s">
        <v>194</v>
      </c>
      <c r="B4563" s="5" t="s">
        <v>201</v>
      </c>
      <c r="C4563" s="5" t="s">
        <v>202</v>
      </c>
      <c r="D4563" s="4" t="s">
        <v>16</v>
      </c>
      <c r="E4563" s="4" t="s">
        <v>2303</v>
      </c>
      <c r="F4563" s="4" t="s">
        <v>470</v>
      </c>
      <c r="G4563" s="4" t="s">
        <v>2304</v>
      </c>
      <c r="H4563" s="12" t="n">
        <v>1</v>
      </c>
      <c r="I4563" s="4" t="s">
        <v>408</v>
      </c>
      <c r="J4563" s="4" t="s">
        <v>409</v>
      </c>
      <c r="K4563" s="13" t="n">
        <v>3500</v>
      </c>
      <c r="L4563" s="6" t="n">
        <f aca="false">H4563*K4563</f>
        <v>3500</v>
      </c>
      <c r="M4563" s="4" t="s">
        <v>371</v>
      </c>
    </row>
    <row r="4564" customFormat="false" ht="15" hidden="false" customHeight="false" outlineLevel="0" collapsed="false">
      <c r="A4564" s="4" t="s">
        <v>194</v>
      </c>
      <c r="B4564" s="5" t="s">
        <v>201</v>
      </c>
      <c r="C4564" s="5" t="s">
        <v>202</v>
      </c>
      <c r="D4564" s="4" t="s">
        <v>16</v>
      </c>
      <c r="E4564" s="4" t="s">
        <v>2305</v>
      </c>
      <c r="F4564" s="4" t="s">
        <v>470</v>
      </c>
      <c r="G4564" s="4" t="s">
        <v>2306</v>
      </c>
      <c r="H4564" s="12" t="n">
        <v>1</v>
      </c>
      <c r="I4564" s="4" t="s">
        <v>408</v>
      </c>
      <c r="J4564" s="4" t="s">
        <v>409</v>
      </c>
      <c r="K4564" s="13" t="n">
        <v>850</v>
      </c>
      <c r="L4564" s="6" t="n">
        <f aca="false">H4564*K4564</f>
        <v>850</v>
      </c>
      <c r="M4564" s="4" t="s">
        <v>371</v>
      </c>
    </row>
    <row r="4565" customFormat="false" ht="15" hidden="false" customHeight="false" outlineLevel="0" collapsed="false">
      <c r="A4565" s="4" t="s">
        <v>194</v>
      </c>
      <c r="B4565" s="5" t="s">
        <v>201</v>
      </c>
      <c r="C4565" s="5" t="s">
        <v>202</v>
      </c>
      <c r="D4565" s="4" t="s">
        <v>16</v>
      </c>
      <c r="E4565" s="4" t="s">
        <v>5216</v>
      </c>
      <c r="F4565" s="4" t="s">
        <v>488</v>
      </c>
      <c r="G4565" s="4" t="s">
        <v>5217</v>
      </c>
      <c r="H4565" s="12" t="n">
        <v>1</v>
      </c>
      <c r="I4565" s="4" t="s">
        <v>408</v>
      </c>
      <c r="J4565" s="4" t="s">
        <v>416</v>
      </c>
      <c r="K4565" s="13" t="n">
        <v>650</v>
      </c>
      <c r="L4565" s="6" t="n">
        <f aca="false">H4565*K4565</f>
        <v>650</v>
      </c>
      <c r="M4565" s="4" t="s">
        <v>371</v>
      </c>
    </row>
    <row r="4566" customFormat="false" ht="15" hidden="false" customHeight="false" outlineLevel="0" collapsed="false">
      <c r="A4566" s="4" t="s">
        <v>194</v>
      </c>
      <c r="B4566" s="5" t="s">
        <v>201</v>
      </c>
      <c r="C4566" s="5" t="s">
        <v>202</v>
      </c>
      <c r="D4566" s="4" t="s">
        <v>16</v>
      </c>
      <c r="E4566" s="4" t="s">
        <v>5218</v>
      </c>
      <c r="F4566" s="4" t="s">
        <v>488</v>
      </c>
      <c r="G4566" s="4" t="s">
        <v>5219</v>
      </c>
      <c r="H4566" s="12" t="n">
        <v>1</v>
      </c>
      <c r="I4566" s="4" t="s">
        <v>408</v>
      </c>
      <c r="J4566" s="4" t="s">
        <v>416</v>
      </c>
      <c r="K4566" s="13" t="n">
        <v>650</v>
      </c>
      <c r="L4566" s="6" t="n">
        <f aca="false">H4566*K4566</f>
        <v>650</v>
      </c>
      <c r="M4566" s="4" t="s">
        <v>371</v>
      </c>
    </row>
    <row r="4567" customFormat="false" ht="15" hidden="false" customHeight="false" outlineLevel="0" collapsed="false">
      <c r="A4567" s="4" t="s">
        <v>194</v>
      </c>
      <c r="B4567" s="5" t="s">
        <v>201</v>
      </c>
      <c r="C4567" s="5" t="s">
        <v>202</v>
      </c>
      <c r="D4567" s="4" t="s">
        <v>16</v>
      </c>
      <c r="E4567" s="4" t="s">
        <v>2325</v>
      </c>
      <c r="F4567" s="4" t="s">
        <v>488</v>
      </c>
      <c r="G4567" s="4" t="s">
        <v>2326</v>
      </c>
      <c r="H4567" s="12" t="n">
        <v>1</v>
      </c>
      <c r="I4567" s="4" t="s">
        <v>408</v>
      </c>
      <c r="J4567" s="4" t="s">
        <v>416</v>
      </c>
      <c r="K4567" s="13" t="n">
        <v>650</v>
      </c>
      <c r="L4567" s="6" t="n">
        <f aca="false">H4567*K4567</f>
        <v>650</v>
      </c>
      <c r="M4567" s="4" t="s">
        <v>371</v>
      </c>
    </row>
    <row r="4568" customFormat="false" ht="15" hidden="false" customHeight="false" outlineLevel="0" collapsed="false">
      <c r="A4568" s="4" t="s">
        <v>194</v>
      </c>
      <c r="B4568" s="5" t="s">
        <v>201</v>
      </c>
      <c r="C4568" s="5" t="s">
        <v>202</v>
      </c>
      <c r="D4568" s="4" t="s">
        <v>16</v>
      </c>
      <c r="E4568" s="4" t="s">
        <v>2327</v>
      </c>
      <c r="F4568" s="4" t="s">
        <v>488</v>
      </c>
      <c r="G4568" s="4" t="s">
        <v>2328</v>
      </c>
      <c r="H4568" s="12" t="n">
        <v>1</v>
      </c>
      <c r="I4568" s="4" t="s">
        <v>408</v>
      </c>
      <c r="J4568" s="4" t="s">
        <v>506</v>
      </c>
      <c r="K4568" s="13" t="n">
        <v>450</v>
      </c>
      <c r="L4568" s="6" t="n">
        <f aca="false">H4568*K4568</f>
        <v>450</v>
      </c>
      <c r="M4568" s="4" t="s">
        <v>371</v>
      </c>
    </row>
    <row r="4569" customFormat="false" ht="15" hidden="false" customHeight="false" outlineLevel="0" collapsed="false">
      <c r="A4569" s="4" t="s">
        <v>194</v>
      </c>
      <c r="B4569" s="5" t="s">
        <v>201</v>
      </c>
      <c r="C4569" s="5" t="s">
        <v>202</v>
      </c>
      <c r="D4569" s="4" t="s">
        <v>16</v>
      </c>
      <c r="E4569" s="4" t="s">
        <v>5220</v>
      </c>
      <c r="F4569" s="4" t="s">
        <v>488</v>
      </c>
      <c r="G4569" s="4" t="s">
        <v>5221</v>
      </c>
      <c r="H4569" s="12" t="n">
        <v>20</v>
      </c>
      <c r="I4569" s="4" t="s">
        <v>474</v>
      </c>
      <c r="J4569" s="4" t="s">
        <v>796</v>
      </c>
      <c r="K4569" s="13" t="n">
        <v>20</v>
      </c>
      <c r="L4569" s="6" t="n">
        <f aca="false">H4569*K4569</f>
        <v>400</v>
      </c>
      <c r="M4569" s="4" t="s">
        <v>371</v>
      </c>
    </row>
    <row r="4570" customFormat="false" ht="15" hidden="false" customHeight="false" outlineLevel="0" collapsed="false">
      <c r="A4570" s="4" t="s">
        <v>194</v>
      </c>
      <c r="B4570" s="5" t="s">
        <v>201</v>
      </c>
      <c r="C4570" s="5" t="s">
        <v>202</v>
      </c>
      <c r="D4570" s="4" t="s">
        <v>16</v>
      </c>
      <c r="E4570" s="4" t="s">
        <v>5222</v>
      </c>
      <c r="F4570" s="4" t="s">
        <v>488</v>
      </c>
      <c r="G4570" s="4" t="s">
        <v>5223</v>
      </c>
      <c r="H4570" s="12" t="n">
        <v>1</v>
      </c>
      <c r="I4570" s="4" t="s">
        <v>408</v>
      </c>
      <c r="J4570" s="4" t="s">
        <v>416</v>
      </c>
      <c r="K4570" s="13" t="n">
        <v>650</v>
      </c>
      <c r="L4570" s="6" t="n">
        <f aca="false">H4570*K4570</f>
        <v>650</v>
      </c>
      <c r="M4570" s="4" t="s">
        <v>371</v>
      </c>
    </row>
    <row r="4571" customFormat="false" ht="15" hidden="false" customHeight="false" outlineLevel="0" collapsed="false">
      <c r="A4571" s="4" t="s">
        <v>194</v>
      </c>
      <c r="B4571" s="5" t="s">
        <v>201</v>
      </c>
      <c r="C4571" s="5" t="s">
        <v>202</v>
      </c>
      <c r="D4571" s="4" t="s">
        <v>16</v>
      </c>
      <c r="E4571" s="4" t="s">
        <v>920</v>
      </c>
      <c r="F4571" s="4" t="s">
        <v>488</v>
      </c>
      <c r="G4571" s="4" t="s">
        <v>921</v>
      </c>
      <c r="H4571" s="12" t="n">
        <v>40</v>
      </c>
      <c r="I4571" s="4" t="s">
        <v>474</v>
      </c>
      <c r="J4571" s="4" t="s">
        <v>506</v>
      </c>
      <c r="K4571" s="13" t="n">
        <v>60</v>
      </c>
      <c r="L4571" s="6" t="n">
        <f aca="false">H4571*K4571</f>
        <v>2400</v>
      </c>
      <c r="M4571" s="14" t="s">
        <v>410</v>
      </c>
    </row>
    <row r="4572" customFormat="false" ht="15" hidden="false" customHeight="false" outlineLevel="0" collapsed="false">
      <c r="A4572" s="4" t="s">
        <v>194</v>
      </c>
      <c r="B4572" s="5" t="s">
        <v>201</v>
      </c>
      <c r="C4572" s="5" t="s">
        <v>202</v>
      </c>
      <c r="D4572" s="4" t="s">
        <v>16</v>
      </c>
      <c r="E4572" s="4" t="s">
        <v>5224</v>
      </c>
      <c r="F4572" s="4" t="s">
        <v>488</v>
      </c>
      <c r="G4572" s="4" t="s">
        <v>5225</v>
      </c>
      <c r="H4572" s="12" t="n">
        <v>40</v>
      </c>
      <c r="I4572" s="4" t="s">
        <v>474</v>
      </c>
      <c r="J4572" s="4" t="s">
        <v>409</v>
      </c>
      <c r="K4572" s="13" t="n">
        <v>25</v>
      </c>
      <c r="L4572" s="6" t="n">
        <f aca="false">H4572*K4572</f>
        <v>1000</v>
      </c>
      <c r="M4572" s="4" t="s">
        <v>371</v>
      </c>
    </row>
    <row r="4573" customFormat="false" ht="15" hidden="false" customHeight="false" outlineLevel="0" collapsed="false">
      <c r="A4573" s="4" t="s">
        <v>194</v>
      </c>
      <c r="B4573" s="5" t="s">
        <v>201</v>
      </c>
      <c r="C4573" s="5" t="s">
        <v>202</v>
      </c>
      <c r="D4573" s="4" t="s">
        <v>16</v>
      </c>
      <c r="E4573" s="4" t="s">
        <v>5226</v>
      </c>
      <c r="F4573" s="4" t="s">
        <v>488</v>
      </c>
      <c r="G4573" s="4" t="s">
        <v>5227</v>
      </c>
      <c r="H4573" s="12" t="n">
        <v>20</v>
      </c>
      <c r="I4573" s="4" t="s">
        <v>474</v>
      </c>
      <c r="J4573" s="4" t="s">
        <v>503</v>
      </c>
      <c r="K4573" s="13" t="n">
        <v>350</v>
      </c>
      <c r="L4573" s="6" t="n">
        <f aca="false">H4573*K4573</f>
        <v>7000</v>
      </c>
      <c r="M4573" s="4" t="s">
        <v>371</v>
      </c>
    </row>
    <row r="4574" customFormat="false" ht="15" hidden="false" customHeight="false" outlineLevel="0" collapsed="false">
      <c r="A4574" s="4" t="s">
        <v>194</v>
      </c>
      <c r="B4574" s="5" t="s">
        <v>201</v>
      </c>
      <c r="C4574" s="5" t="s">
        <v>202</v>
      </c>
      <c r="D4574" s="4" t="s">
        <v>16</v>
      </c>
      <c r="E4574" s="4" t="s">
        <v>5228</v>
      </c>
      <c r="F4574" s="4" t="s">
        <v>488</v>
      </c>
      <c r="G4574" s="4" t="s">
        <v>5229</v>
      </c>
      <c r="H4574" s="12" t="n">
        <v>40</v>
      </c>
      <c r="I4574" s="4" t="s">
        <v>474</v>
      </c>
      <c r="J4574" s="4" t="s">
        <v>796</v>
      </c>
      <c r="K4574" s="13" t="n">
        <v>35</v>
      </c>
      <c r="L4574" s="6" t="n">
        <f aca="false">H4574*K4574</f>
        <v>1400</v>
      </c>
      <c r="M4574" s="4" t="s">
        <v>371</v>
      </c>
    </row>
    <row r="4575" customFormat="false" ht="15" hidden="false" customHeight="false" outlineLevel="0" collapsed="false">
      <c r="A4575" s="4" t="s">
        <v>194</v>
      </c>
      <c r="B4575" s="5" t="s">
        <v>201</v>
      </c>
      <c r="C4575" s="5" t="s">
        <v>202</v>
      </c>
      <c r="D4575" s="4" t="s">
        <v>16</v>
      </c>
      <c r="E4575" s="4" t="s">
        <v>5230</v>
      </c>
      <c r="F4575" s="4" t="s">
        <v>488</v>
      </c>
      <c r="G4575" s="4" t="s">
        <v>5231</v>
      </c>
      <c r="H4575" s="12" t="n">
        <v>2</v>
      </c>
      <c r="I4575" s="4" t="s">
        <v>474</v>
      </c>
      <c r="J4575" s="4" t="s">
        <v>432</v>
      </c>
      <c r="K4575" s="13" t="n">
        <v>35</v>
      </c>
      <c r="L4575" s="6" t="n">
        <f aca="false">H4575*K4575</f>
        <v>70</v>
      </c>
      <c r="M4575" s="4" t="s">
        <v>371</v>
      </c>
    </row>
    <row r="4576" customFormat="false" ht="15" hidden="false" customHeight="false" outlineLevel="0" collapsed="false">
      <c r="A4576" s="4" t="s">
        <v>194</v>
      </c>
      <c r="B4576" s="5" t="s">
        <v>201</v>
      </c>
      <c r="C4576" s="5" t="s">
        <v>202</v>
      </c>
      <c r="D4576" s="4" t="s">
        <v>16</v>
      </c>
      <c r="E4576" s="4" t="s">
        <v>5232</v>
      </c>
      <c r="F4576" s="4" t="s">
        <v>488</v>
      </c>
      <c r="G4576" s="4" t="s">
        <v>5233</v>
      </c>
      <c r="H4576" s="12" t="n">
        <v>5</v>
      </c>
      <c r="I4576" s="4" t="s">
        <v>474</v>
      </c>
      <c r="J4576" s="4" t="s">
        <v>432</v>
      </c>
      <c r="K4576" s="13" t="n">
        <v>250</v>
      </c>
      <c r="L4576" s="6" t="n">
        <f aca="false">H4576*K4576</f>
        <v>1250</v>
      </c>
      <c r="M4576" s="4" t="s">
        <v>371</v>
      </c>
    </row>
    <row r="4577" customFormat="false" ht="15" hidden="false" customHeight="false" outlineLevel="0" collapsed="false">
      <c r="A4577" s="4" t="s">
        <v>194</v>
      </c>
      <c r="B4577" s="5" t="s">
        <v>201</v>
      </c>
      <c r="C4577" s="5" t="s">
        <v>202</v>
      </c>
      <c r="D4577" s="4" t="s">
        <v>16</v>
      </c>
      <c r="E4577" s="4" t="s">
        <v>5234</v>
      </c>
      <c r="F4577" s="4" t="s">
        <v>488</v>
      </c>
      <c r="G4577" s="4" t="s">
        <v>5235</v>
      </c>
      <c r="H4577" s="12" t="n">
        <v>1</v>
      </c>
      <c r="I4577" s="4" t="s">
        <v>408</v>
      </c>
      <c r="J4577" s="4" t="s">
        <v>432</v>
      </c>
      <c r="K4577" s="13" t="n">
        <v>60</v>
      </c>
      <c r="L4577" s="6" t="n">
        <f aca="false">H4577*K4577</f>
        <v>60</v>
      </c>
      <c r="M4577" s="4" t="s">
        <v>371</v>
      </c>
    </row>
    <row r="4578" customFormat="false" ht="15" hidden="false" customHeight="false" outlineLevel="0" collapsed="false">
      <c r="A4578" s="4" t="s">
        <v>194</v>
      </c>
      <c r="B4578" s="5" t="s">
        <v>201</v>
      </c>
      <c r="C4578" s="5" t="s">
        <v>202</v>
      </c>
      <c r="D4578" s="4" t="s">
        <v>16</v>
      </c>
      <c r="E4578" s="4" t="s">
        <v>5236</v>
      </c>
      <c r="F4578" s="4" t="s">
        <v>488</v>
      </c>
      <c r="G4578" s="4" t="s">
        <v>5237</v>
      </c>
      <c r="H4578" s="12" t="n">
        <v>1</v>
      </c>
      <c r="I4578" s="4" t="s">
        <v>474</v>
      </c>
      <c r="J4578" s="4" t="s">
        <v>432</v>
      </c>
      <c r="K4578" s="13" t="n">
        <v>80</v>
      </c>
      <c r="L4578" s="6" t="n">
        <f aca="false">H4578*K4578</f>
        <v>80</v>
      </c>
      <c r="M4578" s="4" t="s">
        <v>371</v>
      </c>
    </row>
    <row r="4579" customFormat="false" ht="15" hidden="false" customHeight="false" outlineLevel="0" collapsed="false">
      <c r="A4579" s="4" t="s">
        <v>194</v>
      </c>
      <c r="B4579" s="5" t="s">
        <v>201</v>
      </c>
      <c r="C4579" s="5" t="s">
        <v>202</v>
      </c>
      <c r="D4579" s="4" t="s">
        <v>16</v>
      </c>
      <c r="E4579" s="4" t="s">
        <v>5238</v>
      </c>
      <c r="F4579" s="4" t="s">
        <v>488</v>
      </c>
      <c r="G4579" s="4" t="s">
        <v>5239</v>
      </c>
      <c r="H4579" s="12" t="n">
        <v>1</v>
      </c>
      <c r="I4579" s="4" t="s">
        <v>408</v>
      </c>
      <c r="J4579" s="4" t="s">
        <v>432</v>
      </c>
      <c r="K4579" s="13" t="n">
        <v>180</v>
      </c>
      <c r="L4579" s="6" t="n">
        <f aca="false">H4579*K4579</f>
        <v>180</v>
      </c>
      <c r="M4579" s="4" t="s">
        <v>371</v>
      </c>
    </row>
    <row r="4580" customFormat="false" ht="15" hidden="false" customHeight="false" outlineLevel="0" collapsed="false">
      <c r="A4580" s="4" t="s">
        <v>194</v>
      </c>
      <c r="B4580" s="5" t="s">
        <v>201</v>
      </c>
      <c r="C4580" s="5" t="s">
        <v>202</v>
      </c>
      <c r="D4580" s="4" t="s">
        <v>16</v>
      </c>
      <c r="E4580" s="4" t="s">
        <v>5240</v>
      </c>
      <c r="F4580" s="4" t="s">
        <v>488</v>
      </c>
      <c r="G4580" s="4" t="s">
        <v>5241</v>
      </c>
      <c r="H4580" s="12" t="n">
        <v>20</v>
      </c>
      <c r="I4580" s="4" t="s">
        <v>474</v>
      </c>
      <c r="J4580" s="4" t="s">
        <v>807</v>
      </c>
      <c r="K4580" s="13" t="n">
        <v>80</v>
      </c>
      <c r="L4580" s="6" t="n">
        <f aca="false">H4580*K4580</f>
        <v>1600</v>
      </c>
      <c r="M4580" s="4" t="s">
        <v>371</v>
      </c>
    </row>
    <row r="4581" customFormat="false" ht="15" hidden="false" customHeight="false" outlineLevel="0" collapsed="false">
      <c r="A4581" s="4" t="s">
        <v>194</v>
      </c>
      <c r="B4581" s="5" t="s">
        <v>201</v>
      </c>
      <c r="C4581" s="5" t="s">
        <v>202</v>
      </c>
      <c r="D4581" s="4" t="s">
        <v>16</v>
      </c>
      <c r="E4581" s="4" t="s">
        <v>5242</v>
      </c>
      <c r="F4581" s="4" t="s">
        <v>488</v>
      </c>
      <c r="G4581" s="4" t="s">
        <v>5243</v>
      </c>
      <c r="H4581" s="12" t="n">
        <v>1</v>
      </c>
      <c r="I4581" s="4" t="s">
        <v>408</v>
      </c>
      <c r="J4581" s="4" t="s">
        <v>416</v>
      </c>
      <c r="K4581" s="13" t="n">
        <v>120</v>
      </c>
      <c r="L4581" s="6" t="n">
        <f aca="false">H4581*K4581</f>
        <v>120</v>
      </c>
      <c r="M4581" s="4" t="s">
        <v>371</v>
      </c>
    </row>
    <row r="4582" customFormat="false" ht="15" hidden="false" customHeight="false" outlineLevel="0" collapsed="false">
      <c r="A4582" s="4" t="s">
        <v>194</v>
      </c>
      <c r="B4582" s="5" t="s">
        <v>201</v>
      </c>
      <c r="C4582" s="5" t="s">
        <v>202</v>
      </c>
      <c r="D4582" s="4" t="s">
        <v>16</v>
      </c>
      <c r="E4582" s="4" t="s">
        <v>5244</v>
      </c>
      <c r="F4582" s="4" t="s">
        <v>488</v>
      </c>
      <c r="G4582" s="4" t="s">
        <v>5245</v>
      </c>
      <c r="H4582" s="12" t="n">
        <v>10</v>
      </c>
      <c r="I4582" s="4" t="s">
        <v>474</v>
      </c>
      <c r="J4582" s="4" t="s">
        <v>503</v>
      </c>
      <c r="K4582" s="13" t="n">
        <v>450</v>
      </c>
      <c r="L4582" s="6" t="n">
        <f aca="false">H4582*K4582</f>
        <v>4500</v>
      </c>
      <c r="M4582" s="4" t="s">
        <v>371</v>
      </c>
    </row>
    <row r="4583" customFormat="false" ht="15" hidden="false" customHeight="false" outlineLevel="0" collapsed="false">
      <c r="A4583" s="4" t="s">
        <v>194</v>
      </c>
      <c r="B4583" s="5" t="s">
        <v>201</v>
      </c>
      <c r="C4583" s="5" t="s">
        <v>202</v>
      </c>
      <c r="D4583" s="4" t="s">
        <v>16</v>
      </c>
      <c r="E4583" s="4" t="s">
        <v>5246</v>
      </c>
      <c r="F4583" s="4" t="s">
        <v>470</v>
      </c>
      <c r="G4583" s="4" t="s">
        <v>5247</v>
      </c>
      <c r="H4583" s="12" t="n">
        <v>1</v>
      </c>
      <c r="I4583" s="4" t="s">
        <v>408</v>
      </c>
      <c r="J4583" s="4" t="s">
        <v>409</v>
      </c>
      <c r="K4583" s="13" t="n">
        <v>250000</v>
      </c>
      <c r="L4583" s="6" t="n">
        <f aca="false">H4583*K4583</f>
        <v>250000</v>
      </c>
      <c r="M4583" s="4" t="s">
        <v>371</v>
      </c>
    </row>
    <row r="4584" customFormat="false" ht="15" hidden="false" customHeight="false" outlineLevel="0" collapsed="false">
      <c r="A4584" s="4" t="s">
        <v>194</v>
      </c>
      <c r="B4584" s="5" t="s">
        <v>201</v>
      </c>
      <c r="C4584" s="5" t="s">
        <v>202</v>
      </c>
      <c r="D4584" s="4" t="s">
        <v>16</v>
      </c>
      <c r="E4584" s="4" t="s">
        <v>5248</v>
      </c>
      <c r="F4584" s="4" t="s">
        <v>470</v>
      </c>
      <c r="G4584" s="4" t="s">
        <v>5249</v>
      </c>
      <c r="H4584" s="12" t="n">
        <v>1</v>
      </c>
      <c r="I4584" s="4" t="s">
        <v>408</v>
      </c>
      <c r="J4584" s="4" t="s">
        <v>416</v>
      </c>
      <c r="K4584" s="13" t="n">
        <v>25000</v>
      </c>
      <c r="L4584" s="6" t="n">
        <f aca="false">H4584*K4584</f>
        <v>25000</v>
      </c>
      <c r="M4584" s="4" t="s">
        <v>371</v>
      </c>
    </row>
    <row r="4585" customFormat="false" ht="15" hidden="false" customHeight="false" outlineLevel="0" collapsed="false">
      <c r="A4585" s="4" t="s">
        <v>194</v>
      </c>
      <c r="B4585" s="5" t="s">
        <v>201</v>
      </c>
      <c r="C4585" s="5" t="s">
        <v>202</v>
      </c>
      <c r="D4585" s="4" t="s">
        <v>16</v>
      </c>
      <c r="E4585" s="4" t="s">
        <v>5250</v>
      </c>
      <c r="F4585" s="4" t="s">
        <v>470</v>
      </c>
      <c r="G4585" s="4" t="s">
        <v>5251</v>
      </c>
      <c r="H4585" s="12" t="n">
        <v>1</v>
      </c>
      <c r="I4585" s="4" t="s">
        <v>408</v>
      </c>
      <c r="J4585" s="4" t="s">
        <v>416</v>
      </c>
      <c r="K4585" s="13" t="n">
        <v>25000</v>
      </c>
      <c r="L4585" s="6" t="n">
        <f aca="false">H4585*K4585</f>
        <v>25000</v>
      </c>
      <c r="M4585" s="4" t="s">
        <v>371</v>
      </c>
    </row>
    <row r="4586" customFormat="false" ht="15" hidden="false" customHeight="false" outlineLevel="0" collapsed="false">
      <c r="A4586" s="4" t="s">
        <v>194</v>
      </c>
      <c r="B4586" s="5" t="s">
        <v>201</v>
      </c>
      <c r="C4586" s="5" t="s">
        <v>202</v>
      </c>
      <c r="D4586" s="4" t="s">
        <v>16</v>
      </c>
      <c r="E4586" s="4" t="s">
        <v>2339</v>
      </c>
      <c r="F4586" s="4" t="s">
        <v>470</v>
      </c>
      <c r="G4586" s="4" t="s">
        <v>2340</v>
      </c>
      <c r="H4586" s="12" t="n">
        <v>1</v>
      </c>
      <c r="I4586" s="4" t="s">
        <v>408</v>
      </c>
      <c r="J4586" s="4" t="s">
        <v>416</v>
      </c>
      <c r="K4586" s="13" t="n">
        <v>8500</v>
      </c>
      <c r="L4586" s="6" t="n">
        <f aca="false">H4586*K4586</f>
        <v>8500</v>
      </c>
      <c r="M4586" s="14" t="s">
        <v>410</v>
      </c>
    </row>
    <row r="4587" customFormat="false" ht="15" hidden="false" customHeight="false" outlineLevel="0" collapsed="false">
      <c r="A4587" s="4" t="s">
        <v>203</v>
      </c>
      <c r="B4587" s="5" t="s">
        <v>204</v>
      </c>
      <c r="C4587" s="5" t="s">
        <v>205</v>
      </c>
      <c r="D4587" s="4" t="s">
        <v>16</v>
      </c>
      <c r="E4587" s="4" t="s">
        <v>5252</v>
      </c>
      <c r="F4587" s="4" t="s">
        <v>406</v>
      </c>
      <c r="G4587" s="4" t="s">
        <v>5253</v>
      </c>
      <c r="H4587" s="12" t="n">
        <v>1</v>
      </c>
      <c r="I4587" s="4" t="s">
        <v>408</v>
      </c>
      <c r="J4587" s="4" t="s">
        <v>409</v>
      </c>
      <c r="K4587" s="13" t="n">
        <v>450</v>
      </c>
      <c r="L4587" s="6" t="n">
        <f aca="false">H4587*K4587</f>
        <v>450</v>
      </c>
      <c r="M4587" s="14" t="s">
        <v>410</v>
      </c>
    </row>
    <row r="4588" customFormat="false" ht="15" hidden="false" customHeight="false" outlineLevel="0" collapsed="false">
      <c r="A4588" s="4" t="s">
        <v>203</v>
      </c>
      <c r="B4588" s="5" t="s">
        <v>204</v>
      </c>
      <c r="C4588" s="5" t="s">
        <v>205</v>
      </c>
      <c r="D4588" s="4" t="s">
        <v>16</v>
      </c>
      <c r="E4588" s="4" t="s">
        <v>5254</v>
      </c>
      <c r="F4588" s="4" t="s">
        <v>406</v>
      </c>
      <c r="G4588" s="4" t="s">
        <v>5255</v>
      </c>
      <c r="H4588" s="12" t="n">
        <v>1</v>
      </c>
      <c r="I4588" s="4" t="s">
        <v>408</v>
      </c>
      <c r="J4588" s="4" t="s">
        <v>409</v>
      </c>
      <c r="K4588" s="13" t="n">
        <v>250</v>
      </c>
      <c r="L4588" s="6" t="n">
        <f aca="false">H4588*K4588</f>
        <v>250</v>
      </c>
      <c r="M4588" s="14" t="s">
        <v>410</v>
      </c>
    </row>
    <row r="4589" customFormat="false" ht="15" hidden="false" customHeight="false" outlineLevel="0" collapsed="false">
      <c r="A4589" s="4" t="s">
        <v>203</v>
      </c>
      <c r="B4589" s="5" t="s">
        <v>204</v>
      </c>
      <c r="C4589" s="5" t="s">
        <v>205</v>
      </c>
      <c r="D4589" s="4" t="s">
        <v>16</v>
      </c>
      <c r="E4589" s="4" t="s">
        <v>5256</v>
      </c>
      <c r="F4589" s="4" t="s">
        <v>406</v>
      </c>
      <c r="G4589" s="4" t="s">
        <v>2124</v>
      </c>
      <c r="H4589" s="12" t="n">
        <v>1</v>
      </c>
      <c r="I4589" s="4" t="s">
        <v>408</v>
      </c>
      <c r="J4589" s="4" t="s">
        <v>409</v>
      </c>
      <c r="K4589" s="13" t="n">
        <v>450</v>
      </c>
      <c r="L4589" s="6" t="n">
        <f aca="false">H4589*K4589</f>
        <v>450</v>
      </c>
      <c r="M4589" s="14" t="s">
        <v>410</v>
      </c>
    </row>
    <row r="4590" customFormat="false" ht="15" hidden="false" customHeight="false" outlineLevel="0" collapsed="false">
      <c r="A4590" s="4" t="s">
        <v>203</v>
      </c>
      <c r="B4590" s="5" t="s">
        <v>204</v>
      </c>
      <c r="C4590" s="5" t="s">
        <v>205</v>
      </c>
      <c r="D4590" s="4" t="s">
        <v>16</v>
      </c>
      <c r="E4590" s="4" t="s">
        <v>1954</v>
      </c>
      <c r="F4590" s="4" t="s">
        <v>406</v>
      </c>
      <c r="G4590" s="4" t="s">
        <v>1955</v>
      </c>
      <c r="H4590" s="12" t="n">
        <v>1</v>
      </c>
      <c r="I4590" s="4" t="s">
        <v>408</v>
      </c>
      <c r="J4590" s="4" t="s">
        <v>409</v>
      </c>
      <c r="K4590" s="13" t="n">
        <v>350</v>
      </c>
      <c r="L4590" s="6" t="n">
        <f aca="false">H4590*K4590</f>
        <v>350</v>
      </c>
      <c r="M4590" s="14" t="s">
        <v>410</v>
      </c>
    </row>
    <row r="4591" customFormat="false" ht="15" hidden="false" customHeight="false" outlineLevel="0" collapsed="false">
      <c r="A4591" s="4" t="s">
        <v>203</v>
      </c>
      <c r="B4591" s="5" t="s">
        <v>204</v>
      </c>
      <c r="C4591" s="5" t="s">
        <v>205</v>
      </c>
      <c r="D4591" s="4" t="s">
        <v>16</v>
      </c>
      <c r="E4591" s="4" t="s">
        <v>1984</v>
      </c>
      <c r="F4591" s="4" t="s">
        <v>406</v>
      </c>
      <c r="G4591" s="4" t="s">
        <v>1985</v>
      </c>
      <c r="H4591" s="12" t="n">
        <v>1</v>
      </c>
      <c r="I4591" s="4" t="s">
        <v>408</v>
      </c>
      <c r="J4591" s="4" t="s">
        <v>409</v>
      </c>
      <c r="K4591" s="13" t="n">
        <v>120</v>
      </c>
      <c r="L4591" s="6" t="n">
        <f aca="false">H4591*K4591</f>
        <v>120</v>
      </c>
      <c r="M4591" s="14" t="s">
        <v>410</v>
      </c>
    </row>
    <row r="4592" customFormat="false" ht="15" hidden="false" customHeight="false" outlineLevel="0" collapsed="false">
      <c r="A4592" s="4" t="s">
        <v>203</v>
      </c>
      <c r="B4592" s="5" t="s">
        <v>204</v>
      </c>
      <c r="C4592" s="5" t="s">
        <v>205</v>
      </c>
      <c r="D4592" s="4" t="s">
        <v>16</v>
      </c>
      <c r="E4592" s="4" t="s">
        <v>5257</v>
      </c>
      <c r="F4592" s="4" t="s">
        <v>406</v>
      </c>
      <c r="G4592" s="4" t="s">
        <v>5258</v>
      </c>
      <c r="H4592" s="12" t="n">
        <v>1</v>
      </c>
      <c r="I4592" s="4" t="s">
        <v>408</v>
      </c>
      <c r="J4592" s="4" t="s">
        <v>409</v>
      </c>
      <c r="K4592" s="13" t="n">
        <v>80</v>
      </c>
      <c r="L4592" s="6" t="n">
        <f aca="false">H4592*K4592</f>
        <v>80</v>
      </c>
      <c r="M4592" s="14" t="s">
        <v>410</v>
      </c>
    </row>
    <row r="4593" customFormat="false" ht="15" hidden="false" customHeight="false" outlineLevel="0" collapsed="false">
      <c r="A4593" s="4" t="s">
        <v>203</v>
      </c>
      <c r="B4593" s="5" t="s">
        <v>204</v>
      </c>
      <c r="C4593" s="5" t="s">
        <v>205</v>
      </c>
      <c r="D4593" s="4" t="s">
        <v>16</v>
      </c>
      <c r="E4593" s="4" t="s">
        <v>5259</v>
      </c>
      <c r="F4593" s="4" t="s">
        <v>406</v>
      </c>
      <c r="G4593" s="4" t="s">
        <v>5260</v>
      </c>
      <c r="H4593" s="12" t="n">
        <v>1</v>
      </c>
      <c r="I4593" s="4" t="s">
        <v>408</v>
      </c>
      <c r="J4593" s="4" t="s">
        <v>409</v>
      </c>
      <c r="K4593" s="13" t="n">
        <v>60</v>
      </c>
      <c r="L4593" s="6" t="n">
        <f aca="false">H4593*K4593</f>
        <v>60</v>
      </c>
      <c r="M4593" s="14" t="s">
        <v>410</v>
      </c>
    </row>
    <row r="4594" customFormat="false" ht="15" hidden="false" customHeight="false" outlineLevel="0" collapsed="false">
      <c r="A4594" s="4" t="s">
        <v>203</v>
      </c>
      <c r="B4594" s="5" t="s">
        <v>204</v>
      </c>
      <c r="C4594" s="5" t="s">
        <v>205</v>
      </c>
      <c r="D4594" s="4" t="s">
        <v>16</v>
      </c>
      <c r="E4594" s="4" t="s">
        <v>5261</v>
      </c>
      <c r="F4594" s="4" t="s">
        <v>406</v>
      </c>
      <c r="G4594" s="4" t="s">
        <v>5262</v>
      </c>
      <c r="H4594" s="12" t="n">
        <v>1</v>
      </c>
      <c r="I4594" s="4" t="s">
        <v>408</v>
      </c>
      <c r="J4594" s="4" t="s">
        <v>416</v>
      </c>
      <c r="K4594" s="13" t="n">
        <v>350</v>
      </c>
      <c r="L4594" s="6" t="n">
        <f aca="false">H4594*K4594</f>
        <v>350</v>
      </c>
      <c r="M4594" s="14" t="s">
        <v>410</v>
      </c>
    </row>
    <row r="4595" customFormat="false" ht="15" hidden="false" customHeight="false" outlineLevel="0" collapsed="false">
      <c r="A4595" s="4" t="s">
        <v>203</v>
      </c>
      <c r="B4595" s="5" t="s">
        <v>204</v>
      </c>
      <c r="C4595" s="5" t="s">
        <v>205</v>
      </c>
      <c r="D4595" s="4" t="s">
        <v>16</v>
      </c>
      <c r="E4595" s="4" t="s">
        <v>1677</v>
      </c>
      <c r="F4595" s="4" t="s">
        <v>406</v>
      </c>
      <c r="G4595" s="4" t="s">
        <v>1678</v>
      </c>
      <c r="H4595" s="12" t="n">
        <v>1</v>
      </c>
      <c r="I4595" s="4" t="s">
        <v>408</v>
      </c>
      <c r="J4595" s="4" t="s">
        <v>409</v>
      </c>
      <c r="K4595" s="13" t="n">
        <v>250</v>
      </c>
      <c r="L4595" s="6" t="n">
        <f aca="false">H4595*K4595</f>
        <v>250</v>
      </c>
      <c r="M4595" s="14" t="s">
        <v>410</v>
      </c>
    </row>
    <row r="4596" customFormat="false" ht="15" hidden="false" customHeight="false" outlineLevel="0" collapsed="false">
      <c r="A4596" s="4" t="s">
        <v>203</v>
      </c>
      <c r="B4596" s="5" t="s">
        <v>204</v>
      </c>
      <c r="C4596" s="5" t="s">
        <v>205</v>
      </c>
      <c r="D4596" s="4" t="s">
        <v>16</v>
      </c>
      <c r="E4596" s="4" t="s">
        <v>2109</v>
      </c>
      <c r="F4596" s="4" t="s">
        <v>406</v>
      </c>
      <c r="G4596" s="4" t="s">
        <v>2110</v>
      </c>
      <c r="H4596" s="12" t="n">
        <v>1</v>
      </c>
      <c r="I4596" s="4" t="s">
        <v>408</v>
      </c>
      <c r="J4596" s="4" t="s">
        <v>409</v>
      </c>
      <c r="K4596" s="13" t="n">
        <v>80</v>
      </c>
      <c r="L4596" s="6" t="n">
        <f aca="false">H4596*K4596</f>
        <v>80</v>
      </c>
      <c r="M4596" s="14" t="s">
        <v>410</v>
      </c>
    </row>
    <row r="4597" customFormat="false" ht="15" hidden="false" customHeight="false" outlineLevel="0" collapsed="false">
      <c r="A4597" s="4" t="s">
        <v>203</v>
      </c>
      <c r="B4597" s="5" t="s">
        <v>204</v>
      </c>
      <c r="C4597" s="5" t="s">
        <v>205</v>
      </c>
      <c r="D4597" s="4" t="s">
        <v>16</v>
      </c>
      <c r="E4597" s="4" t="s">
        <v>2097</v>
      </c>
      <c r="F4597" s="4" t="s">
        <v>406</v>
      </c>
      <c r="G4597" s="4" t="s">
        <v>2098</v>
      </c>
      <c r="H4597" s="12" t="n">
        <v>1</v>
      </c>
      <c r="I4597" s="4" t="s">
        <v>474</v>
      </c>
      <c r="J4597" s="4" t="s">
        <v>416</v>
      </c>
      <c r="K4597" s="13" t="n">
        <v>1800</v>
      </c>
      <c r="L4597" s="6" t="n">
        <f aca="false">H4597*K4597</f>
        <v>1800</v>
      </c>
      <c r="M4597" s="14" t="s">
        <v>410</v>
      </c>
    </row>
    <row r="4598" customFormat="false" ht="15" hidden="false" customHeight="false" outlineLevel="0" collapsed="false">
      <c r="A4598" s="4" t="s">
        <v>203</v>
      </c>
      <c r="B4598" s="5" t="s">
        <v>204</v>
      </c>
      <c r="C4598" s="5" t="s">
        <v>205</v>
      </c>
      <c r="D4598" s="4" t="s">
        <v>16</v>
      </c>
      <c r="E4598" s="4" t="s">
        <v>2107</v>
      </c>
      <c r="F4598" s="4" t="s">
        <v>406</v>
      </c>
      <c r="G4598" s="4" t="s">
        <v>2108</v>
      </c>
      <c r="H4598" s="12" t="n">
        <v>1</v>
      </c>
      <c r="I4598" s="4" t="s">
        <v>408</v>
      </c>
      <c r="J4598" s="4" t="s">
        <v>409</v>
      </c>
      <c r="K4598" s="13" t="n">
        <v>120</v>
      </c>
      <c r="L4598" s="6" t="n">
        <f aca="false">H4598*K4598</f>
        <v>120</v>
      </c>
      <c r="M4598" s="14" t="s">
        <v>410</v>
      </c>
    </row>
    <row r="4599" customFormat="false" ht="15" hidden="false" customHeight="false" outlineLevel="0" collapsed="false">
      <c r="A4599" s="4" t="s">
        <v>203</v>
      </c>
      <c r="B4599" s="5" t="s">
        <v>204</v>
      </c>
      <c r="C4599" s="5" t="s">
        <v>205</v>
      </c>
      <c r="D4599" s="4" t="s">
        <v>16</v>
      </c>
      <c r="E4599" s="4" t="s">
        <v>2105</v>
      </c>
      <c r="F4599" s="4" t="s">
        <v>406</v>
      </c>
      <c r="G4599" s="4" t="s">
        <v>2106</v>
      </c>
      <c r="H4599" s="12" t="n">
        <v>1</v>
      </c>
      <c r="I4599" s="4" t="s">
        <v>408</v>
      </c>
      <c r="J4599" s="4" t="s">
        <v>409</v>
      </c>
      <c r="K4599" s="13" t="n">
        <v>80</v>
      </c>
      <c r="L4599" s="6" t="n">
        <f aca="false">H4599*K4599</f>
        <v>80</v>
      </c>
      <c r="M4599" s="14" t="s">
        <v>410</v>
      </c>
    </row>
    <row r="4600" customFormat="false" ht="15" hidden="false" customHeight="false" outlineLevel="0" collapsed="false">
      <c r="A4600" s="4" t="s">
        <v>203</v>
      </c>
      <c r="B4600" s="5" t="s">
        <v>204</v>
      </c>
      <c r="C4600" s="5" t="s">
        <v>205</v>
      </c>
      <c r="D4600" s="4" t="s">
        <v>16</v>
      </c>
      <c r="E4600" s="4" t="s">
        <v>2111</v>
      </c>
      <c r="F4600" s="4" t="s">
        <v>406</v>
      </c>
      <c r="G4600" s="4" t="s">
        <v>2112</v>
      </c>
      <c r="H4600" s="12" t="n">
        <v>1</v>
      </c>
      <c r="I4600" s="4" t="s">
        <v>408</v>
      </c>
      <c r="J4600" s="4" t="s">
        <v>409</v>
      </c>
      <c r="K4600" s="13" t="n">
        <v>350</v>
      </c>
      <c r="L4600" s="6" t="n">
        <f aca="false">H4600*K4600</f>
        <v>350</v>
      </c>
      <c r="M4600" s="14" t="s">
        <v>410</v>
      </c>
    </row>
    <row r="4601" customFormat="false" ht="15" hidden="false" customHeight="false" outlineLevel="0" collapsed="false">
      <c r="A4601" s="4" t="s">
        <v>203</v>
      </c>
      <c r="B4601" s="5" t="s">
        <v>204</v>
      </c>
      <c r="C4601" s="5" t="s">
        <v>205</v>
      </c>
      <c r="D4601" s="4" t="s">
        <v>16</v>
      </c>
      <c r="E4601" s="4" t="s">
        <v>2103</v>
      </c>
      <c r="F4601" s="4" t="s">
        <v>406</v>
      </c>
      <c r="G4601" s="4" t="s">
        <v>2104</v>
      </c>
      <c r="H4601" s="12" t="n">
        <v>1</v>
      </c>
      <c r="I4601" s="4" t="s">
        <v>408</v>
      </c>
      <c r="J4601" s="4" t="s">
        <v>409</v>
      </c>
      <c r="K4601" s="13" t="n">
        <v>150</v>
      </c>
      <c r="L4601" s="6" t="n">
        <f aca="false">H4601*K4601</f>
        <v>150</v>
      </c>
      <c r="M4601" s="14" t="s">
        <v>410</v>
      </c>
    </row>
    <row r="4602" customFormat="false" ht="15" hidden="false" customHeight="false" outlineLevel="0" collapsed="false">
      <c r="A4602" s="4" t="s">
        <v>203</v>
      </c>
      <c r="B4602" s="5" t="s">
        <v>204</v>
      </c>
      <c r="C4602" s="5" t="s">
        <v>205</v>
      </c>
      <c r="D4602" s="4" t="s">
        <v>16</v>
      </c>
      <c r="E4602" s="4" t="s">
        <v>5263</v>
      </c>
      <c r="F4602" s="4" t="s">
        <v>406</v>
      </c>
      <c r="G4602" s="4" t="s">
        <v>5264</v>
      </c>
      <c r="H4602" s="12" t="n">
        <v>1</v>
      </c>
      <c r="I4602" s="4" t="s">
        <v>474</v>
      </c>
      <c r="J4602" s="4" t="s">
        <v>416</v>
      </c>
      <c r="K4602" s="13" t="n">
        <v>1800</v>
      </c>
      <c r="L4602" s="6" t="n">
        <f aca="false">H4602*K4602</f>
        <v>1800</v>
      </c>
      <c r="M4602" s="14" t="s">
        <v>410</v>
      </c>
    </row>
    <row r="4603" customFormat="false" ht="15" hidden="false" customHeight="false" outlineLevel="0" collapsed="false">
      <c r="A4603" s="4" t="s">
        <v>203</v>
      </c>
      <c r="B4603" s="5" t="s">
        <v>204</v>
      </c>
      <c r="C4603" s="5" t="s">
        <v>205</v>
      </c>
      <c r="D4603" s="4" t="s">
        <v>16</v>
      </c>
      <c r="E4603" s="4" t="s">
        <v>5265</v>
      </c>
      <c r="F4603" s="4" t="s">
        <v>406</v>
      </c>
      <c r="G4603" s="4" t="s">
        <v>5266</v>
      </c>
      <c r="H4603" s="12" t="n">
        <v>1</v>
      </c>
      <c r="I4603" s="4" t="s">
        <v>408</v>
      </c>
      <c r="J4603" s="4" t="s">
        <v>416</v>
      </c>
      <c r="K4603" s="13" t="n">
        <v>8500</v>
      </c>
      <c r="L4603" s="6" t="n">
        <f aca="false">H4603*K4603</f>
        <v>8500</v>
      </c>
      <c r="M4603" s="14" t="s">
        <v>410</v>
      </c>
    </row>
    <row r="4604" customFormat="false" ht="15" hidden="false" customHeight="false" outlineLevel="0" collapsed="false">
      <c r="A4604" s="4" t="s">
        <v>203</v>
      </c>
      <c r="B4604" s="5" t="s">
        <v>204</v>
      </c>
      <c r="C4604" s="5" t="s">
        <v>205</v>
      </c>
      <c r="D4604" s="4" t="s">
        <v>16</v>
      </c>
      <c r="E4604" s="4" t="s">
        <v>5267</v>
      </c>
      <c r="F4604" s="4" t="s">
        <v>406</v>
      </c>
      <c r="G4604" s="4" t="s">
        <v>5268</v>
      </c>
      <c r="H4604" s="12" t="n">
        <v>1</v>
      </c>
      <c r="I4604" s="4" t="s">
        <v>408</v>
      </c>
      <c r="J4604" s="4" t="s">
        <v>416</v>
      </c>
      <c r="K4604" s="13" t="n">
        <v>18000</v>
      </c>
      <c r="L4604" s="6" t="n">
        <f aca="false">H4604*K4604</f>
        <v>18000</v>
      </c>
      <c r="M4604" s="4" t="s">
        <v>371</v>
      </c>
    </row>
    <row r="4605" customFormat="false" ht="15" hidden="false" customHeight="false" outlineLevel="0" collapsed="false">
      <c r="A4605" s="4" t="s">
        <v>203</v>
      </c>
      <c r="B4605" s="5" t="s">
        <v>204</v>
      </c>
      <c r="C4605" s="5" t="s">
        <v>205</v>
      </c>
      <c r="D4605" s="4" t="s">
        <v>16</v>
      </c>
      <c r="E4605" s="4" t="s">
        <v>5269</v>
      </c>
      <c r="F4605" s="4" t="s">
        <v>406</v>
      </c>
      <c r="G4605" s="4" t="s">
        <v>5270</v>
      </c>
      <c r="H4605" s="12" t="n">
        <v>1</v>
      </c>
      <c r="I4605" s="4" t="s">
        <v>408</v>
      </c>
      <c r="J4605" s="4" t="s">
        <v>409</v>
      </c>
      <c r="K4605" s="13" t="n">
        <v>3500</v>
      </c>
      <c r="L4605" s="6" t="n">
        <f aca="false">H4605*K4605</f>
        <v>3500</v>
      </c>
      <c r="M4605" s="14" t="s">
        <v>410</v>
      </c>
    </row>
    <row r="4606" customFormat="false" ht="15" hidden="false" customHeight="false" outlineLevel="0" collapsed="false">
      <c r="A4606" s="4" t="s">
        <v>203</v>
      </c>
      <c r="B4606" s="5" t="s">
        <v>204</v>
      </c>
      <c r="C4606" s="5" t="s">
        <v>205</v>
      </c>
      <c r="D4606" s="4" t="s">
        <v>16</v>
      </c>
      <c r="E4606" s="4" t="s">
        <v>5271</v>
      </c>
      <c r="F4606" s="4" t="s">
        <v>406</v>
      </c>
      <c r="G4606" s="4" t="s">
        <v>5272</v>
      </c>
      <c r="H4606" s="12" t="n">
        <v>1</v>
      </c>
      <c r="I4606" s="4" t="s">
        <v>408</v>
      </c>
      <c r="J4606" s="4" t="s">
        <v>409</v>
      </c>
      <c r="K4606" s="13" t="n">
        <v>2500</v>
      </c>
      <c r="L4606" s="6" t="n">
        <f aca="false">H4606*K4606</f>
        <v>2500</v>
      </c>
      <c r="M4606" s="4" t="s">
        <v>371</v>
      </c>
    </row>
    <row r="4607" customFormat="false" ht="15" hidden="false" customHeight="false" outlineLevel="0" collapsed="false">
      <c r="A4607" s="4" t="s">
        <v>203</v>
      </c>
      <c r="B4607" s="5" t="s">
        <v>204</v>
      </c>
      <c r="C4607" s="5" t="s">
        <v>205</v>
      </c>
      <c r="D4607" s="4" t="s">
        <v>16</v>
      </c>
      <c r="E4607" s="4" t="s">
        <v>5273</v>
      </c>
      <c r="F4607" s="4" t="s">
        <v>406</v>
      </c>
      <c r="G4607" s="4" t="s">
        <v>5274</v>
      </c>
      <c r="H4607" s="12" t="n">
        <v>1</v>
      </c>
      <c r="I4607" s="4" t="s">
        <v>408</v>
      </c>
      <c r="J4607" s="4" t="s">
        <v>409</v>
      </c>
      <c r="K4607" s="13" t="n">
        <v>85000</v>
      </c>
      <c r="L4607" s="6" t="n">
        <f aca="false">H4607*K4607</f>
        <v>85000</v>
      </c>
      <c r="M4607" s="14" t="s">
        <v>410</v>
      </c>
    </row>
    <row r="4608" customFormat="false" ht="15" hidden="false" customHeight="false" outlineLevel="0" collapsed="false">
      <c r="A4608" s="4" t="s">
        <v>203</v>
      </c>
      <c r="B4608" s="5" t="s">
        <v>204</v>
      </c>
      <c r="C4608" s="5" t="s">
        <v>205</v>
      </c>
      <c r="D4608" s="4" t="s">
        <v>16</v>
      </c>
      <c r="E4608" s="4" t="s">
        <v>2113</v>
      </c>
      <c r="F4608" s="4" t="s">
        <v>406</v>
      </c>
      <c r="G4608" s="4" t="s">
        <v>2114</v>
      </c>
      <c r="H4608" s="12" t="n">
        <v>1</v>
      </c>
      <c r="I4608" s="4" t="s">
        <v>408</v>
      </c>
      <c r="J4608" s="4" t="s">
        <v>409</v>
      </c>
      <c r="K4608" s="13" t="n">
        <v>18000</v>
      </c>
      <c r="L4608" s="6" t="n">
        <f aca="false">H4608*K4608</f>
        <v>18000</v>
      </c>
      <c r="M4608" s="14" t="s">
        <v>410</v>
      </c>
    </row>
    <row r="4609" customFormat="false" ht="15" hidden="false" customHeight="false" outlineLevel="0" collapsed="false">
      <c r="A4609" s="4" t="s">
        <v>203</v>
      </c>
      <c r="B4609" s="5" t="s">
        <v>204</v>
      </c>
      <c r="C4609" s="5" t="s">
        <v>205</v>
      </c>
      <c r="D4609" s="4" t="s">
        <v>16</v>
      </c>
      <c r="E4609" s="4" t="s">
        <v>5275</v>
      </c>
      <c r="F4609" s="4" t="s">
        <v>406</v>
      </c>
      <c r="G4609" s="4" t="s">
        <v>2100</v>
      </c>
      <c r="H4609" s="12" t="n">
        <v>1</v>
      </c>
      <c r="I4609" s="4" t="s">
        <v>408</v>
      </c>
      <c r="J4609" s="4" t="s">
        <v>409</v>
      </c>
      <c r="K4609" s="13" t="n">
        <v>450</v>
      </c>
      <c r="L4609" s="6" t="n">
        <f aca="false">H4609*K4609</f>
        <v>450</v>
      </c>
      <c r="M4609" s="14" t="s">
        <v>410</v>
      </c>
    </row>
    <row r="4610" customFormat="false" ht="15" hidden="false" customHeight="false" outlineLevel="0" collapsed="false">
      <c r="A4610" s="4" t="s">
        <v>203</v>
      </c>
      <c r="B4610" s="5" t="s">
        <v>204</v>
      </c>
      <c r="C4610" s="5" t="s">
        <v>205</v>
      </c>
      <c r="D4610" s="4" t="s">
        <v>16</v>
      </c>
      <c r="E4610" s="4" t="s">
        <v>5276</v>
      </c>
      <c r="F4610" s="4" t="s">
        <v>406</v>
      </c>
      <c r="G4610" s="4" t="s">
        <v>1995</v>
      </c>
      <c r="H4610" s="12" t="n">
        <v>1</v>
      </c>
      <c r="I4610" s="4" t="s">
        <v>408</v>
      </c>
      <c r="J4610" s="4" t="s">
        <v>409</v>
      </c>
      <c r="K4610" s="13" t="n">
        <v>850</v>
      </c>
      <c r="L4610" s="6" t="n">
        <f aca="false">H4610*K4610</f>
        <v>850</v>
      </c>
      <c r="M4610" s="14" t="s">
        <v>410</v>
      </c>
    </row>
    <row r="4611" customFormat="false" ht="15" hidden="false" customHeight="false" outlineLevel="0" collapsed="false">
      <c r="A4611" s="4" t="s">
        <v>203</v>
      </c>
      <c r="B4611" s="5" t="s">
        <v>204</v>
      </c>
      <c r="C4611" s="5" t="s">
        <v>205</v>
      </c>
      <c r="D4611" s="4" t="s">
        <v>16</v>
      </c>
      <c r="E4611" s="4" t="s">
        <v>5277</v>
      </c>
      <c r="F4611" s="4" t="s">
        <v>406</v>
      </c>
      <c r="G4611" s="4" t="s">
        <v>5278</v>
      </c>
      <c r="H4611" s="12" t="n">
        <v>1</v>
      </c>
      <c r="I4611" s="4" t="s">
        <v>408</v>
      </c>
      <c r="J4611" s="4" t="s">
        <v>416</v>
      </c>
      <c r="K4611" s="13" t="n">
        <v>850</v>
      </c>
      <c r="L4611" s="6" t="n">
        <f aca="false">H4611*K4611</f>
        <v>850</v>
      </c>
      <c r="M4611" s="4" t="s">
        <v>371</v>
      </c>
    </row>
    <row r="4612" customFormat="false" ht="15" hidden="false" customHeight="false" outlineLevel="0" collapsed="false">
      <c r="A4612" s="4" t="s">
        <v>203</v>
      </c>
      <c r="B4612" s="5" t="s">
        <v>204</v>
      </c>
      <c r="C4612" s="5" t="s">
        <v>205</v>
      </c>
      <c r="D4612" s="4" t="s">
        <v>16</v>
      </c>
      <c r="E4612" s="4" t="s">
        <v>5279</v>
      </c>
      <c r="F4612" s="4" t="s">
        <v>406</v>
      </c>
      <c r="G4612" s="4" t="s">
        <v>5280</v>
      </c>
      <c r="H4612" s="12" t="n">
        <v>1</v>
      </c>
      <c r="I4612" s="4" t="s">
        <v>408</v>
      </c>
      <c r="J4612" s="4" t="s">
        <v>409</v>
      </c>
      <c r="K4612" s="13" t="n">
        <v>850</v>
      </c>
      <c r="L4612" s="6" t="n">
        <f aca="false">H4612*K4612</f>
        <v>850</v>
      </c>
      <c r="M4612" s="4" t="s">
        <v>371</v>
      </c>
    </row>
    <row r="4613" customFormat="false" ht="15" hidden="false" customHeight="false" outlineLevel="0" collapsed="false">
      <c r="A4613" s="4" t="s">
        <v>203</v>
      </c>
      <c r="B4613" s="5" t="s">
        <v>204</v>
      </c>
      <c r="C4613" s="5" t="s">
        <v>205</v>
      </c>
      <c r="D4613" s="4" t="s">
        <v>16</v>
      </c>
      <c r="E4613" s="4" t="s">
        <v>1974</v>
      </c>
      <c r="F4613" s="4" t="s">
        <v>406</v>
      </c>
      <c r="G4613" s="4" t="s">
        <v>1975</v>
      </c>
      <c r="H4613" s="12" t="n">
        <v>1</v>
      </c>
      <c r="I4613" s="4" t="s">
        <v>408</v>
      </c>
      <c r="J4613" s="4" t="s">
        <v>475</v>
      </c>
      <c r="K4613" s="13" t="n">
        <v>1800</v>
      </c>
      <c r="L4613" s="6" t="n">
        <f aca="false">H4613*K4613</f>
        <v>1800</v>
      </c>
      <c r="M4613" s="14" t="s">
        <v>410</v>
      </c>
    </row>
    <row r="4614" customFormat="false" ht="15" hidden="false" customHeight="false" outlineLevel="0" collapsed="false">
      <c r="A4614" s="4" t="s">
        <v>203</v>
      </c>
      <c r="B4614" s="5" t="s">
        <v>204</v>
      </c>
      <c r="C4614" s="5" t="s">
        <v>205</v>
      </c>
      <c r="D4614" s="4" t="s">
        <v>16</v>
      </c>
      <c r="E4614" s="4" t="s">
        <v>5281</v>
      </c>
      <c r="F4614" s="4" t="s">
        <v>406</v>
      </c>
      <c r="G4614" s="4" t="s">
        <v>5282</v>
      </c>
      <c r="H4614" s="12" t="n">
        <v>1</v>
      </c>
      <c r="I4614" s="4" t="s">
        <v>408</v>
      </c>
      <c r="J4614" s="4" t="s">
        <v>409</v>
      </c>
      <c r="K4614" s="13" t="n">
        <v>2500</v>
      </c>
      <c r="L4614" s="6" t="n">
        <f aca="false">H4614*K4614</f>
        <v>2500</v>
      </c>
      <c r="M4614" s="14" t="s">
        <v>410</v>
      </c>
    </row>
    <row r="4615" customFormat="false" ht="15" hidden="false" customHeight="false" outlineLevel="0" collapsed="false">
      <c r="A4615" s="4" t="s">
        <v>203</v>
      </c>
      <c r="B4615" s="5" t="s">
        <v>204</v>
      </c>
      <c r="C4615" s="5" t="s">
        <v>205</v>
      </c>
      <c r="D4615" s="4" t="s">
        <v>16</v>
      </c>
      <c r="E4615" s="4" t="s">
        <v>1982</v>
      </c>
      <c r="F4615" s="4" t="s">
        <v>406</v>
      </c>
      <c r="G4615" s="4" t="s">
        <v>1983</v>
      </c>
      <c r="H4615" s="12" t="n">
        <v>1</v>
      </c>
      <c r="I4615" s="4" t="s">
        <v>408</v>
      </c>
      <c r="J4615" s="4" t="s">
        <v>409</v>
      </c>
      <c r="K4615" s="13" t="n">
        <v>1800</v>
      </c>
      <c r="L4615" s="6" t="n">
        <f aca="false">H4615*K4615</f>
        <v>1800</v>
      </c>
      <c r="M4615" s="14" t="s">
        <v>410</v>
      </c>
    </row>
    <row r="4616" customFormat="false" ht="15" hidden="false" customHeight="false" outlineLevel="0" collapsed="false">
      <c r="A4616" s="4" t="s">
        <v>203</v>
      </c>
      <c r="B4616" s="5" t="s">
        <v>204</v>
      </c>
      <c r="C4616" s="5" t="s">
        <v>205</v>
      </c>
      <c r="D4616" s="4" t="s">
        <v>16</v>
      </c>
      <c r="E4616" s="4" t="s">
        <v>5283</v>
      </c>
      <c r="F4616" s="4" t="s">
        <v>406</v>
      </c>
      <c r="G4616" s="4" t="s">
        <v>5284</v>
      </c>
      <c r="H4616" s="12" t="n">
        <v>1</v>
      </c>
      <c r="I4616" s="4" t="s">
        <v>408</v>
      </c>
      <c r="J4616" s="4" t="s">
        <v>416</v>
      </c>
      <c r="K4616" s="13" t="n">
        <v>1800</v>
      </c>
      <c r="L4616" s="6" t="n">
        <f aca="false">H4616*K4616</f>
        <v>1800</v>
      </c>
      <c r="M4616" s="14" t="s">
        <v>410</v>
      </c>
    </row>
    <row r="4617" customFormat="false" ht="15" hidden="false" customHeight="false" outlineLevel="0" collapsed="false">
      <c r="A4617" s="4" t="s">
        <v>203</v>
      </c>
      <c r="B4617" s="5" t="s">
        <v>204</v>
      </c>
      <c r="C4617" s="5" t="s">
        <v>205</v>
      </c>
      <c r="D4617" s="4" t="s">
        <v>16</v>
      </c>
      <c r="E4617" s="4" t="s">
        <v>5285</v>
      </c>
      <c r="F4617" s="4" t="s">
        <v>406</v>
      </c>
      <c r="G4617" s="4" t="s">
        <v>5286</v>
      </c>
      <c r="H4617" s="12" t="n">
        <v>1</v>
      </c>
      <c r="I4617" s="4" t="s">
        <v>408</v>
      </c>
      <c r="J4617" s="4" t="s">
        <v>416</v>
      </c>
      <c r="K4617" s="13" t="n">
        <v>8500</v>
      </c>
      <c r="L4617" s="6" t="n">
        <f aca="false">H4617*K4617</f>
        <v>8500</v>
      </c>
      <c r="M4617" s="4" t="s">
        <v>371</v>
      </c>
    </row>
    <row r="4618" customFormat="false" ht="15" hidden="false" customHeight="false" outlineLevel="0" collapsed="false">
      <c r="A4618" s="4" t="s">
        <v>203</v>
      </c>
      <c r="B4618" s="5" t="s">
        <v>204</v>
      </c>
      <c r="C4618" s="5" t="s">
        <v>205</v>
      </c>
      <c r="D4618" s="4" t="s">
        <v>16</v>
      </c>
      <c r="E4618" s="4" t="s">
        <v>5287</v>
      </c>
      <c r="F4618" s="4" t="s">
        <v>406</v>
      </c>
      <c r="G4618" s="4" t="s">
        <v>5288</v>
      </c>
      <c r="H4618" s="12" t="n">
        <v>1</v>
      </c>
      <c r="I4618" s="4" t="s">
        <v>408</v>
      </c>
      <c r="J4618" s="4" t="s">
        <v>409</v>
      </c>
      <c r="K4618" s="13" t="n">
        <v>650</v>
      </c>
      <c r="L4618" s="6" t="n">
        <f aca="false">H4618*K4618</f>
        <v>650</v>
      </c>
      <c r="M4618" s="14" t="s">
        <v>410</v>
      </c>
    </row>
    <row r="4619" customFormat="false" ht="15" hidden="false" customHeight="false" outlineLevel="0" collapsed="false">
      <c r="A4619" s="4" t="s">
        <v>203</v>
      </c>
      <c r="B4619" s="5" t="s">
        <v>204</v>
      </c>
      <c r="C4619" s="5" t="s">
        <v>205</v>
      </c>
      <c r="D4619" s="4" t="s">
        <v>16</v>
      </c>
      <c r="E4619" s="4" t="s">
        <v>5289</v>
      </c>
      <c r="F4619" s="4" t="s">
        <v>406</v>
      </c>
      <c r="G4619" s="4" t="s">
        <v>5290</v>
      </c>
      <c r="H4619" s="12" t="n">
        <v>1</v>
      </c>
      <c r="I4619" s="4" t="s">
        <v>408</v>
      </c>
      <c r="J4619" s="4" t="s">
        <v>409</v>
      </c>
      <c r="K4619" s="13" t="n">
        <v>8500</v>
      </c>
      <c r="L4619" s="6" t="n">
        <f aca="false">H4619*K4619</f>
        <v>8500</v>
      </c>
      <c r="M4619" s="14" t="s">
        <v>410</v>
      </c>
    </row>
    <row r="4620" customFormat="false" ht="15" hidden="false" customHeight="false" outlineLevel="0" collapsed="false">
      <c r="A4620" s="4" t="s">
        <v>203</v>
      </c>
      <c r="B4620" s="5" t="s">
        <v>204</v>
      </c>
      <c r="C4620" s="5" t="s">
        <v>205</v>
      </c>
      <c r="D4620" s="4" t="s">
        <v>16</v>
      </c>
      <c r="E4620" s="4" t="s">
        <v>1980</v>
      </c>
      <c r="F4620" s="4" t="s">
        <v>406</v>
      </c>
      <c r="G4620" s="4" t="s">
        <v>1981</v>
      </c>
      <c r="H4620" s="12" t="n">
        <v>1</v>
      </c>
      <c r="I4620" s="4" t="s">
        <v>408</v>
      </c>
      <c r="J4620" s="4" t="s">
        <v>409</v>
      </c>
      <c r="K4620" s="13" t="n">
        <v>8500</v>
      </c>
      <c r="L4620" s="6" t="n">
        <f aca="false">H4620*K4620</f>
        <v>8500</v>
      </c>
      <c r="M4620" s="14" t="s">
        <v>410</v>
      </c>
    </row>
    <row r="4621" customFormat="false" ht="15" hidden="false" customHeight="false" outlineLevel="0" collapsed="false">
      <c r="A4621" s="4" t="s">
        <v>203</v>
      </c>
      <c r="B4621" s="5" t="s">
        <v>204</v>
      </c>
      <c r="C4621" s="5" t="s">
        <v>205</v>
      </c>
      <c r="D4621" s="4" t="s">
        <v>16</v>
      </c>
      <c r="E4621" s="4" t="s">
        <v>1385</v>
      </c>
      <c r="F4621" s="4" t="s">
        <v>406</v>
      </c>
      <c r="G4621" s="4" t="s">
        <v>1386</v>
      </c>
      <c r="H4621" s="12" t="n">
        <v>1</v>
      </c>
      <c r="I4621" s="4" t="s">
        <v>408</v>
      </c>
      <c r="J4621" s="4" t="s">
        <v>409</v>
      </c>
      <c r="K4621" s="13" t="n">
        <v>8500</v>
      </c>
      <c r="L4621" s="6" t="n">
        <f aca="false">H4621*K4621</f>
        <v>8500</v>
      </c>
      <c r="M4621" s="14" t="s">
        <v>410</v>
      </c>
    </row>
    <row r="4622" customFormat="false" ht="15" hidden="false" customHeight="false" outlineLevel="0" collapsed="false">
      <c r="A4622" s="4" t="s">
        <v>203</v>
      </c>
      <c r="B4622" s="5" t="s">
        <v>204</v>
      </c>
      <c r="C4622" s="5" t="s">
        <v>205</v>
      </c>
      <c r="D4622" s="4" t="s">
        <v>16</v>
      </c>
      <c r="E4622" s="4" t="s">
        <v>5291</v>
      </c>
      <c r="F4622" s="4" t="s">
        <v>406</v>
      </c>
      <c r="G4622" s="4" t="s">
        <v>5292</v>
      </c>
      <c r="H4622" s="12" t="n">
        <v>1</v>
      </c>
      <c r="I4622" s="4" t="s">
        <v>408</v>
      </c>
      <c r="J4622" s="4" t="s">
        <v>409</v>
      </c>
      <c r="K4622" s="13" t="n">
        <v>1200</v>
      </c>
      <c r="L4622" s="6" t="n">
        <f aca="false">H4622*K4622</f>
        <v>1200</v>
      </c>
      <c r="M4622" s="14" t="s">
        <v>410</v>
      </c>
    </row>
    <row r="4623" customFormat="false" ht="15" hidden="false" customHeight="false" outlineLevel="0" collapsed="false">
      <c r="A4623" s="4" t="s">
        <v>203</v>
      </c>
      <c r="B4623" s="5" t="s">
        <v>204</v>
      </c>
      <c r="C4623" s="5" t="s">
        <v>205</v>
      </c>
      <c r="D4623" s="4" t="s">
        <v>16</v>
      </c>
      <c r="E4623" s="4" t="s">
        <v>1966</v>
      </c>
      <c r="F4623" s="4" t="s">
        <v>406</v>
      </c>
      <c r="G4623" s="4" t="s">
        <v>1967</v>
      </c>
      <c r="H4623" s="12" t="n">
        <v>1</v>
      </c>
      <c r="I4623" s="4" t="s">
        <v>408</v>
      </c>
      <c r="J4623" s="4" t="s">
        <v>409</v>
      </c>
      <c r="K4623" s="13" t="n">
        <v>650</v>
      </c>
      <c r="L4623" s="6" t="n">
        <f aca="false">H4623*K4623</f>
        <v>650</v>
      </c>
      <c r="M4623" s="14" t="s">
        <v>410</v>
      </c>
    </row>
    <row r="4624" customFormat="false" ht="15" hidden="false" customHeight="false" outlineLevel="0" collapsed="false">
      <c r="A4624" s="4" t="s">
        <v>203</v>
      </c>
      <c r="B4624" s="5" t="s">
        <v>204</v>
      </c>
      <c r="C4624" s="5" t="s">
        <v>205</v>
      </c>
      <c r="D4624" s="4" t="s">
        <v>16</v>
      </c>
      <c r="E4624" s="4" t="s">
        <v>1998</v>
      </c>
      <c r="F4624" s="4" t="s">
        <v>406</v>
      </c>
      <c r="G4624" s="4" t="s">
        <v>1999</v>
      </c>
      <c r="H4624" s="12" t="n">
        <v>1</v>
      </c>
      <c r="I4624" s="4" t="s">
        <v>408</v>
      </c>
      <c r="J4624" s="4" t="s">
        <v>409</v>
      </c>
      <c r="K4624" s="13" t="n">
        <v>4500</v>
      </c>
      <c r="L4624" s="6" t="n">
        <f aca="false">H4624*K4624</f>
        <v>4500</v>
      </c>
      <c r="M4624" s="14" t="s">
        <v>410</v>
      </c>
    </row>
    <row r="4625" customFormat="false" ht="15" hidden="false" customHeight="false" outlineLevel="0" collapsed="false">
      <c r="A4625" s="4" t="s">
        <v>203</v>
      </c>
      <c r="B4625" s="5" t="s">
        <v>204</v>
      </c>
      <c r="C4625" s="5" t="s">
        <v>205</v>
      </c>
      <c r="D4625" s="4" t="s">
        <v>16</v>
      </c>
      <c r="E4625" s="4" t="s">
        <v>5293</v>
      </c>
      <c r="F4625" s="4" t="s">
        <v>406</v>
      </c>
      <c r="G4625" s="4" t="s">
        <v>5294</v>
      </c>
      <c r="H4625" s="12" t="n">
        <v>1</v>
      </c>
      <c r="I4625" s="4" t="s">
        <v>408</v>
      </c>
      <c r="J4625" s="4" t="s">
        <v>416</v>
      </c>
      <c r="K4625" s="13" t="n">
        <v>8500</v>
      </c>
      <c r="L4625" s="6" t="n">
        <f aca="false">H4625*K4625</f>
        <v>8500</v>
      </c>
      <c r="M4625" s="4" t="s">
        <v>371</v>
      </c>
    </row>
    <row r="4626" customFormat="false" ht="15" hidden="false" customHeight="false" outlineLevel="0" collapsed="false">
      <c r="A4626" s="4" t="s">
        <v>203</v>
      </c>
      <c r="B4626" s="5" t="s">
        <v>204</v>
      </c>
      <c r="C4626" s="5" t="s">
        <v>205</v>
      </c>
      <c r="D4626" s="4" t="s">
        <v>16</v>
      </c>
      <c r="E4626" s="4" t="s">
        <v>467</v>
      </c>
      <c r="F4626" s="4" t="s">
        <v>406</v>
      </c>
      <c r="G4626" s="4" t="s">
        <v>468</v>
      </c>
      <c r="H4626" s="12" t="n">
        <v>1</v>
      </c>
      <c r="I4626" s="4" t="s">
        <v>408</v>
      </c>
      <c r="J4626" s="4" t="s">
        <v>409</v>
      </c>
      <c r="K4626" s="13" t="n">
        <v>250</v>
      </c>
      <c r="L4626" s="6" t="n">
        <f aca="false">H4626*K4626</f>
        <v>250</v>
      </c>
      <c r="M4626" s="14" t="s">
        <v>410</v>
      </c>
    </row>
    <row r="4627" customFormat="false" ht="15" hidden="false" customHeight="false" outlineLevel="0" collapsed="false">
      <c r="A4627" s="4" t="s">
        <v>203</v>
      </c>
      <c r="B4627" s="5" t="s">
        <v>204</v>
      </c>
      <c r="C4627" s="5" t="s">
        <v>205</v>
      </c>
      <c r="D4627" s="4" t="s">
        <v>16</v>
      </c>
      <c r="E4627" s="4" t="s">
        <v>1972</v>
      </c>
      <c r="F4627" s="4" t="s">
        <v>406</v>
      </c>
      <c r="G4627" s="4" t="s">
        <v>1973</v>
      </c>
      <c r="H4627" s="12" t="n">
        <v>1</v>
      </c>
      <c r="I4627" s="4" t="s">
        <v>408</v>
      </c>
      <c r="J4627" s="4" t="s">
        <v>409</v>
      </c>
      <c r="K4627" s="13" t="n">
        <v>3500</v>
      </c>
      <c r="L4627" s="6" t="n">
        <f aca="false">H4627*K4627</f>
        <v>3500</v>
      </c>
      <c r="M4627" s="14" t="s">
        <v>410</v>
      </c>
    </row>
    <row r="4628" customFormat="false" ht="15" hidden="false" customHeight="false" outlineLevel="0" collapsed="false">
      <c r="A4628" s="4" t="s">
        <v>203</v>
      </c>
      <c r="B4628" s="5" t="s">
        <v>204</v>
      </c>
      <c r="C4628" s="5" t="s">
        <v>205</v>
      </c>
      <c r="D4628" s="4" t="s">
        <v>16</v>
      </c>
      <c r="E4628" s="4" t="s">
        <v>3583</v>
      </c>
      <c r="F4628" s="4" t="s">
        <v>406</v>
      </c>
      <c r="G4628" s="4" t="s">
        <v>573</v>
      </c>
      <c r="H4628" s="12" t="n">
        <v>1</v>
      </c>
      <c r="I4628" s="4" t="s">
        <v>408</v>
      </c>
      <c r="J4628" s="4" t="s">
        <v>409</v>
      </c>
      <c r="K4628" s="13" t="n">
        <v>2500</v>
      </c>
      <c r="L4628" s="6" t="n">
        <f aca="false">H4628*K4628</f>
        <v>2500</v>
      </c>
      <c r="M4628" s="14" t="s">
        <v>410</v>
      </c>
    </row>
    <row r="4629" customFormat="false" ht="15" hidden="false" customHeight="false" outlineLevel="0" collapsed="false">
      <c r="A4629" s="4" t="s">
        <v>203</v>
      </c>
      <c r="B4629" s="5" t="s">
        <v>204</v>
      </c>
      <c r="C4629" s="5" t="s">
        <v>205</v>
      </c>
      <c r="D4629" s="4" t="s">
        <v>16</v>
      </c>
      <c r="E4629" s="4" t="s">
        <v>1970</v>
      </c>
      <c r="F4629" s="4" t="s">
        <v>406</v>
      </c>
      <c r="G4629" s="4" t="s">
        <v>1971</v>
      </c>
      <c r="H4629" s="12" t="n">
        <v>1</v>
      </c>
      <c r="I4629" s="4" t="s">
        <v>408</v>
      </c>
      <c r="J4629" s="4" t="s">
        <v>409</v>
      </c>
      <c r="K4629" s="13" t="n">
        <v>8500</v>
      </c>
      <c r="L4629" s="6" t="n">
        <f aca="false">H4629*K4629</f>
        <v>8500</v>
      </c>
      <c r="M4629" s="14" t="s">
        <v>410</v>
      </c>
    </row>
    <row r="4630" customFormat="false" ht="15" hidden="false" customHeight="false" outlineLevel="0" collapsed="false">
      <c r="A4630" s="4" t="s">
        <v>203</v>
      </c>
      <c r="B4630" s="5" t="s">
        <v>204</v>
      </c>
      <c r="C4630" s="5" t="s">
        <v>205</v>
      </c>
      <c r="D4630" s="4" t="s">
        <v>16</v>
      </c>
      <c r="E4630" s="4" t="s">
        <v>5295</v>
      </c>
      <c r="F4630" s="4" t="s">
        <v>470</v>
      </c>
      <c r="G4630" s="4" t="s">
        <v>5296</v>
      </c>
      <c r="H4630" s="12" t="n">
        <v>1</v>
      </c>
      <c r="I4630" s="4" t="s">
        <v>408</v>
      </c>
      <c r="J4630" s="4" t="s">
        <v>409</v>
      </c>
      <c r="K4630" s="13" t="n">
        <v>850</v>
      </c>
      <c r="L4630" s="6" t="n">
        <f aca="false">H4630*K4630</f>
        <v>850</v>
      </c>
      <c r="M4630" s="4" t="s">
        <v>371</v>
      </c>
    </row>
    <row r="4631" customFormat="false" ht="15" hidden="false" customHeight="false" outlineLevel="0" collapsed="false">
      <c r="A4631" s="4" t="s">
        <v>203</v>
      </c>
      <c r="B4631" s="5" t="s">
        <v>204</v>
      </c>
      <c r="C4631" s="5" t="s">
        <v>205</v>
      </c>
      <c r="D4631" s="4" t="s">
        <v>16</v>
      </c>
      <c r="E4631" s="4" t="s">
        <v>5297</v>
      </c>
      <c r="F4631" s="4" t="s">
        <v>470</v>
      </c>
      <c r="G4631" s="4" t="s">
        <v>2007</v>
      </c>
      <c r="H4631" s="12" t="n">
        <v>1</v>
      </c>
      <c r="I4631" s="4" t="s">
        <v>408</v>
      </c>
      <c r="J4631" s="4" t="s">
        <v>409</v>
      </c>
      <c r="K4631" s="13" t="n">
        <v>3500</v>
      </c>
      <c r="L4631" s="6" t="n">
        <f aca="false">H4631*K4631</f>
        <v>3500</v>
      </c>
      <c r="M4631" s="4" t="s">
        <v>371</v>
      </c>
    </row>
    <row r="4632" customFormat="false" ht="15" hidden="false" customHeight="false" outlineLevel="0" collapsed="false">
      <c r="A4632" s="4" t="s">
        <v>203</v>
      </c>
      <c r="B4632" s="5" t="s">
        <v>204</v>
      </c>
      <c r="C4632" s="5" t="s">
        <v>205</v>
      </c>
      <c r="D4632" s="4" t="s">
        <v>16</v>
      </c>
      <c r="E4632" s="4" t="s">
        <v>2008</v>
      </c>
      <c r="F4632" s="4" t="s">
        <v>470</v>
      </c>
      <c r="G4632" s="4" t="s">
        <v>2009</v>
      </c>
      <c r="H4632" s="12" t="n">
        <v>1</v>
      </c>
      <c r="I4632" s="4" t="s">
        <v>408</v>
      </c>
      <c r="J4632" s="4" t="s">
        <v>409</v>
      </c>
      <c r="K4632" s="13" t="n">
        <v>25000</v>
      </c>
      <c r="L4632" s="6" t="n">
        <f aca="false">H4632*K4632</f>
        <v>25000</v>
      </c>
      <c r="M4632" s="4" t="s">
        <v>371</v>
      </c>
    </row>
    <row r="4633" customFormat="false" ht="15" hidden="false" customHeight="false" outlineLevel="0" collapsed="false">
      <c r="A4633" s="4" t="s">
        <v>203</v>
      </c>
      <c r="B4633" s="5" t="s">
        <v>204</v>
      </c>
      <c r="C4633" s="5" t="s">
        <v>205</v>
      </c>
      <c r="D4633" s="4" t="s">
        <v>16</v>
      </c>
      <c r="E4633" s="4" t="s">
        <v>2014</v>
      </c>
      <c r="F4633" s="4" t="s">
        <v>470</v>
      </c>
      <c r="G4633" s="4" t="s">
        <v>2015</v>
      </c>
      <c r="H4633" s="12" t="n">
        <v>1</v>
      </c>
      <c r="I4633" s="4" t="s">
        <v>408</v>
      </c>
      <c r="J4633" s="4" t="s">
        <v>409</v>
      </c>
      <c r="K4633" s="13" t="n">
        <v>8500</v>
      </c>
      <c r="L4633" s="6" t="n">
        <f aca="false">H4633*K4633</f>
        <v>8500</v>
      </c>
      <c r="M4633" s="4" t="s">
        <v>371</v>
      </c>
    </row>
    <row r="4634" customFormat="false" ht="15" hidden="false" customHeight="false" outlineLevel="0" collapsed="false">
      <c r="A4634" s="4" t="s">
        <v>203</v>
      </c>
      <c r="B4634" s="5" t="s">
        <v>204</v>
      </c>
      <c r="C4634" s="5" t="s">
        <v>205</v>
      </c>
      <c r="D4634" s="4" t="s">
        <v>16</v>
      </c>
      <c r="E4634" s="4" t="s">
        <v>5298</v>
      </c>
      <c r="F4634" s="4" t="s">
        <v>470</v>
      </c>
      <c r="G4634" s="4" t="s">
        <v>5299</v>
      </c>
      <c r="H4634" s="12" t="n">
        <v>1</v>
      </c>
      <c r="I4634" s="4" t="s">
        <v>408</v>
      </c>
      <c r="J4634" s="4" t="s">
        <v>409</v>
      </c>
      <c r="K4634" s="13" t="n">
        <v>8500</v>
      </c>
      <c r="L4634" s="6" t="n">
        <f aca="false">H4634*K4634</f>
        <v>8500</v>
      </c>
      <c r="M4634" s="4" t="s">
        <v>371</v>
      </c>
    </row>
    <row r="4635" customFormat="false" ht="15" hidden="false" customHeight="false" outlineLevel="0" collapsed="false">
      <c r="A4635" s="4" t="s">
        <v>203</v>
      </c>
      <c r="B4635" s="5" t="s">
        <v>204</v>
      </c>
      <c r="C4635" s="5" t="s">
        <v>205</v>
      </c>
      <c r="D4635" s="4" t="s">
        <v>16</v>
      </c>
      <c r="E4635" s="4" t="s">
        <v>5300</v>
      </c>
      <c r="F4635" s="4" t="s">
        <v>470</v>
      </c>
      <c r="G4635" s="4" t="s">
        <v>5301</v>
      </c>
      <c r="H4635" s="12" t="n">
        <v>1</v>
      </c>
      <c r="I4635" s="4" t="s">
        <v>408</v>
      </c>
      <c r="J4635" s="4" t="s">
        <v>409</v>
      </c>
      <c r="K4635" s="13" t="n">
        <v>1200</v>
      </c>
      <c r="L4635" s="6" t="n">
        <f aca="false">H4635*K4635</f>
        <v>1200</v>
      </c>
      <c r="M4635" s="4" t="s">
        <v>371</v>
      </c>
    </row>
    <row r="4636" customFormat="false" ht="15" hidden="false" customHeight="false" outlineLevel="0" collapsed="false">
      <c r="A4636" s="4" t="s">
        <v>203</v>
      </c>
      <c r="B4636" s="5" t="s">
        <v>204</v>
      </c>
      <c r="C4636" s="5" t="s">
        <v>205</v>
      </c>
      <c r="D4636" s="4" t="s">
        <v>16</v>
      </c>
      <c r="E4636" s="4" t="s">
        <v>5302</v>
      </c>
      <c r="F4636" s="4" t="s">
        <v>470</v>
      </c>
      <c r="G4636" s="4" t="s">
        <v>5303</v>
      </c>
      <c r="H4636" s="12" t="n">
        <v>1</v>
      </c>
      <c r="I4636" s="4" t="s">
        <v>408</v>
      </c>
      <c r="J4636" s="4" t="s">
        <v>409</v>
      </c>
      <c r="K4636" s="13" t="n">
        <v>85000</v>
      </c>
      <c r="L4636" s="6" t="n">
        <f aca="false">H4636*K4636</f>
        <v>85000</v>
      </c>
      <c r="M4636" s="4" t="s">
        <v>371</v>
      </c>
    </row>
    <row r="4637" customFormat="false" ht="15" hidden="false" customHeight="false" outlineLevel="0" collapsed="false">
      <c r="A4637" s="4" t="s">
        <v>203</v>
      </c>
      <c r="B4637" s="5" t="s">
        <v>204</v>
      </c>
      <c r="C4637" s="5" t="s">
        <v>205</v>
      </c>
      <c r="D4637" s="4" t="s">
        <v>16</v>
      </c>
      <c r="E4637" s="4" t="s">
        <v>5304</v>
      </c>
      <c r="F4637" s="4" t="s">
        <v>470</v>
      </c>
      <c r="G4637" s="4" t="s">
        <v>5305</v>
      </c>
      <c r="H4637" s="12" t="n">
        <v>1</v>
      </c>
      <c r="I4637" s="4" t="s">
        <v>408</v>
      </c>
      <c r="J4637" s="4" t="s">
        <v>409</v>
      </c>
      <c r="K4637" s="13" t="n">
        <v>8500</v>
      </c>
      <c r="L4637" s="6" t="n">
        <f aca="false">H4637*K4637</f>
        <v>8500</v>
      </c>
      <c r="M4637" s="4" t="s">
        <v>371</v>
      </c>
    </row>
    <row r="4638" customFormat="false" ht="15" hidden="false" customHeight="false" outlineLevel="0" collapsed="false">
      <c r="A4638" s="4" t="s">
        <v>203</v>
      </c>
      <c r="B4638" s="5" t="s">
        <v>204</v>
      </c>
      <c r="C4638" s="5" t="s">
        <v>205</v>
      </c>
      <c r="D4638" s="4" t="s">
        <v>16</v>
      </c>
      <c r="E4638" s="4" t="s">
        <v>1453</v>
      </c>
      <c r="F4638" s="4" t="s">
        <v>470</v>
      </c>
      <c r="G4638" s="4" t="s">
        <v>1090</v>
      </c>
      <c r="H4638" s="12" t="n">
        <v>1</v>
      </c>
      <c r="I4638" s="4" t="s">
        <v>408</v>
      </c>
      <c r="J4638" s="4" t="s">
        <v>409</v>
      </c>
      <c r="K4638" s="13" t="n">
        <v>3500</v>
      </c>
      <c r="L4638" s="6" t="n">
        <f aca="false">H4638*K4638</f>
        <v>3500</v>
      </c>
      <c r="M4638" s="4" t="s">
        <v>371</v>
      </c>
    </row>
    <row r="4639" customFormat="false" ht="15" hidden="false" customHeight="false" outlineLevel="0" collapsed="false">
      <c r="A4639" s="4" t="s">
        <v>203</v>
      </c>
      <c r="B4639" s="5" t="s">
        <v>204</v>
      </c>
      <c r="C4639" s="5" t="s">
        <v>205</v>
      </c>
      <c r="D4639" s="4" t="s">
        <v>16</v>
      </c>
      <c r="E4639" s="4" t="s">
        <v>1096</v>
      </c>
      <c r="F4639" s="4" t="s">
        <v>470</v>
      </c>
      <c r="G4639" s="4" t="s">
        <v>1097</v>
      </c>
      <c r="H4639" s="12" t="n">
        <v>1</v>
      </c>
      <c r="I4639" s="4" t="s">
        <v>408</v>
      </c>
      <c r="J4639" s="4" t="s">
        <v>475</v>
      </c>
      <c r="K4639" s="13" t="n">
        <v>350</v>
      </c>
      <c r="L4639" s="6" t="n">
        <f aca="false">H4639*K4639</f>
        <v>350</v>
      </c>
      <c r="M4639" s="4" t="s">
        <v>371</v>
      </c>
    </row>
    <row r="4640" customFormat="false" ht="15" hidden="false" customHeight="false" outlineLevel="0" collapsed="false">
      <c r="A4640" s="4" t="s">
        <v>203</v>
      </c>
      <c r="B4640" s="5" t="s">
        <v>204</v>
      </c>
      <c r="C4640" s="5" t="s">
        <v>205</v>
      </c>
      <c r="D4640" s="4" t="s">
        <v>16</v>
      </c>
      <c r="E4640" s="4" t="s">
        <v>2020</v>
      </c>
      <c r="F4640" s="4" t="s">
        <v>470</v>
      </c>
      <c r="G4640" s="4" t="s">
        <v>2021</v>
      </c>
      <c r="H4640" s="12" t="n">
        <v>1</v>
      </c>
      <c r="I4640" s="4" t="s">
        <v>408</v>
      </c>
      <c r="J4640" s="4" t="s">
        <v>409</v>
      </c>
      <c r="K4640" s="13" t="n">
        <v>850</v>
      </c>
      <c r="L4640" s="6" t="n">
        <f aca="false">H4640*K4640</f>
        <v>850</v>
      </c>
      <c r="M4640" s="4" t="s">
        <v>371</v>
      </c>
    </row>
    <row r="4641" customFormat="false" ht="15" hidden="false" customHeight="false" outlineLevel="0" collapsed="false">
      <c r="A4641" s="4" t="s">
        <v>203</v>
      </c>
      <c r="B4641" s="5" t="s">
        <v>204</v>
      </c>
      <c r="C4641" s="5" t="s">
        <v>205</v>
      </c>
      <c r="D4641" s="4" t="s">
        <v>16</v>
      </c>
      <c r="E4641" s="4" t="s">
        <v>1964</v>
      </c>
      <c r="F4641" s="4" t="s">
        <v>470</v>
      </c>
      <c r="G4641" s="4" t="s">
        <v>1965</v>
      </c>
      <c r="H4641" s="12" t="n">
        <v>1</v>
      </c>
      <c r="I4641" s="4" t="s">
        <v>408</v>
      </c>
      <c r="J4641" s="4" t="s">
        <v>409</v>
      </c>
      <c r="K4641" s="13" t="n">
        <v>650</v>
      </c>
      <c r="L4641" s="6" t="n">
        <f aca="false">H4641*K4641</f>
        <v>650</v>
      </c>
      <c r="M4641" s="14" t="s">
        <v>410</v>
      </c>
    </row>
    <row r="4642" customFormat="false" ht="15" hidden="false" customHeight="false" outlineLevel="0" collapsed="false">
      <c r="A4642" s="4" t="s">
        <v>203</v>
      </c>
      <c r="B4642" s="5" t="s">
        <v>204</v>
      </c>
      <c r="C4642" s="5" t="s">
        <v>205</v>
      </c>
      <c r="D4642" s="4" t="s">
        <v>16</v>
      </c>
      <c r="E4642" s="4" t="s">
        <v>2288</v>
      </c>
      <c r="F4642" s="4" t="s">
        <v>470</v>
      </c>
      <c r="G4642" s="4" t="s">
        <v>1452</v>
      </c>
      <c r="H4642" s="12" t="n">
        <v>1</v>
      </c>
      <c r="I4642" s="4" t="s">
        <v>408</v>
      </c>
      <c r="J4642" s="4" t="s">
        <v>413</v>
      </c>
      <c r="K4642" s="13" t="n">
        <v>450</v>
      </c>
      <c r="L4642" s="6" t="n">
        <f aca="false">H4642*K4642</f>
        <v>450</v>
      </c>
      <c r="M4642" s="4" t="s">
        <v>371</v>
      </c>
    </row>
    <row r="4643" customFormat="false" ht="15" hidden="false" customHeight="false" outlineLevel="0" collapsed="false">
      <c r="A4643" s="4" t="s">
        <v>203</v>
      </c>
      <c r="B4643" s="5" t="s">
        <v>204</v>
      </c>
      <c r="C4643" s="5" t="s">
        <v>205</v>
      </c>
      <c r="D4643" s="4" t="s">
        <v>16</v>
      </c>
      <c r="E4643" s="4" t="s">
        <v>5306</v>
      </c>
      <c r="F4643" s="4" t="s">
        <v>470</v>
      </c>
      <c r="G4643" s="4" t="s">
        <v>5307</v>
      </c>
      <c r="H4643" s="12" t="n">
        <v>1</v>
      </c>
      <c r="I4643" s="4" t="s">
        <v>408</v>
      </c>
      <c r="J4643" s="4" t="s">
        <v>409</v>
      </c>
      <c r="K4643" s="13" t="n">
        <v>12000</v>
      </c>
      <c r="L4643" s="6" t="n">
        <f aca="false">H4643*K4643</f>
        <v>12000</v>
      </c>
      <c r="M4643" s="4" t="s">
        <v>371</v>
      </c>
    </row>
    <row r="4644" customFormat="false" ht="15" hidden="false" customHeight="false" outlineLevel="0" collapsed="false">
      <c r="A4644" s="4" t="s">
        <v>203</v>
      </c>
      <c r="B4644" s="5" t="s">
        <v>204</v>
      </c>
      <c r="C4644" s="5" t="s">
        <v>205</v>
      </c>
      <c r="D4644" s="4" t="s">
        <v>16</v>
      </c>
      <c r="E4644" s="4" t="s">
        <v>5308</v>
      </c>
      <c r="F4644" s="4" t="s">
        <v>470</v>
      </c>
      <c r="G4644" s="4" t="s">
        <v>5309</v>
      </c>
      <c r="H4644" s="12" t="n">
        <v>1</v>
      </c>
      <c r="I4644" s="4" t="s">
        <v>408</v>
      </c>
      <c r="J4644" s="4" t="s">
        <v>409</v>
      </c>
      <c r="K4644" s="13" t="n">
        <v>85000</v>
      </c>
      <c r="L4644" s="6" t="n">
        <f aca="false">H4644*K4644</f>
        <v>85000</v>
      </c>
      <c r="M4644" s="4" t="s">
        <v>371</v>
      </c>
    </row>
    <row r="4645" customFormat="false" ht="15" hidden="false" customHeight="false" outlineLevel="0" collapsed="false">
      <c r="A4645" s="4" t="s">
        <v>203</v>
      </c>
      <c r="B4645" s="5" t="s">
        <v>204</v>
      </c>
      <c r="C4645" s="5" t="s">
        <v>205</v>
      </c>
      <c r="D4645" s="4" t="s">
        <v>16</v>
      </c>
      <c r="E4645" s="4" t="s">
        <v>5310</v>
      </c>
      <c r="F4645" s="4" t="s">
        <v>470</v>
      </c>
      <c r="G4645" s="4" t="s">
        <v>5311</v>
      </c>
      <c r="H4645" s="12" t="n">
        <v>1</v>
      </c>
      <c r="I4645" s="4" t="s">
        <v>408</v>
      </c>
      <c r="J4645" s="4" t="s">
        <v>409</v>
      </c>
      <c r="K4645" s="13" t="n">
        <v>12000</v>
      </c>
      <c r="L4645" s="6" t="n">
        <f aca="false">H4645*K4645</f>
        <v>12000</v>
      </c>
      <c r="M4645" s="4" t="s">
        <v>371</v>
      </c>
    </row>
    <row r="4646" customFormat="false" ht="15" hidden="false" customHeight="false" outlineLevel="0" collapsed="false">
      <c r="A4646" s="4" t="s">
        <v>203</v>
      </c>
      <c r="B4646" s="5" t="s">
        <v>204</v>
      </c>
      <c r="C4646" s="5" t="s">
        <v>205</v>
      </c>
      <c r="D4646" s="4" t="s">
        <v>16</v>
      </c>
      <c r="E4646" s="4" t="s">
        <v>5312</v>
      </c>
      <c r="F4646" s="4" t="s">
        <v>470</v>
      </c>
      <c r="G4646" s="4" t="s">
        <v>5313</v>
      </c>
      <c r="H4646" s="12" t="n">
        <v>1</v>
      </c>
      <c r="I4646" s="4" t="s">
        <v>408</v>
      </c>
      <c r="J4646" s="4" t="s">
        <v>409</v>
      </c>
      <c r="K4646" s="13" t="n">
        <v>8500</v>
      </c>
      <c r="L4646" s="6" t="n">
        <f aca="false">H4646*K4646</f>
        <v>8500</v>
      </c>
      <c r="M4646" s="4" t="s">
        <v>371</v>
      </c>
    </row>
    <row r="4647" customFormat="false" ht="15" hidden="false" customHeight="false" outlineLevel="0" collapsed="false">
      <c r="A4647" s="4" t="s">
        <v>203</v>
      </c>
      <c r="B4647" s="5" t="s">
        <v>204</v>
      </c>
      <c r="C4647" s="5" t="s">
        <v>205</v>
      </c>
      <c r="D4647" s="4" t="s">
        <v>16</v>
      </c>
      <c r="E4647" s="4" t="s">
        <v>5314</v>
      </c>
      <c r="F4647" s="4" t="s">
        <v>470</v>
      </c>
      <c r="G4647" s="4" t="s">
        <v>5315</v>
      </c>
      <c r="H4647" s="12" t="n">
        <v>1</v>
      </c>
      <c r="I4647" s="4" t="s">
        <v>408</v>
      </c>
      <c r="J4647" s="4" t="s">
        <v>409</v>
      </c>
      <c r="K4647" s="13" t="n">
        <v>25000</v>
      </c>
      <c r="L4647" s="6" t="n">
        <f aca="false">H4647*K4647</f>
        <v>25000</v>
      </c>
      <c r="M4647" s="4" t="s">
        <v>371</v>
      </c>
    </row>
    <row r="4648" customFormat="false" ht="15" hidden="false" customHeight="false" outlineLevel="0" collapsed="false">
      <c r="A4648" s="4" t="s">
        <v>203</v>
      </c>
      <c r="B4648" s="5" t="s">
        <v>204</v>
      </c>
      <c r="C4648" s="5" t="s">
        <v>205</v>
      </c>
      <c r="D4648" s="4" t="s">
        <v>16</v>
      </c>
      <c r="E4648" s="4" t="s">
        <v>5316</v>
      </c>
      <c r="F4648" s="4" t="s">
        <v>470</v>
      </c>
      <c r="G4648" s="4" t="s">
        <v>5317</v>
      </c>
      <c r="H4648" s="12" t="n">
        <v>1</v>
      </c>
      <c r="I4648" s="4" t="s">
        <v>408</v>
      </c>
      <c r="J4648" s="4" t="s">
        <v>416</v>
      </c>
      <c r="K4648" s="13" t="n">
        <v>18000</v>
      </c>
      <c r="L4648" s="6" t="n">
        <f aca="false">H4648*K4648</f>
        <v>18000</v>
      </c>
      <c r="M4648" s="4" t="s">
        <v>371</v>
      </c>
    </row>
    <row r="4649" customFormat="false" ht="15" hidden="false" customHeight="false" outlineLevel="0" collapsed="false">
      <c r="A4649" s="4" t="s">
        <v>203</v>
      </c>
      <c r="B4649" s="5" t="s">
        <v>204</v>
      </c>
      <c r="C4649" s="5" t="s">
        <v>205</v>
      </c>
      <c r="D4649" s="4" t="s">
        <v>16</v>
      </c>
      <c r="E4649" s="4" t="s">
        <v>5318</v>
      </c>
      <c r="F4649" s="4" t="s">
        <v>470</v>
      </c>
      <c r="G4649" s="4" t="s">
        <v>5319</v>
      </c>
      <c r="H4649" s="12" t="n">
        <v>1</v>
      </c>
      <c r="I4649" s="4" t="s">
        <v>408</v>
      </c>
      <c r="J4649" s="4" t="s">
        <v>409</v>
      </c>
      <c r="K4649" s="13" t="n">
        <v>18000</v>
      </c>
      <c r="L4649" s="6" t="n">
        <f aca="false">H4649*K4649</f>
        <v>18000</v>
      </c>
      <c r="M4649" s="4" t="s">
        <v>371</v>
      </c>
    </row>
    <row r="4650" customFormat="false" ht="15" hidden="false" customHeight="false" outlineLevel="0" collapsed="false">
      <c r="A4650" s="4" t="s">
        <v>203</v>
      </c>
      <c r="B4650" s="5" t="s">
        <v>204</v>
      </c>
      <c r="C4650" s="5" t="s">
        <v>205</v>
      </c>
      <c r="D4650" s="4" t="s">
        <v>16</v>
      </c>
      <c r="E4650" s="4" t="s">
        <v>5320</v>
      </c>
      <c r="F4650" s="4" t="s">
        <v>488</v>
      </c>
      <c r="G4650" s="4" t="s">
        <v>5321</v>
      </c>
      <c r="H4650" s="12" t="n">
        <v>1</v>
      </c>
      <c r="I4650" s="4" t="s">
        <v>408</v>
      </c>
      <c r="J4650" s="4" t="s">
        <v>416</v>
      </c>
      <c r="K4650" s="13" t="n">
        <v>1800</v>
      </c>
      <c r="L4650" s="6" t="n">
        <f aca="false">H4650*K4650</f>
        <v>1800</v>
      </c>
      <c r="M4650" s="4" t="s">
        <v>371</v>
      </c>
    </row>
    <row r="4651" customFormat="false" ht="15" hidden="false" customHeight="false" outlineLevel="0" collapsed="false">
      <c r="A4651" s="4" t="s">
        <v>203</v>
      </c>
      <c r="B4651" s="5" t="s">
        <v>204</v>
      </c>
      <c r="C4651" s="5" t="s">
        <v>205</v>
      </c>
      <c r="D4651" s="4" t="s">
        <v>16</v>
      </c>
      <c r="E4651" s="4" t="s">
        <v>2131</v>
      </c>
      <c r="F4651" s="4" t="s">
        <v>488</v>
      </c>
      <c r="G4651" s="4" t="s">
        <v>2132</v>
      </c>
      <c r="H4651" s="12" t="n">
        <v>1</v>
      </c>
      <c r="I4651" s="4" t="s">
        <v>408</v>
      </c>
      <c r="J4651" s="4" t="s">
        <v>409</v>
      </c>
      <c r="K4651" s="13" t="n">
        <v>350</v>
      </c>
      <c r="L4651" s="6" t="n">
        <f aca="false">H4651*K4651</f>
        <v>350</v>
      </c>
      <c r="M4651" s="4" t="s">
        <v>371</v>
      </c>
    </row>
    <row r="4652" customFormat="false" ht="15" hidden="false" customHeight="false" outlineLevel="0" collapsed="false">
      <c r="A4652" s="4" t="s">
        <v>203</v>
      </c>
      <c r="B4652" s="5" t="s">
        <v>204</v>
      </c>
      <c r="C4652" s="5" t="s">
        <v>205</v>
      </c>
      <c r="D4652" s="4" t="s">
        <v>16</v>
      </c>
      <c r="E4652" s="4" t="s">
        <v>5322</v>
      </c>
      <c r="F4652" s="4" t="s">
        <v>488</v>
      </c>
      <c r="G4652" s="4" t="s">
        <v>2130</v>
      </c>
      <c r="H4652" s="12" t="n">
        <v>1</v>
      </c>
      <c r="I4652" s="4" t="s">
        <v>408</v>
      </c>
      <c r="J4652" s="4" t="s">
        <v>1080</v>
      </c>
      <c r="K4652" s="13" t="n">
        <v>450</v>
      </c>
      <c r="L4652" s="6" t="n">
        <f aca="false">H4652*K4652</f>
        <v>450</v>
      </c>
      <c r="M4652" s="4" t="s">
        <v>371</v>
      </c>
    </row>
    <row r="4653" customFormat="false" ht="15" hidden="false" customHeight="false" outlineLevel="0" collapsed="false">
      <c r="A4653" s="4" t="s">
        <v>203</v>
      </c>
      <c r="B4653" s="5" t="s">
        <v>204</v>
      </c>
      <c r="C4653" s="5" t="s">
        <v>205</v>
      </c>
      <c r="D4653" s="4" t="s">
        <v>16</v>
      </c>
      <c r="E4653" s="4" t="s">
        <v>2117</v>
      </c>
      <c r="F4653" s="4" t="s">
        <v>488</v>
      </c>
      <c r="G4653" s="4" t="s">
        <v>2118</v>
      </c>
      <c r="H4653" s="12" t="n">
        <v>1</v>
      </c>
      <c r="I4653" s="4" t="s">
        <v>408</v>
      </c>
      <c r="J4653" s="4" t="s">
        <v>409</v>
      </c>
      <c r="K4653" s="13" t="n">
        <v>250</v>
      </c>
      <c r="L4653" s="6" t="n">
        <f aca="false">H4653*K4653</f>
        <v>250</v>
      </c>
      <c r="M4653" s="4" t="s">
        <v>371</v>
      </c>
    </row>
    <row r="4654" customFormat="false" ht="15" hidden="false" customHeight="false" outlineLevel="0" collapsed="false">
      <c r="A4654" s="4" t="s">
        <v>203</v>
      </c>
      <c r="B4654" s="5" t="s">
        <v>204</v>
      </c>
      <c r="C4654" s="5" t="s">
        <v>205</v>
      </c>
      <c r="D4654" s="4" t="s">
        <v>16</v>
      </c>
      <c r="E4654" s="4" t="s">
        <v>5323</v>
      </c>
      <c r="F4654" s="4" t="s">
        <v>470</v>
      </c>
      <c r="G4654" s="4" t="s">
        <v>5324</v>
      </c>
      <c r="H4654" s="12" t="n">
        <v>1</v>
      </c>
      <c r="I4654" s="4" t="s">
        <v>408</v>
      </c>
      <c r="J4654" s="4" t="s">
        <v>409</v>
      </c>
      <c r="K4654" s="13" t="n">
        <v>450</v>
      </c>
      <c r="L4654" s="6" t="n">
        <f aca="false">H4654*K4654</f>
        <v>450</v>
      </c>
      <c r="M4654" s="4" t="s">
        <v>371</v>
      </c>
    </row>
    <row r="4655" customFormat="false" ht="15" hidden="false" customHeight="false" outlineLevel="0" collapsed="false">
      <c r="A4655" s="4" t="s">
        <v>203</v>
      </c>
      <c r="B4655" s="5" t="s">
        <v>206</v>
      </c>
      <c r="C4655" s="5" t="s">
        <v>207</v>
      </c>
      <c r="D4655" s="4" t="s">
        <v>16</v>
      </c>
      <c r="E4655" s="4" t="s">
        <v>1952</v>
      </c>
      <c r="F4655" s="4" t="s">
        <v>406</v>
      </c>
      <c r="G4655" s="4" t="s">
        <v>1953</v>
      </c>
      <c r="H4655" s="12" t="n">
        <v>1</v>
      </c>
      <c r="I4655" s="4" t="s">
        <v>408</v>
      </c>
      <c r="J4655" s="4" t="s">
        <v>409</v>
      </c>
      <c r="K4655" s="13" t="n">
        <v>250</v>
      </c>
      <c r="L4655" s="6" t="n">
        <f aca="false">H4655*K4655</f>
        <v>250</v>
      </c>
      <c r="M4655" s="14" t="s">
        <v>410</v>
      </c>
    </row>
    <row r="4656" customFormat="false" ht="15" hidden="false" customHeight="false" outlineLevel="0" collapsed="false">
      <c r="A4656" s="4" t="s">
        <v>203</v>
      </c>
      <c r="B4656" s="5" t="s">
        <v>206</v>
      </c>
      <c r="C4656" s="5" t="s">
        <v>207</v>
      </c>
      <c r="D4656" s="4" t="s">
        <v>16</v>
      </c>
      <c r="E4656" s="4" t="s">
        <v>2097</v>
      </c>
      <c r="F4656" s="4" t="s">
        <v>406</v>
      </c>
      <c r="G4656" s="4" t="s">
        <v>2098</v>
      </c>
      <c r="H4656" s="12" t="n">
        <v>1</v>
      </c>
      <c r="I4656" s="4" t="s">
        <v>408</v>
      </c>
      <c r="J4656" s="4" t="s">
        <v>416</v>
      </c>
      <c r="K4656" s="13" t="n">
        <v>1800</v>
      </c>
      <c r="L4656" s="6" t="n">
        <f aca="false">H4656*K4656</f>
        <v>1800</v>
      </c>
      <c r="M4656" s="14" t="s">
        <v>410</v>
      </c>
    </row>
    <row r="4657" customFormat="false" ht="15" hidden="false" customHeight="false" outlineLevel="0" collapsed="false">
      <c r="A4657" s="4" t="s">
        <v>203</v>
      </c>
      <c r="B4657" s="5" t="s">
        <v>206</v>
      </c>
      <c r="C4657" s="5" t="s">
        <v>207</v>
      </c>
      <c r="D4657" s="4" t="s">
        <v>16</v>
      </c>
      <c r="E4657" s="4" t="s">
        <v>5325</v>
      </c>
      <c r="F4657" s="4" t="s">
        <v>406</v>
      </c>
      <c r="G4657" s="4" t="s">
        <v>2100</v>
      </c>
      <c r="H4657" s="12" t="n">
        <v>1</v>
      </c>
      <c r="I4657" s="4" t="s">
        <v>408</v>
      </c>
      <c r="J4657" s="4" t="s">
        <v>409</v>
      </c>
      <c r="K4657" s="13" t="n">
        <v>450</v>
      </c>
      <c r="L4657" s="6" t="n">
        <f aca="false">H4657*K4657</f>
        <v>450</v>
      </c>
      <c r="M4657" s="14" t="s">
        <v>410</v>
      </c>
    </row>
    <row r="4658" customFormat="false" ht="15" hidden="false" customHeight="false" outlineLevel="0" collapsed="false">
      <c r="A4658" s="4" t="s">
        <v>203</v>
      </c>
      <c r="B4658" s="5" t="s">
        <v>206</v>
      </c>
      <c r="C4658" s="5" t="s">
        <v>207</v>
      </c>
      <c r="D4658" s="4" t="s">
        <v>16</v>
      </c>
      <c r="E4658" s="4" t="s">
        <v>2101</v>
      </c>
      <c r="F4658" s="4" t="s">
        <v>406</v>
      </c>
      <c r="G4658" s="4" t="s">
        <v>2102</v>
      </c>
      <c r="H4658" s="12" t="n">
        <v>1</v>
      </c>
      <c r="I4658" s="4" t="s">
        <v>408</v>
      </c>
      <c r="J4658" s="4" t="s">
        <v>416</v>
      </c>
      <c r="K4658" s="13" t="n">
        <v>8500</v>
      </c>
      <c r="L4658" s="6" t="n">
        <f aca="false">H4658*K4658</f>
        <v>8500</v>
      </c>
      <c r="M4658" s="4" t="s">
        <v>371</v>
      </c>
    </row>
    <row r="4659" customFormat="false" ht="15" hidden="false" customHeight="false" outlineLevel="0" collapsed="false">
      <c r="A4659" s="4" t="s">
        <v>203</v>
      </c>
      <c r="B4659" s="5" t="s">
        <v>206</v>
      </c>
      <c r="C4659" s="5" t="s">
        <v>207</v>
      </c>
      <c r="D4659" s="4" t="s">
        <v>16</v>
      </c>
      <c r="E4659" s="4" t="s">
        <v>1956</v>
      </c>
      <c r="F4659" s="4" t="s">
        <v>406</v>
      </c>
      <c r="G4659" s="4" t="s">
        <v>1957</v>
      </c>
      <c r="H4659" s="12" t="n">
        <v>1</v>
      </c>
      <c r="I4659" s="4" t="s">
        <v>408</v>
      </c>
      <c r="J4659" s="4" t="s">
        <v>409</v>
      </c>
      <c r="K4659" s="13" t="n">
        <v>80</v>
      </c>
      <c r="L4659" s="6" t="n">
        <f aca="false">H4659*K4659</f>
        <v>80</v>
      </c>
      <c r="M4659" s="14" t="s">
        <v>410</v>
      </c>
    </row>
    <row r="4660" customFormat="false" ht="15" hidden="false" customHeight="false" outlineLevel="0" collapsed="false">
      <c r="A4660" s="4" t="s">
        <v>203</v>
      </c>
      <c r="B4660" s="5" t="s">
        <v>206</v>
      </c>
      <c r="C4660" s="5" t="s">
        <v>207</v>
      </c>
      <c r="D4660" s="4" t="s">
        <v>16</v>
      </c>
      <c r="E4660" s="4" t="s">
        <v>5326</v>
      </c>
      <c r="F4660" s="4" t="s">
        <v>406</v>
      </c>
      <c r="G4660" s="4" t="s">
        <v>5262</v>
      </c>
      <c r="H4660" s="12" t="n">
        <v>1</v>
      </c>
      <c r="I4660" s="4" t="s">
        <v>408</v>
      </c>
      <c r="J4660" s="4" t="s">
        <v>416</v>
      </c>
      <c r="K4660" s="13" t="n">
        <v>350</v>
      </c>
      <c r="L4660" s="6" t="n">
        <f aca="false">H4660*K4660</f>
        <v>350</v>
      </c>
      <c r="M4660" s="14" t="s">
        <v>410</v>
      </c>
    </row>
    <row r="4661" customFormat="false" ht="15" hidden="false" customHeight="false" outlineLevel="0" collapsed="false">
      <c r="A4661" s="4" t="s">
        <v>203</v>
      </c>
      <c r="B4661" s="5" t="s">
        <v>206</v>
      </c>
      <c r="C4661" s="5" t="s">
        <v>207</v>
      </c>
      <c r="D4661" s="4" t="s">
        <v>16</v>
      </c>
      <c r="E4661" s="4" t="s">
        <v>5263</v>
      </c>
      <c r="F4661" s="4" t="s">
        <v>406</v>
      </c>
      <c r="G4661" s="4" t="s">
        <v>5264</v>
      </c>
      <c r="H4661" s="12" t="n">
        <v>1</v>
      </c>
      <c r="I4661" s="4" t="s">
        <v>408</v>
      </c>
      <c r="J4661" s="4" t="s">
        <v>416</v>
      </c>
      <c r="K4661" s="13" t="n">
        <v>1800</v>
      </c>
      <c r="L4661" s="6" t="n">
        <f aca="false">H4661*K4661</f>
        <v>1800</v>
      </c>
      <c r="M4661" s="14" t="s">
        <v>410</v>
      </c>
    </row>
    <row r="4662" customFormat="false" ht="15" hidden="false" customHeight="false" outlineLevel="0" collapsed="false">
      <c r="A4662" s="4" t="s">
        <v>203</v>
      </c>
      <c r="B4662" s="5" t="s">
        <v>206</v>
      </c>
      <c r="C4662" s="5" t="s">
        <v>207</v>
      </c>
      <c r="D4662" s="4" t="s">
        <v>16</v>
      </c>
      <c r="E4662" s="4" t="s">
        <v>5252</v>
      </c>
      <c r="F4662" s="4" t="s">
        <v>406</v>
      </c>
      <c r="G4662" s="4" t="s">
        <v>5253</v>
      </c>
      <c r="H4662" s="12" t="n">
        <v>1</v>
      </c>
      <c r="I4662" s="4" t="s">
        <v>408</v>
      </c>
      <c r="J4662" s="4" t="s">
        <v>409</v>
      </c>
      <c r="K4662" s="13" t="n">
        <v>450</v>
      </c>
      <c r="L4662" s="6" t="n">
        <f aca="false">H4662*K4662</f>
        <v>450</v>
      </c>
      <c r="M4662" s="14" t="s">
        <v>410</v>
      </c>
    </row>
    <row r="4663" customFormat="false" ht="15" hidden="false" customHeight="false" outlineLevel="0" collapsed="false">
      <c r="A4663" s="4" t="s">
        <v>203</v>
      </c>
      <c r="B4663" s="5" t="s">
        <v>206</v>
      </c>
      <c r="C4663" s="5" t="s">
        <v>207</v>
      </c>
      <c r="D4663" s="4" t="s">
        <v>16</v>
      </c>
      <c r="E4663" s="4" t="s">
        <v>5254</v>
      </c>
      <c r="F4663" s="4" t="s">
        <v>406</v>
      </c>
      <c r="G4663" s="4" t="s">
        <v>5255</v>
      </c>
      <c r="H4663" s="12" t="n">
        <v>1</v>
      </c>
      <c r="I4663" s="4" t="s">
        <v>408</v>
      </c>
      <c r="J4663" s="4" t="s">
        <v>409</v>
      </c>
      <c r="K4663" s="13" t="n">
        <v>250</v>
      </c>
      <c r="L4663" s="6" t="n">
        <f aca="false">H4663*K4663</f>
        <v>250</v>
      </c>
      <c r="M4663" s="14" t="s">
        <v>410</v>
      </c>
    </row>
    <row r="4664" customFormat="false" ht="15" hidden="false" customHeight="false" outlineLevel="0" collapsed="false">
      <c r="A4664" s="4" t="s">
        <v>203</v>
      </c>
      <c r="B4664" s="5" t="s">
        <v>206</v>
      </c>
      <c r="C4664" s="5" t="s">
        <v>207</v>
      </c>
      <c r="D4664" s="4" t="s">
        <v>16</v>
      </c>
      <c r="E4664" s="4" t="s">
        <v>1677</v>
      </c>
      <c r="F4664" s="4" t="s">
        <v>406</v>
      </c>
      <c r="G4664" s="4" t="s">
        <v>1678</v>
      </c>
      <c r="H4664" s="12" t="n">
        <v>1</v>
      </c>
      <c r="I4664" s="4" t="s">
        <v>408</v>
      </c>
      <c r="J4664" s="4" t="s">
        <v>409</v>
      </c>
      <c r="K4664" s="13" t="n">
        <v>250</v>
      </c>
      <c r="L4664" s="6" t="n">
        <f aca="false">H4664*K4664</f>
        <v>250</v>
      </c>
      <c r="M4664" s="14" t="s">
        <v>410</v>
      </c>
    </row>
    <row r="4665" customFormat="false" ht="15" hidden="false" customHeight="false" outlineLevel="0" collapsed="false">
      <c r="A4665" s="4" t="s">
        <v>203</v>
      </c>
      <c r="B4665" s="5" t="s">
        <v>206</v>
      </c>
      <c r="C4665" s="5" t="s">
        <v>207</v>
      </c>
      <c r="D4665" s="4" t="s">
        <v>16</v>
      </c>
      <c r="E4665" s="4" t="s">
        <v>5257</v>
      </c>
      <c r="F4665" s="4" t="s">
        <v>406</v>
      </c>
      <c r="G4665" s="4" t="s">
        <v>5258</v>
      </c>
      <c r="H4665" s="12" t="n">
        <v>1</v>
      </c>
      <c r="I4665" s="4" t="s">
        <v>408</v>
      </c>
      <c r="J4665" s="4" t="s">
        <v>409</v>
      </c>
      <c r="K4665" s="13" t="n">
        <v>80</v>
      </c>
      <c r="L4665" s="6" t="n">
        <f aca="false">H4665*K4665</f>
        <v>80</v>
      </c>
      <c r="M4665" s="14" t="s">
        <v>410</v>
      </c>
    </row>
    <row r="4666" customFormat="false" ht="15" hidden="false" customHeight="false" outlineLevel="0" collapsed="false">
      <c r="A4666" s="4" t="s">
        <v>203</v>
      </c>
      <c r="B4666" s="5" t="s">
        <v>206</v>
      </c>
      <c r="C4666" s="5" t="s">
        <v>207</v>
      </c>
      <c r="D4666" s="4" t="s">
        <v>16</v>
      </c>
      <c r="E4666" s="4" t="s">
        <v>5259</v>
      </c>
      <c r="F4666" s="4" t="s">
        <v>406</v>
      </c>
      <c r="G4666" s="4" t="s">
        <v>5260</v>
      </c>
      <c r="H4666" s="12" t="n">
        <v>1</v>
      </c>
      <c r="I4666" s="4" t="s">
        <v>408</v>
      </c>
      <c r="J4666" s="4" t="s">
        <v>409</v>
      </c>
      <c r="K4666" s="13" t="n">
        <v>60</v>
      </c>
      <c r="L4666" s="6" t="n">
        <f aca="false">H4666*K4666</f>
        <v>60</v>
      </c>
      <c r="M4666" s="14" t="s">
        <v>410</v>
      </c>
    </row>
    <row r="4667" customFormat="false" ht="15" hidden="false" customHeight="false" outlineLevel="0" collapsed="false">
      <c r="A4667" s="4" t="s">
        <v>203</v>
      </c>
      <c r="B4667" s="5" t="s">
        <v>206</v>
      </c>
      <c r="C4667" s="5" t="s">
        <v>207</v>
      </c>
      <c r="D4667" s="4" t="s">
        <v>16</v>
      </c>
      <c r="E4667" s="4" t="s">
        <v>2103</v>
      </c>
      <c r="F4667" s="4" t="s">
        <v>406</v>
      </c>
      <c r="G4667" s="4" t="s">
        <v>2104</v>
      </c>
      <c r="H4667" s="12" t="n">
        <v>1</v>
      </c>
      <c r="I4667" s="4" t="s">
        <v>408</v>
      </c>
      <c r="J4667" s="4" t="s">
        <v>409</v>
      </c>
      <c r="K4667" s="13" t="n">
        <v>150</v>
      </c>
      <c r="L4667" s="6" t="n">
        <f aca="false">H4667*K4667</f>
        <v>150</v>
      </c>
      <c r="M4667" s="14" t="s">
        <v>410</v>
      </c>
    </row>
    <row r="4668" customFormat="false" ht="15" hidden="false" customHeight="false" outlineLevel="0" collapsed="false">
      <c r="A4668" s="4" t="s">
        <v>203</v>
      </c>
      <c r="B4668" s="5" t="s">
        <v>206</v>
      </c>
      <c r="C4668" s="5" t="s">
        <v>207</v>
      </c>
      <c r="D4668" s="4" t="s">
        <v>16</v>
      </c>
      <c r="E4668" s="4" t="s">
        <v>2105</v>
      </c>
      <c r="F4668" s="4" t="s">
        <v>406</v>
      </c>
      <c r="G4668" s="4" t="s">
        <v>2106</v>
      </c>
      <c r="H4668" s="12" t="n">
        <v>1</v>
      </c>
      <c r="I4668" s="4" t="s">
        <v>408</v>
      </c>
      <c r="J4668" s="4" t="s">
        <v>409</v>
      </c>
      <c r="K4668" s="13" t="n">
        <v>80</v>
      </c>
      <c r="L4668" s="6" t="n">
        <f aca="false">H4668*K4668</f>
        <v>80</v>
      </c>
      <c r="M4668" s="14" t="s">
        <v>410</v>
      </c>
    </row>
    <row r="4669" customFormat="false" ht="15" hidden="false" customHeight="false" outlineLevel="0" collapsed="false">
      <c r="A4669" s="4" t="s">
        <v>203</v>
      </c>
      <c r="B4669" s="5" t="s">
        <v>206</v>
      </c>
      <c r="C4669" s="5" t="s">
        <v>207</v>
      </c>
      <c r="D4669" s="4" t="s">
        <v>16</v>
      </c>
      <c r="E4669" s="4" t="s">
        <v>2107</v>
      </c>
      <c r="F4669" s="4" t="s">
        <v>406</v>
      </c>
      <c r="G4669" s="4" t="s">
        <v>2108</v>
      </c>
      <c r="H4669" s="12" t="n">
        <v>1</v>
      </c>
      <c r="I4669" s="4" t="s">
        <v>408</v>
      </c>
      <c r="J4669" s="4" t="s">
        <v>409</v>
      </c>
      <c r="K4669" s="13" t="n">
        <v>120</v>
      </c>
      <c r="L4669" s="6" t="n">
        <f aca="false">H4669*K4669</f>
        <v>120</v>
      </c>
      <c r="M4669" s="14" t="s">
        <v>410</v>
      </c>
    </row>
    <row r="4670" customFormat="false" ht="15" hidden="false" customHeight="false" outlineLevel="0" collapsed="false">
      <c r="A4670" s="4" t="s">
        <v>203</v>
      </c>
      <c r="B4670" s="5" t="s">
        <v>206</v>
      </c>
      <c r="C4670" s="5" t="s">
        <v>207</v>
      </c>
      <c r="D4670" s="4" t="s">
        <v>16</v>
      </c>
      <c r="E4670" s="4" t="s">
        <v>2109</v>
      </c>
      <c r="F4670" s="4" t="s">
        <v>406</v>
      </c>
      <c r="G4670" s="4" t="s">
        <v>2110</v>
      </c>
      <c r="H4670" s="12" t="n">
        <v>1</v>
      </c>
      <c r="I4670" s="4" t="s">
        <v>408</v>
      </c>
      <c r="J4670" s="4" t="s">
        <v>409</v>
      </c>
      <c r="K4670" s="13" t="n">
        <v>80</v>
      </c>
      <c r="L4670" s="6" t="n">
        <f aca="false">H4670*K4670</f>
        <v>80</v>
      </c>
      <c r="M4670" s="14" t="s">
        <v>410</v>
      </c>
    </row>
    <row r="4671" customFormat="false" ht="15" hidden="false" customHeight="false" outlineLevel="0" collapsed="false">
      <c r="A4671" s="4" t="s">
        <v>203</v>
      </c>
      <c r="B4671" s="5" t="s">
        <v>206</v>
      </c>
      <c r="C4671" s="5" t="s">
        <v>207</v>
      </c>
      <c r="D4671" s="4" t="s">
        <v>16</v>
      </c>
      <c r="E4671" s="4" t="s">
        <v>2111</v>
      </c>
      <c r="F4671" s="4" t="s">
        <v>406</v>
      </c>
      <c r="G4671" s="4" t="s">
        <v>2112</v>
      </c>
      <c r="H4671" s="12" t="n">
        <v>1</v>
      </c>
      <c r="I4671" s="4" t="s">
        <v>408</v>
      </c>
      <c r="J4671" s="4" t="s">
        <v>409</v>
      </c>
      <c r="K4671" s="13" t="n">
        <v>350</v>
      </c>
      <c r="L4671" s="6" t="n">
        <f aca="false">H4671*K4671</f>
        <v>350</v>
      </c>
      <c r="M4671" s="14" t="s">
        <v>410</v>
      </c>
    </row>
    <row r="4672" customFormat="false" ht="15" hidden="false" customHeight="false" outlineLevel="0" collapsed="false">
      <c r="A4672" s="4" t="s">
        <v>203</v>
      </c>
      <c r="B4672" s="5" t="s">
        <v>206</v>
      </c>
      <c r="C4672" s="5" t="s">
        <v>207</v>
      </c>
      <c r="D4672" s="4" t="s">
        <v>16</v>
      </c>
      <c r="E4672" s="4" t="s">
        <v>1954</v>
      </c>
      <c r="F4672" s="4" t="s">
        <v>406</v>
      </c>
      <c r="G4672" s="4" t="s">
        <v>1955</v>
      </c>
      <c r="H4672" s="12" t="n">
        <v>1</v>
      </c>
      <c r="I4672" s="4" t="s">
        <v>408</v>
      </c>
      <c r="J4672" s="4" t="s">
        <v>409</v>
      </c>
      <c r="K4672" s="13" t="n">
        <v>350</v>
      </c>
      <c r="L4672" s="6" t="n">
        <f aca="false">H4672*K4672</f>
        <v>350</v>
      </c>
      <c r="M4672" s="14" t="s">
        <v>410</v>
      </c>
    </row>
    <row r="4673" customFormat="false" ht="15" hidden="false" customHeight="false" outlineLevel="0" collapsed="false">
      <c r="A4673" s="4" t="s">
        <v>203</v>
      </c>
      <c r="B4673" s="5" t="s">
        <v>206</v>
      </c>
      <c r="C4673" s="5" t="s">
        <v>207</v>
      </c>
      <c r="D4673" s="4" t="s">
        <v>16</v>
      </c>
      <c r="E4673" s="4" t="s">
        <v>1984</v>
      </c>
      <c r="F4673" s="4" t="s">
        <v>406</v>
      </c>
      <c r="G4673" s="4" t="s">
        <v>1985</v>
      </c>
      <c r="H4673" s="12" t="n">
        <v>1</v>
      </c>
      <c r="I4673" s="4" t="s">
        <v>408</v>
      </c>
      <c r="J4673" s="4" t="s">
        <v>409</v>
      </c>
      <c r="K4673" s="13" t="n">
        <v>120</v>
      </c>
      <c r="L4673" s="6" t="n">
        <f aca="false">H4673*K4673</f>
        <v>120</v>
      </c>
      <c r="M4673" s="14" t="s">
        <v>410</v>
      </c>
    </row>
    <row r="4674" customFormat="false" ht="15" hidden="false" customHeight="false" outlineLevel="0" collapsed="false">
      <c r="A4674" s="4" t="s">
        <v>203</v>
      </c>
      <c r="B4674" s="5" t="s">
        <v>206</v>
      </c>
      <c r="C4674" s="5" t="s">
        <v>207</v>
      </c>
      <c r="D4674" s="4" t="s">
        <v>16</v>
      </c>
      <c r="E4674" s="4" t="s">
        <v>777</v>
      </c>
      <c r="F4674" s="4" t="s">
        <v>406</v>
      </c>
      <c r="G4674" s="4" t="s">
        <v>778</v>
      </c>
      <c r="H4674" s="12" t="n">
        <v>1</v>
      </c>
      <c r="I4674" s="4" t="s">
        <v>408</v>
      </c>
      <c r="J4674" s="4" t="s">
        <v>409</v>
      </c>
      <c r="K4674" s="13" t="n">
        <v>120</v>
      </c>
      <c r="L4674" s="6" t="n">
        <f aca="false">H4674*K4674</f>
        <v>120</v>
      </c>
      <c r="M4674" s="14" t="s">
        <v>410</v>
      </c>
    </row>
    <row r="4675" customFormat="false" ht="15" hidden="false" customHeight="false" outlineLevel="0" collapsed="false">
      <c r="A4675" s="4" t="s">
        <v>203</v>
      </c>
      <c r="B4675" s="5" t="s">
        <v>206</v>
      </c>
      <c r="C4675" s="5" t="s">
        <v>207</v>
      </c>
      <c r="D4675" s="4" t="s">
        <v>16</v>
      </c>
      <c r="E4675" s="4" t="s">
        <v>1339</v>
      </c>
      <c r="F4675" s="4" t="s">
        <v>406</v>
      </c>
      <c r="G4675" s="4" t="s">
        <v>1340</v>
      </c>
      <c r="H4675" s="12" t="n">
        <v>1</v>
      </c>
      <c r="I4675" s="4" t="s">
        <v>408</v>
      </c>
      <c r="J4675" s="4" t="s">
        <v>409</v>
      </c>
      <c r="K4675" s="13" t="n">
        <v>150</v>
      </c>
      <c r="L4675" s="6" t="n">
        <f aca="false">H4675*K4675</f>
        <v>150</v>
      </c>
      <c r="M4675" s="14" t="s">
        <v>410</v>
      </c>
    </row>
    <row r="4676" customFormat="false" ht="15" hidden="false" customHeight="false" outlineLevel="0" collapsed="false">
      <c r="A4676" s="4" t="s">
        <v>203</v>
      </c>
      <c r="B4676" s="5" t="s">
        <v>206</v>
      </c>
      <c r="C4676" s="5" t="s">
        <v>207</v>
      </c>
      <c r="D4676" s="4" t="s">
        <v>16</v>
      </c>
      <c r="E4676" s="4" t="s">
        <v>5327</v>
      </c>
      <c r="F4676" s="4" t="s">
        <v>406</v>
      </c>
      <c r="G4676" s="4" t="s">
        <v>5328</v>
      </c>
      <c r="H4676" s="12" t="n">
        <v>1</v>
      </c>
      <c r="I4676" s="4" t="s">
        <v>408</v>
      </c>
      <c r="J4676" s="4" t="s">
        <v>409</v>
      </c>
      <c r="K4676" s="13" t="n">
        <v>120</v>
      </c>
      <c r="L4676" s="6" t="n">
        <f aca="false">H4676*K4676</f>
        <v>120</v>
      </c>
      <c r="M4676" s="4" t="s">
        <v>371</v>
      </c>
    </row>
    <row r="4677" customFormat="false" ht="15" hidden="false" customHeight="false" outlineLevel="0" collapsed="false">
      <c r="A4677" s="4" t="s">
        <v>203</v>
      </c>
      <c r="B4677" s="5" t="s">
        <v>206</v>
      </c>
      <c r="C4677" s="5" t="s">
        <v>207</v>
      </c>
      <c r="D4677" s="4" t="s">
        <v>16</v>
      </c>
      <c r="E4677" s="4" t="s">
        <v>2123</v>
      </c>
      <c r="F4677" s="4" t="s">
        <v>406</v>
      </c>
      <c r="G4677" s="4" t="s">
        <v>2124</v>
      </c>
      <c r="H4677" s="12" t="n">
        <v>1</v>
      </c>
      <c r="I4677" s="4" t="s">
        <v>408</v>
      </c>
      <c r="J4677" s="4" t="s">
        <v>409</v>
      </c>
      <c r="K4677" s="13" t="n">
        <v>450</v>
      </c>
      <c r="L4677" s="6" t="n">
        <f aca="false">H4677*K4677</f>
        <v>450</v>
      </c>
      <c r="M4677" s="14" t="s">
        <v>410</v>
      </c>
    </row>
    <row r="4678" customFormat="false" ht="15" hidden="false" customHeight="false" outlineLevel="0" collapsed="false">
      <c r="A4678" s="4" t="s">
        <v>203</v>
      </c>
      <c r="B4678" s="5" t="s">
        <v>206</v>
      </c>
      <c r="C4678" s="5" t="s">
        <v>207</v>
      </c>
      <c r="D4678" s="4" t="s">
        <v>16</v>
      </c>
      <c r="E4678" s="4" t="s">
        <v>1960</v>
      </c>
      <c r="F4678" s="4" t="s">
        <v>406</v>
      </c>
      <c r="G4678" s="4" t="s">
        <v>1961</v>
      </c>
      <c r="H4678" s="12" t="n">
        <v>1</v>
      </c>
      <c r="I4678" s="4" t="s">
        <v>408</v>
      </c>
      <c r="J4678" s="4" t="s">
        <v>409</v>
      </c>
      <c r="K4678" s="13" t="n">
        <v>180</v>
      </c>
      <c r="L4678" s="6" t="n">
        <f aca="false">H4678*K4678</f>
        <v>180</v>
      </c>
      <c r="M4678" s="14" t="s">
        <v>410</v>
      </c>
    </row>
    <row r="4679" customFormat="false" ht="15" hidden="false" customHeight="false" outlineLevel="0" collapsed="false">
      <c r="A4679" s="4" t="s">
        <v>203</v>
      </c>
      <c r="B4679" s="5" t="s">
        <v>206</v>
      </c>
      <c r="C4679" s="5" t="s">
        <v>207</v>
      </c>
      <c r="D4679" s="4" t="s">
        <v>16</v>
      </c>
      <c r="E4679" s="4" t="s">
        <v>1962</v>
      </c>
      <c r="F4679" s="4" t="s">
        <v>406</v>
      </c>
      <c r="G4679" s="4" t="s">
        <v>1963</v>
      </c>
      <c r="H4679" s="12" t="n">
        <v>1</v>
      </c>
      <c r="I4679" s="4" t="s">
        <v>408</v>
      </c>
      <c r="J4679" s="4" t="s">
        <v>409</v>
      </c>
      <c r="K4679" s="13" t="n">
        <v>1200</v>
      </c>
      <c r="L4679" s="6" t="n">
        <f aca="false">H4679*K4679</f>
        <v>1200</v>
      </c>
      <c r="M4679" s="14" t="s">
        <v>410</v>
      </c>
    </row>
    <row r="4680" customFormat="false" ht="15" hidden="false" customHeight="false" outlineLevel="0" collapsed="false">
      <c r="A4680" s="4" t="s">
        <v>203</v>
      </c>
      <c r="B4680" s="5" t="s">
        <v>206</v>
      </c>
      <c r="C4680" s="5" t="s">
        <v>207</v>
      </c>
      <c r="D4680" s="4" t="s">
        <v>16</v>
      </c>
      <c r="E4680" s="4" t="s">
        <v>1964</v>
      </c>
      <c r="F4680" s="4" t="s">
        <v>406</v>
      </c>
      <c r="G4680" s="4" t="s">
        <v>1965</v>
      </c>
      <c r="H4680" s="12" t="n">
        <v>1</v>
      </c>
      <c r="I4680" s="4" t="s">
        <v>408</v>
      </c>
      <c r="J4680" s="4" t="s">
        <v>409</v>
      </c>
      <c r="K4680" s="13" t="n">
        <v>650</v>
      </c>
      <c r="L4680" s="6" t="n">
        <f aca="false">H4680*K4680</f>
        <v>650</v>
      </c>
      <c r="M4680" s="14" t="s">
        <v>410</v>
      </c>
    </row>
    <row r="4681" customFormat="false" ht="15" hidden="false" customHeight="false" outlineLevel="0" collapsed="false">
      <c r="A4681" s="4" t="s">
        <v>203</v>
      </c>
      <c r="B4681" s="5" t="s">
        <v>206</v>
      </c>
      <c r="C4681" s="5" t="s">
        <v>207</v>
      </c>
      <c r="D4681" s="4" t="s">
        <v>16</v>
      </c>
      <c r="E4681" s="4" t="s">
        <v>1966</v>
      </c>
      <c r="F4681" s="4" t="s">
        <v>406</v>
      </c>
      <c r="G4681" s="4" t="s">
        <v>1967</v>
      </c>
      <c r="H4681" s="12" t="n">
        <v>1</v>
      </c>
      <c r="I4681" s="4" t="s">
        <v>408</v>
      </c>
      <c r="J4681" s="4" t="s">
        <v>409</v>
      </c>
      <c r="K4681" s="13" t="n">
        <v>650</v>
      </c>
      <c r="L4681" s="6" t="n">
        <f aca="false">H4681*K4681</f>
        <v>650</v>
      </c>
      <c r="M4681" s="14" t="s">
        <v>410</v>
      </c>
    </row>
    <row r="4682" customFormat="false" ht="15" hidden="false" customHeight="false" outlineLevel="0" collapsed="false">
      <c r="A4682" s="4" t="s">
        <v>203</v>
      </c>
      <c r="B4682" s="5" t="s">
        <v>206</v>
      </c>
      <c r="C4682" s="5" t="s">
        <v>207</v>
      </c>
      <c r="D4682" s="4" t="s">
        <v>16</v>
      </c>
      <c r="E4682" s="4" t="s">
        <v>1968</v>
      </c>
      <c r="F4682" s="4" t="s">
        <v>406</v>
      </c>
      <c r="G4682" s="4" t="s">
        <v>1969</v>
      </c>
      <c r="H4682" s="12" t="n">
        <v>1</v>
      </c>
      <c r="I4682" s="4" t="s">
        <v>408</v>
      </c>
      <c r="J4682" s="4" t="s">
        <v>409</v>
      </c>
      <c r="K4682" s="13" t="n">
        <v>6500</v>
      </c>
      <c r="L4682" s="6" t="n">
        <f aca="false">H4682*K4682</f>
        <v>6500</v>
      </c>
      <c r="M4682" s="14" t="s">
        <v>410</v>
      </c>
    </row>
    <row r="4683" customFormat="false" ht="15" hidden="false" customHeight="false" outlineLevel="0" collapsed="false">
      <c r="A4683" s="4" t="s">
        <v>203</v>
      </c>
      <c r="B4683" s="5" t="s">
        <v>206</v>
      </c>
      <c r="C4683" s="5" t="s">
        <v>207</v>
      </c>
      <c r="D4683" s="4" t="s">
        <v>16</v>
      </c>
      <c r="E4683" s="4" t="s">
        <v>1978</v>
      </c>
      <c r="F4683" s="4" t="s">
        <v>406</v>
      </c>
      <c r="G4683" s="4" t="s">
        <v>1979</v>
      </c>
      <c r="H4683" s="12" t="n">
        <v>1</v>
      </c>
      <c r="I4683" s="4" t="s">
        <v>408</v>
      </c>
      <c r="J4683" s="4" t="s">
        <v>409</v>
      </c>
      <c r="K4683" s="13" t="n">
        <v>850</v>
      </c>
      <c r="L4683" s="6" t="n">
        <f aca="false">H4683*K4683</f>
        <v>850</v>
      </c>
      <c r="M4683" s="14" t="s">
        <v>410</v>
      </c>
    </row>
    <row r="4684" customFormat="false" ht="15" hidden="false" customHeight="false" outlineLevel="0" collapsed="false">
      <c r="A4684" s="4" t="s">
        <v>203</v>
      </c>
      <c r="B4684" s="5" t="s">
        <v>206</v>
      </c>
      <c r="C4684" s="5" t="s">
        <v>207</v>
      </c>
      <c r="D4684" s="4" t="s">
        <v>16</v>
      </c>
      <c r="E4684" s="4" t="s">
        <v>5269</v>
      </c>
      <c r="F4684" s="4" t="s">
        <v>406</v>
      </c>
      <c r="G4684" s="4" t="s">
        <v>5270</v>
      </c>
      <c r="H4684" s="12" t="n">
        <v>1</v>
      </c>
      <c r="I4684" s="4" t="s">
        <v>408</v>
      </c>
      <c r="J4684" s="4" t="s">
        <v>409</v>
      </c>
      <c r="K4684" s="13" t="n">
        <v>3500</v>
      </c>
      <c r="L4684" s="6" t="n">
        <f aca="false">H4684*K4684</f>
        <v>3500</v>
      </c>
      <c r="M4684" s="14" t="s">
        <v>410</v>
      </c>
    </row>
    <row r="4685" customFormat="false" ht="15" hidden="false" customHeight="false" outlineLevel="0" collapsed="false">
      <c r="A4685" s="4" t="s">
        <v>203</v>
      </c>
      <c r="B4685" s="5" t="s">
        <v>206</v>
      </c>
      <c r="C4685" s="5" t="s">
        <v>207</v>
      </c>
      <c r="D4685" s="4" t="s">
        <v>16</v>
      </c>
      <c r="E4685" s="4" t="s">
        <v>3583</v>
      </c>
      <c r="F4685" s="4" t="s">
        <v>406</v>
      </c>
      <c r="G4685" s="4" t="s">
        <v>573</v>
      </c>
      <c r="H4685" s="12" t="n">
        <v>1</v>
      </c>
      <c r="I4685" s="4" t="s">
        <v>408</v>
      </c>
      <c r="J4685" s="4" t="s">
        <v>409</v>
      </c>
      <c r="K4685" s="13" t="n">
        <v>2500</v>
      </c>
      <c r="L4685" s="6" t="n">
        <f aca="false">H4685*K4685</f>
        <v>2500</v>
      </c>
      <c r="M4685" s="14" t="s">
        <v>410</v>
      </c>
    </row>
    <row r="4686" customFormat="false" ht="15" hidden="false" customHeight="false" outlineLevel="0" collapsed="false">
      <c r="A4686" s="4" t="s">
        <v>203</v>
      </c>
      <c r="B4686" s="5" t="s">
        <v>206</v>
      </c>
      <c r="C4686" s="5" t="s">
        <v>207</v>
      </c>
      <c r="D4686" s="4" t="s">
        <v>16</v>
      </c>
      <c r="E4686" s="4" t="s">
        <v>2115</v>
      </c>
      <c r="F4686" s="4" t="s">
        <v>406</v>
      </c>
      <c r="G4686" s="4" t="s">
        <v>2116</v>
      </c>
      <c r="H4686" s="12" t="n">
        <v>1</v>
      </c>
      <c r="I4686" s="4" t="s">
        <v>408</v>
      </c>
      <c r="J4686" s="4" t="s">
        <v>409</v>
      </c>
      <c r="K4686" s="13" t="n">
        <v>450</v>
      </c>
      <c r="L4686" s="6" t="n">
        <f aca="false">H4686*K4686</f>
        <v>450</v>
      </c>
      <c r="M4686" s="14" t="s">
        <v>410</v>
      </c>
    </row>
    <row r="4687" customFormat="false" ht="15" hidden="false" customHeight="false" outlineLevel="0" collapsed="false">
      <c r="A4687" s="4" t="s">
        <v>203</v>
      </c>
      <c r="B4687" s="5" t="s">
        <v>206</v>
      </c>
      <c r="C4687" s="5" t="s">
        <v>207</v>
      </c>
      <c r="D4687" s="4" t="s">
        <v>16</v>
      </c>
      <c r="E4687" s="4" t="s">
        <v>2000</v>
      </c>
      <c r="F4687" s="4" t="s">
        <v>406</v>
      </c>
      <c r="G4687" s="4" t="s">
        <v>2001</v>
      </c>
      <c r="H4687" s="12" t="n">
        <v>1</v>
      </c>
      <c r="I4687" s="4" t="s">
        <v>408</v>
      </c>
      <c r="J4687" s="4" t="s">
        <v>409</v>
      </c>
      <c r="K4687" s="13" t="n">
        <v>2500</v>
      </c>
      <c r="L4687" s="6" t="n">
        <f aca="false">H4687*K4687</f>
        <v>2500</v>
      </c>
      <c r="M4687" s="14" t="s">
        <v>410</v>
      </c>
    </row>
    <row r="4688" customFormat="false" ht="15" hidden="false" customHeight="false" outlineLevel="0" collapsed="false">
      <c r="A4688" s="4" t="s">
        <v>203</v>
      </c>
      <c r="B4688" s="5" t="s">
        <v>206</v>
      </c>
      <c r="C4688" s="5" t="s">
        <v>207</v>
      </c>
      <c r="D4688" s="4" t="s">
        <v>16</v>
      </c>
      <c r="E4688" s="4" t="s">
        <v>5329</v>
      </c>
      <c r="F4688" s="4" t="s">
        <v>406</v>
      </c>
      <c r="G4688" s="4" t="s">
        <v>5330</v>
      </c>
      <c r="H4688" s="12" t="n">
        <v>1</v>
      </c>
      <c r="I4688" s="4" t="s">
        <v>408</v>
      </c>
      <c r="J4688" s="4" t="s">
        <v>409</v>
      </c>
      <c r="K4688" s="13" t="n">
        <v>350</v>
      </c>
      <c r="L4688" s="6" t="n">
        <f aca="false">H4688*K4688</f>
        <v>350</v>
      </c>
      <c r="M4688" s="4" t="s">
        <v>371</v>
      </c>
    </row>
    <row r="4689" customFormat="false" ht="15" hidden="false" customHeight="false" outlineLevel="0" collapsed="false">
      <c r="A4689" s="4" t="s">
        <v>203</v>
      </c>
      <c r="B4689" s="5" t="s">
        <v>206</v>
      </c>
      <c r="C4689" s="5" t="s">
        <v>207</v>
      </c>
      <c r="D4689" s="4" t="s">
        <v>16</v>
      </c>
      <c r="E4689" s="4" t="s">
        <v>5331</v>
      </c>
      <c r="F4689" s="4" t="s">
        <v>406</v>
      </c>
      <c r="G4689" s="4" t="s">
        <v>5332</v>
      </c>
      <c r="H4689" s="12" t="n">
        <v>1</v>
      </c>
      <c r="I4689" s="4" t="s">
        <v>408</v>
      </c>
      <c r="J4689" s="4" t="s">
        <v>409</v>
      </c>
      <c r="K4689" s="13" t="n">
        <v>450</v>
      </c>
      <c r="L4689" s="6" t="n">
        <f aca="false">H4689*K4689</f>
        <v>450</v>
      </c>
      <c r="M4689" s="4" t="s">
        <v>371</v>
      </c>
    </row>
    <row r="4690" customFormat="false" ht="15" hidden="false" customHeight="false" outlineLevel="0" collapsed="false">
      <c r="A4690" s="4" t="s">
        <v>203</v>
      </c>
      <c r="B4690" s="5" t="s">
        <v>206</v>
      </c>
      <c r="C4690" s="5" t="s">
        <v>207</v>
      </c>
      <c r="D4690" s="4" t="s">
        <v>16</v>
      </c>
      <c r="E4690" s="4" t="s">
        <v>1980</v>
      </c>
      <c r="F4690" s="4" t="s">
        <v>406</v>
      </c>
      <c r="G4690" s="4" t="s">
        <v>1981</v>
      </c>
      <c r="H4690" s="12" t="n">
        <v>1</v>
      </c>
      <c r="I4690" s="4" t="s">
        <v>408</v>
      </c>
      <c r="J4690" s="4" t="s">
        <v>409</v>
      </c>
      <c r="K4690" s="13" t="n">
        <v>8500</v>
      </c>
      <c r="L4690" s="6" t="n">
        <f aca="false">H4690*K4690</f>
        <v>8500</v>
      </c>
      <c r="M4690" s="14" t="s">
        <v>410</v>
      </c>
    </row>
    <row r="4691" customFormat="false" ht="15" hidden="false" customHeight="false" outlineLevel="0" collapsed="false">
      <c r="A4691" s="4" t="s">
        <v>203</v>
      </c>
      <c r="B4691" s="5" t="s">
        <v>206</v>
      </c>
      <c r="C4691" s="5" t="s">
        <v>207</v>
      </c>
      <c r="D4691" s="4" t="s">
        <v>16</v>
      </c>
      <c r="E4691" s="4" t="s">
        <v>2113</v>
      </c>
      <c r="F4691" s="4" t="s">
        <v>406</v>
      </c>
      <c r="G4691" s="4" t="s">
        <v>2114</v>
      </c>
      <c r="H4691" s="12" t="n">
        <v>1</v>
      </c>
      <c r="I4691" s="4" t="s">
        <v>408</v>
      </c>
      <c r="J4691" s="4" t="s">
        <v>409</v>
      </c>
      <c r="K4691" s="13" t="n">
        <v>18000</v>
      </c>
      <c r="L4691" s="6" t="n">
        <f aca="false">H4691*K4691</f>
        <v>18000</v>
      </c>
      <c r="M4691" s="14" t="s">
        <v>410</v>
      </c>
    </row>
    <row r="4692" customFormat="false" ht="15" hidden="false" customHeight="false" outlineLevel="0" collapsed="false">
      <c r="A4692" s="4" t="s">
        <v>203</v>
      </c>
      <c r="B4692" s="5" t="s">
        <v>206</v>
      </c>
      <c r="C4692" s="5" t="s">
        <v>207</v>
      </c>
      <c r="D4692" s="4" t="s">
        <v>16</v>
      </c>
      <c r="E4692" s="4" t="s">
        <v>1982</v>
      </c>
      <c r="F4692" s="4" t="s">
        <v>406</v>
      </c>
      <c r="G4692" s="4" t="s">
        <v>1983</v>
      </c>
      <c r="H4692" s="12" t="n">
        <v>1</v>
      </c>
      <c r="I4692" s="4" t="s">
        <v>408</v>
      </c>
      <c r="J4692" s="4" t="s">
        <v>409</v>
      </c>
      <c r="K4692" s="13" t="n">
        <v>1800</v>
      </c>
      <c r="L4692" s="6" t="n">
        <f aca="false">H4692*K4692</f>
        <v>1800</v>
      </c>
      <c r="M4692" s="14" t="s">
        <v>410</v>
      </c>
    </row>
    <row r="4693" customFormat="false" ht="15" hidden="false" customHeight="false" outlineLevel="0" collapsed="false">
      <c r="A4693" s="4" t="s">
        <v>203</v>
      </c>
      <c r="B4693" s="5" t="s">
        <v>206</v>
      </c>
      <c r="C4693" s="5" t="s">
        <v>207</v>
      </c>
      <c r="D4693" s="4" t="s">
        <v>16</v>
      </c>
      <c r="E4693" s="4" t="s">
        <v>1990</v>
      </c>
      <c r="F4693" s="4" t="s">
        <v>406</v>
      </c>
      <c r="G4693" s="4" t="s">
        <v>1991</v>
      </c>
      <c r="H4693" s="12" t="n">
        <v>1</v>
      </c>
      <c r="I4693" s="4" t="s">
        <v>408</v>
      </c>
      <c r="J4693" s="4" t="s">
        <v>409</v>
      </c>
      <c r="K4693" s="13" t="n">
        <v>4500</v>
      </c>
      <c r="L4693" s="6" t="n">
        <f aca="false">H4693*K4693</f>
        <v>4500</v>
      </c>
      <c r="M4693" s="14" t="s">
        <v>410</v>
      </c>
    </row>
    <row r="4694" customFormat="false" ht="15" hidden="false" customHeight="false" outlineLevel="0" collapsed="false">
      <c r="A4694" s="4" t="s">
        <v>203</v>
      </c>
      <c r="B4694" s="5" t="s">
        <v>206</v>
      </c>
      <c r="C4694" s="5" t="s">
        <v>207</v>
      </c>
      <c r="D4694" s="4" t="s">
        <v>16</v>
      </c>
      <c r="E4694" s="4" t="s">
        <v>467</v>
      </c>
      <c r="F4694" s="4" t="s">
        <v>406</v>
      </c>
      <c r="G4694" s="4" t="s">
        <v>468</v>
      </c>
      <c r="H4694" s="12" t="n">
        <v>1</v>
      </c>
      <c r="I4694" s="4" t="s">
        <v>408</v>
      </c>
      <c r="J4694" s="4" t="s">
        <v>409</v>
      </c>
      <c r="K4694" s="13" t="n">
        <v>250</v>
      </c>
      <c r="L4694" s="6" t="n">
        <f aca="false">H4694*K4694</f>
        <v>250</v>
      </c>
      <c r="M4694" s="14" t="s">
        <v>410</v>
      </c>
    </row>
    <row r="4695" customFormat="false" ht="15" hidden="false" customHeight="false" outlineLevel="0" collapsed="false">
      <c r="A4695" s="4" t="s">
        <v>203</v>
      </c>
      <c r="B4695" s="5" t="s">
        <v>206</v>
      </c>
      <c r="C4695" s="5" t="s">
        <v>207</v>
      </c>
      <c r="D4695" s="4" t="s">
        <v>16</v>
      </c>
      <c r="E4695" s="4" t="s">
        <v>1992</v>
      </c>
      <c r="F4695" s="4" t="s">
        <v>406</v>
      </c>
      <c r="G4695" s="4" t="s">
        <v>1993</v>
      </c>
      <c r="H4695" s="12" t="n">
        <v>1</v>
      </c>
      <c r="I4695" s="4" t="s">
        <v>408</v>
      </c>
      <c r="J4695" s="4" t="s">
        <v>409</v>
      </c>
      <c r="K4695" s="13" t="n">
        <v>2500</v>
      </c>
      <c r="L4695" s="6" t="n">
        <f aca="false">H4695*K4695</f>
        <v>2500</v>
      </c>
      <c r="M4695" s="4" t="s">
        <v>371</v>
      </c>
    </row>
    <row r="4696" customFormat="false" ht="15" hidden="false" customHeight="false" outlineLevel="0" collapsed="false">
      <c r="A4696" s="4" t="s">
        <v>203</v>
      </c>
      <c r="B4696" s="5" t="s">
        <v>206</v>
      </c>
      <c r="C4696" s="5" t="s">
        <v>207</v>
      </c>
      <c r="D4696" s="4" t="s">
        <v>16</v>
      </c>
      <c r="E4696" s="4" t="s">
        <v>5333</v>
      </c>
      <c r="F4696" s="4" t="s">
        <v>406</v>
      </c>
      <c r="G4696" s="4" t="s">
        <v>5334</v>
      </c>
      <c r="H4696" s="12" t="n">
        <v>1</v>
      </c>
      <c r="I4696" s="4" t="s">
        <v>408</v>
      </c>
      <c r="J4696" s="4" t="s">
        <v>409</v>
      </c>
      <c r="K4696" s="13" t="n">
        <v>1200</v>
      </c>
      <c r="L4696" s="6" t="n">
        <f aca="false">H4696*K4696</f>
        <v>1200</v>
      </c>
      <c r="M4696" s="14" t="s">
        <v>410</v>
      </c>
    </row>
    <row r="4697" customFormat="false" ht="15" hidden="false" customHeight="false" outlineLevel="0" collapsed="false">
      <c r="A4697" s="4" t="s">
        <v>203</v>
      </c>
      <c r="B4697" s="5" t="s">
        <v>206</v>
      </c>
      <c r="C4697" s="5" t="s">
        <v>207</v>
      </c>
      <c r="D4697" s="4" t="s">
        <v>16</v>
      </c>
      <c r="E4697" s="4" t="s">
        <v>5335</v>
      </c>
      <c r="F4697" s="4" t="s">
        <v>406</v>
      </c>
      <c r="G4697" s="4" t="s">
        <v>5336</v>
      </c>
      <c r="H4697" s="12" t="n">
        <v>1</v>
      </c>
      <c r="I4697" s="4" t="s">
        <v>408</v>
      </c>
      <c r="J4697" s="4" t="s">
        <v>409</v>
      </c>
      <c r="K4697" s="13" t="n">
        <v>6500</v>
      </c>
      <c r="L4697" s="6" t="n">
        <f aca="false">H4697*K4697</f>
        <v>6500</v>
      </c>
      <c r="M4697" s="14" t="s">
        <v>410</v>
      </c>
    </row>
    <row r="4698" customFormat="false" ht="15" hidden="false" customHeight="false" outlineLevel="0" collapsed="false">
      <c r="A4698" s="4" t="s">
        <v>203</v>
      </c>
      <c r="B4698" s="5" t="s">
        <v>206</v>
      </c>
      <c r="C4698" s="5" t="s">
        <v>207</v>
      </c>
      <c r="D4698" s="4" t="s">
        <v>16</v>
      </c>
      <c r="E4698" s="4" t="s">
        <v>5337</v>
      </c>
      <c r="F4698" s="4" t="s">
        <v>406</v>
      </c>
      <c r="G4698" s="4" t="s">
        <v>5338</v>
      </c>
      <c r="H4698" s="12" t="n">
        <v>1</v>
      </c>
      <c r="I4698" s="4" t="s">
        <v>408</v>
      </c>
      <c r="J4698" s="4" t="s">
        <v>409</v>
      </c>
      <c r="K4698" s="13" t="n">
        <v>1800</v>
      </c>
      <c r="L4698" s="6" t="n">
        <f aca="false">H4698*K4698</f>
        <v>1800</v>
      </c>
      <c r="M4698" s="14" t="s">
        <v>410</v>
      </c>
    </row>
    <row r="4699" customFormat="false" ht="15" hidden="false" customHeight="false" outlineLevel="0" collapsed="false">
      <c r="A4699" s="4" t="s">
        <v>203</v>
      </c>
      <c r="B4699" s="5" t="s">
        <v>206</v>
      </c>
      <c r="C4699" s="5" t="s">
        <v>207</v>
      </c>
      <c r="D4699" s="4" t="s">
        <v>16</v>
      </c>
      <c r="E4699" s="4" t="s">
        <v>5339</v>
      </c>
      <c r="F4699" s="4" t="s">
        <v>406</v>
      </c>
      <c r="G4699" s="4" t="s">
        <v>5340</v>
      </c>
      <c r="H4699" s="12" t="n">
        <v>1</v>
      </c>
      <c r="I4699" s="4" t="s">
        <v>408</v>
      </c>
      <c r="J4699" s="4" t="s">
        <v>409</v>
      </c>
      <c r="K4699" s="13" t="n">
        <v>350</v>
      </c>
      <c r="L4699" s="6" t="n">
        <f aca="false">H4699*K4699</f>
        <v>350</v>
      </c>
      <c r="M4699" s="14" t="s">
        <v>410</v>
      </c>
    </row>
    <row r="4700" customFormat="false" ht="15" hidden="false" customHeight="false" outlineLevel="0" collapsed="false">
      <c r="A4700" s="4" t="s">
        <v>203</v>
      </c>
      <c r="B4700" s="5" t="s">
        <v>206</v>
      </c>
      <c r="C4700" s="5" t="s">
        <v>207</v>
      </c>
      <c r="D4700" s="4" t="s">
        <v>16</v>
      </c>
      <c r="E4700" s="4" t="s">
        <v>5341</v>
      </c>
      <c r="F4700" s="4" t="s">
        <v>406</v>
      </c>
      <c r="G4700" s="4" t="s">
        <v>5342</v>
      </c>
      <c r="H4700" s="12" t="n">
        <v>1</v>
      </c>
      <c r="I4700" s="4" t="s">
        <v>408</v>
      </c>
      <c r="J4700" s="4" t="s">
        <v>409</v>
      </c>
      <c r="K4700" s="13" t="n">
        <v>18000</v>
      </c>
      <c r="L4700" s="6" t="n">
        <f aca="false">H4700*K4700</f>
        <v>18000</v>
      </c>
      <c r="M4700" s="14" t="s">
        <v>410</v>
      </c>
    </row>
    <row r="4701" customFormat="false" ht="15" hidden="false" customHeight="false" outlineLevel="0" collapsed="false">
      <c r="A4701" s="4" t="s">
        <v>203</v>
      </c>
      <c r="B4701" s="5" t="s">
        <v>206</v>
      </c>
      <c r="C4701" s="5" t="s">
        <v>207</v>
      </c>
      <c r="D4701" s="4" t="s">
        <v>16</v>
      </c>
      <c r="E4701" s="4" t="s">
        <v>5343</v>
      </c>
      <c r="F4701" s="4" t="s">
        <v>406</v>
      </c>
      <c r="G4701" s="4" t="s">
        <v>5344</v>
      </c>
      <c r="H4701" s="12" t="n">
        <v>1</v>
      </c>
      <c r="I4701" s="4" t="s">
        <v>408</v>
      </c>
      <c r="J4701" s="4" t="s">
        <v>409</v>
      </c>
      <c r="K4701" s="13" t="n">
        <v>450</v>
      </c>
      <c r="L4701" s="6" t="n">
        <f aca="false">H4701*K4701</f>
        <v>450</v>
      </c>
      <c r="M4701" s="4" t="s">
        <v>371</v>
      </c>
    </row>
    <row r="4702" customFormat="false" ht="15" hidden="false" customHeight="false" outlineLevel="0" collapsed="false">
      <c r="A4702" s="4" t="s">
        <v>203</v>
      </c>
      <c r="B4702" s="5" t="s">
        <v>206</v>
      </c>
      <c r="C4702" s="5" t="s">
        <v>207</v>
      </c>
      <c r="D4702" s="4" t="s">
        <v>16</v>
      </c>
      <c r="E4702" s="4" t="s">
        <v>5345</v>
      </c>
      <c r="F4702" s="4" t="s">
        <v>406</v>
      </c>
      <c r="G4702" s="4" t="s">
        <v>5346</v>
      </c>
      <c r="H4702" s="12" t="n">
        <v>1</v>
      </c>
      <c r="I4702" s="4" t="s">
        <v>408</v>
      </c>
      <c r="J4702" s="4" t="s">
        <v>409</v>
      </c>
      <c r="K4702" s="13" t="n">
        <v>250</v>
      </c>
      <c r="L4702" s="6" t="n">
        <f aca="false">H4702*K4702</f>
        <v>250</v>
      </c>
      <c r="M4702" s="14" t="s">
        <v>410</v>
      </c>
    </row>
    <row r="4703" customFormat="false" ht="15" hidden="false" customHeight="false" outlineLevel="0" collapsed="false">
      <c r="A4703" s="4" t="s">
        <v>203</v>
      </c>
      <c r="B4703" s="5" t="s">
        <v>206</v>
      </c>
      <c r="C4703" s="5" t="s">
        <v>207</v>
      </c>
      <c r="D4703" s="4" t="s">
        <v>16</v>
      </c>
      <c r="E4703" s="4" t="s">
        <v>1998</v>
      </c>
      <c r="F4703" s="4" t="s">
        <v>406</v>
      </c>
      <c r="G4703" s="4" t="s">
        <v>1999</v>
      </c>
      <c r="H4703" s="12" t="n">
        <v>1</v>
      </c>
      <c r="I4703" s="4" t="s">
        <v>408</v>
      </c>
      <c r="J4703" s="4" t="s">
        <v>409</v>
      </c>
      <c r="K4703" s="13" t="n">
        <v>4500</v>
      </c>
      <c r="L4703" s="6" t="n">
        <f aca="false">H4703*K4703</f>
        <v>4500</v>
      </c>
      <c r="M4703" s="14" t="s">
        <v>410</v>
      </c>
    </row>
    <row r="4704" customFormat="false" ht="15" hidden="false" customHeight="false" outlineLevel="0" collapsed="false">
      <c r="A4704" s="4" t="s">
        <v>203</v>
      </c>
      <c r="B4704" s="5" t="s">
        <v>206</v>
      </c>
      <c r="C4704" s="5" t="s">
        <v>207</v>
      </c>
      <c r="D4704" s="4" t="s">
        <v>16</v>
      </c>
      <c r="E4704" s="4" t="s">
        <v>1697</v>
      </c>
      <c r="F4704" s="4" t="s">
        <v>470</v>
      </c>
      <c r="G4704" s="4" t="s">
        <v>1698</v>
      </c>
      <c r="H4704" s="12" t="n">
        <v>1</v>
      </c>
      <c r="I4704" s="4" t="s">
        <v>408</v>
      </c>
      <c r="J4704" s="4" t="s">
        <v>409</v>
      </c>
      <c r="K4704" s="13" t="n">
        <v>45000</v>
      </c>
      <c r="L4704" s="6" t="n">
        <f aca="false">H4704*K4704</f>
        <v>45000</v>
      </c>
      <c r="M4704" s="14" t="s">
        <v>410</v>
      </c>
    </row>
    <row r="4705" customFormat="false" ht="15" hidden="false" customHeight="false" outlineLevel="0" collapsed="false">
      <c r="A4705" s="4" t="s">
        <v>203</v>
      </c>
      <c r="B4705" s="5" t="s">
        <v>206</v>
      </c>
      <c r="C4705" s="5" t="s">
        <v>207</v>
      </c>
      <c r="D4705" s="4" t="s">
        <v>16</v>
      </c>
      <c r="E4705" s="4" t="s">
        <v>1520</v>
      </c>
      <c r="F4705" s="4" t="s">
        <v>470</v>
      </c>
      <c r="G4705" s="4" t="s">
        <v>1521</v>
      </c>
      <c r="H4705" s="12" t="n">
        <v>1</v>
      </c>
      <c r="I4705" s="4" t="s">
        <v>408</v>
      </c>
      <c r="J4705" s="4" t="s">
        <v>409</v>
      </c>
      <c r="K4705" s="13" t="n">
        <v>4500</v>
      </c>
      <c r="L4705" s="6" t="n">
        <f aca="false">H4705*K4705</f>
        <v>4500</v>
      </c>
      <c r="M4705" s="4" t="s">
        <v>371</v>
      </c>
    </row>
    <row r="4706" customFormat="false" ht="15" hidden="false" customHeight="false" outlineLevel="0" collapsed="false">
      <c r="A4706" s="4" t="s">
        <v>203</v>
      </c>
      <c r="B4706" s="5" t="s">
        <v>206</v>
      </c>
      <c r="C4706" s="5" t="s">
        <v>207</v>
      </c>
      <c r="D4706" s="4" t="s">
        <v>16</v>
      </c>
      <c r="E4706" s="4" t="s">
        <v>5347</v>
      </c>
      <c r="F4706" s="4" t="s">
        <v>470</v>
      </c>
      <c r="G4706" s="4" t="s">
        <v>5348</v>
      </c>
      <c r="H4706" s="12" t="n">
        <v>1</v>
      </c>
      <c r="I4706" s="4" t="s">
        <v>408</v>
      </c>
      <c r="J4706" s="4" t="s">
        <v>409</v>
      </c>
      <c r="K4706" s="13" t="n">
        <v>85000</v>
      </c>
      <c r="L4706" s="6" t="n">
        <f aca="false">H4706*K4706</f>
        <v>85000</v>
      </c>
      <c r="M4706" s="4" t="s">
        <v>371</v>
      </c>
    </row>
    <row r="4707" customFormat="false" ht="15" hidden="false" customHeight="false" outlineLevel="0" collapsed="false">
      <c r="A4707" s="4" t="s">
        <v>203</v>
      </c>
      <c r="B4707" s="5" t="s">
        <v>206</v>
      </c>
      <c r="C4707" s="5" t="s">
        <v>207</v>
      </c>
      <c r="D4707" s="4" t="s">
        <v>16</v>
      </c>
      <c r="E4707" s="4" t="s">
        <v>5349</v>
      </c>
      <c r="F4707" s="4" t="s">
        <v>470</v>
      </c>
      <c r="G4707" s="4" t="s">
        <v>5350</v>
      </c>
      <c r="H4707" s="12" t="n">
        <v>1</v>
      </c>
      <c r="I4707" s="4" t="s">
        <v>408</v>
      </c>
      <c r="J4707" s="4" t="s">
        <v>409</v>
      </c>
      <c r="K4707" s="13" t="n">
        <v>8500</v>
      </c>
      <c r="L4707" s="6" t="n">
        <f aca="false">H4707*K4707</f>
        <v>8500</v>
      </c>
      <c r="M4707" s="4" t="s">
        <v>371</v>
      </c>
    </row>
    <row r="4708" customFormat="false" ht="15" hidden="false" customHeight="false" outlineLevel="0" collapsed="false">
      <c r="A4708" s="4" t="s">
        <v>203</v>
      </c>
      <c r="B4708" s="5" t="s">
        <v>206</v>
      </c>
      <c r="C4708" s="5" t="s">
        <v>207</v>
      </c>
      <c r="D4708" s="4" t="s">
        <v>16</v>
      </c>
      <c r="E4708" s="4" t="s">
        <v>2012</v>
      </c>
      <c r="F4708" s="4" t="s">
        <v>470</v>
      </c>
      <c r="G4708" s="4" t="s">
        <v>2013</v>
      </c>
      <c r="H4708" s="12" t="n">
        <v>1</v>
      </c>
      <c r="I4708" s="4" t="s">
        <v>408</v>
      </c>
      <c r="J4708" s="4" t="s">
        <v>409</v>
      </c>
      <c r="K4708" s="13" t="n">
        <v>8500</v>
      </c>
      <c r="L4708" s="6" t="n">
        <f aca="false">H4708*K4708</f>
        <v>8500</v>
      </c>
      <c r="M4708" s="4" t="s">
        <v>371</v>
      </c>
    </row>
    <row r="4709" customFormat="false" ht="15" hidden="false" customHeight="false" outlineLevel="0" collapsed="false">
      <c r="A4709" s="4" t="s">
        <v>203</v>
      </c>
      <c r="B4709" s="5" t="s">
        <v>206</v>
      </c>
      <c r="C4709" s="5" t="s">
        <v>207</v>
      </c>
      <c r="D4709" s="4" t="s">
        <v>16</v>
      </c>
      <c r="E4709" s="4" t="s">
        <v>2014</v>
      </c>
      <c r="F4709" s="4" t="s">
        <v>470</v>
      </c>
      <c r="G4709" s="4" t="s">
        <v>2015</v>
      </c>
      <c r="H4709" s="12" t="n">
        <v>1</v>
      </c>
      <c r="I4709" s="4" t="s">
        <v>408</v>
      </c>
      <c r="J4709" s="4" t="s">
        <v>409</v>
      </c>
      <c r="K4709" s="13" t="n">
        <v>8500</v>
      </c>
      <c r="L4709" s="6" t="n">
        <f aca="false">H4709*K4709</f>
        <v>8500</v>
      </c>
      <c r="M4709" s="4" t="s">
        <v>371</v>
      </c>
    </row>
    <row r="4710" customFormat="false" ht="15" hidden="false" customHeight="false" outlineLevel="0" collapsed="false">
      <c r="A4710" s="4" t="s">
        <v>203</v>
      </c>
      <c r="B4710" s="5" t="s">
        <v>206</v>
      </c>
      <c r="C4710" s="5" t="s">
        <v>207</v>
      </c>
      <c r="D4710" s="4" t="s">
        <v>16</v>
      </c>
      <c r="E4710" s="4" t="s">
        <v>1976</v>
      </c>
      <c r="F4710" s="4" t="s">
        <v>470</v>
      </c>
      <c r="G4710" s="4" t="s">
        <v>1977</v>
      </c>
      <c r="H4710" s="12" t="n">
        <v>1</v>
      </c>
      <c r="I4710" s="4" t="s">
        <v>408</v>
      </c>
      <c r="J4710" s="4" t="s">
        <v>409</v>
      </c>
      <c r="K4710" s="13" t="n">
        <v>4500</v>
      </c>
      <c r="L4710" s="6" t="n">
        <f aca="false">H4710*K4710</f>
        <v>4500</v>
      </c>
      <c r="M4710" s="14" t="s">
        <v>410</v>
      </c>
    </row>
    <row r="4711" customFormat="false" ht="15" hidden="false" customHeight="false" outlineLevel="0" collapsed="false">
      <c r="A4711" s="4" t="s">
        <v>203</v>
      </c>
      <c r="B4711" s="5" t="s">
        <v>206</v>
      </c>
      <c r="C4711" s="5" t="s">
        <v>207</v>
      </c>
      <c r="D4711" s="4" t="s">
        <v>16</v>
      </c>
      <c r="E4711" s="4" t="s">
        <v>5295</v>
      </c>
      <c r="F4711" s="4" t="s">
        <v>470</v>
      </c>
      <c r="G4711" s="4" t="s">
        <v>5296</v>
      </c>
      <c r="H4711" s="12" t="n">
        <v>1</v>
      </c>
      <c r="I4711" s="4" t="s">
        <v>408</v>
      </c>
      <c r="J4711" s="4" t="s">
        <v>409</v>
      </c>
      <c r="K4711" s="13" t="n">
        <v>850</v>
      </c>
      <c r="L4711" s="6" t="n">
        <f aca="false">H4711*K4711</f>
        <v>850</v>
      </c>
      <c r="M4711" s="4" t="s">
        <v>371</v>
      </c>
    </row>
    <row r="4712" customFormat="false" ht="15" hidden="false" customHeight="false" outlineLevel="0" collapsed="false">
      <c r="A4712" s="4" t="s">
        <v>203</v>
      </c>
      <c r="B4712" s="5" t="s">
        <v>206</v>
      </c>
      <c r="C4712" s="5" t="s">
        <v>207</v>
      </c>
      <c r="D4712" s="4" t="s">
        <v>16</v>
      </c>
      <c r="E4712" s="4" t="s">
        <v>5351</v>
      </c>
      <c r="F4712" s="4" t="s">
        <v>470</v>
      </c>
      <c r="G4712" s="4" t="s">
        <v>5352</v>
      </c>
      <c r="H4712" s="12" t="n">
        <v>1</v>
      </c>
      <c r="I4712" s="4" t="s">
        <v>408</v>
      </c>
      <c r="J4712" s="4" t="s">
        <v>409</v>
      </c>
      <c r="K4712" s="13" t="n">
        <v>850</v>
      </c>
      <c r="L4712" s="6" t="n">
        <f aca="false">H4712*K4712</f>
        <v>850</v>
      </c>
      <c r="M4712" s="4" t="s">
        <v>371</v>
      </c>
    </row>
    <row r="4713" customFormat="false" ht="15" hidden="false" customHeight="false" outlineLevel="0" collapsed="false">
      <c r="A4713" s="4" t="s">
        <v>203</v>
      </c>
      <c r="B4713" s="5" t="s">
        <v>206</v>
      </c>
      <c r="C4713" s="5" t="s">
        <v>207</v>
      </c>
      <c r="D4713" s="4" t="s">
        <v>16</v>
      </c>
      <c r="E4713" s="4" t="s">
        <v>1453</v>
      </c>
      <c r="F4713" s="4" t="s">
        <v>470</v>
      </c>
      <c r="G4713" s="4" t="s">
        <v>1090</v>
      </c>
      <c r="H4713" s="12" t="n">
        <v>1</v>
      </c>
      <c r="I4713" s="4" t="s">
        <v>408</v>
      </c>
      <c r="J4713" s="4" t="s">
        <v>409</v>
      </c>
      <c r="K4713" s="13" t="n">
        <v>3500</v>
      </c>
      <c r="L4713" s="6" t="n">
        <f aca="false">H4713*K4713</f>
        <v>3500</v>
      </c>
      <c r="M4713" s="4" t="s">
        <v>371</v>
      </c>
    </row>
    <row r="4714" customFormat="false" ht="15" hidden="false" customHeight="false" outlineLevel="0" collapsed="false">
      <c r="A4714" s="4" t="s">
        <v>203</v>
      </c>
      <c r="B4714" s="5" t="s">
        <v>206</v>
      </c>
      <c r="C4714" s="5" t="s">
        <v>207</v>
      </c>
      <c r="D4714" s="4" t="s">
        <v>16</v>
      </c>
      <c r="E4714" s="4" t="s">
        <v>1096</v>
      </c>
      <c r="F4714" s="4" t="s">
        <v>470</v>
      </c>
      <c r="G4714" s="4" t="s">
        <v>1097</v>
      </c>
      <c r="H4714" s="12" t="n">
        <v>1</v>
      </c>
      <c r="I4714" s="4" t="s">
        <v>408</v>
      </c>
      <c r="J4714" s="4" t="s">
        <v>475</v>
      </c>
      <c r="K4714" s="13" t="n">
        <v>350</v>
      </c>
      <c r="L4714" s="6" t="n">
        <f aca="false">H4714*K4714</f>
        <v>350</v>
      </c>
      <c r="M4714" s="4" t="s">
        <v>371</v>
      </c>
    </row>
    <row r="4715" customFormat="false" ht="15" hidden="false" customHeight="false" outlineLevel="0" collapsed="false">
      <c r="A4715" s="4" t="s">
        <v>203</v>
      </c>
      <c r="B4715" s="5" t="s">
        <v>206</v>
      </c>
      <c r="C4715" s="5" t="s">
        <v>207</v>
      </c>
      <c r="D4715" s="4" t="s">
        <v>16</v>
      </c>
      <c r="E4715" s="4" t="s">
        <v>2020</v>
      </c>
      <c r="F4715" s="4" t="s">
        <v>470</v>
      </c>
      <c r="G4715" s="4" t="s">
        <v>2021</v>
      </c>
      <c r="H4715" s="12" t="n">
        <v>1</v>
      </c>
      <c r="I4715" s="4" t="s">
        <v>408</v>
      </c>
      <c r="J4715" s="4" t="s">
        <v>409</v>
      </c>
      <c r="K4715" s="13" t="n">
        <v>850</v>
      </c>
      <c r="L4715" s="6" t="n">
        <f aca="false">H4715*K4715</f>
        <v>850</v>
      </c>
      <c r="M4715" s="4" t="s">
        <v>371</v>
      </c>
    </row>
    <row r="4716" customFormat="false" ht="15" hidden="false" customHeight="false" outlineLevel="0" collapsed="false">
      <c r="A4716" s="4" t="s">
        <v>203</v>
      </c>
      <c r="B4716" s="5" t="s">
        <v>206</v>
      </c>
      <c r="C4716" s="5" t="s">
        <v>207</v>
      </c>
      <c r="D4716" s="4" t="s">
        <v>16</v>
      </c>
      <c r="E4716" s="4" t="s">
        <v>5353</v>
      </c>
      <c r="F4716" s="4" t="s">
        <v>470</v>
      </c>
      <c r="G4716" s="4" t="s">
        <v>5354</v>
      </c>
      <c r="H4716" s="12" t="n">
        <v>1</v>
      </c>
      <c r="I4716" s="4" t="s">
        <v>408</v>
      </c>
      <c r="J4716" s="4" t="s">
        <v>762</v>
      </c>
      <c r="K4716" s="13" t="n">
        <v>120</v>
      </c>
      <c r="L4716" s="6" t="n">
        <f aca="false">H4716*K4716</f>
        <v>120</v>
      </c>
      <c r="M4716" s="4" t="s">
        <v>371</v>
      </c>
    </row>
    <row r="4717" customFormat="false" ht="15" hidden="false" customHeight="false" outlineLevel="0" collapsed="false">
      <c r="A4717" s="4" t="s">
        <v>203</v>
      </c>
      <c r="B4717" s="5" t="s">
        <v>206</v>
      </c>
      <c r="C4717" s="5" t="s">
        <v>207</v>
      </c>
      <c r="D4717" s="4" t="s">
        <v>16</v>
      </c>
      <c r="E4717" s="4" t="s">
        <v>5355</v>
      </c>
      <c r="F4717" s="4" t="s">
        <v>470</v>
      </c>
      <c r="G4717" s="4" t="s">
        <v>5356</v>
      </c>
      <c r="H4717" s="12" t="n">
        <v>1</v>
      </c>
      <c r="I4717" s="4" t="s">
        <v>408</v>
      </c>
      <c r="J4717" s="4" t="s">
        <v>762</v>
      </c>
      <c r="K4717" s="13" t="n">
        <v>120</v>
      </c>
      <c r="L4717" s="6" t="n">
        <f aca="false">H4717*K4717</f>
        <v>120</v>
      </c>
      <c r="M4717" s="4" t="s">
        <v>371</v>
      </c>
    </row>
    <row r="4718" customFormat="false" ht="15" hidden="false" customHeight="false" outlineLevel="0" collapsed="false">
      <c r="A4718" s="4" t="s">
        <v>203</v>
      </c>
      <c r="B4718" s="5" t="s">
        <v>206</v>
      </c>
      <c r="C4718" s="5" t="s">
        <v>207</v>
      </c>
      <c r="D4718" s="4" t="s">
        <v>16</v>
      </c>
      <c r="E4718" s="4" t="s">
        <v>5357</v>
      </c>
      <c r="F4718" s="4" t="s">
        <v>470</v>
      </c>
      <c r="G4718" s="4" t="s">
        <v>5358</v>
      </c>
      <c r="H4718" s="12" t="n">
        <v>1</v>
      </c>
      <c r="I4718" s="4" t="s">
        <v>408</v>
      </c>
      <c r="J4718" s="4" t="s">
        <v>762</v>
      </c>
      <c r="K4718" s="13" t="n">
        <v>120</v>
      </c>
      <c r="L4718" s="6" t="n">
        <f aca="false">H4718*K4718</f>
        <v>120</v>
      </c>
      <c r="M4718" s="4" t="s">
        <v>371</v>
      </c>
    </row>
    <row r="4719" customFormat="false" ht="15" hidden="false" customHeight="false" outlineLevel="0" collapsed="false">
      <c r="A4719" s="4" t="s">
        <v>203</v>
      </c>
      <c r="B4719" s="5" t="s">
        <v>206</v>
      </c>
      <c r="C4719" s="5" t="s">
        <v>207</v>
      </c>
      <c r="D4719" s="4" t="s">
        <v>16</v>
      </c>
      <c r="E4719" s="4" t="s">
        <v>5359</v>
      </c>
      <c r="F4719" s="4" t="s">
        <v>470</v>
      </c>
      <c r="G4719" s="4" t="s">
        <v>5360</v>
      </c>
      <c r="H4719" s="12" t="n">
        <v>1</v>
      </c>
      <c r="I4719" s="4" t="s">
        <v>408</v>
      </c>
      <c r="J4719" s="4" t="s">
        <v>409</v>
      </c>
      <c r="K4719" s="13" t="n">
        <v>8500</v>
      </c>
      <c r="L4719" s="6" t="n">
        <f aca="false">H4719*K4719</f>
        <v>8500</v>
      </c>
      <c r="M4719" s="4" t="s">
        <v>371</v>
      </c>
    </row>
    <row r="4720" customFormat="false" ht="15" hidden="false" customHeight="false" outlineLevel="0" collapsed="false">
      <c r="A4720" s="4" t="s">
        <v>203</v>
      </c>
      <c r="B4720" s="5" t="s">
        <v>206</v>
      </c>
      <c r="C4720" s="5" t="s">
        <v>207</v>
      </c>
      <c r="D4720" s="4" t="s">
        <v>16</v>
      </c>
      <c r="E4720" s="4" t="s">
        <v>1423</v>
      </c>
      <c r="F4720" s="4" t="s">
        <v>470</v>
      </c>
      <c r="G4720" s="4" t="s">
        <v>1424</v>
      </c>
      <c r="H4720" s="12" t="n">
        <v>1</v>
      </c>
      <c r="I4720" s="4" t="s">
        <v>408</v>
      </c>
      <c r="J4720" s="4" t="s">
        <v>409</v>
      </c>
      <c r="K4720" s="13" t="n">
        <v>3500</v>
      </c>
      <c r="L4720" s="6" t="n">
        <f aca="false">H4720*K4720</f>
        <v>3500</v>
      </c>
      <c r="M4720" s="4" t="s">
        <v>371</v>
      </c>
    </row>
    <row r="4721" customFormat="false" ht="15" hidden="false" customHeight="false" outlineLevel="0" collapsed="false">
      <c r="A4721" s="4" t="s">
        <v>203</v>
      </c>
      <c r="B4721" s="5" t="s">
        <v>206</v>
      </c>
      <c r="C4721" s="5" t="s">
        <v>207</v>
      </c>
      <c r="D4721" s="4" t="s">
        <v>16</v>
      </c>
      <c r="E4721" s="4" t="s">
        <v>2032</v>
      </c>
      <c r="F4721" s="4" t="s">
        <v>488</v>
      </c>
      <c r="G4721" s="4" t="s">
        <v>2033</v>
      </c>
      <c r="H4721" s="12" t="n">
        <v>1</v>
      </c>
      <c r="I4721" s="4" t="s">
        <v>408</v>
      </c>
      <c r="J4721" s="4" t="s">
        <v>409</v>
      </c>
      <c r="K4721" s="13" t="n">
        <v>80</v>
      </c>
      <c r="L4721" s="6" t="n">
        <f aca="false">H4721*K4721</f>
        <v>80</v>
      </c>
      <c r="M4721" s="4" t="s">
        <v>371</v>
      </c>
    </row>
    <row r="4722" customFormat="false" ht="15" hidden="false" customHeight="false" outlineLevel="0" collapsed="false">
      <c r="A4722" s="4" t="s">
        <v>203</v>
      </c>
      <c r="B4722" s="5" t="s">
        <v>206</v>
      </c>
      <c r="C4722" s="5" t="s">
        <v>207</v>
      </c>
      <c r="D4722" s="4" t="s">
        <v>16</v>
      </c>
      <c r="E4722" s="4" t="s">
        <v>2117</v>
      </c>
      <c r="F4722" s="4" t="s">
        <v>488</v>
      </c>
      <c r="G4722" s="4" t="s">
        <v>2118</v>
      </c>
      <c r="H4722" s="12" t="n">
        <v>1</v>
      </c>
      <c r="I4722" s="4" t="s">
        <v>408</v>
      </c>
      <c r="J4722" s="4" t="s">
        <v>409</v>
      </c>
      <c r="K4722" s="13" t="n">
        <v>250</v>
      </c>
      <c r="L4722" s="6" t="n">
        <f aca="false">H4722*K4722</f>
        <v>250</v>
      </c>
      <c r="M4722" s="4" t="s">
        <v>371</v>
      </c>
    </row>
    <row r="4723" customFormat="false" ht="15" hidden="false" customHeight="false" outlineLevel="0" collapsed="false">
      <c r="A4723" s="4" t="s">
        <v>203</v>
      </c>
      <c r="B4723" s="5" t="s">
        <v>206</v>
      </c>
      <c r="C4723" s="5" t="s">
        <v>207</v>
      </c>
      <c r="D4723" s="4" t="s">
        <v>16</v>
      </c>
      <c r="E4723" s="4" t="s">
        <v>5361</v>
      </c>
      <c r="F4723" s="4" t="s">
        <v>488</v>
      </c>
      <c r="G4723" s="4" t="s">
        <v>5362</v>
      </c>
      <c r="H4723" s="12" t="n">
        <v>1</v>
      </c>
      <c r="I4723" s="4" t="s">
        <v>408</v>
      </c>
      <c r="J4723" s="4" t="s">
        <v>762</v>
      </c>
      <c r="K4723" s="13" t="n">
        <v>150</v>
      </c>
      <c r="L4723" s="6" t="n">
        <f aca="false">H4723*K4723</f>
        <v>150</v>
      </c>
      <c r="M4723" s="4" t="s">
        <v>371</v>
      </c>
    </row>
    <row r="4724" customFormat="false" ht="15" hidden="false" customHeight="false" outlineLevel="0" collapsed="false">
      <c r="A4724" s="4" t="s">
        <v>203</v>
      </c>
      <c r="B4724" s="5" t="s">
        <v>206</v>
      </c>
      <c r="C4724" s="5" t="s">
        <v>207</v>
      </c>
      <c r="D4724" s="4" t="s">
        <v>16</v>
      </c>
      <c r="E4724" s="4" t="s">
        <v>5363</v>
      </c>
      <c r="F4724" s="4" t="s">
        <v>488</v>
      </c>
      <c r="G4724" s="4" t="s">
        <v>5364</v>
      </c>
      <c r="H4724" s="12" t="n">
        <v>1</v>
      </c>
      <c r="I4724" s="4" t="s">
        <v>408</v>
      </c>
      <c r="J4724" s="4" t="s">
        <v>762</v>
      </c>
      <c r="K4724" s="13" t="n">
        <v>180</v>
      </c>
      <c r="L4724" s="6" t="n">
        <f aca="false">H4724*K4724</f>
        <v>180</v>
      </c>
      <c r="M4724" s="4" t="s">
        <v>371</v>
      </c>
    </row>
    <row r="4725" customFormat="false" ht="15" hidden="false" customHeight="false" outlineLevel="0" collapsed="false">
      <c r="A4725" s="4" t="s">
        <v>203</v>
      </c>
      <c r="B4725" s="5" t="s">
        <v>206</v>
      </c>
      <c r="C4725" s="5" t="s">
        <v>207</v>
      </c>
      <c r="D4725" s="4" t="s">
        <v>16</v>
      </c>
      <c r="E4725" s="4" t="s">
        <v>5365</v>
      </c>
      <c r="F4725" s="4" t="s">
        <v>488</v>
      </c>
      <c r="G4725" s="4" t="s">
        <v>5366</v>
      </c>
      <c r="H4725" s="12" t="n">
        <v>1</v>
      </c>
      <c r="I4725" s="4" t="s">
        <v>408</v>
      </c>
      <c r="J4725" s="4" t="s">
        <v>503</v>
      </c>
      <c r="K4725" s="13" t="n">
        <v>120</v>
      </c>
      <c r="L4725" s="6" t="n">
        <f aca="false">H4725*K4725</f>
        <v>120</v>
      </c>
      <c r="M4725" s="4" t="s">
        <v>371</v>
      </c>
    </row>
    <row r="4726" customFormat="false" ht="15" hidden="false" customHeight="false" outlineLevel="0" collapsed="false">
      <c r="A4726" s="4" t="s">
        <v>203</v>
      </c>
      <c r="B4726" s="5" t="s">
        <v>206</v>
      </c>
      <c r="C4726" s="5" t="s">
        <v>207</v>
      </c>
      <c r="D4726" s="4" t="s">
        <v>16</v>
      </c>
      <c r="E4726" s="4" t="s">
        <v>2119</v>
      </c>
      <c r="F4726" s="4" t="s">
        <v>488</v>
      </c>
      <c r="G4726" s="4" t="s">
        <v>2120</v>
      </c>
      <c r="H4726" s="12" t="n">
        <v>1</v>
      </c>
      <c r="I4726" s="4" t="s">
        <v>408</v>
      </c>
      <c r="J4726" s="4" t="s">
        <v>409</v>
      </c>
      <c r="K4726" s="13" t="n">
        <v>1800</v>
      </c>
      <c r="L4726" s="6" t="n">
        <f aca="false">H4726*K4726</f>
        <v>1800</v>
      </c>
      <c r="M4726" s="4" t="s">
        <v>371</v>
      </c>
    </row>
    <row r="4727" customFormat="false" ht="15" hidden="false" customHeight="false" outlineLevel="0" collapsed="false">
      <c r="A4727" s="4" t="s">
        <v>203</v>
      </c>
      <c r="B4727" s="5" t="s">
        <v>206</v>
      </c>
      <c r="C4727" s="5" t="s">
        <v>207</v>
      </c>
      <c r="D4727" s="4" t="s">
        <v>16</v>
      </c>
      <c r="E4727" s="4" t="s">
        <v>2040</v>
      </c>
      <c r="F4727" s="4" t="s">
        <v>488</v>
      </c>
      <c r="G4727" s="4" t="s">
        <v>2041</v>
      </c>
      <c r="H4727" s="12" t="n">
        <v>1</v>
      </c>
      <c r="I4727" s="4" t="s">
        <v>408</v>
      </c>
      <c r="J4727" s="4" t="s">
        <v>506</v>
      </c>
      <c r="K4727" s="13" t="n">
        <v>120</v>
      </c>
      <c r="L4727" s="6" t="n">
        <f aca="false">H4727*K4727</f>
        <v>120</v>
      </c>
      <c r="M4727" s="4" t="s">
        <v>371</v>
      </c>
    </row>
    <row r="4728" customFormat="false" ht="15" hidden="false" customHeight="false" outlineLevel="0" collapsed="false">
      <c r="A4728" s="4" t="s">
        <v>203</v>
      </c>
      <c r="B4728" s="5" t="s">
        <v>206</v>
      </c>
      <c r="C4728" s="5" t="s">
        <v>207</v>
      </c>
      <c r="D4728" s="4" t="s">
        <v>16</v>
      </c>
      <c r="E4728" s="4" t="s">
        <v>5367</v>
      </c>
      <c r="F4728" s="4" t="s">
        <v>488</v>
      </c>
      <c r="G4728" s="4" t="s">
        <v>5368</v>
      </c>
      <c r="H4728" s="12" t="n">
        <v>1</v>
      </c>
      <c r="I4728" s="4" t="s">
        <v>408</v>
      </c>
      <c r="J4728" s="4" t="s">
        <v>762</v>
      </c>
      <c r="K4728" s="13" t="n">
        <v>80</v>
      </c>
      <c r="L4728" s="6" t="n">
        <f aca="false">H4728*K4728</f>
        <v>80</v>
      </c>
      <c r="M4728" s="4" t="s">
        <v>371</v>
      </c>
    </row>
    <row r="4729" customFormat="false" ht="15" hidden="false" customHeight="false" outlineLevel="0" collapsed="false">
      <c r="A4729" s="4" t="s">
        <v>203</v>
      </c>
      <c r="B4729" s="5" t="s">
        <v>206</v>
      </c>
      <c r="C4729" s="5" t="s">
        <v>207</v>
      </c>
      <c r="D4729" s="4" t="s">
        <v>16</v>
      </c>
      <c r="E4729" s="4" t="s">
        <v>2044</v>
      </c>
      <c r="F4729" s="4" t="s">
        <v>488</v>
      </c>
      <c r="G4729" s="4" t="s">
        <v>2045</v>
      </c>
      <c r="H4729" s="12" t="n">
        <v>1</v>
      </c>
      <c r="I4729" s="4" t="s">
        <v>408</v>
      </c>
      <c r="J4729" s="4" t="s">
        <v>409</v>
      </c>
      <c r="K4729" s="13" t="n">
        <v>25</v>
      </c>
      <c r="L4729" s="6" t="n">
        <f aca="false">H4729*K4729</f>
        <v>25</v>
      </c>
      <c r="M4729" s="4" t="s">
        <v>371</v>
      </c>
    </row>
    <row r="4730" customFormat="false" ht="15" hidden="false" customHeight="false" outlineLevel="0" collapsed="false">
      <c r="A4730" s="4" t="s">
        <v>203</v>
      </c>
      <c r="B4730" s="5" t="s">
        <v>206</v>
      </c>
      <c r="C4730" s="5" t="s">
        <v>207</v>
      </c>
      <c r="D4730" s="4" t="s">
        <v>16</v>
      </c>
      <c r="E4730" s="4" t="s">
        <v>2046</v>
      </c>
      <c r="F4730" s="4" t="s">
        <v>488</v>
      </c>
      <c r="G4730" s="4" t="s">
        <v>2047</v>
      </c>
      <c r="H4730" s="12" t="n">
        <v>1</v>
      </c>
      <c r="I4730" s="4" t="s">
        <v>408</v>
      </c>
      <c r="J4730" s="4" t="s">
        <v>2048</v>
      </c>
      <c r="K4730" s="13" t="n">
        <v>45</v>
      </c>
      <c r="L4730" s="6" t="n">
        <f aca="false">H4730*K4730</f>
        <v>45</v>
      </c>
      <c r="M4730" s="4" t="s">
        <v>371</v>
      </c>
    </row>
    <row r="4731" customFormat="false" ht="15" hidden="false" customHeight="false" outlineLevel="0" collapsed="false">
      <c r="A4731" s="4" t="s">
        <v>203</v>
      </c>
      <c r="B4731" s="5" t="s">
        <v>206</v>
      </c>
      <c r="C4731" s="5" t="s">
        <v>207</v>
      </c>
      <c r="D4731" s="4" t="s">
        <v>16</v>
      </c>
      <c r="E4731" s="4" t="s">
        <v>2049</v>
      </c>
      <c r="F4731" s="4" t="s">
        <v>488</v>
      </c>
      <c r="G4731" s="4" t="s">
        <v>2050</v>
      </c>
      <c r="H4731" s="12" t="n">
        <v>1</v>
      </c>
      <c r="I4731" s="4" t="s">
        <v>408</v>
      </c>
      <c r="J4731" s="4" t="s">
        <v>503</v>
      </c>
      <c r="K4731" s="13" t="n">
        <v>120</v>
      </c>
      <c r="L4731" s="6" t="n">
        <f aca="false">H4731*K4731</f>
        <v>120</v>
      </c>
      <c r="M4731" s="4" t="s">
        <v>371</v>
      </c>
    </row>
    <row r="4732" customFormat="false" ht="15" hidden="false" customHeight="false" outlineLevel="0" collapsed="false">
      <c r="A4732" s="4" t="s">
        <v>203</v>
      </c>
      <c r="B4732" s="5" t="s">
        <v>206</v>
      </c>
      <c r="C4732" s="5" t="s">
        <v>207</v>
      </c>
      <c r="D4732" s="4" t="s">
        <v>16</v>
      </c>
      <c r="E4732" s="4" t="s">
        <v>2051</v>
      </c>
      <c r="F4732" s="4" t="s">
        <v>488</v>
      </c>
      <c r="G4732" s="4" t="s">
        <v>2052</v>
      </c>
      <c r="H4732" s="12" t="n">
        <v>1</v>
      </c>
      <c r="I4732" s="4" t="s">
        <v>408</v>
      </c>
      <c r="J4732" s="4" t="s">
        <v>503</v>
      </c>
      <c r="K4732" s="13" t="n">
        <v>120</v>
      </c>
      <c r="L4732" s="6" t="n">
        <f aca="false">H4732*K4732</f>
        <v>120</v>
      </c>
      <c r="M4732" s="4" t="s">
        <v>371</v>
      </c>
    </row>
    <row r="4733" customFormat="false" ht="15" hidden="false" customHeight="false" outlineLevel="0" collapsed="false">
      <c r="A4733" s="4" t="s">
        <v>203</v>
      </c>
      <c r="B4733" s="5" t="s">
        <v>206</v>
      </c>
      <c r="C4733" s="5" t="s">
        <v>207</v>
      </c>
      <c r="D4733" s="4" t="s">
        <v>16</v>
      </c>
      <c r="E4733" s="4" t="s">
        <v>2053</v>
      </c>
      <c r="F4733" s="4" t="s">
        <v>488</v>
      </c>
      <c r="G4733" s="4" t="s">
        <v>2054</v>
      </c>
      <c r="H4733" s="12" t="n">
        <v>1</v>
      </c>
      <c r="I4733" s="4" t="s">
        <v>408</v>
      </c>
      <c r="J4733" s="4" t="s">
        <v>409</v>
      </c>
      <c r="K4733" s="13" t="n">
        <v>35</v>
      </c>
      <c r="L4733" s="6" t="n">
        <f aca="false">H4733*K4733</f>
        <v>35</v>
      </c>
      <c r="M4733" s="4" t="s">
        <v>371</v>
      </c>
    </row>
    <row r="4734" customFormat="false" ht="15" hidden="false" customHeight="false" outlineLevel="0" collapsed="false">
      <c r="A4734" s="4" t="s">
        <v>203</v>
      </c>
      <c r="B4734" s="5" t="s">
        <v>206</v>
      </c>
      <c r="C4734" s="5" t="s">
        <v>207</v>
      </c>
      <c r="D4734" s="4" t="s">
        <v>16</v>
      </c>
      <c r="E4734" s="4" t="s">
        <v>5369</v>
      </c>
      <c r="F4734" s="4" t="s">
        <v>488</v>
      </c>
      <c r="G4734" s="4" t="s">
        <v>2056</v>
      </c>
      <c r="H4734" s="12" t="n">
        <v>1</v>
      </c>
      <c r="I4734" s="4" t="s">
        <v>408</v>
      </c>
      <c r="J4734" s="4" t="s">
        <v>503</v>
      </c>
      <c r="K4734" s="13" t="n">
        <v>120</v>
      </c>
      <c r="L4734" s="6" t="n">
        <f aca="false">H4734*K4734</f>
        <v>120</v>
      </c>
      <c r="M4734" s="4" t="s">
        <v>371</v>
      </c>
    </row>
    <row r="4735" customFormat="false" ht="15" hidden="false" customHeight="false" outlineLevel="0" collapsed="false">
      <c r="A4735" s="4" t="s">
        <v>203</v>
      </c>
      <c r="B4735" s="5" t="s">
        <v>206</v>
      </c>
      <c r="C4735" s="5" t="s">
        <v>207</v>
      </c>
      <c r="D4735" s="4" t="s">
        <v>16</v>
      </c>
      <c r="E4735" s="4" t="s">
        <v>5370</v>
      </c>
      <c r="F4735" s="4" t="s">
        <v>488</v>
      </c>
      <c r="G4735" s="4" t="s">
        <v>5371</v>
      </c>
      <c r="H4735" s="12" t="n">
        <v>1</v>
      </c>
      <c r="I4735" s="4" t="s">
        <v>408</v>
      </c>
      <c r="J4735" s="4" t="s">
        <v>416</v>
      </c>
      <c r="K4735" s="13" t="n">
        <v>350</v>
      </c>
      <c r="L4735" s="6" t="n">
        <f aca="false">H4735*K4735</f>
        <v>350</v>
      </c>
      <c r="M4735" s="4" t="s">
        <v>371</v>
      </c>
    </row>
    <row r="4736" customFormat="false" ht="15" hidden="false" customHeight="false" outlineLevel="0" collapsed="false">
      <c r="A4736" s="4" t="s">
        <v>203</v>
      </c>
      <c r="B4736" s="5" t="s">
        <v>206</v>
      </c>
      <c r="C4736" s="5" t="s">
        <v>207</v>
      </c>
      <c r="D4736" s="4" t="s">
        <v>16</v>
      </c>
      <c r="E4736" s="4" t="s">
        <v>5372</v>
      </c>
      <c r="F4736" s="4" t="s">
        <v>488</v>
      </c>
      <c r="G4736" s="4" t="s">
        <v>5373</v>
      </c>
      <c r="H4736" s="12" t="n">
        <v>1</v>
      </c>
      <c r="I4736" s="4" t="s">
        <v>408</v>
      </c>
      <c r="J4736" s="4" t="s">
        <v>416</v>
      </c>
      <c r="K4736" s="13" t="n">
        <v>120</v>
      </c>
      <c r="L4736" s="6" t="n">
        <f aca="false">H4736*K4736</f>
        <v>120</v>
      </c>
      <c r="M4736" s="4" t="s">
        <v>371</v>
      </c>
    </row>
    <row r="4737" customFormat="false" ht="15" hidden="false" customHeight="false" outlineLevel="0" collapsed="false">
      <c r="A4737" s="4" t="s">
        <v>203</v>
      </c>
      <c r="B4737" s="5" t="s">
        <v>206</v>
      </c>
      <c r="C4737" s="5" t="s">
        <v>207</v>
      </c>
      <c r="D4737" s="4" t="s">
        <v>16</v>
      </c>
      <c r="E4737" s="4" t="s">
        <v>2061</v>
      </c>
      <c r="F4737" s="4" t="s">
        <v>488</v>
      </c>
      <c r="G4737" s="4" t="s">
        <v>2062</v>
      </c>
      <c r="H4737" s="12" t="n">
        <v>1</v>
      </c>
      <c r="I4737" s="4" t="s">
        <v>408</v>
      </c>
      <c r="J4737" s="4" t="s">
        <v>503</v>
      </c>
      <c r="K4737" s="13" t="n">
        <v>80</v>
      </c>
      <c r="L4737" s="6" t="n">
        <f aca="false">H4737*K4737</f>
        <v>80</v>
      </c>
      <c r="M4737" s="4" t="s">
        <v>371</v>
      </c>
    </row>
    <row r="4738" customFormat="false" ht="15" hidden="false" customHeight="false" outlineLevel="0" collapsed="false">
      <c r="A4738" s="4" t="s">
        <v>203</v>
      </c>
      <c r="B4738" s="5" t="s">
        <v>206</v>
      </c>
      <c r="C4738" s="5" t="s">
        <v>207</v>
      </c>
      <c r="D4738" s="4" t="s">
        <v>16</v>
      </c>
      <c r="E4738" s="4" t="s">
        <v>5374</v>
      </c>
      <c r="F4738" s="4" t="s">
        <v>488</v>
      </c>
      <c r="G4738" s="4" t="s">
        <v>2064</v>
      </c>
      <c r="H4738" s="12" t="n">
        <v>1</v>
      </c>
      <c r="I4738" s="4" t="s">
        <v>408</v>
      </c>
      <c r="J4738" s="4" t="s">
        <v>506</v>
      </c>
      <c r="K4738" s="13" t="n">
        <v>80</v>
      </c>
      <c r="L4738" s="6" t="n">
        <f aca="false">H4738*K4738</f>
        <v>80</v>
      </c>
      <c r="M4738" s="4" t="s">
        <v>371</v>
      </c>
    </row>
    <row r="4739" customFormat="false" ht="15" hidden="false" customHeight="false" outlineLevel="0" collapsed="false">
      <c r="A4739" s="4" t="s">
        <v>203</v>
      </c>
      <c r="B4739" s="5" t="s">
        <v>206</v>
      </c>
      <c r="C4739" s="5" t="s">
        <v>207</v>
      </c>
      <c r="D4739" s="4" t="s">
        <v>16</v>
      </c>
      <c r="E4739" s="4" t="s">
        <v>2065</v>
      </c>
      <c r="F4739" s="4" t="s">
        <v>488</v>
      </c>
      <c r="G4739" s="4" t="s">
        <v>2066</v>
      </c>
      <c r="H4739" s="12" t="n">
        <v>1</v>
      </c>
      <c r="I4739" s="4" t="s">
        <v>408</v>
      </c>
      <c r="J4739" s="4" t="s">
        <v>503</v>
      </c>
      <c r="K4739" s="13" t="n">
        <v>180</v>
      </c>
      <c r="L4739" s="6" t="n">
        <f aca="false">H4739*K4739</f>
        <v>180</v>
      </c>
      <c r="M4739" s="4" t="s">
        <v>371</v>
      </c>
    </row>
    <row r="4740" customFormat="false" ht="15" hidden="false" customHeight="false" outlineLevel="0" collapsed="false">
      <c r="A4740" s="4" t="s">
        <v>203</v>
      </c>
      <c r="B4740" s="5" t="s">
        <v>206</v>
      </c>
      <c r="C4740" s="5" t="s">
        <v>207</v>
      </c>
      <c r="D4740" s="4" t="s">
        <v>16</v>
      </c>
      <c r="E4740" s="4" t="s">
        <v>2067</v>
      </c>
      <c r="F4740" s="4" t="s">
        <v>488</v>
      </c>
      <c r="G4740" s="4" t="s">
        <v>2068</v>
      </c>
      <c r="H4740" s="12" t="n">
        <v>1</v>
      </c>
      <c r="I4740" s="4" t="s">
        <v>408</v>
      </c>
      <c r="J4740" s="4" t="s">
        <v>807</v>
      </c>
      <c r="K4740" s="13" t="n">
        <v>120</v>
      </c>
      <c r="L4740" s="6" t="n">
        <f aca="false">H4740*K4740</f>
        <v>120</v>
      </c>
      <c r="M4740" s="4" t="s">
        <v>371</v>
      </c>
    </row>
    <row r="4741" customFormat="false" ht="15" hidden="false" customHeight="false" outlineLevel="0" collapsed="false">
      <c r="A4741" s="4" t="s">
        <v>203</v>
      </c>
      <c r="B4741" s="5" t="s">
        <v>206</v>
      </c>
      <c r="C4741" s="5" t="s">
        <v>207</v>
      </c>
      <c r="D4741" s="4" t="s">
        <v>16</v>
      </c>
      <c r="E4741" s="4" t="s">
        <v>2071</v>
      </c>
      <c r="F4741" s="4" t="s">
        <v>488</v>
      </c>
      <c r="G4741" s="4" t="s">
        <v>2072</v>
      </c>
      <c r="H4741" s="12" t="n">
        <v>1</v>
      </c>
      <c r="I4741" s="4" t="s">
        <v>408</v>
      </c>
      <c r="J4741" s="4" t="s">
        <v>807</v>
      </c>
      <c r="K4741" s="13" t="n">
        <v>80</v>
      </c>
      <c r="L4741" s="6" t="n">
        <f aca="false">H4741*K4741</f>
        <v>80</v>
      </c>
      <c r="M4741" s="4" t="s">
        <v>371</v>
      </c>
    </row>
    <row r="4742" customFormat="false" ht="15" hidden="false" customHeight="false" outlineLevel="0" collapsed="false">
      <c r="A4742" s="4" t="s">
        <v>203</v>
      </c>
      <c r="B4742" s="5" t="s">
        <v>206</v>
      </c>
      <c r="C4742" s="5" t="s">
        <v>207</v>
      </c>
      <c r="D4742" s="4" t="s">
        <v>16</v>
      </c>
      <c r="E4742" s="4" t="s">
        <v>2075</v>
      </c>
      <c r="F4742" s="4" t="s">
        <v>488</v>
      </c>
      <c r="G4742" s="4" t="s">
        <v>2076</v>
      </c>
      <c r="H4742" s="12" t="n">
        <v>1</v>
      </c>
      <c r="I4742" s="4" t="s">
        <v>408</v>
      </c>
      <c r="J4742" s="4" t="s">
        <v>503</v>
      </c>
      <c r="K4742" s="13" t="n">
        <v>80</v>
      </c>
      <c r="L4742" s="6" t="n">
        <f aca="false">H4742*K4742</f>
        <v>80</v>
      </c>
      <c r="M4742" s="4" t="s">
        <v>371</v>
      </c>
    </row>
    <row r="4743" customFormat="false" ht="15" hidden="false" customHeight="false" outlineLevel="0" collapsed="false">
      <c r="A4743" s="4" t="s">
        <v>203</v>
      </c>
      <c r="B4743" s="5" t="s">
        <v>206</v>
      </c>
      <c r="C4743" s="5" t="s">
        <v>207</v>
      </c>
      <c r="D4743" s="4" t="s">
        <v>16</v>
      </c>
      <c r="E4743" s="4" t="s">
        <v>2077</v>
      </c>
      <c r="F4743" s="4" t="s">
        <v>488</v>
      </c>
      <c r="G4743" s="4" t="s">
        <v>2078</v>
      </c>
      <c r="H4743" s="12" t="n">
        <v>1</v>
      </c>
      <c r="I4743" s="4" t="s">
        <v>408</v>
      </c>
      <c r="J4743" s="4" t="s">
        <v>503</v>
      </c>
      <c r="K4743" s="13" t="n">
        <v>120</v>
      </c>
      <c r="L4743" s="6" t="n">
        <f aca="false">H4743*K4743</f>
        <v>120</v>
      </c>
      <c r="M4743" s="4" t="s">
        <v>371</v>
      </c>
    </row>
    <row r="4744" customFormat="false" ht="15" hidden="false" customHeight="false" outlineLevel="0" collapsed="false">
      <c r="A4744" s="4" t="s">
        <v>203</v>
      </c>
      <c r="B4744" s="5" t="s">
        <v>206</v>
      </c>
      <c r="C4744" s="5" t="s">
        <v>207</v>
      </c>
      <c r="D4744" s="4" t="s">
        <v>16</v>
      </c>
      <c r="E4744" s="4" t="s">
        <v>5375</v>
      </c>
      <c r="F4744" s="4" t="s">
        <v>488</v>
      </c>
      <c r="G4744" s="4" t="s">
        <v>5376</v>
      </c>
      <c r="H4744" s="12" t="n">
        <v>1</v>
      </c>
      <c r="I4744" s="4" t="s">
        <v>408</v>
      </c>
      <c r="J4744" s="4" t="s">
        <v>409</v>
      </c>
      <c r="K4744" s="13" t="n">
        <v>45</v>
      </c>
      <c r="L4744" s="6" t="n">
        <f aca="false">H4744*K4744</f>
        <v>45</v>
      </c>
      <c r="M4744" s="4" t="s">
        <v>371</v>
      </c>
    </row>
    <row r="4745" customFormat="false" ht="15" hidden="false" customHeight="false" outlineLevel="0" collapsed="false">
      <c r="A4745" s="4" t="s">
        <v>203</v>
      </c>
      <c r="B4745" s="5" t="s">
        <v>206</v>
      </c>
      <c r="C4745" s="5" t="s">
        <v>207</v>
      </c>
      <c r="D4745" s="4" t="s">
        <v>16</v>
      </c>
      <c r="E4745" s="4" t="s">
        <v>5377</v>
      </c>
      <c r="F4745" s="4" t="s">
        <v>488</v>
      </c>
      <c r="G4745" s="4" t="s">
        <v>2082</v>
      </c>
      <c r="H4745" s="12" t="n">
        <v>1</v>
      </c>
      <c r="I4745" s="4" t="s">
        <v>408</v>
      </c>
      <c r="J4745" s="4" t="s">
        <v>409</v>
      </c>
      <c r="K4745" s="13" t="n">
        <v>120</v>
      </c>
      <c r="L4745" s="6" t="n">
        <f aca="false">H4745*K4745</f>
        <v>120</v>
      </c>
      <c r="M4745" s="4" t="s">
        <v>371</v>
      </c>
    </row>
    <row r="4746" customFormat="false" ht="15" hidden="false" customHeight="false" outlineLevel="0" collapsed="false">
      <c r="A4746" s="4" t="s">
        <v>203</v>
      </c>
      <c r="B4746" s="5" t="s">
        <v>206</v>
      </c>
      <c r="C4746" s="5" t="s">
        <v>207</v>
      </c>
      <c r="D4746" s="4" t="s">
        <v>16</v>
      </c>
      <c r="E4746" s="4" t="s">
        <v>5378</v>
      </c>
      <c r="F4746" s="4" t="s">
        <v>488</v>
      </c>
      <c r="G4746" s="4" t="s">
        <v>2084</v>
      </c>
      <c r="H4746" s="12" t="n">
        <v>1</v>
      </c>
      <c r="I4746" s="4" t="s">
        <v>408</v>
      </c>
      <c r="J4746" s="4" t="s">
        <v>506</v>
      </c>
      <c r="K4746" s="13" t="n">
        <v>150</v>
      </c>
      <c r="L4746" s="6" t="n">
        <f aca="false">H4746*K4746</f>
        <v>150</v>
      </c>
      <c r="M4746" s="4" t="s">
        <v>371</v>
      </c>
    </row>
    <row r="4747" customFormat="false" ht="15" hidden="false" customHeight="false" outlineLevel="0" collapsed="false">
      <c r="A4747" s="4" t="s">
        <v>203</v>
      </c>
      <c r="B4747" s="5" t="s">
        <v>206</v>
      </c>
      <c r="C4747" s="5" t="s">
        <v>207</v>
      </c>
      <c r="D4747" s="4" t="s">
        <v>16</v>
      </c>
      <c r="E4747" s="4" t="s">
        <v>2085</v>
      </c>
      <c r="F4747" s="4" t="s">
        <v>488</v>
      </c>
      <c r="G4747" s="4" t="s">
        <v>2086</v>
      </c>
      <c r="H4747" s="12" t="n">
        <v>1</v>
      </c>
      <c r="I4747" s="4" t="s">
        <v>408</v>
      </c>
      <c r="J4747" s="4" t="s">
        <v>409</v>
      </c>
      <c r="K4747" s="13" t="n">
        <v>25</v>
      </c>
      <c r="L4747" s="6" t="n">
        <f aca="false">H4747*K4747</f>
        <v>25</v>
      </c>
      <c r="M4747" s="4" t="s">
        <v>371</v>
      </c>
    </row>
    <row r="4748" customFormat="false" ht="15" hidden="false" customHeight="false" outlineLevel="0" collapsed="false">
      <c r="A4748" s="4" t="s">
        <v>203</v>
      </c>
      <c r="B4748" s="5" t="s">
        <v>206</v>
      </c>
      <c r="C4748" s="5" t="s">
        <v>207</v>
      </c>
      <c r="D4748" s="4" t="s">
        <v>16</v>
      </c>
      <c r="E4748" s="4" t="s">
        <v>5379</v>
      </c>
      <c r="F4748" s="4" t="s">
        <v>488</v>
      </c>
      <c r="G4748" s="4" t="s">
        <v>5380</v>
      </c>
      <c r="H4748" s="12" t="n">
        <v>1</v>
      </c>
      <c r="I4748" s="4" t="s">
        <v>408</v>
      </c>
      <c r="J4748" s="4" t="s">
        <v>409</v>
      </c>
      <c r="K4748" s="13" t="n">
        <v>90</v>
      </c>
      <c r="L4748" s="6" t="n">
        <f aca="false">H4748*K4748</f>
        <v>90</v>
      </c>
      <c r="M4748" s="4" t="s">
        <v>371</v>
      </c>
    </row>
    <row r="4749" customFormat="false" ht="15" hidden="false" customHeight="false" outlineLevel="0" collapsed="false">
      <c r="A4749" s="4" t="s">
        <v>203</v>
      </c>
      <c r="B4749" s="5" t="s">
        <v>206</v>
      </c>
      <c r="C4749" s="5" t="s">
        <v>207</v>
      </c>
      <c r="D4749" s="4" t="s">
        <v>16</v>
      </c>
      <c r="E4749" s="4" t="s">
        <v>5381</v>
      </c>
      <c r="F4749" s="4" t="s">
        <v>488</v>
      </c>
      <c r="G4749" s="4" t="s">
        <v>2088</v>
      </c>
      <c r="H4749" s="12" t="n">
        <v>1</v>
      </c>
      <c r="I4749" s="4" t="s">
        <v>408</v>
      </c>
      <c r="J4749" s="4" t="s">
        <v>409</v>
      </c>
      <c r="K4749" s="13" t="n">
        <v>80</v>
      </c>
      <c r="L4749" s="6" t="n">
        <f aca="false">H4749*K4749</f>
        <v>80</v>
      </c>
      <c r="M4749" s="4" t="s">
        <v>371</v>
      </c>
    </row>
    <row r="4750" customFormat="false" ht="15" hidden="false" customHeight="false" outlineLevel="0" collapsed="false">
      <c r="A4750" s="4" t="s">
        <v>203</v>
      </c>
      <c r="B4750" s="5" t="s">
        <v>206</v>
      </c>
      <c r="C4750" s="5" t="s">
        <v>207</v>
      </c>
      <c r="D4750" s="4" t="s">
        <v>16</v>
      </c>
      <c r="E4750" s="4" t="s">
        <v>5322</v>
      </c>
      <c r="F4750" s="4" t="s">
        <v>488</v>
      </c>
      <c r="G4750" s="4" t="s">
        <v>2130</v>
      </c>
      <c r="H4750" s="12" t="n">
        <v>1</v>
      </c>
      <c r="I4750" s="4" t="s">
        <v>408</v>
      </c>
      <c r="J4750" s="4" t="s">
        <v>1080</v>
      </c>
      <c r="K4750" s="13" t="n">
        <v>450</v>
      </c>
      <c r="L4750" s="6" t="n">
        <f aca="false">H4750*K4750</f>
        <v>450</v>
      </c>
      <c r="M4750" s="4" t="s">
        <v>371</v>
      </c>
    </row>
    <row r="4751" customFormat="false" ht="15" hidden="false" customHeight="false" outlineLevel="0" collapsed="false">
      <c r="A4751" s="4" t="s">
        <v>203</v>
      </c>
      <c r="B4751" s="5" t="s">
        <v>206</v>
      </c>
      <c r="C4751" s="5" t="s">
        <v>207</v>
      </c>
      <c r="D4751" s="4" t="s">
        <v>16</v>
      </c>
      <c r="E4751" s="4" t="s">
        <v>2131</v>
      </c>
      <c r="F4751" s="4" t="s">
        <v>488</v>
      </c>
      <c r="G4751" s="4" t="s">
        <v>2132</v>
      </c>
      <c r="H4751" s="12" t="n">
        <v>1</v>
      </c>
      <c r="I4751" s="4" t="s">
        <v>408</v>
      </c>
      <c r="J4751" s="4" t="s">
        <v>409</v>
      </c>
      <c r="K4751" s="13" t="n">
        <v>350</v>
      </c>
      <c r="L4751" s="6" t="n">
        <f aca="false">H4751*K4751</f>
        <v>350</v>
      </c>
      <c r="M4751" s="4" t="s">
        <v>371</v>
      </c>
    </row>
    <row r="4752" customFormat="false" ht="15" hidden="false" customHeight="false" outlineLevel="0" collapsed="false">
      <c r="A4752" s="4" t="s">
        <v>203</v>
      </c>
      <c r="B4752" s="5" t="s">
        <v>206</v>
      </c>
      <c r="C4752" s="5" t="s">
        <v>207</v>
      </c>
      <c r="D4752" s="4" t="s">
        <v>16</v>
      </c>
      <c r="E4752" s="4" t="s">
        <v>5382</v>
      </c>
      <c r="F4752" s="4" t="s">
        <v>488</v>
      </c>
      <c r="G4752" s="4" t="s">
        <v>5383</v>
      </c>
      <c r="H4752" s="12" t="n">
        <v>1</v>
      </c>
      <c r="I4752" s="4" t="s">
        <v>408</v>
      </c>
      <c r="J4752" s="4" t="s">
        <v>409</v>
      </c>
      <c r="K4752" s="13" t="n">
        <v>180</v>
      </c>
      <c r="L4752" s="6" t="n">
        <f aca="false">H4752*K4752</f>
        <v>180</v>
      </c>
      <c r="M4752" s="4" t="s">
        <v>371</v>
      </c>
    </row>
    <row r="4753" customFormat="false" ht="15" hidden="false" customHeight="false" outlineLevel="0" collapsed="false">
      <c r="A4753" s="4" t="s">
        <v>203</v>
      </c>
      <c r="B4753" s="5" t="s">
        <v>206</v>
      </c>
      <c r="C4753" s="5" t="s">
        <v>207</v>
      </c>
      <c r="D4753" s="4" t="s">
        <v>16</v>
      </c>
      <c r="E4753" s="4" t="s">
        <v>5384</v>
      </c>
      <c r="F4753" s="4" t="s">
        <v>470</v>
      </c>
      <c r="G4753" s="4" t="s">
        <v>5385</v>
      </c>
      <c r="H4753" s="12" t="n">
        <v>1</v>
      </c>
      <c r="I4753" s="4" t="s">
        <v>408</v>
      </c>
      <c r="J4753" s="4" t="s">
        <v>409</v>
      </c>
      <c r="K4753" s="13" t="n">
        <v>80</v>
      </c>
      <c r="L4753" s="6" t="n">
        <f aca="false">H4753*K4753</f>
        <v>80</v>
      </c>
      <c r="M4753" s="4" t="s">
        <v>371</v>
      </c>
    </row>
    <row r="4754" customFormat="false" ht="15" hidden="false" customHeight="false" outlineLevel="0" collapsed="false">
      <c r="A4754" s="4" t="s">
        <v>203</v>
      </c>
      <c r="B4754" s="5" t="s">
        <v>206</v>
      </c>
      <c r="C4754" s="5" t="s">
        <v>207</v>
      </c>
      <c r="D4754" s="4" t="s">
        <v>16</v>
      </c>
      <c r="E4754" s="4" t="s">
        <v>5386</v>
      </c>
      <c r="F4754" s="4" t="s">
        <v>470</v>
      </c>
      <c r="G4754" s="4" t="s">
        <v>5387</v>
      </c>
      <c r="H4754" s="12" t="n">
        <v>1</v>
      </c>
      <c r="I4754" s="4" t="s">
        <v>408</v>
      </c>
      <c r="J4754" s="4" t="s">
        <v>416</v>
      </c>
      <c r="K4754" s="13" t="n">
        <v>450</v>
      </c>
      <c r="L4754" s="6" t="n">
        <f aca="false">H4754*K4754</f>
        <v>450</v>
      </c>
      <c r="M4754" s="4" t="s">
        <v>371</v>
      </c>
    </row>
    <row r="4755" customFormat="false" ht="23.85" hidden="false" customHeight="false" outlineLevel="0" collapsed="false">
      <c r="A4755" s="4" t="s">
        <v>203</v>
      </c>
      <c r="B4755" s="5" t="s">
        <v>210</v>
      </c>
      <c r="C4755" s="5" t="s">
        <v>211</v>
      </c>
      <c r="D4755" s="4" t="s">
        <v>16</v>
      </c>
      <c r="E4755" s="4" t="s">
        <v>2109</v>
      </c>
      <c r="F4755" s="4" t="s">
        <v>406</v>
      </c>
      <c r="G4755" s="4" t="s">
        <v>2110</v>
      </c>
      <c r="H4755" s="12" t="n">
        <v>1</v>
      </c>
      <c r="I4755" s="4" t="s">
        <v>408</v>
      </c>
      <c r="J4755" s="4" t="s">
        <v>409</v>
      </c>
      <c r="K4755" s="13" t="n">
        <v>80</v>
      </c>
      <c r="L4755" s="6" t="n">
        <f aca="false">H4755*K4755</f>
        <v>80</v>
      </c>
      <c r="M4755" s="14" t="s">
        <v>410</v>
      </c>
    </row>
    <row r="4756" customFormat="false" ht="23.85" hidden="false" customHeight="false" outlineLevel="0" collapsed="false">
      <c r="A4756" s="4" t="s">
        <v>203</v>
      </c>
      <c r="B4756" s="5" t="s">
        <v>210</v>
      </c>
      <c r="C4756" s="5" t="s">
        <v>211</v>
      </c>
      <c r="D4756" s="4" t="s">
        <v>16</v>
      </c>
      <c r="E4756" s="4" t="s">
        <v>2225</v>
      </c>
      <c r="F4756" s="4" t="s">
        <v>406</v>
      </c>
      <c r="G4756" s="4" t="s">
        <v>2226</v>
      </c>
      <c r="H4756" s="12" t="n">
        <v>1</v>
      </c>
      <c r="I4756" s="4" t="s">
        <v>408</v>
      </c>
      <c r="J4756" s="4" t="s">
        <v>409</v>
      </c>
      <c r="K4756" s="13" t="n">
        <v>350</v>
      </c>
      <c r="L4756" s="6" t="n">
        <f aca="false">H4756*K4756</f>
        <v>350</v>
      </c>
      <c r="M4756" s="14" t="s">
        <v>410</v>
      </c>
    </row>
    <row r="4757" customFormat="false" ht="23.85" hidden="false" customHeight="false" outlineLevel="0" collapsed="false">
      <c r="A4757" s="4" t="s">
        <v>203</v>
      </c>
      <c r="B4757" s="5" t="s">
        <v>210</v>
      </c>
      <c r="C4757" s="5" t="s">
        <v>211</v>
      </c>
      <c r="D4757" s="4" t="s">
        <v>16</v>
      </c>
      <c r="E4757" s="4" t="s">
        <v>3220</v>
      </c>
      <c r="F4757" s="4" t="s">
        <v>406</v>
      </c>
      <c r="G4757" s="4" t="s">
        <v>3221</v>
      </c>
      <c r="H4757" s="12" t="n">
        <v>1</v>
      </c>
      <c r="I4757" s="4" t="s">
        <v>408</v>
      </c>
      <c r="J4757" s="4" t="s">
        <v>409</v>
      </c>
      <c r="K4757" s="13" t="n">
        <v>250</v>
      </c>
      <c r="L4757" s="6" t="n">
        <f aca="false">H4757*K4757</f>
        <v>250</v>
      </c>
      <c r="M4757" s="14" t="s">
        <v>410</v>
      </c>
    </row>
    <row r="4758" customFormat="false" ht="23.85" hidden="false" customHeight="false" outlineLevel="0" collapsed="false">
      <c r="A4758" s="4" t="s">
        <v>203</v>
      </c>
      <c r="B4758" s="5" t="s">
        <v>210</v>
      </c>
      <c r="C4758" s="5" t="s">
        <v>211</v>
      </c>
      <c r="D4758" s="4" t="s">
        <v>16</v>
      </c>
      <c r="E4758" s="4" t="s">
        <v>5388</v>
      </c>
      <c r="F4758" s="4" t="s">
        <v>406</v>
      </c>
      <c r="G4758" s="4" t="s">
        <v>5389</v>
      </c>
      <c r="H4758" s="12" t="n">
        <v>1</v>
      </c>
      <c r="I4758" s="4" t="s">
        <v>408</v>
      </c>
      <c r="J4758" s="4" t="s">
        <v>416</v>
      </c>
      <c r="K4758" s="13" t="n">
        <v>650</v>
      </c>
      <c r="L4758" s="6" t="n">
        <f aca="false">H4758*K4758</f>
        <v>650</v>
      </c>
      <c r="M4758" s="14" t="s">
        <v>410</v>
      </c>
    </row>
    <row r="4759" customFormat="false" ht="23.85" hidden="false" customHeight="false" outlineLevel="0" collapsed="false">
      <c r="A4759" s="4" t="s">
        <v>203</v>
      </c>
      <c r="B4759" s="5" t="s">
        <v>210</v>
      </c>
      <c r="C4759" s="5" t="s">
        <v>211</v>
      </c>
      <c r="D4759" s="4" t="s">
        <v>16</v>
      </c>
      <c r="E4759" s="4" t="s">
        <v>5390</v>
      </c>
      <c r="F4759" s="4" t="s">
        <v>406</v>
      </c>
      <c r="G4759" s="4" t="s">
        <v>5391</v>
      </c>
      <c r="H4759" s="12" t="n">
        <v>1</v>
      </c>
      <c r="I4759" s="4" t="s">
        <v>408</v>
      </c>
      <c r="J4759" s="4" t="s">
        <v>409</v>
      </c>
      <c r="K4759" s="13" t="n">
        <v>80</v>
      </c>
      <c r="L4759" s="6" t="n">
        <f aca="false">H4759*K4759</f>
        <v>80</v>
      </c>
      <c r="M4759" s="14" t="s">
        <v>410</v>
      </c>
    </row>
    <row r="4760" customFormat="false" ht="23.85" hidden="false" customHeight="false" outlineLevel="0" collapsed="false">
      <c r="A4760" s="4" t="s">
        <v>203</v>
      </c>
      <c r="B4760" s="5" t="s">
        <v>210</v>
      </c>
      <c r="C4760" s="5" t="s">
        <v>211</v>
      </c>
      <c r="D4760" s="4" t="s">
        <v>16</v>
      </c>
      <c r="E4760" s="4" t="s">
        <v>5392</v>
      </c>
      <c r="F4760" s="4" t="s">
        <v>406</v>
      </c>
      <c r="G4760" s="4" t="s">
        <v>5393</v>
      </c>
      <c r="H4760" s="12" t="n">
        <v>1</v>
      </c>
      <c r="I4760" s="4" t="s">
        <v>408</v>
      </c>
      <c r="J4760" s="4" t="s">
        <v>409</v>
      </c>
      <c r="K4760" s="13" t="n">
        <v>850</v>
      </c>
      <c r="L4760" s="6" t="n">
        <f aca="false">H4760*K4760</f>
        <v>850</v>
      </c>
      <c r="M4760" s="14" t="s">
        <v>410</v>
      </c>
    </row>
    <row r="4761" customFormat="false" ht="23.85" hidden="false" customHeight="false" outlineLevel="0" collapsed="false">
      <c r="A4761" s="4" t="s">
        <v>203</v>
      </c>
      <c r="B4761" s="5" t="s">
        <v>210</v>
      </c>
      <c r="C4761" s="5" t="s">
        <v>211</v>
      </c>
      <c r="D4761" s="4" t="s">
        <v>16</v>
      </c>
      <c r="E4761" s="4" t="s">
        <v>5394</v>
      </c>
      <c r="F4761" s="4" t="s">
        <v>406</v>
      </c>
      <c r="G4761" s="4" t="s">
        <v>5395</v>
      </c>
      <c r="H4761" s="12" t="n">
        <v>1</v>
      </c>
      <c r="I4761" s="4" t="s">
        <v>408</v>
      </c>
      <c r="J4761" s="4" t="s">
        <v>409</v>
      </c>
      <c r="K4761" s="13" t="n">
        <v>350</v>
      </c>
      <c r="L4761" s="6" t="n">
        <f aca="false">H4761*K4761</f>
        <v>350</v>
      </c>
      <c r="M4761" s="14" t="s">
        <v>410</v>
      </c>
    </row>
    <row r="4762" customFormat="false" ht="23.85" hidden="false" customHeight="false" outlineLevel="0" collapsed="false">
      <c r="A4762" s="4" t="s">
        <v>203</v>
      </c>
      <c r="B4762" s="5" t="s">
        <v>210</v>
      </c>
      <c r="C4762" s="5" t="s">
        <v>211</v>
      </c>
      <c r="D4762" s="4" t="s">
        <v>16</v>
      </c>
      <c r="E4762" s="4" t="s">
        <v>5396</v>
      </c>
      <c r="F4762" s="4" t="s">
        <v>406</v>
      </c>
      <c r="G4762" s="4" t="s">
        <v>5397</v>
      </c>
      <c r="H4762" s="12" t="n">
        <v>1</v>
      </c>
      <c r="I4762" s="4" t="s">
        <v>408</v>
      </c>
      <c r="J4762" s="4" t="s">
        <v>409</v>
      </c>
      <c r="K4762" s="13" t="n">
        <v>450</v>
      </c>
      <c r="L4762" s="6" t="n">
        <f aca="false">H4762*K4762</f>
        <v>450</v>
      </c>
      <c r="M4762" s="14" t="s">
        <v>410</v>
      </c>
    </row>
    <row r="4763" customFormat="false" ht="23.85" hidden="false" customHeight="false" outlineLevel="0" collapsed="false">
      <c r="A4763" s="4" t="s">
        <v>203</v>
      </c>
      <c r="B4763" s="5" t="s">
        <v>210</v>
      </c>
      <c r="C4763" s="5" t="s">
        <v>211</v>
      </c>
      <c r="D4763" s="4" t="s">
        <v>16</v>
      </c>
      <c r="E4763" s="4" t="s">
        <v>5398</v>
      </c>
      <c r="F4763" s="4" t="s">
        <v>406</v>
      </c>
      <c r="G4763" s="4" t="s">
        <v>5399</v>
      </c>
      <c r="H4763" s="12" t="n">
        <v>1</v>
      </c>
      <c r="I4763" s="4" t="s">
        <v>408</v>
      </c>
      <c r="J4763" s="4" t="s">
        <v>409</v>
      </c>
      <c r="K4763" s="13" t="n">
        <v>4500</v>
      </c>
      <c r="L4763" s="6" t="n">
        <f aca="false">H4763*K4763</f>
        <v>4500</v>
      </c>
      <c r="M4763" s="14" t="s">
        <v>410</v>
      </c>
    </row>
    <row r="4764" customFormat="false" ht="23.85" hidden="false" customHeight="false" outlineLevel="0" collapsed="false">
      <c r="A4764" s="4" t="s">
        <v>203</v>
      </c>
      <c r="B4764" s="5" t="s">
        <v>210</v>
      </c>
      <c r="C4764" s="5" t="s">
        <v>211</v>
      </c>
      <c r="D4764" s="4" t="s">
        <v>16</v>
      </c>
      <c r="E4764" s="4" t="s">
        <v>5291</v>
      </c>
      <c r="F4764" s="4" t="s">
        <v>406</v>
      </c>
      <c r="G4764" s="4" t="s">
        <v>5292</v>
      </c>
      <c r="H4764" s="12" t="n">
        <v>1</v>
      </c>
      <c r="I4764" s="4" t="s">
        <v>408</v>
      </c>
      <c r="J4764" s="4" t="s">
        <v>409</v>
      </c>
      <c r="K4764" s="13" t="n">
        <v>1200</v>
      </c>
      <c r="L4764" s="6" t="n">
        <f aca="false">H4764*K4764</f>
        <v>1200</v>
      </c>
      <c r="M4764" s="14" t="s">
        <v>410</v>
      </c>
    </row>
    <row r="4765" customFormat="false" ht="23.85" hidden="false" customHeight="false" outlineLevel="0" collapsed="false">
      <c r="A4765" s="4" t="s">
        <v>203</v>
      </c>
      <c r="B4765" s="5" t="s">
        <v>210</v>
      </c>
      <c r="C4765" s="5" t="s">
        <v>211</v>
      </c>
      <c r="D4765" s="4" t="s">
        <v>16</v>
      </c>
      <c r="E4765" s="4" t="s">
        <v>5400</v>
      </c>
      <c r="F4765" s="4" t="s">
        <v>406</v>
      </c>
      <c r="G4765" s="4" t="s">
        <v>5401</v>
      </c>
      <c r="H4765" s="12" t="n">
        <v>1</v>
      </c>
      <c r="I4765" s="4" t="s">
        <v>408</v>
      </c>
      <c r="J4765" s="4" t="s">
        <v>409</v>
      </c>
      <c r="K4765" s="13" t="n">
        <v>1800</v>
      </c>
      <c r="L4765" s="6" t="n">
        <f aca="false">H4765*K4765</f>
        <v>1800</v>
      </c>
      <c r="M4765" s="14" t="s">
        <v>410</v>
      </c>
    </row>
    <row r="4766" customFormat="false" ht="23.85" hidden="false" customHeight="false" outlineLevel="0" collapsed="false">
      <c r="A4766" s="4" t="s">
        <v>203</v>
      </c>
      <c r="B4766" s="5" t="s">
        <v>210</v>
      </c>
      <c r="C4766" s="5" t="s">
        <v>211</v>
      </c>
      <c r="D4766" s="4" t="s">
        <v>16</v>
      </c>
      <c r="E4766" s="4" t="s">
        <v>467</v>
      </c>
      <c r="F4766" s="4" t="s">
        <v>406</v>
      </c>
      <c r="G4766" s="4" t="s">
        <v>468</v>
      </c>
      <c r="H4766" s="12" t="n">
        <v>1</v>
      </c>
      <c r="I4766" s="4" t="s">
        <v>408</v>
      </c>
      <c r="J4766" s="4" t="s">
        <v>409</v>
      </c>
      <c r="K4766" s="13" t="n">
        <v>250</v>
      </c>
      <c r="L4766" s="6" t="n">
        <f aca="false">H4766*K4766</f>
        <v>250</v>
      </c>
      <c r="M4766" s="14" t="s">
        <v>410</v>
      </c>
    </row>
    <row r="4767" customFormat="false" ht="23.85" hidden="false" customHeight="false" outlineLevel="0" collapsed="false">
      <c r="A4767" s="4" t="s">
        <v>203</v>
      </c>
      <c r="B4767" s="5" t="s">
        <v>210</v>
      </c>
      <c r="C4767" s="5" t="s">
        <v>211</v>
      </c>
      <c r="D4767" s="4" t="s">
        <v>16</v>
      </c>
      <c r="E4767" s="4" t="s">
        <v>5402</v>
      </c>
      <c r="F4767" s="4" t="s">
        <v>406</v>
      </c>
      <c r="G4767" s="4" t="s">
        <v>5403</v>
      </c>
      <c r="H4767" s="12" t="n">
        <v>1</v>
      </c>
      <c r="I4767" s="4" t="s">
        <v>408</v>
      </c>
      <c r="J4767" s="4" t="s">
        <v>416</v>
      </c>
      <c r="K4767" s="13" t="n">
        <v>2500</v>
      </c>
      <c r="L4767" s="6" t="n">
        <f aca="false">H4767*K4767</f>
        <v>2500</v>
      </c>
      <c r="M4767" s="4" t="s">
        <v>371</v>
      </c>
    </row>
    <row r="4768" customFormat="false" ht="23.85" hidden="false" customHeight="false" outlineLevel="0" collapsed="false">
      <c r="A4768" s="4" t="s">
        <v>203</v>
      </c>
      <c r="B4768" s="5" t="s">
        <v>210</v>
      </c>
      <c r="C4768" s="5" t="s">
        <v>211</v>
      </c>
      <c r="D4768" s="4" t="s">
        <v>16</v>
      </c>
      <c r="E4768" s="4" t="s">
        <v>5404</v>
      </c>
      <c r="F4768" s="4" t="s">
        <v>406</v>
      </c>
      <c r="G4768" s="4" t="s">
        <v>5405</v>
      </c>
      <c r="H4768" s="12" t="n">
        <v>1</v>
      </c>
      <c r="I4768" s="4" t="s">
        <v>408</v>
      </c>
      <c r="J4768" s="4" t="s">
        <v>416</v>
      </c>
      <c r="K4768" s="13" t="n">
        <v>18000</v>
      </c>
      <c r="L4768" s="6" t="n">
        <f aca="false">H4768*K4768</f>
        <v>18000</v>
      </c>
      <c r="M4768" s="4" t="s">
        <v>371</v>
      </c>
    </row>
    <row r="4769" customFormat="false" ht="23.85" hidden="false" customHeight="false" outlineLevel="0" collapsed="false">
      <c r="A4769" s="4" t="s">
        <v>203</v>
      </c>
      <c r="B4769" s="5" t="s">
        <v>210</v>
      </c>
      <c r="C4769" s="5" t="s">
        <v>211</v>
      </c>
      <c r="D4769" s="4" t="s">
        <v>16</v>
      </c>
      <c r="E4769" s="4" t="s">
        <v>5406</v>
      </c>
      <c r="F4769" s="4" t="s">
        <v>406</v>
      </c>
      <c r="G4769" s="4" t="s">
        <v>5407</v>
      </c>
      <c r="H4769" s="12" t="n">
        <v>1</v>
      </c>
      <c r="I4769" s="4" t="s">
        <v>408</v>
      </c>
      <c r="J4769" s="4" t="s">
        <v>416</v>
      </c>
      <c r="K4769" s="13" t="n">
        <v>18000</v>
      </c>
      <c r="L4769" s="6" t="n">
        <f aca="false">H4769*K4769</f>
        <v>18000</v>
      </c>
      <c r="M4769" s="4" t="s">
        <v>371</v>
      </c>
    </row>
    <row r="4770" customFormat="false" ht="23.85" hidden="false" customHeight="false" outlineLevel="0" collapsed="false">
      <c r="A4770" s="4" t="s">
        <v>203</v>
      </c>
      <c r="B4770" s="5" t="s">
        <v>210</v>
      </c>
      <c r="C4770" s="5" t="s">
        <v>211</v>
      </c>
      <c r="D4770" s="4" t="s">
        <v>16</v>
      </c>
      <c r="E4770" s="4" t="s">
        <v>5408</v>
      </c>
      <c r="F4770" s="4" t="s">
        <v>406</v>
      </c>
      <c r="G4770" s="4" t="s">
        <v>5409</v>
      </c>
      <c r="H4770" s="12" t="n">
        <v>1</v>
      </c>
      <c r="I4770" s="4" t="s">
        <v>408</v>
      </c>
      <c r="J4770" s="4" t="s">
        <v>409</v>
      </c>
      <c r="K4770" s="13" t="n">
        <v>25000</v>
      </c>
      <c r="L4770" s="6" t="n">
        <f aca="false">H4770*K4770</f>
        <v>25000</v>
      </c>
      <c r="M4770" s="14" t="s">
        <v>410</v>
      </c>
    </row>
    <row r="4771" customFormat="false" ht="23.85" hidden="false" customHeight="false" outlineLevel="0" collapsed="false">
      <c r="A4771" s="4" t="s">
        <v>203</v>
      </c>
      <c r="B4771" s="5" t="s">
        <v>210</v>
      </c>
      <c r="C4771" s="5" t="s">
        <v>211</v>
      </c>
      <c r="D4771" s="4" t="s">
        <v>16</v>
      </c>
      <c r="E4771" s="4" t="s">
        <v>5410</v>
      </c>
      <c r="F4771" s="4" t="s">
        <v>406</v>
      </c>
      <c r="G4771" s="4" t="s">
        <v>5411</v>
      </c>
      <c r="H4771" s="12" t="n">
        <v>1</v>
      </c>
      <c r="I4771" s="4" t="s">
        <v>408</v>
      </c>
      <c r="J4771" s="4" t="s">
        <v>416</v>
      </c>
      <c r="K4771" s="13" t="n">
        <v>3500</v>
      </c>
      <c r="L4771" s="6" t="n">
        <f aca="false">H4771*K4771</f>
        <v>3500</v>
      </c>
      <c r="M4771" s="14" t="s">
        <v>410</v>
      </c>
    </row>
    <row r="4772" customFormat="false" ht="23.85" hidden="false" customHeight="false" outlineLevel="0" collapsed="false">
      <c r="A4772" s="4" t="s">
        <v>203</v>
      </c>
      <c r="B4772" s="5" t="s">
        <v>210</v>
      </c>
      <c r="C4772" s="5" t="s">
        <v>211</v>
      </c>
      <c r="D4772" s="4" t="s">
        <v>16</v>
      </c>
      <c r="E4772" s="4" t="s">
        <v>5412</v>
      </c>
      <c r="F4772" s="4" t="s">
        <v>406</v>
      </c>
      <c r="G4772" s="4" t="s">
        <v>5413</v>
      </c>
      <c r="H4772" s="12" t="n">
        <v>1</v>
      </c>
      <c r="I4772" s="4" t="s">
        <v>408</v>
      </c>
      <c r="J4772" s="4" t="s">
        <v>409</v>
      </c>
      <c r="K4772" s="13" t="n">
        <v>25000</v>
      </c>
      <c r="L4772" s="6" t="n">
        <f aca="false">H4772*K4772</f>
        <v>25000</v>
      </c>
      <c r="M4772" s="4" t="s">
        <v>371</v>
      </c>
    </row>
    <row r="4773" customFormat="false" ht="23.85" hidden="false" customHeight="false" outlineLevel="0" collapsed="false">
      <c r="A4773" s="4" t="s">
        <v>203</v>
      </c>
      <c r="B4773" s="5" t="s">
        <v>210</v>
      </c>
      <c r="C4773" s="5" t="s">
        <v>211</v>
      </c>
      <c r="D4773" s="4" t="s">
        <v>16</v>
      </c>
      <c r="E4773" s="4" t="s">
        <v>5414</v>
      </c>
      <c r="F4773" s="4" t="s">
        <v>406</v>
      </c>
      <c r="G4773" s="4" t="s">
        <v>5415</v>
      </c>
      <c r="H4773" s="12" t="n">
        <v>1</v>
      </c>
      <c r="I4773" s="4" t="s">
        <v>408</v>
      </c>
      <c r="J4773" s="4" t="s">
        <v>416</v>
      </c>
      <c r="K4773" s="13" t="n">
        <v>850</v>
      </c>
      <c r="L4773" s="6" t="n">
        <f aca="false">H4773*K4773</f>
        <v>850</v>
      </c>
      <c r="M4773" s="4" t="s">
        <v>371</v>
      </c>
    </row>
    <row r="4774" customFormat="false" ht="23.85" hidden="false" customHeight="false" outlineLevel="0" collapsed="false">
      <c r="A4774" s="4" t="s">
        <v>203</v>
      </c>
      <c r="B4774" s="5" t="s">
        <v>210</v>
      </c>
      <c r="C4774" s="5" t="s">
        <v>211</v>
      </c>
      <c r="D4774" s="4" t="s">
        <v>16</v>
      </c>
      <c r="E4774" s="4" t="s">
        <v>5416</v>
      </c>
      <c r="F4774" s="4" t="s">
        <v>406</v>
      </c>
      <c r="G4774" s="4" t="s">
        <v>5417</v>
      </c>
      <c r="H4774" s="12" t="n">
        <v>1</v>
      </c>
      <c r="I4774" s="4" t="s">
        <v>408</v>
      </c>
      <c r="J4774" s="4" t="s">
        <v>409</v>
      </c>
      <c r="K4774" s="13" t="n">
        <v>8500</v>
      </c>
      <c r="L4774" s="6" t="n">
        <f aca="false">H4774*K4774</f>
        <v>8500</v>
      </c>
      <c r="M4774" s="14" t="s">
        <v>410</v>
      </c>
    </row>
    <row r="4775" customFormat="false" ht="23.85" hidden="false" customHeight="false" outlineLevel="0" collapsed="false">
      <c r="A4775" s="4" t="s">
        <v>203</v>
      </c>
      <c r="B4775" s="5" t="s">
        <v>210</v>
      </c>
      <c r="C4775" s="5" t="s">
        <v>211</v>
      </c>
      <c r="D4775" s="4" t="s">
        <v>16</v>
      </c>
      <c r="E4775" s="4" t="s">
        <v>5418</v>
      </c>
      <c r="F4775" s="4" t="s">
        <v>406</v>
      </c>
      <c r="G4775" s="4" t="s">
        <v>5419</v>
      </c>
      <c r="H4775" s="12" t="n">
        <v>1</v>
      </c>
      <c r="I4775" s="4" t="s">
        <v>408</v>
      </c>
      <c r="J4775" s="4" t="s">
        <v>409</v>
      </c>
      <c r="K4775" s="13" t="n">
        <v>2500</v>
      </c>
      <c r="L4775" s="6" t="n">
        <f aca="false">H4775*K4775</f>
        <v>2500</v>
      </c>
      <c r="M4775" s="14" t="s">
        <v>410</v>
      </c>
    </row>
    <row r="4776" customFormat="false" ht="23.85" hidden="false" customHeight="false" outlineLevel="0" collapsed="false">
      <c r="A4776" s="4" t="s">
        <v>203</v>
      </c>
      <c r="B4776" s="5" t="s">
        <v>210</v>
      </c>
      <c r="C4776" s="5" t="s">
        <v>211</v>
      </c>
      <c r="D4776" s="4" t="s">
        <v>16</v>
      </c>
      <c r="E4776" s="4" t="s">
        <v>5420</v>
      </c>
      <c r="F4776" s="4" t="s">
        <v>470</v>
      </c>
      <c r="G4776" s="4" t="s">
        <v>5421</v>
      </c>
      <c r="H4776" s="12" t="n">
        <v>1</v>
      </c>
      <c r="I4776" s="4" t="s">
        <v>408</v>
      </c>
      <c r="J4776" s="4" t="s">
        <v>409</v>
      </c>
      <c r="K4776" s="13" t="n">
        <v>45000</v>
      </c>
      <c r="L4776" s="6" t="n">
        <f aca="false">H4776*K4776</f>
        <v>45000</v>
      </c>
      <c r="M4776" s="4" t="s">
        <v>371</v>
      </c>
    </row>
    <row r="4777" customFormat="false" ht="23.85" hidden="false" customHeight="false" outlineLevel="0" collapsed="false">
      <c r="A4777" s="4" t="s">
        <v>203</v>
      </c>
      <c r="B4777" s="5" t="s">
        <v>210</v>
      </c>
      <c r="C4777" s="5" t="s">
        <v>211</v>
      </c>
      <c r="D4777" s="4" t="s">
        <v>16</v>
      </c>
      <c r="E4777" s="4" t="s">
        <v>1062</v>
      </c>
      <c r="F4777" s="4" t="s">
        <v>470</v>
      </c>
      <c r="G4777" s="4" t="s">
        <v>1063</v>
      </c>
      <c r="H4777" s="12" t="n">
        <v>1</v>
      </c>
      <c r="I4777" s="4" t="s">
        <v>408</v>
      </c>
      <c r="J4777" s="4" t="s">
        <v>409</v>
      </c>
      <c r="K4777" s="13" t="n">
        <v>6500</v>
      </c>
      <c r="L4777" s="6" t="n">
        <f aca="false">H4777*K4777</f>
        <v>6500</v>
      </c>
      <c r="M4777" s="14" t="s">
        <v>410</v>
      </c>
    </row>
    <row r="4778" customFormat="false" ht="23.85" hidden="false" customHeight="false" outlineLevel="0" collapsed="false">
      <c r="A4778" s="4" t="s">
        <v>203</v>
      </c>
      <c r="B4778" s="5" t="s">
        <v>210</v>
      </c>
      <c r="C4778" s="5" t="s">
        <v>211</v>
      </c>
      <c r="D4778" s="4" t="s">
        <v>16</v>
      </c>
      <c r="E4778" s="4" t="s">
        <v>5422</v>
      </c>
      <c r="F4778" s="4" t="s">
        <v>470</v>
      </c>
      <c r="G4778" s="4" t="s">
        <v>5423</v>
      </c>
      <c r="H4778" s="12" t="n">
        <v>1</v>
      </c>
      <c r="I4778" s="4" t="s">
        <v>408</v>
      </c>
      <c r="J4778" s="4" t="s">
        <v>409</v>
      </c>
      <c r="K4778" s="13" t="n">
        <v>18000</v>
      </c>
      <c r="L4778" s="6" t="n">
        <f aca="false">H4778*K4778</f>
        <v>18000</v>
      </c>
      <c r="M4778" s="4" t="s">
        <v>371</v>
      </c>
    </row>
    <row r="4779" customFormat="false" ht="23.85" hidden="false" customHeight="false" outlineLevel="0" collapsed="false">
      <c r="A4779" s="4" t="s">
        <v>203</v>
      </c>
      <c r="B4779" s="5" t="s">
        <v>210</v>
      </c>
      <c r="C4779" s="5" t="s">
        <v>211</v>
      </c>
      <c r="D4779" s="4" t="s">
        <v>16</v>
      </c>
      <c r="E4779" s="4" t="s">
        <v>2004</v>
      </c>
      <c r="F4779" s="4" t="s">
        <v>470</v>
      </c>
      <c r="G4779" s="4" t="s">
        <v>2005</v>
      </c>
      <c r="H4779" s="12" t="n">
        <v>1</v>
      </c>
      <c r="I4779" s="4" t="s">
        <v>408</v>
      </c>
      <c r="J4779" s="4" t="s">
        <v>409</v>
      </c>
      <c r="K4779" s="13" t="n">
        <v>25000</v>
      </c>
      <c r="L4779" s="6" t="n">
        <f aca="false">H4779*K4779</f>
        <v>25000</v>
      </c>
      <c r="M4779" s="4" t="s">
        <v>371</v>
      </c>
    </row>
    <row r="4780" customFormat="false" ht="23.85" hidden="false" customHeight="false" outlineLevel="0" collapsed="false">
      <c r="A4780" s="4" t="s">
        <v>203</v>
      </c>
      <c r="B4780" s="5" t="s">
        <v>210</v>
      </c>
      <c r="C4780" s="5" t="s">
        <v>211</v>
      </c>
      <c r="D4780" s="4" t="s">
        <v>16</v>
      </c>
      <c r="E4780" s="4" t="s">
        <v>5424</v>
      </c>
      <c r="F4780" s="4" t="s">
        <v>470</v>
      </c>
      <c r="G4780" s="4" t="s">
        <v>5425</v>
      </c>
      <c r="H4780" s="12" t="n">
        <v>1</v>
      </c>
      <c r="I4780" s="4" t="s">
        <v>408</v>
      </c>
      <c r="J4780" s="4" t="s">
        <v>409</v>
      </c>
      <c r="K4780" s="13" t="n">
        <v>8500</v>
      </c>
      <c r="L4780" s="6" t="n">
        <f aca="false">H4780*K4780</f>
        <v>8500</v>
      </c>
      <c r="M4780" s="4" t="s">
        <v>371</v>
      </c>
    </row>
    <row r="4781" customFormat="false" ht="23.85" hidden="false" customHeight="false" outlineLevel="0" collapsed="false">
      <c r="A4781" s="4" t="s">
        <v>203</v>
      </c>
      <c r="B4781" s="5" t="s">
        <v>210</v>
      </c>
      <c r="C4781" s="5" t="s">
        <v>211</v>
      </c>
      <c r="D4781" s="4" t="s">
        <v>16</v>
      </c>
      <c r="E4781" s="4" t="s">
        <v>5426</v>
      </c>
      <c r="F4781" s="4" t="s">
        <v>470</v>
      </c>
      <c r="G4781" s="4" t="s">
        <v>5427</v>
      </c>
      <c r="H4781" s="12" t="n">
        <v>1</v>
      </c>
      <c r="I4781" s="4" t="s">
        <v>408</v>
      </c>
      <c r="J4781" s="4" t="s">
        <v>409</v>
      </c>
      <c r="K4781" s="13" t="n">
        <v>4500</v>
      </c>
      <c r="L4781" s="6" t="n">
        <f aca="false">H4781*K4781</f>
        <v>4500</v>
      </c>
      <c r="M4781" s="4" t="s">
        <v>371</v>
      </c>
    </row>
    <row r="4782" customFormat="false" ht="23.85" hidden="false" customHeight="false" outlineLevel="0" collapsed="false">
      <c r="A4782" s="4" t="s">
        <v>203</v>
      </c>
      <c r="B4782" s="5" t="s">
        <v>210</v>
      </c>
      <c r="C4782" s="5" t="s">
        <v>211</v>
      </c>
      <c r="D4782" s="4" t="s">
        <v>16</v>
      </c>
      <c r="E4782" s="4" t="s">
        <v>2183</v>
      </c>
      <c r="F4782" s="4" t="s">
        <v>470</v>
      </c>
      <c r="G4782" s="4" t="s">
        <v>2184</v>
      </c>
      <c r="H4782" s="12" t="n">
        <v>1</v>
      </c>
      <c r="I4782" s="4" t="s">
        <v>408</v>
      </c>
      <c r="J4782" s="4" t="s">
        <v>409</v>
      </c>
      <c r="K4782" s="13" t="n">
        <v>8500</v>
      </c>
      <c r="L4782" s="6" t="n">
        <f aca="false">H4782*K4782</f>
        <v>8500</v>
      </c>
      <c r="M4782" s="4" t="s">
        <v>371</v>
      </c>
    </row>
    <row r="4783" customFormat="false" ht="23.85" hidden="false" customHeight="false" outlineLevel="0" collapsed="false">
      <c r="A4783" s="4" t="s">
        <v>203</v>
      </c>
      <c r="B4783" s="5" t="s">
        <v>210</v>
      </c>
      <c r="C4783" s="5" t="s">
        <v>211</v>
      </c>
      <c r="D4783" s="4" t="s">
        <v>16</v>
      </c>
      <c r="E4783" s="4" t="s">
        <v>2431</v>
      </c>
      <c r="F4783" s="4" t="s">
        <v>470</v>
      </c>
      <c r="G4783" s="4" t="s">
        <v>2432</v>
      </c>
      <c r="H4783" s="12" t="n">
        <v>1</v>
      </c>
      <c r="I4783" s="4" t="s">
        <v>408</v>
      </c>
      <c r="J4783" s="4" t="s">
        <v>409</v>
      </c>
      <c r="K4783" s="13" t="n">
        <v>4500</v>
      </c>
      <c r="L4783" s="6" t="n">
        <f aca="false">H4783*K4783</f>
        <v>4500</v>
      </c>
      <c r="M4783" s="4" t="s">
        <v>371</v>
      </c>
    </row>
    <row r="4784" customFormat="false" ht="23.85" hidden="false" customHeight="false" outlineLevel="0" collapsed="false">
      <c r="A4784" s="4" t="s">
        <v>203</v>
      </c>
      <c r="B4784" s="5" t="s">
        <v>210</v>
      </c>
      <c r="C4784" s="5" t="s">
        <v>211</v>
      </c>
      <c r="D4784" s="4" t="s">
        <v>16</v>
      </c>
      <c r="E4784" s="4" t="s">
        <v>1089</v>
      </c>
      <c r="F4784" s="4" t="s">
        <v>470</v>
      </c>
      <c r="G4784" s="4" t="s">
        <v>1090</v>
      </c>
      <c r="H4784" s="12" t="n">
        <v>1</v>
      </c>
      <c r="I4784" s="4" t="s">
        <v>408</v>
      </c>
      <c r="J4784" s="4" t="s">
        <v>409</v>
      </c>
      <c r="K4784" s="13" t="n">
        <v>3500</v>
      </c>
      <c r="L4784" s="6" t="n">
        <f aca="false">H4784*K4784</f>
        <v>3500</v>
      </c>
      <c r="M4784" s="4" t="s">
        <v>371</v>
      </c>
    </row>
    <row r="4785" customFormat="false" ht="23.85" hidden="false" customHeight="false" outlineLevel="0" collapsed="false">
      <c r="A4785" s="4" t="s">
        <v>203</v>
      </c>
      <c r="B4785" s="5" t="s">
        <v>210</v>
      </c>
      <c r="C4785" s="5" t="s">
        <v>211</v>
      </c>
      <c r="D4785" s="4" t="s">
        <v>16</v>
      </c>
      <c r="E4785" s="4" t="s">
        <v>5428</v>
      </c>
      <c r="F4785" s="4" t="s">
        <v>470</v>
      </c>
      <c r="G4785" s="4" t="s">
        <v>5429</v>
      </c>
      <c r="H4785" s="12" t="n">
        <v>1</v>
      </c>
      <c r="I4785" s="4" t="s">
        <v>408</v>
      </c>
      <c r="J4785" s="4" t="s">
        <v>413</v>
      </c>
      <c r="K4785" s="13" t="n">
        <v>1800</v>
      </c>
      <c r="L4785" s="6" t="n">
        <f aca="false">H4785*K4785</f>
        <v>1800</v>
      </c>
      <c r="M4785" s="4" t="s">
        <v>371</v>
      </c>
    </row>
    <row r="4786" customFormat="false" ht="23.85" hidden="false" customHeight="false" outlineLevel="0" collapsed="false">
      <c r="A4786" s="4" t="s">
        <v>203</v>
      </c>
      <c r="B4786" s="5" t="s">
        <v>210</v>
      </c>
      <c r="C4786" s="5" t="s">
        <v>211</v>
      </c>
      <c r="D4786" s="4" t="s">
        <v>16</v>
      </c>
      <c r="E4786" s="4" t="s">
        <v>5430</v>
      </c>
      <c r="F4786" s="4" t="s">
        <v>470</v>
      </c>
      <c r="G4786" s="4" t="s">
        <v>1452</v>
      </c>
      <c r="H4786" s="12" t="n">
        <v>1</v>
      </c>
      <c r="I4786" s="4" t="s">
        <v>408</v>
      </c>
      <c r="J4786" s="4" t="s">
        <v>413</v>
      </c>
      <c r="K4786" s="13" t="n">
        <v>450</v>
      </c>
      <c r="L4786" s="6" t="n">
        <f aca="false">H4786*K4786</f>
        <v>450</v>
      </c>
      <c r="M4786" s="4" t="s">
        <v>371</v>
      </c>
    </row>
    <row r="4787" customFormat="false" ht="23.85" hidden="false" customHeight="false" outlineLevel="0" collapsed="false">
      <c r="A4787" s="4" t="s">
        <v>203</v>
      </c>
      <c r="B4787" s="5" t="s">
        <v>210</v>
      </c>
      <c r="C4787" s="5" t="s">
        <v>211</v>
      </c>
      <c r="D4787" s="4" t="s">
        <v>16</v>
      </c>
      <c r="E4787" s="4" t="s">
        <v>5431</v>
      </c>
      <c r="F4787" s="4" t="s">
        <v>470</v>
      </c>
      <c r="G4787" s="4" t="s">
        <v>5432</v>
      </c>
      <c r="H4787" s="12" t="n">
        <v>1</v>
      </c>
      <c r="I4787" s="4" t="s">
        <v>408</v>
      </c>
      <c r="J4787" s="4" t="s">
        <v>475</v>
      </c>
      <c r="K4787" s="13" t="n">
        <v>180</v>
      </c>
      <c r="L4787" s="6" t="n">
        <f aca="false">H4787*K4787</f>
        <v>180</v>
      </c>
      <c r="M4787" s="4" t="s">
        <v>371</v>
      </c>
    </row>
    <row r="4788" customFormat="false" ht="23.85" hidden="false" customHeight="false" outlineLevel="0" collapsed="false">
      <c r="A4788" s="4" t="s">
        <v>203</v>
      </c>
      <c r="B4788" s="5" t="s">
        <v>210</v>
      </c>
      <c r="C4788" s="5" t="s">
        <v>211</v>
      </c>
      <c r="D4788" s="4" t="s">
        <v>16</v>
      </c>
      <c r="E4788" s="4" t="s">
        <v>5433</v>
      </c>
      <c r="F4788" s="4" t="s">
        <v>470</v>
      </c>
      <c r="G4788" s="4" t="s">
        <v>5434</v>
      </c>
      <c r="H4788" s="12" t="n">
        <v>1</v>
      </c>
      <c r="I4788" s="4" t="s">
        <v>408</v>
      </c>
      <c r="J4788" s="4" t="s">
        <v>409</v>
      </c>
      <c r="K4788" s="13" t="n">
        <v>850</v>
      </c>
      <c r="L4788" s="6" t="n">
        <f aca="false">H4788*K4788</f>
        <v>850</v>
      </c>
      <c r="M4788" s="4" t="s">
        <v>371</v>
      </c>
    </row>
    <row r="4789" customFormat="false" ht="23.85" hidden="false" customHeight="false" outlineLevel="0" collapsed="false">
      <c r="A4789" s="4" t="s">
        <v>203</v>
      </c>
      <c r="B4789" s="5" t="s">
        <v>210</v>
      </c>
      <c r="C4789" s="5" t="s">
        <v>211</v>
      </c>
      <c r="D4789" s="4" t="s">
        <v>16</v>
      </c>
      <c r="E4789" s="4" t="s">
        <v>5435</v>
      </c>
      <c r="F4789" s="4" t="s">
        <v>470</v>
      </c>
      <c r="G4789" s="4" t="s">
        <v>5436</v>
      </c>
      <c r="H4789" s="12" t="n">
        <v>1</v>
      </c>
      <c r="I4789" s="4" t="s">
        <v>408</v>
      </c>
      <c r="J4789" s="4" t="s">
        <v>409</v>
      </c>
      <c r="K4789" s="13" t="n">
        <v>18000</v>
      </c>
      <c r="L4789" s="6" t="n">
        <f aca="false">H4789*K4789</f>
        <v>18000</v>
      </c>
      <c r="M4789" s="4" t="s">
        <v>371</v>
      </c>
    </row>
    <row r="4790" customFormat="false" ht="23.85" hidden="false" customHeight="false" outlineLevel="0" collapsed="false">
      <c r="A4790" s="4" t="s">
        <v>203</v>
      </c>
      <c r="B4790" s="5" t="s">
        <v>210</v>
      </c>
      <c r="C4790" s="5" t="s">
        <v>211</v>
      </c>
      <c r="D4790" s="4" t="s">
        <v>16</v>
      </c>
      <c r="E4790" s="4" t="s">
        <v>5437</v>
      </c>
      <c r="F4790" s="4" t="s">
        <v>470</v>
      </c>
      <c r="G4790" s="4" t="s">
        <v>5438</v>
      </c>
      <c r="H4790" s="12" t="n">
        <v>1</v>
      </c>
      <c r="I4790" s="4" t="s">
        <v>408</v>
      </c>
      <c r="J4790" s="4" t="s">
        <v>416</v>
      </c>
      <c r="K4790" s="13" t="n">
        <v>4500</v>
      </c>
      <c r="L4790" s="6" t="n">
        <f aca="false">H4790*K4790</f>
        <v>4500</v>
      </c>
      <c r="M4790" s="4" t="s">
        <v>371</v>
      </c>
    </row>
    <row r="4791" customFormat="false" ht="23.85" hidden="false" customHeight="false" outlineLevel="0" collapsed="false">
      <c r="A4791" s="4" t="s">
        <v>203</v>
      </c>
      <c r="B4791" s="5" t="s">
        <v>210</v>
      </c>
      <c r="C4791" s="5" t="s">
        <v>211</v>
      </c>
      <c r="D4791" s="4" t="s">
        <v>16</v>
      </c>
      <c r="E4791" s="4" t="s">
        <v>5439</v>
      </c>
      <c r="F4791" s="4" t="s">
        <v>470</v>
      </c>
      <c r="G4791" s="4" t="s">
        <v>5440</v>
      </c>
      <c r="H4791" s="12" t="n">
        <v>1</v>
      </c>
      <c r="I4791" s="4" t="s">
        <v>408</v>
      </c>
      <c r="J4791" s="4" t="s">
        <v>409</v>
      </c>
      <c r="K4791" s="13" t="n">
        <v>18000</v>
      </c>
      <c r="L4791" s="6" t="n">
        <f aca="false">H4791*K4791</f>
        <v>18000</v>
      </c>
      <c r="M4791" s="4" t="s">
        <v>371</v>
      </c>
    </row>
    <row r="4792" customFormat="false" ht="23.85" hidden="false" customHeight="false" outlineLevel="0" collapsed="false">
      <c r="A4792" s="4" t="s">
        <v>203</v>
      </c>
      <c r="B4792" s="5" t="s">
        <v>210</v>
      </c>
      <c r="C4792" s="5" t="s">
        <v>211</v>
      </c>
      <c r="D4792" s="4" t="s">
        <v>16</v>
      </c>
      <c r="E4792" s="4" t="s">
        <v>3077</v>
      </c>
      <c r="F4792" s="4" t="s">
        <v>470</v>
      </c>
      <c r="G4792" s="4" t="s">
        <v>3078</v>
      </c>
      <c r="H4792" s="12" t="n">
        <v>1</v>
      </c>
      <c r="I4792" s="4" t="s">
        <v>408</v>
      </c>
      <c r="J4792" s="4" t="s">
        <v>409</v>
      </c>
      <c r="K4792" s="13" t="n">
        <v>120</v>
      </c>
      <c r="L4792" s="6" t="n">
        <f aca="false">H4792*K4792</f>
        <v>120</v>
      </c>
      <c r="M4792" s="14" t="s">
        <v>410</v>
      </c>
    </row>
    <row r="4793" customFormat="false" ht="23.85" hidden="false" customHeight="false" outlineLevel="0" collapsed="false">
      <c r="A4793" s="4" t="s">
        <v>203</v>
      </c>
      <c r="B4793" s="5" t="s">
        <v>210</v>
      </c>
      <c r="C4793" s="5" t="s">
        <v>211</v>
      </c>
      <c r="D4793" s="4" t="s">
        <v>16</v>
      </c>
      <c r="E4793" s="4" t="s">
        <v>1136</v>
      </c>
      <c r="F4793" s="4" t="s">
        <v>470</v>
      </c>
      <c r="G4793" s="4" t="s">
        <v>1137</v>
      </c>
      <c r="H4793" s="12" t="n">
        <v>1</v>
      </c>
      <c r="I4793" s="4" t="s">
        <v>408</v>
      </c>
      <c r="J4793" s="4" t="s">
        <v>416</v>
      </c>
      <c r="K4793" s="13" t="n">
        <v>850</v>
      </c>
      <c r="L4793" s="6" t="n">
        <f aca="false">H4793*K4793</f>
        <v>850</v>
      </c>
      <c r="M4793" s="4" t="s">
        <v>371</v>
      </c>
    </row>
    <row r="4794" customFormat="false" ht="23.85" hidden="false" customHeight="false" outlineLevel="0" collapsed="false">
      <c r="A4794" s="4" t="s">
        <v>203</v>
      </c>
      <c r="B4794" s="5" t="s">
        <v>210</v>
      </c>
      <c r="C4794" s="5" t="s">
        <v>211</v>
      </c>
      <c r="D4794" s="4" t="s">
        <v>16</v>
      </c>
      <c r="E4794" s="4" t="s">
        <v>4108</v>
      </c>
      <c r="F4794" s="4" t="s">
        <v>470</v>
      </c>
      <c r="G4794" s="4" t="s">
        <v>4109</v>
      </c>
      <c r="H4794" s="12" t="n">
        <v>1</v>
      </c>
      <c r="I4794" s="4" t="s">
        <v>408</v>
      </c>
      <c r="J4794" s="4" t="s">
        <v>409</v>
      </c>
      <c r="K4794" s="13" t="n">
        <v>1800</v>
      </c>
      <c r="L4794" s="6" t="n">
        <f aca="false">H4794*K4794</f>
        <v>1800</v>
      </c>
      <c r="M4794" s="4" t="s">
        <v>371</v>
      </c>
    </row>
    <row r="4795" customFormat="false" ht="23.85" hidden="false" customHeight="false" outlineLevel="0" collapsed="false">
      <c r="A4795" s="4" t="s">
        <v>203</v>
      </c>
      <c r="B4795" s="5" t="s">
        <v>210</v>
      </c>
      <c r="C4795" s="5" t="s">
        <v>211</v>
      </c>
      <c r="D4795" s="4" t="s">
        <v>16</v>
      </c>
      <c r="E4795" s="4" t="s">
        <v>5365</v>
      </c>
      <c r="F4795" s="4" t="s">
        <v>488</v>
      </c>
      <c r="G4795" s="4" t="s">
        <v>5366</v>
      </c>
      <c r="H4795" s="12" t="n">
        <v>1</v>
      </c>
      <c r="I4795" s="4" t="s">
        <v>408</v>
      </c>
      <c r="J4795" s="4" t="s">
        <v>503</v>
      </c>
      <c r="K4795" s="13" t="n">
        <v>120</v>
      </c>
      <c r="L4795" s="6" t="n">
        <f aca="false">H4795*K4795</f>
        <v>120</v>
      </c>
      <c r="M4795" s="4" t="s">
        <v>371</v>
      </c>
    </row>
    <row r="4796" customFormat="false" ht="23.85" hidden="false" customHeight="false" outlineLevel="0" collapsed="false">
      <c r="A4796" s="4" t="s">
        <v>203</v>
      </c>
      <c r="B4796" s="5" t="s">
        <v>210</v>
      </c>
      <c r="C4796" s="5" t="s">
        <v>211</v>
      </c>
      <c r="D4796" s="4" t="s">
        <v>16</v>
      </c>
      <c r="E4796" s="4" t="s">
        <v>5441</v>
      </c>
      <c r="F4796" s="4" t="s">
        <v>488</v>
      </c>
      <c r="G4796" s="4" t="s">
        <v>5442</v>
      </c>
      <c r="H4796" s="12" t="n">
        <v>1</v>
      </c>
      <c r="I4796" s="4" t="s">
        <v>408</v>
      </c>
      <c r="J4796" s="4" t="s">
        <v>416</v>
      </c>
      <c r="K4796" s="13" t="n">
        <v>250</v>
      </c>
      <c r="L4796" s="6" t="n">
        <f aca="false">H4796*K4796</f>
        <v>250</v>
      </c>
      <c r="M4796" s="4" t="s">
        <v>371</v>
      </c>
    </row>
    <row r="4797" customFormat="false" ht="23.85" hidden="false" customHeight="false" outlineLevel="0" collapsed="false">
      <c r="A4797" s="4" t="s">
        <v>203</v>
      </c>
      <c r="B4797" s="5" t="s">
        <v>210</v>
      </c>
      <c r="C4797" s="5" t="s">
        <v>211</v>
      </c>
      <c r="D4797" s="4" t="s">
        <v>16</v>
      </c>
      <c r="E4797" s="4" t="s">
        <v>5443</v>
      </c>
      <c r="F4797" s="4" t="s">
        <v>488</v>
      </c>
      <c r="G4797" s="4" t="s">
        <v>5444</v>
      </c>
      <c r="H4797" s="12" t="n">
        <v>1</v>
      </c>
      <c r="I4797" s="4" t="s">
        <v>408</v>
      </c>
      <c r="J4797" s="4" t="s">
        <v>506</v>
      </c>
      <c r="K4797" s="13" t="n">
        <v>120</v>
      </c>
      <c r="L4797" s="6" t="n">
        <f aca="false">H4797*K4797</f>
        <v>120</v>
      </c>
      <c r="M4797" s="4" t="s">
        <v>371</v>
      </c>
    </row>
    <row r="4798" customFormat="false" ht="23.85" hidden="false" customHeight="false" outlineLevel="0" collapsed="false">
      <c r="A4798" s="4" t="s">
        <v>203</v>
      </c>
      <c r="B4798" s="5" t="s">
        <v>210</v>
      </c>
      <c r="C4798" s="5" t="s">
        <v>211</v>
      </c>
      <c r="D4798" s="4" t="s">
        <v>16</v>
      </c>
      <c r="E4798" s="4" t="s">
        <v>5445</v>
      </c>
      <c r="F4798" s="4" t="s">
        <v>488</v>
      </c>
      <c r="G4798" s="4" t="s">
        <v>5446</v>
      </c>
      <c r="H4798" s="12" t="n">
        <v>1</v>
      </c>
      <c r="I4798" s="4" t="s">
        <v>408</v>
      </c>
      <c r="J4798" s="4" t="s">
        <v>409</v>
      </c>
      <c r="K4798" s="13" t="n">
        <v>25</v>
      </c>
      <c r="L4798" s="6" t="n">
        <f aca="false">H4798*K4798</f>
        <v>25</v>
      </c>
      <c r="M4798" s="4" t="s">
        <v>371</v>
      </c>
    </row>
    <row r="4799" customFormat="false" ht="23.85" hidden="false" customHeight="false" outlineLevel="0" collapsed="false">
      <c r="A4799" s="4" t="s">
        <v>203</v>
      </c>
      <c r="B4799" s="5" t="s">
        <v>210</v>
      </c>
      <c r="C4799" s="5" t="s">
        <v>211</v>
      </c>
      <c r="D4799" s="4" t="s">
        <v>16</v>
      </c>
      <c r="E4799" s="4" t="s">
        <v>5447</v>
      </c>
      <c r="F4799" s="4" t="s">
        <v>488</v>
      </c>
      <c r="G4799" s="4" t="s">
        <v>5448</v>
      </c>
      <c r="H4799" s="12" t="n">
        <v>1</v>
      </c>
      <c r="I4799" s="4" t="s">
        <v>408</v>
      </c>
      <c r="J4799" s="4" t="s">
        <v>429</v>
      </c>
      <c r="K4799" s="13" t="n">
        <v>250</v>
      </c>
      <c r="L4799" s="6" t="n">
        <f aca="false">H4799*K4799</f>
        <v>250</v>
      </c>
      <c r="M4799" s="4" t="s">
        <v>371</v>
      </c>
    </row>
    <row r="4800" customFormat="false" ht="23.85" hidden="false" customHeight="false" outlineLevel="0" collapsed="false">
      <c r="A4800" s="4" t="s">
        <v>203</v>
      </c>
      <c r="B4800" s="5" t="s">
        <v>210</v>
      </c>
      <c r="C4800" s="5" t="s">
        <v>211</v>
      </c>
      <c r="D4800" s="4" t="s">
        <v>16</v>
      </c>
      <c r="E4800" s="4" t="s">
        <v>3758</v>
      </c>
      <c r="F4800" s="4" t="s">
        <v>488</v>
      </c>
      <c r="G4800" s="4" t="s">
        <v>3759</v>
      </c>
      <c r="H4800" s="12" t="n">
        <v>1</v>
      </c>
      <c r="I4800" s="4" t="s">
        <v>408</v>
      </c>
      <c r="J4800" s="4" t="s">
        <v>796</v>
      </c>
      <c r="K4800" s="13" t="n">
        <v>25</v>
      </c>
      <c r="L4800" s="6" t="n">
        <f aca="false">H4800*K4800</f>
        <v>25</v>
      </c>
      <c r="M4800" s="4" t="s">
        <v>371</v>
      </c>
    </row>
    <row r="4801" customFormat="false" ht="23.85" hidden="false" customHeight="false" outlineLevel="0" collapsed="false">
      <c r="A4801" s="4" t="s">
        <v>203</v>
      </c>
      <c r="B4801" s="5" t="s">
        <v>210</v>
      </c>
      <c r="C4801" s="5" t="s">
        <v>211</v>
      </c>
      <c r="D4801" s="4" t="s">
        <v>16</v>
      </c>
      <c r="E4801" s="4" t="s">
        <v>4338</v>
      </c>
      <c r="F4801" s="4" t="s">
        <v>488</v>
      </c>
      <c r="G4801" s="4" t="s">
        <v>4339</v>
      </c>
      <c r="H4801" s="12" t="n">
        <v>1</v>
      </c>
      <c r="I4801" s="4" t="s">
        <v>408</v>
      </c>
      <c r="J4801" s="4" t="s">
        <v>409</v>
      </c>
      <c r="K4801" s="13" t="n">
        <v>35</v>
      </c>
      <c r="L4801" s="6" t="n">
        <f aca="false">H4801*K4801</f>
        <v>35</v>
      </c>
      <c r="M4801" s="4" t="s">
        <v>371</v>
      </c>
    </row>
    <row r="4802" customFormat="false" ht="23.85" hidden="false" customHeight="false" outlineLevel="0" collapsed="false">
      <c r="A4802" s="4" t="s">
        <v>203</v>
      </c>
      <c r="B4802" s="5" t="s">
        <v>210</v>
      </c>
      <c r="C4802" s="5" t="s">
        <v>211</v>
      </c>
      <c r="D4802" s="4" t="s">
        <v>16</v>
      </c>
      <c r="E4802" s="4" t="s">
        <v>5449</v>
      </c>
      <c r="F4802" s="4" t="s">
        <v>488</v>
      </c>
      <c r="G4802" s="4" t="s">
        <v>5450</v>
      </c>
      <c r="H4802" s="12" t="n">
        <v>1</v>
      </c>
      <c r="I4802" s="4" t="s">
        <v>408</v>
      </c>
      <c r="J4802" s="4" t="s">
        <v>409</v>
      </c>
      <c r="K4802" s="13" t="n">
        <v>120</v>
      </c>
      <c r="L4802" s="6" t="n">
        <f aca="false">H4802*K4802</f>
        <v>120</v>
      </c>
      <c r="M4802" s="4" t="s">
        <v>371</v>
      </c>
    </row>
    <row r="4803" customFormat="false" ht="23.85" hidden="false" customHeight="false" outlineLevel="0" collapsed="false">
      <c r="A4803" s="4" t="s">
        <v>203</v>
      </c>
      <c r="B4803" s="5" t="s">
        <v>210</v>
      </c>
      <c r="C4803" s="5" t="s">
        <v>211</v>
      </c>
      <c r="D4803" s="4" t="s">
        <v>16</v>
      </c>
      <c r="E4803" s="4" t="s">
        <v>5451</v>
      </c>
      <c r="F4803" s="4" t="s">
        <v>488</v>
      </c>
      <c r="G4803" s="4" t="s">
        <v>4174</v>
      </c>
      <c r="H4803" s="12" t="n">
        <v>1</v>
      </c>
      <c r="I4803" s="4" t="s">
        <v>408</v>
      </c>
      <c r="J4803" s="4" t="s">
        <v>503</v>
      </c>
      <c r="K4803" s="13" t="n">
        <v>120</v>
      </c>
      <c r="L4803" s="6" t="n">
        <f aca="false">H4803*K4803</f>
        <v>120</v>
      </c>
      <c r="M4803" s="4" t="s">
        <v>371</v>
      </c>
    </row>
    <row r="4804" customFormat="false" ht="23.85" hidden="false" customHeight="false" outlineLevel="0" collapsed="false">
      <c r="A4804" s="4" t="s">
        <v>203</v>
      </c>
      <c r="B4804" s="5" t="s">
        <v>210</v>
      </c>
      <c r="C4804" s="5" t="s">
        <v>211</v>
      </c>
      <c r="D4804" s="4" t="s">
        <v>16</v>
      </c>
      <c r="E4804" s="4" t="s">
        <v>5452</v>
      </c>
      <c r="F4804" s="4" t="s">
        <v>488</v>
      </c>
      <c r="G4804" s="4" t="s">
        <v>5453</v>
      </c>
      <c r="H4804" s="12" t="n">
        <v>1</v>
      </c>
      <c r="I4804" s="4" t="s">
        <v>408</v>
      </c>
      <c r="J4804" s="4" t="s">
        <v>409</v>
      </c>
      <c r="K4804" s="13" t="n">
        <v>120</v>
      </c>
      <c r="L4804" s="6" t="n">
        <f aca="false">H4804*K4804</f>
        <v>120</v>
      </c>
      <c r="M4804" s="4" t="s">
        <v>371</v>
      </c>
    </row>
    <row r="4805" customFormat="false" ht="23.85" hidden="false" customHeight="false" outlineLevel="0" collapsed="false">
      <c r="A4805" s="4" t="s">
        <v>203</v>
      </c>
      <c r="B4805" s="5" t="s">
        <v>210</v>
      </c>
      <c r="C4805" s="5" t="s">
        <v>211</v>
      </c>
      <c r="D4805" s="4" t="s">
        <v>16</v>
      </c>
      <c r="E4805" s="4" t="s">
        <v>5454</v>
      </c>
      <c r="F4805" s="4" t="s">
        <v>488</v>
      </c>
      <c r="G4805" s="4" t="s">
        <v>5455</v>
      </c>
      <c r="H4805" s="12" t="n">
        <v>1</v>
      </c>
      <c r="I4805" s="4" t="s">
        <v>408</v>
      </c>
      <c r="J4805" s="4" t="s">
        <v>409</v>
      </c>
      <c r="K4805" s="13" t="n">
        <v>25</v>
      </c>
      <c r="L4805" s="6" t="n">
        <f aca="false">H4805*K4805</f>
        <v>25</v>
      </c>
      <c r="M4805" s="4" t="s">
        <v>371</v>
      </c>
    </row>
    <row r="4806" customFormat="false" ht="23.85" hidden="false" customHeight="false" outlineLevel="0" collapsed="false">
      <c r="A4806" s="4" t="s">
        <v>203</v>
      </c>
      <c r="B4806" s="5" t="s">
        <v>210</v>
      </c>
      <c r="C4806" s="5" t="s">
        <v>211</v>
      </c>
      <c r="D4806" s="4" t="s">
        <v>16</v>
      </c>
      <c r="E4806" s="4" t="s">
        <v>5456</v>
      </c>
      <c r="F4806" s="4" t="s">
        <v>488</v>
      </c>
      <c r="G4806" s="4" t="s">
        <v>5457</v>
      </c>
      <c r="H4806" s="12" t="n">
        <v>1</v>
      </c>
      <c r="I4806" s="4" t="s">
        <v>408</v>
      </c>
      <c r="J4806" s="4" t="s">
        <v>416</v>
      </c>
      <c r="K4806" s="13" t="n">
        <v>450</v>
      </c>
      <c r="L4806" s="6" t="n">
        <f aca="false">H4806*K4806</f>
        <v>450</v>
      </c>
      <c r="M4806" s="4" t="s">
        <v>371</v>
      </c>
    </row>
    <row r="4807" customFormat="false" ht="23.85" hidden="false" customHeight="false" outlineLevel="0" collapsed="false">
      <c r="A4807" s="4" t="s">
        <v>203</v>
      </c>
      <c r="B4807" s="5" t="s">
        <v>210</v>
      </c>
      <c r="C4807" s="5" t="s">
        <v>211</v>
      </c>
      <c r="D4807" s="4" t="s">
        <v>16</v>
      </c>
      <c r="E4807" s="4" t="s">
        <v>1723</v>
      </c>
      <c r="F4807" s="4" t="s">
        <v>488</v>
      </c>
      <c r="G4807" s="4" t="s">
        <v>1724</v>
      </c>
      <c r="H4807" s="12" t="n">
        <v>1</v>
      </c>
      <c r="I4807" s="4" t="s">
        <v>408</v>
      </c>
      <c r="J4807" s="4" t="s">
        <v>409</v>
      </c>
      <c r="K4807" s="13" t="n">
        <v>25</v>
      </c>
      <c r="L4807" s="6" t="n">
        <f aca="false">H4807*K4807</f>
        <v>25</v>
      </c>
      <c r="M4807" s="4" t="s">
        <v>371</v>
      </c>
    </row>
    <row r="4808" customFormat="false" ht="23.85" hidden="false" customHeight="false" outlineLevel="0" collapsed="false">
      <c r="A4808" s="4" t="s">
        <v>203</v>
      </c>
      <c r="B4808" s="5" t="s">
        <v>210</v>
      </c>
      <c r="C4808" s="5" t="s">
        <v>211</v>
      </c>
      <c r="D4808" s="4" t="s">
        <v>16</v>
      </c>
      <c r="E4808" s="4" t="s">
        <v>5458</v>
      </c>
      <c r="F4808" s="4" t="s">
        <v>470</v>
      </c>
      <c r="G4808" s="4" t="s">
        <v>5459</v>
      </c>
      <c r="H4808" s="12" t="n">
        <v>1</v>
      </c>
      <c r="I4808" s="4" t="s">
        <v>408</v>
      </c>
      <c r="J4808" s="4" t="s">
        <v>409</v>
      </c>
      <c r="K4808" s="13" t="n">
        <v>1800</v>
      </c>
      <c r="L4808" s="6" t="n">
        <f aca="false">H4808*K4808</f>
        <v>1800</v>
      </c>
      <c r="M4808" s="4" t="s">
        <v>371</v>
      </c>
    </row>
    <row r="4809" customFormat="false" ht="15" hidden="false" customHeight="false" outlineLevel="0" collapsed="false">
      <c r="A4809" s="4" t="s">
        <v>203</v>
      </c>
      <c r="B4809" s="5" t="s">
        <v>212</v>
      </c>
      <c r="C4809" s="5" t="s">
        <v>213</v>
      </c>
      <c r="D4809" s="4" t="s">
        <v>16</v>
      </c>
      <c r="E4809" s="4" t="s">
        <v>5460</v>
      </c>
      <c r="F4809" s="4" t="s">
        <v>406</v>
      </c>
      <c r="G4809" s="4" t="s">
        <v>5461</v>
      </c>
      <c r="H4809" s="12" t="n">
        <v>1</v>
      </c>
      <c r="I4809" s="4" t="s">
        <v>408</v>
      </c>
      <c r="J4809" s="4" t="s">
        <v>416</v>
      </c>
      <c r="K4809" s="13" t="n">
        <v>3500</v>
      </c>
      <c r="L4809" s="6" t="n">
        <f aca="false">H4809*K4809</f>
        <v>3500</v>
      </c>
      <c r="M4809" s="14" t="s">
        <v>410</v>
      </c>
    </row>
    <row r="4810" customFormat="false" ht="15" hidden="false" customHeight="false" outlineLevel="0" collapsed="false">
      <c r="A4810" s="4" t="s">
        <v>203</v>
      </c>
      <c r="B4810" s="5" t="s">
        <v>212</v>
      </c>
      <c r="C4810" s="5" t="s">
        <v>213</v>
      </c>
      <c r="D4810" s="4" t="s">
        <v>16</v>
      </c>
      <c r="E4810" s="4" t="s">
        <v>5462</v>
      </c>
      <c r="F4810" s="4" t="s">
        <v>406</v>
      </c>
      <c r="G4810" s="4" t="s">
        <v>5463</v>
      </c>
      <c r="H4810" s="12" t="n">
        <v>1</v>
      </c>
      <c r="I4810" s="4" t="s">
        <v>408</v>
      </c>
      <c r="J4810" s="4" t="s">
        <v>416</v>
      </c>
      <c r="K4810" s="13" t="n">
        <v>18000</v>
      </c>
      <c r="L4810" s="6" t="n">
        <f aca="false">H4810*K4810</f>
        <v>18000</v>
      </c>
      <c r="M4810" s="4" t="s">
        <v>371</v>
      </c>
    </row>
    <row r="4811" customFormat="false" ht="15" hidden="false" customHeight="false" outlineLevel="0" collapsed="false">
      <c r="A4811" s="4" t="s">
        <v>203</v>
      </c>
      <c r="B4811" s="5" t="s">
        <v>212</v>
      </c>
      <c r="C4811" s="5" t="s">
        <v>213</v>
      </c>
      <c r="D4811" s="4" t="s">
        <v>16</v>
      </c>
      <c r="E4811" s="4" t="s">
        <v>5291</v>
      </c>
      <c r="F4811" s="4" t="s">
        <v>406</v>
      </c>
      <c r="G4811" s="4" t="s">
        <v>5292</v>
      </c>
      <c r="H4811" s="12" t="n">
        <v>1</v>
      </c>
      <c r="I4811" s="4" t="s">
        <v>408</v>
      </c>
      <c r="J4811" s="4" t="s">
        <v>409</v>
      </c>
      <c r="K4811" s="13" t="n">
        <v>1200</v>
      </c>
      <c r="L4811" s="6" t="n">
        <f aca="false">H4811*K4811</f>
        <v>1200</v>
      </c>
      <c r="M4811" s="14" t="s">
        <v>410</v>
      </c>
    </row>
    <row r="4812" customFormat="false" ht="15" hidden="false" customHeight="false" outlineLevel="0" collapsed="false">
      <c r="A4812" s="4" t="s">
        <v>203</v>
      </c>
      <c r="B4812" s="5" t="s">
        <v>212</v>
      </c>
      <c r="C4812" s="5" t="s">
        <v>213</v>
      </c>
      <c r="D4812" s="4" t="s">
        <v>16</v>
      </c>
      <c r="E4812" s="4" t="s">
        <v>5464</v>
      </c>
      <c r="F4812" s="4" t="s">
        <v>406</v>
      </c>
      <c r="G4812" s="4" t="s">
        <v>5465</v>
      </c>
      <c r="H4812" s="12" t="n">
        <v>1</v>
      </c>
      <c r="I4812" s="4" t="s">
        <v>408</v>
      </c>
      <c r="J4812" s="4" t="s">
        <v>409</v>
      </c>
      <c r="K4812" s="13" t="n">
        <v>850</v>
      </c>
      <c r="L4812" s="6" t="n">
        <f aca="false">H4812*K4812</f>
        <v>850</v>
      </c>
      <c r="M4812" s="4" t="s">
        <v>371</v>
      </c>
    </row>
    <row r="4813" customFormat="false" ht="15" hidden="false" customHeight="false" outlineLevel="0" collapsed="false">
      <c r="A4813" s="4" t="s">
        <v>203</v>
      </c>
      <c r="B4813" s="5" t="s">
        <v>212</v>
      </c>
      <c r="C4813" s="5" t="s">
        <v>213</v>
      </c>
      <c r="D4813" s="4" t="s">
        <v>16</v>
      </c>
      <c r="E4813" s="4" t="s">
        <v>5466</v>
      </c>
      <c r="F4813" s="4" t="s">
        <v>406</v>
      </c>
      <c r="G4813" s="4" t="s">
        <v>5467</v>
      </c>
      <c r="H4813" s="12" t="n">
        <v>1</v>
      </c>
      <c r="I4813" s="4" t="s">
        <v>408</v>
      </c>
      <c r="J4813" s="4" t="s">
        <v>409</v>
      </c>
      <c r="K4813" s="13" t="n">
        <v>1200</v>
      </c>
      <c r="L4813" s="6" t="n">
        <f aca="false">H4813*K4813</f>
        <v>1200</v>
      </c>
      <c r="M4813" s="14" t="s">
        <v>410</v>
      </c>
    </row>
    <row r="4814" customFormat="false" ht="15" hidden="false" customHeight="false" outlineLevel="0" collapsed="false">
      <c r="A4814" s="4" t="s">
        <v>203</v>
      </c>
      <c r="B4814" s="5" t="s">
        <v>212</v>
      </c>
      <c r="C4814" s="5" t="s">
        <v>213</v>
      </c>
      <c r="D4814" s="4" t="s">
        <v>16</v>
      </c>
      <c r="E4814" s="4" t="s">
        <v>5468</v>
      </c>
      <c r="F4814" s="4" t="s">
        <v>406</v>
      </c>
      <c r="G4814" s="4" t="s">
        <v>5469</v>
      </c>
      <c r="H4814" s="12" t="n">
        <v>1</v>
      </c>
      <c r="I4814" s="4" t="s">
        <v>408</v>
      </c>
      <c r="J4814" s="4" t="s">
        <v>409</v>
      </c>
      <c r="K4814" s="13" t="n">
        <v>18000</v>
      </c>
      <c r="L4814" s="6" t="n">
        <f aca="false">H4814*K4814</f>
        <v>18000</v>
      </c>
      <c r="M4814" s="14" t="s">
        <v>410</v>
      </c>
    </row>
    <row r="4815" customFormat="false" ht="15" hidden="false" customHeight="false" outlineLevel="0" collapsed="false">
      <c r="A4815" s="4" t="s">
        <v>203</v>
      </c>
      <c r="B4815" s="5" t="s">
        <v>212</v>
      </c>
      <c r="C4815" s="5" t="s">
        <v>213</v>
      </c>
      <c r="D4815" s="4" t="s">
        <v>16</v>
      </c>
      <c r="E4815" s="4" t="s">
        <v>467</v>
      </c>
      <c r="F4815" s="4" t="s">
        <v>406</v>
      </c>
      <c r="G4815" s="4" t="s">
        <v>468</v>
      </c>
      <c r="H4815" s="12" t="n">
        <v>1</v>
      </c>
      <c r="I4815" s="4" t="s">
        <v>408</v>
      </c>
      <c r="J4815" s="4" t="s">
        <v>409</v>
      </c>
      <c r="K4815" s="13" t="n">
        <v>250</v>
      </c>
      <c r="L4815" s="6" t="n">
        <f aca="false">H4815*K4815</f>
        <v>250</v>
      </c>
      <c r="M4815" s="14" t="s">
        <v>410</v>
      </c>
    </row>
    <row r="4816" customFormat="false" ht="15" hidden="false" customHeight="false" outlineLevel="0" collapsed="false">
      <c r="A4816" s="4" t="s">
        <v>203</v>
      </c>
      <c r="B4816" s="5" t="s">
        <v>212</v>
      </c>
      <c r="C4816" s="5" t="s">
        <v>213</v>
      </c>
      <c r="D4816" s="4" t="s">
        <v>16</v>
      </c>
      <c r="E4816" s="4" t="s">
        <v>5400</v>
      </c>
      <c r="F4816" s="4" t="s">
        <v>406</v>
      </c>
      <c r="G4816" s="4" t="s">
        <v>5401</v>
      </c>
      <c r="H4816" s="12" t="n">
        <v>1</v>
      </c>
      <c r="I4816" s="4" t="s">
        <v>408</v>
      </c>
      <c r="J4816" s="4" t="s">
        <v>409</v>
      </c>
      <c r="K4816" s="13" t="n">
        <v>1800</v>
      </c>
      <c r="L4816" s="6" t="n">
        <f aca="false">H4816*K4816</f>
        <v>1800</v>
      </c>
      <c r="M4816" s="14" t="s">
        <v>410</v>
      </c>
    </row>
    <row r="4817" customFormat="false" ht="15" hidden="false" customHeight="false" outlineLevel="0" collapsed="false">
      <c r="A4817" s="4" t="s">
        <v>203</v>
      </c>
      <c r="B4817" s="5" t="s">
        <v>212</v>
      </c>
      <c r="C4817" s="5" t="s">
        <v>213</v>
      </c>
      <c r="D4817" s="4" t="s">
        <v>16</v>
      </c>
      <c r="E4817" s="4" t="s">
        <v>5470</v>
      </c>
      <c r="F4817" s="4" t="s">
        <v>406</v>
      </c>
      <c r="G4817" s="4" t="s">
        <v>5471</v>
      </c>
      <c r="H4817" s="12" t="n">
        <v>1</v>
      </c>
      <c r="I4817" s="4" t="s">
        <v>408</v>
      </c>
      <c r="J4817" s="4" t="s">
        <v>409</v>
      </c>
      <c r="K4817" s="13" t="n">
        <v>45000</v>
      </c>
      <c r="L4817" s="6" t="n">
        <f aca="false">H4817*K4817</f>
        <v>45000</v>
      </c>
      <c r="M4817" s="14" t="s">
        <v>410</v>
      </c>
    </row>
    <row r="4818" customFormat="false" ht="15" hidden="false" customHeight="false" outlineLevel="0" collapsed="false">
      <c r="A4818" s="4" t="s">
        <v>203</v>
      </c>
      <c r="B4818" s="5" t="s">
        <v>212</v>
      </c>
      <c r="C4818" s="5" t="s">
        <v>213</v>
      </c>
      <c r="D4818" s="4" t="s">
        <v>16</v>
      </c>
      <c r="E4818" s="4" t="s">
        <v>5472</v>
      </c>
      <c r="F4818" s="4" t="s">
        <v>406</v>
      </c>
      <c r="G4818" s="4" t="s">
        <v>5473</v>
      </c>
      <c r="H4818" s="12" t="n">
        <v>1</v>
      </c>
      <c r="I4818" s="4" t="s">
        <v>408</v>
      </c>
      <c r="J4818" s="4" t="s">
        <v>409</v>
      </c>
      <c r="K4818" s="13" t="n">
        <v>8500</v>
      </c>
      <c r="L4818" s="6" t="n">
        <f aca="false">H4818*K4818</f>
        <v>8500</v>
      </c>
      <c r="M4818" s="4" t="s">
        <v>371</v>
      </c>
    </row>
    <row r="4819" customFormat="false" ht="15" hidden="false" customHeight="false" outlineLevel="0" collapsed="false">
      <c r="A4819" s="4" t="s">
        <v>203</v>
      </c>
      <c r="B4819" s="5" t="s">
        <v>212</v>
      </c>
      <c r="C4819" s="5" t="s">
        <v>213</v>
      </c>
      <c r="D4819" s="4" t="s">
        <v>16</v>
      </c>
      <c r="E4819" s="4" t="s">
        <v>5474</v>
      </c>
      <c r="F4819" s="4" t="s">
        <v>406</v>
      </c>
      <c r="G4819" s="4" t="s">
        <v>5475</v>
      </c>
      <c r="H4819" s="12" t="n">
        <v>1</v>
      </c>
      <c r="I4819" s="4" t="s">
        <v>408</v>
      </c>
      <c r="J4819" s="4" t="s">
        <v>409</v>
      </c>
      <c r="K4819" s="13" t="n">
        <v>1800</v>
      </c>
      <c r="L4819" s="6" t="n">
        <f aca="false">H4819*K4819</f>
        <v>1800</v>
      </c>
      <c r="M4819" s="4" t="s">
        <v>371</v>
      </c>
    </row>
    <row r="4820" customFormat="false" ht="15" hidden="false" customHeight="false" outlineLevel="0" collapsed="false">
      <c r="A4820" s="4" t="s">
        <v>203</v>
      </c>
      <c r="B4820" s="5" t="s">
        <v>212</v>
      </c>
      <c r="C4820" s="5" t="s">
        <v>213</v>
      </c>
      <c r="D4820" s="4" t="s">
        <v>16</v>
      </c>
      <c r="E4820" s="4" t="s">
        <v>5476</v>
      </c>
      <c r="F4820" s="4" t="s">
        <v>406</v>
      </c>
      <c r="G4820" s="4" t="s">
        <v>5477</v>
      </c>
      <c r="H4820" s="12" t="n">
        <v>1</v>
      </c>
      <c r="I4820" s="4" t="s">
        <v>408</v>
      </c>
      <c r="J4820" s="4" t="s">
        <v>409</v>
      </c>
      <c r="K4820" s="13" t="n">
        <v>2500</v>
      </c>
      <c r="L4820" s="6" t="n">
        <f aca="false">H4820*K4820</f>
        <v>2500</v>
      </c>
      <c r="M4820" s="4" t="s">
        <v>371</v>
      </c>
    </row>
    <row r="4821" customFormat="false" ht="15" hidden="false" customHeight="false" outlineLevel="0" collapsed="false">
      <c r="A4821" s="4" t="s">
        <v>203</v>
      </c>
      <c r="B4821" s="5" t="s">
        <v>212</v>
      </c>
      <c r="C4821" s="5" t="s">
        <v>213</v>
      </c>
      <c r="D4821" s="4" t="s">
        <v>16</v>
      </c>
      <c r="E4821" s="4" t="s">
        <v>5478</v>
      </c>
      <c r="F4821" s="4" t="s">
        <v>406</v>
      </c>
      <c r="G4821" s="4" t="s">
        <v>5479</v>
      </c>
      <c r="H4821" s="12" t="n">
        <v>1</v>
      </c>
      <c r="I4821" s="4" t="s">
        <v>408</v>
      </c>
      <c r="J4821" s="4" t="s">
        <v>409</v>
      </c>
      <c r="K4821" s="13" t="n">
        <v>650</v>
      </c>
      <c r="L4821" s="6" t="n">
        <f aca="false">H4821*K4821</f>
        <v>650</v>
      </c>
      <c r="M4821" s="14" t="s">
        <v>410</v>
      </c>
    </row>
    <row r="4822" customFormat="false" ht="15" hidden="false" customHeight="false" outlineLevel="0" collapsed="false">
      <c r="A4822" s="4" t="s">
        <v>203</v>
      </c>
      <c r="B4822" s="5" t="s">
        <v>212</v>
      </c>
      <c r="C4822" s="5" t="s">
        <v>213</v>
      </c>
      <c r="D4822" s="4" t="s">
        <v>16</v>
      </c>
      <c r="E4822" s="4" t="s">
        <v>5480</v>
      </c>
      <c r="F4822" s="4" t="s">
        <v>406</v>
      </c>
      <c r="G4822" s="4" t="s">
        <v>5481</v>
      </c>
      <c r="H4822" s="12" t="n">
        <v>1</v>
      </c>
      <c r="I4822" s="4" t="s">
        <v>408</v>
      </c>
      <c r="J4822" s="4" t="s">
        <v>416</v>
      </c>
      <c r="K4822" s="13" t="n">
        <v>4500</v>
      </c>
      <c r="L4822" s="6" t="n">
        <f aca="false">H4822*K4822</f>
        <v>4500</v>
      </c>
      <c r="M4822" s="14" t="s">
        <v>410</v>
      </c>
    </row>
    <row r="4823" customFormat="false" ht="15" hidden="false" customHeight="false" outlineLevel="0" collapsed="false">
      <c r="A4823" s="4" t="s">
        <v>203</v>
      </c>
      <c r="B4823" s="5" t="s">
        <v>212</v>
      </c>
      <c r="C4823" s="5" t="s">
        <v>213</v>
      </c>
      <c r="D4823" s="4" t="s">
        <v>16</v>
      </c>
      <c r="E4823" s="4" t="s">
        <v>5482</v>
      </c>
      <c r="F4823" s="4" t="s">
        <v>406</v>
      </c>
      <c r="G4823" s="4" t="s">
        <v>5483</v>
      </c>
      <c r="H4823" s="12" t="n">
        <v>1</v>
      </c>
      <c r="I4823" s="4" t="s">
        <v>408</v>
      </c>
      <c r="J4823" s="4" t="s">
        <v>416</v>
      </c>
      <c r="K4823" s="13" t="n">
        <v>18000</v>
      </c>
      <c r="L4823" s="6" t="n">
        <f aca="false">H4823*K4823</f>
        <v>18000</v>
      </c>
      <c r="M4823" s="4" t="s">
        <v>371</v>
      </c>
    </row>
    <row r="4824" customFormat="false" ht="15" hidden="false" customHeight="false" outlineLevel="0" collapsed="false">
      <c r="A4824" s="4" t="s">
        <v>203</v>
      </c>
      <c r="B4824" s="5" t="s">
        <v>212</v>
      </c>
      <c r="C4824" s="5" t="s">
        <v>213</v>
      </c>
      <c r="D4824" s="4" t="s">
        <v>16</v>
      </c>
      <c r="E4824" s="4" t="s">
        <v>5482</v>
      </c>
      <c r="F4824" s="4" t="s">
        <v>406</v>
      </c>
      <c r="G4824" s="4" t="s">
        <v>5483</v>
      </c>
      <c r="H4824" s="12" t="n">
        <v>1</v>
      </c>
      <c r="I4824" s="4" t="s">
        <v>408</v>
      </c>
      <c r="J4824" s="4" t="s">
        <v>416</v>
      </c>
      <c r="K4824" s="13" t="n">
        <v>18000</v>
      </c>
      <c r="L4824" s="6" t="n">
        <f aca="false">H4824*K4824</f>
        <v>18000</v>
      </c>
      <c r="M4824" s="4" t="s">
        <v>371</v>
      </c>
    </row>
    <row r="4825" customFormat="false" ht="15" hidden="false" customHeight="false" outlineLevel="0" collapsed="false">
      <c r="A4825" s="4" t="s">
        <v>203</v>
      </c>
      <c r="B4825" s="5" t="s">
        <v>212</v>
      </c>
      <c r="C4825" s="5" t="s">
        <v>213</v>
      </c>
      <c r="D4825" s="4" t="s">
        <v>16</v>
      </c>
      <c r="E4825" s="4" t="s">
        <v>5484</v>
      </c>
      <c r="F4825" s="4" t="s">
        <v>406</v>
      </c>
      <c r="G4825" s="4" t="s">
        <v>5485</v>
      </c>
      <c r="H4825" s="12" t="n">
        <v>1</v>
      </c>
      <c r="I4825" s="4" t="s">
        <v>408</v>
      </c>
      <c r="J4825" s="4" t="s">
        <v>416</v>
      </c>
      <c r="K4825" s="13" t="n">
        <v>8500</v>
      </c>
      <c r="L4825" s="6" t="n">
        <f aca="false">H4825*K4825</f>
        <v>8500</v>
      </c>
      <c r="M4825" s="4" t="s">
        <v>371</v>
      </c>
    </row>
    <row r="4826" customFormat="false" ht="15" hidden="false" customHeight="false" outlineLevel="0" collapsed="false">
      <c r="A4826" s="4" t="s">
        <v>203</v>
      </c>
      <c r="B4826" s="5" t="s">
        <v>212</v>
      </c>
      <c r="C4826" s="5" t="s">
        <v>213</v>
      </c>
      <c r="D4826" s="4" t="s">
        <v>16</v>
      </c>
      <c r="E4826" s="4" t="s">
        <v>5486</v>
      </c>
      <c r="F4826" s="4" t="s">
        <v>406</v>
      </c>
      <c r="G4826" s="4" t="s">
        <v>5487</v>
      </c>
      <c r="H4826" s="12" t="n">
        <v>1</v>
      </c>
      <c r="I4826" s="4" t="s">
        <v>408</v>
      </c>
      <c r="J4826" s="4" t="s">
        <v>409</v>
      </c>
      <c r="K4826" s="13" t="n">
        <v>85000</v>
      </c>
      <c r="L4826" s="6" t="n">
        <f aca="false">H4826*K4826</f>
        <v>85000</v>
      </c>
      <c r="M4826" s="14" t="s">
        <v>410</v>
      </c>
    </row>
    <row r="4827" customFormat="false" ht="15" hidden="false" customHeight="false" outlineLevel="0" collapsed="false">
      <c r="A4827" s="4" t="s">
        <v>203</v>
      </c>
      <c r="B4827" s="5" t="s">
        <v>212</v>
      </c>
      <c r="C4827" s="5" t="s">
        <v>213</v>
      </c>
      <c r="D4827" s="4" t="s">
        <v>16</v>
      </c>
      <c r="E4827" s="4" t="s">
        <v>3278</v>
      </c>
      <c r="F4827" s="4" t="s">
        <v>406</v>
      </c>
      <c r="G4827" s="4" t="s">
        <v>3279</v>
      </c>
      <c r="H4827" s="12" t="n">
        <v>1</v>
      </c>
      <c r="I4827" s="4" t="s">
        <v>408</v>
      </c>
      <c r="J4827" s="4" t="s">
        <v>409</v>
      </c>
      <c r="K4827" s="13" t="n">
        <v>25000</v>
      </c>
      <c r="L4827" s="6" t="n">
        <f aca="false">H4827*K4827</f>
        <v>25000</v>
      </c>
      <c r="M4827" s="14" t="s">
        <v>410</v>
      </c>
    </row>
    <row r="4828" customFormat="false" ht="15" hidden="false" customHeight="false" outlineLevel="0" collapsed="false">
      <c r="A4828" s="4" t="s">
        <v>203</v>
      </c>
      <c r="B4828" s="5" t="s">
        <v>212</v>
      </c>
      <c r="C4828" s="5" t="s">
        <v>213</v>
      </c>
      <c r="D4828" s="4" t="s">
        <v>16</v>
      </c>
      <c r="E4828" s="4" t="s">
        <v>5488</v>
      </c>
      <c r="F4828" s="4" t="s">
        <v>406</v>
      </c>
      <c r="G4828" s="4" t="s">
        <v>5489</v>
      </c>
      <c r="H4828" s="12" t="n">
        <v>1</v>
      </c>
      <c r="I4828" s="4" t="s">
        <v>408</v>
      </c>
      <c r="J4828" s="4" t="s">
        <v>416</v>
      </c>
      <c r="K4828" s="13" t="n">
        <v>2500</v>
      </c>
      <c r="L4828" s="6" t="n">
        <f aca="false">H4828*K4828</f>
        <v>2500</v>
      </c>
      <c r="M4828" s="4" t="s">
        <v>371</v>
      </c>
    </row>
    <row r="4829" customFormat="false" ht="15" hidden="false" customHeight="false" outlineLevel="0" collapsed="false">
      <c r="A4829" s="4" t="s">
        <v>203</v>
      </c>
      <c r="B4829" s="5" t="s">
        <v>212</v>
      </c>
      <c r="C4829" s="5" t="s">
        <v>213</v>
      </c>
      <c r="D4829" s="4" t="s">
        <v>16</v>
      </c>
      <c r="E4829" s="4" t="s">
        <v>5490</v>
      </c>
      <c r="F4829" s="4" t="s">
        <v>470</v>
      </c>
      <c r="G4829" s="4" t="s">
        <v>5491</v>
      </c>
      <c r="H4829" s="12" t="n">
        <v>1</v>
      </c>
      <c r="I4829" s="4" t="s">
        <v>408</v>
      </c>
      <c r="J4829" s="4" t="s">
        <v>543</v>
      </c>
      <c r="K4829" s="13" t="n">
        <v>25000</v>
      </c>
      <c r="L4829" s="6" t="n">
        <f aca="false">H4829*K4829</f>
        <v>25000</v>
      </c>
      <c r="M4829" s="4" t="s">
        <v>371</v>
      </c>
    </row>
    <row r="4830" customFormat="false" ht="15" hidden="false" customHeight="false" outlineLevel="0" collapsed="false">
      <c r="A4830" s="4" t="s">
        <v>203</v>
      </c>
      <c r="B4830" s="5" t="s">
        <v>212</v>
      </c>
      <c r="C4830" s="5" t="s">
        <v>213</v>
      </c>
      <c r="D4830" s="4" t="s">
        <v>16</v>
      </c>
      <c r="E4830" s="4" t="s">
        <v>5492</v>
      </c>
      <c r="F4830" s="4" t="s">
        <v>470</v>
      </c>
      <c r="G4830" s="4" t="s">
        <v>5493</v>
      </c>
      <c r="H4830" s="12" t="n">
        <v>1</v>
      </c>
      <c r="I4830" s="4" t="s">
        <v>408</v>
      </c>
      <c r="J4830" s="4" t="s">
        <v>543</v>
      </c>
      <c r="K4830" s="13" t="n">
        <v>45000</v>
      </c>
      <c r="L4830" s="6" t="n">
        <f aca="false">H4830*K4830</f>
        <v>45000</v>
      </c>
      <c r="M4830" s="4" t="s">
        <v>371</v>
      </c>
    </row>
    <row r="4831" customFormat="false" ht="15" hidden="false" customHeight="false" outlineLevel="0" collapsed="false">
      <c r="A4831" s="4" t="s">
        <v>203</v>
      </c>
      <c r="B4831" s="5" t="s">
        <v>212</v>
      </c>
      <c r="C4831" s="5" t="s">
        <v>213</v>
      </c>
      <c r="D4831" s="4" t="s">
        <v>16</v>
      </c>
      <c r="E4831" s="4" t="s">
        <v>5494</v>
      </c>
      <c r="F4831" s="4" t="s">
        <v>470</v>
      </c>
      <c r="G4831" s="4" t="s">
        <v>5495</v>
      </c>
      <c r="H4831" s="12" t="n">
        <v>1</v>
      </c>
      <c r="I4831" s="4" t="s">
        <v>408</v>
      </c>
      <c r="J4831" s="4" t="s">
        <v>416</v>
      </c>
      <c r="K4831" s="13" t="n">
        <v>25000</v>
      </c>
      <c r="L4831" s="6" t="n">
        <f aca="false">H4831*K4831</f>
        <v>25000</v>
      </c>
      <c r="M4831" s="4" t="s">
        <v>371</v>
      </c>
    </row>
    <row r="4832" customFormat="false" ht="15" hidden="false" customHeight="false" outlineLevel="0" collapsed="false">
      <c r="A4832" s="4" t="s">
        <v>203</v>
      </c>
      <c r="B4832" s="5" t="s">
        <v>212</v>
      </c>
      <c r="C4832" s="5" t="s">
        <v>213</v>
      </c>
      <c r="D4832" s="4" t="s">
        <v>16</v>
      </c>
      <c r="E4832" s="4" t="s">
        <v>5496</v>
      </c>
      <c r="F4832" s="4" t="s">
        <v>470</v>
      </c>
      <c r="G4832" s="4" t="s">
        <v>5497</v>
      </c>
      <c r="H4832" s="12" t="n">
        <v>1</v>
      </c>
      <c r="I4832" s="4" t="s">
        <v>408</v>
      </c>
      <c r="J4832" s="4" t="s">
        <v>416</v>
      </c>
      <c r="K4832" s="13" t="n">
        <v>8500</v>
      </c>
      <c r="L4832" s="6" t="n">
        <f aca="false">H4832*K4832</f>
        <v>8500</v>
      </c>
      <c r="M4832" s="4" t="s">
        <v>371</v>
      </c>
    </row>
    <row r="4833" customFormat="false" ht="15" hidden="false" customHeight="false" outlineLevel="0" collapsed="false">
      <c r="A4833" s="4" t="s">
        <v>203</v>
      </c>
      <c r="B4833" s="5" t="s">
        <v>212</v>
      </c>
      <c r="C4833" s="5" t="s">
        <v>213</v>
      </c>
      <c r="D4833" s="4" t="s">
        <v>16</v>
      </c>
      <c r="E4833" s="4" t="s">
        <v>5498</v>
      </c>
      <c r="F4833" s="4" t="s">
        <v>470</v>
      </c>
      <c r="G4833" s="4" t="s">
        <v>5499</v>
      </c>
      <c r="H4833" s="12" t="n">
        <v>1</v>
      </c>
      <c r="I4833" s="4" t="s">
        <v>408</v>
      </c>
      <c r="J4833" s="4" t="s">
        <v>409</v>
      </c>
      <c r="K4833" s="13" t="n">
        <v>25000</v>
      </c>
      <c r="L4833" s="6" t="n">
        <f aca="false">H4833*K4833</f>
        <v>25000</v>
      </c>
      <c r="M4833" s="4" t="s">
        <v>371</v>
      </c>
    </row>
    <row r="4834" customFormat="false" ht="15" hidden="false" customHeight="false" outlineLevel="0" collapsed="false">
      <c r="A4834" s="4" t="s">
        <v>203</v>
      </c>
      <c r="B4834" s="5" t="s">
        <v>212</v>
      </c>
      <c r="C4834" s="5" t="s">
        <v>213</v>
      </c>
      <c r="D4834" s="4" t="s">
        <v>16</v>
      </c>
      <c r="E4834" s="4" t="s">
        <v>5500</v>
      </c>
      <c r="F4834" s="4" t="s">
        <v>470</v>
      </c>
      <c r="G4834" s="4" t="s">
        <v>5501</v>
      </c>
      <c r="H4834" s="12" t="n">
        <v>1</v>
      </c>
      <c r="I4834" s="4" t="s">
        <v>408</v>
      </c>
      <c r="J4834" s="4" t="s">
        <v>416</v>
      </c>
      <c r="K4834" s="13" t="n">
        <v>65000</v>
      </c>
      <c r="L4834" s="6" t="n">
        <f aca="false">H4834*K4834</f>
        <v>65000</v>
      </c>
      <c r="M4834" s="4" t="s">
        <v>371</v>
      </c>
    </row>
    <row r="4835" customFormat="false" ht="15" hidden="false" customHeight="false" outlineLevel="0" collapsed="false">
      <c r="A4835" s="4" t="s">
        <v>203</v>
      </c>
      <c r="B4835" s="5" t="s">
        <v>212</v>
      </c>
      <c r="C4835" s="5" t="s">
        <v>213</v>
      </c>
      <c r="D4835" s="4" t="s">
        <v>16</v>
      </c>
      <c r="E4835" s="4" t="s">
        <v>5502</v>
      </c>
      <c r="F4835" s="4" t="s">
        <v>470</v>
      </c>
      <c r="G4835" s="4" t="s">
        <v>5503</v>
      </c>
      <c r="H4835" s="12" t="n">
        <v>1</v>
      </c>
      <c r="I4835" s="4" t="s">
        <v>408</v>
      </c>
      <c r="J4835" s="4" t="s">
        <v>543</v>
      </c>
      <c r="K4835" s="13" t="n">
        <v>25000</v>
      </c>
      <c r="L4835" s="6" t="n">
        <f aca="false">H4835*K4835</f>
        <v>25000</v>
      </c>
      <c r="M4835" s="4" t="s">
        <v>371</v>
      </c>
    </row>
    <row r="4836" customFormat="false" ht="15" hidden="false" customHeight="false" outlineLevel="0" collapsed="false">
      <c r="A4836" s="4" t="s">
        <v>203</v>
      </c>
      <c r="B4836" s="5" t="s">
        <v>212</v>
      </c>
      <c r="C4836" s="5" t="s">
        <v>213</v>
      </c>
      <c r="D4836" s="4" t="s">
        <v>16</v>
      </c>
      <c r="E4836" s="4" t="s">
        <v>5504</v>
      </c>
      <c r="F4836" s="4" t="s">
        <v>470</v>
      </c>
      <c r="G4836" s="4" t="s">
        <v>5505</v>
      </c>
      <c r="H4836" s="12" t="n">
        <v>1</v>
      </c>
      <c r="I4836" s="4" t="s">
        <v>408</v>
      </c>
      <c r="J4836" s="4" t="s">
        <v>543</v>
      </c>
      <c r="K4836" s="13" t="n">
        <v>25000</v>
      </c>
      <c r="L4836" s="6" t="n">
        <f aca="false">H4836*K4836</f>
        <v>25000</v>
      </c>
      <c r="M4836" s="4" t="s">
        <v>371</v>
      </c>
    </row>
    <row r="4837" customFormat="false" ht="15" hidden="false" customHeight="false" outlineLevel="0" collapsed="false">
      <c r="A4837" s="4" t="s">
        <v>203</v>
      </c>
      <c r="B4837" s="5" t="s">
        <v>212</v>
      </c>
      <c r="C4837" s="5" t="s">
        <v>213</v>
      </c>
      <c r="D4837" s="4" t="s">
        <v>16</v>
      </c>
      <c r="E4837" s="4" t="s">
        <v>5504</v>
      </c>
      <c r="F4837" s="4" t="s">
        <v>470</v>
      </c>
      <c r="G4837" s="4" t="s">
        <v>5505</v>
      </c>
      <c r="H4837" s="12" t="n">
        <v>1</v>
      </c>
      <c r="I4837" s="4" t="s">
        <v>408</v>
      </c>
      <c r="J4837" s="4" t="s">
        <v>543</v>
      </c>
      <c r="K4837" s="13" t="n">
        <v>25000</v>
      </c>
      <c r="L4837" s="6" t="n">
        <f aca="false">H4837*K4837</f>
        <v>25000</v>
      </c>
      <c r="M4837" s="4" t="s">
        <v>371</v>
      </c>
    </row>
    <row r="4838" customFormat="false" ht="15" hidden="false" customHeight="false" outlineLevel="0" collapsed="false">
      <c r="A4838" s="4" t="s">
        <v>203</v>
      </c>
      <c r="B4838" s="5" t="s">
        <v>212</v>
      </c>
      <c r="C4838" s="5" t="s">
        <v>213</v>
      </c>
      <c r="D4838" s="4" t="s">
        <v>16</v>
      </c>
      <c r="E4838" s="4" t="s">
        <v>5506</v>
      </c>
      <c r="F4838" s="4" t="s">
        <v>470</v>
      </c>
      <c r="G4838" s="4" t="s">
        <v>5507</v>
      </c>
      <c r="H4838" s="12" t="n">
        <v>1</v>
      </c>
      <c r="I4838" s="4" t="s">
        <v>408</v>
      </c>
      <c r="J4838" s="4" t="s">
        <v>409</v>
      </c>
      <c r="K4838" s="13" t="n">
        <v>25000</v>
      </c>
      <c r="L4838" s="6" t="n">
        <f aca="false">H4838*K4838</f>
        <v>25000</v>
      </c>
      <c r="M4838" s="4" t="s">
        <v>371</v>
      </c>
    </row>
    <row r="4839" customFormat="false" ht="15" hidden="false" customHeight="false" outlineLevel="0" collapsed="false">
      <c r="A4839" s="4" t="s">
        <v>203</v>
      </c>
      <c r="B4839" s="5" t="s">
        <v>212</v>
      </c>
      <c r="C4839" s="5" t="s">
        <v>213</v>
      </c>
      <c r="D4839" s="4" t="s">
        <v>16</v>
      </c>
      <c r="E4839" s="4" t="s">
        <v>5508</v>
      </c>
      <c r="F4839" s="4" t="s">
        <v>470</v>
      </c>
      <c r="G4839" s="4" t="s">
        <v>2278</v>
      </c>
      <c r="H4839" s="12" t="n">
        <v>1</v>
      </c>
      <c r="I4839" s="4" t="s">
        <v>408</v>
      </c>
      <c r="J4839" s="4" t="s">
        <v>413</v>
      </c>
      <c r="K4839" s="13" t="n">
        <v>450</v>
      </c>
      <c r="L4839" s="6" t="n">
        <f aca="false">H4839*K4839</f>
        <v>450</v>
      </c>
      <c r="M4839" s="4" t="s">
        <v>371</v>
      </c>
    </row>
    <row r="4840" customFormat="false" ht="15" hidden="false" customHeight="false" outlineLevel="0" collapsed="false">
      <c r="A4840" s="4" t="s">
        <v>203</v>
      </c>
      <c r="B4840" s="5" t="s">
        <v>212</v>
      </c>
      <c r="C4840" s="5" t="s">
        <v>213</v>
      </c>
      <c r="D4840" s="4" t="s">
        <v>16</v>
      </c>
      <c r="E4840" s="4" t="s">
        <v>1089</v>
      </c>
      <c r="F4840" s="4" t="s">
        <v>470</v>
      </c>
      <c r="G4840" s="4" t="s">
        <v>1090</v>
      </c>
      <c r="H4840" s="12" t="n">
        <v>1</v>
      </c>
      <c r="I4840" s="4" t="s">
        <v>408</v>
      </c>
      <c r="J4840" s="4" t="s">
        <v>409</v>
      </c>
      <c r="K4840" s="13" t="n">
        <v>3500</v>
      </c>
      <c r="L4840" s="6" t="n">
        <f aca="false">H4840*K4840</f>
        <v>3500</v>
      </c>
      <c r="M4840" s="4" t="s">
        <v>371</v>
      </c>
    </row>
    <row r="4841" customFormat="false" ht="15" hidden="false" customHeight="false" outlineLevel="0" collapsed="false">
      <c r="A4841" s="4" t="s">
        <v>203</v>
      </c>
      <c r="B4841" s="5" t="s">
        <v>212</v>
      </c>
      <c r="C4841" s="5" t="s">
        <v>213</v>
      </c>
      <c r="D4841" s="4" t="s">
        <v>16</v>
      </c>
      <c r="E4841" s="4" t="s">
        <v>5509</v>
      </c>
      <c r="F4841" s="4" t="s">
        <v>470</v>
      </c>
      <c r="G4841" s="4" t="s">
        <v>1702</v>
      </c>
      <c r="H4841" s="12" t="n">
        <v>1</v>
      </c>
      <c r="I4841" s="4" t="s">
        <v>408</v>
      </c>
      <c r="J4841" s="4" t="s">
        <v>416</v>
      </c>
      <c r="K4841" s="13" t="n">
        <v>2500</v>
      </c>
      <c r="L4841" s="6" t="n">
        <f aca="false">H4841*K4841</f>
        <v>2500</v>
      </c>
      <c r="M4841" s="4" t="s">
        <v>371</v>
      </c>
    </row>
    <row r="4842" customFormat="false" ht="15" hidden="false" customHeight="false" outlineLevel="0" collapsed="false">
      <c r="A4842" s="4" t="s">
        <v>203</v>
      </c>
      <c r="B4842" s="5" t="s">
        <v>212</v>
      </c>
      <c r="C4842" s="5" t="s">
        <v>213</v>
      </c>
      <c r="D4842" s="4" t="s">
        <v>16</v>
      </c>
      <c r="E4842" s="4" t="s">
        <v>5510</v>
      </c>
      <c r="F4842" s="4" t="s">
        <v>470</v>
      </c>
      <c r="G4842" s="4" t="s">
        <v>5511</v>
      </c>
      <c r="H4842" s="12" t="n">
        <v>1</v>
      </c>
      <c r="I4842" s="4" t="s">
        <v>408</v>
      </c>
      <c r="J4842" s="4" t="s">
        <v>416</v>
      </c>
      <c r="K4842" s="13" t="n">
        <v>8500</v>
      </c>
      <c r="L4842" s="6" t="n">
        <f aca="false">H4842*K4842</f>
        <v>8500</v>
      </c>
      <c r="M4842" s="4" t="s">
        <v>371</v>
      </c>
    </row>
    <row r="4843" customFormat="false" ht="15" hidden="false" customHeight="false" outlineLevel="0" collapsed="false">
      <c r="A4843" s="4" t="s">
        <v>203</v>
      </c>
      <c r="B4843" s="5" t="s">
        <v>212</v>
      </c>
      <c r="C4843" s="5" t="s">
        <v>213</v>
      </c>
      <c r="D4843" s="4" t="s">
        <v>16</v>
      </c>
      <c r="E4843" s="4" t="s">
        <v>5512</v>
      </c>
      <c r="F4843" s="4" t="s">
        <v>470</v>
      </c>
      <c r="G4843" s="4" t="s">
        <v>5513</v>
      </c>
      <c r="H4843" s="12" t="n">
        <v>1</v>
      </c>
      <c r="I4843" s="4" t="s">
        <v>408</v>
      </c>
      <c r="J4843" s="4" t="s">
        <v>416</v>
      </c>
      <c r="K4843" s="13" t="n">
        <v>1200</v>
      </c>
      <c r="L4843" s="6" t="n">
        <f aca="false">H4843*K4843</f>
        <v>1200</v>
      </c>
      <c r="M4843" s="4" t="s">
        <v>371</v>
      </c>
    </row>
    <row r="4844" customFormat="false" ht="15" hidden="false" customHeight="false" outlineLevel="0" collapsed="false">
      <c r="A4844" s="4" t="s">
        <v>203</v>
      </c>
      <c r="B4844" s="5" t="s">
        <v>212</v>
      </c>
      <c r="C4844" s="5" t="s">
        <v>213</v>
      </c>
      <c r="D4844" s="4" t="s">
        <v>16</v>
      </c>
      <c r="E4844" s="4" t="s">
        <v>5514</v>
      </c>
      <c r="F4844" s="4" t="s">
        <v>470</v>
      </c>
      <c r="G4844" s="4" t="s">
        <v>5515</v>
      </c>
      <c r="H4844" s="12" t="n">
        <v>1</v>
      </c>
      <c r="I4844" s="4" t="s">
        <v>408</v>
      </c>
      <c r="J4844" s="4" t="s">
        <v>416</v>
      </c>
      <c r="K4844" s="13" t="n">
        <v>850</v>
      </c>
      <c r="L4844" s="6" t="n">
        <f aca="false">H4844*K4844</f>
        <v>850</v>
      </c>
      <c r="M4844" s="4" t="s">
        <v>371</v>
      </c>
    </row>
    <row r="4845" customFormat="false" ht="15" hidden="false" customHeight="false" outlineLevel="0" collapsed="false">
      <c r="A4845" s="4" t="s">
        <v>203</v>
      </c>
      <c r="B4845" s="5" t="s">
        <v>212</v>
      </c>
      <c r="C4845" s="5" t="s">
        <v>213</v>
      </c>
      <c r="D4845" s="4" t="s">
        <v>16</v>
      </c>
      <c r="E4845" s="4" t="s">
        <v>5516</v>
      </c>
      <c r="F4845" s="4" t="s">
        <v>470</v>
      </c>
      <c r="G4845" s="4" t="s">
        <v>5517</v>
      </c>
      <c r="H4845" s="12" t="n">
        <v>1</v>
      </c>
      <c r="I4845" s="4" t="s">
        <v>408</v>
      </c>
      <c r="J4845" s="4" t="s">
        <v>409</v>
      </c>
      <c r="K4845" s="13" t="n">
        <v>180000</v>
      </c>
      <c r="L4845" s="6" t="n">
        <f aca="false">H4845*K4845</f>
        <v>180000</v>
      </c>
      <c r="M4845" s="4" t="s">
        <v>371</v>
      </c>
    </row>
    <row r="4846" customFormat="false" ht="15" hidden="false" customHeight="false" outlineLevel="0" collapsed="false">
      <c r="A4846" s="4" t="s">
        <v>203</v>
      </c>
      <c r="B4846" s="5" t="s">
        <v>212</v>
      </c>
      <c r="C4846" s="5" t="s">
        <v>213</v>
      </c>
      <c r="D4846" s="4" t="s">
        <v>16</v>
      </c>
      <c r="E4846" s="4" t="s">
        <v>3077</v>
      </c>
      <c r="F4846" s="4" t="s">
        <v>470</v>
      </c>
      <c r="G4846" s="4" t="s">
        <v>3078</v>
      </c>
      <c r="H4846" s="12" t="n">
        <v>1</v>
      </c>
      <c r="I4846" s="4" t="s">
        <v>408</v>
      </c>
      <c r="J4846" s="4" t="s">
        <v>409</v>
      </c>
      <c r="K4846" s="13" t="n">
        <v>120</v>
      </c>
      <c r="L4846" s="6" t="n">
        <f aca="false">H4846*K4846</f>
        <v>120</v>
      </c>
      <c r="M4846" s="14" t="s">
        <v>410</v>
      </c>
    </row>
    <row r="4847" customFormat="false" ht="15" hidden="false" customHeight="false" outlineLevel="0" collapsed="false">
      <c r="A4847" s="4" t="s">
        <v>203</v>
      </c>
      <c r="B4847" s="5" t="s">
        <v>212</v>
      </c>
      <c r="C4847" s="5" t="s">
        <v>213</v>
      </c>
      <c r="D4847" s="4" t="s">
        <v>16</v>
      </c>
      <c r="E4847" s="4" t="s">
        <v>5518</v>
      </c>
      <c r="F4847" s="4" t="s">
        <v>470</v>
      </c>
      <c r="G4847" s="4" t="s">
        <v>5519</v>
      </c>
      <c r="H4847" s="12" t="n">
        <v>1</v>
      </c>
      <c r="I4847" s="4" t="s">
        <v>408</v>
      </c>
      <c r="J4847" s="4" t="s">
        <v>409</v>
      </c>
      <c r="K4847" s="13" t="n">
        <v>12000</v>
      </c>
      <c r="L4847" s="6" t="n">
        <f aca="false">H4847*K4847</f>
        <v>12000</v>
      </c>
      <c r="M4847" s="4" t="s">
        <v>371</v>
      </c>
    </row>
    <row r="4848" customFormat="false" ht="15" hidden="false" customHeight="false" outlineLevel="0" collapsed="false">
      <c r="A4848" s="4" t="s">
        <v>203</v>
      </c>
      <c r="B4848" s="5" t="s">
        <v>212</v>
      </c>
      <c r="C4848" s="5" t="s">
        <v>213</v>
      </c>
      <c r="D4848" s="4" t="s">
        <v>16</v>
      </c>
      <c r="E4848" s="4" t="s">
        <v>5520</v>
      </c>
      <c r="F4848" s="4" t="s">
        <v>470</v>
      </c>
      <c r="G4848" s="4" t="s">
        <v>5521</v>
      </c>
      <c r="H4848" s="12" t="n">
        <v>1</v>
      </c>
      <c r="I4848" s="4" t="s">
        <v>408</v>
      </c>
      <c r="J4848" s="4" t="s">
        <v>416</v>
      </c>
      <c r="K4848" s="13" t="n">
        <v>850</v>
      </c>
      <c r="L4848" s="6" t="n">
        <f aca="false">H4848*K4848</f>
        <v>850</v>
      </c>
      <c r="M4848" s="4" t="s">
        <v>371</v>
      </c>
    </row>
    <row r="4849" customFormat="false" ht="15" hidden="false" customHeight="false" outlineLevel="0" collapsed="false">
      <c r="A4849" s="4" t="s">
        <v>203</v>
      </c>
      <c r="B4849" s="5" t="s">
        <v>212</v>
      </c>
      <c r="C4849" s="5" t="s">
        <v>213</v>
      </c>
      <c r="D4849" s="4" t="s">
        <v>16</v>
      </c>
      <c r="E4849" s="4" t="s">
        <v>5522</v>
      </c>
      <c r="F4849" s="4" t="s">
        <v>470</v>
      </c>
      <c r="G4849" s="4" t="s">
        <v>5523</v>
      </c>
      <c r="H4849" s="12" t="n">
        <v>1</v>
      </c>
      <c r="I4849" s="4" t="s">
        <v>408</v>
      </c>
      <c r="J4849" s="4" t="s">
        <v>416</v>
      </c>
      <c r="K4849" s="13" t="n">
        <v>850</v>
      </c>
      <c r="L4849" s="6" t="n">
        <f aca="false">H4849*K4849</f>
        <v>850</v>
      </c>
      <c r="M4849" s="4" t="s">
        <v>371</v>
      </c>
    </row>
    <row r="4850" customFormat="false" ht="15" hidden="false" customHeight="false" outlineLevel="0" collapsed="false">
      <c r="A4850" s="4" t="s">
        <v>203</v>
      </c>
      <c r="B4850" s="5" t="s">
        <v>212</v>
      </c>
      <c r="C4850" s="5" t="s">
        <v>213</v>
      </c>
      <c r="D4850" s="4" t="s">
        <v>16</v>
      </c>
      <c r="E4850" s="4" t="s">
        <v>5524</v>
      </c>
      <c r="F4850" s="4" t="s">
        <v>488</v>
      </c>
      <c r="G4850" s="4" t="s">
        <v>1260</v>
      </c>
      <c r="H4850" s="12" t="n">
        <v>1</v>
      </c>
      <c r="I4850" s="4" t="s">
        <v>408</v>
      </c>
      <c r="J4850" s="4" t="s">
        <v>409</v>
      </c>
      <c r="K4850" s="13" t="n">
        <v>25</v>
      </c>
      <c r="L4850" s="6" t="n">
        <f aca="false">H4850*K4850</f>
        <v>25</v>
      </c>
      <c r="M4850" s="4" t="s">
        <v>371</v>
      </c>
    </row>
    <row r="4851" customFormat="false" ht="15" hidden="false" customHeight="false" outlineLevel="0" collapsed="false">
      <c r="A4851" s="4" t="s">
        <v>203</v>
      </c>
      <c r="B4851" s="5" t="s">
        <v>212</v>
      </c>
      <c r="C4851" s="5" t="s">
        <v>213</v>
      </c>
      <c r="D4851" s="4" t="s">
        <v>16</v>
      </c>
      <c r="E4851" s="4" t="s">
        <v>3756</v>
      </c>
      <c r="F4851" s="4" t="s">
        <v>488</v>
      </c>
      <c r="G4851" s="4" t="s">
        <v>3757</v>
      </c>
      <c r="H4851" s="12" t="n">
        <v>1</v>
      </c>
      <c r="I4851" s="4" t="s">
        <v>408</v>
      </c>
      <c r="J4851" s="4" t="s">
        <v>480</v>
      </c>
      <c r="K4851" s="13" t="n">
        <v>60</v>
      </c>
      <c r="L4851" s="6" t="n">
        <f aca="false">H4851*K4851</f>
        <v>60</v>
      </c>
      <c r="M4851" s="4" t="s">
        <v>371</v>
      </c>
    </row>
    <row r="4852" customFormat="false" ht="15" hidden="false" customHeight="false" outlineLevel="0" collapsed="false">
      <c r="A4852" s="4" t="s">
        <v>203</v>
      </c>
      <c r="B4852" s="5" t="s">
        <v>212</v>
      </c>
      <c r="C4852" s="5" t="s">
        <v>213</v>
      </c>
      <c r="D4852" s="4" t="s">
        <v>16</v>
      </c>
      <c r="E4852" s="4" t="s">
        <v>5525</v>
      </c>
      <c r="F4852" s="4" t="s">
        <v>488</v>
      </c>
      <c r="G4852" s="4" t="s">
        <v>5526</v>
      </c>
      <c r="H4852" s="12" t="n">
        <v>1</v>
      </c>
      <c r="I4852" s="4" t="s">
        <v>408</v>
      </c>
      <c r="J4852" s="4" t="s">
        <v>409</v>
      </c>
      <c r="K4852" s="13" t="n">
        <v>180</v>
      </c>
      <c r="L4852" s="6" t="n">
        <f aca="false">H4852*K4852</f>
        <v>180</v>
      </c>
      <c r="M4852" s="4" t="s">
        <v>371</v>
      </c>
    </row>
    <row r="4853" customFormat="false" ht="15" hidden="false" customHeight="false" outlineLevel="0" collapsed="false">
      <c r="A4853" s="4" t="s">
        <v>203</v>
      </c>
      <c r="B4853" s="5" t="s">
        <v>212</v>
      </c>
      <c r="C4853" s="5" t="s">
        <v>213</v>
      </c>
      <c r="D4853" s="4" t="s">
        <v>16</v>
      </c>
      <c r="E4853" s="4" t="s">
        <v>5527</v>
      </c>
      <c r="F4853" s="4" t="s">
        <v>488</v>
      </c>
      <c r="G4853" s="4" t="s">
        <v>5528</v>
      </c>
      <c r="H4853" s="12" t="n">
        <v>1</v>
      </c>
      <c r="I4853" s="4" t="s">
        <v>408</v>
      </c>
      <c r="J4853" s="4" t="s">
        <v>416</v>
      </c>
      <c r="K4853" s="13" t="n">
        <v>250</v>
      </c>
      <c r="L4853" s="6" t="n">
        <f aca="false">H4853*K4853</f>
        <v>250</v>
      </c>
      <c r="M4853" s="4" t="s">
        <v>371</v>
      </c>
    </row>
    <row r="4854" customFormat="false" ht="15" hidden="false" customHeight="false" outlineLevel="0" collapsed="false">
      <c r="A4854" s="4" t="s">
        <v>203</v>
      </c>
      <c r="B4854" s="5" t="s">
        <v>212</v>
      </c>
      <c r="C4854" s="5" t="s">
        <v>213</v>
      </c>
      <c r="D4854" s="4" t="s">
        <v>16</v>
      </c>
      <c r="E4854" s="4" t="s">
        <v>5529</v>
      </c>
      <c r="F4854" s="4" t="s">
        <v>488</v>
      </c>
      <c r="G4854" s="4" t="s">
        <v>5530</v>
      </c>
      <c r="H4854" s="12" t="n">
        <v>1</v>
      </c>
      <c r="I4854" s="4" t="s">
        <v>408</v>
      </c>
      <c r="J4854" s="4" t="s">
        <v>409</v>
      </c>
      <c r="K4854" s="13" t="n">
        <v>180</v>
      </c>
      <c r="L4854" s="6" t="n">
        <f aca="false">H4854*K4854</f>
        <v>180</v>
      </c>
      <c r="M4854" s="4" t="s">
        <v>371</v>
      </c>
    </row>
    <row r="4855" customFormat="false" ht="15" hidden="false" customHeight="false" outlineLevel="0" collapsed="false">
      <c r="A4855" s="4" t="s">
        <v>203</v>
      </c>
      <c r="B4855" s="5" t="s">
        <v>212</v>
      </c>
      <c r="C4855" s="5" t="s">
        <v>213</v>
      </c>
      <c r="D4855" s="4" t="s">
        <v>16</v>
      </c>
      <c r="E4855" s="4" t="s">
        <v>5531</v>
      </c>
      <c r="F4855" s="4" t="s">
        <v>470</v>
      </c>
      <c r="G4855" s="4" t="s">
        <v>5532</v>
      </c>
      <c r="H4855" s="12" t="n">
        <v>1</v>
      </c>
      <c r="I4855" s="4" t="s">
        <v>408</v>
      </c>
      <c r="J4855" s="4" t="s">
        <v>409</v>
      </c>
      <c r="K4855" s="13" t="n">
        <v>1800</v>
      </c>
      <c r="L4855" s="6" t="n">
        <f aca="false">H4855*K4855</f>
        <v>1800</v>
      </c>
      <c r="M4855" s="4" t="s">
        <v>371</v>
      </c>
    </row>
    <row r="4856" customFormat="false" ht="15" hidden="false" customHeight="false" outlineLevel="0" collapsed="false">
      <c r="A4856" s="4" t="s">
        <v>203</v>
      </c>
      <c r="B4856" s="5" t="s">
        <v>214</v>
      </c>
      <c r="C4856" s="5" t="s">
        <v>215</v>
      </c>
      <c r="D4856" s="4" t="s">
        <v>16</v>
      </c>
      <c r="E4856" s="4" t="s">
        <v>5533</v>
      </c>
      <c r="F4856" s="4" t="s">
        <v>406</v>
      </c>
      <c r="G4856" s="4" t="s">
        <v>5534</v>
      </c>
      <c r="H4856" s="12" t="n">
        <v>1</v>
      </c>
      <c r="I4856" s="4" t="s">
        <v>408</v>
      </c>
      <c r="J4856" s="4" t="s">
        <v>409</v>
      </c>
      <c r="K4856" s="13" t="n">
        <v>450</v>
      </c>
      <c r="L4856" s="6" t="n">
        <f aca="false">H4856*K4856</f>
        <v>450</v>
      </c>
      <c r="M4856" s="14" t="s">
        <v>410</v>
      </c>
    </row>
    <row r="4857" customFormat="false" ht="15" hidden="false" customHeight="false" outlineLevel="0" collapsed="false">
      <c r="A4857" s="4" t="s">
        <v>203</v>
      </c>
      <c r="B4857" s="5" t="s">
        <v>214</v>
      </c>
      <c r="C4857" s="5" t="s">
        <v>215</v>
      </c>
      <c r="D4857" s="4" t="s">
        <v>16</v>
      </c>
      <c r="E4857" s="4" t="s">
        <v>5535</v>
      </c>
      <c r="F4857" s="4" t="s">
        <v>406</v>
      </c>
      <c r="G4857" s="4" t="s">
        <v>4154</v>
      </c>
      <c r="H4857" s="12" t="n">
        <v>1</v>
      </c>
      <c r="I4857" s="4" t="s">
        <v>408</v>
      </c>
      <c r="J4857" s="4" t="s">
        <v>409</v>
      </c>
      <c r="K4857" s="13" t="n">
        <v>650</v>
      </c>
      <c r="L4857" s="6" t="n">
        <f aca="false">H4857*K4857</f>
        <v>650</v>
      </c>
      <c r="M4857" s="14" t="s">
        <v>410</v>
      </c>
    </row>
    <row r="4858" customFormat="false" ht="15" hidden="false" customHeight="false" outlineLevel="0" collapsed="false">
      <c r="A4858" s="4" t="s">
        <v>203</v>
      </c>
      <c r="B4858" s="5" t="s">
        <v>214</v>
      </c>
      <c r="C4858" s="5" t="s">
        <v>215</v>
      </c>
      <c r="D4858" s="4" t="s">
        <v>16</v>
      </c>
      <c r="E4858" s="4" t="s">
        <v>5400</v>
      </c>
      <c r="F4858" s="4" t="s">
        <v>406</v>
      </c>
      <c r="G4858" s="4" t="s">
        <v>5401</v>
      </c>
      <c r="H4858" s="12" t="n">
        <v>1</v>
      </c>
      <c r="I4858" s="4" t="s">
        <v>408</v>
      </c>
      <c r="J4858" s="4" t="s">
        <v>409</v>
      </c>
      <c r="K4858" s="13" t="n">
        <v>1800</v>
      </c>
      <c r="L4858" s="6" t="n">
        <f aca="false">H4858*K4858</f>
        <v>1800</v>
      </c>
      <c r="M4858" s="14" t="s">
        <v>410</v>
      </c>
    </row>
    <row r="4859" customFormat="false" ht="15" hidden="false" customHeight="false" outlineLevel="0" collapsed="false">
      <c r="A4859" s="4" t="s">
        <v>203</v>
      </c>
      <c r="B4859" s="5" t="s">
        <v>214</v>
      </c>
      <c r="C4859" s="5" t="s">
        <v>215</v>
      </c>
      <c r="D4859" s="4" t="s">
        <v>16</v>
      </c>
      <c r="E4859" s="4" t="s">
        <v>467</v>
      </c>
      <c r="F4859" s="4" t="s">
        <v>406</v>
      </c>
      <c r="G4859" s="4" t="s">
        <v>468</v>
      </c>
      <c r="H4859" s="12" t="n">
        <v>1</v>
      </c>
      <c r="I4859" s="4" t="s">
        <v>408</v>
      </c>
      <c r="J4859" s="4" t="s">
        <v>409</v>
      </c>
      <c r="K4859" s="13" t="n">
        <v>250</v>
      </c>
      <c r="L4859" s="6" t="n">
        <f aca="false">H4859*K4859</f>
        <v>250</v>
      </c>
      <c r="M4859" s="14" t="s">
        <v>410</v>
      </c>
    </row>
    <row r="4860" customFormat="false" ht="15" hidden="false" customHeight="false" outlineLevel="0" collapsed="false">
      <c r="A4860" s="4" t="s">
        <v>203</v>
      </c>
      <c r="B4860" s="5" t="s">
        <v>214</v>
      </c>
      <c r="C4860" s="5" t="s">
        <v>215</v>
      </c>
      <c r="D4860" s="4" t="s">
        <v>16</v>
      </c>
      <c r="E4860" s="4" t="s">
        <v>5464</v>
      </c>
      <c r="F4860" s="4" t="s">
        <v>406</v>
      </c>
      <c r="G4860" s="4" t="s">
        <v>5465</v>
      </c>
      <c r="H4860" s="12" t="n">
        <v>1</v>
      </c>
      <c r="I4860" s="4" t="s">
        <v>408</v>
      </c>
      <c r="J4860" s="4" t="s">
        <v>409</v>
      </c>
      <c r="K4860" s="13" t="n">
        <v>850</v>
      </c>
      <c r="L4860" s="6" t="n">
        <f aca="false">H4860*K4860</f>
        <v>850</v>
      </c>
      <c r="M4860" s="4" t="s">
        <v>371</v>
      </c>
    </row>
    <row r="4861" customFormat="false" ht="15" hidden="false" customHeight="false" outlineLevel="0" collapsed="false">
      <c r="A4861" s="4" t="s">
        <v>203</v>
      </c>
      <c r="B4861" s="5" t="s">
        <v>214</v>
      </c>
      <c r="C4861" s="5" t="s">
        <v>215</v>
      </c>
      <c r="D4861" s="4" t="s">
        <v>16</v>
      </c>
      <c r="E4861" s="4" t="s">
        <v>5291</v>
      </c>
      <c r="F4861" s="4" t="s">
        <v>406</v>
      </c>
      <c r="G4861" s="4" t="s">
        <v>5292</v>
      </c>
      <c r="H4861" s="12" t="n">
        <v>1</v>
      </c>
      <c r="I4861" s="4" t="s">
        <v>408</v>
      </c>
      <c r="J4861" s="4" t="s">
        <v>409</v>
      </c>
      <c r="K4861" s="13" t="n">
        <v>1200</v>
      </c>
      <c r="L4861" s="6" t="n">
        <f aca="false">H4861*K4861</f>
        <v>1200</v>
      </c>
      <c r="M4861" s="14" t="s">
        <v>410</v>
      </c>
    </row>
    <row r="4862" customFormat="false" ht="15" hidden="false" customHeight="false" outlineLevel="0" collapsed="false">
      <c r="A4862" s="4" t="s">
        <v>203</v>
      </c>
      <c r="B4862" s="5" t="s">
        <v>214</v>
      </c>
      <c r="C4862" s="5" t="s">
        <v>215</v>
      </c>
      <c r="D4862" s="4" t="s">
        <v>16</v>
      </c>
      <c r="E4862" s="4" t="s">
        <v>5536</v>
      </c>
      <c r="F4862" s="4" t="s">
        <v>470</v>
      </c>
      <c r="G4862" s="4" t="s">
        <v>5537</v>
      </c>
      <c r="H4862" s="12" t="n">
        <v>1</v>
      </c>
      <c r="I4862" s="4" t="s">
        <v>408</v>
      </c>
      <c r="J4862" s="4" t="s">
        <v>409</v>
      </c>
      <c r="K4862" s="13" t="n">
        <v>45000</v>
      </c>
      <c r="L4862" s="6" t="n">
        <f aca="false">H4862*K4862</f>
        <v>45000</v>
      </c>
      <c r="M4862" s="4" t="s">
        <v>371</v>
      </c>
    </row>
    <row r="4863" customFormat="false" ht="15" hidden="false" customHeight="false" outlineLevel="0" collapsed="false">
      <c r="A4863" s="4" t="s">
        <v>203</v>
      </c>
      <c r="B4863" s="5" t="s">
        <v>214</v>
      </c>
      <c r="C4863" s="5" t="s">
        <v>215</v>
      </c>
      <c r="D4863" s="4" t="s">
        <v>16</v>
      </c>
      <c r="E4863" s="4" t="s">
        <v>5509</v>
      </c>
      <c r="F4863" s="4" t="s">
        <v>470</v>
      </c>
      <c r="G4863" s="4" t="s">
        <v>1702</v>
      </c>
      <c r="H4863" s="12" t="n">
        <v>1</v>
      </c>
      <c r="I4863" s="4" t="s">
        <v>408</v>
      </c>
      <c r="J4863" s="4" t="s">
        <v>416</v>
      </c>
      <c r="K4863" s="13" t="n">
        <v>2500</v>
      </c>
      <c r="L4863" s="6" t="n">
        <f aca="false">H4863*K4863</f>
        <v>2500</v>
      </c>
      <c r="M4863" s="4" t="s">
        <v>371</v>
      </c>
    </row>
    <row r="4864" customFormat="false" ht="15" hidden="false" customHeight="false" outlineLevel="0" collapsed="false">
      <c r="A4864" s="4" t="s">
        <v>203</v>
      </c>
      <c r="B4864" s="5" t="s">
        <v>214</v>
      </c>
      <c r="C4864" s="5" t="s">
        <v>215</v>
      </c>
      <c r="D4864" s="4" t="s">
        <v>16</v>
      </c>
      <c r="E4864" s="4" t="s">
        <v>1451</v>
      </c>
      <c r="F4864" s="4" t="s">
        <v>470</v>
      </c>
      <c r="G4864" s="4" t="s">
        <v>1452</v>
      </c>
      <c r="H4864" s="12" t="n">
        <v>1</v>
      </c>
      <c r="I4864" s="4" t="s">
        <v>408</v>
      </c>
      <c r="J4864" s="4" t="s">
        <v>413</v>
      </c>
      <c r="K4864" s="13" t="n">
        <v>450</v>
      </c>
      <c r="L4864" s="6" t="n">
        <f aca="false">H4864*K4864</f>
        <v>450</v>
      </c>
      <c r="M4864" s="4" t="s">
        <v>371</v>
      </c>
    </row>
    <row r="4865" customFormat="false" ht="15" hidden="false" customHeight="false" outlineLevel="0" collapsed="false">
      <c r="A4865" s="4" t="s">
        <v>203</v>
      </c>
      <c r="B4865" s="5" t="s">
        <v>214</v>
      </c>
      <c r="C4865" s="5" t="s">
        <v>215</v>
      </c>
      <c r="D4865" s="4" t="s">
        <v>16</v>
      </c>
      <c r="E4865" s="4" t="s">
        <v>5538</v>
      </c>
      <c r="F4865" s="4" t="s">
        <v>470</v>
      </c>
      <c r="G4865" s="4" t="s">
        <v>5539</v>
      </c>
      <c r="H4865" s="12" t="n">
        <v>1</v>
      </c>
      <c r="I4865" s="4" t="s">
        <v>408</v>
      </c>
      <c r="J4865" s="4" t="s">
        <v>409</v>
      </c>
      <c r="K4865" s="13" t="n">
        <v>8500</v>
      </c>
      <c r="L4865" s="6" t="n">
        <f aca="false">H4865*K4865</f>
        <v>8500</v>
      </c>
      <c r="M4865" s="4" t="s">
        <v>371</v>
      </c>
    </row>
    <row r="4866" customFormat="false" ht="15" hidden="false" customHeight="false" outlineLevel="0" collapsed="false">
      <c r="A4866" s="4" t="s">
        <v>203</v>
      </c>
      <c r="B4866" s="5" t="s">
        <v>214</v>
      </c>
      <c r="C4866" s="5" t="s">
        <v>215</v>
      </c>
      <c r="D4866" s="4" t="s">
        <v>16</v>
      </c>
      <c r="E4866" s="4" t="s">
        <v>5540</v>
      </c>
      <c r="F4866" s="4" t="s">
        <v>470</v>
      </c>
      <c r="G4866" s="4" t="s">
        <v>5541</v>
      </c>
      <c r="H4866" s="12" t="n">
        <v>1</v>
      </c>
      <c r="I4866" s="4" t="s">
        <v>408</v>
      </c>
      <c r="J4866" s="4" t="s">
        <v>416</v>
      </c>
      <c r="K4866" s="13" t="n">
        <v>850</v>
      </c>
      <c r="L4866" s="6" t="n">
        <f aca="false">H4866*K4866</f>
        <v>850</v>
      </c>
      <c r="M4866" s="4" t="s">
        <v>371</v>
      </c>
    </row>
    <row r="4867" customFormat="false" ht="15" hidden="false" customHeight="false" outlineLevel="0" collapsed="false">
      <c r="A4867" s="4" t="s">
        <v>203</v>
      </c>
      <c r="B4867" s="5" t="s">
        <v>214</v>
      </c>
      <c r="C4867" s="5" t="s">
        <v>215</v>
      </c>
      <c r="D4867" s="4" t="s">
        <v>16</v>
      </c>
      <c r="E4867" s="4" t="s">
        <v>5542</v>
      </c>
      <c r="F4867" s="4" t="s">
        <v>470</v>
      </c>
      <c r="G4867" s="4" t="s">
        <v>5543</v>
      </c>
      <c r="H4867" s="12" t="n">
        <v>1</v>
      </c>
      <c r="I4867" s="4" t="s">
        <v>408</v>
      </c>
      <c r="J4867" s="4" t="s">
        <v>416</v>
      </c>
      <c r="K4867" s="13" t="n">
        <v>8500</v>
      </c>
      <c r="L4867" s="6" t="n">
        <f aca="false">H4867*K4867</f>
        <v>8500</v>
      </c>
      <c r="M4867" s="4" t="s">
        <v>371</v>
      </c>
    </row>
    <row r="4868" customFormat="false" ht="15" hidden="false" customHeight="false" outlineLevel="0" collapsed="false">
      <c r="A4868" s="4" t="s">
        <v>203</v>
      </c>
      <c r="B4868" s="5" t="s">
        <v>214</v>
      </c>
      <c r="C4868" s="5" t="s">
        <v>215</v>
      </c>
      <c r="D4868" s="4" t="s">
        <v>16</v>
      </c>
      <c r="E4868" s="4" t="s">
        <v>5544</v>
      </c>
      <c r="F4868" s="4" t="s">
        <v>470</v>
      </c>
      <c r="G4868" s="4" t="s">
        <v>5545</v>
      </c>
      <c r="H4868" s="12" t="n">
        <v>1</v>
      </c>
      <c r="I4868" s="4" t="s">
        <v>408</v>
      </c>
      <c r="J4868" s="4" t="s">
        <v>409</v>
      </c>
      <c r="K4868" s="13" t="n">
        <v>8500</v>
      </c>
      <c r="L4868" s="6" t="n">
        <f aca="false">H4868*K4868</f>
        <v>8500</v>
      </c>
      <c r="M4868" s="4" t="s">
        <v>371</v>
      </c>
    </row>
    <row r="4869" customFormat="false" ht="15" hidden="false" customHeight="false" outlineLevel="0" collapsed="false">
      <c r="A4869" s="4" t="s">
        <v>203</v>
      </c>
      <c r="B4869" s="5" t="s">
        <v>214</v>
      </c>
      <c r="C4869" s="5" t="s">
        <v>215</v>
      </c>
      <c r="D4869" s="4" t="s">
        <v>16</v>
      </c>
      <c r="E4869" s="4" t="s">
        <v>5546</v>
      </c>
      <c r="F4869" s="4" t="s">
        <v>470</v>
      </c>
      <c r="G4869" s="4" t="s">
        <v>5547</v>
      </c>
      <c r="H4869" s="12" t="n">
        <v>1</v>
      </c>
      <c r="I4869" s="4" t="s">
        <v>408</v>
      </c>
      <c r="J4869" s="4" t="s">
        <v>409</v>
      </c>
      <c r="K4869" s="13" t="n">
        <v>350</v>
      </c>
      <c r="L4869" s="6" t="n">
        <f aca="false">H4869*K4869</f>
        <v>350</v>
      </c>
      <c r="M4869" s="4" t="s">
        <v>371</v>
      </c>
    </row>
    <row r="4870" customFormat="false" ht="15" hidden="false" customHeight="false" outlineLevel="0" collapsed="false">
      <c r="A4870" s="4" t="s">
        <v>203</v>
      </c>
      <c r="B4870" s="5" t="s">
        <v>214</v>
      </c>
      <c r="C4870" s="5" t="s">
        <v>215</v>
      </c>
      <c r="D4870" s="4" t="s">
        <v>16</v>
      </c>
      <c r="E4870" s="4" t="s">
        <v>5548</v>
      </c>
      <c r="F4870" s="4" t="s">
        <v>470</v>
      </c>
      <c r="G4870" s="4" t="s">
        <v>5549</v>
      </c>
      <c r="H4870" s="12" t="n">
        <v>1</v>
      </c>
      <c r="I4870" s="4" t="s">
        <v>408</v>
      </c>
      <c r="J4870" s="4" t="s">
        <v>416</v>
      </c>
      <c r="K4870" s="13" t="n">
        <v>1200</v>
      </c>
      <c r="L4870" s="6" t="n">
        <f aca="false">H4870*K4870</f>
        <v>1200</v>
      </c>
      <c r="M4870" s="4" t="s">
        <v>371</v>
      </c>
    </row>
    <row r="4871" customFormat="false" ht="15" hidden="false" customHeight="false" outlineLevel="0" collapsed="false">
      <c r="A4871" s="4" t="s">
        <v>203</v>
      </c>
      <c r="B4871" s="5" t="s">
        <v>214</v>
      </c>
      <c r="C4871" s="5" t="s">
        <v>215</v>
      </c>
      <c r="D4871" s="4" t="s">
        <v>16</v>
      </c>
      <c r="E4871" s="4" t="s">
        <v>5527</v>
      </c>
      <c r="F4871" s="4" t="s">
        <v>488</v>
      </c>
      <c r="G4871" s="4" t="s">
        <v>5528</v>
      </c>
      <c r="H4871" s="12" t="n">
        <v>1</v>
      </c>
      <c r="I4871" s="4" t="s">
        <v>408</v>
      </c>
      <c r="J4871" s="4" t="s">
        <v>416</v>
      </c>
      <c r="K4871" s="13" t="n">
        <v>250</v>
      </c>
      <c r="L4871" s="6" t="n">
        <f aca="false">H4871*K4871</f>
        <v>250</v>
      </c>
      <c r="M4871" s="4" t="s">
        <v>371</v>
      </c>
    </row>
    <row r="4872" customFormat="false" ht="15" hidden="false" customHeight="false" outlineLevel="0" collapsed="false">
      <c r="A4872" s="4" t="s">
        <v>203</v>
      </c>
      <c r="B4872" s="5" t="s">
        <v>214</v>
      </c>
      <c r="C4872" s="5" t="s">
        <v>215</v>
      </c>
      <c r="D4872" s="4" t="s">
        <v>16</v>
      </c>
      <c r="E4872" s="4" t="s">
        <v>5550</v>
      </c>
      <c r="F4872" s="4" t="s">
        <v>488</v>
      </c>
      <c r="G4872" s="4" t="s">
        <v>5551</v>
      </c>
      <c r="H4872" s="12" t="n">
        <v>1</v>
      </c>
      <c r="I4872" s="4" t="s">
        <v>408</v>
      </c>
      <c r="J4872" s="4" t="s">
        <v>506</v>
      </c>
      <c r="K4872" s="13" t="n">
        <v>120</v>
      </c>
      <c r="L4872" s="6" t="n">
        <f aca="false">H4872*K4872</f>
        <v>120</v>
      </c>
      <c r="M4872" s="4" t="s">
        <v>371</v>
      </c>
    </row>
    <row r="4873" customFormat="false" ht="15" hidden="false" customHeight="false" outlineLevel="0" collapsed="false">
      <c r="A4873" s="4" t="s">
        <v>203</v>
      </c>
      <c r="B4873" s="5" t="s">
        <v>214</v>
      </c>
      <c r="C4873" s="5" t="s">
        <v>215</v>
      </c>
      <c r="D4873" s="4" t="s">
        <v>16</v>
      </c>
      <c r="E4873" s="4" t="s">
        <v>5552</v>
      </c>
      <c r="F4873" s="4" t="s">
        <v>488</v>
      </c>
      <c r="G4873" s="4" t="s">
        <v>5553</v>
      </c>
      <c r="H4873" s="12" t="n">
        <v>1</v>
      </c>
      <c r="I4873" s="4" t="s">
        <v>408</v>
      </c>
      <c r="J4873" s="4" t="s">
        <v>506</v>
      </c>
      <c r="K4873" s="13" t="n">
        <v>120</v>
      </c>
      <c r="L4873" s="6" t="n">
        <f aca="false">H4873*K4873</f>
        <v>120</v>
      </c>
      <c r="M4873" s="4" t="s">
        <v>371</v>
      </c>
    </row>
    <row r="4874" customFormat="false" ht="15" hidden="false" customHeight="false" outlineLevel="0" collapsed="false">
      <c r="A4874" s="4" t="s">
        <v>203</v>
      </c>
      <c r="B4874" s="5" t="s">
        <v>214</v>
      </c>
      <c r="C4874" s="5" t="s">
        <v>215</v>
      </c>
      <c r="D4874" s="4" t="s">
        <v>16</v>
      </c>
      <c r="E4874" s="4" t="s">
        <v>5554</v>
      </c>
      <c r="F4874" s="4" t="s">
        <v>488</v>
      </c>
      <c r="G4874" s="4" t="s">
        <v>5555</v>
      </c>
      <c r="H4874" s="12" t="n">
        <v>1</v>
      </c>
      <c r="I4874" s="4" t="s">
        <v>408</v>
      </c>
      <c r="J4874" s="4" t="s">
        <v>503</v>
      </c>
      <c r="K4874" s="13" t="n">
        <v>90</v>
      </c>
      <c r="L4874" s="6" t="n">
        <f aca="false">H4874*K4874</f>
        <v>90</v>
      </c>
      <c r="M4874" s="4" t="s">
        <v>371</v>
      </c>
    </row>
    <row r="4875" customFormat="false" ht="15" hidden="false" customHeight="false" outlineLevel="0" collapsed="false">
      <c r="A4875" s="4" t="s">
        <v>203</v>
      </c>
      <c r="B4875" s="5" t="s">
        <v>214</v>
      </c>
      <c r="C4875" s="5" t="s">
        <v>215</v>
      </c>
      <c r="D4875" s="4" t="s">
        <v>16</v>
      </c>
      <c r="E4875" s="4" t="s">
        <v>5556</v>
      </c>
      <c r="F4875" s="4" t="s">
        <v>488</v>
      </c>
      <c r="G4875" s="4" t="s">
        <v>5557</v>
      </c>
      <c r="H4875" s="12" t="n">
        <v>1</v>
      </c>
      <c r="I4875" s="4" t="s">
        <v>408</v>
      </c>
      <c r="J4875" s="4" t="s">
        <v>409</v>
      </c>
      <c r="K4875" s="13" t="n">
        <v>180</v>
      </c>
      <c r="L4875" s="6" t="n">
        <f aca="false">H4875*K4875</f>
        <v>180</v>
      </c>
      <c r="M4875" s="4" t="s">
        <v>371</v>
      </c>
    </row>
    <row r="4876" customFormat="false" ht="15" hidden="false" customHeight="false" outlineLevel="0" collapsed="false">
      <c r="A4876" s="4" t="s">
        <v>203</v>
      </c>
      <c r="B4876" s="5" t="s">
        <v>214</v>
      </c>
      <c r="C4876" s="5" t="s">
        <v>215</v>
      </c>
      <c r="D4876" s="4" t="s">
        <v>16</v>
      </c>
      <c r="E4876" s="4" t="s">
        <v>5558</v>
      </c>
      <c r="F4876" s="4" t="s">
        <v>488</v>
      </c>
      <c r="G4876" s="4" t="s">
        <v>5559</v>
      </c>
      <c r="H4876" s="12" t="n">
        <v>1</v>
      </c>
      <c r="I4876" s="4" t="s">
        <v>408</v>
      </c>
      <c r="J4876" s="4" t="s">
        <v>409</v>
      </c>
      <c r="K4876" s="13" t="n">
        <v>180</v>
      </c>
      <c r="L4876" s="6" t="n">
        <f aca="false">H4876*K4876</f>
        <v>180</v>
      </c>
      <c r="M4876" s="4" t="s">
        <v>371</v>
      </c>
    </row>
    <row r="4877" customFormat="false" ht="15" hidden="false" customHeight="false" outlineLevel="0" collapsed="false">
      <c r="A4877" s="4" t="s">
        <v>203</v>
      </c>
      <c r="B4877" s="5" t="s">
        <v>214</v>
      </c>
      <c r="C4877" s="5" t="s">
        <v>215</v>
      </c>
      <c r="D4877" s="4" t="s">
        <v>16</v>
      </c>
      <c r="E4877" s="4" t="s">
        <v>5560</v>
      </c>
      <c r="F4877" s="4" t="s">
        <v>488</v>
      </c>
      <c r="G4877" s="4" t="s">
        <v>5561</v>
      </c>
      <c r="H4877" s="12" t="n">
        <v>1</v>
      </c>
      <c r="I4877" s="4" t="s">
        <v>408</v>
      </c>
      <c r="J4877" s="4" t="s">
        <v>409</v>
      </c>
      <c r="K4877" s="13" t="n">
        <v>350</v>
      </c>
      <c r="L4877" s="6" t="n">
        <f aca="false">H4877*K4877</f>
        <v>350</v>
      </c>
      <c r="M4877" s="4" t="s">
        <v>371</v>
      </c>
    </row>
    <row r="4878" customFormat="false" ht="15" hidden="false" customHeight="false" outlineLevel="0" collapsed="false">
      <c r="A4878" s="4" t="s">
        <v>203</v>
      </c>
      <c r="B4878" s="5" t="s">
        <v>214</v>
      </c>
      <c r="C4878" s="5" t="s">
        <v>215</v>
      </c>
      <c r="D4878" s="4" t="s">
        <v>16</v>
      </c>
      <c r="E4878" s="4" t="s">
        <v>5562</v>
      </c>
      <c r="F4878" s="4" t="s">
        <v>488</v>
      </c>
      <c r="G4878" s="4" t="s">
        <v>5563</v>
      </c>
      <c r="H4878" s="12" t="n">
        <v>1</v>
      </c>
      <c r="I4878" s="4" t="s">
        <v>408</v>
      </c>
      <c r="J4878" s="4" t="s">
        <v>409</v>
      </c>
      <c r="K4878" s="13" t="n">
        <v>35</v>
      </c>
      <c r="L4878" s="6" t="n">
        <f aca="false">H4878*K4878</f>
        <v>35</v>
      </c>
      <c r="M4878" s="4" t="s">
        <v>371</v>
      </c>
    </row>
    <row r="4879" customFormat="false" ht="15" hidden="false" customHeight="false" outlineLevel="0" collapsed="false">
      <c r="A4879" s="4" t="s">
        <v>203</v>
      </c>
      <c r="B4879" s="5" t="s">
        <v>214</v>
      </c>
      <c r="C4879" s="5" t="s">
        <v>215</v>
      </c>
      <c r="D4879" s="4" t="s">
        <v>16</v>
      </c>
      <c r="E4879" s="4" t="s">
        <v>5564</v>
      </c>
      <c r="F4879" s="4" t="s">
        <v>488</v>
      </c>
      <c r="G4879" s="4" t="s">
        <v>5565</v>
      </c>
      <c r="H4879" s="12" t="n">
        <v>1</v>
      </c>
      <c r="I4879" s="4" t="s">
        <v>408</v>
      </c>
      <c r="J4879" s="4" t="s">
        <v>506</v>
      </c>
      <c r="K4879" s="13" t="n">
        <v>120</v>
      </c>
      <c r="L4879" s="6" t="n">
        <f aca="false">H4879*K4879</f>
        <v>120</v>
      </c>
      <c r="M4879" s="4" t="s">
        <v>371</v>
      </c>
    </row>
    <row r="4880" customFormat="false" ht="15" hidden="false" customHeight="false" outlineLevel="0" collapsed="false">
      <c r="A4880" s="4" t="s">
        <v>203</v>
      </c>
      <c r="B4880" s="5" t="s">
        <v>214</v>
      </c>
      <c r="C4880" s="5" t="s">
        <v>215</v>
      </c>
      <c r="D4880" s="4" t="s">
        <v>16</v>
      </c>
      <c r="E4880" s="4" t="s">
        <v>5566</v>
      </c>
      <c r="F4880" s="4" t="s">
        <v>470</v>
      </c>
      <c r="G4880" s="4" t="s">
        <v>5567</v>
      </c>
      <c r="H4880" s="12" t="n">
        <v>1</v>
      </c>
      <c r="I4880" s="4" t="s">
        <v>408</v>
      </c>
      <c r="J4880" s="4" t="s">
        <v>416</v>
      </c>
      <c r="K4880" s="13" t="n">
        <v>1800</v>
      </c>
      <c r="L4880" s="6" t="n">
        <f aca="false">H4880*K4880</f>
        <v>1800</v>
      </c>
      <c r="M4880" s="4" t="s">
        <v>371</v>
      </c>
    </row>
    <row r="4881" customFormat="false" ht="15" hidden="false" customHeight="false" outlineLevel="0" collapsed="false">
      <c r="A4881" s="4" t="s">
        <v>203</v>
      </c>
      <c r="B4881" s="5" t="s">
        <v>214</v>
      </c>
      <c r="C4881" s="5" t="s">
        <v>215</v>
      </c>
      <c r="D4881" s="4" t="s">
        <v>16</v>
      </c>
      <c r="E4881" s="4" t="s">
        <v>5568</v>
      </c>
      <c r="F4881" s="4" t="s">
        <v>470</v>
      </c>
      <c r="G4881" s="4" t="s">
        <v>5569</v>
      </c>
      <c r="H4881" s="12" t="n">
        <v>1</v>
      </c>
      <c r="I4881" s="4" t="s">
        <v>408</v>
      </c>
      <c r="J4881" s="4" t="s">
        <v>409</v>
      </c>
      <c r="K4881" s="13" t="n">
        <v>450</v>
      </c>
      <c r="L4881" s="6" t="n">
        <f aca="false">H4881*K4881</f>
        <v>450</v>
      </c>
      <c r="M4881" s="4" t="s">
        <v>371</v>
      </c>
    </row>
    <row r="4882" customFormat="false" ht="15" hidden="false" customHeight="false" outlineLevel="0" collapsed="false">
      <c r="A4882" s="4" t="s">
        <v>203</v>
      </c>
      <c r="B4882" s="5" t="s">
        <v>214</v>
      </c>
      <c r="C4882" s="5" t="s">
        <v>215</v>
      </c>
      <c r="D4882" s="4" t="s">
        <v>16</v>
      </c>
      <c r="E4882" s="4" t="s">
        <v>5570</v>
      </c>
      <c r="F4882" s="4" t="s">
        <v>470</v>
      </c>
      <c r="G4882" s="4" t="s">
        <v>5571</v>
      </c>
      <c r="H4882" s="12" t="n">
        <v>1</v>
      </c>
      <c r="I4882" s="4" t="s">
        <v>408</v>
      </c>
      <c r="J4882" s="4" t="s">
        <v>409</v>
      </c>
      <c r="K4882" s="13" t="n">
        <v>450</v>
      </c>
      <c r="L4882" s="6" t="n">
        <f aca="false">H4882*K4882</f>
        <v>450</v>
      </c>
      <c r="M4882" s="4" t="s">
        <v>371</v>
      </c>
    </row>
    <row r="4883" customFormat="false" ht="15" hidden="false" customHeight="false" outlineLevel="0" collapsed="false">
      <c r="A4883" s="4" t="s">
        <v>203</v>
      </c>
      <c r="B4883" s="5" t="s">
        <v>214</v>
      </c>
      <c r="C4883" s="5" t="s">
        <v>215</v>
      </c>
      <c r="D4883" s="4" t="s">
        <v>16</v>
      </c>
      <c r="E4883" s="4" t="s">
        <v>5572</v>
      </c>
      <c r="F4883" s="4" t="s">
        <v>470</v>
      </c>
      <c r="G4883" s="4" t="s">
        <v>5573</v>
      </c>
      <c r="H4883" s="12" t="n">
        <v>1</v>
      </c>
      <c r="I4883" s="4" t="s">
        <v>408</v>
      </c>
      <c r="J4883" s="4" t="s">
        <v>416</v>
      </c>
      <c r="K4883" s="13" t="n">
        <v>350</v>
      </c>
      <c r="L4883" s="6" t="n">
        <f aca="false">H4883*K4883</f>
        <v>350</v>
      </c>
      <c r="M4883" s="4" t="s">
        <v>371</v>
      </c>
    </row>
    <row r="4884" customFormat="false" ht="15" hidden="false" customHeight="false" outlineLevel="0" collapsed="false">
      <c r="A4884" s="4" t="s">
        <v>203</v>
      </c>
      <c r="B4884" s="5" t="s">
        <v>214</v>
      </c>
      <c r="C4884" s="5" t="s">
        <v>215</v>
      </c>
      <c r="D4884" s="4" t="s">
        <v>16</v>
      </c>
      <c r="E4884" s="4" t="s">
        <v>5574</v>
      </c>
      <c r="F4884" s="4" t="s">
        <v>470</v>
      </c>
      <c r="G4884" s="4" t="s">
        <v>5575</v>
      </c>
      <c r="H4884" s="12" t="n">
        <v>1</v>
      </c>
      <c r="I4884" s="4" t="s">
        <v>408</v>
      </c>
      <c r="J4884" s="4" t="s">
        <v>409</v>
      </c>
      <c r="K4884" s="13" t="n">
        <v>450</v>
      </c>
      <c r="L4884" s="6" t="n">
        <f aca="false">H4884*K4884</f>
        <v>450</v>
      </c>
      <c r="M4884" s="4" t="s">
        <v>371</v>
      </c>
    </row>
    <row r="4885" customFormat="false" ht="15" hidden="false" customHeight="false" outlineLevel="0" collapsed="false">
      <c r="A4885" s="4" t="s">
        <v>203</v>
      </c>
      <c r="B4885" s="5" t="s">
        <v>214</v>
      </c>
      <c r="C4885" s="5" t="s">
        <v>215</v>
      </c>
      <c r="D4885" s="4" t="s">
        <v>16</v>
      </c>
      <c r="E4885" s="4" t="s">
        <v>5576</v>
      </c>
      <c r="F4885" s="4" t="s">
        <v>470</v>
      </c>
      <c r="G4885" s="4" t="s">
        <v>5577</v>
      </c>
      <c r="H4885" s="12" t="n">
        <v>1</v>
      </c>
      <c r="I4885" s="4" t="s">
        <v>408</v>
      </c>
      <c r="J4885" s="4" t="s">
        <v>409</v>
      </c>
      <c r="K4885" s="13" t="n">
        <v>850</v>
      </c>
      <c r="L4885" s="6" t="n">
        <f aca="false">H4885*K4885</f>
        <v>850</v>
      </c>
      <c r="M4885" s="4" t="s">
        <v>371</v>
      </c>
    </row>
    <row r="4886" customFormat="false" ht="15" hidden="false" customHeight="false" outlineLevel="0" collapsed="false">
      <c r="A4886" s="4" t="s">
        <v>216</v>
      </c>
      <c r="B4886" s="5" t="s">
        <v>217</v>
      </c>
      <c r="C4886" s="5" t="s">
        <v>218</v>
      </c>
      <c r="D4886" s="4" t="s">
        <v>16</v>
      </c>
      <c r="E4886" s="4" t="s">
        <v>447</v>
      </c>
      <c r="F4886" s="4" t="s">
        <v>406</v>
      </c>
      <c r="G4886" s="4" t="s">
        <v>448</v>
      </c>
      <c r="H4886" s="12" t="n">
        <v>6</v>
      </c>
      <c r="I4886" s="4" t="s">
        <v>474</v>
      </c>
      <c r="J4886" s="4" t="s">
        <v>409</v>
      </c>
      <c r="K4886" s="13" t="n">
        <v>180</v>
      </c>
      <c r="L4886" s="6" t="n">
        <f aca="false">H4886*K4886</f>
        <v>1080</v>
      </c>
      <c r="M4886" s="14" t="s">
        <v>410</v>
      </c>
    </row>
    <row r="4887" customFormat="false" ht="15" hidden="false" customHeight="false" outlineLevel="0" collapsed="false">
      <c r="A4887" s="4" t="s">
        <v>216</v>
      </c>
      <c r="B4887" s="5" t="s">
        <v>217</v>
      </c>
      <c r="C4887" s="5" t="s">
        <v>218</v>
      </c>
      <c r="D4887" s="4" t="s">
        <v>16</v>
      </c>
      <c r="E4887" s="4" t="s">
        <v>3077</v>
      </c>
      <c r="F4887" s="4" t="s">
        <v>406</v>
      </c>
      <c r="G4887" s="4" t="s">
        <v>3078</v>
      </c>
      <c r="H4887" s="12" t="n">
        <v>6</v>
      </c>
      <c r="I4887" s="4" t="s">
        <v>474</v>
      </c>
      <c r="J4887" s="4" t="s">
        <v>409</v>
      </c>
      <c r="K4887" s="13" t="n">
        <v>120</v>
      </c>
      <c r="L4887" s="6" t="n">
        <f aca="false">H4887*K4887</f>
        <v>720</v>
      </c>
      <c r="M4887" s="14" t="s">
        <v>410</v>
      </c>
    </row>
    <row r="4888" customFormat="false" ht="15" hidden="false" customHeight="false" outlineLevel="0" collapsed="false">
      <c r="A4888" s="4" t="s">
        <v>216</v>
      </c>
      <c r="B4888" s="5" t="s">
        <v>217</v>
      </c>
      <c r="C4888" s="5" t="s">
        <v>218</v>
      </c>
      <c r="D4888" s="4" t="s">
        <v>16</v>
      </c>
      <c r="E4888" s="4" t="s">
        <v>5578</v>
      </c>
      <c r="F4888" s="4" t="s">
        <v>406</v>
      </c>
      <c r="G4888" s="4" t="s">
        <v>5579</v>
      </c>
      <c r="H4888" s="12" t="n">
        <v>6</v>
      </c>
      <c r="I4888" s="4" t="s">
        <v>474</v>
      </c>
      <c r="J4888" s="4" t="s">
        <v>409</v>
      </c>
      <c r="K4888" s="13" t="n">
        <v>120</v>
      </c>
      <c r="L4888" s="6" t="n">
        <f aca="false">H4888*K4888</f>
        <v>720</v>
      </c>
      <c r="M4888" s="14" t="s">
        <v>410</v>
      </c>
    </row>
    <row r="4889" customFormat="false" ht="15" hidden="false" customHeight="false" outlineLevel="0" collapsed="false">
      <c r="A4889" s="4" t="s">
        <v>216</v>
      </c>
      <c r="B4889" s="5" t="s">
        <v>217</v>
      </c>
      <c r="C4889" s="5" t="s">
        <v>218</v>
      </c>
      <c r="D4889" s="4" t="s">
        <v>16</v>
      </c>
      <c r="E4889" s="4" t="s">
        <v>5580</v>
      </c>
      <c r="F4889" s="4" t="s">
        <v>406</v>
      </c>
      <c r="G4889" s="4" t="s">
        <v>5581</v>
      </c>
      <c r="H4889" s="12" t="n">
        <v>6</v>
      </c>
      <c r="I4889" s="4" t="s">
        <v>474</v>
      </c>
      <c r="J4889" s="4" t="s">
        <v>416</v>
      </c>
      <c r="K4889" s="13" t="n">
        <v>350</v>
      </c>
      <c r="L4889" s="6" t="n">
        <f aca="false">H4889*K4889</f>
        <v>2100</v>
      </c>
      <c r="M4889" s="4" t="s">
        <v>371</v>
      </c>
    </row>
    <row r="4890" customFormat="false" ht="15" hidden="false" customHeight="false" outlineLevel="0" collapsed="false">
      <c r="A4890" s="4" t="s">
        <v>216</v>
      </c>
      <c r="B4890" s="5" t="s">
        <v>217</v>
      </c>
      <c r="C4890" s="5" t="s">
        <v>218</v>
      </c>
      <c r="D4890" s="4" t="s">
        <v>16</v>
      </c>
      <c r="E4890" s="4" t="s">
        <v>2831</v>
      </c>
      <c r="F4890" s="4" t="s">
        <v>406</v>
      </c>
      <c r="G4890" s="4" t="s">
        <v>2832</v>
      </c>
      <c r="H4890" s="12" t="n">
        <v>1</v>
      </c>
      <c r="I4890" s="4" t="s">
        <v>474</v>
      </c>
      <c r="J4890" s="4" t="s">
        <v>416</v>
      </c>
      <c r="K4890" s="13" t="n">
        <v>850</v>
      </c>
      <c r="L4890" s="6" t="n">
        <f aca="false">H4890*K4890</f>
        <v>850</v>
      </c>
      <c r="M4890" s="14" t="s">
        <v>410</v>
      </c>
    </row>
    <row r="4891" customFormat="false" ht="15" hidden="false" customHeight="false" outlineLevel="0" collapsed="false">
      <c r="A4891" s="4" t="s">
        <v>216</v>
      </c>
      <c r="B4891" s="5" t="s">
        <v>217</v>
      </c>
      <c r="C4891" s="5" t="s">
        <v>218</v>
      </c>
      <c r="D4891" s="4" t="s">
        <v>16</v>
      </c>
      <c r="E4891" s="4" t="s">
        <v>5582</v>
      </c>
      <c r="F4891" s="4" t="s">
        <v>406</v>
      </c>
      <c r="G4891" s="4" t="s">
        <v>5583</v>
      </c>
      <c r="H4891" s="12" t="n">
        <v>1</v>
      </c>
      <c r="I4891" s="4" t="s">
        <v>474</v>
      </c>
      <c r="J4891" s="4" t="s">
        <v>409</v>
      </c>
      <c r="K4891" s="13" t="n">
        <v>350</v>
      </c>
      <c r="L4891" s="6" t="n">
        <f aca="false">H4891*K4891</f>
        <v>350</v>
      </c>
      <c r="M4891" s="4" t="s">
        <v>371</v>
      </c>
    </row>
    <row r="4892" customFormat="false" ht="15" hidden="false" customHeight="false" outlineLevel="0" collapsed="false">
      <c r="A4892" s="4" t="s">
        <v>216</v>
      </c>
      <c r="B4892" s="5" t="s">
        <v>217</v>
      </c>
      <c r="C4892" s="5" t="s">
        <v>218</v>
      </c>
      <c r="D4892" s="4" t="s">
        <v>16</v>
      </c>
      <c r="E4892" s="4" t="s">
        <v>5584</v>
      </c>
      <c r="F4892" s="4" t="s">
        <v>406</v>
      </c>
      <c r="G4892" s="4" t="s">
        <v>5585</v>
      </c>
      <c r="H4892" s="12" t="n">
        <v>1</v>
      </c>
      <c r="I4892" s="4" t="s">
        <v>474</v>
      </c>
      <c r="J4892" s="4" t="s">
        <v>409</v>
      </c>
      <c r="K4892" s="13" t="n">
        <v>180</v>
      </c>
      <c r="L4892" s="6" t="n">
        <f aca="false">H4892*K4892</f>
        <v>180</v>
      </c>
      <c r="M4892" s="14" t="s">
        <v>410</v>
      </c>
    </row>
    <row r="4893" customFormat="false" ht="15" hidden="false" customHeight="false" outlineLevel="0" collapsed="false">
      <c r="A4893" s="4" t="s">
        <v>216</v>
      </c>
      <c r="B4893" s="5" t="s">
        <v>217</v>
      </c>
      <c r="C4893" s="5" t="s">
        <v>218</v>
      </c>
      <c r="D4893" s="4" t="s">
        <v>16</v>
      </c>
      <c r="E4893" s="4" t="s">
        <v>5466</v>
      </c>
      <c r="F4893" s="4" t="s">
        <v>406</v>
      </c>
      <c r="G4893" s="4" t="s">
        <v>5467</v>
      </c>
      <c r="H4893" s="12" t="n">
        <v>1</v>
      </c>
      <c r="I4893" s="4" t="s">
        <v>474</v>
      </c>
      <c r="J4893" s="4" t="s">
        <v>409</v>
      </c>
      <c r="K4893" s="13" t="n">
        <v>1200</v>
      </c>
      <c r="L4893" s="6" t="n">
        <f aca="false">H4893*K4893</f>
        <v>1200</v>
      </c>
      <c r="M4893" s="14" t="s">
        <v>410</v>
      </c>
    </row>
    <row r="4894" customFormat="false" ht="15" hidden="false" customHeight="false" outlineLevel="0" collapsed="false">
      <c r="A4894" s="4" t="s">
        <v>216</v>
      </c>
      <c r="B4894" s="5" t="s">
        <v>217</v>
      </c>
      <c r="C4894" s="5" t="s">
        <v>218</v>
      </c>
      <c r="D4894" s="4" t="s">
        <v>16</v>
      </c>
      <c r="E4894" s="4" t="s">
        <v>5586</v>
      </c>
      <c r="F4894" s="4" t="s">
        <v>406</v>
      </c>
      <c r="G4894" s="4" t="s">
        <v>5334</v>
      </c>
      <c r="H4894" s="12" t="n">
        <v>1</v>
      </c>
      <c r="I4894" s="4" t="s">
        <v>408</v>
      </c>
      <c r="J4894" s="4" t="s">
        <v>409</v>
      </c>
      <c r="K4894" s="13" t="n">
        <v>1200</v>
      </c>
      <c r="L4894" s="6" t="n">
        <f aca="false">H4894*K4894</f>
        <v>1200</v>
      </c>
      <c r="M4894" s="14" t="s">
        <v>410</v>
      </c>
    </row>
    <row r="4895" customFormat="false" ht="15" hidden="false" customHeight="false" outlineLevel="0" collapsed="false">
      <c r="A4895" s="4" t="s">
        <v>216</v>
      </c>
      <c r="B4895" s="5" t="s">
        <v>217</v>
      </c>
      <c r="C4895" s="5" t="s">
        <v>218</v>
      </c>
      <c r="D4895" s="4" t="s">
        <v>16</v>
      </c>
      <c r="E4895" s="4" t="s">
        <v>5587</v>
      </c>
      <c r="F4895" s="4" t="s">
        <v>406</v>
      </c>
      <c r="G4895" s="4" t="s">
        <v>5588</v>
      </c>
      <c r="H4895" s="12" t="n">
        <v>1</v>
      </c>
      <c r="I4895" s="4" t="s">
        <v>474</v>
      </c>
      <c r="J4895" s="4" t="s">
        <v>409</v>
      </c>
      <c r="K4895" s="13" t="n">
        <v>1800</v>
      </c>
      <c r="L4895" s="6" t="n">
        <f aca="false">H4895*K4895</f>
        <v>1800</v>
      </c>
      <c r="M4895" s="4" t="s">
        <v>371</v>
      </c>
    </row>
    <row r="4896" customFormat="false" ht="15" hidden="false" customHeight="false" outlineLevel="0" collapsed="false">
      <c r="A4896" s="4" t="s">
        <v>216</v>
      </c>
      <c r="B4896" s="5" t="s">
        <v>217</v>
      </c>
      <c r="C4896" s="5" t="s">
        <v>218</v>
      </c>
      <c r="D4896" s="4" t="s">
        <v>16</v>
      </c>
      <c r="E4896" s="4" t="s">
        <v>5589</v>
      </c>
      <c r="F4896" s="4" t="s">
        <v>406</v>
      </c>
      <c r="G4896" s="4" t="s">
        <v>5590</v>
      </c>
      <c r="H4896" s="12" t="n">
        <v>1</v>
      </c>
      <c r="I4896" s="4" t="s">
        <v>474</v>
      </c>
      <c r="J4896" s="4" t="s">
        <v>543</v>
      </c>
      <c r="K4896" s="13" t="n">
        <v>8500</v>
      </c>
      <c r="L4896" s="6" t="n">
        <f aca="false">H4896*K4896</f>
        <v>8500</v>
      </c>
      <c r="M4896" s="4" t="s">
        <v>371</v>
      </c>
    </row>
    <row r="4897" customFormat="false" ht="15" hidden="false" customHeight="false" outlineLevel="0" collapsed="false">
      <c r="A4897" s="4" t="s">
        <v>216</v>
      </c>
      <c r="B4897" s="5" t="s">
        <v>217</v>
      </c>
      <c r="C4897" s="5" t="s">
        <v>218</v>
      </c>
      <c r="D4897" s="4" t="s">
        <v>16</v>
      </c>
      <c r="E4897" s="4" t="s">
        <v>5591</v>
      </c>
      <c r="F4897" s="4" t="s">
        <v>406</v>
      </c>
      <c r="G4897" s="4" t="s">
        <v>5592</v>
      </c>
      <c r="H4897" s="12" t="n">
        <v>1</v>
      </c>
      <c r="I4897" s="4" t="s">
        <v>474</v>
      </c>
      <c r="J4897" s="4" t="s">
        <v>409</v>
      </c>
      <c r="K4897" s="13" t="n">
        <v>18000</v>
      </c>
      <c r="L4897" s="6" t="n">
        <f aca="false">H4897*K4897</f>
        <v>18000</v>
      </c>
      <c r="M4897" s="14" t="s">
        <v>410</v>
      </c>
    </row>
    <row r="4898" customFormat="false" ht="15" hidden="false" customHeight="false" outlineLevel="0" collapsed="false">
      <c r="A4898" s="4" t="s">
        <v>216</v>
      </c>
      <c r="B4898" s="5" t="s">
        <v>217</v>
      </c>
      <c r="C4898" s="5" t="s">
        <v>218</v>
      </c>
      <c r="D4898" s="4" t="s">
        <v>16</v>
      </c>
      <c r="E4898" s="4" t="s">
        <v>5593</v>
      </c>
      <c r="F4898" s="4" t="s">
        <v>406</v>
      </c>
      <c r="G4898" s="4" t="s">
        <v>5594</v>
      </c>
      <c r="H4898" s="12" t="n">
        <v>1</v>
      </c>
      <c r="I4898" s="4" t="s">
        <v>474</v>
      </c>
      <c r="J4898" s="4" t="s">
        <v>409</v>
      </c>
      <c r="K4898" s="13" t="n">
        <v>35000</v>
      </c>
      <c r="L4898" s="6" t="n">
        <f aca="false">H4898*K4898</f>
        <v>35000</v>
      </c>
      <c r="M4898" s="14" t="s">
        <v>410</v>
      </c>
    </row>
    <row r="4899" customFormat="false" ht="15" hidden="false" customHeight="false" outlineLevel="0" collapsed="false">
      <c r="A4899" s="4" t="s">
        <v>216</v>
      </c>
      <c r="B4899" s="5" t="s">
        <v>217</v>
      </c>
      <c r="C4899" s="5" t="s">
        <v>218</v>
      </c>
      <c r="D4899" s="4" t="s">
        <v>16</v>
      </c>
      <c r="E4899" s="4" t="s">
        <v>5595</v>
      </c>
      <c r="F4899" s="4" t="s">
        <v>406</v>
      </c>
      <c r="G4899" s="4" t="s">
        <v>5475</v>
      </c>
      <c r="H4899" s="12" t="n">
        <v>1</v>
      </c>
      <c r="I4899" s="4" t="s">
        <v>474</v>
      </c>
      <c r="J4899" s="4" t="s">
        <v>409</v>
      </c>
      <c r="K4899" s="13" t="n">
        <v>1800</v>
      </c>
      <c r="L4899" s="6" t="n">
        <f aca="false">H4899*K4899</f>
        <v>1800</v>
      </c>
      <c r="M4899" s="4" t="s">
        <v>371</v>
      </c>
    </row>
    <row r="4900" customFormat="false" ht="15" hidden="false" customHeight="false" outlineLevel="0" collapsed="false">
      <c r="A4900" s="4" t="s">
        <v>216</v>
      </c>
      <c r="B4900" s="5" t="s">
        <v>217</v>
      </c>
      <c r="C4900" s="5" t="s">
        <v>218</v>
      </c>
      <c r="D4900" s="4" t="s">
        <v>16</v>
      </c>
      <c r="E4900" s="4" t="s">
        <v>5596</v>
      </c>
      <c r="F4900" s="4" t="s">
        <v>406</v>
      </c>
      <c r="G4900" s="4" t="s">
        <v>5597</v>
      </c>
      <c r="H4900" s="12" t="n">
        <v>1</v>
      </c>
      <c r="I4900" s="4" t="s">
        <v>474</v>
      </c>
      <c r="J4900" s="4" t="s">
        <v>416</v>
      </c>
      <c r="K4900" s="13" t="n">
        <v>3500</v>
      </c>
      <c r="L4900" s="6" t="n">
        <f aca="false">H4900*K4900</f>
        <v>3500</v>
      </c>
      <c r="M4900" s="4" t="s">
        <v>371</v>
      </c>
    </row>
    <row r="4901" customFormat="false" ht="15" hidden="false" customHeight="false" outlineLevel="0" collapsed="false">
      <c r="A4901" s="4" t="s">
        <v>216</v>
      </c>
      <c r="B4901" s="5" t="s">
        <v>217</v>
      </c>
      <c r="C4901" s="5" t="s">
        <v>218</v>
      </c>
      <c r="D4901" s="4" t="s">
        <v>16</v>
      </c>
      <c r="E4901" s="4" t="s">
        <v>5598</v>
      </c>
      <c r="F4901" s="4" t="s">
        <v>406</v>
      </c>
      <c r="G4901" s="4" t="s">
        <v>5599</v>
      </c>
      <c r="H4901" s="12" t="n">
        <v>1</v>
      </c>
      <c r="I4901" s="4" t="s">
        <v>474</v>
      </c>
      <c r="J4901" s="4" t="s">
        <v>409</v>
      </c>
      <c r="K4901" s="13" t="n">
        <v>6500</v>
      </c>
      <c r="L4901" s="6" t="n">
        <f aca="false">H4901*K4901</f>
        <v>6500</v>
      </c>
      <c r="M4901" s="14" t="s">
        <v>410</v>
      </c>
    </row>
    <row r="4902" customFormat="false" ht="15" hidden="false" customHeight="false" outlineLevel="0" collapsed="false">
      <c r="A4902" s="4" t="s">
        <v>216</v>
      </c>
      <c r="B4902" s="5" t="s">
        <v>217</v>
      </c>
      <c r="C4902" s="5" t="s">
        <v>218</v>
      </c>
      <c r="D4902" s="4" t="s">
        <v>16</v>
      </c>
      <c r="E4902" s="4" t="s">
        <v>5600</v>
      </c>
      <c r="F4902" s="4" t="s">
        <v>406</v>
      </c>
      <c r="G4902" s="4" t="s">
        <v>5601</v>
      </c>
      <c r="H4902" s="12" t="n">
        <v>1</v>
      </c>
      <c r="I4902" s="4" t="s">
        <v>474</v>
      </c>
      <c r="J4902" s="4" t="s">
        <v>409</v>
      </c>
      <c r="K4902" s="13" t="n">
        <v>18000</v>
      </c>
      <c r="L4902" s="6" t="n">
        <f aca="false">H4902*K4902</f>
        <v>18000</v>
      </c>
      <c r="M4902" s="14" t="s">
        <v>410</v>
      </c>
    </row>
    <row r="4903" customFormat="false" ht="15" hidden="false" customHeight="false" outlineLevel="0" collapsed="false">
      <c r="A4903" s="4" t="s">
        <v>216</v>
      </c>
      <c r="B4903" s="5" t="s">
        <v>217</v>
      </c>
      <c r="C4903" s="5" t="s">
        <v>218</v>
      </c>
      <c r="D4903" s="4" t="s">
        <v>16</v>
      </c>
      <c r="E4903" s="4" t="s">
        <v>1970</v>
      </c>
      <c r="F4903" s="4" t="s">
        <v>406</v>
      </c>
      <c r="G4903" s="4" t="s">
        <v>1971</v>
      </c>
      <c r="H4903" s="12" t="n">
        <v>1</v>
      </c>
      <c r="I4903" s="4" t="s">
        <v>474</v>
      </c>
      <c r="J4903" s="4" t="s">
        <v>409</v>
      </c>
      <c r="K4903" s="13" t="n">
        <v>8500</v>
      </c>
      <c r="L4903" s="6" t="n">
        <f aca="false">H4903*K4903</f>
        <v>8500</v>
      </c>
      <c r="M4903" s="14" t="s">
        <v>410</v>
      </c>
    </row>
    <row r="4904" customFormat="false" ht="15" hidden="false" customHeight="false" outlineLevel="0" collapsed="false">
      <c r="A4904" s="4" t="s">
        <v>216</v>
      </c>
      <c r="B4904" s="5" t="s">
        <v>217</v>
      </c>
      <c r="C4904" s="5" t="s">
        <v>218</v>
      </c>
      <c r="D4904" s="4" t="s">
        <v>16</v>
      </c>
      <c r="E4904" s="4" t="s">
        <v>5602</v>
      </c>
      <c r="F4904" s="4" t="s">
        <v>406</v>
      </c>
      <c r="G4904" s="4" t="s">
        <v>5603</v>
      </c>
      <c r="H4904" s="12" t="n">
        <v>1</v>
      </c>
      <c r="I4904" s="4" t="s">
        <v>474</v>
      </c>
      <c r="J4904" s="4" t="s">
        <v>409</v>
      </c>
      <c r="K4904" s="13" t="n">
        <v>450</v>
      </c>
      <c r="L4904" s="6" t="n">
        <f aca="false">H4904*K4904</f>
        <v>450</v>
      </c>
      <c r="M4904" s="14" t="s">
        <v>410</v>
      </c>
    </row>
    <row r="4905" customFormat="false" ht="15" hidden="false" customHeight="false" outlineLevel="0" collapsed="false">
      <c r="A4905" s="4" t="s">
        <v>216</v>
      </c>
      <c r="B4905" s="5" t="s">
        <v>217</v>
      </c>
      <c r="C4905" s="5" t="s">
        <v>218</v>
      </c>
      <c r="D4905" s="4" t="s">
        <v>16</v>
      </c>
      <c r="E4905" s="4" t="s">
        <v>1785</v>
      </c>
      <c r="F4905" s="4" t="s">
        <v>406</v>
      </c>
      <c r="G4905" s="4" t="s">
        <v>1786</v>
      </c>
      <c r="H4905" s="12" t="n">
        <v>1</v>
      </c>
      <c r="I4905" s="4" t="s">
        <v>474</v>
      </c>
      <c r="J4905" s="4" t="s">
        <v>409</v>
      </c>
      <c r="K4905" s="13" t="n">
        <v>2500</v>
      </c>
      <c r="L4905" s="6" t="n">
        <f aca="false">H4905*K4905</f>
        <v>2500</v>
      </c>
      <c r="M4905" s="14" t="s">
        <v>410</v>
      </c>
    </row>
    <row r="4906" customFormat="false" ht="15" hidden="false" customHeight="false" outlineLevel="0" collapsed="false">
      <c r="A4906" s="4" t="s">
        <v>216</v>
      </c>
      <c r="B4906" s="5" t="s">
        <v>217</v>
      </c>
      <c r="C4906" s="5" t="s">
        <v>218</v>
      </c>
      <c r="D4906" s="4" t="s">
        <v>16</v>
      </c>
      <c r="E4906" s="4" t="s">
        <v>5604</v>
      </c>
      <c r="F4906" s="4" t="s">
        <v>406</v>
      </c>
      <c r="G4906" s="4" t="s">
        <v>5605</v>
      </c>
      <c r="H4906" s="12" t="n">
        <v>1</v>
      </c>
      <c r="I4906" s="4" t="s">
        <v>474</v>
      </c>
      <c r="J4906" s="4" t="s">
        <v>409</v>
      </c>
      <c r="K4906" s="13" t="n">
        <v>1800</v>
      </c>
      <c r="L4906" s="6" t="n">
        <f aca="false">H4906*K4906</f>
        <v>1800</v>
      </c>
      <c r="M4906" s="14" t="s">
        <v>410</v>
      </c>
    </row>
    <row r="4907" customFormat="false" ht="15" hidden="false" customHeight="false" outlineLevel="0" collapsed="false">
      <c r="A4907" s="4" t="s">
        <v>216</v>
      </c>
      <c r="B4907" s="5" t="s">
        <v>217</v>
      </c>
      <c r="C4907" s="5" t="s">
        <v>218</v>
      </c>
      <c r="D4907" s="4" t="s">
        <v>16</v>
      </c>
      <c r="E4907" s="4" t="s">
        <v>5291</v>
      </c>
      <c r="F4907" s="4" t="s">
        <v>406</v>
      </c>
      <c r="G4907" s="4" t="s">
        <v>5292</v>
      </c>
      <c r="H4907" s="12" t="n">
        <v>2</v>
      </c>
      <c r="I4907" s="4" t="s">
        <v>474</v>
      </c>
      <c r="J4907" s="4" t="s">
        <v>409</v>
      </c>
      <c r="K4907" s="13" t="n">
        <v>1200</v>
      </c>
      <c r="L4907" s="6" t="n">
        <f aca="false">H4907*K4907</f>
        <v>2400</v>
      </c>
      <c r="M4907" s="14" t="s">
        <v>410</v>
      </c>
    </row>
    <row r="4908" customFormat="false" ht="15" hidden="false" customHeight="false" outlineLevel="0" collapsed="false">
      <c r="A4908" s="4" t="s">
        <v>216</v>
      </c>
      <c r="B4908" s="5" t="s">
        <v>217</v>
      </c>
      <c r="C4908" s="5" t="s">
        <v>218</v>
      </c>
      <c r="D4908" s="4" t="s">
        <v>16</v>
      </c>
      <c r="E4908" s="4" t="s">
        <v>1616</v>
      </c>
      <c r="F4908" s="4" t="s">
        <v>470</v>
      </c>
      <c r="G4908" s="4" t="s">
        <v>1617</v>
      </c>
      <c r="H4908" s="12" t="n">
        <v>1</v>
      </c>
      <c r="I4908" s="4" t="s">
        <v>474</v>
      </c>
      <c r="J4908" s="4" t="s">
        <v>409</v>
      </c>
      <c r="K4908" s="13" t="n">
        <v>12000</v>
      </c>
      <c r="L4908" s="6" t="n">
        <f aca="false">H4908*K4908</f>
        <v>12000</v>
      </c>
      <c r="M4908" s="14" t="s">
        <v>410</v>
      </c>
    </row>
    <row r="4909" customFormat="false" ht="15" hidden="false" customHeight="false" outlineLevel="0" collapsed="false">
      <c r="A4909" s="4" t="s">
        <v>216</v>
      </c>
      <c r="B4909" s="5" t="s">
        <v>217</v>
      </c>
      <c r="C4909" s="5" t="s">
        <v>218</v>
      </c>
      <c r="D4909" s="4" t="s">
        <v>16</v>
      </c>
      <c r="E4909" s="4" t="s">
        <v>1253</v>
      </c>
      <c r="F4909" s="4" t="s">
        <v>470</v>
      </c>
      <c r="G4909" s="4" t="s">
        <v>1254</v>
      </c>
      <c r="H4909" s="12" t="n">
        <v>1</v>
      </c>
      <c r="I4909" s="4" t="s">
        <v>474</v>
      </c>
      <c r="J4909" s="4" t="s">
        <v>409</v>
      </c>
      <c r="K4909" s="13" t="n">
        <v>8500</v>
      </c>
      <c r="L4909" s="6" t="n">
        <f aca="false">H4909*K4909</f>
        <v>8500</v>
      </c>
      <c r="M4909" s="14" t="s">
        <v>410</v>
      </c>
    </row>
    <row r="4910" customFormat="false" ht="15" hidden="false" customHeight="false" outlineLevel="0" collapsed="false">
      <c r="A4910" s="4" t="s">
        <v>216</v>
      </c>
      <c r="B4910" s="5" t="s">
        <v>217</v>
      </c>
      <c r="C4910" s="5" t="s">
        <v>218</v>
      </c>
      <c r="D4910" s="4" t="s">
        <v>16</v>
      </c>
      <c r="E4910" s="4" t="s">
        <v>5606</v>
      </c>
      <c r="F4910" s="4" t="s">
        <v>470</v>
      </c>
      <c r="G4910" s="4" t="s">
        <v>5607</v>
      </c>
      <c r="H4910" s="12" t="n">
        <v>1</v>
      </c>
      <c r="I4910" s="4" t="s">
        <v>474</v>
      </c>
      <c r="J4910" s="4" t="s">
        <v>409</v>
      </c>
      <c r="K4910" s="13" t="n">
        <v>8500</v>
      </c>
      <c r="L4910" s="6" t="n">
        <f aca="false">H4910*K4910</f>
        <v>8500</v>
      </c>
      <c r="M4910" s="4" t="s">
        <v>371</v>
      </c>
    </row>
    <row r="4911" customFormat="false" ht="15" hidden="false" customHeight="false" outlineLevel="0" collapsed="false">
      <c r="A4911" s="4" t="s">
        <v>216</v>
      </c>
      <c r="B4911" s="5" t="s">
        <v>217</v>
      </c>
      <c r="C4911" s="5" t="s">
        <v>218</v>
      </c>
      <c r="D4911" s="4" t="s">
        <v>16</v>
      </c>
      <c r="E4911" s="4" t="s">
        <v>5608</v>
      </c>
      <c r="F4911" s="4" t="s">
        <v>470</v>
      </c>
      <c r="G4911" s="4" t="s">
        <v>5609</v>
      </c>
      <c r="H4911" s="12" t="n">
        <v>1</v>
      </c>
      <c r="I4911" s="4" t="s">
        <v>474</v>
      </c>
      <c r="J4911" s="4" t="s">
        <v>409</v>
      </c>
      <c r="K4911" s="13" t="n">
        <v>8500</v>
      </c>
      <c r="L4911" s="6" t="n">
        <f aca="false">H4911*K4911</f>
        <v>8500</v>
      </c>
      <c r="M4911" s="4" t="s">
        <v>371</v>
      </c>
    </row>
    <row r="4912" customFormat="false" ht="15" hidden="false" customHeight="false" outlineLevel="0" collapsed="false">
      <c r="A4912" s="4" t="s">
        <v>216</v>
      </c>
      <c r="B4912" s="5" t="s">
        <v>217</v>
      </c>
      <c r="C4912" s="5" t="s">
        <v>218</v>
      </c>
      <c r="D4912" s="4" t="s">
        <v>16</v>
      </c>
      <c r="E4912" s="4" t="s">
        <v>5610</v>
      </c>
      <c r="F4912" s="4" t="s">
        <v>470</v>
      </c>
      <c r="G4912" s="4" t="s">
        <v>5611</v>
      </c>
      <c r="H4912" s="12" t="n">
        <v>1</v>
      </c>
      <c r="I4912" s="4" t="s">
        <v>474</v>
      </c>
      <c r="J4912" s="4" t="s">
        <v>409</v>
      </c>
      <c r="K4912" s="13" t="n">
        <v>8500</v>
      </c>
      <c r="L4912" s="6" t="n">
        <f aca="false">H4912*K4912</f>
        <v>8500</v>
      </c>
      <c r="M4912" s="4" t="s">
        <v>371</v>
      </c>
    </row>
    <row r="4913" customFormat="false" ht="15" hidden="false" customHeight="false" outlineLevel="0" collapsed="false">
      <c r="A4913" s="4" t="s">
        <v>216</v>
      </c>
      <c r="B4913" s="5" t="s">
        <v>217</v>
      </c>
      <c r="C4913" s="5" t="s">
        <v>218</v>
      </c>
      <c r="D4913" s="4" t="s">
        <v>16</v>
      </c>
      <c r="E4913" s="4" t="s">
        <v>5612</v>
      </c>
      <c r="F4913" s="4" t="s">
        <v>470</v>
      </c>
      <c r="G4913" s="4" t="s">
        <v>5613</v>
      </c>
      <c r="H4913" s="12" t="n">
        <v>1</v>
      </c>
      <c r="I4913" s="4" t="s">
        <v>474</v>
      </c>
      <c r="J4913" s="4" t="s">
        <v>409</v>
      </c>
      <c r="K4913" s="13" t="n">
        <v>1800</v>
      </c>
      <c r="L4913" s="6" t="n">
        <f aca="false">H4913*K4913</f>
        <v>1800</v>
      </c>
      <c r="M4913" s="4" t="s">
        <v>371</v>
      </c>
    </row>
    <row r="4914" customFormat="false" ht="15" hidden="false" customHeight="false" outlineLevel="0" collapsed="false">
      <c r="A4914" s="4" t="s">
        <v>216</v>
      </c>
      <c r="B4914" s="5" t="s">
        <v>217</v>
      </c>
      <c r="C4914" s="5" t="s">
        <v>218</v>
      </c>
      <c r="D4914" s="4" t="s">
        <v>16</v>
      </c>
      <c r="E4914" s="4" t="s">
        <v>5614</v>
      </c>
      <c r="F4914" s="4" t="s">
        <v>470</v>
      </c>
      <c r="G4914" s="4" t="s">
        <v>5615</v>
      </c>
      <c r="H4914" s="12" t="n">
        <v>1</v>
      </c>
      <c r="I4914" s="4" t="s">
        <v>474</v>
      </c>
      <c r="J4914" s="4" t="s">
        <v>409</v>
      </c>
      <c r="K4914" s="13" t="n">
        <v>8500</v>
      </c>
      <c r="L4914" s="6" t="n">
        <f aca="false">H4914*K4914</f>
        <v>8500</v>
      </c>
      <c r="M4914" s="4" t="s">
        <v>371</v>
      </c>
    </row>
    <row r="4915" customFormat="false" ht="15" hidden="false" customHeight="false" outlineLevel="0" collapsed="false">
      <c r="A4915" s="4" t="s">
        <v>216</v>
      </c>
      <c r="B4915" s="5" t="s">
        <v>217</v>
      </c>
      <c r="C4915" s="5" t="s">
        <v>218</v>
      </c>
      <c r="D4915" s="4" t="s">
        <v>16</v>
      </c>
      <c r="E4915" s="4" t="s">
        <v>5616</v>
      </c>
      <c r="F4915" s="4" t="s">
        <v>470</v>
      </c>
      <c r="G4915" s="4" t="s">
        <v>5617</v>
      </c>
      <c r="H4915" s="12" t="n">
        <v>1</v>
      </c>
      <c r="I4915" s="4" t="s">
        <v>474</v>
      </c>
      <c r="J4915" s="4" t="s">
        <v>409</v>
      </c>
      <c r="K4915" s="13" t="n">
        <v>4500</v>
      </c>
      <c r="L4915" s="6" t="n">
        <f aca="false">H4915*K4915</f>
        <v>4500</v>
      </c>
      <c r="M4915" s="4" t="s">
        <v>371</v>
      </c>
    </row>
    <row r="4916" customFormat="false" ht="15" hidden="false" customHeight="false" outlineLevel="0" collapsed="false">
      <c r="A4916" s="4" t="s">
        <v>216</v>
      </c>
      <c r="B4916" s="5" t="s">
        <v>217</v>
      </c>
      <c r="C4916" s="5" t="s">
        <v>218</v>
      </c>
      <c r="D4916" s="4" t="s">
        <v>16</v>
      </c>
      <c r="E4916" s="4" t="s">
        <v>5618</v>
      </c>
      <c r="F4916" s="4" t="s">
        <v>470</v>
      </c>
      <c r="G4916" s="4" t="s">
        <v>5619</v>
      </c>
      <c r="H4916" s="12" t="n">
        <v>1</v>
      </c>
      <c r="I4916" s="4" t="s">
        <v>474</v>
      </c>
      <c r="J4916" s="4" t="s">
        <v>409</v>
      </c>
      <c r="K4916" s="13" t="n">
        <v>850</v>
      </c>
      <c r="L4916" s="6" t="n">
        <f aca="false">H4916*K4916</f>
        <v>850</v>
      </c>
      <c r="M4916" s="4" t="s">
        <v>371</v>
      </c>
    </row>
    <row r="4917" customFormat="false" ht="15" hidden="false" customHeight="false" outlineLevel="0" collapsed="false">
      <c r="A4917" s="4" t="s">
        <v>216</v>
      </c>
      <c r="B4917" s="5" t="s">
        <v>217</v>
      </c>
      <c r="C4917" s="5" t="s">
        <v>218</v>
      </c>
      <c r="D4917" s="4" t="s">
        <v>16</v>
      </c>
      <c r="E4917" s="4" t="s">
        <v>5620</v>
      </c>
      <c r="F4917" s="4" t="s">
        <v>470</v>
      </c>
      <c r="G4917" s="4" t="s">
        <v>5621</v>
      </c>
      <c r="H4917" s="12" t="n">
        <v>1</v>
      </c>
      <c r="I4917" s="4" t="s">
        <v>474</v>
      </c>
      <c r="J4917" s="4" t="s">
        <v>416</v>
      </c>
      <c r="K4917" s="13" t="n">
        <v>25000</v>
      </c>
      <c r="L4917" s="6" t="n">
        <f aca="false">H4917*K4917</f>
        <v>25000</v>
      </c>
      <c r="M4917" s="4" t="s">
        <v>371</v>
      </c>
    </row>
    <row r="4918" customFormat="false" ht="15" hidden="false" customHeight="false" outlineLevel="0" collapsed="false">
      <c r="A4918" s="4" t="s">
        <v>216</v>
      </c>
      <c r="B4918" s="5" t="s">
        <v>217</v>
      </c>
      <c r="C4918" s="5" t="s">
        <v>218</v>
      </c>
      <c r="D4918" s="4" t="s">
        <v>16</v>
      </c>
      <c r="E4918" s="4" t="s">
        <v>5622</v>
      </c>
      <c r="F4918" s="4" t="s">
        <v>470</v>
      </c>
      <c r="G4918" s="4" t="s">
        <v>5623</v>
      </c>
      <c r="H4918" s="12" t="n">
        <v>1</v>
      </c>
      <c r="I4918" s="4" t="s">
        <v>474</v>
      </c>
      <c r="J4918" s="4" t="s">
        <v>409</v>
      </c>
      <c r="K4918" s="13" t="n">
        <v>35000</v>
      </c>
      <c r="L4918" s="6" t="n">
        <f aca="false">H4918*K4918</f>
        <v>35000</v>
      </c>
      <c r="M4918" s="4" t="s">
        <v>371</v>
      </c>
    </row>
    <row r="4919" customFormat="false" ht="15" hidden="false" customHeight="false" outlineLevel="0" collapsed="false">
      <c r="A4919" s="4" t="s">
        <v>216</v>
      </c>
      <c r="B4919" s="5" t="s">
        <v>217</v>
      </c>
      <c r="C4919" s="5" t="s">
        <v>218</v>
      </c>
      <c r="D4919" s="4" t="s">
        <v>16</v>
      </c>
      <c r="E4919" s="4" t="s">
        <v>5624</v>
      </c>
      <c r="F4919" s="4" t="s">
        <v>470</v>
      </c>
      <c r="G4919" s="4" t="s">
        <v>5625</v>
      </c>
      <c r="H4919" s="12" t="n">
        <v>30</v>
      </c>
      <c r="I4919" s="4" t="s">
        <v>474</v>
      </c>
      <c r="J4919" s="4" t="s">
        <v>413</v>
      </c>
      <c r="K4919" s="13" t="n">
        <v>1800</v>
      </c>
      <c r="L4919" s="6" t="n">
        <f aca="false">H4919*K4919</f>
        <v>54000</v>
      </c>
      <c r="M4919" s="4" t="s">
        <v>371</v>
      </c>
    </row>
    <row r="4920" customFormat="false" ht="15" hidden="false" customHeight="false" outlineLevel="0" collapsed="false">
      <c r="A4920" s="4" t="s">
        <v>216</v>
      </c>
      <c r="B4920" s="5" t="s">
        <v>217</v>
      </c>
      <c r="C4920" s="5" t="s">
        <v>218</v>
      </c>
      <c r="D4920" s="4" t="s">
        <v>16</v>
      </c>
      <c r="E4920" s="4" t="s">
        <v>5626</v>
      </c>
      <c r="F4920" s="4" t="s">
        <v>470</v>
      </c>
      <c r="G4920" s="4" t="s">
        <v>5627</v>
      </c>
      <c r="H4920" s="12" t="n">
        <v>1</v>
      </c>
      <c r="I4920" s="4" t="s">
        <v>474</v>
      </c>
      <c r="J4920" s="4" t="s">
        <v>413</v>
      </c>
      <c r="K4920" s="13" t="n">
        <v>650</v>
      </c>
      <c r="L4920" s="6" t="n">
        <f aca="false">H4920*K4920</f>
        <v>650</v>
      </c>
      <c r="M4920" s="4" t="s">
        <v>371</v>
      </c>
    </row>
    <row r="4921" customFormat="false" ht="15" hidden="false" customHeight="false" outlineLevel="0" collapsed="false">
      <c r="A4921" s="4" t="s">
        <v>216</v>
      </c>
      <c r="B4921" s="5" t="s">
        <v>217</v>
      </c>
      <c r="C4921" s="5" t="s">
        <v>218</v>
      </c>
      <c r="D4921" s="4" t="s">
        <v>16</v>
      </c>
      <c r="E4921" s="4" t="s">
        <v>1453</v>
      </c>
      <c r="F4921" s="4" t="s">
        <v>470</v>
      </c>
      <c r="G4921" s="4" t="s">
        <v>1090</v>
      </c>
      <c r="H4921" s="12" t="n">
        <v>1</v>
      </c>
      <c r="I4921" s="4" t="s">
        <v>474</v>
      </c>
      <c r="J4921" s="4" t="s">
        <v>409</v>
      </c>
      <c r="K4921" s="13" t="n">
        <v>3500</v>
      </c>
      <c r="L4921" s="6" t="n">
        <f aca="false">H4921*K4921</f>
        <v>3500</v>
      </c>
      <c r="M4921" s="4" t="s">
        <v>371</v>
      </c>
    </row>
    <row r="4922" customFormat="false" ht="15" hidden="false" customHeight="false" outlineLevel="0" collapsed="false">
      <c r="A4922" s="4" t="s">
        <v>216</v>
      </c>
      <c r="B4922" s="5" t="s">
        <v>217</v>
      </c>
      <c r="C4922" s="5" t="s">
        <v>218</v>
      </c>
      <c r="D4922" s="4" t="s">
        <v>16</v>
      </c>
      <c r="E4922" s="4" t="s">
        <v>5628</v>
      </c>
      <c r="F4922" s="4" t="s">
        <v>470</v>
      </c>
      <c r="G4922" s="4" t="s">
        <v>5629</v>
      </c>
      <c r="H4922" s="12" t="n">
        <v>4</v>
      </c>
      <c r="I4922" s="4" t="s">
        <v>474</v>
      </c>
      <c r="J4922" s="4" t="s">
        <v>475</v>
      </c>
      <c r="K4922" s="13" t="n">
        <v>180</v>
      </c>
      <c r="L4922" s="6" t="n">
        <f aca="false">H4922*K4922</f>
        <v>720</v>
      </c>
      <c r="M4922" s="4" t="s">
        <v>371</v>
      </c>
    </row>
    <row r="4923" customFormat="false" ht="15" hidden="false" customHeight="false" outlineLevel="0" collapsed="false">
      <c r="A4923" s="4" t="s">
        <v>216</v>
      </c>
      <c r="B4923" s="5" t="s">
        <v>217</v>
      </c>
      <c r="C4923" s="5" t="s">
        <v>218</v>
      </c>
      <c r="D4923" s="4" t="s">
        <v>16</v>
      </c>
      <c r="E4923" s="4" t="s">
        <v>5630</v>
      </c>
      <c r="F4923" s="4" t="s">
        <v>470</v>
      </c>
      <c r="G4923" s="4" t="s">
        <v>5631</v>
      </c>
      <c r="H4923" s="12" t="n">
        <v>1</v>
      </c>
      <c r="I4923" s="4" t="s">
        <v>474</v>
      </c>
      <c r="J4923" s="4" t="s">
        <v>409</v>
      </c>
      <c r="K4923" s="13" t="n">
        <v>8500</v>
      </c>
      <c r="L4923" s="6" t="n">
        <f aca="false">H4923*K4923</f>
        <v>8500</v>
      </c>
      <c r="M4923" s="4" t="s">
        <v>371</v>
      </c>
    </row>
    <row r="4924" customFormat="false" ht="15" hidden="false" customHeight="false" outlineLevel="0" collapsed="false">
      <c r="A4924" s="4" t="s">
        <v>216</v>
      </c>
      <c r="B4924" s="5" t="s">
        <v>217</v>
      </c>
      <c r="C4924" s="5" t="s">
        <v>218</v>
      </c>
      <c r="D4924" s="4" t="s">
        <v>16</v>
      </c>
      <c r="E4924" s="4" t="s">
        <v>5632</v>
      </c>
      <c r="F4924" s="4" t="s">
        <v>470</v>
      </c>
      <c r="G4924" s="4" t="s">
        <v>5633</v>
      </c>
      <c r="H4924" s="12" t="n">
        <v>5</v>
      </c>
      <c r="I4924" s="4" t="s">
        <v>474</v>
      </c>
      <c r="J4924" s="4" t="s">
        <v>416</v>
      </c>
      <c r="K4924" s="13" t="n">
        <v>850</v>
      </c>
      <c r="L4924" s="6" t="n">
        <f aca="false">H4924*K4924</f>
        <v>4250</v>
      </c>
      <c r="M4924" s="4" t="s">
        <v>371</v>
      </c>
    </row>
    <row r="4925" customFormat="false" ht="15" hidden="false" customHeight="false" outlineLevel="0" collapsed="false">
      <c r="A4925" s="4" t="s">
        <v>216</v>
      </c>
      <c r="B4925" s="5" t="s">
        <v>217</v>
      </c>
      <c r="C4925" s="5" t="s">
        <v>218</v>
      </c>
      <c r="D4925" s="4" t="s">
        <v>16</v>
      </c>
      <c r="E4925" s="4" t="s">
        <v>5634</v>
      </c>
      <c r="F4925" s="4" t="s">
        <v>470</v>
      </c>
      <c r="G4925" s="4" t="s">
        <v>5635</v>
      </c>
      <c r="H4925" s="12" t="n">
        <v>2</v>
      </c>
      <c r="I4925" s="4" t="s">
        <v>474</v>
      </c>
      <c r="J4925" s="4" t="s">
        <v>416</v>
      </c>
      <c r="K4925" s="13" t="n">
        <v>850</v>
      </c>
      <c r="L4925" s="6" t="n">
        <f aca="false">H4925*K4925</f>
        <v>1700</v>
      </c>
      <c r="M4925" s="4" t="s">
        <v>371</v>
      </c>
    </row>
    <row r="4926" customFormat="false" ht="15" hidden="false" customHeight="false" outlineLevel="0" collapsed="false">
      <c r="A4926" s="4" t="s">
        <v>216</v>
      </c>
      <c r="B4926" s="5" t="s">
        <v>217</v>
      </c>
      <c r="C4926" s="5" t="s">
        <v>218</v>
      </c>
      <c r="D4926" s="4" t="s">
        <v>16</v>
      </c>
      <c r="E4926" s="4" t="s">
        <v>5636</v>
      </c>
      <c r="F4926" s="4" t="s">
        <v>470</v>
      </c>
      <c r="G4926" s="4" t="s">
        <v>5637</v>
      </c>
      <c r="H4926" s="12" t="n">
        <v>2</v>
      </c>
      <c r="I4926" s="4" t="s">
        <v>474</v>
      </c>
      <c r="J4926" s="4" t="s">
        <v>416</v>
      </c>
      <c r="K4926" s="13" t="n">
        <v>8500</v>
      </c>
      <c r="L4926" s="6" t="n">
        <f aca="false">H4926*K4926</f>
        <v>17000</v>
      </c>
      <c r="M4926" s="4" t="s">
        <v>371</v>
      </c>
    </row>
    <row r="4927" customFormat="false" ht="15" hidden="false" customHeight="false" outlineLevel="0" collapsed="false">
      <c r="A4927" s="4" t="s">
        <v>216</v>
      </c>
      <c r="B4927" s="5" t="s">
        <v>217</v>
      </c>
      <c r="C4927" s="5" t="s">
        <v>218</v>
      </c>
      <c r="D4927" s="4" t="s">
        <v>16</v>
      </c>
      <c r="E4927" s="4" t="s">
        <v>5638</v>
      </c>
      <c r="F4927" s="4" t="s">
        <v>488</v>
      </c>
      <c r="G4927" s="4" t="s">
        <v>5639</v>
      </c>
      <c r="H4927" s="12" t="n">
        <v>2</v>
      </c>
      <c r="I4927" s="4" t="s">
        <v>474</v>
      </c>
      <c r="J4927" s="4" t="s">
        <v>503</v>
      </c>
      <c r="K4927" s="13" t="n">
        <v>120</v>
      </c>
      <c r="L4927" s="6" t="n">
        <f aca="false">H4927*K4927</f>
        <v>240</v>
      </c>
      <c r="M4927" s="4" t="s">
        <v>371</v>
      </c>
    </row>
    <row r="4928" customFormat="false" ht="15" hidden="false" customHeight="false" outlineLevel="0" collapsed="false">
      <c r="A4928" s="4" t="s">
        <v>216</v>
      </c>
      <c r="B4928" s="5" t="s">
        <v>217</v>
      </c>
      <c r="C4928" s="5" t="s">
        <v>218</v>
      </c>
      <c r="D4928" s="4" t="s">
        <v>16</v>
      </c>
      <c r="E4928" s="4" t="s">
        <v>5640</v>
      </c>
      <c r="F4928" s="4" t="s">
        <v>488</v>
      </c>
      <c r="G4928" s="4" t="s">
        <v>5641</v>
      </c>
      <c r="H4928" s="12" t="n">
        <v>30</v>
      </c>
      <c r="I4928" s="4" t="s">
        <v>474</v>
      </c>
      <c r="J4928" s="4" t="s">
        <v>409</v>
      </c>
      <c r="K4928" s="13" t="n">
        <v>30</v>
      </c>
      <c r="L4928" s="6" t="n">
        <f aca="false">H4928*K4928</f>
        <v>900</v>
      </c>
      <c r="M4928" s="4" t="s">
        <v>371</v>
      </c>
    </row>
    <row r="4929" customFormat="false" ht="15" hidden="false" customHeight="false" outlineLevel="0" collapsed="false">
      <c r="A4929" s="4" t="s">
        <v>216</v>
      </c>
      <c r="B4929" s="5" t="s">
        <v>217</v>
      </c>
      <c r="C4929" s="5" t="s">
        <v>218</v>
      </c>
      <c r="D4929" s="4" t="s">
        <v>16</v>
      </c>
      <c r="E4929" s="4" t="s">
        <v>2674</v>
      </c>
      <c r="F4929" s="4" t="s">
        <v>488</v>
      </c>
      <c r="G4929" s="4" t="s">
        <v>2675</v>
      </c>
      <c r="H4929" s="12" t="n">
        <v>30</v>
      </c>
      <c r="I4929" s="4" t="s">
        <v>474</v>
      </c>
      <c r="J4929" s="4" t="s">
        <v>409</v>
      </c>
      <c r="K4929" s="13" t="n">
        <v>10</v>
      </c>
      <c r="L4929" s="6" t="n">
        <f aca="false">H4929*K4929</f>
        <v>300</v>
      </c>
      <c r="M4929" s="4" t="s">
        <v>371</v>
      </c>
    </row>
    <row r="4930" customFormat="false" ht="15" hidden="false" customHeight="false" outlineLevel="0" collapsed="false">
      <c r="A4930" s="4" t="s">
        <v>216</v>
      </c>
      <c r="B4930" s="5" t="s">
        <v>217</v>
      </c>
      <c r="C4930" s="5" t="s">
        <v>218</v>
      </c>
      <c r="D4930" s="4" t="s">
        <v>16</v>
      </c>
      <c r="E4930" s="4" t="s">
        <v>5642</v>
      </c>
      <c r="F4930" s="4" t="s">
        <v>488</v>
      </c>
      <c r="G4930" s="4" t="s">
        <v>5643</v>
      </c>
      <c r="H4930" s="12" t="n">
        <v>1</v>
      </c>
      <c r="I4930" s="4" t="s">
        <v>474</v>
      </c>
      <c r="J4930" s="4" t="s">
        <v>506</v>
      </c>
      <c r="K4930" s="13" t="n">
        <v>80</v>
      </c>
      <c r="L4930" s="6" t="n">
        <f aca="false">H4930*K4930</f>
        <v>80</v>
      </c>
      <c r="M4930" s="4" t="s">
        <v>371</v>
      </c>
    </row>
    <row r="4931" customFormat="false" ht="15" hidden="false" customHeight="false" outlineLevel="0" collapsed="false">
      <c r="A4931" s="4" t="s">
        <v>216</v>
      </c>
      <c r="B4931" s="5" t="s">
        <v>217</v>
      </c>
      <c r="C4931" s="5" t="s">
        <v>218</v>
      </c>
      <c r="D4931" s="4" t="s">
        <v>16</v>
      </c>
      <c r="E4931" s="4" t="s">
        <v>5644</v>
      </c>
      <c r="F4931" s="4" t="s">
        <v>488</v>
      </c>
      <c r="G4931" s="4" t="s">
        <v>5645</v>
      </c>
      <c r="H4931" s="12" t="n">
        <v>6</v>
      </c>
      <c r="I4931" s="4" t="s">
        <v>474</v>
      </c>
      <c r="J4931" s="4" t="s">
        <v>506</v>
      </c>
      <c r="K4931" s="13" t="n">
        <v>120</v>
      </c>
      <c r="L4931" s="6" t="n">
        <f aca="false">H4931*K4931</f>
        <v>720</v>
      </c>
      <c r="M4931" s="4" t="s">
        <v>371</v>
      </c>
    </row>
    <row r="4932" customFormat="false" ht="15" hidden="false" customHeight="false" outlineLevel="0" collapsed="false">
      <c r="A4932" s="4" t="s">
        <v>216</v>
      </c>
      <c r="B4932" s="5" t="s">
        <v>217</v>
      </c>
      <c r="C4932" s="5" t="s">
        <v>218</v>
      </c>
      <c r="D4932" s="4" t="s">
        <v>16</v>
      </c>
      <c r="E4932" s="4" t="s">
        <v>4173</v>
      </c>
      <c r="F4932" s="4" t="s">
        <v>488</v>
      </c>
      <c r="G4932" s="4" t="s">
        <v>4174</v>
      </c>
      <c r="H4932" s="12" t="n">
        <v>2</v>
      </c>
      <c r="I4932" s="4" t="s">
        <v>474</v>
      </c>
      <c r="J4932" s="4" t="s">
        <v>503</v>
      </c>
      <c r="K4932" s="13" t="n">
        <v>120</v>
      </c>
      <c r="L4932" s="6" t="n">
        <f aca="false">H4932*K4932</f>
        <v>240</v>
      </c>
      <c r="M4932" s="4" t="s">
        <v>371</v>
      </c>
    </row>
    <row r="4933" customFormat="false" ht="15" hidden="false" customHeight="false" outlineLevel="0" collapsed="false">
      <c r="A4933" s="4" t="s">
        <v>216</v>
      </c>
      <c r="B4933" s="5" t="s">
        <v>217</v>
      </c>
      <c r="C4933" s="5" t="s">
        <v>218</v>
      </c>
      <c r="D4933" s="4" t="s">
        <v>16</v>
      </c>
      <c r="E4933" s="4" t="s">
        <v>5646</v>
      </c>
      <c r="F4933" s="4" t="s">
        <v>488</v>
      </c>
      <c r="G4933" s="4" t="s">
        <v>5647</v>
      </c>
      <c r="H4933" s="12" t="n">
        <v>2</v>
      </c>
      <c r="I4933" s="4" t="s">
        <v>474</v>
      </c>
      <c r="J4933" s="4" t="s">
        <v>503</v>
      </c>
      <c r="K4933" s="13" t="n">
        <v>120</v>
      </c>
      <c r="L4933" s="6" t="n">
        <f aca="false">H4933*K4933</f>
        <v>240</v>
      </c>
      <c r="M4933" s="4" t="s">
        <v>371</v>
      </c>
    </row>
    <row r="4934" customFormat="false" ht="15" hidden="false" customHeight="false" outlineLevel="0" collapsed="false">
      <c r="A4934" s="4" t="s">
        <v>216</v>
      </c>
      <c r="B4934" s="5" t="s">
        <v>217</v>
      </c>
      <c r="C4934" s="5" t="s">
        <v>218</v>
      </c>
      <c r="D4934" s="4" t="s">
        <v>16</v>
      </c>
      <c r="E4934" s="4" t="s">
        <v>5648</v>
      </c>
      <c r="F4934" s="4" t="s">
        <v>488</v>
      </c>
      <c r="G4934" s="4" t="s">
        <v>5649</v>
      </c>
      <c r="H4934" s="12" t="n">
        <v>1</v>
      </c>
      <c r="I4934" s="4" t="s">
        <v>474</v>
      </c>
      <c r="J4934" s="4" t="s">
        <v>503</v>
      </c>
      <c r="K4934" s="13" t="n">
        <v>180</v>
      </c>
      <c r="L4934" s="6" t="n">
        <f aca="false">H4934*K4934</f>
        <v>180</v>
      </c>
      <c r="M4934" s="4" t="s">
        <v>371</v>
      </c>
    </row>
    <row r="4935" customFormat="false" ht="15" hidden="false" customHeight="false" outlineLevel="0" collapsed="false">
      <c r="A4935" s="4" t="s">
        <v>216</v>
      </c>
      <c r="B4935" s="5" t="s">
        <v>217</v>
      </c>
      <c r="C4935" s="5" t="s">
        <v>218</v>
      </c>
      <c r="D4935" s="4" t="s">
        <v>16</v>
      </c>
      <c r="E4935" s="4" t="s">
        <v>5650</v>
      </c>
      <c r="F4935" s="4" t="s">
        <v>488</v>
      </c>
      <c r="G4935" s="4" t="s">
        <v>5651</v>
      </c>
      <c r="H4935" s="12" t="n">
        <v>1</v>
      </c>
      <c r="I4935" s="4" t="s">
        <v>474</v>
      </c>
      <c r="J4935" s="4" t="s">
        <v>503</v>
      </c>
      <c r="K4935" s="13" t="n">
        <v>120</v>
      </c>
      <c r="L4935" s="6" t="n">
        <f aca="false">H4935*K4935</f>
        <v>120</v>
      </c>
      <c r="M4935" s="4" t="s">
        <v>371</v>
      </c>
    </row>
    <row r="4936" customFormat="false" ht="15" hidden="false" customHeight="false" outlineLevel="0" collapsed="false">
      <c r="A4936" s="4" t="s">
        <v>216</v>
      </c>
      <c r="B4936" s="5" t="s">
        <v>217</v>
      </c>
      <c r="C4936" s="5" t="s">
        <v>218</v>
      </c>
      <c r="D4936" s="4" t="s">
        <v>16</v>
      </c>
      <c r="E4936" s="4" t="s">
        <v>5652</v>
      </c>
      <c r="F4936" s="4" t="s">
        <v>488</v>
      </c>
      <c r="G4936" s="4" t="s">
        <v>5653</v>
      </c>
      <c r="H4936" s="12" t="n">
        <v>1</v>
      </c>
      <c r="I4936" s="4" t="s">
        <v>474</v>
      </c>
      <c r="J4936" s="4" t="s">
        <v>762</v>
      </c>
      <c r="K4936" s="13" t="n">
        <v>60</v>
      </c>
      <c r="L4936" s="6" t="n">
        <f aca="false">H4936*K4936</f>
        <v>60</v>
      </c>
      <c r="M4936" s="4" t="s">
        <v>371</v>
      </c>
    </row>
    <row r="4937" customFormat="false" ht="15" hidden="false" customHeight="false" outlineLevel="0" collapsed="false">
      <c r="A4937" s="4" t="s">
        <v>216</v>
      </c>
      <c r="B4937" s="5" t="s">
        <v>217</v>
      </c>
      <c r="C4937" s="5" t="s">
        <v>218</v>
      </c>
      <c r="D4937" s="4" t="s">
        <v>16</v>
      </c>
      <c r="E4937" s="4" t="s">
        <v>5654</v>
      </c>
      <c r="F4937" s="4" t="s">
        <v>488</v>
      </c>
      <c r="G4937" s="4" t="s">
        <v>5655</v>
      </c>
      <c r="H4937" s="12" t="n">
        <v>1</v>
      </c>
      <c r="I4937" s="4" t="s">
        <v>474</v>
      </c>
      <c r="J4937" s="4" t="s">
        <v>416</v>
      </c>
      <c r="K4937" s="13" t="n">
        <v>80</v>
      </c>
      <c r="L4937" s="6" t="n">
        <f aca="false">H4937*K4937</f>
        <v>80</v>
      </c>
      <c r="M4937" s="4" t="s">
        <v>371</v>
      </c>
    </row>
    <row r="4938" customFormat="false" ht="15" hidden="false" customHeight="false" outlineLevel="0" collapsed="false">
      <c r="A4938" s="4" t="s">
        <v>216</v>
      </c>
      <c r="B4938" s="5" t="s">
        <v>217</v>
      </c>
      <c r="C4938" s="5" t="s">
        <v>218</v>
      </c>
      <c r="D4938" s="4" t="s">
        <v>16</v>
      </c>
      <c r="E4938" s="4" t="s">
        <v>5656</v>
      </c>
      <c r="F4938" s="4" t="s">
        <v>488</v>
      </c>
      <c r="G4938" s="4" t="s">
        <v>5657</v>
      </c>
      <c r="H4938" s="12" t="n">
        <v>2</v>
      </c>
      <c r="I4938" s="4" t="s">
        <v>474</v>
      </c>
      <c r="J4938" s="4" t="s">
        <v>506</v>
      </c>
      <c r="K4938" s="13" t="n">
        <v>60</v>
      </c>
      <c r="L4938" s="6" t="n">
        <f aca="false">H4938*K4938</f>
        <v>120</v>
      </c>
      <c r="M4938" s="4" t="s">
        <v>371</v>
      </c>
    </row>
    <row r="4939" customFormat="false" ht="15" hidden="false" customHeight="false" outlineLevel="0" collapsed="false">
      <c r="A4939" s="4" t="s">
        <v>216</v>
      </c>
      <c r="B4939" s="5" t="s">
        <v>217</v>
      </c>
      <c r="C4939" s="5" t="s">
        <v>218</v>
      </c>
      <c r="D4939" s="4" t="s">
        <v>16</v>
      </c>
      <c r="E4939" s="4" t="s">
        <v>5658</v>
      </c>
      <c r="F4939" s="4" t="s">
        <v>488</v>
      </c>
      <c r="G4939" s="4" t="s">
        <v>5659</v>
      </c>
      <c r="H4939" s="12" t="n">
        <v>4</v>
      </c>
      <c r="I4939" s="4" t="s">
        <v>474</v>
      </c>
      <c r="J4939" s="4" t="s">
        <v>503</v>
      </c>
      <c r="K4939" s="13" t="n">
        <v>120</v>
      </c>
      <c r="L4939" s="6" t="n">
        <f aca="false">H4939*K4939</f>
        <v>480</v>
      </c>
      <c r="M4939" s="4" t="s">
        <v>371</v>
      </c>
    </row>
    <row r="4940" customFormat="false" ht="15" hidden="false" customHeight="false" outlineLevel="0" collapsed="false">
      <c r="A4940" s="4" t="s">
        <v>216</v>
      </c>
      <c r="B4940" s="5" t="s">
        <v>217</v>
      </c>
      <c r="C4940" s="5" t="s">
        <v>218</v>
      </c>
      <c r="D4940" s="4" t="s">
        <v>16</v>
      </c>
      <c r="E4940" s="4" t="s">
        <v>5660</v>
      </c>
      <c r="F4940" s="4" t="s">
        <v>488</v>
      </c>
      <c r="G4940" s="4" t="s">
        <v>5661</v>
      </c>
      <c r="H4940" s="12" t="n">
        <v>2</v>
      </c>
      <c r="I4940" s="4" t="s">
        <v>474</v>
      </c>
      <c r="J4940" s="4" t="s">
        <v>409</v>
      </c>
      <c r="K4940" s="13" t="n">
        <v>35</v>
      </c>
      <c r="L4940" s="6" t="n">
        <f aca="false">H4940*K4940</f>
        <v>70</v>
      </c>
      <c r="M4940" s="4" t="s">
        <v>371</v>
      </c>
    </row>
    <row r="4941" customFormat="false" ht="15" hidden="false" customHeight="false" outlineLevel="0" collapsed="false">
      <c r="A4941" s="4" t="s">
        <v>216</v>
      </c>
      <c r="B4941" s="5" t="s">
        <v>217</v>
      </c>
      <c r="C4941" s="5" t="s">
        <v>218</v>
      </c>
      <c r="D4941" s="4" t="s">
        <v>16</v>
      </c>
      <c r="E4941" s="4" t="s">
        <v>5662</v>
      </c>
      <c r="F4941" s="4" t="s">
        <v>488</v>
      </c>
      <c r="G4941" s="4" t="s">
        <v>5663</v>
      </c>
      <c r="H4941" s="12" t="n">
        <v>2</v>
      </c>
      <c r="I4941" s="4" t="s">
        <v>474</v>
      </c>
      <c r="J4941" s="4" t="s">
        <v>807</v>
      </c>
      <c r="K4941" s="13" t="n">
        <v>60</v>
      </c>
      <c r="L4941" s="6" t="n">
        <f aca="false">H4941*K4941</f>
        <v>120</v>
      </c>
      <c r="M4941" s="4" t="s">
        <v>371</v>
      </c>
    </row>
    <row r="4942" customFormat="false" ht="15" hidden="false" customHeight="false" outlineLevel="0" collapsed="false">
      <c r="A4942" s="4" t="s">
        <v>216</v>
      </c>
      <c r="B4942" s="5" t="s">
        <v>217</v>
      </c>
      <c r="C4942" s="5" t="s">
        <v>218</v>
      </c>
      <c r="D4942" s="4" t="s">
        <v>16</v>
      </c>
      <c r="E4942" s="4" t="s">
        <v>5664</v>
      </c>
      <c r="F4942" s="4" t="s">
        <v>488</v>
      </c>
      <c r="G4942" s="4" t="s">
        <v>5665</v>
      </c>
      <c r="H4942" s="12" t="n">
        <v>1</v>
      </c>
      <c r="I4942" s="4" t="s">
        <v>474</v>
      </c>
      <c r="J4942" s="4" t="s">
        <v>409</v>
      </c>
      <c r="K4942" s="13" t="n">
        <v>35</v>
      </c>
      <c r="L4942" s="6" t="n">
        <f aca="false">H4942*K4942</f>
        <v>35</v>
      </c>
      <c r="M4942" s="4" t="s">
        <v>371</v>
      </c>
    </row>
    <row r="4943" customFormat="false" ht="15" hidden="false" customHeight="false" outlineLevel="0" collapsed="false">
      <c r="A4943" s="4" t="s">
        <v>216</v>
      </c>
      <c r="B4943" s="5" t="s">
        <v>217</v>
      </c>
      <c r="C4943" s="5" t="s">
        <v>218</v>
      </c>
      <c r="D4943" s="4" t="s">
        <v>16</v>
      </c>
      <c r="E4943" s="4" t="s">
        <v>5666</v>
      </c>
      <c r="F4943" s="4" t="s">
        <v>488</v>
      </c>
      <c r="G4943" s="4" t="s">
        <v>5667</v>
      </c>
      <c r="H4943" s="12" t="n">
        <v>6</v>
      </c>
      <c r="I4943" s="4" t="s">
        <v>474</v>
      </c>
      <c r="J4943" s="4" t="s">
        <v>409</v>
      </c>
      <c r="K4943" s="13" t="n">
        <v>10</v>
      </c>
      <c r="L4943" s="6" t="n">
        <f aca="false">H4943*K4943</f>
        <v>60</v>
      </c>
      <c r="M4943" s="4" t="s">
        <v>371</v>
      </c>
    </row>
    <row r="4944" customFormat="false" ht="15" hidden="false" customHeight="false" outlineLevel="0" collapsed="false">
      <c r="A4944" s="4" t="s">
        <v>216</v>
      </c>
      <c r="B4944" s="5" t="s">
        <v>217</v>
      </c>
      <c r="C4944" s="5" t="s">
        <v>218</v>
      </c>
      <c r="D4944" s="4" t="s">
        <v>16</v>
      </c>
      <c r="E4944" s="4" t="s">
        <v>5668</v>
      </c>
      <c r="F4944" s="4" t="s">
        <v>488</v>
      </c>
      <c r="G4944" s="4" t="s">
        <v>5669</v>
      </c>
      <c r="H4944" s="12" t="n">
        <v>6</v>
      </c>
      <c r="I4944" s="4" t="s">
        <v>474</v>
      </c>
      <c r="J4944" s="4" t="s">
        <v>506</v>
      </c>
      <c r="K4944" s="13" t="n">
        <v>80</v>
      </c>
      <c r="L4944" s="6" t="n">
        <f aca="false">H4944*K4944</f>
        <v>480</v>
      </c>
      <c r="M4944" s="4" t="s">
        <v>371</v>
      </c>
    </row>
    <row r="4945" customFormat="false" ht="15" hidden="false" customHeight="false" outlineLevel="0" collapsed="false">
      <c r="A4945" s="4" t="s">
        <v>216</v>
      </c>
      <c r="B4945" s="5" t="s">
        <v>217</v>
      </c>
      <c r="C4945" s="5" t="s">
        <v>218</v>
      </c>
      <c r="D4945" s="4" t="s">
        <v>16</v>
      </c>
      <c r="E4945" s="4" t="s">
        <v>5670</v>
      </c>
      <c r="F4945" s="4" t="s">
        <v>488</v>
      </c>
      <c r="G4945" s="4" t="s">
        <v>5671</v>
      </c>
      <c r="H4945" s="12" t="n">
        <v>1</v>
      </c>
      <c r="I4945" s="4" t="s">
        <v>474</v>
      </c>
      <c r="J4945" s="4" t="s">
        <v>409</v>
      </c>
      <c r="K4945" s="13" t="n">
        <v>90</v>
      </c>
      <c r="L4945" s="6" t="n">
        <f aca="false">H4945*K4945</f>
        <v>90</v>
      </c>
      <c r="M4945" s="4" t="s">
        <v>371</v>
      </c>
    </row>
    <row r="4946" customFormat="false" ht="15" hidden="false" customHeight="false" outlineLevel="0" collapsed="false">
      <c r="A4946" s="4" t="s">
        <v>216</v>
      </c>
      <c r="B4946" s="5" t="s">
        <v>217</v>
      </c>
      <c r="C4946" s="5" t="s">
        <v>218</v>
      </c>
      <c r="D4946" s="4" t="s">
        <v>16</v>
      </c>
      <c r="E4946" s="4" t="s">
        <v>5672</v>
      </c>
      <c r="F4946" s="4" t="s">
        <v>470</v>
      </c>
      <c r="G4946" s="4" t="s">
        <v>5673</v>
      </c>
      <c r="H4946" s="12" t="n">
        <v>6</v>
      </c>
      <c r="I4946" s="4" t="s">
        <v>474</v>
      </c>
      <c r="J4946" s="4" t="s">
        <v>409</v>
      </c>
      <c r="K4946" s="13" t="n">
        <v>450</v>
      </c>
      <c r="L4946" s="6" t="n">
        <f aca="false">H4946*K4946</f>
        <v>2700</v>
      </c>
      <c r="M4946" s="4" t="s">
        <v>371</v>
      </c>
    </row>
    <row r="4947" customFormat="false" ht="15" hidden="false" customHeight="false" outlineLevel="0" collapsed="false">
      <c r="A4947" s="4" t="s">
        <v>216</v>
      </c>
      <c r="B4947" s="5" t="s">
        <v>217</v>
      </c>
      <c r="C4947" s="5" t="s">
        <v>218</v>
      </c>
      <c r="D4947" s="4" t="s">
        <v>16</v>
      </c>
      <c r="E4947" s="4" t="s">
        <v>5674</v>
      </c>
      <c r="F4947" s="4" t="s">
        <v>470</v>
      </c>
      <c r="G4947" s="4" t="s">
        <v>5675</v>
      </c>
      <c r="H4947" s="12" t="n">
        <v>6</v>
      </c>
      <c r="I4947" s="4" t="s">
        <v>474</v>
      </c>
      <c r="J4947" s="4" t="s">
        <v>2815</v>
      </c>
      <c r="K4947" s="13" t="n">
        <v>600</v>
      </c>
      <c r="L4947" s="6" t="n">
        <f aca="false">H4947*K4947</f>
        <v>3600</v>
      </c>
      <c r="M4947" s="4" t="s">
        <v>371</v>
      </c>
    </row>
    <row r="4948" customFormat="false" ht="15" hidden="false" customHeight="false" outlineLevel="0" collapsed="false">
      <c r="A4948" s="4" t="s">
        <v>216</v>
      </c>
      <c r="B4948" s="5" t="s">
        <v>217</v>
      </c>
      <c r="C4948" s="5" t="s">
        <v>218</v>
      </c>
      <c r="D4948" s="4" t="s">
        <v>16</v>
      </c>
      <c r="E4948" s="4" t="s">
        <v>5676</v>
      </c>
      <c r="F4948" s="4" t="s">
        <v>470</v>
      </c>
      <c r="G4948" s="4" t="s">
        <v>5677</v>
      </c>
      <c r="H4948" s="12" t="n">
        <v>2</v>
      </c>
      <c r="I4948" s="4" t="s">
        <v>474</v>
      </c>
      <c r="J4948" s="4" t="s">
        <v>409</v>
      </c>
      <c r="K4948" s="13" t="n">
        <v>350</v>
      </c>
      <c r="L4948" s="6" t="n">
        <f aca="false">H4948*K4948</f>
        <v>700</v>
      </c>
      <c r="M4948" s="4" t="s">
        <v>371</v>
      </c>
    </row>
    <row r="4949" customFormat="false" ht="15" hidden="false" customHeight="false" outlineLevel="0" collapsed="false">
      <c r="A4949" s="4" t="s">
        <v>216</v>
      </c>
      <c r="B4949" s="5" t="s">
        <v>217</v>
      </c>
      <c r="C4949" s="5" t="s">
        <v>218</v>
      </c>
      <c r="D4949" s="4" t="s">
        <v>16</v>
      </c>
      <c r="E4949" s="4" t="s">
        <v>5678</v>
      </c>
      <c r="F4949" s="4" t="s">
        <v>470</v>
      </c>
      <c r="G4949" s="4" t="s">
        <v>5679</v>
      </c>
      <c r="H4949" s="12" t="n">
        <v>2</v>
      </c>
      <c r="I4949" s="4" t="s">
        <v>474</v>
      </c>
      <c r="J4949" s="4" t="s">
        <v>409</v>
      </c>
      <c r="K4949" s="13" t="n">
        <v>450</v>
      </c>
      <c r="L4949" s="6" t="n">
        <f aca="false">H4949*K4949</f>
        <v>900</v>
      </c>
      <c r="M4949" s="4" t="s">
        <v>371</v>
      </c>
    </row>
    <row r="4950" customFormat="false" ht="15" hidden="false" customHeight="false" outlineLevel="0" collapsed="false">
      <c r="A4950" s="4" t="s">
        <v>216</v>
      </c>
      <c r="B4950" s="5" t="s">
        <v>217</v>
      </c>
      <c r="C4950" s="5" t="s">
        <v>218</v>
      </c>
      <c r="D4950" s="4" t="s">
        <v>16</v>
      </c>
      <c r="E4950" s="4" t="s">
        <v>5680</v>
      </c>
      <c r="F4950" s="4" t="s">
        <v>470</v>
      </c>
      <c r="G4950" s="4" t="s">
        <v>5681</v>
      </c>
      <c r="H4950" s="12" t="n">
        <v>2</v>
      </c>
      <c r="I4950" s="4" t="s">
        <v>474</v>
      </c>
      <c r="J4950" s="4" t="s">
        <v>409</v>
      </c>
      <c r="K4950" s="13" t="n">
        <v>450</v>
      </c>
      <c r="L4950" s="6" t="n">
        <f aca="false">H4950*K4950</f>
        <v>900</v>
      </c>
      <c r="M4950" s="4" t="s">
        <v>371</v>
      </c>
    </row>
    <row r="4951" customFormat="false" ht="15" hidden="false" customHeight="false" outlineLevel="0" collapsed="false">
      <c r="A4951" s="4" t="s">
        <v>216</v>
      </c>
      <c r="B4951" s="5" t="s">
        <v>217</v>
      </c>
      <c r="C4951" s="5" t="s">
        <v>218</v>
      </c>
      <c r="D4951" s="4" t="s">
        <v>16</v>
      </c>
      <c r="E4951" s="4" t="s">
        <v>5682</v>
      </c>
      <c r="F4951" s="4" t="s">
        <v>470</v>
      </c>
      <c r="G4951" s="4" t="s">
        <v>5683</v>
      </c>
      <c r="H4951" s="12" t="n">
        <v>1</v>
      </c>
      <c r="I4951" s="4" t="s">
        <v>474</v>
      </c>
      <c r="J4951" s="4" t="s">
        <v>409</v>
      </c>
      <c r="K4951" s="13" t="n">
        <v>1500</v>
      </c>
      <c r="L4951" s="6" t="n">
        <f aca="false">H4951*K4951</f>
        <v>1500</v>
      </c>
      <c r="M4951" s="4" t="s">
        <v>371</v>
      </c>
    </row>
    <row r="4952" customFormat="false" ht="15" hidden="false" customHeight="false" outlineLevel="0" collapsed="false">
      <c r="A4952" s="4" t="s">
        <v>216</v>
      </c>
      <c r="B4952" s="5" t="s">
        <v>217</v>
      </c>
      <c r="C4952" s="5" t="s">
        <v>218</v>
      </c>
      <c r="D4952" s="4" t="s">
        <v>16</v>
      </c>
      <c r="E4952" s="4" t="s">
        <v>5684</v>
      </c>
      <c r="F4952" s="4" t="s">
        <v>470</v>
      </c>
      <c r="G4952" s="4" t="s">
        <v>5685</v>
      </c>
      <c r="H4952" s="12" t="n">
        <v>1</v>
      </c>
      <c r="I4952" s="4" t="s">
        <v>474</v>
      </c>
      <c r="J4952" s="4" t="s">
        <v>409</v>
      </c>
      <c r="K4952" s="13" t="n">
        <v>350</v>
      </c>
      <c r="L4952" s="6" t="n">
        <f aca="false">H4952*K4952</f>
        <v>350</v>
      </c>
      <c r="M4952" s="4" t="s">
        <v>371</v>
      </c>
    </row>
    <row r="4953" customFormat="false" ht="15" hidden="false" customHeight="false" outlineLevel="0" collapsed="false">
      <c r="A4953" s="4" t="s">
        <v>216</v>
      </c>
      <c r="B4953" s="5" t="s">
        <v>217</v>
      </c>
      <c r="C4953" s="5" t="s">
        <v>218</v>
      </c>
      <c r="D4953" s="4" t="s">
        <v>16</v>
      </c>
      <c r="E4953" s="4" t="s">
        <v>5686</v>
      </c>
      <c r="F4953" s="4" t="s">
        <v>470</v>
      </c>
      <c r="G4953" s="4" t="s">
        <v>5687</v>
      </c>
      <c r="H4953" s="12" t="n">
        <v>1</v>
      </c>
      <c r="I4953" s="4" t="s">
        <v>474</v>
      </c>
      <c r="J4953" s="4" t="s">
        <v>416</v>
      </c>
      <c r="K4953" s="13" t="n">
        <v>4500</v>
      </c>
      <c r="L4953" s="6" t="n">
        <f aca="false">H4953*K4953</f>
        <v>4500</v>
      </c>
      <c r="M4953" s="4" t="s">
        <v>371</v>
      </c>
    </row>
    <row r="4954" customFormat="false" ht="15" hidden="false" customHeight="false" outlineLevel="0" collapsed="false">
      <c r="A4954" s="4" t="s">
        <v>216</v>
      </c>
      <c r="B4954" s="5" t="s">
        <v>217</v>
      </c>
      <c r="C4954" s="5" t="s">
        <v>218</v>
      </c>
      <c r="D4954" s="4" t="s">
        <v>16</v>
      </c>
      <c r="E4954" s="4" t="s">
        <v>5688</v>
      </c>
      <c r="F4954" s="4" t="s">
        <v>470</v>
      </c>
      <c r="G4954" s="4" t="s">
        <v>5689</v>
      </c>
      <c r="H4954" s="12" t="n">
        <v>1</v>
      </c>
      <c r="I4954" s="4" t="s">
        <v>474</v>
      </c>
      <c r="J4954" s="4" t="s">
        <v>416</v>
      </c>
      <c r="K4954" s="13" t="n">
        <v>1200</v>
      </c>
      <c r="L4954" s="6" t="n">
        <f aca="false">H4954*K4954</f>
        <v>1200</v>
      </c>
      <c r="M4954" s="4" t="s">
        <v>371</v>
      </c>
    </row>
    <row r="4955" customFormat="false" ht="15" hidden="false" customHeight="false" outlineLevel="0" collapsed="false">
      <c r="A4955" s="4" t="s">
        <v>216</v>
      </c>
      <c r="B4955" s="5" t="s">
        <v>217</v>
      </c>
      <c r="C4955" s="5" t="s">
        <v>218</v>
      </c>
      <c r="D4955" s="4" t="s">
        <v>16</v>
      </c>
      <c r="E4955" s="4" t="s">
        <v>5690</v>
      </c>
      <c r="F4955" s="4" t="s">
        <v>470</v>
      </c>
      <c r="G4955" s="4" t="s">
        <v>5691</v>
      </c>
      <c r="H4955" s="12" t="n">
        <v>1</v>
      </c>
      <c r="I4955" s="4" t="s">
        <v>474</v>
      </c>
      <c r="J4955" s="4" t="s">
        <v>416</v>
      </c>
      <c r="K4955" s="13" t="n">
        <v>1800</v>
      </c>
      <c r="L4955" s="6" t="n">
        <f aca="false">H4955*K4955</f>
        <v>1800</v>
      </c>
      <c r="M4955" s="4" t="s">
        <v>371</v>
      </c>
    </row>
    <row r="4956" customFormat="false" ht="15" hidden="false" customHeight="false" outlineLevel="0" collapsed="false">
      <c r="A4956" s="4" t="s">
        <v>216</v>
      </c>
      <c r="B4956" s="5" t="s">
        <v>217</v>
      </c>
      <c r="C4956" s="5" t="s">
        <v>218</v>
      </c>
      <c r="D4956" s="4" t="s">
        <v>16</v>
      </c>
      <c r="E4956" s="4" t="s">
        <v>5692</v>
      </c>
      <c r="F4956" s="4" t="s">
        <v>470</v>
      </c>
      <c r="G4956" s="4" t="s">
        <v>1444</v>
      </c>
      <c r="H4956" s="12" t="n">
        <v>2</v>
      </c>
      <c r="I4956" s="4" t="s">
        <v>474</v>
      </c>
      <c r="J4956" s="4" t="s">
        <v>409</v>
      </c>
      <c r="K4956" s="13" t="n">
        <v>450</v>
      </c>
      <c r="L4956" s="6" t="n">
        <f aca="false">H4956*K4956</f>
        <v>900</v>
      </c>
      <c r="M4956" s="4" t="s">
        <v>371</v>
      </c>
    </row>
    <row r="4957" customFormat="false" ht="15" hidden="false" customHeight="false" outlineLevel="0" collapsed="false">
      <c r="A4957" s="4" t="s">
        <v>216</v>
      </c>
      <c r="B4957" s="5" t="s">
        <v>217</v>
      </c>
      <c r="C4957" s="5" t="s">
        <v>218</v>
      </c>
      <c r="D4957" s="4" t="s">
        <v>16</v>
      </c>
      <c r="E4957" s="4" t="s">
        <v>4705</v>
      </c>
      <c r="F4957" s="4" t="s">
        <v>470</v>
      </c>
      <c r="G4957" s="4" t="s">
        <v>4706</v>
      </c>
      <c r="H4957" s="12" t="n">
        <v>10</v>
      </c>
      <c r="I4957" s="4" t="s">
        <v>474</v>
      </c>
      <c r="J4957" s="4" t="s">
        <v>416</v>
      </c>
      <c r="K4957" s="13" t="n">
        <v>2500</v>
      </c>
      <c r="L4957" s="6" t="n">
        <f aca="false">H4957*K4957</f>
        <v>25000</v>
      </c>
      <c r="M4957" s="14" t="s">
        <v>410</v>
      </c>
    </row>
    <row r="4958" customFormat="false" ht="15" hidden="false" customHeight="false" outlineLevel="0" collapsed="false">
      <c r="A4958" s="4" t="s">
        <v>216</v>
      </c>
      <c r="B4958" s="5" t="s">
        <v>217</v>
      </c>
      <c r="C4958" s="5" t="s">
        <v>218</v>
      </c>
      <c r="D4958" s="4" t="s">
        <v>16</v>
      </c>
      <c r="E4958" s="4" t="s">
        <v>5693</v>
      </c>
      <c r="F4958" s="4" t="s">
        <v>470</v>
      </c>
      <c r="G4958" s="4" t="s">
        <v>1796</v>
      </c>
      <c r="H4958" s="12" t="n">
        <v>4</v>
      </c>
      <c r="I4958" s="4" t="s">
        <v>474</v>
      </c>
      <c r="J4958" s="4" t="s">
        <v>409</v>
      </c>
      <c r="K4958" s="13" t="n">
        <v>150</v>
      </c>
      <c r="L4958" s="6" t="n">
        <f aca="false">H4958*K4958</f>
        <v>600</v>
      </c>
      <c r="M4958" s="4" t="s">
        <v>371</v>
      </c>
    </row>
    <row r="4959" customFormat="false" ht="15" hidden="false" customHeight="false" outlineLevel="0" collapsed="false">
      <c r="A4959" s="4" t="s">
        <v>216</v>
      </c>
      <c r="B4959" s="5" t="s">
        <v>217</v>
      </c>
      <c r="C4959" s="5" t="s">
        <v>218</v>
      </c>
      <c r="D4959" s="4" t="s">
        <v>16</v>
      </c>
      <c r="E4959" s="4" t="s">
        <v>5694</v>
      </c>
      <c r="F4959" s="4" t="s">
        <v>470</v>
      </c>
      <c r="G4959" s="4" t="s">
        <v>5695</v>
      </c>
      <c r="H4959" s="12" t="n">
        <v>1</v>
      </c>
      <c r="I4959" s="4" t="s">
        <v>474</v>
      </c>
      <c r="J4959" s="4" t="s">
        <v>409</v>
      </c>
      <c r="K4959" s="13" t="n">
        <v>850</v>
      </c>
      <c r="L4959" s="6" t="n">
        <f aca="false">H4959*K4959</f>
        <v>850</v>
      </c>
      <c r="M4959" s="4" t="s">
        <v>371</v>
      </c>
    </row>
    <row r="4960" customFormat="false" ht="15" hidden="false" customHeight="false" outlineLevel="0" collapsed="false">
      <c r="A4960" s="4" t="s">
        <v>216</v>
      </c>
      <c r="B4960" s="5" t="s">
        <v>217</v>
      </c>
      <c r="C4960" s="5" t="s">
        <v>218</v>
      </c>
      <c r="D4960" s="4" t="s">
        <v>16</v>
      </c>
      <c r="E4960" s="4" t="s">
        <v>5696</v>
      </c>
      <c r="F4960" s="4" t="s">
        <v>470</v>
      </c>
      <c r="G4960" s="4" t="s">
        <v>5697</v>
      </c>
      <c r="H4960" s="12" t="n">
        <v>2</v>
      </c>
      <c r="I4960" s="4" t="s">
        <v>474</v>
      </c>
      <c r="J4960" s="4" t="s">
        <v>409</v>
      </c>
      <c r="K4960" s="13" t="n">
        <v>250</v>
      </c>
      <c r="L4960" s="6" t="n">
        <f aca="false">H4960*K4960</f>
        <v>500</v>
      </c>
      <c r="M4960" s="4" t="s">
        <v>371</v>
      </c>
    </row>
    <row r="4961" customFormat="false" ht="15" hidden="false" customHeight="false" outlineLevel="0" collapsed="false">
      <c r="A4961" s="4" t="s">
        <v>216</v>
      </c>
      <c r="B4961" s="5" t="s">
        <v>217</v>
      </c>
      <c r="C4961" s="5" t="s">
        <v>218</v>
      </c>
      <c r="D4961" s="4" t="s">
        <v>16</v>
      </c>
      <c r="E4961" s="4" t="s">
        <v>5698</v>
      </c>
      <c r="F4961" s="4" t="s">
        <v>470</v>
      </c>
      <c r="G4961" s="4" t="s">
        <v>5699</v>
      </c>
      <c r="H4961" s="12" t="n">
        <v>2</v>
      </c>
      <c r="I4961" s="4" t="s">
        <v>474</v>
      </c>
      <c r="J4961" s="4" t="s">
        <v>409</v>
      </c>
      <c r="K4961" s="13" t="n">
        <v>450</v>
      </c>
      <c r="L4961" s="6" t="n">
        <f aca="false">H4961*K4961</f>
        <v>900</v>
      </c>
      <c r="M4961" s="4" t="s">
        <v>371</v>
      </c>
    </row>
    <row r="4962" customFormat="false" ht="15" hidden="false" customHeight="false" outlineLevel="0" collapsed="false">
      <c r="A4962" s="4" t="s">
        <v>216</v>
      </c>
      <c r="B4962" s="5" t="s">
        <v>217</v>
      </c>
      <c r="C4962" s="5" t="s">
        <v>218</v>
      </c>
      <c r="D4962" s="4" t="s">
        <v>16</v>
      </c>
      <c r="E4962" s="4" t="s">
        <v>5700</v>
      </c>
      <c r="F4962" s="4" t="s">
        <v>470</v>
      </c>
      <c r="G4962" s="4" t="s">
        <v>5701</v>
      </c>
      <c r="H4962" s="12" t="n">
        <v>4</v>
      </c>
      <c r="I4962" s="4" t="s">
        <v>474</v>
      </c>
      <c r="J4962" s="4" t="s">
        <v>409</v>
      </c>
      <c r="K4962" s="13" t="n">
        <v>1800</v>
      </c>
      <c r="L4962" s="6" t="n">
        <f aca="false">H4962*K4962</f>
        <v>7200</v>
      </c>
      <c r="M4962" s="4" t="s">
        <v>371</v>
      </c>
    </row>
    <row r="4963" customFormat="false" ht="15" hidden="false" customHeight="false" outlineLevel="0" collapsed="false">
      <c r="A4963" s="4" t="s">
        <v>216</v>
      </c>
      <c r="B4963" s="5" t="s">
        <v>217</v>
      </c>
      <c r="C4963" s="5" t="s">
        <v>218</v>
      </c>
      <c r="D4963" s="4" t="s">
        <v>16</v>
      </c>
      <c r="E4963" s="4" t="s">
        <v>5702</v>
      </c>
      <c r="F4963" s="4" t="s">
        <v>470</v>
      </c>
      <c r="G4963" s="4" t="s">
        <v>5703</v>
      </c>
      <c r="H4963" s="12" t="n">
        <v>1</v>
      </c>
      <c r="I4963" s="4" t="s">
        <v>474</v>
      </c>
      <c r="J4963" s="4" t="s">
        <v>416</v>
      </c>
      <c r="K4963" s="13" t="n">
        <v>850</v>
      </c>
      <c r="L4963" s="6" t="n">
        <f aca="false">H4963*K4963</f>
        <v>850</v>
      </c>
      <c r="M4963" s="4" t="s">
        <v>371</v>
      </c>
    </row>
    <row r="4964" customFormat="false" ht="15" hidden="false" customHeight="false" outlineLevel="0" collapsed="false">
      <c r="A4964" s="4" t="s">
        <v>216</v>
      </c>
      <c r="B4964" s="5" t="s">
        <v>217</v>
      </c>
      <c r="C4964" s="5" t="s">
        <v>218</v>
      </c>
      <c r="D4964" s="4" t="s">
        <v>16</v>
      </c>
      <c r="E4964" s="4" t="s">
        <v>2754</v>
      </c>
      <c r="F4964" s="4" t="s">
        <v>470</v>
      </c>
      <c r="G4964" s="4" t="s">
        <v>2755</v>
      </c>
      <c r="H4964" s="12" t="n">
        <v>1</v>
      </c>
      <c r="I4964" s="4" t="s">
        <v>474</v>
      </c>
      <c r="J4964" s="4" t="s">
        <v>416</v>
      </c>
      <c r="K4964" s="13" t="n">
        <v>1800</v>
      </c>
      <c r="L4964" s="6" t="n">
        <f aca="false">H4964*K4964</f>
        <v>1800</v>
      </c>
      <c r="M4964" s="14" t="s">
        <v>410</v>
      </c>
    </row>
    <row r="4965" customFormat="false" ht="15" hidden="false" customHeight="false" outlineLevel="0" collapsed="false">
      <c r="A4965" s="4" t="s">
        <v>216</v>
      </c>
      <c r="B4965" s="5" t="s">
        <v>217</v>
      </c>
      <c r="C4965" s="5" t="s">
        <v>218</v>
      </c>
      <c r="D4965" s="4" t="s">
        <v>16</v>
      </c>
      <c r="E4965" s="4" t="s">
        <v>5704</v>
      </c>
      <c r="F4965" s="4" t="s">
        <v>470</v>
      </c>
      <c r="G4965" s="4" t="s">
        <v>5705</v>
      </c>
      <c r="H4965" s="12" t="n">
        <v>5</v>
      </c>
      <c r="I4965" s="4" t="s">
        <v>474</v>
      </c>
      <c r="J4965" s="4" t="s">
        <v>416</v>
      </c>
      <c r="K4965" s="13" t="n">
        <v>450</v>
      </c>
      <c r="L4965" s="6" t="n">
        <f aca="false">H4965*K4965</f>
        <v>2250</v>
      </c>
      <c r="M4965" s="4" t="s">
        <v>371</v>
      </c>
    </row>
    <row r="4966" customFormat="false" ht="15" hidden="false" customHeight="false" outlineLevel="0" collapsed="false">
      <c r="A4966" s="4" t="s">
        <v>216</v>
      </c>
      <c r="B4966" s="5" t="s">
        <v>217</v>
      </c>
      <c r="C4966" s="5" t="s">
        <v>218</v>
      </c>
      <c r="D4966" s="4" t="s">
        <v>16</v>
      </c>
      <c r="E4966" s="4" t="s">
        <v>5706</v>
      </c>
      <c r="F4966" s="4" t="s">
        <v>470</v>
      </c>
      <c r="G4966" s="4" t="s">
        <v>5707</v>
      </c>
      <c r="H4966" s="12" t="n">
        <v>1</v>
      </c>
      <c r="I4966" s="4" t="s">
        <v>408</v>
      </c>
      <c r="J4966" s="4" t="s">
        <v>416</v>
      </c>
      <c r="K4966" s="13" t="n">
        <v>2500</v>
      </c>
      <c r="L4966" s="6" t="n">
        <f aca="false">H4966*K4966</f>
        <v>2500</v>
      </c>
      <c r="M4966" s="4" t="s">
        <v>371</v>
      </c>
    </row>
    <row r="4967" customFormat="false" ht="23.85" hidden="false" customHeight="false" outlineLevel="0" collapsed="false">
      <c r="A4967" s="4" t="s">
        <v>216</v>
      </c>
      <c r="B4967" s="5" t="s">
        <v>219</v>
      </c>
      <c r="C4967" s="5" t="s">
        <v>220</v>
      </c>
      <c r="D4967" s="4" t="s">
        <v>16</v>
      </c>
      <c r="E4967" s="4" t="s">
        <v>5708</v>
      </c>
      <c r="F4967" s="4" t="s">
        <v>406</v>
      </c>
      <c r="G4967" s="4" t="s">
        <v>5709</v>
      </c>
      <c r="H4967" s="12" t="n">
        <v>5</v>
      </c>
      <c r="I4967" s="4" t="s">
        <v>474</v>
      </c>
      <c r="J4967" s="4" t="s">
        <v>416</v>
      </c>
      <c r="K4967" s="13" t="n">
        <v>350</v>
      </c>
      <c r="L4967" s="6" t="n">
        <f aca="false">H4967*K4967</f>
        <v>1750</v>
      </c>
      <c r="M4967" s="14" t="s">
        <v>410</v>
      </c>
    </row>
    <row r="4968" customFormat="false" ht="23.85" hidden="false" customHeight="false" outlineLevel="0" collapsed="false">
      <c r="A4968" s="4" t="s">
        <v>216</v>
      </c>
      <c r="B4968" s="5" t="s">
        <v>219</v>
      </c>
      <c r="C4968" s="5" t="s">
        <v>220</v>
      </c>
      <c r="D4968" s="4" t="s">
        <v>16</v>
      </c>
      <c r="E4968" s="4" t="s">
        <v>5710</v>
      </c>
      <c r="F4968" s="4" t="s">
        <v>406</v>
      </c>
      <c r="G4968" s="4" t="s">
        <v>5711</v>
      </c>
      <c r="H4968" s="12" t="n">
        <v>6</v>
      </c>
      <c r="I4968" s="4" t="s">
        <v>474</v>
      </c>
      <c r="J4968" s="4" t="s">
        <v>416</v>
      </c>
      <c r="K4968" s="13" t="n">
        <v>1800</v>
      </c>
      <c r="L4968" s="6" t="n">
        <f aca="false">H4968*K4968</f>
        <v>10800</v>
      </c>
      <c r="M4968" s="14" t="s">
        <v>410</v>
      </c>
    </row>
    <row r="4969" customFormat="false" ht="23.85" hidden="false" customHeight="false" outlineLevel="0" collapsed="false">
      <c r="A4969" s="4" t="s">
        <v>216</v>
      </c>
      <c r="B4969" s="5" t="s">
        <v>219</v>
      </c>
      <c r="C4969" s="5" t="s">
        <v>220</v>
      </c>
      <c r="D4969" s="4" t="s">
        <v>16</v>
      </c>
      <c r="E4969" s="4" t="s">
        <v>5712</v>
      </c>
      <c r="F4969" s="4" t="s">
        <v>406</v>
      </c>
      <c r="G4969" s="4" t="s">
        <v>5713</v>
      </c>
      <c r="H4969" s="12" t="n">
        <v>6</v>
      </c>
      <c r="I4969" s="4" t="s">
        <v>474</v>
      </c>
      <c r="J4969" s="4" t="s">
        <v>416</v>
      </c>
      <c r="K4969" s="13" t="n">
        <v>1200</v>
      </c>
      <c r="L4969" s="6" t="n">
        <f aca="false">H4969*K4969</f>
        <v>7200</v>
      </c>
      <c r="M4969" s="4" t="s">
        <v>371</v>
      </c>
    </row>
    <row r="4970" customFormat="false" ht="23.85" hidden="false" customHeight="false" outlineLevel="0" collapsed="false">
      <c r="A4970" s="4" t="s">
        <v>216</v>
      </c>
      <c r="B4970" s="5" t="s">
        <v>219</v>
      </c>
      <c r="C4970" s="5" t="s">
        <v>220</v>
      </c>
      <c r="D4970" s="4" t="s">
        <v>16</v>
      </c>
      <c r="E4970" s="4" t="s">
        <v>5714</v>
      </c>
      <c r="F4970" s="4" t="s">
        <v>406</v>
      </c>
      <c r="G4970" s="4" t="s">
        <v>5715</v>
      </c>
      <c r="H4970" s="12" t="n">
        <v>6</v>
      </c>
      <c r="I4970" s="4" t="s">
        <v>474</v>
      </c>
      <c r="J4970" s="4" t="s">
        <v>409</v>
      </c>
      <c r="K4970" s="13" t="n">
        <v>100</v>
      </c>
      <c r="L4970" s="6" t="n">
        <f aca="false">H4970*K4970</f>
        <v>600</v>
      </c>
      <c r="M4970" s="14" t="s">
        <v>410</v>
      </c>
    </row>
    <row r="4971" customFormat="false" ht="23.85" hidden="false" customHeight="false" outlineLevel="0" collapsed="false">
      <c r="A4971" s="4" t="s">
        <v>216</v>
      </c>
      <c r="B4971" s="5" t="s">
        <v>219</v>
      </c>
      <c r="C4971" s="5" t="s">
        <v>220</v>
      </c>
      <c r="D4971" s="4" t="s">
        <v>16</v>
      </c>
      <c r="E4971" s="4" t="s">
        <v>5716</v>
      </c>
      <c r="F4971" s="4" t="s">
        <v>406</v>
      </c>
      <c r="G4971" s="4" t="s">
        <v>5717</v>
      </c>
      <c r="H4971" s="12" t="n">
        <v>4</v>
      </c>
      <c r="I4971" s="4" t="s">
        <v>474</v>
      </c>
      <c r="J4971" s="4" t="s">
        <v>409</v>
      </c>
      <c r="K4971" s="13" t="n">
        <v>180</v>
      </c>
      <c r="L4971" s="6" t="n">
        <f aca="false">H4971*K4971</f>
        <v>720</v>
      </c>
      <c r="M4971" s="14" t="s">
        <v>410</v>
      </c>
    </row>
    <row r="4972" customFormat="false" ht="23.85" hidden="false" customHeight="false" outlineLevel="0" collapsed="false">
      <c r="A4972" s="4" t="s">
        <v>216</v>
      </c>
      <c r="B4972" s="5" t="s">
        <v>219</v>
      </c>
      <c r="C4972" s="5" t="s">
        <v>220</v>
      </c>
      <c r="D4972" s="4" t="s">
        <v>16</v>
      </c>
      <c r="E4972" s="4" t="s">
        <v>5718</v>
      </c>
      <c r="F4972" s="4" t="s">
        <v>406</v>
      </c>
      <c r="G4972" s="4" t="s">
        <v>5719</v>
      </c>
      <c r="H4972" s="12" t="n">
        <v>6</v>
      </c>
      <c r="I4972" s="4" t="s">
        <v>474</v>
      </c>
      <c r="J4972" s="4" t="s">
        <v>416</v>
      </c>
      <c r="K4972" s="13" t="n">
        <v>650</v>
      </c>
      <c r="L4972" s="6" t="n">
        <f aca="false">H4972*K4972</f>
        <v>3900</v>
      </c>
      <c r="M4972" s="4" t="s">
        <v>371</v>
      </c>
    </row>
    <row r="4973" customFormat="false" ht="23.85" hidden="false" customHeight="false" outlineLevel="0" collapsed="false">
      <c r="A4973" s="4" t="s">
        <v>216</v>
      </c>
      <c r="B4973" s="5" t="s">
        <v>219</v>
      </c>
      <c r="C4973" s="5" t="s">
        <v>220</v>
      </c>
      <c r="D4973" s="4" t="s">
        <v>16</v>
      </c>
      <c r="E4973" s="4" t="s">
        <v>5720</v>
      </c>
      <c r="F4973" s="4" t="s">
        <v>406</v>
      </c>
      <c r="G4973" s="4" t="s">
        <v>5721</v>
      </c>
      <c r="H4973" s="12" t="n">
        <v>6</v>
      </c>
      <c r="I4973" s="4" t="s">
        <v>474</v>
      </c>
      <c r="J4973" s="4" t="s">
        <v>416</v>
      </c>
      <c r="K4973" s="13" t="n">
        <v>4500</v>
      </c>
      <c r="L4973" s="6" t="n">
        <f aca="false">H4973*K4973</f>
        <v>27000</v>
      </c>
      <c r="M4973" s="14" t="s">
        <v>410</v>
      </c>
    </row>
    <row r="4974" customFormat="false" ht="23.85" hidden="false" customHeight="false" outlineLevel="0" collapsed="false">
      <c r="A4974" s="4" t="s">
        <v>216</v>
      </c>
      <c r="B4974" s="5" t="s">
        <v>219</v>
      </c>
      <c r="C4974" s="5" t="s">
        <v>220</v>
      </c>
      <c r="D4974" s="4" t="s">
        <v>16</v>
      </c>
      <c r="E4974" s="4" t="s">
        <v>5722</v>
      </c>
      <c r="F4974" s="4" t="s">
        <v>406</v>
      </c>
      <c r="G4974" s="4" t="s">
        <v>5723</v>
      </c>
      <c r="H4974" s="12" t="n">
        <v>2</v>
      </c>
      <c r="I4974" s="4" t="s">
        <v>474</v>
      </c>
      <c r="J4974" s="4" t="s">
        <v>416</v>
      </c>
      <c r="K4974" s="13" t="n">
        <v>3500</v>
      </c>
      <c r="L4974" s="6" t="n">
        <f aca="false">H4974*K4974</f>
        <v>7000</v>
      </c>
      <c r="M4974" s="14" t="s">
        <v>410</v>
      </c>
    </row>
    <row r="4975" customFormat="false" ht="23.85" hidden="false" customHeight="false" outlineLevel="0" collapsed="false">
      <c r="A4975" s="4" t="s">
        <v>216</v>
      </c>
      <c r="B4975" s="5" t="s">
        <v>219</v>
      </c>
      <c r="C4975" s="5" t="s">
        <v>220</v>
      </c>
      <c r="D4975" s="4" t="s">
        <v>16</v>
      </c>
      <c r="E4975" s="4" t="s">
        <v>5724</v>
      </c>
      <c r="F4975" s="4" t="s">
        <v>406</v>
      </c>
      <c r="G4975" s="4" t="s">
        <v>5725</v>
      </c>
      <c r="H4975" s="12" t="n">
        <v>6</v>
      </c>
      <c r="I4975" s="4" t="s">
        <v>474</v>
      </c>
      <c r="J4975" s="4" t="s">
        <v>416</v>
      </c>
      <c r="K4975" s="13" t="n">
        <v>1800</v>
      </c>
      <c r="L4975" s="6" t="n">
        <f aca="false">H4975*K4975</f>
        <v>10800</v>
      </c>
      <c r="M4975" s="14" t="s">
        <v>410</v>
      </c>
    </row>
    <row r="4976" customFormat="false" ht="23.85" hidden="false" customHeight="false" outlineLevel="0" collapsed="false">
      <c r="A4976" s="4" t="s">
        <v>216</v>
      </c>
      <c r="B4976" s="5" t="s">
        <v>219</v>
      </c>
      <c r="C4976" s="5" t="s">
        <v>220</v>
      </c>
      <c r="D4976" s="4" t="s">
        <v>16</v>
      </c>
      <c r="E4976" s="4" t="s">
        <v>5726</v>
      </c>
      <c r="F4976" s="4" t="s">
        <v>406</v>
      </c>
      <c r="G4976" s="4" t="s">
        <v>5727</v>
      </c>
      <c r="H4976" s="12" t="n">
        <v>2</v>
      </c>
      <c r="I4976" s="4" t="s">
        <v>474</v>
      </c>
      <c r="J4976" s="4" t="s">
        <v>416</v>
      </c>
      <c r="K4976" s="13" t="n">
        <v>850</v>
      </c>
      <c r="L4976" s="6" t="n">
        <f aca="false">H4976*K4976</f>
        <v>1700</v>
      </c>
      <c r="M4976" s="14" t="s">
        <v>410</v>
      </c>
    </row>
    <row r="4977" customFormat="false" ht="23.85" hidden="false" customHeight="false" outlineLevel="0" collapsed="false">
      <c r="A4977" s="4" t="s">
        <v>216</v>
      </c>
      <c r="B4977" s="5" t="s">
        <v>219</v>
      </c>
      <c r="C4977" s="5" t="s">
        <v>220</v>
      </c>
      <c r="D4977" s="4" t="s">
        <v>16</v>
      </c>
      <c r="E4977" s="4" t="s">
        <v>5728</v>
      </c>
      <c r="F4977" s="4" t="s">
        <v>406</v>
      </c>
      <c r="G4977" s="4" t="s">
        <v>5729</v>
      </c>
      <c r="H4977" s="12" t="n">
        <v>6</v>
      </c>
      <c r="I4977" s="4" t="s">
        <v>474</v>
      </c>
      <c r="J4977" s="4" t="s">
        <v>416</v>
      </c>
      <c r="K4977" s="13" t="n">
        <v>1800</v>
      </c>
      <c r="L4977" s="6" t="n">
        <f aca="false">H4977*K4977</f>
        <v>10800</v>
      </c>
      <c r="M4977" s="14" t="s">
        <v>410</v>
      </c>
    </row>
    <row r="4978" customFormat="false" ht="23.85" hidden="false" customHeight="false" outlineLevel="0" collapsed="false">
      <c r="A4978" s="4" t="s">
        <v>216</v>
      </c>
      <c r="B4978" s="5" t="s">
        <v>219</v>
      </c>
      <c r="C4978" s="5" t="s">
        <v>220</v>
      </c>
      <c r="D4978" s="4" t="s">
        <v>16</v>
      </c>
      <c r="E4978" s="4" t="s">
        <v>5730</v>
      </c>
      <c r="F4978" s="4" t="s">
        <v>406</v>
      </c>
      <c r="G4978" s="4" t="s">
        <v>5731</v>
      </c>
      <c r="H4978" s="12" t="n">
        <v>4</v>
      </c>
      <c r="I4978" s="4" t="s">
        <v>474</v>
      </c>
      <c r="J4978" s="4" t="s">
        <v>416</v>
      </c>
      <c r="K4978" s="13" t="n">
        <v>350</v>
      </c>
      <c r="L4978" s="6" t="n">
        <f aca="false">H4978*K4978</f>
        <v>1400</v>
      </c>
      <c r="M4978" s="14" t="s">
        <v>410</v>
      </c>
    </row>
    <row r="4979" customFormat="false" ht="23.85" hidden="false" customHeight="false" outlineLevel="0" collapsed="false">
      <c r="A4979" s="4" t="s">
        <v>216</v>
      </c>
      <c r="B4979" s="5" t="s">
        <v>219</v>
      </c>
      <c r="C4979" s="5" t="s">
        <v>220</v>
      </c>
      <c r="D4979" s="4" t="s">
        <v>16</v>
      </c>
      <c r="E4979" s="4" t="s">
        <v>5732</v>
      </c>
      <c r="F4979" s="4" t="s">
        <v>406</v>
      </c>
      <c r="G4979" s="4" t="s">
        <v>5733</v>
      </c>
      <c r="H4979" s="12" t="n">
        <v>6</v>
      </c>
      <c r="I4979" s="4" t="s">
        <v>474</v>
      </c>
      <c r="J4979" s="4" t="s">
        <v>416</v>
      </c>
      <c r="K4979" s="13" t="n">
        <v>850</v>
      </c>
      <c r="L4979" s="6" t="n">
        <f aca="false">H4979*K4979</f>
        <v>5100</v>
      </c>
      <c r="M4979" s="14" t="s">
        <v>410</v>
      </c>
    </row>
    <row r="4980" customFormat="false" ht="23.85" hidden="false" customHeight="false" outlineLevel="0" collapsed="false">
      <c r="A4980" s="4" t="s">
        <v>216</v>
      </c>
      <c r="B4980" s="5" t="s">
        <v>219</v>
      </c>
      <c r="C4980" s="5" t="s">
        <v>220</v>
      </c>
      <c r="D4980" s="4" t="s">
        <v>16</v>
      </c>
      <c r="E4980" s="4" t="s">
        <v>5734</v>
      </c>
      <c r="F4980" s="4" t="s">
        <v>406</v>
      </c>
      <c r="G4980" s="4" t="s">
        <v>5735</v>
      </c>
      <c r="H4980" s="12" t="n">
        <v>4</v>
      </c>
      <c r="I4980" s="4" t="s">
        <v>474</v>
      </c>
      <c r="J4980" s="4" t="s">
        <v>416</v>
      </c>
      <c r="K4980" s="13" t="n">
        <v>850</v>
      </c>
      <c r="L4980" s="6" t="n">
        <f aca="false">H4980*K4980</f>
        <v>3400</v>
      </c>
      <c r="M4980" s="14" t="s">
        <v>410</v>
      </c>
    </row>
    <row r="4981" customFormat="false" ht="23.85" hidden="false" customHeight="false" outlineLevel="0" collapsed="false">
      <c r="A4981" s="4" t="s">
        <v>216</v>
      </c>
      <c r="B4981" s="5" t="s">
        <v>219</v>
      </c>
      <c r="C4981" s="5" t="s">
        <v>220</v>
      </c>
      <c r="D4981" s="4" t="s">
        <v>16</v>
      </c>
      <c r="E4981" s="4" t="s">
        <v>5736</v>
      </c>
      <c r="F4981" s="4" t="s">
        <v>406</v>
      </c>
      <c r="G4981" s="4" t="s">
        <v>5737</v>
      </c>
      <c r="H4981" s="12" t="n">
        <v>4</v>
      </c>
      <c r="I4981" s="4" t="s">
        <v>474</v>
      </c>
      <c r="J4981" s="4" t="s">
        <v>409</v>
      </c>
      <c r="K4981" s="13" t="n">
        <v>300</v>
      </c>
      <c r="L4981" s="6" t="n">
        <f aca="false">H4981*K4981</f>
        <v>1200</v>
      </c>
      <c r="M4981" s="14" t="s">
        <v>410</v>
      </c>
    </row>
    <row r="4982" customFormat="false" ht="23.85" hidden="false" customHeight="false" outlineLevel="0" collapsed="false">
      <c r="A4982" s="4" t="s">
        <v>216</v>
      </c>
      <c r="B4982" s="5" t="s">
        <v>219</v>
      </c>
      <c r="C4982" s="5" t="s">
        <v>220</v>
      </c>
      <c r="D4982" s="4" t="s">
        <v>16</v>
      </c>
      <c r="E4982" s="4" t="s">
        <v>5738</v>
      </c>
      <c r="F4982" s="4" t="s">
        <v>406</v>
      </c>
      <c r="G4982" s="4" t="s">
        <v>5739</v>
      </c>
      <c r="H4982" s="12" t="n">
        <v>2</v>
      </c>
      <c r="I4982" s="4" t="s">
        <v>474</v>
      </c>
      <c r="J4982" s="4" t="s">
        <v>409</v>
      </c>
      <c r="K4982" s="13" t="n">
        <v>150</v>
      </c>
      <c r="L4982" s="6" t="n">
        <f aca="false">H4982*K4982</f>
        <v>300</v>
      </c>
      <c r="M4982" s="14" t="s">
        <v>410</v>
      </c>
    </row>
    <row r="4983" customFormat="false" ht="23.85" hidden="false" customHeight="false" outlineLevel="0" collapsed="false">
      <c r="A4983" s="4" t="s">
        <v>216</v>
      </c>
      <c r="B4983" s="5" t="s">
        <v>219</v>
      </c>
      <c r="C4983" s="5" t="s">
        <v>220</v>
      </c>
      <c r="D4983" s="4" t="s">
        <v>16</v>
      </c>
      <c r="E4983" s="4" t="s">
        <v>5740</v>
      </c>
      <c r="F4983" s="4" t="s">
        <v>406</v>
      </c>
      <c r="G4983" s="4" t="s">
        <v>5741</v>
      </c>
      <c r="H4983" s="12" t="n">
        <v>4</v>
      </c>
      <c r="I4983" s="4" t="s">
        <v>474</v>
      </c>
      <c r="J4983" s="4" t="s">
        <v>409</v>
      </c>
      <c r="K4983" s="13" t="n">
        <v>350</v>
      </c>
      <c r="L4983" s="6" t="n">
        <f aca="false">H4983*K4983</f>
        <v>1400</v>
      </c>
      <c r="M4983" s="14" t="s">
        <v>410</v>
      </c>
    </row>
    <row r="4984" customFormat="false" ht="23.85" hidden="false" customHeight="false" outlineLevel="0" collapsed="false">
      <c r="A4984" s="4" t="s">
        <v>216</v>
      </c>
      <c r="B4984" s="5" t="s">
        <v>219</v>
      </c>
      <c r="C4984" s="5" t="s">
        <v>220</v>
      </c>
      <c r="D4984" s="4" t="s">
        <v>16</v>
      </c>
      <c r="E4984" s="4" t="s">
        <v>5742</v>
      </c>
      <c r="F4984" s="4" t="s">
        <v>406</v>
      </c>
      <c r="G4984" s="4" t="s">
        <v>5743</v>
      </c>
      <c r="H4984" s="12" t="n">
        <v>10</v>
      </c>
      <c r="I4984" s="4" t="s">
        <v>474</v>
      </c>
      <c r="J4984" s="4" t="s">
        <v>416</v>
      </c>
      <c r="K4984" s="13" t="n">
        <v>450</v>
      </c>
      <c r="L4984" s="6" t="n">
        <f aca="false">H4984*K4984</f>
        <v>4500</v>
      </c>
      <c r="M4984" s="14" t="s">
        <v>410</v>
      </c>
    </row>
    <row r="4985" customFormat="false" ht="23.85" hidden="false" customHeight="false" outlineLevel="0" collapsed="false">
      <c r="A4985" s="4" t="s">
        <v>216</v>
      </c>
      <c r="B4985" s="5" t="s">
        <v>219</v>
      </c>
      <c r="C4985" s="5" t="s">
        <v>220</v>
      </c>
      <c r="D4985" s="4" t="s">
        <v>16</v>
      </c>
      <c r="E4985" s="4" t="s">
        <v>5744</v>
      </c>
      <c r="F4985" s="4" t="s">
        <v>406</v>
      </c>
      <c r="G4985" s="4" t="s">
        <v>5745</v>
      </c>
      <c r="H4985" s="12" t="n">
        <v>10</v>
      </c>
      <c r="I4985" s="4" t="s">
        <v>474</v>
      </c>
      <c r="J4985" s="4" t="s">
        <v>416</v>
      </c>
      <c r="K4985" s="13" t="n">
        <v>650</v>
      </c>
      <c r="L4985" s="6" t="n">
        <f aca="false">H4985*K4985</f>
        <v>6500</v>
      </c>
      <c r="M4985" s="14" t="s">
        <v>410</v>
      </c>
    </row>
    <row r="4986" customFormat="false" ht="23.85" hidden="false" customHeight="false" outlineLevel="0" collapsed="false">
      <c r="A4986" s="4" t="s">
        <v>216</v>
      </c>
      <c r="B4986" s="5" t="s">
        <v>219</v>
      </c>
      <c r="C4986" s="5" t="s">
        <v>220</v>
      </c>
      <c r="D4986" s="4" t="s">
        <v>16</v>
      </c>
      <c r="E4986" s="4" t="s">
        <v>5746</v>
      </c>
      <c r="F4986" s="4" t="s">
        <v>406</v>
      </c>
      <c r="G4986" s="4" t="s">
        <v>5747</v>
      </c>
      <c r="H4986" s="12" t="n">
        <v>10</v>
      </c>
      <c r="I4986" s="4" t="s">
        <v>474</v>
      </c>
      <c r="J4986" s="4" t="s">
        <v>416</v>
      </c>
      <c r="K4986" s="13" t="n">
        <v>850</v>
      </c>
      <c r="L4986" s="6" t="n">
        <f aca="false">H4986*K4986</f>
        <v>8500</v>
      </c>
      <c r="M4986" s="14" t="s">
        <v>410</v>
      </c>
    </row>
    <row r="4987" customFormat="false" ht="23.85" hidden="false" customHeight="false" outlineLevel="0" collapsed="false">
      <c r="A4987" s="4" t="s">
        <v>216</v>
      </c>
      <c r="B4987" s="5" t="s">
        <v>219</v>
      </c>
      <c r="C4987" s="5" t="s">
        <v>220</v>
      </c>
      <c r="D4987" s="4" t="s">
        <v>16</v>
      </c>
      <c r="E4987" s="4" t="s">
        <v>5748</v>
      </c>
      <c r="F4987" s="4" t="s">
        <v>406</v>
      </c>
      <c r="G4987" s="4" t="s">
        <v>5749</v>
      </c>
      <c r="H4987" s="12" t="n">
        <v>10</v>
      </c>
      <c r="I4987" s="4" t="s">
        <v>474</v>
      </c>
      <c r="J4987" s="4" t="s">
        <v>416</v>
      </c>
      <c r="K4987" s="13" t="n">
        <v>850</v>
      </c>
      <c r="L4987" s="6" t="n">
        <f aca="false">H4987*K4987</f>
        <v>8500</v>
      </c>
      <c r="M4987" s="14" t="s">
        <v>410</v>
      </c>
    </row>
    <row r="4988" customFormat="false" ht="23.85" hidden="false" customHeight="false" outlineLevel="0" collapsed="false">
      <c r="A4988" s="4" t="s">
        <v>216</v>
      </c>
      <c r="B4988" s="5" t="s">
        <v>219</v>
      </c>
      <c r="C4988" s="5" t="s">
        <v>220</v>
      </c>
      <c r="D4988" s="4" t="s">
        <v>16</v>
      </c>
      <c r="E4988" s="4" t="s">
        <v>5750</v>
      </c>
      <c r="F4988" s="4" t="s">
        <v>406</v>
      </c>
      <c r="G4988" s="4" t="s">
        <v>5751</v>
      </c>
      <c r="H4988" s="12" t="n">
        <v>10</v>
      </c>
      <c r="I4988" s="4" t="s">
        <v>474</v>
      </c>
      <c r="J4988" s="4" t="s">
        <v>416</v>
      </c>
      <c r="K4988" s="13" t="n">
        <v>850</v>
      </c>
      <c r="L4988" s="6" t="n">
        <f aca="false">H4988*K4988</f>
        <v>8500</v>
      </c>
      <c r="M4988" s="14" t="s">
        <v>410</v>
      </c>
    </row>
    <row r="4989" customFormat="false" ht="23.85" hidden="false" customHeight="false" outlineLevel="0" collapsed="false">
      <c r="A4989" s="4" t="s">
        <v>216</v>
      </c>
      <c r="B4989" s="5" t="s">
        <v>219</v>
      </c>
      <c r="C4989" s="5" t="s">
        <v>220</v>
      </c>
      <c r="D4989" s="4" t="s">
        <v>16</v>
      </c>
      <c r="E4989" s="4" t="s">
        <v>5752</v>
      </c>
      <c r="F4989" s="4" t="s">
        <v>406</v>
      </c>
      <c r="G4989" s="4" t="s">
        <v>5753</v>
      </c>
      <c r="H4989" s="12" t="n">
        <v>6</v>
      </c>
      <c r="I4989" s="4" t="s">
        <v>474</v>
      </c>
      <c r="J4989" s="4" t="s">
        <v>416</v>
      </c>
      <c r="K4989" s="13" t="n">
        <v>650</v>
      </c>
      <c r="L4989" s="6" t="n">
        <f aca="false">H4989*K4989</f>
        <v>3900</v>
      </c>
      <c r="M4989" s="14" t="s">
        <v>410</v>
      </c>
    </row>
    <row r="4990" customFormat="false" ht="23.85" hidden="false" customHeight="false" outlineLevel="0" collapsed="false">
      <c r="A4990" s="4" t="s">
        <v>216</v>
      </c>
      <c r="B4990" s="5" t="s">
        <v>219</v>
      </c>
      <c r="C4990" s="5" t="s">
        <v>220</v>
      </c>
      <c r="D4990" s="4" t="s">
        <v>16</v>
      </c>
      <c r="E4990" s="4" t="s">
        <v>5754</v>
      </c>
      <c r="F4990" s="4" t="s">
        <v>406</v>
      </c>
      <c r="G4990" s="4" t="s">
        <v>5755</v>
      </c>
      <c r="H4990" s="12" t="n">
        <v>2</v>
      </c>
      <c r="I4990" s="4" t="s">
        <v>474</v>
      </c>
      <c r="J4990" s="4" t="s">
        <v>409</v>
      </c>
      <c r="K4990" s="13" t="n">
        <v>650</v>
      </c>
      <c r="L4990" s="6" t="n">
        <f aca="false">H4990*K4990</f>
        <v>1300</v>
      </c>
      <c r="M4990" s="14" t="s">
        <v>410</v>
      </c>
    </row>
    <row r="4991" customFormat="false" ht="23.85" hidden="false" customHeight="false" outlineLevel="0" collapsed="false">
      <c r="A4991" s="4" t="s">
        <v>216</v>
      </c>
      <c r="B4991" s="5" t="s">
        <v>219</v>
      </c>
      <c r="C4991" s="5" t="s">
        <v>220</v>
      </c>
      <c r="D4991" s="4" t="s">
        <v>16</v>
      </c>
      <c r="E4991" s="4" t="s">
        <v>5756</v>
      </c>
      <c r="F4991" s="4" t="s">
        <v>406</v>
      </c>
      <c r="G4991" s="4" t="s">
        <v>5757</v>
      </c>
      <c r="H4991" s="12" t="n">
        <v>4</v>
      </c>
      <c r="I4991" s="4" t="s">
        <v>474</v>
      </c>
      <c r="J4991" s="4" t="s">
        <v>409</v>
      </c>
      <c r="K4991" s="13" t="n">
        <v>120</v>
      </c>
      <c r="L4991" s="6" t="n">
        <f aca="false">H4991*K4991</f>
        <v>480</v>
      </c>
      <c r="M4991" s="14" t="s">
        <v>410</v>
      </c>
    </row>
    <row r="4992" customFormat="false" ht="23.85" hidden="false" customHeight="false" outlineLevel="0" collapsed="false">
      <c r="A4992" s="4" t="s">
        <v>216</v>
      </c>
      <c r="B4992" s="5" t="s">
        <v>219</v>
      </c>
      <c r="C4992" s="5" t="s">
        <v>220</v>
      </c>
      <c r="D4992" s="4" t="s">
        <v>16</v>
      </c>
      <c r="E4992" s="4" t="s">
        <v>5758</v>
      </c>
      <c r="F4992" s="4" t="s">
        <v>406</v>
      </c>
      <c r="G4992" s="4" t="s">
        <v>5759</v>
      </c>
      <c r="H4992" s="12" t="n">
        <v>2</v>
      </c>
      <c r="I4992" s="4" t="s">
        <v>474</v>
      </c>
      <c r="J4992" s="4" t="s">
        <v>409</v>
      </c>
      <c r="K4992" s="13" t="n">
        <v>25000</v>
      </c>
      <c r="L4992" s="6" t="n">
        <f aca="false">H4992*K4992</f>
        <v>50000</v>
      </c>
      <c r="M4992" s="4" t="s">
        <v>371</v>
      </c>
    </row>
    <row r="4993" customFormat="false" ht="23.85" hidden="false" customHeight="false" outlineLevel="0" collapsed="false">
      <c r="A4993" s="4" t="s">
        <v>216</v>
      </c>
      <c r="B4993" s="5" t="s">
        <v>219</v>
      </c>
      <c r="C4993" s="5" t="s">
        <v>220</v>
      </c>
      <c r="D4993" s="4" t="s">
        <v>16</v>
      </c>
      <c r="E4993" s="4" t="s">
        <v>5760</v>
      </c>
      <c r="F4993" s="4" t="s">
        <v>406</v>
      </c>
      <c r="G4993" s="4" t="s">
        <v>5761</v>
      </c>
      <c r="H4993" s="12" t="n">
        <v>2</v>
      </c>
      <c r="I4993" s="4" t="s">
        <v>474</v>
      </c>
      <c r="J4993" s="4" t="s">
        <v>409</v>
      </c>
      <c r="K4993" s="13" t="n">
        <v>3500</v>
      </c>
      <c r="L4993" s="6" t="n">
        <f aca="false">H4993*K4993</f>
        <v>7000</v>
      </c>
      <c r="M4993" s="14" t="s">
        <v>410</v>
      </c>
    </row>
    <row r="4994" customFormat="false" ht="23.85" hidden="false" customHeight="false" outlineLevel="0" collapsed="false">
      <c r="A4994" s="4" t="s">
        <v>216</v>
      </c>
      <c r="B4994" s="5" t="s">
        <v>219</v>
      </c>
      <c r="C4994" s="5" t="s">
        <v>220</v>
      </c>
      <c r="D4994" s="4" t="s">
        <v>16</v>
      </c>
      <c r="E4994" s="4" t="s">
        <v>5762</v>
      </c>
      <c r="F4994" s="4" t="s">
        <v>406</v>
      </c>
      <c r="G4994" s="4" t="s">
        <v>5763</v>
      </c>
      <c r="H4994" s="12" t="n">
        <v>1</v>
      </c>
      <c r="I4994" s="4" t="s">
        <v>474</v>
      </c>
      <c r="J4994" s="4" t="s">
        <v>409</v>
      </c>
      <c r="K4994" s="13" t="n">
        <v>7500</v>
      </c>
      <c r="L4994" s="6" t="n">
        <f aca="false">H4994*K4994</f>
        <v>7500</v>
      </c>
      <c r="M4994" s="4" t="s">
        <v>371</v>
      </c>
    </row>
    <row r="4995" customFormat="false" ht="23.85" hidden="false" customHeight="false" outlineLevel="0" collapsed="false">
      <c r="A4995" s="4" t="s">
        <v>216</v>
      </c>
      <c r="B4995" s="5" t="s">
        <v>219</v>
      </c>
      <c r="C4995" s="5" t="s">
        <v>220</v>
      </c>
      <c r="D4995" s="4" t="s">
        <v>16</v>
      </c>
      <c r="E4995" s="4" t="s">
        <v>5764</v>
      </c>
      <c r="F4995" s="4" t="s">
        <v>406</v>
      </c>
      <c r="G4995" s="4" t="s">
        <v>5765</v>
      </c>
      <c r="H4995" s="12" t="n">
        <v>1</v>
      </c>
      <c r="I4995" s="4" t="s">
        <v>474</v>
      </c>
      <c r="J4995" s="4" t="s">
        <v>409</v>
      </c>
      <c r="K4995" s="13" t="n">
        <v>35000</v>
      </c>
      <c r="L4995" s="6" t="n">
        <f aca="false">H4995*K4995</f>
        <v>35000</v>
      </c>
      <c r="M4995" s="14" t="s">
        <v>410</v>
      </c>
    </row>
    <row r="4996" customFormat="false" ht="23.85" hidden="false" customHeight="false" outlineLevel="0" collapsed="false">
      <c r="A4996" s="4" t="s">
        <v>216</v>
      </c>
      <c r="B4996" s="5" t="s">
        <v>219</v>
      </c>
      <c r="C4996" s="5" t="s">
        <v>220</v>
      </c>
      <c r="D4996" s="4" t="s">
        <v>16</v>
      </c>
      <c r="E4996" s="4" t="s">
        <v>4383</v>
      </c>
      <c r="F4996" s="4" t="s">
        <v>406</v>
      </c>
      <c r="G4996" s="4" t="s">
        <v>4384</v>
      </c>
      <c r="H4996" s="12" t="n">
        <v>1</v>
      </c>
      <c r="I4996" s="4" t="s">
        <v>474</v>
      </c>
      <c r="J4996" s="4" t="s">
        <v>409</v>
      </c>
      <c r="K4996" s="13" t="n">
        <v>25000</v>
      </c>
      <c r="L4996" s="6" t="n">
        <f aca="false">H4996*K4996</f>
        <v>25000</v>
      </c>
      <c r="M4996" s="14" t="s">
        <v>410</v>
      </c>
    </row>
    <row r="4997" customFormat="false" ht="23.85" hidden="false" customHeight="false" outlineLevel="0" collapsed="false">
      <c r="A4997" s="4" t="s">
        <v>216</v>
      </c>
      <c r="B4997" s="5" t="s">
        <v>219</v>
      </c>
      <c r="C4997" s="5" t="s">
        <v>220</v>
      </c>
      <c r="D4997" s="4" t="s">
        <v>16</v>
      </c>
      <c r="E4997" s="4" t="s">
        <v>4804</v>
      </c>
      <c r="F4997" s="4" t="s">
        <v>406</v>
      </c>
      <c r="G4997" s="4" t="s">
        <v>4805</v>
      </c>
      <c r="H4997" s="12" t="n">
        <v>2</v>
      </c>
      <c r="I4997" s="4" t="s">
        <v>474</v>
      </c>
      <c r="J4997" s="4" t="s">
        <v>409</v>
      </c>
      <c r="K4997" s="13" t="n">
        <v>3500</v>
      </c>
      <c r="L4997" s="6" t="n">
        <f aca="false">H4997*K4997</f>
        <v>7000</v>
      </c>
      <c r="M4997" s="14" t="s">
        <v>410</v>
      </c>
    </row>
    <row r="4998" customFormat="false" ht="23.85" hidden="false" customHeight="false" outlineLevel="0" collapsed="false">
      <c r="A4998" s="4" t="s">
        <v>216</v>
      </c>
      <c r="B4998" s="5" t="s">
        <v>219</v>
      </c>
      <c r="C4998" s="5" t="s">
        <v>220</v>
      </c>
      <c r="D4998" s="4" t="s">
        <v>16</v>
      </c>
      <c r="E4998" s="4" t="s">
        <v>5766</v>
      </c>
      <c r="F4998" s="4" t="s">
        <v>406</v>
      </c>
      <c r="G4998" s="4" t="s">
        <v>5767</v>
      </c>
      <c r="H4998" s="12" t="n">
        <v>2</v>
      </c>
      <c r="I4998" s="4" t="s">
        <v>474</v>
      </c>
      <c r="J4998" s="4" t="s">
        <v>409</v>
      </c>
      <c r="K4998" s="13" t="n">
        <v>1800</v>
      </c>
      <c r="L4998" s="6" t="n">
        <f aca="false">H4998*K4998</f>
        <v>3600</v>
      </c>
      <c r="M4998" s="14" t="s">
        <v>410</v>
      </c>
    </row>
    <row r="4999" customFormat="false" ht="23.85" hidden="false" customHeight="false" outlineLevel="0" collapsed="false">
      <c r="A4999" s="4" t="s">
        <v>216</v>
      </c>
      <c r="B4999" s="5" t="s">
        <v>219</v>
      </c>
      <c r="C4999" s="5" t="s">
        <v>220</v>
      </c>
      <c r="D4999" s="4" t="s">
        <v>16</v>
      </c>
      <c r="E4999" s="4" t="s">
        <v>5768</v>
      </c>
      <c r="F4999" s="4" t="s">
        <v>406</v>
      </c>
      <c r="G4999" s="4" t="s">
        <v>5769</v>
      </c>
      <c r="H4999" s="12" t="n">
        <v>1</v>
      </c>
      <c r="I4999" s="4" t="s">
        <v>474</v>
      </c>
      <c r="J4999" s="4" t="s">
        <v>409</v>
      </c>
      <c r="K4999" s="13" t="n">
        <v>1200</v>
      </c>
      <c r="L4999" s="6" t="n">
        <f aca="false">H4999*K4999</f>
        <v>1200</v>
      </c>
      <c r="M4999" s="14" t="s">
        <v>410</v>
      </c>
    </row>
    <row r="5000" customFormat="false" ht="23.85" hidden="false" customHeight="false" outlineLevel="0" collapsed="false">
      <c r="A5000" s="4" t="s">
        <v>216</v>
      </c>
      <c r="B5000" s="5" t="s">
        <v>219</v>
      </c>
      <c r="C5000" s="5" t="s">
        <v>220</v>
      </c>
      <c r="D5000" s="4" t="s">
        <v>16</v>
      </c>
      <c r="E5000" s="4" t="s">
        <v>5770</v>
      </c>
      <c r="F5000" s="4" t="s">
        <v>406</v>
      </c>
      <c r="G5000" s="4" t="s">
        <v>5771</v>
      </c>
      <c r="H5000" s="12" t="n">
        <v>2</v>
      </c>
      <c r="I5000" s="4" t="s">
        <v>474</v>
      </c>
      <c r="J5000" s="4" t="s">
        <v>409</v>
      </c>
      <c r="K5000" s="13" t="n">
        <v>1200</v>
      </c>
      <c r="L5000" s="6" t="n">
        <f aca="false">H5000*K5000</f>
        <v>2400</v>
      </c>
      <c r="M5000" s="4" t="s">
        <v>371</v>
      </c>
    </row>
    <row r="5001" customFormat="false" ht="23.85" hidden="false" customHeight="false" outlineLevel="0" collapsed="false">
      <c r="A5001" s="4" t="s">
        <v>216</v>
      </c>
      <c r="B5001" s="5" t="s">
        <v>219</v>
      </c>
      <c r="C5001" s="5" t="s">
        <v>220</v>
      </c>
      <c r="D5001" s="4" t="s">
        <v>16</v>
      </c>
      <c r="E5001" s="4" t="s">
        <v>5772</v>
      </c>
      <c r="F5001" s="4" t="s">
        <v>406</v>
      </c>
      <c r="G5001" s="4" t="s">
        <v>5773</v>
      </c>
      <c r="H5001" s="12" t="n">
        <v>1</v>
      </c>
      <c r="I5001" s="4" t="s">
        <v>474</v>
      </c>
      <c r="J5001" s="4" t="s">
        <v>409</v>
      </c>
      <c r="K5001" s="13" t="n">
        <v>18000</v>
      </c>
      <c r="L5001" s="6" t="n">
        <f aca="false">H5001*K5001</f>
        <v>18000</v>
      </c>
      <c r="M5001" s="14" t="s">
        <v>410</v>
      </c>
    </row>
    <row r="5002" customFormat="false" ht="23.85" hidden="false" customHeight="false" outlineLevel="0" collapsed="false">
      <c r="A5002" s="4" t="s">
        <v>216</v>
      </c>
      <c r="B5002" s="5" t="s">
        <v>219</v>
      </c>
      <c r="C5002" s="5" t="s">
        <v>220</v>
      </c>
      <c r="D5002" s="4" t="s">
        <v>16</v>
      </c>
      <c r="E5002" s="4" t="s">
        <v>5774</v>
      </c>
      <c r="F5002" s="4" t="s">
        <v>406</v>
      </c>
      <c r="G5002" s="4" t="s">
        <v>5775</v>
      </c>
      <c r="H5002" s="12" t="n">
        <v>1</v>
      </c>
      <c r="I5002" s="4" t="s">
        <v>474</v>
      </c>
      <c r="J5002" s="4" t="s">
        <v>409</v>
      </c>
      <c r="K5002" s="13" t="n">
        <v>18000</v>
      </c>
      <c r="L5002" s="6" t="n">
        <f aca="false">H5002*K5002</f>
        <v>18000</v>
      </c>
      <c r="M5002" s="14" t="s">
        <v>410</v>
      </c>
    </row>
    <row r="5003" customFormat="false" ht="23.85" hidden="false" customHeight="false" outlineLevel="0" collapsed="false">
      <c r="A5003" s="4" t="s">
        <v>216</v>
      </c>
      <c r="B5003" s="5" t="s">
        <v>219</v>
      </c>
      <c r="C5003" s="5" t="s">
        <v>220</v>
      </c>
      <c r="D5003" s="4" t="s">
        <v>16</v>
      </c>
      <c r="E5003" s="4" t="s">
        <v>5776</v>
      </c>
      <c r="F5003" s="4" t="s">
        <v>406</v>
      </c>
      <c r="G5003" s="4" t="s">
        <v>5777</v>
      </c>
      <c r="H5003" s="12" t="n">
        <v>2</v>
      </c>
      <c r="I5003" s="4" t="s">
        <v>474</v>
      </c>
      <c r="J5003" s="4" t="s">
        <v>409</v>
      </c>
      <c r="K5003" s="13" t="n">
        <v>450</v>
      </c>
      <c r="L5003" s="6" t="n">
        <f aca="false">H5003*K5003</f>
        <v>900</v>
      </c>
      <c r="M5003" s="14" t="s">
        <v>410</v>
      </c>
    </row>
    <row r="5004" customFormat="false" ht="23.85" hidden="false" customHeight="false" outlineLevel="0" collapsed="false">
      <c r="A5004" s="4" t="s">
        <v>216</v>
      </c>
      <c r="B5004" s="5" t="s">
        <v>219</v>
      </c>
      <c r="C5004" s="5" t="s">
        <v>220</v>
      </c>
      <c r="D5004" s="4" t="s">
        <v>16</v>
      </c>
      <c r="E5004" s="4" t="s">
        <v>5778</v>
      </c>
      <c r="F5004" s="4" t="s">
        <v>470</v>
      </c>
      <c r="G5004" s="4" t="s">
        <v>5779</v>
      </c>
      <c r="H5004" s="12" t="n">
        <v>1</v>
      </c>
      <c r="I5004" s="4" t="s">
        <v>474</v>
      </c>
      <c r="J5004" s="4" t="s">
        <v>409</v>
      </c>
      <c r="K5004" s="13" t="n">
        <v>55000</v>
      </c>
      <c r="L5004" s="6" t="n">
        <f aca="false">H5004*K5004</f>
        <v>55000</v>
      </c>
      <c r="M5004" s="4" t="s">
        <v>371</v>
      </c>
    </row>
    <row r="5005" customFormat="false" ht="23.85" hidden="false" customHeight="false" outlineLevel="0" collapsed="false">
      <c r="A5005" s="4" t="s">
        <v>216</v>
      </c>
      <c r="B5005" s="5" t="s">
        <v>219</v>
      </c>
      <c r="C5005" s="5" t="s">
        <v>220</v>
      </c>
      <c r="D5005" s="4" t="s">
        <v>16</v>
      </c>
      <c r="E5005" s="4" t="s">
        <v>5780</v>
      </c>
      <c r="F5005" s="4" t="s">
        <v>470</v>
      </c>
      <c r="G5005" s="4" t="s">
        <v>5781</v>
      </c>
      <c r="H5005" s="12" t="n">
        <v>1</v>
      </c>
      <c r="I5005" s="4" t="s">
        <v>474</v>
      </c>
      <c r="J5005" s="4" t="s">
        <v>416</v>
      </c>
      <c r="K5005" s="13" t="n">
        <v>45000</v>
      </c>
      <c r="L5005" s="6" t="n">
        <f aca="false">H5005*K5005</f>
        <v>45000</v>
      </c>
      <c r="M5005" s="4" t="s">
        <v>371</v>
      </c>
    </row>
    <row r="5006" customFormat="false" ht="23.85" hidden="false" customHeight="false" outlineLevel="0" collapsed="false">
      <c r="A5006" s="4" t="s">
        <v>216</v>
      </c>
      <c r="B5006" s="5" t="s">
        <v>219</v>
      </c>
      <c r="C5006" s="5" t="s">
        <v>220</v>
      </c>
      <c r="D5006" s="4" t="s">
        <v>16</v>
      </c>
      <c r="E5006" s="4" t="s">
        <v>5782</v>
      </c>
      <c r="F5006" s="4" t="s">
        <v>470</v>
      </c>
      <c r="G5006" s="4" t="s">
        <v>5783</v>
      </c>
      <c r="H5006" s="12" t="n">
        <v>30</v>
      </c>
      <c r="I5006" s="4" t="s">
        <v>474</v>
      </c>
      <c r="J5006" s="4" t="s">
        <v>416</v>
      </c>
      <c r="K5006" s="13" t="n">
        <v>650</v>
      </c>
      <c r="L5006" s="6" t="n">
        <f aca="false">H5006*K5006</f>
        <v>19500</v>
      </c>
      <c r="M5006" s="4" t="s">
        <v>371</v>
      </c>
    </row>
    <row r="5007" customFormat="false" ht="23.85" hidden="false" customHeight="false" outlineLevel="0" collapsed="false">
      <c r="A5007" s="4" t="s">
        <v>216</v>
      </c>
      <c r="B5007" s="5" t="s">
        <v>219</v>
      </c>
      <c r="C5007" s="5" t="s">
        <v>220</v>
      </c>
      <c r="D5007" s="4" t="s">
        <v>16</v>
      </c>
      <c r="E5007" s="4" t="s">
        <v>1453</v>
      </c>
      <c r="F5007" s="4" t="s">
        <v>470</v>
      </c>
      <c r="G5007" s="4" t="s">
        <v>1090</v>
      </c>
      <c r="H5007" s="12" t="n">
        <v>1</v>
      </c>
      <c r="I5007" s="4" t="s">
        <v>474</v>
      </c>
      <c r="J5007" s="4" t="s">
        <v>409</v>
      </c>
      <c r="K5007" s="13" t="n">
        <v>3500</v>
      </c>
      <c r="L5007" s="6" t="n">
        <f aca="false">H5007*K5007</f>
        <v>3500</v>
      </c>
      <c r="M5007" s="4" t="s">
        <v>371</v>
      </c>
    </row>
    <row r="5008" customFormat="false" ht="23.85" hidden="false" customHeight="false" outlineLevel="0" collapsed="false">
      <c r="A5008" s="4" t="s">
        <v>216</v>
      </c>
      <c r="B5008" s="5" t="s">
        <v>219</v>
      </c>
      <c r="C5008" s="5" t="s">
        <v>220</v>
      </c>
      <c r="D5008" s="4" t="s">
        <v>16</v>
      </c>
      <c r="E5008" s="4" t="s">
        <v>3774</v>
      </c>
      <c r="F5008" s="4" t="s">
        <v>470</v>
      </c>
      <c r="G5008" s="4" t="s">
        <v>2278</v>
      </c>
      <c r="H5008" s="12" t="n">
        <v>1</v>
      </c>
      <c r="I5008" s="4" t="s">
        <v>474</v>
      </c>
      <c r="J5008" s="4" t="s">
        <v>413</v>
      </c>
      <c r="K5008" s="13" t="n">
        <v>450</v>
      </c>
      <c r="L5008" s="6" t="n">
        <f aca="false">H5008*K5008</f>
        <v>450</v>
      </c>
      <c r="M5008" s="4" t="s">
        <v>371</v>
      </c>
    </row>
    <row r="5009" customFormat="false" ht="23.85" hidden="false" customHeight="false" outlineLevel="0" collapsed="false">
      <c r="A5009" s="4" t="s">
        <v>216</v>
      </c>
      <c r="B5009" s="5" t="s">
        <v>219</v>
      </c>
      <c r="C5009" s="5" t="s">
        <v>220</v>
      </c>
      <c r="D5009" s="4" t="s">
        <v>16</v>
      </c>
      <c r="E5009" s="4" t="s">
        <v>5784</v>
      </c>
      <c r="F5009" s="4" t="s">
        <v>470</v>
      </c>
      <c r="G5009" s="4" t="s">
        <v>5785</v>
      </c>
      <c r="H5009" s="12" t="n">
        <v>30</v>
      </c>
      <c r="I5009" s="4" t="s">
        <v>474</v>
      </c>
      <c r="J5009" s="4" t="s">
        <v>413</v>
      </c>
      <c r="K5009" s="13" t="n">
        <v>850</v>
      </c>
      <c r="L5009" s="6" t="n">
        <f aca="false">H5009*K5009</f>
        <v>25500</v>
      </c>
      <c r="M5009" s="4" t="s">
        <v>371</v>
      </c>
    </row>
    <row r="5010" customFormat="false" ht="23.85" hidden="false" customHeight="false" outlineLevel="0" collapsed="false">
      <c r="A5010" s="4" t="s">
        <v>216</v>
      </c>
      <c r="B5010" s="5" t="s">
        <v>219</v>
      </c>
      <c r="C5010" s="5" t="s">
        <v>220</v>
      </c>
      <c r="D5010" s="4" t="s">
        <v>16</v>
      </c>
      <c r="E5010" s="4" t="s">
        <v>5786</v>
      </c>
      <c r="F5010" s="4" t="s">
        <v>470</v>
      </c>
      <c r="G5010" s="4" t="s">
        <v>5787</v>
      </c>
      <c r="H5010" s="12" t="n">
        <v>6</v>
      </c>
      <c r="I5010" s="4" t="s">
        <v>474</v>
      </c>
      <c r="J5010" s="4" t="s">
        <v>416</v>
      </c>
      <c r="K5010" s="13" t="n">
        <v>1200</v>
      </c>
      <c r="L5010" s="6" t="n">
        <f aca="false">H5010*K5010</f>
        <v>7200</v>
      </c>
      <c r="M5010" s="4" t="s">
        <v>371</v>
      </c>
    </row>
    <row r="5011" customFormat="false" ht="23.85" hidden="false" customHeight="false" outlineLevel="0" collapsed="false">
      <c r="A5011" s="4" t="s">
        <v>216</v>
      </c>
      <c r="B5011" s="5" t="s">
        <v>219</v>
      </c>
      <c r="C5011" s="5" t="s">
        <v>220</v>
      </c>
      <c r="D5011" s="4" t="s">
        <v>16</v>
      </c>
      <c r="E5011" s="4" t="s">
        <v>5788</v>
      </c>
      <c r="F5011" s="4" t="s">
        <v>488</v>
      </c>
      <c r="G5011" s="4" t="s">
        <v>5789</v>
      </c>
      <c r="H5011" s="12" t="n">
        <v>6</v>
      </c>
      <c r="I5011" s="4" t="s">
        <v>474</v>
      </c>
      <c r="J5011" s="4" t="s">
        <v>409</v>
      </c>
      <c r="K5011" s="13" t="n">
        <v>120</v>
      </c>
      <c r="L5011" s="6" t="n">
        <f aca="false">H5011*K5011</f>
        <v>720</v>
      </c>
      <c r="M5011" s="4" t="s">
        <v>371</v>
      </c>
    </row>
    <row r="5012" customFormat="false" ht="23.85" hidden="false" customHeight="false" outlineLevel="0" collapsed="false">
      <c r="A5012" s="4" t="s">
        <v>216</v>
      </c>
      <c r="B5012" s="5" t="s">
        <v>219</v>
      </c>
      <c r="C5012" s="5" t="s">
        <v>220</v>
      </c>
      <c r="D5012" s="4" t="s">
        <v>16</v>
      </c>
      <c r="E5012" s="4" t="s">
        <v>5790</v>
      </c>
      <c r="F5012" s="4" t="s">
        <v>488</v>
      </c>
      <c r="G5012" s="4" t="s">
        <v>5791</v>
      </c>
      <c r="H5012" s="12" t="n">
        <v>30</v>
      </c>
      <c r="I5012" s="4" t="s">
        <v>474</v>
      </c>
      <c r="J5012" s="4" t="s">
        <v>480</v>
      </c>
      <c r="K5012" s="13" t="n">
        <v>180</v>
      </c>
      <c r="L5012" s="6" t="n">
        <f aca="false">H5012*K5012</f>
        <v>5400</v>
      </c>
      <c r="M5012" s="4" t="s">
        <v>371</v>
      </c>
    </row>
    <row r="5013" customFormat="false" ht="23.85" hidden="false" customHeight="false" outlineLevel="0" collapsed="false">
      <c r="A5013" s="4" t="s">
        <v>216</v>
      </c>
      <c r="B5013" s="5" t="s">
        <v>219</v>
      </c>
      <c r="C5013" s="5" t="s">
        <v>220</v>
      </c>
      <c r="D5013" s="4" t="s">
        <v>16</v>
      </c>
      <c r="E5013" s="4" t="s">
        <v>5792</v>
      </c>
      <c r="F5013" s="4" t="s">
        <v>488</v>
      </c>
      <c r="G5013" s="4" t="s">
        <v>5793</v>
      </c>
      <c r="H5013" s="12" t="n">
        <v>4</v>
      </c>
      <c r="I5013" s="4" t="s">
        <v>474</v>
      </c>
      <c r="J5013" s="4" t="s">
        <v>807</v>
      </c>
      <c r="K5013" s="13" t="n">
        <v>180</v>
      </c>
      <c r="L5013" s="6" t="n">
        <f aca="false">H5013*K5013</f>
        <v>720</v>
      </c>
      <c r="M5013" s="4" t="s">
        <v>371</v>
      </c>
    </row>
    <row r="5014" customFormat="false" ht="23.85" hidden="false" customHeight="false" outlineLevel="0" collapsed="false">
      <c r="A5014" s="4" t="s">
        <v>216</v>
      </c>
      <c r="B5014" s="5" t="s">
        <v>219</v>
      </c>
      <c r="C5014" s="5" t="s">
        <v>220</v>
      </c>
      <c r="D5014" s="4" t="s">
        <v>16</v>
      </c>
      <c r="E5014" s="4" t="s">
        <v>5794</v>
      </c>
      <c r="F5014" s="4" t="s">
        <v>488</v>
      </c>
      <c r="G5014" s="4" t="s">
        <v>5795</v>
      </c>
      <c r="H5014" s="12" t="n">
        <v>4</v>
      </c>
      <c r="I5014" s="4" t="s">
        <v>474</v>
      </c>
      <c r="J5014" s="4" t="s">
        <v>807</v>
      </c>
      <c r="K5014" s="13" t="n">
        <v>180</v>
      </c>
      <c r="L5014" s="6" t="n">
        <f aca="false">H5014*K5014</f>
        <v>720</v>
      </c>
      <c r="M5014" s="4" t="s">
        <v>371</v>
      </c>
    </row>
    <row r="5015" customFormat="false" ht="23.85" hidden="false" customHeight="false" outlineLevel="0" collapsed="false">
      <c r="A5015" s="4" t="s">
        <v>216</v>
      </c>
      <c r="B5015" s="5" t="s">
        <v>219</v>
      </c>
      <c r="C5015" s="5" t="s">
        <v>220</v>
      </c>
      <c r="D5015" s="4" t="s">
        <v>16</v>
      </c>
      <c r="E5015" s="4" t="s">
        <v>5796</v>
      </c>
      <c r="F5015" s="4" t="s">
        <v>488</v>
      </c>
      <c r="G5015" s="4" t="s">
        <v>5797</v>
      </c>
      <c r="H5015" s="12" t="n">
        <v>6</v>
      </c>
      <c r="I5015" s="4" t="s">
        <v>474</v>
      </c>
      <c r="J5015" s="4" t="s">
        <v>416</v>
      </c>
      <c r="K5015" s="13" t="n">
        <v>180</v>
      </c>
      <c r="L5015" s="6" t="n">
        <f aca="false">H5015*K5015</f>
        <v>1080</v>
      </c>
      <c r="M5015" s="4" t="s">
        <v>371</v>
      </c>
    </row>
    <row r="5016" customFormat="false" ht="23.85" hidden="false" customHeight="false" outlineLevel="0" collapsed="false">
      <c r="A5016" s="4" t="s">
        <v>216</v>
      </c>
      <c r="B5016" s="5" t="s">
        <v>219</v>
      </c>
      <c r="C5016" s="5" t="s">
        <v>220</v>
      </c>
      <c r="D5016" s="4" t="s">
        <v>16</v>
      </c>
      <c r="E5016" s="4" t="s">
        <v>5798</v>
      </c>
      <c r="F5016" s="4" t="s">
        <v>488</v>
      </c>
      <c r="G5016" s="4" t="s">
        <v>5799</v>
      </c>
      <c r="H5016" s="12" t="n">
        <v>6</v>
      </c>
      <c r="I5016" s="4" t="s">
        <v>474</v>
      </c>
      <c r="J5016" s="4" t="s">
        <v>506</v>
      </c>
      <c r="K5016" s="13" t="n">
        <v>150</v>
      </c>
      <c r="L5016" s="6" t="n">
        <f aca="false">H5016*K5016</f>
        <v>900</v>
      </c>
      <c r="M5016" s="4" t="s">
        <v>371</v>
      </c>
    </row>
    <row r="5017" customFormat="false" ht="23.85" hidden="false" customHeight="false" outlineLevel="0" collapsed="false">
      <c r="A5017" s="4" t="s">
        <v>216</v>
      </c>
      <c r="B5017" s="5" t="s">
        <v>219</v>
      </c>
      <c r="C5017" s="5" t="s">
        <v>220</v>
      </c>
      <c r="D5017" s="4" t="s">
        <v>16</v>
      </c>
      <c r="E5017" s="4" t="s">
        <v>5668</v>
      </c>
      <c r="F5017" s="4" t="s">
        <v>488</v>
      </c>
      <c r="G5017" s="4" t="s">
        <v>5669</v>
      </c>
      <c r="H5017" s="12" t="n">
        <v>6</v>
      </c>
      <c r="I5017" s="4" t="s">
        <v>474</v>
      </c>
      <c r="J5017" s="4" t="s">
        <v>506</v>
      </c>
      <c r="K5017" s="13" t="n">
        <v>80</v>
      </c>
      <c r="L5017" s="6" t="n">
        <f aca="false">H5017*K5017</f>
        <v>480</v>
      </c>
      <c r="M5017" s="4" t="s">
        <v>371</v>
      </c>
    </row>
    <row r="5018" customFormat="false" ht="23.85" hidden="false" customHeight="false" outlineLevel="0" collapsed="false">
      <c r="A5018" s="4" t="s">
        <v>216</v>
      </c>
      <c r="B5018" s="5" t="s">
        <v>219</v>
      </c>
      <c r="C5018" s="5" t="s">
        <v>220</v>
      </c>
      <c r="D5018" s="4" t="s">
        <v>16</v>
      </c>
      <c r="E5018" s="4" t="s">
        <v>1429</v>
      </c>
      <c r="F5018" s="4" t="s">
        <v>488</v>
      </c>
      <c r="G5018" s="4" t="s">
        <v>1430</v>
      </c>
      <c r="H5018" s="12" t="n">
        <v>6</v>
      </c>
      <c r="I5018" s="4" t="s">
        <v>474</v>
      </c>
      <c r="J5018" s="4" t="s">
        <v>506</v>
      </c>
      <c r="K5018" s="13" t="n">
        <v>120</v>
      </c>
      <c r="L5018" s="6" t="n">
        <f aca="false">H5018*K5018</f>
        <v>720</v>
      </c>
      <c r="M5018" s="4" t="s">
        <v>371</v>
      </c>
    </row>
    <row r="5019" customFormat="false" ht="23.85" hidden="false" customHeight="false" outlineLevel="0" collapsed="false">
      <c r="A5019" s="4" t="s">
        <v>216</v>
      </c>
      <c r="B5019" s="5" t="s">
        <v>219</v>
      </c>
      <c r="C5019" s="5" t="s">
        <v>220</v>
      </c>
      <c r="D5019" s="4" t="s">
        <v>16</v>
      </c>
      <c r="E5019" s="4" t="s">
        <v>5648</v>
      </c>
      <c r="F5019" s="4" t="s">
        <v>488</v>
      </c>
      <c r="G5019" s="4" t="s">
        <v>5649</v>
      </c>
      <c r="H5019" s="12" t="n">
        <v>1</v>
      </c>
      <c r="I5019" s="4" t="s">
        <v>474</v>
      </c>
      <c r="J5019" s="4" t="s">
        <v>503</v>
      </c>
      <c r="K5019" s="13" t="n">
        <v>180</v>
      </c>
      <c r="L5019" s="6" t="n">
        <f aca="false">H5019*K5019</f>
        <v>180</v>
      </c>
      <c r="M5019" s="4" t="s">
        <v>371</v>
      </c>
    </row>
    <row r="5020" customFormat="false" ht="23.85" hidden="false" customHeight="false" outlineLevel="0" collapsed="false">
      <c r="A5020" s="4" t="s">
        <v>216</v>
      </c>
      <c r="B5020" s="5" t="s">
        <v>219</v>
      </c>
      <c r="C5020" s="5" t="s">
        <v>220</v>
      </c>
      <c r="D5020" s="4" t="s">
        <v>16</v>
      </c>
      <c r="E5020" s="4" t="s">
        <v>5800</v>
      </c>
      <c r="F5020" s="4" t="s">
        <v>488</v>
      </c>
      <c r="G5020" s="4" t="s">
        <v>5801</v>
      </c>
      <c r="H5020" s="12" t="n">
        <v>30</v>
      </c>
      <c r="I5020" s="4" t="s">
        <v>474</v>
      </c>
      <c r="J5020" s="4" t="s">
        <v>416</v>
      </c>
      <c r="K5020" s="13" t="n">
        <v>60</v>
      </c>
      <c r="L5020" s="6" t="n">
        <f aca="false">H5020*K5020</f>
        <v>1800</v>
      </c>
      <c r="M5020" s="4" t="s">
        <v>371</v>
      </c>
    </row>
    <row r="5021" customFormat="false" ht="23.85" hidden="false" customHeight="false" outlineLevel="0" collapsed="false">
      <c r="A5021" s="4" t="s">
        <v>216</v>
      </c>
      <c r="B5021" s="5" t="s">
        <v>219</v>
      </c>
      <c r="C5021" s="5" t="s">
        <v>220</v>
      </c>
      <c r="D5021" s="4" t="s">
        <v>16</v>
      </c>
      <c r="E5021" s="4" t="s">
        <v>5802</v>
      </c>
      <c r="F5021" s="4" t="s">
        <v>470</v>
      </c>
      <c r="G5021" s="4" t="s">
        <v>5803</v>
      </c>
      <c r="H5021" s="12" t="n">
        <v>2</v>
      </c>
      <c r="I5021" s="4" t="s">
        <v>474</v>
      </c>
      <c r="J5021" s="4" t="s">
        <v>416</v>
      </c>
      <c r="K5021" s="13" t="n">
        <v>1200</v>
      </c>
      <c r="L5021" s="6" t="n">
        <f aca="false">H5021*K5021</f>
        <v>2400</v>
      </c>
      <c r="M5021" s="4" t="s">
        <v>371</v>
      </c>
    </row>
    <row r="5022" customFormat="false" ht="15" hidden="false" customHeight="false" outlineLevel="0" collapsed="false">
      <c r="A5022" s="4" t="s">
        <v>221</v>
      </c>
      <c r="B5022" s="5" t="s">
        <v>224</v>
      </c>
      <c r="C5022" s="5" t="s">
        <v>225</v>
      </c>
      <c r="D5022" s="4" t="s">
        <v>16</v>
      </c>
      <c r="E5022" s="4" t="s">
        <v>2133</v>
      </c>
      <c r="F5022" s="4" t="s">
        <v>470</v>
      </c>
      <c r="G5022" s="4" t="s">
        <v>2134</v>
      </c>
      <c r="H5022" s="12" t="n">
        <v>30</v>
      </c>
      <c r="I5022" s="4" t="s">
        <v>474</v>
      </c>
      <c r="J5022" s="4" t="s">
        <v>409</v>
      </c>
      <c r="K5022" s="13" t="n">
        <v>55000</v>
      </c>
      <c r="L5022" s="6" t="n">
        <f aca="false">H5022*K5022</f>
        <v>1650000</v>
      </c>
      <c r="M5022" s="14" t="s">
        <v>410</v>
      </c>
    </row>
    <row r="5023" customFormat="false" ht="15" hidden="false" customHeight="false" outlineLevel="0" collapsed="false">
      <c r="A5023" s="4" t="s">
        <v>221</v>
      </c>
      <c r="B5023" s="5" t="s">
        <v>224</v>
      </c>
      <c r="C5023" s="5" t="s">
        <v>225</v>
      </c>
      <c r="D5023" s="4" t="s">
        <v>16</v>
      </c>
      <c r="E5023" s="4" t="s">
        <v>1616</v>
      </c>
      <c r="F5023" s="4" t="s">
        <v>470</v>
      </c>
      <c r="G5023" s="4" t="s">
        <v>1617</v>
      </c>
      <c r="H5023" s="12" t="n">
        <v>1</v>
      </c>
      <c r="I5023" s="4" t="s">
        <v>474</v>
      </c>
      <c r="J5023" s="4" t="s">
        <v>409</v>
      </c>
      <c r="K5023" s="13" t="n">
        <v>12000</v>
      </c>
      <c r="L5023" s="6" t="n">
        <f aca="false">H5023*K5023</f>
        <v>12000</v>
      </c>
      <c r="M5023" s="14" t="s">
        <v>410</v>
      </c>
    </row>
    <row r="5024" customFormat="false" ht="15" hidden="false" customHeight="false" outlineLevel="0" collapsed="false">
      <c r="A5024" s="4" t="s">
        <v>221</v>
      </c>
      <c r="B5024" s="5" t="s">
        <v>224</v>
      </c>
      <c r="C5024" s="5" t="s">
        <v>225</v>
      </c>
      <c r="D5024" s="4" t="s">
        <v>16</v>
      </c>
      <c r="E5024" s="4" t="s">
        <v>1697</v>
      </c>
      <c r="F5024" s="4" t="s">
        <v>470</v>
      </c>
      <c r="G5024" s="4" t="s">
        <v>1698</v>
      </c>
      <c r="H5024" s="12" t="n">
        <v>1</v>
      </c>
      <c r="I5024" s="4" t="s">
        <v>408</v>
      </c>
      <c r="J5024" s="4" t="s">
        <v>409</v>
      </c>
      <c r="K5024" s="13" t="n">
        <v>45000</v>
      </c>
      <c r="L5024" s="6" t="n">
        <f aca="false">H5024*K5024</f>
        <v>45000</v>
      </c>
      <c r="M5024" s="14" t="s">
        <v>410</v>
      </c>
    </row>
    <row r="5025" customFormat="false" ht="15" hidden="false" customHeight="false" outlineLevel="0" collapsed="false">
      <c r="A5025" s="4" t="s">
        <v>221</v>
      </c>
      <c r="B5025" s="5" t="s">
        <v>224</v>
      </c>
      <c r="C5025" s="5" t="s">
        <v>225</v>
      </c>
      <c r="D5025" s="4" t="s">
        <v>16</v>
      </c>
      <c r="E5025" s="4" t="s">
        <v>1699</v>
      </c>
      <c r="F5025" s="4" t="s">
        <v>470</v>
      </c>
      <c r="G5025" s="4" t="s">
        <v>1700</v>
      </c>
      <c r="H5025" s="12" t="n">
        <v>1</v>
      </c>
      <c r="I5025" s="4" t="s">
        <v>408</v>
      </c>
      <c r="J5025" s="4" t="s">
        <v>409</v>
      </c>
      <c r="K5025" s="13" t="n">
        <v>55000</v>
      </c>
      <c r="L5025" s="6" t="n">
        <f aca="false">H5025*K5025</f>
        <v>55000</v>
      </c>
      <c r="M5025" s="14" t="s">
        <v>410</v>
      </c>
    </row>
    <row r="5026" customFormat="false" ht="15" hidden="false" customHeight="false" outlineLevel="0" collapsed="false">
      <c r="A5026" s="4" t="s">
        <v>221</v>
      </c>
      <c r="B5026" s="5" t="s">
        <v>224</v>
      </c>
      <c r="C5026" s="5" t="s">
        <v>225</v>
      </c>
      <c r="D5026" s="4" t="s">
        <v>16</v>
      </c>
      <c r="E5026" s="4" t="s">
        <v>2135</v>
      </c>
      <c r="F5026" s="4" t="s">
        <v>470</v>
      </c>
      <c r="G5026" s="4" t="s">
        <v>2136</v>
      </c>
      <c r="H5026" s="12" t="n">
        <v>1</v>
      </c>
      <c r="I5026" s="4" t="s">
        <v>408</v>
      </c>
      <c r="J5026" s="4" t="s">
        <v>543</v>
      </c>
      <c r="K5026" s="13" t="n">
        <v>25000</v>
      </c>
      <c r="L5026" s="6" t="n">
        <f aca="false">H5026*K5026</f>
        <v>25000</v>
      </c>
      <c r="M5026" s="4" t="s">
        <v>371</v>
      </c>
    </row>
    <row r="5027" customFormat="false" ht="15" hidden="false" customHeight="false" outlineLevel="0" collapsed="false">
      <c r="A5027" s="4" t="s">
        <v>221</v>
      </c>
      <c r="B5027" s="5" t="s">
        <v>224</v>
      </c>
      <c r="C5027" s="5" t="s">
        <v>225</v>
      </c>
      <c r="D5027" s="4" t="s">
        <v>16</v>
      </c>
      <c r="E5027" s="4" t="s">
        <v>2010</v>
      </c>
      <c r="F5027" s="4" t="s">
        <v>470</v>
      </c>
      <c r="G5027" s="4" t="s">
        <v>2011</v>
      </c>
      <c r="H5027" s="12" t="n">
        <v>30</v>
      </c>
      <c r="I5027" s="4" t="s">
        <v>474</v>
      </c>
      <c r="J5027" s="4" t="s">
        <v>409</v>
      </c>
      <c r="K5027" s="13" t="n">
        <v>3500</v>
      </c>
      <c r="L5027" s="6" t="n">
        <f aca="false">H5027*K5027</f>
        <v>105000</v>
      </c>
      <c r="M5027" s="4" t="s">
        <v>371</v>
      </c>
    </row>
    <row r="5028" customFormat="false" ht="15" hidden="false" customHeight="false" outlineLevel="0" collapsed="false">
      <c r="A5028" s="4" t="s">
        <v>221</v>
      </c>
      <c r="B5028" s="5" t="s">
        <v>224</v>
      </c>
      <c r="C5028" s="5" t="s">
        <v>225</v>
      </c>
      <c r="D5028" s="4" t="s">
        <v>16</v>
      </c>
      <c r="E5028" s="4" t="s">
        <v>2137</v>
      </c>
      <c r="F5028" s="4" t="s">
        <v>470</v>
      </c>
      <c r="G5028" s="4" t="s">
        <v>2138</v>
      </c>
      <c r="H5028" s="12" t="n">
        <v>30</v>
      </c>
      <c r="I5028" s="4" t="s">
        <v>474</v>
      </c>
      <c r="J5028" s="4" t="s">
        <v>409</v>
      </c>
      <c r="K5028" s="13" t="n">
        <v>4500</v>
      </c>
      <c r="L5028" s="6" t="n">
        <f aca="false">H5028*K5028</f>
        <v>135000</v>
      </c>
      <c r="M5028" s="4" t="s">
        <v>371</v>
      </c>
    </row>
    <row r="5029" customFormat="false" ht="15" hidden="false" customHeight="false" outlineLevel="0" collapsed="false">
      <c r="A5029" s="4" t="s">
        <v>221</v>
      </c>
      <c r="B5029" s="5" t="s">
        <v>224</v>
      </c>
      <c r="C5029" s="5" t="s">
        <v>225</v>
      </c>
      <c r="D5029" s="4" t="s">
        <v>16</v>
      </c>
      <c r="E5029" s="4" t="s">
        <v>1711</v>
      </c>
      <c r="F5029" s="4" t="s">
        <v>470</v>
      </c>
      <c r="G5029" s="4" t="s">
        <v>1712</v>
      </c>
      <c r="H5029" s="12" t="n">
        <v>1</v>
      </c>
      <c r="I5029" s="4" t="s">
        <v>408</v>
      </c>
      <c r="J5029" s="4" t="s">
        <v>409</v>
      </c>
      <c r="K5029" s="13" t="n">
        <v>850</v>
      </c>
      <c r="L5029" s="6" t="n">
        <f aca="false">H5029*K5029</f>
        <v>850</v>
      </c>
      <c r="M5029" s="4" t="s">
        <v>371</v>
      </c>
    </row>
    <row r="5030" customFormat="false" ht="15" hidden="false" customHeight="false" outlineLevel="0" collapsed="false">
      <c r="A5030" s="4" t="s">
        <v>221</v>
      </c>
      <c r="B5030" s="5" t="s">
        <v>224</v>
      </c>
      <c r="C5030" s="5" t="s">
        <v>225</v>
      </c>
      <c r="D5030" s="4" t="s">
        <v>16</v>
      </c>
      <c r="E5030" s="4" t="s">
        <v>1713</v>
      </c>
      <c r="F5030" s="4" t="s">
        <v>470</v>
      </c>
      <c r="G5030" s="4" t="s">
        <v>1714</v>
      </c>
      <c r="H5030" s="12" t="n">
        <v>1</v>
      </c>
      <c r="I5030" s="4" t="s">
        <v>408</v>
      </c>
      <c r="J5030" s="4" t="s">
        <v>543</v>
      </c>
      <c r="K5030" s="13" t="n">
        <v>850</v>
      </c>
      <c r="L5030" s="6" t="n">
        <f aca="false">H5030*K5030</f>
        <v>850</v>
      </c>
      <c r="M5030" s="4" t="s">
        <v>371</v>
      </c>
    </row>
    <row r="5031" customFormat="false" ht="15" hidden="false" customHeight="false" outlineLevel="0" collapsed="false">
      <c r="A5031" s="4" t="s">
        <v>221</v>
      </c>
      <c r="B5031" s="5" t="s">
        <v>224</v>
      </c>
      <c r="C5031" s="5" t="s">
        <v>225</v>
      </c>
      <c r="D5031" s="4" t="s">
        <v>16</v>
      </c>
      <c r="E5031" s="4" t="s">
        <v>1648</v>
      </c>
      <c r="F5031" s="4" t="s">
        <v>470</v>
      </c>
      <c r="G5031" s="4" t="s">
        <v>1424</v>
      </c>
      <c r="H5031" s="12" t="n">
        <v>1</v>
      </c>
      <c r="I5031" s="4" t="s">
        <v>408</v>
      </c>
      <c r="J5031" s="4" t="s">
        <v>409</v>
      </c>
      <c r="K5031" s="13" t="n">
        <v>3500</v>
      </c>
      <c r="L5031" s="6" t="n">
        <f aca="false">H5031*K5031</f>
        <v>3500</v>
      </c>
      <c r="M5031" s="4" t="s">
        <v>371</v>
      </c>
    </row>
    <row r="5032" customFormat="false" ht="15" hidden="false" customHeight="false" outlineLevel="0" collapsed="false">
      <c r="A5032" s="4" t="s">
        <v>221</v>
      </c>
      <c r="B5032" s="5" t="s">
        <v>224</v>
      </c>
      <c r="C5032" s="5" t="s">
        <v>225</v>
      </c>
      <c r="D5032" s="4" t="s">
        <v>16</v>
      </c>
      <c r="E5032" s="4" t="s">
        <v>2139</v>
      </c>
      <c r="F5032" s="4" t="s">
        <v>470</v>
      </c>
      <c r="G5032" s="4" t="s">
        <v>2140</v>
      </c>
      <c r="H5032" s="12" t="n">
        <v>1</v>
      </c>
      <c r="I5032" s="4" t="s">
        <v>408</v>
      </c>
      <c r="J5032" s="4" t="s">
        <v>409</v>
      </c>
      <c r="K5032" s="13" t="n">
        <v>2500</v>
      </c>
      <c r="L5032" s="6" t="n">
        <f aca="false">H5032*K5032</f>
        <v>2500</v>
      </c>
      <c r="M5032" s="4" t="s">
        <v>371</v>
      </c>
    </row>
    <row r="5033" customFormat="false" ht="15" hidden="false" customHeight="false" outlineLevel="0" collapsed="false">
      <c r="A5033" s="4" t="s">
        <v>221</v>
      </c>
      <c r="B5033" s="5" t="s">
        <v>224</v>
      </c>
      <c r="C5033" s="5" t="s">
        <v>225</v>
      </c>
      <c r="D5033" s="4" t="s">
        <v>16</v>
      </c>
      <c r="E5033" s="4" t="s">
        <v>1723</v>
      </c>
      <c r="F5033" s="4" t="s">
        <v>488</v>
      </c>
      <c r="G5033" s="4" t="s">
        <v>1724</v>
      </c>
      <c r="H5033" s="12" t="n">
        <v>1</v>
      </c>
      <c r="I5033" s="4" t="s">
        <v>408</v>
      </c>
      <c r="J5033" s="4" t="s">
        <v>409</v>
      </c>
      <c r="K5033" s="13" t="n">
        <v>25</v>
      </c>
      <c r="L5033" s="6" t="n">
        <f aca="false">H5033*K5033</f>
        <v>25</v>
      </c>
      <c r="M5033" s="4" t="s">
        <v>371</v>
      </c>
    </row>
    <row r="5034" customFormat="false" ht="15" hidden="false" customHeight="false" outlineLevel="0" collapsed="false">
      <c r="A5034" s="4" t="s">
        <v>221</v>
      </c>
      <c r="B5034" s="5" t="s">
        <v>230</v>
      </c>
      <c r="C5034" s="5" t="s">
        <v>231</v>
      </c>
      <c r="D5034" s="4" t="s">
        <v>16</v>
      </c>
      <c r="E5034" s="4" t="s">
        <v>1058</v>
      </c>
      <c r="F5034" s="4" t="s">
        <v>470</v>
      </c>
      <c r="G5034" s="4" t="s">
        <v>1059</v>
      </c>
      <c r="H5034" s="12" t="n">
        <v>1</v>
      </c>
      <c r="I5034" s="4" t="s">
        <v>408</v>
      </c>
      <c r="J5034" s="4" t="s">
        <v>409</v>
      </c>
      <c r="K5034" s="13" t="n">
        <v>45000</v>
      </c>
      <c r="L5034" s="6" t="n">
        <f aca="false">H5034*K5034</f>
        <v>45000</v>
      </c>
      <c r="M5034" s="14" t="s">
        <v>410</v>
      </c>
    </row>
    <row r="5035" customFormat="false" ht="15" hidden="false" customHeight="false" outlineLevel="0" collapsed="false">
      <c r="A5035" s="4" t="s">
        <v>221</v>
      </c>
      <c r="B5035" s="5" t="s">
        <v>230</v>
      </c>
      <c r="C5035" s="5" t="s">
        <v>231</v>
      </c>
      <c r="D5035" s="4" t="s">
        <v>16</v>
      </c>
      <c r="E5035" s="4" t="s">
        <v>2143</v>
      </c>
      <c r="F5035" s="4" t="s">
        <v>470</v>
      </c>
      <c r="G5035" s="4" t="s">
        <v>2144</v>
      </c>
      <c r="H5035" s="12" t="n">
        <v>1</v>
      </c>
      <c r="I5035" s="4" t="s">
        <v>408</v>
      </c>
      <c r="J5035" s="4" t="s">
        <v>409</v>
      </c>
      <c r="K5035" s="13" t="n">
        <v>55000</v>
      </c>
      <c r="L5035" s="6" t="n">
        <f aca="false">H5035*K5035</f>
        <v>55000</v>
      </c>
      <c r="M5035" s="4" t="s">
        <v>371</v>
      </c>
    </row>
    <row r="5036" customFormat="false" ht="15" hidden="false" customHeight="false" outlineLevel="0" collapsed="false">
      <c r="A5036" s="4" t="s">
        <v>221</v>
      </c>
      <c r="B5036" s="5" t="s">
        <v>230</v>
      </c>
      <c r="C5036" s="5" t="s">
        <v>231</v>
      </c>
      <c r="D5036" s="4" t="s">
        <v>16</v>
      </c>
      <c r="E5036" s="4" t="s">
        <v>2145</v>
      </c>
      <c r="F5036" s="4" t="s">
        <v>470</v>
      </c>
      <c r="G5036" s="4" t="s">
        <v>2146</v>
      </c>
      <c r="H5036" s="12" t="n">
        <v>1</v>
      </c>
      <c r="I5036" s="4" t="s">
        <v>408</v>
      </c>
      <c r="J5036" s="4" t="s">
        <v>409</v>
      </c>
      <c r="K5036" s="13" t="n">
        <v>55000</v>
      </c>
      <c r="L5036" s="6" t="n">
        <f aca="false">H5036*K5036</f>
        <v>55000</v>
      </c>
      <c r="M5036" s="4" t="s">
        <v>371</v>
      </c>
    </row>
    <row r="5037" customFormat="false" ht="15" hidden="false" customHeight="false" outlineLevel="0" collapsed="false">
      <c r="A5037" s="4" t="s">
        <v>221</v>
      </c>
      <c r="B5037" s="5" t="s">
        <v>230</v>
      </c>
      <c r="C5037" s="5" t="s">
        <v>231</v>
      </c>
      <c r="D5037" s="4" t="s">
        <v>16</v>
      </c>
      <c r="E5037" s="4" t="s">
        <v>2147</v>
      </c>
      <c r="F5037" s="4" t="s">
        <v>470</v>
      </c>
      <c r="G5037" s="4" t="s">
        <v>2148</v>
      </c>
      <c r="H5037" s="12" t="n">
        <v>1</v>
      </c>
      <c r="I5037" s="4" t="s">
        <v>408</v>
      </c>
      <c r="J5037" s="4" t="s">
        <v>543</v>
      </c>
      <c r="K5037" s="13" t="n">
        <v>12000</v>
      </c>
      <c r="L5037" s="6" t="n">
        <f aca="false">H5037*K5037</f>
        <v>12000</v>
      </c>
      <c r="M5037" s="4" t="s">
        <v>371</v>
      </c>
    </row>
    <row r="5038" customFormat="false" ht="15" hidden="false" customHeight="false" outlineLevel="0" collapsed="false">
      <c r="A5038" s="4" t="s">
        <v>221</v>
      </c>
      <c r="B5038" s="5" t="s">
        <v>230</v>
      </c>
      <c r="C5038" s="5" t="s">
        <v>231</v>
      </c>
      <c r="D5038" s="4" t="s">
        <v>16</v>
      </c>
      <c r="E5038" s="4" t="s">
        <v>1697</v>
      </c>
      <c r="F5038" s="4" t="s">
        <v>470</v>
      </c>
      <c r="G5038" s="4" t="s">
        <v>1698</v>
      </c>
      <c r="H5038" s="12" t="n">
        <v>1</v>
      </c>
      <c r="I5038" s="4" t="s">
        <v>408</v>
      </c>
      <c r="J5038" s="4" t="s">
        <v>409</v>
      </c>
      <c r="K5038" s="13" t="n">
        <v>45000</v>
      </c>
      <c r="L5038" s="6" t="n">
        <f aca="false">H5038*K5038</f>
        <v>45000</v>
      </c>
      <c r="M5038" s="14" t="s">
        <v>410</v>
      </c>
    </row>
    <row r="5039" customFormat="false" ht="15" hidden="false" customHeight="false" outlineLevel="0" collapsed="false">
      <c r="A5039" s="4" t="s">
        <v>221</v>
      </c>
      <c r="B5039" s="5" t="s">
        <v>230</v>
      </c>
      <c r="C5039" s="5" t="s">
        <v>231</v>
      </c>
      <c r="D5039" s="4" t="s">
        <v>16</v>
      </c>
      <c r="E5039" s="4" t="s">
        <v>1699</v>
      </c>
      <c r="F5039" s="4" t="s">
        <v>470</v>
      </c>
      <c r="G5039" s="4" t="s">
        <v>1700</v>
      </c>
      <c r="H5039" s="12" t="n">
        <v>1</v>
      </c>
      <c r="I5039" s="4" t="s">
        <v>408</v>
      </c>
      <c r="J5039" s="4" t="s">
        <v>409</v>
      </c>
      <c r="K5039" s="13" t="n">
        <v>55000</v>
      </c>
      <c r="L5039" s="6" t="n">
        <f aca="false">H5039*K5039</f>
        <v>55000</v>
      </c>
      <c r="M5039" s="14" t="s">
        <v>410</v>
      </c>
    </row>
    <row r="5040" customFormat="false" ht="15" hidden="false" customHeight="false" outlineLevel="0" collapsed="false">
      <c r="A5040" s="4" t="s">
        <v>221</v>
      </c>
      <c r="B5040" s="5" t="s">
        <v>230</v>
      </c>
      <c r="C5040" s="5" t="s">
        <v>231</v>
      </c>
      <c r="D5040" s="4" t="s">
        <v>16</v>
      </c>
      <c r="E5040" s="4" t="s">
        <v>5804</v>
      </c>
      <c r="F5040" s="4" t="s">
        <v>470</v>
      </c>
      <c r="G5040" s="4" t="s">
        <v>5805</v>
      </c>
      <c r="H5040" s="12" t="n">
        <v>1</v>
      </c>
      <c r="I5040" s="4" t="s">
        <v>408</v>
      </c>
      <c r="J5040" s="4" t="s">
        <v>543</v>
      </c>
      <c r="K5040" s="13" t="n">
        <v>25000</v>
      </c>
      <c r="L5040" s="6" t="n">
        <f aca="false">H5040*K5040</f>
        <v>25000</v>
      </c>
      <c r="M5040" s="4" t="s">
        <v>371</v>
      </c>
    </row>
    <row r="5041" customFormat="false" ht="15" hidden="false" customHeight="false" outlineLevel="0" collapsed="false">
      <c r="A5041" s="4" t="s">
        <v>221</v>
      </c>
      <c r="B5041" s="5" t="s">
        <v>230</v>
      </c>
      <c r="C5041" s="5" t="s">
        <v>231</v>
      </c>
      <c r="D5041" s="4" t="s">
        <v>16</v>
      </c>
      <c r="E5041" s="4" t="s">
        <v>5806</v>
      </c>
      <c r="F5041" s="4" t="s">
        <v>470</v>
      </c>
      <c r="G5041" s="4" t="s">
        <v>5807</v>
      </c>
      <c r="H5041" s="12" t="n">
        <v>1</v>
      </c>
      <c r="I5041" s="4" t="s">
        <v>408</v>
      </c>
      <c r="J5041" s="4" t="s">
        <v>2810</v>
      </c>
      <c r="K5041" s="13" t="n">
        <v>0</v>
      </c>
      <c r="L5041" s="6" t="n">
        <f aca="false">H5041*K5041</f>
        <v>0</v>
      </c>
      <c r="M5041" s="4" t="s">
        <v>371</v>
      </c>
    </row>
    <row r="5042" customFormat="false" ht="15" hidden="false" customHeight="false" outlineLevel="0" collapsed="false">
      <c r="A5042" s="4" t="s">
        <v>221</v>
      </c>
      <c r="B5042" s="5" t="s">
        <v>230</v>
      </c>
      <c r="C5042" s="5" t="s">
        <v>231</v>
      </c>
      <c r="D5042" s="4" t="s">
        <v>16</v>
      </c>
      <c r="E5042" s="4" t="s">
        <v>5808</v>
      </c>
      <c r="F5042" s="4" t="s">
        <v>470</v>
      </c>
      <c r="G5042" s="4" t="s">
        <v>5809</v>
      </c>
      <c r="H5042" s="12" t="n">
        <v>1</v>
      </c>
      <c r="I5042" s="4" t="s">
        <v>408</v>
      </c>
      <c r="J5042" s="4" t="s">
        <v>543</v>
      </c>
      <c r="K5042" s="13" t="n">
        <v>25000</v>
      </c>
      <c r="L5042" s="6" t="n">
        <f aca="false">H5042*K5042</f>
        <v>25000</v>
      </c>
      <c r="M5042" s="4" t="s">
        <v>371</v>
      </c>
    </row>
    <row r="5043" customFormat="false" ht="15" hidden="false" customHeight="false" outlineLevel="0" collapsed="false">
      <c r="A5043" s="4" t="s">
        <v>221</v>
      </c>
      <c r="B5043" s="5" t="s">
        <v>230</v>
      </c>
      <c r="C5043" s="5" t="s">
        <v>231</v>
      </c>
      <c r="D5043" s="4" t="s">
        <v>16</v>
      </c>
      <c r="E5043" s="4" t="s">
        <v>1648</v>
      </c>
      <c r="F5043" s="4" t="s">
        <v>470</v>
      </c>
      <c r="G5043" s="4" t="s">
        <v>1424</v>
      </c>
      <c r="H5043" s="12" t="n">
        <v>1</v>
      </c>
      <c r="I5043" s="4" t="s">
        <v>408</v>
      </c>
      <c r="J5043" s="4" t="s">
        <v>409</v>
      </c>
      <c r="K5043" s="13" t="n">
        <v>3500</v>
      </c>
      <c r="L5043" s="6" t="n">
        <f aca="false">H5043*K5043</f>
        <v>3500</v>
      </c>
      <c r="M5043" s="4" t="s">
        <v>371</v>
      </c>
    </row>
    <row r="5044" customFormat="false" ht="15" hidden="false" customHeight="false" outlineLevel="0" collapsed="false">
      <c r="A5044" s="4" t="s">
        <v>221</v>
      </c>
      <c r="B5044" s="5" t="s">
        <v>230</v>
      </c>
      <c r="C5044" s="5" t="s">
        <v>231</v>
      </c>
      <c r="D5044" s="4" t="s">
        <v>16</v>
      </c>
      <c r="E5044" s="4" t="s">
        <v>5810</v>
      </c>
      <c r="F5044" s="4" t="s">
        <v>470</v>
      </c>
      <c r="G5044" s="4" t="s">
        <v>4619</v>
      </c>
      <c r="H5044" s="12" t="n">
        <v>1</v>
      </c>
      <c r="I5044" s="4" t="s">
        <v>408</v>
      </c>
      <c r="J5044" s="4" t="s">
        <v>416</v>
      </c>
      <c r="K5044" s="13" t="n">
        <v>1800</v>
      </c>
      <c r="L5044" s="6" t="n">
        <f aca="false">H5044*K5044</f>
        <v>1800</v>
      </c>
      <c r="M5044" s="4" t="s">
        <v>371</v>
      </c>
    </row>
    <row r="5045" customFormat="false" ht="15" hidden="false" customHeight="false" outlineLevel="0" collapsed="false">
      <c r="A5045" s="4" t="s">
        <v>221</v>
      </c>
      <c r="B5045" s="5" t="s">
        <v>230</v>
      </c>
      <c r="C5045" s="5" t="s">
        <v>231</v>
      </c>
      <c r="D5045" s="4" t="s">
        <v>16</v>
      </c>
      <c r="E5045" s="4" t="s">
        <v>1648</v>
      </c>
      <c r="F5045" s="4" t="s">
        <v>470</v>
      </c>
      <c r="G5045" s="4" t="s">
        <v>1424</v>
      </c>
      <c r="H5045" s="12" t="n">
        <v>1</v>
      </c>
      <c r="I5045" s="4" t="s">
        <v>408</v>
      </c>
      <c r="J5045" s="4" t="s">
        <v>409</v>
      </c>
      <c r="K5045" s="13" t="n">
        <v>3500</v>
      </c>
      <c r="L5045" s="6" t="n">
        <f aca="false">H5045*K5045</f>
        <v>3500</v>
      </c>
      <c r="M5045" s="4" t="s">
        <v>371</v>
      </c>
    </row>
    <row r="5046" customFormat="false" ht="15" hidden="false" customHeight="false" outlineLevel="0" collapsed="false">
      <c r="A5046" s="4" t="s">
        <v>221</v>
      </c>
      <c r="B5046" s="5" t="s">
        <v>230</v>
      </c>
      <c r="C5046" s="5" t="s">
        <v>231</v>
      </c>
      <c r="D5046" s="4" t="s">
        <v>16</v>
      </c>
      <c r="E5046" s="4" t="s">
        <v>2157</v>
      </c>
      <c r="F5046" s="4" t="s">
        <v>488</v>
      </c>
      <c r="G5046" s="4" t="s">
        <v>2158</v>
      </c>
      <c r="H5046" s="12" t="n">
        <v>1</v>
      </c>
      <c r="I5046" s="4" t="s">
        <v>408</v>
      </c>
      <c r="J5046" s="4" t="s">
        <v>506</v>
      </c>
      <c r="K5046" s="13" t="n">
        <v>120</v>
      </c>
      <c r="L5046" s="6" t="n">
        <f aca="false">H5046*K5046</f>
        <v>120</v>
      </c>
      <c r="M5046" s="4" t="s">
        <v>371</v>
      </c>
    </row>
    <row r="5047" customFormat="false" ht="15" hidden="false" customHeight="false" outlineLevel="0" collapsed="false">
      <c r="A5047" s="4" t="s">
        <v>221</v>
      </c>
      <c r="B5047" s="5" t="s">
        <v>230</v>
      </c>
      <c r="C5047" s="5" t="s">
        <v>231</v>
      </c>
      <c r="D5047" s="4" t="s">
        <v>16</v>
      </c>
      <c r="E5047" s="4" t="s">
        <v>2159</v>
      </c>
      <c r="F5047" s="4" t="s">
        <v>488</v>
      </c>
      <c r="G5047" s="4" t="s">
        <v>2160</v>
      </c>
      <c r="H5047" s="12" t="n">
        <v>1</v>
      </c>
      <c r="I5047" s="4" t="s">
        <v>408</v>
      </c>
      <c r="J5047" s="4" t="s">
        <v>416</v>
      </c>
      <c r="K5047" s="13" t="n">
        <v>120</v>
      </c>
      <c r="L5047" s="6" t="n">
        <f aca="false">H5047*K5047</f>
        <v>120</v>
      </c>
      <c r="M5047" s="4" t="s">
        <v>371</v>
      </c>
    </row>
    <row r="5048" customFormat="false" ht="15" hidden="false" customHeight="false" outlineLevel="0" collapsed="false">
      <c r="A5048" s="4" t="s">
        <v>221</v>
      </c>
      <c r="B5048" s="5" t="s">
        <v>230</v>
      </c>
      <c r="C5048" s="5" t="s">
        <v>231</v>
      </c>
      <c r="D5048" s="4" t="s">
        <v>16</v>
      </c>
      <c r="E5048" s="4" t="s">
        <v>1723</v>
      </c>
      <c r="F5048" s="4" t="s">
        <v>488</v>
      </c>
      <c r="G5048" s="4" t="s">
        <v>1724</v>
      </c>
      <c r="H5048" s="12" t="n">
        <v>1</v>
      </c>
      <c r="I5048" s="4" t="s">
        <v>408</v>
      </c>
      <c r="J5048" s="4" t="s">
        <v>409</v>
      </c>
      <c r="K5048" s="13" t="n">
        <v>25</v>
      </c>
      <c r="L5048" s="6" t="n">
        <f aca="false">H5048*K5048</f>
        <v>25</v>
      </c>
      <c r="M5048" s="4" t="s">
        <v>371</v>
      </c>
    </row>
    <row r="5049" customFormat="false" ht="15" hidden="false" customHeight="false" outlineLevel="0" collapsed="false">
      <c r="A5049" s="4" t="s">
        <v>221</v>
      </c>
      <c r="B5049" s="5" t="s">
        <v>232</v>
      </c>
      <c r="C5049" s="5" t="s">
        <v>233</v>
      </c>
      <c r="D5049" s="4" t="s">
        <v>16</v>
      </c>
      <c r="E5049" s="4" t="s">
        <v>3423</v>
      </c>
      <c r="F5049" s="4" t="s">
        <v>406</v>
      </c>
      <c r="G5049" s="4" t="s">
        <v>3424</v>
      </c>
      <c r="H5049" s="12" t="n">
        <v>1</v>
      </c>
      <c r="I5049" s="4" t="s">
        <v>408</v>
      </c>
      <c r="J5049" s="4" t="s">
        <v>409</v>
      </c>
      <c r="K5049" s="13" t="n">
        <v>18000</v>
      </c>
      <c r="L5049" s="6" t="n">
        <f aca="false">H5049*K5049</f>
        <v>18000</v>
      </c>
      <c r="M5049" s="14" t="s">
        <v>410</v>
      </c>
    </row>
    <row r="5050" customFormat="false" ht="15" hidden="false" customHeight="false" outlineLevel="0" collapsed="false">
      <c r="A5050" s="4" t="s">
        <v>221</v>
      </c>
      <c r="B5050" s="5" t="s">
        <v>232</v>
      </c>
      <c r="C5050" s="5" t="s">
        <v>233</v>
      </c>
      <c r="D5050" s="4" t="s">
        <v>16</v>
      </c>
      <c r="E5050" s="4" t="s">
        <v>5811</v>
      </c>
      <c r="F5050" s="4" t="s">
        <v>406</v>
      </c>
      <c r="G5050" s="4" t="s">
        <v>1607</v>
      </c>
      <c r="H5050" s="12" t="n">
        <v>1</v>
      </c>
      <c r="I5050" s="4" t="s">
        <v>408</v>
      </c>
      <c r="J5050" s="4" t="s">
        <v>409</v>
      </c>
      <c r="K5050" s="13" t="n">
        <v>1200</v>
      </c>
      <c r="L5050" s="6" t="n">
        <f aca="false">H5050*K5050</f>
        <v>1200</v>
      </c>
      <c r="M5050" s="14" t="s">
        <v>410</v>
      </c>
    </row>
    <row r="5051" customFormat="false" ht="15" hidden="false" customHeight="false" outlineLevel="0" collapsed="false">
      <c r="A5051" s="4" t="s">
        <v>221</v>
      </c>
      <c r="B5051" s="5" t="s">
        <v>232</v>
      </c>
      <c r="C5051" s="5" t="s">
        <v>233</v>
      </c>
      <c r="D5051" s="4" t="s">
        <v>16</v>
      </c>
      <c r="E5051" s="4" t="s">
        <v>5812</v>
      </c>
      <c r="F5051" s="4" t="s">
        <v>470</v>
      </c>
      <c r="G5051" s="4" t="s">
        <v>2134</v>
      </c>
      <c r="H5051" s="12" t="n">
        <v>1</v>
      </c>
      <c r="I5051" s="4" t="s">
        <v>408</v>
      </c>
      <c r="J5051" s="4" t="s">
        <v>409</v>
      </c>
      <c r="K5051" s="13" t="n">
        <v>55000</v>
      </c>
      <c r="L5051" s="6" t="n">
        <f aca="false">H5051*K5051</f>
        <v>55000</v>
      </c>
      <c r="M5051" s="14" t="s">
        <v>410</v>
      </c>
    </row>
    <row r="5052" customFormat="false" ht="15" hidden="false" customHeight="false" outlineLevel="0" collapsed="false">
      <c r="A5052" s="4" t="s">
        <v>221</v>
      </c>
      <c r="B5052" s="5" t="s">
        <v>232</v>
      </c>
      <c r="C5052" s="5" t="s">
        <v>233</v>
      </c>
      <c r="D5052" s="4" t="s">
        <v>16</v>
      </c>
      <c r="E5052" s="4" t="s">
        <v>5813</v>
      </c>
      <c r="F5052" s="4" t="s">
        <v>470</v>
      </c>
      <c r="G5052" s="4" t="s">
        <v>5814</v>
      </c>
      <c r="H5052" s="12" t="n">
        <v>1</v>
      </c>
      <c r="I5052" s="4" t="s">
        <v>408</v>
      </c>
      <c r="J5052" s="4" t="s">
        <v>416</v>
      </c>
      <c r="K5052" s="13" t="n">
        <v>8500</v>
      </c>
      <c r="L5052" s="6" t="n">
        <f aca="false">H5052*K5052</f>
        <v>8500</v>
      </c>
      <c r="M5052" s="4" t="s">
        <v>371</v>
      </c>
    </row>
    <row r="5053" customFormat="false" ht="15" hidden="false" customHeight="false" outlineLevel="0" collapsed="false">
      <c r="A5053" s="4" t="s">
        <v>221</v>
      </c>
      <c r="B5053" s="5" t="s">
        <v>232</v>
      </c>
      <c r="C5053" s="5" t="s">
        <v>233</v>
      </c>
      <c r="D5053" s="4" t="s">
        <v>16</v>
      </c>
      <c r="E5053" s="4" t="s">
        <v>5815</v>
      </c>
      <c r="F5053" s="4" t="s">
        <v>470</v>
      </c>
      <c r="G5053" s="4" t="s">
        <v>5816</v>
      </c>
      <c r="H5053" s="12" t="n">
        <v>1</v>
      </c>
      <c r="I5053" s="4" t="s">
        <v>408</v>
      </c>
      <c r="J5053" s="4" t="s">
        <v>416</v>
      </c>
      <c r="K5053" s="13" t="n">
        <v>8500</v>
      </c>
      <c r="L5053" s="6" t="n">
        <f aca="false">H5053*K5053</f>
        <v>8500</v>
      </c>
      <c r="M5053" s="4" t="s">
        <v>371</v>
      </c>
    </row>
    <row r="5054" customFormat="false" ht="15" hidden="false" customHeight="false" outlineLevel="0" collapsed="false">
      <c r="A5054" s="4" t="s">
        <v>221</v>
      </c>
      <c r="B5054" s="5" t="s">
        <v>232</v>
      </c>
      <c r="C5054" s="5" t="s">
        <v>233</v>
      </c>
      <c r="D5054" s="4" t="s">
        <v>16</v>
      </c>
      <c r="E5054" s="4" t="s">
        <v>5817</v>
      </c>
      <c r="F5054" s="4" t="s">
        <v>470</v>
      </c>
      <c r="G5054" s="4" t="s">
        <v>5818</v>
      </c>
      <c r="H5054" s="12" t="n">
        <v>1</v>
      </c>
      <c r="I5054" s="4" t="s">
        <v>408</v>
      </c>
      <c r="J5054" s="4" t="s">
        <v>409</v>
      </c>
      <c r="K5054" s="13" t="n">
        <v>3500</v>
      </c>
      <c r="L5054" s="6" t="n">
        <f aca="false">H5054*K5054</f>
        <v>3500</v>
      </c>
      <c r="M5054" s="4" t="s">
        <v>371</v>
      </c>
    </row>
    <row r="5055" customFormat="false" ht="15" hidden="false" customHeight="false" outlineLevel="0" collapsed="false">
      <c r="A5055" s="4" t="s">
        <v>221</v>
      </c>
      <c r="B5055" s="5" t="s">
        <v>232</v>
      </c>
      <c r="C5055" s="5" t="s">
        <v>233</v>
      </c>
      <c r="D5055" s="4" t="s">
        <v>16</v>
      </c>
      <c r="E5055" s="4" t="s">
        <v>5819</v>
      </c>
      <c r="F5055" s="4" t="s">
        <v>470</v>
      </c>
      <c r="G5055" s="4" t="s">
        <v>5820</v>
      </c>
      <c r="H5055" s="12" t="n">
        <v>1</v>
      </c>
      <c r="I5055" s="4" t="s">
        <v>408</v>
      </c>
      <c r="J5055" s="4" t="s">
        <v>409</v>
      </c>
      <c r="K5055" s="13" t="n">
        <v>1800</v>
      </c>
      <c r="L5055" s="6" t="n">
        <f aca="false">H5055*K5055</f>
        <v>1800</v>
      </c>
      <c r="M5055" s="14" t="s">
        <v>410</v>
      </c>
    </row>
    <row r="5056" customFormat="false" ht="15" hidden="false" customHeight="false" outlineLevel="0" collapsed="false">
      <c r="A5056" s="4" t="s">
        <v>221</v>
      </c>
      <c r="B5056" s="5" t="s">
        <v>232</v>
      </c>
      <c r="C5056" s="5" t="s">
        <v>233</v>
      </c>
      <c r="D5056" s="4" t="s">
        <v>16</v>
      </c>
      <c r="E5056" s="4" t="s">
        <v>1253</v>
      </c>
      <c r="F5056" s="4" t="s">
        <v>470</v>
      </c>
      <c r="G5056" s="4" t="s">
        <v>1254</v>
      </c>
      <c r="H5056" s="12" t="n">
        <v>1</v>
      </c>
      <c r="I5056" s="4" t="s">
        <v>408</v>
      </c>
      <c r="J5056" s="4" t="s">
        <v>409</v>
      </c>
      <c r="K5056" s="13" t="n">
        <v>8500</v>
      </c>
      <c r="L5056" s="6" t="n">
        <f aca="false">H5056*K5056</f>
        <v>8500</v>
      </c>
      <c r="M5056" s="14" t="s">
        <v>410</v>
      </c>
    </row>
    <row r="5057" customFormat="false" ht="15" hidden="false" customHeight="false" outlineLevel="0" collapsed="false">
      <c r="A5057" s="4" t="s">
        <v>221</v>
      </c>
      <c r="B5057" s="5" t="s">
        <v>232</v>
      </c>
      <c r="C5057" s="5" t="s">
        <v>233</v>
      </c>
      <c r="D5057" s="4" t="s">
        <v>16</v>
      </c>
      <c r="E5057" s="4" t="s">
        <v>5821</v>
      </c>
      <c r="F5057" s="4" t="s">
        <v>470</v>
      </c>
      <c r="G5057" s="4" t="s">
        <v>5822</v>
      </c>
      <c r="H5057" s="12" t="n">
        <v>1</v>
      </c>
      <c r="I5057" s="4" t="s">
        <v>408</v>
      </c>
      <c r="J5057" s="4" t="s">
        <v>409</v>
      </c>
      <c r="K5057" s="13" t="n">
        <v>18000</v>
      </c>
      <c r="L5057" s="6" t="n">
        <f aca="false">H5057*K5057</f>
        <v>18000</v>
      </c>
      <c r="M5057" s="14" t="s">
        <v>410</v>
      </c>
    </row>
    <row r="5058" customFormat="false" ht="15" hidden="false" customHeight="false" outlineLevel="0" collapsed="false">
      <c r="A5058" s="4" t="s">
        <v>221</v>
      </c>
      <c r="B5058" s="5" t="s">
        <v>232</v>
      </c>
      <c r="C5058" s="5" t="s">
        <v>233</v>
      </c>
      <c r="D5058" s="4" t="s">
        <v>16</v>
      </c>
      <c r="E5058" s="4" t="s">
        <v>5823</v>
      </c>
      <c r="F5058" s="4" t="s">
        <v>470</v>
      </c>
      <c r="G5058" s="4" t="s">
        <v>5824</v>
      </c>
      <c r="H5058" s="12" t="n">
        <v>1</v>
      </c>
      <c r="I5058" s="4" t="s">
        <v>408</v>
      </c>
      <c r="J5058" s="4" t="s">
        <v>409</v>
      </c>
      <c r="K5058" s="13" t="n">
        <v>12000</v>
      </c>
      <c r="L5058" s="6" t="n">
        <f aca="false">H5058*K5058</f>
        <v>12000</v>
      </c>
      <c r="M5058" s="4" t="s">
        <v>371</v>
      </c>
    </row>
    <row r="5059" customFormat="false" ht="15" hidden="false" customHeight="false" outlineLevel="0" collapsed="false">
      <c r="A5059" s="4" t="s">
        <v>221</v>
      </c>
      <c r="B5059" s="5" t="s">
        <v>232</v>
      </c>
      <c r="C5059" s="5" t="s">
        <v>233</v>
      </c>
      <c r="D5059" s="4" t="s">
        <v>16</v>
      </c>
      <c r="E5059" s="4" t="s">
        <v>5825</v>
      </c>
      <c r="F5059" s="4" t="s">
        <v>470</v>
      </c>
      <c r="G5059" s="4" t="s">
        <v>5826</v>
      </c>
      <c r="H5059" s="12" t="n">
        <v>1</v>
      </c>
      <c r="I5059" s="4" t="s">
        <v>408</v>
      </c>
      <c r="J5059" s="4" t="s">
        <v>409</v>
      </c>
      <c r="K5059" s="13" t="n">
        <v>35000</v>
      </c>
      <c r="L5059" s="6" t="n">
        <f aca="false">H5059*K5059</f>
        <v>35000</v>
      </c>
      <c r="M5059" s="14" t="s">
        <v>410</v>
      </c>
    </row>
    <row r="5060" customFormat="false" ht="15" hidden="false" customHeight="false" outlineLevel="0" collapsed="false">
      <c r="A5060" s="4" t="s">
        <v>221</v>
      </c>
      <c r="B5060" s="5" t="s">
        <v>232</v>
      </c>
      <c r="C5060" s="5" t="s">
        <v>233</v>
      </c>
      <c r="D5060" s="4" t="s">
        <v>16</v>
      </c>
      <c r="E5060" s="4" t="s">
        <v>2419</v>
      </c>
      <c r="F5060" s="4" t="s">
        <v>470</v>
      </c>
      <c r="G5060" s="4" t="s">
        <v>2420</v>
      </c>
      <c r="H5060" s="12" t="n">
        <v>1</v>
      </c>
      <c r="I5060" s="4" t="s">
        <v>408</v>
      </c>
      <c r="J5060" s="4" t="s">
        <v>543</v>
      </c>
      <c r="K5060" s="13" t="n">
        <v>12000</v>
      </c>
      <c r="L5060" s="6" t="n">
        <f aca="false">H5060*K5060</f>
        <v>12000</v>
      </c>
      <c r="M5060" s="4" t="s">
        <v>371</v>
      </c>
    </row>
    <row r="5061" customFormat="false" ht="15" hidden="false" customHeight="false" outlineLevel="0" collapsed="false">
      <c r="A5061" s="4" t="s">
        <v>221</v>
      </c>
      <c r="B5061" s="5" t="s">
        <v>232</v>
      </c>
      <c r="C5061" s="5" t="s">
        <v>233</v>
      </c>
      <c r="D5061" s="4" t="s">
        <v>16</v>
      </c>
      <c r="E5061" s="4" t="s">
        <v>5827</v>
      </c>
      <c r="F5061" s="4" t="s">
        <v>470</v>
      </c>
      <c r="G5061" s="4" t="s">
        <v>5828</v>
      </c>
      <c r="H5061" s="12" t="n">
        <v>1</v>
      </c>
      <c r="I5061" s="4" t="s">
        <v>408</v>
      </c>
      <c r="J5061" s="4" t="s">
        <v>543</v>
      </c>
      <c r="K5061" s="13" t="n">
        <v>3000</v>
      </c>
      <c r="L5061" s="6" t="n">
        <f aca="false">H5061*K5061</f>
        <v>3000</v>
      </c>
      <c r="M5061" s="4" t="s">
        <v>371</v>
      </c>
    </row>
    <row r="5062" customFormat="false" ht="15" hidden="false" customHeight="false" outlineLevel="0" collapsed="false">
      <c r="A5062" s="4" t="s">
        <v>221</v>
      </c>
      <c r="B5062" s="5" t="s">
        <v>232</v>
      </c>
      <c r="C5062" s="5" t="s">
        <v>233</v>
      </c>
      <c r="D5062" s="4" t="s">
        <v>16</v>
      </c>
      <c r="E5062" s="4" t="s">
        <v>5829</v>
      </c>
      <c r="F5062" s="4" t="s">
        <v>470</v>
      </c>
      <c r="G5062" s="4" t="s">
        <v>4615</v>
      </c>
      <c r="H5062" s="12" t="n">
        <v>1</v>
      </c>
      <c r="I5062" s="4" t="s">
        <v>408</v>
      </c>
      <c r="J5062" s="4" t="s">
        <v>409</v>
      </c>
      <c r="K5062" s="13" t="n">
        <v>180</v>
      </c>
      <c r="L5062" s="6" t="n">
        <f aca="false">H5062*K5062</f>
        <v>180</v>
      </c>
      <c r="M5062" s="4" t="s">
        <v>371</v>
      </c>
    </row>
    <row r="5063" customFormat="false" ht="15" hidden="false" customHeight="false" outlineLevel="0" collapsed="false">
      <c r="A5063" s="4" t="s">
        <v>221</v>
      </c>
      <c r="B5063" s="5" t="s">
        <v>234</v>
      </c>
      <c r="C5063" s="5" t="s">
        <v>235</v>
      </c>
      <c r="D5063" s="4" t="s">
        <v>16</v>
      </c>
      <c r="E5063" s="4" t="s">
        <v>5830</v>
      </c>
      <c r="F5063" s="4" t="s">
        <v>406</v>
      </c>
      <c r="G5063" s="4" t="s">
        <v>5831</v>
      </c>
      <c r="H5063" s="12" t="n">
        <v>1</v>
      </c>
      <c r="I5063" s="4" t="s">
        <v>408</v>
      </c>
      <c r="J5063" s="4" t="s">
        <v>409</v>
      </c>
      <c r="K5063" s="13" t="n">
        <v>3500</v>
      </c>
      <c r="L5063" s="6" t="n">
        <f aca="false">H5063*K5063</f>
        <v>3500</v>
      </c>
      <c r="M5063" s="14" t="s">
        <v>410</v>
      </c>
    </row>
    <row r="5064" customFormat="false" ht="15" hidden="false" customHeight="false" outlineLevel="0" collapsed="false">
      <c r="A5064" s="4" t="s">
        <v>221</v>
      </c>
      <c r="B5064" s="5" t="s">
        <v>234</v>
      </c>
      <c r="C5064" s="5" t="s">
        <v>235</v>
      </c>
      <c r="D5064" s="4" t="s">
        <v>16</v>
      </c>
      <c r="E5064" s="4" t="s">
        <v>5832</v>
      </c>
      <c r="F5064" s="4" t="s">
        <v>470</v>
      </c>
      <c r="G5064" s="4" t="s">
        <v>5833</v>
      </c>
      <c r="H5064" s="12" t="n">
        <v>1</v>
      </c>
      <c r="I5064" s="4" t="s">
        <v>408</v>
      </c>
      <c r="J5064" s="4" t="s">
        <v>409</v>
      </c>
      <c r="K5064" s="13" t="n">
        <v>1800</v>
      </c>
      <c r="L5064" s="6" t="n">
        <f aca="false">H5064*K5064</f>
        <v>1800</v>
      </c>
      <c r="M5064" s="14" t="s">
        <v>410</v>
      </c>
    </row>
    <row r="5065" customFormat="false" ht="15" hidden="false" customHeight="false" outlineLevel="0" collapsed="false">
      <c r="A5065" s="4" t="s">
        <v>221</v>
      </c>
      <c r="B5065" s="5" t="s">
        <v>234</v>
      </c>
      <c r="C5065" s="5" t="s">
        <v>235</v>
      </c>
      <c r="D5065" s="4" t="s">
        <v>16</v>
      </c>
      <c r="E5065" s="4" t="s">
        <v>5834</v>
      </c>
      <c r="F5065" s="4" t="s">
        <v>470</v>
      </c>
      <c r="G5065" s="4" t="s">
        <v>5835</v>
      </c>
      <c r="H5065" s="12" t="n">
        <v>1</v>
      </c>
      <c r="I5065" s="4" t="s">
        <v>408</v>
      </c>
      <c r="J5065" s="4" t="s">
        <v>416</v>
      </c>
      <c r="K5065" s="13" t="n">
        <v>55000</v>
      </c>
      <c r="L5065" s="6" t="n">
        <f aca="false">H5065*K5065</f>
        <v>55000</v>
      </c>
      <c r="M5065" s="14" t="s">
        <v>410</v>
      </c>
    </row>
    <row r="5066" customFormat="false" ht="15" hidden="false" customHeight="false" outlineLevel="0" collapsed="false">
      <c r="A5066" s="4" t="s">
        <v>221</v>
      </c>
      <c r="B5066" s="5" t="s">
        <v>234</v>
      </c>
      <c r="C5066" s="5" t="s">
        <v>235</v>
      </c>
      <c r="D5066" s="4" t="s">
        <v>16</v>
      </c>
      <c r="E5066" s="4" t="s">
        <v>5836</v>
      </c>
      <c r="F5066" s="4" t="s">
        <v>470</v>
      </c>
      <c r="G5066" s="4" t="s">
        <v>5837</v>
      </c>
      <c r="H5066" s="12" t="n">
        <v>1</v>
      </c>
      <c r="I5066" s="4" t="s">
        <v>408</v>
      </c>
      <c r="J5066" s="4" t="s">
        <v>409</v>
      </c>
      <c r="K5066" s="13" t="n">
        <v>85000</v>
      </c>
      <c r="L5066" s="6" t="n">
        <f aca="false">H5066*K5066</f>
        <v>85000</v>
      </c>
      <c r="M5066" s="4" t="s">
        <v>371</v>
      </c>
    </row>
    <row r="5067" customFormat="false" ht="15" hidden="false" customHeight="false" outlineLevel="0" collapsed="false">
      <c r="A5067" s="4" t="s">
        <v>221</v>
      </c>
      <c r="B5067" s="5" t="s">
        <v>234</v>
      </c>
      <c r="C5067" s="5" t="s">
        <v>235</v>
      </c>
      <c r="D5067" s="4" t="s">
        <v>16</v>
      </c>
      <c r="E5067" s="4" t="s">
        <v>5838</v>
      </c>
      <c r="F5067" s="4" t="s">
        <v>470</v>
      </c>
      <c r="G5067" s="4" t="s">
        <v>5839</v>
      </c>
      <c r="H5067" s="12" t="n">
        <v>1</v>
      </c>
      <c r="I5067" s="4" t="s">
        <v>408</v>
      </c>
      <c r="J5067" s="4" t="s">
        <v>416</v>
      </c>
      <c r="K5067" s="13" t="n">
        <v>18000</v>
      </c>
      <c r="L5067" s="6" t="n">
        <f aca="false">H5067*K5067</f>
        <v>18000</v>
      </c>
      <c r="M5067" s="4" t="s">
        <v>371</v>
      </c>
    </row>
    <row r="5068" customFormat="false" ht="15" hidden="false" customHeight="false" outlineLevel="0" collapsed="false">
      <c r="A5068" s="4" t="s">
        <v>221</v>
      </c>
      <c r="B5068" s="5" t="s">
        <v>234</v>
      </c>
      <c r="C5068" s="5" t="s">
        <v>235</v>
      </c>
      <c r="D5068" s="4" t="s">
        <v>16</v>
      </c>
      <c r="E5068" s="4" t="s">
        <v>5840</v>
      </c>
      <c r="F5068" s="4" t="s">
        <v>470</v>
      </c>
      <c r="G5068" s="4" t="s">
        <v>5841</v>
      </c>
      <c r="H5068" s="12" t="n">
        <v>1</v>
      </c>
      <c r="I5068" s="4" t="s">
        <v>408</v>
      </c>
      <c r="J5068" s="4" t="s">
        <v>416</v>
      </c>
      <c r="K5068" s="13" t="n">
        <v>1200000</v>
      </c>
      <c r="L5068" s="6" t="n">
        <f aca="false">H5068*K5068</f>
        <v>1200000</v>
      </c>
      <c r="M5068" s="4" t="s">
        <v>371</v>
      </c>
    </row>
    <row r="5069" customFormat="false" ht="15" hidden="false" customHeight="false" outlineLevel="0" collapsed="false">
      <c r="A5069" s="4" t="s">
        <v>221</v>
      </c>
      <c r="B5069" s="5" t="s">
        <v>234</v>
      </c>
      <c r="C5069" s="5" t="s">
        <v>235</v>
      </c>
      <c r="D5069" s="4" t="s">
        <v>16</v>
      </c>
      <c r="E5069" s="4" t="s">
        <v>5842</v>
      </c>
      <c r="F5069" s="4" t="s">
        <v>470</v>
      </c>
      <c r="G5069" s="4" t="s">
        <v>5843</v>
      </c>
      <c r="H5069" s="12" t="n">
        <v>1</v>
      </c>
      <c r="I5069" s="4" t="s">
        <v>408</v>
      </c>
      <c r="J5069" s="4" t="s">
        <v>543</v>
      </c>
      <c r="K5069" s="13" t="n">
        <v>25000</v>
      </c>
      <c r="L5069" s="6" t="n">
        <f aca="false">H5069*K5069</f>
        <v>25000</v>
      </c>
      <c r="M5069" s="4" t="s">
        <v>371</v>
      </c>
    </row>
    <row r="5070" customFormat="false" ht="15" hidden="false" customHeight="false" outlineLevel="0" collapsed="false">
      <c r="A5070" s="4" t="s">
        <v>221</v>
      </c>
      <c r="B5070" s="5" t="s">
        <v>234</v>
      </c>
      <c r="C5070" s="5" t="s">
        <v>235</v>
      </c>
      <c r="D5070" s="4" t="s">
        <v>16</v>
      </c>
      <c r="E5070" s="4" t="s">
        <v>5844</v>
      </c>
      <c r="F5070" s="4" t="s">
        <v>470</v>
      </c>
      <c r="G5070" s="4" t="s">
        <v>5845</v>
      </c>
      <c r="H5070" s="12" t="n">
        <v>1</v>
      </c>
      <c r="I5070" s="4" t="s">
        <v>408</v>
      </c>
      <c r="J5070" s="4" t="s">
        <v>543</v>
      </c>
      <c r="K5070" s="13" t="n">
        <v>35000</v>
      </c>
      <c r="L5070" s="6" t="n">
        <f aca="false">H5070*K5070</f>
        <v>35000</v>
      </c>
      <c r="M5070" s="4" t="s">
        <v>371</v>
      </c>
    </row>
    <row r="5071" customFormat="false" ht="15" hidden="false" customHeight="false" outlineLevel="0" collapsed="false">
      <c r="A5071" s="4" t="s">
        <v>221</v>
      </c>
      <c r="B5071" s="5" t="s">
        <v>234</v>
      </c>
      <c r="C5071" s="5" t="s">
        <v>235</v>
      </c>
      <c r="D5071" s="4" t="s">
        <v>16</v>
      </c>
      <c r="E5071" s="4" t="s">
        <v>5846</v>
      </c>
      <c r="F5071" s="4" t="s">
        <v>470</v>
      </c>
      <c r="G5071" s="4" t="s">
        <v>5847</v>
      </c>
      <c r="H5071" s="12" t="n">
        <v>1</v>
      </c>
      <c r="I5071" s="4" t="s">
        <v>408</v>
      </c>
      <c r="J5071" s="4" t="s">
        <v>543</v>
      </c>
      <c r="K5071" s="13" t="n">
        <v>25000</v>
      </c>
      <c r="L5071" s="6" t="n">
        <f aca="false">H5071*K5071</f>
        <v>25000</v>
      </c>
      <c r="M5071" s="4" t="s">
        <v>371</v>
      </c>
    </row>
    <row r="5072" customFormat="false" ht="15" hidden="false" customHeight="false" outlineLevel="0" collapsed="false">
      <c r="A5072" s="4" t="s">
        <v>221</v>
      </c>
      <c r="B5072" s="5" t="s">
        <v>234</v>
      </c>
      <c r="C5072" s="5" t="s">
        <v>235</v>
      </c>
      <c r="D5072" s="4" t="s">
        <v>16</v>
      </c>
      <c r="E5072" s="4" t="s">
        <v>5848</v>
      </c>
      <c r="F5072" s="4" t="s">
        <v>470</v>
      </c>
      <c r="G5072" s="4" t="s">
        <v>5849</v>
      </c>
      <c r="H5072" s="12" t="n">
        <v>1</v>
      </c>
      <c r="I5072" s="4" t="s">
        <v>408</v>
      </c>
      <c r="J5072" s="4" t="s">
        <v>543</v>
      </c>
      <c r="K5072" s="13" t="n">
        <v>12000</v>
      </c>
      <c r="L5072" s="6" t="n">
        <f aca="false">H5072*K5072</f>
        <v>12000</v>
      </c>
      <c r="M5072" s="4" t="s">
        <v>371</v>
      </c>
    </row>
    <row r="5073" customFormat="false" ht="15" hidden="false" customHeight="false" outlineLevel="0" collapsed="false">
      <c r="A5073" s="4" t="s">
        <v>221</v>
      </c>
      <c r="B5073" s="5" t="s">
        <v>234</v>
      </c>
      <c r="C5073" s="5" t="s">
        <v>235</v>
      </c>
      <c r="D5073" s="4" t="s">
        <v>16</v>
      </c>
      <c r="E5073" s="4" t="s">
        <v>5850</v>
      </c>
      <c r="F5073" s="4" t="s">
        <v>470</v>
      </c>
      <c r="G5073" s="4" t="s">
        <v>5851</v>
      </c>
      <c r="H5073" s="12" t="n">
        <v>1</v>
      </c>
      <c r="I5073" s="4" t="s">
        <v>408</v>
      </c>
      <c r="J5073" s="4" t="s">
        <v>543</v>
      </c>
      <c r="K5073" s="13" t="n">
        <v>25000</v>
      </c>
      <c r="L5073" s="6" t="n">
        <f aca="false">H5073*K5073</f>
        <v>25000</v>
      </c>
      <c r="M5073" s="4" t="s">
        <v>371</v>
      </c>
    </row>
    <row r="5074" customFormat="false" ht="15" hidden="false" customHeight="false" outlineLevel="0" collapsed="false">
      <c r="A5074" s="4" t="s">
        <v>221</v>
      </c>
      <c r="B5074" s="5" t="s">
        <v>234</v>
      </c>
      <c r="C5074" s="5" t="s">
        <v>235</v>
      </c>
      <c r="D5074" s="4" t="s">
        <v>16</v>
      </c>
      <c r="E5074" s="4" t="s">
        <v>5852</v>
      </c>
      <c r="F5074" s="4" t="s">
        <v>470</v>
      </c>
      <c r="G5074" s="4" t="s">
        <v>2152</v>
      </c>
      <c r="H5074" s="12" t="n">
        <v>1</v>
      </c>
      <c r="I5074" s="4" t="s">
        <v>408</v>
      </c>
      <c r="J5074" s="4" t="s">
        <v>543</v>
      </c>
      <c r="K5074" s="13" t="n">
        <v>25000</v>
      </c>
      <c r="L5074" s="6" t="n">
        <f aca="false">H5074*K5074</f>
        <v>25000</v>
      </c>
      <c r="M5074" s="4" t="s">
        <v>371</v>
      </c>
    </row>
    <row r="5075" customFormat="false" ht="15" hidden="false" customHeight="false" outlineLevel="0" collapsed="false">
      <c r="A5075" s="4" t="s">
        <v>221</v>
      </c>
      <c r="B5075" s="5" t="s">
        <v>234</v>
      </c>
      <c r="C5075" s="5" t="s">
        <v>235</v>
      </c>
      <c r="D5075" s="4" t="s">
        <v>16</v>
      </c>
      <c r="E5075" s="4" t="s">
        <v>5853</v>
      </c>
      <c r="F5075" s="4" t="s">
        <v>470</v>
      </c>
      <c r="G5075" s="4" t="s">
        <v>5854</v>
      </c>
      <c r="H5075" s="12" t="n">
        <v>1</v>
      </c>
      <c r="I5075" s="4" t="s">
        <v>408</v>
      </c>
      <c r="J5075" s="4" t="s">
        <v>543</v>
      </c>
      <c r="K5075" s="13" t="n">
        <v>25000</v>
      </c>
      <c r="L5075" s="6" t="n">
        <f aca="false">H5075*K5075</f>
        <v>25000</v>
      </c>
      <c r="M5075" s="4" t="s">
        <v>371</v>
      </c>
    </row>
    <row r="5076" customFormat="false" ht="15" hidden="false" customHeight="false" outlineLevel="0" collapsed="false">
      <c r="A5076" s="4" t="s">
        <v>221</v>
      </c>
      <c r="B5076" s="5" t="s">
        <v>234</v>
      </c>
      <c r="C5076" s="5" t="s">
        <v>235</v>
      </c>
      <c r="D5076" s="4" t="s">
        <v>16</v>
      </c>
      <c r="E5076" s="4" t="s">
        <v>5855</v>
      </c>
      <c r="F5076" s="4" t="s">
        <v>470</v>
      </c>
      <c r="G5076" s="4" t="s">
        <v>5856</v>
      </c>
      <c r="H5076" s="12" t="n">
        <v>1</v>
      </c>
      <c r="I5076" s="4" t="s">
        <v>408</v>
      </c>
      <c r="J5076" s="4" t="s">
        <v>416</v>
      </c>
      <c r="K5076" s="13" t="n">
        <v>85000</v>
      </c>
      <c r="L5076" s="6" t="n">
        <f aca="false">H5076*K5076</f>
        <v>85000</v>
      </c>
      <c r="M5076" s="4" t="s">
        <v>371</v>
      </c>
    </row>
    <row r="5077" customFormat="false" ht="15" hidden="false" customHeight="false" outlineLevel="0" collapsed="false">
      <c r="A5077" s="4" t="s">
        <v>221</v>
      </c>
      <c r="B5077" s="5" t="s">
        <v>234</v>
      </c>
      <c r="C5077" s="5" t="s">
        <v>235</v>
      </c>
      <c r="D5077" s="4" t="s">
        <v>16</v>
      </c>
      <c r="E5077" s="4" t="s">
        <v>5857</v>
      </c>
      <c r="F5077" s="4" t="s">
        <v>470</v>
      </c>
      <c r="G5077" s="4" t="s">
        <v>5858</v>
      </c>
      <c r="H5077" s="12" t="n">
        <v>1</v>
      </c>
      <c r="I5077" s="4" t="s">
        <v>408</v>
      </c>
      <c r="J5077" s="4" t="s">
        <v>416</v>
      </c>
      <c r="K5077" s="13" t="n">
        <v>25000</v>
      </c>
      <c r="L5077" s="6" t="n">
        <f aca="false">H5077*K5077</f>
        <v>25000</v>
      </c>
      <c r="M5077" s="4" t="s">
        <v>371</v>
      </c>
    </row>
    <row r="5078" customFormat="false" ht="15" hidden="false" customHeight="false" outlineLevel="0" collapsed="false">
      <c r="A5078" s="4" t="s">
        <v>221</v>
      </c>
      <c r="B5078" s="5" t="s">
        <v>234</v>
      </c>
      <c r="C5078" s="5" t="s">
        <v>235</v>
      </c>
      <c r="D5078" s="4" t="s">
        <v>16</v>
      </c>
      <c r="E5078" s="4" t="s">
        <v>1423</v>
      </c>
      <c r="F5078" s="4" t="s">
        <v>470</v>
      </c>
      <c r="G5078" s="4" t="s">
        <v>1424</v>
      </c>
      <c r="H5078" s="12" t="n">
        <v>1</v>
      </c>
      <c r="I5078" s="4" t="s">
        <v>408</v>
      </c>
      <c r="J5078" s="4" t="s">
        <v>409</v>
      </c>
      <c r="K5078" s="13" t="n">
        <v>3500</v>
      </c>
      <c r="L5078" s="6" t="n">
        <f aca="false">H5078*K5078</f>
        <v>3500</v>
      </c>
      <c r="M5078" s="4" t="s">
        <v>371</v>
      </c>
    </row>
    <row r="5079" customFormat="false" ht="15" hidden="false" customHeight="false" outlineLevel="0" collapsed="false">
      <c r="A5079" s="4" t="s">
        <v>221</v>
      </c>
      <c r="B5079" s="5" t="s">
        <v>234</v>
      </c>
      <c r="C5079" s="5" t="s">
        <v>235</v>
      </c>
      <c r="D5079" s="4" t="s">
        <v>16</v>
      </c>
      <c r="E5079" s="4" t="s">
        <v>2439</v>
      </c>
      <c r="F5079" s="4" t="s">
        <v>470</v>
      </c>
      <c r="G5079" s="4" t="s">
        <v>2440</v>
      </c>
      <c r="H5079" s="12" t="n">
        <v>1</v>
      </c>
      <c r="I5079" s="4" t="s">
        <v>408</v>
      </c>
      <c r="J5079" s="4" t="s">
        <v>409</v>
      </c>
      <c r="K5079" s="13" t="n">
        <v>10</v>
      </c>
      <c r="L5079" s="6" t="n">
        <f aca="false">H5079*K5079</f>
        <v>10</v>
      </c>
      <c r="M5079" s="4" t="s">
        <v>371</v>
      </c>
    </row>
    <row r="5080" customFormat="false" ht="15" hidden="false" customHeight="false" outlineLevel="0" collapsed="false">
      <c r="A5080" s="4" t="s">
        <v>221</v>
      </c>
      <c r="B5080" s="5" t="s">
        <v>234</v>
      </c>
      <c r="C5080" s="5" t="s">
        <v>235</v>
      </c>
      <c r="D5080" s="4" t="s">
        <v>16</v>
      </c>
      <c r="E5080" s="4" t="s">
        <v>5859</v>
      </c>
      <c r="F5080" s="4" t="s">
        <v>470</v>
      </c>
      <c r="G5080" s="4" t="s">
        <v>5860</v>
      </c>
      <c r="H5080" s="12" t="n">
        <v>1</v>
      </c>
      <c r="I5080" s="4" t="s">
        <v>408</v>
      </c>
      <c r="J5080" s="4" t="s">
        <v>416</v>
      </c>
      <c r="K5080" s="13" t="n">
        <v>2500</v>
      </c>
      <c r="L5080" s="6" t="n">
        <f aca="false">H5080*K5080</f>
        <v>2500</v>
      </c>
      <c r="M5080" s="4" t="s">
        <v>371</v>
      </c>
    </row>
    <row r="5081" customFormat="false" ht="15" hidden="false" customHeight="false" outlineLevel="0" collapsed="false">
      <c r="A5081" s="4" t="s">
        <v>221</v>
      </c>
      <c r="B5081" s="5" t="s">
        <v>234</v>
      </c>
      <c r="C5081" s="5" t="s">
        <v>235</v>
      </c>
      <c r="D5081" s="4" t="s">
        <v>16</v>
      </c>
      <c r="E5081" s="4" t="s">
        <v>5861</v>
      </c>
      <c r="F5081" s="4" t="s">
        <v>470</v>
      </c>
      <c r="G5081" s="4" t="s">
        <v>5862</v>
      </c>
      <c r="H5081" s="12" t="n">
        <v>1</v>
      </c>
      <c r="I5081" s="4" t="s">
        <v>408</v>
      </c>
      <c r="J5081" s="4" t="s">
        <v>416</v>
      </c>
      <c r="K5081" s="13" t="n">
        <v>2500</v>
      </c>
      <c r="L5081" s="6" t="n">
        <f aca="false">H5081*K5081</f>
        <v>2500</v>
      </c>
      <c r="M5081" s="4" t="s">
        <v>371</v>
      </c>
    </row>
    <row r="5082" customFormat="false" ht="15" hidden="false" customHeight="false" outlineLevel="0" collapsed="false">
      <c r="A5082" s="4" t="s">
        <v>221</v>
      </c>
      <c r="B5082" s="5" t="s">
        <v>234</v>
      </c>
      <c r="C5082" s="5" t="s">
        <v>235</v>
      </c>
      <c r="D5082" s="4" t="s">
        <v>16</v>
      </c>
      <c r="E5082" s="4" t="s">
        <v>2157</v>
      </c>
      <c r="F5082" s="4" t="s">
        <v>488</v>
      </c>
      <c r="G5082" s="4" t="s">
        <v>2158</v>
      </c>
      <c r="H5082" s="12" t="n">
        <v>1</v>
      </c>
      <c r="I5082" s="4" t="s">
        <v>408</v>
      </c>
      <c r="J5082" s="4" t="s">
        <v>506</v>
      </c>
      <c r="K5082" s="13" t="n">
        <v>120</v>
      </c>
      <c r="L5082" s="6" t="n">
        <f aca="false">H5082*K5082</f>
        <v>120</v>
      </c>
      <c r="M5082" s="4" t="s">
        <v>371</v>
      </c>
    </row>
    <row r="5083" customFormat="false" ht="15" hidden="false" customHeight="false" outlineLevel="0" collapsed="false">
      <c r="A5083" s="4" t="s">
        <v>221</v>
      </c>
      <c r="B5083" s="5" t="s">
        <v>234</v>
      </c>
      <c r="C5083" s="5" t="s">
        <v>235</v>
      </c>
      <c r="D5083" s="4" t="s">
        <v>16</v>
      </c>
      <c r="E5083" s="4" t="s">
        <v>5863</v>
      </c>
      <c r="F5083" s="4" t="s">
        <v>488</v>
      </c>
      <c r="G5083" s="4" t="s">
        <v>5864</v>
      </c>
      <c r="H5083" s="12" t="n">
        <v>1</v>
      </c>
      <c r="I5083" s="4" t="s">
        <v>408</v>
      </c>
      <c r="J5083" s="4" t="s">
        <v>413</v>
      </c>
      <c r="K5083" s="13" t="n">
        <v>450</v>
      </c>
      <c r="L5083" s="6" t="n">
        <f aca="false">H5083*K5083</f>
        <v>450</v>
      </c>
      <c r="M5083" s="4" t="s">
        <v>371</v>
      </c>
    </row>
    <row r="5084" customFormat="false" ht="23.85" hidden="false" customHeight="false" outlineLevel="0" collapsed="false">
      <c r="A5084" s="4" t="s">
        <v>221</v>
      </c>
      <c r="B5084" s="5" t="s">
        <v>238</v>
      </c>
      <c r="C5084" s="5" t="s">
        <v>239</v>
      </c>
      <c r="D5084" s="4" t="s">
        <v>16</v>
      </c>
      <c r="E5084" s="4" t="s">
        <v>5865</v>
      </c>
      <c r="F5084" s="4" t="s">
        <v>470</v>
      </c>
      <c r="G5084" s="4" t="s">
        <v>5866</v>
      </c>
      <c r="H5084" s="12" t="n">
        <v>1</v>
      </c>
      <c r="I5084" s="4" t="s">
        <v>408</v>
      </c>
      <c r="J5084" s="4" t="s">
        <v>409</v>
      </c>
      <c r="K5084" s="13" t="n">
        <v>55000</v>
      </c>
      <c r="L5084" s="6" t="n">
        <f aca="false">H5084*K5084</f>
        <v>55000</v>
      </c>
      <c r="M5084" s="4" t="s">
        <v>371</v>
      </c>
    </row>
    <row r="5085" customFormat="false" ht="23.85" hidden="false" customHeight="false" outlineLevel="0" collapsed="false">
      <c r="A5085" s="4" t="s">
        <v>221</v>
      </c>
      <c r="B5085" s="5" t="s">
        <v>238</v>
      </c>
      <c r="C5085" s="5" t="s">
        <v>239</v>
      </c>
      <c r="D5085" s="4" t="s">
        <v>16</v>
      </c>
      <c r="E5085" s="4" t="s">
        <v>1058</v>
      </c>
      <c r="F5085" s="4" t="s">
        <v>470</v>
      </c>
      <c r="G5085" s="4" t="s">
        <v>1059</v>
      </c>
      <c r="H5085" s="12" t="n">
        <v>1</v>
      </c>
      <c r="I5085" s="4" t="s">
        <v>408</v>
      </c>
      <c r="J5085" s="4" t="s">
        <v>409</v>
      </c>
      <c r="K5085" s="13" t="n">
        <v>45000</v>
      </c>
      <c r="L5085" s="6" t="n">
        <f aca="false">H5085*K5085</f>
        <v>45000</v>
      </c>
      <c r="M5085" s="14" t="s">
        <v>410</v>
      </c>
    </row>
    <row r="5086" customFormat="false" ht="23.85" hidden="false" customHeight="false" outlineLevel="0" collapsed="false">
      <c r="A5086" s="4" t="s">
        <v>221</v>
      </c>
      <c r="B5086" s="5" t="s">
        <v>238</v>
      </c>
      <c r="C5086" s="5" t="s">
        <v>239</v>
      </c>
      <c r="D5086" s="4" t="s">
        <v>16</v>
      </c>
      <c r="E5086" s="4" t="s">
        <v>1699</v>
      </c>
      <c r="F5086" s="4" t="s">
        <v>470</v>
      </c>
      <c r="G5086" s="4" t="s">
        <v>1700</v>
      </c>
      <c r="H5086" s="12" t="n">
        <v>1</v>
      </c>
      <c r="I5086" s="4" t="s">
        <v>408</v>
      </c>
      <c r="J5086" s="4" t="s">
        <v>409</v>
      </c>
      <c r="K5086" s="13" t="n">
        <v>55000</v>
      </c>
      <c r="L5086" s="6" t="n">
        <f aca="false">H5086*K5086</f>
        <v>55000</v>
      </c>
      <c r="M5086" s="14" t="s">
        <v>410</v>
      </c>
    </row>
    <row r="5087" customFormat="false" ht="23.85" hidden="false" customHeight="false" outlineLevel="0" collapsed="false">
      <c r="A5087" s="4" t="s">
        <v>221</v>
      </c>
      <c r="B5087" s="5" t="s">
        <v>238</v>
      </c>
      <c r="C5087" s="5" t="s">
        <v>239</v>
      </c>
      <c r="D5087" s="4" t="s">
        <v>16</v>
      </c>
      <c r="E5087" s="4" t="s">
        <v>5867</v>
      </c>
      <c r="F5087" s="4" t="s">
        <v>470</v>
      </c>
      <c r="G5087" s="4" t="s">
        <v>5868</v>
      </c>
      <c r="H5087" s="12" t="n">
        <v>1</v>
      </c>
      <c r="I5087" s="4" t="s">
        <v>408</v>
      </c>
      <c r="J5087" s="4" t="s">
        <v>416</v>
      </c>
      <c r="K5087" s="13" t="n">
        <v>1200000</v>
      </c>
      <c r="L5087" s="6" t="n">
        <f aca="false">H5087*K5087</f>
        <v>1200000</v>
      </c>
      <c r="M5087" s="4" t="s">
        <v>371</v>
      </c>
    </row>
    <row r="5088" customFormat="false" ht="23.85" hidden="false" customHeight="false" outlineLevel="0" collapsed="false">
      <c r="A5088" s="4" t="s">
        <v>221</v>
      </c>
      <c r="B5088" s="5" t="s">
        <v>238</v>
      </c>
      <c r="C5088" s="5" t="s">
        <v>239</v>
      </c>
      <c r="D5088" s="4" t="s">
        <v>16</v>
      </c>
      <c r="E5088" s="4" t="s">
        <v>1697</v>
      </c>
      <c r="F5088" s="4" t="s">
        <v>470</v>
      </c>
      <c r="G5088" s="4" t="s">
        <v>1698</v>
      </c>
      <c r="H5088" s="12" t="n">
        <v>1</v>
      </c>
      <c r="I5088" s="4" t="s">
        <v>408</v>
      </c>
      <c r="J5088" s="4" t="s">
        <v>409</v>
      </c>
      <c r="K5088" s="13" t="n">
        <v>45000</v>
      </c>
      <c r="L5088" s="6" t="n">
        <f aca="false">H5088*K5088</f>
        <v>45000</v>
      </c>
      <c r="M5088" s="14" t="s">
        <v>410</v>
      </c>
    </row>
    <row r="5089" customFormat="false" ht="23.85" hidden="false" customHeight="false" outlineLevel="0" collapsed="false">
      <c r="A5089" s="4" t="s">
        <v>221</v>
      </c>
      <c r="B5089" s="5" t="s">
        <v>238</v>
      </c>
      <c r="C5089" s="5" t="s">
        <v>239</v>
      </c>
      <c r="D5089" s="4" t="s">
        <v>16</v>
      </c>
      <c r="E5089" s="4" t="s">
        <v>1699</v>
      </c>
      <c r="F5089" s="4" t="s">
        <v>470</v>
      </c>
      <c r="G5089" s="4" t="s">
        <v>1700</v>
      </c>
      <c r="H5089" s="12" t="n">
        <v>1</v>
      </c>
      <c r="I5089" s="4" t="s">
        <v>408</v>
      </c>
      <c r="J5089" s="4" t="s">
        <v>409</v>
      </c>
      <c r="K5089" s="13" t="n">
        <v>55000</v>
      </c>
      <c r="L5089" s="6" t="n">
        <f aca="false">H5089*K5089</f>
        <v>55000</v>
      </c>
      <c r="M5089" s="14" t="s">
        <v>410</v>
      </c>
    </row>
    <row r="5090" customFormat="false" ht="23.85" hidden="false" customHeight="false" outlineLevel="0" collapsed="false">
      <c r="A5090" s="4" t="s">
        <v>221</v>
      </c>
      <c r="B5090" s="5" t="s">
        <v>238</v>
      </c>
      <c r="C5090" s="5" t="s">
        <v>239</v>
      </c>
      <c r="D5090" s="4" t="s">
        <v>16</v>
      </c>
      <c r="E5090" s="4" t="s">
        <v>5869</v>
      </c>
      <c r="F5090" s="4" t="s">
        <v>470</v>
      </c>
      <c r="G5090" s="4" t="s">
        <v>5870</v>
      </c>
      <c r="H5090" s="12" t="n">
        <v>1</v>
      </c>
      <c r="I5090" s="4" t="s">
        <v>408</v>
      </c>
      <c r="J5090" s="4" t="s">
        <v>543</v>
      </c>
      <c r="K5090" s="13" t="n">
        <v>12000</v>
      </c>
      <c r="L5090" s="6" t="n">
        <f aca="false">H5090*K5090</f>
        <v>12000</v>
      </c>
      <c r="M5090" s="4" t="s">
        <v>371</v>
      </c>
    </row>
    <row r="5091" customFormat="false" ht="23.85" hidden="false" customHeight="false" outlineLevel="0" collapsed="false">
      <c r="A5091" s="4" t="s">
        <v>221</v>
      </c>
      <c r="B5091" s="5" t="s">
        <v>238</v>
      </c>
      <c r="C5091" s="5" t="s">
        <v>239</v>
      </c>
      <c r="D5091" s="4" t="s">
        <v>16</v>
      </c>
      <c r="E5091" s="4" t="s">
        <v>5871</v>
      </c>
      <c r="F5091" s="4" t="s">
        <v>470</v>
      </c>
      <c r="G5091" s="4" t="s">
        <v>5872</v>
      </c>
      <c r="H5091" s="12" t="n">
        <v>1</v>
      </c>
      <c r="I5091" s="4" t="s">
        <v>408</v>
      </c>
      <c r="J5091" s="4" t="s">
        <v>543</v>
      </c>
      <c r="K5091" s="13" t="n">
        <v>12000</v>
      </c>
      <c r="L5091" s="6" t="n">
        <f aca="false">H5091*K5091</f>
        <v>12000</v>
      </c>
      <c r="M5091" s="4" t="s">
        <v>371</v>
      </c>
    </row>
    <row r="5092" customFormat="false" ht="23.85" hidden="false" customHeight="false" outlineLevel="0" collapsed="false">
      <c r="A5092" s="4" t="s">
        <v>221</v>
      </c>
      <c r="B5092" s="5" t="s">
        <v>238</v>
      </c>
      <c r="C5092" s="5" t="s">
        <v>239</v>
      </c>
      <c r="D5092" s="4" t="s">
        <v>16</v>
      </c>
      <c r="E5092" s="4" t="s">
        <v>5873</v>
      </c>
      <c r="F5092" s="4" t="s">
        <v>470</v>
      </c>
      <c r="G5092" s="4" t="s">
        <v>5874</v>
      </c>
      <c r="H5092" s="12" t="n">
        <v>1</v>
      </c>
      <c r="I5092" s="4" t="s">
        <v>408</v>
      </c>
      <c r="J5092" s="4" t="s">
        <v>543</v>
      </c>
      <c r="K5092" s="13" t="n">
        <v>25000</v>
      </c>
      <c r="L5092" s="6" t="n">
        <f aca="false">H5092*K5092</f>
        <v>25000</v>
      </c>
      <c r="M5092" s="4" t="s">
        <v>371</v>
      </c>
    </row>
    <row r="5093" customFormat="false" ht="23.85" hidden="false" customHeight="false" outlineLevel="0" collapsed="false">
      <c r="A5093" s="4" t="s">
        <v>221</v>
      </c>
      <c r="B5093" s="5" t="s">
        <v>238</v>
      </c>
      <c r="C5093" s="5" t="s">
        <v>239</v>
      </c>
      <c r="D5093" s="4" t="s">
        <v>16</v>
      </c>
      <c r="E5093" s="4" t="s">
        <v>5875</v>
      </c>
      <c r="F5093" s="4" t="s">
        <v>470</v>
      </c>
      <c r="G5093" s="4" t="s">
        <v>5876</v>
      </c>
      <c r="H5093" s="12" t="n">
        <v>1</v>
      </c>
      <c r="I5093" s="4" t="s">
        <v>408</v>
      </c>
      <c r="J5093" s="4" t="s">
        <v>543</v>
      </c>
      <c r="K5093" s="13" t="n">
        <v>25000</v>
      </c>
      <c r="L5093" s="6" t="n">
        <f aca="false">H5093*K5093</f>
        <v>25000</v>
      </c>
      <c r="M5093" s="4" t="s">
        <v>371</v>
      </c>
    </row>
    <row r="5094" customFormat="false" ht="23.85" hidden="false" customHeight="false" outlineLevel="0" collapsed="false">
      <c r="A5094" s="4" t="s">
        <v>221</v>
      </c>
      <c r="B5094" s="5" t="s">
        <v>238</v>
      </c>
      <c r="C5094" s="5" t="s">
        <v>239</v>
      </c>
      <c r="D5094" s="4" t="s">
        <v>16</v>
      </c>
      <c r="E5094" s="4" t="s">
        <v>5877</v>
      </c>
      <c r="F5094" s="4" t="s">
        <v>470</v>
      </c>
      <c r="G5094" s="4" t="s">
        <v>5878</v>
      </c>
      <c r="H5094" s="12" t="n">
        <v>1</v>
      </c>
      <c r="I5094" s="4" t="s">
        <v>408</v>
      </c>
      <c r="J5094" s="4" t="s">
        <v>543</v>
      </c>
      <c r="K5094" s="13" t="n">
        <v>12000</v>
      </c>
      <c r="L5094" s="6" t="n">
        <f aca="false">H5094*K5094</f>
        <v>12000</v>
      </c>
      <c r="M5094" s="4" t="s">
        <v>371</v>
      </c>
    </row>
    <row r="5095" customFormat="false" ht="23.85" hidden="false" customHeight="false" outlineLevel="0" collapsed="false">
      <c r="A5095" s="4" t="s">
        <v>221</v>
      </c>
      <c r="B5095" s="5" t="s">
        <v>238</v>
      </c>
      <c r="C5095" s="5" t="s">
        <v>239</v>
      </c>
      <c r="D5095" s="4" t="s">
        <v>16</v>
      </c>
      <c r="E5095" s="4" t="s">
        <v>1648</v>
      </c>
      <c r="F5095" s="4" t="s">
        <v>470</v>
      </c>
      <c r="G5095" s="4" t="s">
        <v>1424</v>
      </c>
      <c r="H5095" s="12" t="n">
        <v>1</v>
      </c>
      <c r="I5095" s="4" t="s">
        <v>408</v>
      </c>
      <c r="J5095" s="4" t="s">
        <v>409</v>
      </c>
      <c r="K5095" s="13" t="n">
        <v>3500</v>
      </c>
      <c r="L5095" s="6" t="n">
        <f aca="false">H5095*K5095</f>
        <v>3500</v>
      </c>
      <c r="M5095" s="4" t="s">
        <v>371</v>
      </c>
    </row>
    <row r="5096" customFormat="false" ht="23.85" hidden="false" customHeight="false" outlineLevel="0" collapsed="false">
      <c r="A5096" s="4" t="s">
        <v>221</v>
      </c>
      <c r="B5096" s="5" t="s">
        <v>238</v>
      </c>
      <c r="C5096" s="5" t="s">
        <v>239</v>
      </c>
      <c r="D5096" s="4" t="s">
        <v>16</v>
      </c>
      <c r="E5096" s="4" t="s">
        <v>5879</v>
      </c>
      <c r="F5096" s="4" t="s">
        <v>470</v>
      </c>
      <c r="G5096" s="4" t="s">
        <v>5880</v>
      </c>
      <c r="H5096" s="12" t="n">
        <v>1</v>
      </c>
      <c r="I5096" s="4" t="s">
        <v>408</v>
      </c>
      <c r="J5096" s="4" t="s">
        <v>416</v>
      </c>
      <c r="K5096" s="13" t="n">
        <v>8500</v>
      </c>
      <c r="L5096" s="6" t="n">
        <f aca="false">H5096*K5096</f>
        <v>8500</v>
      </c>
      <c r="M5096" s="4" t="s">
        <v>371</v>
      </c>
    </row>
    <row r="5097" customFormat="false" ht="23.85" hidden="false" customHeight="false" outlineLevel="0" collapsed="false">
      <c r="A5097" s="4" t="s">
        <v>221</v>
      </c>
      <c r="B5097" s="5" t="s">
        <v>238</v>
      </c>
      <c r="C5097" s="5" t="s">
        <v>239</v>
      </c>
      <c r="D5097" s="4" t="s">
        <v>16</v>
      </c>
      <c r="E5097" s="4" t="s">
        <v>5881</v>
      </c>
      <c r="F5097" s="4" t="s">
        <v>470</v>
      </c>
      <c r="G5097" s="4" t="s">
        <v>5882</v>
      </c>
      <c r="H5097" s="12" t="n">
        <v>1</v>
      </c>
      <c r="I5097" s="4" t="s">
        <v>408</v>
      </c>
      <c r="J5097" s="4" t="s">
        <v>416</v>
      </c>
      <c r="K5097" s="13" t="n">
        <v>1800</v>
      </c>
      <c r="L5097" s="6" t="n">
        <f aca="false">H5097*K5097</f>
        <v>1800</v>
      </c>
      <c r="M5097" s="4" t="s">
        <v>371</v>
      </c>
    </row>
    <row r="5098" customFormat="false" ht="23.85" hidden="false" customHeight="false" outlineLevel="0" collapsed="false">
      <c r="A5098" s="4" t="s">
        <v>221</v>
      </c>
      <c r="B5098" s="5" t="s">
        <v>238</v>
      </c>
      <c r="C5098" s="5" t="s">
        <v>239</v>
      </c>
      <c r="D5098" s="4" t="s">
        <v>16</v>
      </c>
      <c r="E5098" s="4" t="s">
        <v>1711</v>
      </c>
      <c r="F5098" s="4" t="s">
        <v>470</v>
      </c>
      <c r="G5098" s="4" t="s">
        <v>1712</v>
      </c>
      <c r="H5098" s="12" t="n">
        <v>1</v>
      </c>
      <c r="I5098" s="4" t="s">
        <v>408</v>
      </c>
      <c r="J5098" s="4" t="s">
        <v>409</v>
      </c>
      <c r="K5098" s="13" t="n">
        <v>850</v>
      </c>
      <c r="L5098" s="6" t="n">
        <f aca="false">H5098*K5098</f>
        <v>850</v>
      </c>
      <c r="M5098" s="4" t="s">
        <v>371</v>
      </c>
    </row>
    <row r="5099" customFormat="false" ht="23.85" hidden="false" customHeight="false" outlineLevel="0" collapsed="false">
      <c r="A5099" s="4" t="s">
        <v>221</v>
      </c>
      <c r="B5099" s="5" t="s">
        <v>238</v>
      </c>
      <c r="C5099" s="5" t="s">
        <v>239</v>
      </c>
      <c r="D5099" s="4" t="s">
        <v>16</v>
      </c>
      <c r="E5099" s="4" t="s">
        <v>1713</v>
      </c>
      <c r="F5099" s="4" t="s">
        <v>470</v>
      </c>
      <c r="G5099" s="4" t="s">
        <v>1714</v>
      </c>
      <c r="H5099" s="12" t="n">
        <v>1</v>
      </c>
      <c r="I5099" s="4" t="s">
        <v>408</v>
      </c>
      <c r="J5099" s="4" t="s">
        <v>543</v>
      </c>
      <c r="K5099" s="13" t="n">
        <v>850</v>
      </c>
      <c r="L5099" s="6" t="n">
        <f aca="false">H5099*K5099</f>
        <v>850</v>
      </c>
      <c r="M5099" s="4" t="s">
        <v>371</v>
      </c>
    </row>
    <row r="5100" customFormat="false" ht="23.85" hidden="false" customHeight="false" outlineLevel="0" collapsed="false">
      <c r="A5100" s="4" t="s">
        <v>221</v>
      </c>
      <c r="B5100" s="5" t="s">
        <v>238</v>
      </c>
      <c r="C5100" s="5" t="s">
        <v>239</v>
      </c>
      <c r="D5100" s="4" t="s">
        <v>16</v>
      </c>
      <c r="E5100" s="4" t="s">
        <v>1648</v>
      </c>
      <c r="F5100" s="4" t="s">
        <v>470</v>
      </c>
      <c r="G5100" s="4" t="s">
        <v>1424</v>
      </c>
      <c r="H5100" s="12" t="n">
        <v>1</v>
      </c>
      <c r="I5100" s="4" t="s">
        <v>408</v>
      </c>
      <c r="J5100" s="4" t="s">
        <v>409</v>
      </c>
      <c r="K5100" s="13" t="n">
        <v>3500</v>
      </c>
      <c r="L5100" s="6" t="n">
        <f aca="false">H5100*K5100</f>
        <v>3500</v>
      </c>
      <c r="M5100" s="4" t="s">
        <v>371</v>
      </c>
    </row>
    <row r="5101" customFormat="false" ht="23.85" hidden="false" customHeight="false" outlineLevel="0" collapsed="false">
      <c r="A5101" s="4" t="s">
        <v>221</v>
      </c>
      <c r="B5101" s="5" t="s">
        <v>238</v>
      </c>
      <c r="C5101" s="5" t="s">
        <v>239</v>
      </c>
      <c r="D5101" s="4" t="s">
        <v>16</v>
      </c>
      <c r="E5101" s="4" t="s">
        <v>2157</v>
      </c>
      <c r="F5101" s="4" t="s">
        <v>488</v>
      </c>
      <c r="G5101" s="4" t="s">
        <v>2158</v>
      </c>
      <c r="H5101" s="12" t="n">
        <v>1</v>
      </c>
      <c r="I5101" s="4" t="s">
        <v>408</v>
      </c>
      <c r="J5101" s="4" t="s">
        <v>506</v>
      </c>
      <c r="K5101" s="13" t="n">
        <v>120</v>
      </c>
      <c r="L5101" s="6" t="n">
        <f aca="false">H5101*K5101</f>
        <v>120</v>
      </c>
      <c r="M5101" s="4" t="s">
        <v>371</v>
      </c>
    </row>
    <row r="5102" customFormat="false" ht="23.85" hidden="false" customHeight="false" outlineLevel="0" collapsed="false">
      <c r="A5102" s="4" t="s">
        <v>221</v>
      </c>
      <c r="B5102" s="5" t="s">
        <v>238</v>
      </c>
      <c r="C5102" s="5" t="s">
        <v>239</v>
      </c>
      <c r="D5102" s="4" t="s">
        <v>16</v>
      </c>
      <c r="E5102" s="4" t="s">
        <v>5883</v>
      </c>
      <c r="F5102" s="4" t="s">
        <v>488</v>
      </c>
      <c r="G5102" s="4" t="s">
        <v>5884</v>
      </c>
      <c r="H5102" s="12" t="n">
        <v>1</v>
      </c>
      <c r="I5102" s="4" t="s">
        <v>408</v>
      </c>
      <c r="J5102" s="4" t="s">
        <v>416</v>
      </c>
      <c r="K5102" s="13" t="n">
        <v>120</v>
      </c>
      <c r="L5102" s="6" t="n">
        <f aca="false">H5102*K5102</f>
        <v>120</v>
      </c>
      <c r="M5102" s="4" t="s">
        <v>371</v>
      </c>
    </row>
    <row r="5103" customFormat="false" ht="23.85" hidden="false" customHeight="false" outlineLevel="0" collapsed="false">
      <c r="A5103" s="4" t="s">
        <v>221</v>
      </c>
      <c r="B5103" s="5" t="s">
        <v>240</v>
      </c>
      <c r="C5103" s="5" t="s">
        <v>241</v>
      </c>
      <c r="D5103" s="4" t="s">
        <v>16</v>
      </c>
      <c r="E5103" s="4" t="s">
        <v>2141</v>
      </c>
      <c r="F5103" s="4" t="s">
        <v>406</v>
      </c>
      <c r="G5103" s="4" t="s">
        <v>2142</v>
      </c>
      <c r="H5103" s="12" t="n">
        <v>1</v>
      </c>
      <c r="I5103" s="4" t="s">
        <v>408</v>
      </c>
      <c r="J5103" s="4" t="s">
        <v>416</v>
      </c>
      <c r="K5103" s="13" t="n">
        <v>12000</v>
      </c>
      <c r="L5103" s="6" t="n">
        <f aca="false">H5103*K5103</f>
        <v>12000</v>
      </c>
      <c r="M5103" s="4" t="s">
        <v>371</v>
      </c>
    </row>
    <row r="5104" customFormat="false" ht="23.85" hidden="false" customHeight="false" outlineLevel="0" collapsed="false">
      <c r="A5104" s="4" t="s">
        <v>221</v>
      </c>
      <c r="B5104" s="5" t="s">
        <v>240</v>
      </c>
      <c r="C5104" s="5" t="s">
        <v>241</v>
      </c>
      <c r="D5104" s="4" t="s">
        <v>16</v>
      </c>
      <c r="E5104" s="4" t="s">
        <v>1058</v>
      </c>
      <c r="F5104" s="4" t="s">
        <v>470</v>
      </c>
      <c r="G5104" s="4" t="s">
        <v>1059</v>
      </c>
      <c r="H5104" s="12" t="n">
        <v>1</v>
      </c>
      <c r="I5104" s="4" t="s">
        <v>408</v>
      </c>
      <c r="J5104" s="4" t="s">
        <v>409</v>
      </c>
      <c r="K5104" s="13" t="n">
        <v>45000</v>
      </c>
      <c r="L5104" s="6" t="n">
        <f aca="false">H5104*K5104</f>
        <v>45000</v>
      </c>
      <c r="M5104" s="14" t="s">
        <v>410</v>
      </c>
    </row>
    <row r="5105" customFormat="false" ht="23.85" hidden="false" customHeight="false" outlineLevel="0" collapsed="false">
      <c r="A5105" s="4" t="s">
        <v>221</v>
      </c>
      <c r="B5105" s="5" t="s">
        <v>240</v>
      </c>
      <c r="C5105" s="5" t="s">
        <v>241</v>
      </c>
      <c r="D5105" s="4" t="s">
        <v>16</v>
      </c>
      <c r="E5105" s="4" t="s">
        <v>2143</v>
      </c>
      <c r="F5105" s="4" t="s">
        <v>470</v>
      </c>
      <c r="G5105" s="4" t="s">
        <v>2144</v>
      </c>
      <c r="H5105" s="12" t="n">
        <v>1</v>
      </c>
      <c r="I5105" s="4" t="s">
        <v>408</v>
      </c>
      <c r="J5105" s="4" t="s">
        <v>409</v>
      </c>
      <c r="K5105" s="13" t="n">
        <v>55000</v>
      </c>
      <c r="L5105" s="6" t="n">
        <f aca="false">H5105*K5105</f>
        <v>55000</v>
      </c>
      <c r="M5105" s="4" t="s">
        <v>371</v>
      </c>
    </row>
    <row r="5106" customFormat="false" ht="23.85" hidden="false" customHeight="false" outlineLevel="0" collapsed="false">
      <c r="A5106" s="4" t="s">
        <v>221</v>
      </c>
      <c r="B5106" s="5" t="s">
        <v>240</v>
      </c>
      <c r="C5106" s="5" t="s">
        <v>241</v>
      </c>
      <c r="D5106" s="4" t="s">
        <v>16</v>
      </c>
      <c r="E5106" s="4" t="s">
        <v>2145</v>
      </c>
      <c r="F5106" s="4" t="s">
        <v>470</v>
      </c>
      <c r="G5106" s="4" t="s">
        <v>2146</v>
      </c>
      <c r="H5106" s="12" t="n">
        <v>1</v>
      </c>
      <c r="I5106" s="4" t="s">
        <v>408</v>
      </c>
      <c r="J5106" s="4" t="s">
        <v>409</v>
      </c>
      <c r="K5106" s="13" t="n">
        <v>55000</v>
      </c>
      <c r="L5106" s="6" t="n">
        <f aca="false">H5106*K5106</f>
        <v>55000</v>
      </c>
      <c r="M5106" s="4" t="s">
        <v>371</v>
      </c>
    </row>
    <row r="5107" customFormat="false" ht="23.85" hidden="false" customHeight="false" outlineLevel="0" collapsed="false">
      <c r="A5107" s="4" t="s">
        <v>221</v>
      </c>
      <c r="B5107" s="5" t="s">
        <v>240</v>
      </c>
      <c r="C5107" s="5" t="s">
        <v>241</v>
      </c>
      <c r="D5107" s="4" t="s">
        <v>16</v>
      </c>
      <c r="E5107" s="4" t="s">
        <v>2147</v>
      </c>
      <c r="F5107" s="4" t="s">
        <v>470</v>
      </c>
      <c r="G5107" s="4" t="s">
        <v>2148</v>
      </c>
      <c r="H5107" s="12" t="n">
        <v>1</v>
      </c>
      <c r="I5107" s="4" t="s">
        <v>408</v>
      </c>
      <c r="J5107" s="4" t="s">
        <v>543</v>
      </c>
      <c r="K5107" s="13" t="n">
        <v>12000</v>
      </c>
      <c r="L5107" s="6" t="n">
        <f aca="false">H5107*K5107</f>
        <v>12000</v>
      </c>
      <c r="M5107" s="4" t="s">
        <v>371</v>
      </c>
    </row>
    <row r="5108" customFormat="false" ht="23.85" hidden="false" customHeight="false" outlineLevel="0" collapsed="false">
      <c r="A5108" s="4" t="s">
        <v>221</v>
      </c>
      <c r="B5108" s="5" t="s">
        <v>240</v>
      </c>
      <c r="C5108" s="5" t="s">
        <v>241</v>
      </c>
      <c r="D5108" s="4" t="s">
        <v>16</v>
      </c>
      <c r="E5108" s="4" t="s">
        <v>5885</v>
      </c>
      <c r="F5108" s="4" t="s">
        <v>470</v>
      </c>
      <c r="G5108" s="4" t="s">
        <v>5886</v>
      </c>
      <c r="H5108" s="12" t="n">
        <v>1</v>
      </c>
      <c r="I5108" s="4" t="s">
        <v>408</v>
      </c>
      <c r="J5108" s="4" t="s">
        <v>416</v>
      </c>
      <c r="K5108" s="13" t="n">
        <v>1200000</v>
      </c>
      <c r="L5108" s="6" t="n">
        <f aca="false">H5108*K5108</f>
        <v>1200000</v>
      </c>
      <c r="M5108" s="4" t="s">
        <v>371</v>
      </c>
    </row>
    <row r="5109" customFormat="false" ht="23.85" hidden="false" customHeight="false" outlineLevel="0" collapsed="false">
      <c r="A5109" s="4" t="s">
        <v>221</v>
      </c>
      <c r="B5109" s="5" t="s">
        <v>240</v>
      </c>
      <c r="C5109" s="5" t="s">
        <v>241</v>
      </c>
      <c r="D5109" s="4" t="s">
        <v>16</v>
      </c>
      <c r="E5109" s="4" t="s">
        <v>1697</v>
      </c>
      <c r="F5109" s="4" t="s">
        <v>470</v>
      </c>
      <c r="G5109" s="4" t="s">
        <v>1698</v>
      </c>
      <c r="H5109" s="12" t="n">
        <v>1</v>
      </c>
      <c r="I5109" s="4" t="s">
        <v>408</v>
      </c>
      <c r="J5109" s="4" t="s">
        <v>409</v>
      </c>
      <c r="K5109" s="13" t="n">
        <v>45000</v>
      </c>
      <c r="L5109" s="6" t="n">
        <f aca="false">H5109*K5109</f>
        <v>45000</v>
      </c>
      <c r="M5109" s="14" t="s">
        <v>410</v>
      </c>
    </row>
    <row r="5110" customFormat="false" ht="23.85" hidden="false" customHeight="false" outlineLevel="0" collapsed="false">
      <c r="A5110" s="4" t="s">
        <v>221</v>
      </c>
      <c r="B5110" s="5" t="s">
        <v>240</v>
      </c>
      <c r="C5110" s="5" t="s">
        <v>241</v>
      </c>
      <c r="D5110" s="4" t="s">
        <v>16</v>
      </c>
      <c r="E5110" s="4" t="s">
        <v>1699</v>
      </c>
      <c r="F5110" s="4" t="s">
        <v>470</v>
      </c>
      <c r="G5110" s="4" t="s">
        <v>1700</v>
      </c>
      <c r="H5110" s="12" t="n">
        <v>1</v>
      </c>
      <c r="I5110" s="4" t="s">
        <v>408</v>
      </c>
      <c r="J5110" s="4" t="s">
        <v>409</v>
      </c>
      <c r="K5110" s="13" t="n">
        <v>55000</v>
      </c>
      <c r="L5110" s="6" t="n">
        <f aca="false">H5110*K5110</f>
        <v>55000</v>
      </c>
      <c r="M5110" s="14" t="s">
        <v>410</v>
      </c>
    </row>
    <row r="5111" customFormat="false" ht="23.85" hidden="false" customHeight="false" outlineLevel="0" collapsed="false">
      <c r="A5111" s="4" t="s">
        <v>221</v>
      </c>
      <c r="B5111" s="5" t="s">
        <v>240</v>
      </c>
      <c r="C5111" s="5" t="s">
        <v>241</v>
      </c>
      <c r="D5111" s="4" t="s">
        <v>16</v>
      </c>
      <c r="E5111" s="4" t="s">
        <v>5887</v>
      </c>
      <c r="F5111" s="4" t="s">
        <v>470</v>
      </c>
      <c r="G5111" s="4" t="s">
        <v>5888</v>
      </c>
      <c r="H5111" s="12" t="n">
        <v>1</v>
      </c>
      <c r="I5111" s="4" t="s">
        <v>408</v>
      </c>
      <c r="J5111" s="4" t="s">
        <v>543</v>
      </c>
      <c r="K5111" s="13" t="n">
        <v>12000</v>
      </c>
      <c r="L5111" s="6" t="n">
        <f aca="false">H5111*K5111</f>
        <v>12000</v>
      </c>
      <c r="M5111" s="4" t="s">
        <v>371</v>
      </c>
    </row>
    <row r="5112" customFormat="false" ht="23.85" hidden="false" customHeight="false" outlineLevel="0" collapsed="false">
      <c r="A5112" s="4" t="s">
        <v>221</v>
      </c>
      <c r="B5112" s="5" t="s">
        <v>240</v>
      </c>
      <c r="C5112" s="5" t="s">
        <v>241</v>
      </c>
      <c r="D5112" s="4" t="s">
        <v>16</v>
      </c>
      <c r="E5112" s="4" t="s">
        <v>5889</v>
      </c>
      <c r="F5112" s="4" t="s">
        <v>470</v>
      </c>
      <c r="G5112" s="4" t="s">
        <v>5890</v>
      </c>
      <c r="H5112" s="12" t="n">
        <v>1</v>
      </c>
      <c r="I5112" s="4" t="s">
        <v>408</v>
      </c>
      <c r="J5112" s="4" t="s">
        <v>2810</v>
      </c>
      <c r="K5112" s="13" t="n">
        <v>0</v>
      </c>
      <c r="L5112" s="6" t="n">
        <f aca="false">H5112*K5112</f>
        <v>0</v>
      </c>
      <c r="M5112" s="4" t="s">
        <v>371</v>
      </c>
    </row>
    <row r="5113" customFormat="false" ht="23.85" hidden="false" customHeight="false" outlineLevel="0" collapsed="false">
      <c r="A5113" s="4" t="s">
        <v>221</v>
      </c>
      <c r="B5113" s="5" t="s">
        <v>240</v>
      </c>
      <c r="C5113" s="5" t="s">
        <v>241</v>
      </c>
      <c r="D5113" s="4" t="s">
        <v>16</v>
      </c>
      <c r="E5113" s="4" t="s">
        <v>5891</v>
      </c>
      <c r="F5113" s="4" t="s">
        <v>470</v>
      </c>
      <c r="G5113" s="4" t="s">
        <v>5892</v>
      </c>
      <c r="H5113" s="12" t="n">
        <v>1</v>
      </c>
      <c r="I5113" s="4" t="s">
        <v>408</v>
      </c>
      <c r="J5113" s="4" t="s">
        <v>543</v>
      </c>
      <c r="K5113" s="13" t="n">
        <v>12000</v>
      </c>
      <c r="L5113" s="6" t="n">
        <f aca="false">H5113*K5113</f>
        <v>12000</v>
      </c>
      <c r="M5113" s="4" t="s">
        <v>371</v>
      </c>
    </row>
    <row r="5114" customFormat="false" ht="23.85" hidden="false" customHeight="false" outlineLevel="0" collapsed="false">
      <c r="A5114" s="4" t="s">
        <v>221</v>
      </c>
      <c r="B5114" s="5" t="s">
        <v>240</v>
      </c>
      <c r="C5114" s="5" t="s">
        <v>241</v>
      </c>
      <c r="D5114" s="4" t="s">
        <v>16</v>
      </c>
      <c r="E5114" s="4" t="s">
        <v>5893</v>
      </c>
      <c r="F5114" s="4" t="s">
        <v>470</v>
      </c>
      <c r="G5114" s="4" t="s">
        <v>5894</v>
      </c>
      <c r="H5114" s="12" t="n">
        <v>1</v>
      </c>
      <c r="I5114" s="4" t="s">
        <v>408</v>
      </c>
      <c r="J5114" s="4" t="s">
        <v>543</v>
      </c>
      <c r="K5114" s="13" t="n">
        <v>25000</v>
      </c>
      <c r="L5114" s="6" t="n">
        <f aca="false">H5114*K5114</f>
        <v>25000</v>
      </c>
      <c r="M5114" s="4" t="s">
        <v>371</v>
      </c>
    </row>
    <row r="5115" customFormat="false" ht="23.85" hidden="false" customHeight="false" outlineLevel="0" collapsed="false">
      <c r="A5115" s="4" t="s">
        <v>221</v>
      </c>
      <c r="B5115" s="5" t="s">
        <v>240</v>
      </c>
      <c r="C5115" s="5" t="s">
        <v>241</v>
      </c>
      <c r="D5115" s="4" t="s">
        <v>16</v>
      </c>
      <c r="E5115" s="4" t="s">
        <v>5895</v>
      </c>
      <c r="F5115" s="4" t="s">
        <v>470</v>
      </c>
      <c r="G5115" s="4" t="s">
        <v>5896</v>
      </c>
      <c r="H5115" s="12" t="n">
        <v>1</v>
      </c>
      <c r="I5115" s="4" t="s">
        <v>408</v>
      </c>
      <c r="J5115" s="4" t="s">
        <v>543</v>
      </c>
      <c r="K5115" s="13" t="n">
        <v>20000</v>
      </c>
      <c r="L5115" s="6" t="n">
        <f aca="false">H5115*K5115</f>
        <v>20000</v>
      </c>
      <c r="M5115" s="4" t="s">
        <v>371</v>
      </c>
    </row>
    <row r="5116" customFormat="false" ht="23.85" hidden="false" customHeight="false" outlineLevel="0" collapsed="false">
      <c r="A5116" s="4" t="s">
        <v>221</v>
      </c>
      <c r="B5116" s="5" t="s">
        <v>240</v>
      </c>
      <c r="C5116" s="5" t="s">
        <v>241</v>
      </c>
      <c r="D5116" s="4" t="s">
        <v>16</v>
      </c>
      <c r="E5116" s="4" t="s">
        <v>1648</v>
      </c>
      <c r="F5116" s="4" t="s">
        <v>470</v>
      </c>
      <c r="G5116" s="4" t="s">
        <v>1424</v>
      </c>
      <c r="H5116" s="12" t="n">
        <v>1</v>
      </c>
      <c r="I5116" s="4" t="s">
        <v>408</v>
      </c>
      <c r="J5116" s="4" t="s">
        <v>409</v>
      </c>
      <c r="K5116" s="13" t="n">
        <v>3500</v>
      </c>
      <c r="L5116" s="6" t="n">
        <f aca="false">H5116*K5116</f>
        <v>3500</v>
      </c>
      <c r="M5116" s="4" t="s">
        <v>371</v>
      </c>
    </row>
    <row r="5117" customFormat="false" ht="23.85" hidden="false" customHeight="false" outlineLevel="0" collapsed="false">
      <c r="A5117" s="4" t="s">
        <v>221</v>
      </c>
      <c r="B5117" s="5" t="s">
        <v>240</v>
      </c>
      <c r="C5117" s="5" t="s">
        <v>241</v>
      </c>
      <c r="D5117" s="4" t="s">
        <v>16</v>
      </c>
      <c r="E5117" s="4" t="s">
        <v>5810</v>
      </c>
      <c r="F5117" s="4" t="s">
        <v>470</v>
      </c>
      <c r="G5117" s="4" t="s">
        <v>4619</v>
      </c>
      <c r="H5117" s="12" t="n">
        <v>1</v>
      </c>
      <c r="I5117" s="4" t="s">
        <v>408</v>
      </c>
      <c r="J5117" s="4" t="s">
        <v>416</v>
      </c>
      <c r="K5117" s="13" t="n">
        <v>1800</v>
      </c>
      <c r="L5117" s="6" t="n">
        <f aca="false">H5117*K5117</f>
        <v>1800</v>
      </c>
      <c r="M5117" s="4" t="s">
        <v>371</v>
      </c>
    </row>
    <row r="5118" customFormat="false" ht="23.85" hidden="false" customHeight="false" outlineLevel="0" collapsed="false">
      <c r="A5118" s="4" t="s">
        <v>221</v>
      </c>
      <c r="B5118" s="5" t="s">
        <v>240</v>
      </c>
      <c r="C5118" s="5" t="s">
        <v>241</v>
      </c>
      <c r="D5118" s="4" t="s">
        <v>16</v>
      </c>
      <c r="E5118" s="4" t="s">
        <v>1648</v>
      </c>
      <c r="F5118" s="4" t="s">
        <v>470</v>
      </c>
      <c r="G5118" s="4" t="s">
        <v>1424</v>
      </c>
      <c r="H5118" s="12" t="n">
        <v>1</v>
      </c>
      <c r="I5118" s="4" t="s">
        <v>408</v>
      </c>
      <c r="J5118" s="4" t="s">
        <v>409</v>
      </c>
      <c r="K5118" s="13" t="n">
        <v>3500</v>
      </c>
      <c r="L5118" s="6" t="n">
        <f aca="false">H5118*K5118</f>
        <v>3500</v>
      </c>
      <c r="M5118" s="4" t="s">
        <v>371</v>
      </c>
    </row>
    <row r="5119" customFormat="false" ht="23.85" hidden="false" customHeight="false" outlineLevel="0" collapsed="false">
      <c r="A5119" s="4" t="s">
        <v>221</v>
      </c>
      <c r="B5119" s="5" t="s">
        <v>240</v>
      </c>
      <c r="C5119" s="5" t="s">
        <v>241</v>
      </c>
      <c r="D5119" s="4" t="s">
        <v>16</v>
      </c>
      <c r="E5119" s="4" t="s">
        <v>2157</v>
      </c>
      <c r="F5119" s="4" t="s">
        <v>488</v>
      </c>
      <c r="G5119" s="4" t="s">
        <v>2158</v>
      </c>
      <c r="H5119" s="12" t="n">
        <v>1</v>
      </c>
      <c r="I5119" s="4" t="s">
        <v>408</v>
      </c>
      <c r="J5119" s="4" t="s">
        <v>506</v>
      </c>
      <c r="K5119" s="13" t="n">
        <v>120</v>
      </c>
      <c r="L5119" s="6" t="n">
        <f aca="false">H5119*K5119</f>
        <v>120</v>
      </c>
      <c r="M5119" s="4" t="s">
        <v>371</v>
      </c>
    </row>
    <row r="5120" customFormat="false" ht="23.85" hidden="false" customHeight="false" outlineLevel="0" collapsed="false">
      <c r="A5120" s="4" t="s">
        <v>221</v>
      </c>
      <c r="B5120" s="5" t="s">
        <v>240</v>
      </c>
      <c r="C5120" s="5" t="s">
        <v>241</v>
      </c>
      <c r="D5120" s="4" t="s">
        <v>16</v>
      </c>
      <c r="E5120" s="4" t="s">
        <v>2159</v>
      </c>
      <c r="F5120" s="4" t="s">
        <v>488</v>
      </c>
      <c r="G5120" s="4" t="s">
        <v>2160</v>
      </c>
      <c r="H5120" s="12" t="n">
        <v>1</v>
      </c>
      <c r="I5120" s="4" t="s">
        <v>408</v>
      </c>
      <c r="J5120" s="4" t="s">
        <v>416</v>
      </c>
      <c r="K5120" s="13" t="n">
        <v>120</v>
      </c>
      <c r="L5120" s="6" t="n">
        <f aca="false">H5120*K5120</f>
        <v>120</v>
      </c>
      <c r="M5120" s="4" t="s">
        <v>371</v>
      </c>
    </row>
    <row r="5121" customFormat="false" ht="23.85" hidden="false" customHeight="false" outlineLevel="0" collapsed="false">
      <c r="A5121" s="4" t="s">
        <v>221</v>
      </c>
      <c r="B5121" s="5" t="s">
        <v>240</v>
      </c>
      <c r="C5121" s="5" t="s">
        <v>241</v>
      </c>
      <c r="D5121" s="4" t="s">
        <v>16</v>
      </c>
      <c r="E5121" s="4" t="s">
        <v>1723</v>
      </c>
      <c r="F5121" s="4" t="s">
        <v>488</v>
      </c>
      <c r="G5121" s="4" t="s">
        <v>1724</v>
      </c>
      <c r="H5121" s="12" t="n">
        <v>1</v>
      </c>
      <c r="I5121" s="4" t="s">
        <v>408</v>
      </c>
      <c r="J5121" s="4" t="s">
        <v>409</v>
      </c>
      <c r="K5121" s="13" t="n">
        <v>25</v>
      </c>
      <c r="L5121" s="6" t="n">
        <f aca="false">H5121*K5121</f>
        <v>25</v>
      </c>
      <c r="M5121" s="4" t="s">
        <v>371</v>
      </c>
    </row>
    <row r="5122" customFormat="false" ht="15" hidden="false" customHeight="false" outlineLevel="0" collapsed="false">
      <c r="A5122" s="4" t="s">
        <v>221</v>
      </c>
      <c r="B5122" s="5" t="s">
        <v>242</v>
      </c>
      <c r="C5122" s="5" t="s">
        <v>243</v>
      </c>
      <c r="D5122" s="4" t="s">
        <v>16</v>
      </c>
      <c r="E5122" s="4" t="s">
        <v>5897</v>
      </c>
      <c r="F5122" s="4" t="s">
        <v>470</v>
      </c>
      <c r="G5122" s="4" t="s">
        <v>5898</v>
      </c>
      <c r="H5122" s="12" t="n">
        <v>1</v>
      </c>
      <c r="I5122" s="4" t="s">
        <v>408</v>
      </c>
      <c r="J5122" s="4" t="s">
        <v>416</v>
      </c>
      <c r="K5122" s="13" t="n">
        <v>85000</v>
      </c>
      <c r="L5122" s="6" t="n">
        <f aca="false">H5122*K5122</f>
        <v>85000</v>
      </c>
      <c r="M5122" s="4" t="s">
        <v>371</v>
      </c>
    </row>
    <row r="5123" customFormat="false" ht="15" hidden="false" customHeight="false" outlineLevel="0" collapsed="false">
      <c r="A5123" s="4" t="s">
        <v>221</v>
      </c>
      <c r="B5123" s="5" t="s">
        <v>242</v>
      </c>
      <c r="C5123" s="5" t="s">
        <v>243</v>
      </c>
      <c r="D5123" s="4" t="s">
        <v>16</v>
      </c>
      <c r="E5123" s="4" t="s">
        <v>2145</v>
      </c>
      <c r="F5123" s="4" t="s">
        <v>470</v>
      </c>
      <c r="G5123" s="4" t="s">
        <v>2146</v>
      </c>
      <c r="H5123" s="12" t="n">
        <v>1</v>
      </c>
      <c r="I5123" s="4" t="s">
        <v>408</v>
      </c>
      <c r="J5123" s="4" t="s">
        <v>409</v>
      </c>
      <c r="K5123" s="13" t="n">
        <v>55000</v>
      </c>
      <c r="L5123" s="6" t="n">
        <f aca="false">H5123*K5123</f>
        <v>55000</v>
      </c>
      <c r="M5123" s="4" t="s">
        <v>371</v>
      </c>
    </row>
    <row r="5124" customFormat="false" ht="15" hidden="false" customHeight="false" outlineLevel="0" collapsed="false">
      <c r="A5124" s="4" t="s">
        <v>221</v>
      </c>
      <c r="B5124" s="5" t="s">
        <v>242</v>
      </c>
      <c r="C5124" s="5" t="s">
        <v>243</v>
      </c>
      <c r="D5124" s="4" t="s">
        <v>16</v>
      </c>
      <c r="E5124" s="4" t="s">
        <v>2147</v>
      </c>
      <c r="F5124" s="4" t="s">
        <v>470</v>
      </c>
      <c r="G5124" s="4" t="s">
        <v>2148</v>
      </c>
      <c r="H5124" s="12" t="n">
        <v>1</v>
      </c>
      <c r="I5124" s="4" t="s">
        <v>408</v>
      </c>
      <c r="J5124" s="4" t="s">
        <v>543</v>
      </c>
      <c r="K5124" s="13" t="n">
        <v>12000</v>
      </c>
      <c r="L5124" s="6" t="n">
        <f aca="false">H5124*K5124</f>
        <v>12000</v>
      </c>
      <c r="M5124" s="4" t="s">
        <v>371</v>
      </c>
    </row>
    <row r="5125" customFormat="false" ht="15" hidden="false" customHeight="false" outlineLevel="0" collapsed="false">
      <c r="A5125" s="4" t="s">
        <v>221</v>
      </c>
      <c r="B5125" s="5" t="s">
        <v>242</v>
      </c>
      <c r="C5125" s="5" t="s">
        <v>243</v>
      </c>
      <c r="D5125" s="4" t="s">
        <v>16</v>
      </c>
      <c r="E5125" s="4" t="s">
        <v>5899</v>
      </c>
      <c r="F5125" s="4" t="s">
        <v>470</v>
      </c>
      <c r="G5125" s="4" t="s">
        <v>5900</v>
      </c>
      <c r="H5125" s="12" t="n">
        <v>1</v>
      </c>
      <c r="I5125" s="4" t="s">
        <v>408</v>
      </c>
      <c r="J5125" s="4" t="s">
        <v>543</v>
      </c>
      <c r="K5125" s="13" t="n">
        <v>12000</v>
      </c>
      <c r="L5125" s="6" t="n">
        <f aca="false">H5125*K5125</f>
        <v>12000</v>
      </c>
      <c r="M5125" s="4" t="s">
        <v>371</v>
      </c>
    </row>
    <row r="5126" customFormat="false" ht="15" hidden="false" customHeight="false" outlineLevel="0" collapsed="false">
      <c r="A5126" s="4" t="s">
        <v>221</v>
      </c>
      <c r="B5126" s="5" t="s">
        <v>242</v>
      </c>
      <c r="C5126" s="5" t="s">
        <v>243</v>
      </c>
      <c r="D5126" s="4" t="s">
        <v>16</v>
      </c>
      <c r="E5126" s="4" t="s">
        <v>5901</v>
      </c>
      <c r="F5126" s="4" t="s">
        <v>470</v>
      </c>
      <c r="G5126" s="4" t="s">
        <v>5902</v>
      </c>
      <c r="H5126" s="12" t="n">
        <v>1</v>
      </c>
      <c r="I5126" s="4" t="s">
        <v>408</v>
      </c>
      <c r="J5126" s="4" t="s">
        <v>2810</v>
      </c>
      <c r="K5126" s="13" t="n">
        <v>0</v>
      </c>
      <c r="L5126" s="6" t="n">
        <f aca="false">H5126*K5126</f>
        <v>0</v>
      </c>
      <c r="M5126" s="4" t="s">
        <v>371</v>
      </c>
    </row>
    <row r="5127" customFormat="false" ht="15" hidden="false" customHeight="false" outlineLevel="0" collapsed="false">
      <c r="A5127" s="4" t="s">
        <v>221</v>
      </c>
      <c r="B5127" s="5" t="s">
        <v>242</v>
      </c>
      <c r="C5127" s="5" t="s">
        <v>243</v>
      </c>
      <c r="D5127" s="4" t="s">
        <v>16</v>
      </c>
      <c r="E5127" s="4" t="s">
        <v>5903</v>
      </c>
      <c r="F5127" s="4" t="s">
        <v>470</v>
      </c>
      <c r="G5127" s="4" t="s">
        <v>5904</v>
      </c>
      <c r="H5127" s="12" t="n">
        <v>1</v>
      </c>
      <c r="I5127" s="4" t="s">
        <v>408</v>
      </c>
      <c r="J5127" s="4" t="s">
        <v>2810</v>
      </c>
      <c r="K5127" s="13" t="n">
        <v>0</v>
      </c>
      <c r="L5127" s="6" t="n">
        <f aca="false">H5127*K5127</f>
        <v>0</v>
      </c>
      <c r="M5127" s="4" t="s">
        <v>371</v>
      </c>
    </row>
    <row r="5128" customFormat="false" ht="15" hidden="false" customHeight="false" outlineLevel="0" collapsed="false">
      <c r="A5128" s="4" t="s">
        <v>221</v>
      </c>
      <c r="B5128" s="5" t="s">
        <v>242</v>
      </c>
      <c r="C5128" s="5" t="s">
        <v>243</v>
      </c>
      <c r="D5128" s="4" t="s">
        <v>16</v>
      </c>
      <c r="E5128" s="4" t="s">
        <v>5905</v>
      </c>
      <c r="F5128" s="4" t="s">
        <v>470</v>
      </c>
      <c r="G5128" s="4" t="s">
        <v>5906</v>
      </c>
      <c r="H5128" s="12" t="n">
        <v>1</v>
      </c>
      <c r="I5128" s="4" t="s">
        <v>408</v>
      </c>
      <c r="J5128" s="4" t="s">
        <v>543</v>
      </c>
      <c r="K5128" s="13" t="n">
        <v>12000</v>
      </c>
      <c r="L5128" s="6" t="n">
        <f aca="false">H5128*K5128</f>
        <v>12000</v>
      </c>
      <c r="M5128" s="4" t="s">
        <v>371</v>
      </c>
    </row>
    <row r="5129" customFormat="false" ht="15" hidden="false" customHeight="false" outlineLevel="0" collapsed="false">
      <c r="A5129" s="4" t="s">
        <v>221</v>
      </c>
      <c r="B5129" s="5" t="s">
        <v>242</v>
      </c>
      <c r="C5129" s="5" t="s">
        <v>243</v>
      </c>
      <c r="D5129" s="4" t="s">
        <v>16</v>
      </c>
      <c r="E5129" s="4" t="s">
        <v>1648</v>
      </c>
      <c r="F5129" s="4" t="s">
        <v>470</v>
      </c>
      <c r="G5129" s="4" t="s">
        <v>1424</v>
      </c>
      <c r="H5129" s="12" t="n">
        <v>1</v>
      </c>
      <c r="I5129" s="4" t="s">
        <v>408</v>
      </c>
      <c r="J5129" s="4" t="s">
        <v>409</v>
      </c>
      <c r="K5129" s="13" t="n">
        <v>3500</v>
      </c>
      <c r="L5129" s="6" t="n">
        <f aca="false">H5129*K5129</f>
        <v>3500</v>
      </c>
      <c r="M5129" s="4" t="s">
        <v>371</v>
      </c>
    </row>
    <row r="5130" customFormat="false" ht="15" hidden="false" customHeight="false" outlineLevel="0" collapsed="false">
      <c r="A5130" s="4" t="s">
        <v>221</v>
      </c>
      <c r="B5130" s="5" t="s">
        <v>242</v>
      </c>
      <c r="C5130" s="5" t="s">
        <v>243</v>
      </c>
      <c r="D5130" s="4" t="s">
        <v>16</v>
      </c>
      <c r="E5130" s="4" t="s">
        <v>2157</v>
      </c>
      <c r="F5130" s="4" t="s">
        <v>488</v>
      </c>
      <c r="G5130" s="4" t="s">
        <v>2158</v>
      </c>
      <c r="H5130" s="12" t="n">
        <v>1</v>
      </c>
      <c r="I5130" s="4" t="s">
        <v>408</v>
      </c>
      <c r="J5130" s="4" t="s">
        <v>506</v>
      </c>
      <c r="K5130" s="13" t="n">
        <v>120</v>
      </c>
      <c r="L5130" s="6" t="n">
        <f aca="false">H5130*K5130</f>
        <v>120</v>
      </c>
      <c r="M5130" s="4" t="s">
        <v>371</v>
      </c>
    </row>
    <row r="5131" customFormat="false" ht="15" hidden="false" customHeight="false" outlineLevel="0" collapsed="false">
      <c r="A5131" s="4" t="s">
        <v>221</v>
      </c>
      <c r="B5131" s="5" t="s">
        <v>242</v>
      </c>
      <c r="C5131" s="5" t="s">
        <v>243</v>
      </c>
      <c r="D5131" s="4" t="s">
        <v>16</v>
      </c>
      <c r="E5131" s="4" t="s">
        <v>2159</v>
      </c>
      <c r="F5131" s="4" t="s">
        <v>488</v>
      </c>
      <c r="G5131" s="4" t="s">
        <v>2160</v>
      </c>
      <c r="H5131" s="12" t="n">
        <v>1</v>
      </c>
      <c r="I5131" s="4" t="s">
        <v>408</v>
      </c>
      <c r="J5131" s="4" t="s">
        <v>416</v>
      </c>
      <c r="K5131" s="13" t="n">
        <v>120</v>
      </c>
      <c r="L5131" s="6" t="n">
        <f aca="false">H5131*K5131</f>
        <v>120</v>
      </c>
      <c r="M5131" s="4" t="s">
        <v>371</v>
      </c>
    </row>
    <row r="5132" customFormat="false" ht="15" hidden="false" customHeight="false" outlineLevel="0" collapsed="false">
      <c r="A5132" s="4" t="s">
        <v>221</v>
      </c>
      <c r="B5132" s="5" t="s">
        <v>244</v>
      </c>
      <c r="C5132" s="5" t="s">
        <v>245</v>
      </c>
      <c r="D5132" s="4" t="s">
        <v>16</v>
      </c>
      <c r="E5132" s="4" t="s">
        <v>2141</v>
      </c>
      <c r="F5132" s="4" t="s">
        <v>406</v>
      </c>
      <c r="G5132" s="4" t="s">
        <v>2142</v>
      </c>
      <c r="H5132" s="12" t="n">
        <v>1</v>
      </c>
      <c r="I5132" s="4" t="s">
        <v>408</v>
      </c>
      <c r="J5132" s="4" t="s">
        <v>416</v>
      </c>
      <c r="K5132" s="13" t="n">
        <v>12000</v>
      </c>
      <c r="L5132" s="6" t="n">
        <f aca="false">H5132*K5132</f>
        <v>12000</v>
      </c>
      <c r="M5132" s="4" t="s">
        <v>371</v>
      </c>
    </row>
    <row r="5133" customFormat="false" ht="15" hidden="false" customHeight="false" outlineLevel="0" collapsed="false">
      <c r="A5133" s="4" t="s">
        <v>221</v>
      </c>
      <c r="B5133" s="5" t="s">
        <v>244</v>
      </c>
      <c r="C5133" s="5" t="s">
        <v>245</v>
      </c>
      <c r="D5133" s="4" t="s">
        <v>16</v>
      </c>
      <c r="E5133" s="4" t="s">
        <v>5897</v>
      </c>
      <c r="F5133" s="4" t="s">
        <v>470</v>
      </c>
      <c r="G5133" s="4" t="s">
        <v>5898</v>
      </c>
      <c r="H5133" s="12" t="n">
        <v>1</v>
      </c>
      <c r="I5133" s="4" t="s">
        <v>408</v>
      </c>
      <c r="J5133" s="4" t="s">
        <v>416</v>
      </c>
      <c r="K5133" s="13" t="n">
        <v>85000</v>
      </c>
      <c r="L5133" s="6" t="n">
        <f aca="false">H5133*K5133</f>
        <v>85000</v>
      </c>
      <c r="M5133" s="4" t="s">
        <v>371</v>
      </c>
    </row>
    <row r="5134" customFormat="false" ht="15" hidden="false" customHeight="false" outlineLevel="0" collapsed="false">
      <c r="A5134" s="4" t="s">
        <v>221</v>
      </c>
      <c r="B5134" s="5" t="s">
        <v>244</v>
      </c>
      <c r="C5134" s="5" t="s">
        <v>245</v>
      </c>
      <c r="D5134" s="4" t="s">
        <v>16</v>
      </c>
      <c r="E5134" s="4" t="s">
        <v>2145</v>
      </c>
      <c r="F5134" s="4" t="s">
        <v>470</v>
      </c>
      <c r="G5134" s="4" t="s">
        <v>2146</v>
      </c>
      <c r="H5134" s="12" t="n">
        <v>1</v>
      </c>
      <c r="I5134" s="4" t="s">
        <v>408</v>
      </c>
      <c r="J5134" s="4" t="s">
        <v>409</v>
      </c>
      <c r="K5134" s="13" t="n">
        <v>55000</v>
      </c>
      <c r="L5134" s="6" t="n">
        <f aca="false">H5134*K5134</f>
        <v>55000</v>
      </c>
      <c r="M5134" s="4" t="s">
        <v>371</v>
      </c>
    </row>
    <row r="5135" customFormat="false" ht="15" hidden="false" customHeight="false" outlineLevel="0" collapsed="false">
      <c r="A5135" s="4" t="s">
        <v>221</v>
      </c>
      <c r="B5135" s="5" t="s">
        <v>244</v>
      </c>
      <c r="C5135" s="5" t="s">
        <v>245</v>
      </c>
      <c r="D5135" s="4" t="s">
        <v>16</v>
      </c>
      <c r="E5135" s="4" t="s">
        <v>2147</v>
      </c>
      <c r="F5135" s="4" t="s">
        <v>470</v>
      </c>
      <c r="G5135" s="4" t="s">
        <v>2148</v>
      </c>
      <c r="H5135" s="12" t="n">
        <v>1</v>
      </c>
      <c r="I5135" s="4" t="s">
        <v>408</v>
      </c>
      <c r="J5135" s="4" t="s">
        <v>543</v>
      </c>
      <c r="K5135" s="13" t="n">
        <v>12000</v>
      </c>
      <c r="L5135" s="6" t="n">
        <f aca="false">H5135*K5135</f>
        <v>12000</v>
      </c>
      <c r="M5135" s="4" t="s">
        <v>371</v>
      </c>
    </row>
    <row r="5136" customFormat="false" ht="15" hidden="false" customHeight="false" outlineLevel="0" collapsed="false">
      <c r="A5136" s="4" t="s">
        <v>221</v>
      </c>
      <c r="B5136" s="5" t="s">
        <v>244</v>
      </c>
      <c r="C5136" s="5" t="s">
        <v>245</v>
      </c>
      <c r="D5136" s="4" t="s">
        <v>16</v>
      </c>
      <c r="E5136" s="4" t="s">
        <v>5907</v>
      </c>
      <c r="F5136" s="4" t="s">
        <v>470</v>
      </c>
      <c r="G5136" s="4" t="s">
        <v>5908</v>
      </c>
      <c r="H5136" s="12" t="n">
        <v>1</v>
      </c>
      <c r="I5136" s="4" t="s">
        <v>408</v>
      </c>
      <c r="J5136" s="4" t="s">
        <v>416</v>
      </c>
      <c r="K5136" s="13" t="n">
        <v>1200000</v>
      </c>
      <c r="L5136" s="6" t="n">
        <f aca="false">H5136*K5136</f>
        <v>1200000</v>
      </c>
      <c r="M5136" s="4" t="s">
        <v>371</v>
      </c>
    </row>
    <row r="5137" customFormat="false" ht="15" hidden="false" customHeight="false" outlineLevel="0" collapsed="false">
      <c r="A5137" s="4" t="s">
        <v>221</v>
      </c>
      <c r="B5137" s="5" t="s">
        <v>244</v>
      </c>
      <c r="C5137" s="5" t="s">
        <v>245</v>
      </c>
      <c r="D5137" s="4" t="s">
        <v>16</v>
      </c>
      <c r="E5137" s="4" t="s">
        <v>1697</v>
      </c>
      <c r="F5137" s="4" t="s">
        <v>470</v>
      </c>
      <c r="G5137" s="4" t="s">
        <v>1698</v>
      </c>
      <c r="H5137" s="12" t="n">
        <v>1</v>
      </c>
      <c r="I5137" s="4" t="s">
        <v>408</v>
      </c>
      <c r="J5137" s="4" t="s">
        <v>409</v>
      </c>
      <c r="K5137" s="13" t="n">
        <v>45000</v>
      </c>
      <c r="L5137" s="6" t="n">
        <f aca="false">H5137*K5137</f>
        <v>45000</v>
      </c>
      <c r="M5137" s="14" t="s">
        <v>410</v>
      </c>
    </row>
    <row r="5138" customFormat="false" ht="15" hidden="false" customHeight="false" outlineLevel="0" collapsed="false">
      <c r="A5138" s="4" t="s">
        <v>221</v>
      </c>
      <c r="B5138" s="5" t="s">
        <v>244</v>
      </c>
      <c r="C5138" s="5" t="s">
        <v>245</v>
      </c>
      <c r="D5138" s="4" t="s">
        <v>16</v>
      </c>
      <c r="E5138" s="4" t="s">
        <v>1699</v>
      </c>
      <c r="F5138" s="4" t="s">
        <v>470</v>
      </c>
      <c r="G5138" s="4" t="s">
        <v>1700</v>
      </c>
      <c r="H5138" s="12" t="n">
        <v>1</v>
      </c>
      <c r="I5138" s="4" t="s">
        <v>408</v>
      </c>
      <c r="J5138" s="4" t="s">
        <v>409</v>
      </c>
      <c r="K5138" s="13" t="n">
        <v>55000</v>
      </c>
      <c r="L5138" s="6" t="n">
        <f aca="false">H5138*K5138</f>
        <v>55000</v>
      </c>
      <c r="M5138" s="14" t="s">
        <v>410</v>
      </c>
    </row>
    <row r="5139" customFormat="false" ht="15" hidden="false" customHeight="false" outlineLevel="0" collapsed="false">
      <c r="A5139" s="4" t="s">
        <v>221</v>
      </c>
      <c r="B5139" s="5" t="s">
        <v>244</v>
      </c>
      <c r="C5139" s="5" t="s">
        <v>245</v>
      </c>
      <c r="D5139" s="4" t="s">
        <v>16</v>
      </c>
      <c r="E5139" s="4" t="s">
        <v>2151</v>
      </c>
      <c r="F5139" s="4" t="s">
        <v>470</v>
      </c>
      <c r="G5139" s="4" t="s">
        <v>2152</v>
      </c>
      <c r="H5139" s="12" t="n">
        <v>1</v>
      </c>
      <c r="I5139" s="4" t="s">
        <v>408</v>
      </c>
      <c r="J5139" s="4" t="s">
        <v>543</v>
      </c>
      <c r="K5139" s="13" t="n">
        <v>25000</v>
      </c>
      <c r="L5139" s="6" t="n">
        <f aca="false">H5139*K5139</f>
        <v>25000</v>
      </c>
      <c r="M5139" s="4" t="s">
        <v>371</v>
      </c>
    </row>
    <row r="5140" customFormat="false" ht="15" hidden="false" customHeight="false" outlineLevel="0" collapsed="false">
      <c r="A5140" s="4" t="s">
        <v>221</v>
      </c>
      <c r="B5140" s="5" t="s">
        <v>244</v>
      </c>
      <c r="C5140" s="5" t="s">
        <v>245</v>
      </c>
      <c r="D5140" s="4" t="s">
        <v>16</v>
      </c>
      <c r="E5140" s="4" t="s">
        <v>5893</v>
      </c>
      <c r="F5140" s="4" t="s">
        <v>470</v>
      </c>
      <c r="G5140" s="4" t="s">
        <v>5894</v>
      </c>
      <c r="H5140" s="12" t="n">
        <v>1</v>
      </c>
      <c r="I5140" s="4" t="s">
        <v>408</v>
      </c>
      <c r="J5140" s="4" t="s">
        <v>543</v>
      </c>
      <c r="K5140" s="13" t="n">
        <v>25000</v>
      </c>
      <c r="L5140" s="6" t="n">
        <f aca="false">H5140*K5140</f>
        <v>25000</v>
      </c>
      <c r="M5140" s="4" t="s">
        <v>371</v>
      </c>
    </row>
    <row r="5141" customFormat="false" ht="15" hidden="false" customHeight="false" outlineLevel="0" collapsed="false">
      <c r="A5141" s="4" t="s">
        <v>221</v>
      </c>
      <c r="B5141" s="5" t="s">
        <v>244</v>
      </c>
      <c r="C5141" s="5" t="s">
        <v>245</v>
      </c>
      <c r="D5141" s="4" t="s">
        <v>16</v>
      </c>
      <c r="E5141" s="4" t="s">
        <v>5909</v>
      </c>
      <c r="F5141" s="4" t="s">
        <v>470</v>
      </c>
      <c r="G5141" s="4" t="s">
        <v>5910</v>
      </c>
      <c r="H5141" s="12" t="n">
        <v>1</v>
      </c>
      <c r="I5141" s="4" t="s">
        <v>408</v>
      </c>
      <c r="J5141" s="4" t="s">
        <v>543</v>
      </c>
      <c r="K5141" s="13" t="n">
        <v>20000</v>
      </c>
      <c r="L5141" s="6" t="n">
        <f aca="false">H5141*K5141</f>
        <v>20000</v>
      </c>
      <c r="M5141" s="4" t="s">
        <v>371</v>
      </c>
    </row>
    <row r="5142" customFormat="false" ht="15" hidden="false" customHeight="false" outlineLevel="0" collapsed="false">
      <c r="A5142" s="4" t="s">
        <v>221</v>
      </c>
      <c r="B5142" s="5" t="s">
        <v>244</v>
      </c>
      <c r="C5142" s="5" t="s">
        <v>245</v>
      </c>
      <c r="D5142" s="4" t="s">
        <v>16</v>
      </c>
      <c r="E5142" s="4" t="s">
        <v>1648</v>
      </c>
      <c r="F5142" s="4" t="s">
        <v>470</v>
      </c>
      <c r="G5142" s="4" t="s">
        <v>1424</v>
      </c>
      <c r="H5142" s="12" t="n">
        <v>1</v>
      </c>
      <c r="I5142" s="4" t="s">
        <v>408</v>
      </c>
      <c r="J5142" s="4" t="s">
        <v>409</v>
      </c>
      <c r="K5142" s="13" t="n">
        <v>3500</v>
      </c>
      <c r="L5142" s="6" t="n">
        <f aca="false">H5142*K5142</f>
        <v>3500</v>
      </c>
      <c r="M5142" s="4" t="s">
        <v>371</v>
      </c>
    </row>
    <row r="5143" customFormat="false" ht="15" hidden="false" customHeight="false" outlineLevel="0" collapsed="false">
      <c r="A5143" s="4" t="s">
        <v>221</v>
      </c>
      <c r="B5143" s="5" t="s">
        <v>244</v>
      </c>
      <c r="C5143" s="5" t="s">
        <v>245</v>
      </c>
      <c r="D5143" s="4" t="s">
        <v>16</v>
      </c>
      <c r="E5143" s="4" t="s">
        <v>1711</v>
      </c>
      <c r="F5143" s="4" t="s">
        <v>470</v>
      </c>
      <c r="G5143" s="4" t="s">
        <v>1712</v>
      </c>
      <c r="H5143" s="12" t="n">
        <v>1</v>
      </c>
      <c r="I5143" s="4" t="s">
        <v>408</v>
      </c>
      <c r="J5143" s="4" t="s">
        <v>409</v>
      </c>
      <c r="K5143" s="13" t="n">
        <v>850</v>
      </c>
      <c r="L5143" s="6" t="n">
        <f aca="false">H5143*K5143</f>
        <v>850</v>
      </c>
      <c r="M5143" s="4" t="s">
        <v>371</v>
      </c>
    </row>
    <row r="5144" customFormat="false" ht="15" hidden="false" customHeight="false" outlineLevel="0" collapsed="false">
      <c r="A5144" s="4" t="s">
        <v>221</v>
      </c>
      <c r="B5144" s="5" t="s">
        <v>244</v>
      </c>
      <c r="C5144" s="5" t="s">
        <v>245</v>
      </c>
      <c r="D5144" s="4" t="s">
        <v>16</v>
      </c>
      <c r="E5144" s="4" t="s">
        <v>1713</v>
      </c>
      <c r="F5144" s="4" t="s">
        <v>470</v>
      </c>
      <c r="G5144" s="4" t="s">
        <v>1714</v>
      </c>
      <c r="H5144" s="12" t="n">
        <v>1</v>
      </c>
      <c r="I5144" s="4" t="s">
        <v>408</v>
      </c>
      <c r="J5144" s="4" t="s">
        <v>543</v>
      </c>
      <c r="K5144" s="13" t="n">
        <v>850</v>
      </c>
      <c r="L5144" s="6" t="n">
        <f aca="false">H5144*K5144</f>
        <v>850</v>
      </c>
      <c r="M5144" s="4" t="s">
        <v>371</v>
      </c>
    </row>
    <row r="5145" customFormat="false" ht="15" hidden="false" customHeight="false" outlineLevel="0" collapsed="false">
      <c r="A5145" s="4" t="s">
        <v>221</v>
      </c>
      <c r="B5145" s="5" t="s">
        <v>244</v>
      </c>
      <c r="C5145" s="5" t="s">
        <v>245</v>
      </c>
      <c r="D5145" s="4" t="s">
        <v>16</v>
      </c>
      <c r="E5145" s="4" t="s">
        <v>1648</v>
      </c>
      <c r="F5145" s="4" t="s">
        <v>470</v>
      </c>
      <c r="G5145" s="4" t="s">
        <v>1424</v>
      </c>
      <c r="H5145" s="12" t="n">
        <v>1</v>
      </c>
      <c r="I5145" s="4" t="s">
        <v>408</v>
      </c>
      <c r="J5145" s="4" t="s">
        <v>409</v>
      </c>
      <c r="K5145" s="13" t="n">
        <v>3500</v>
      </c>
      <c r="L5145" s="6" t="n">
        <f aca="false">H5145*K5145</f>
        <v>3500</v>
      </c>
      <c r="M5145" s="4" t="s">
        <v>371</v>
      </c>
    </row>
    <row r="5146" customFormat="false" ht="15" hidden="false" customHeight="false" outlineLevel="0" collapsed="false">
      <c r="A5146" s="4" t="s">
        <v>221</v>
      </c>
      <c r="B5146" s="5" t="s">
        <v>244</v>
      </c>
      <c r="C5146" s="5" t="s">
        <v>245</v>
      </c>
      <c r="D5146" s="4" t="s">
        <v>16</v>
      </c>
      <c r="E5146" s="4" t="s">
        <v>2157</v>
      </c>
      <c r="F5146" s="4" t="s">
        <v>488</v>
      </c>
      <c r="G5146" s="4" t="s">
        <v>2158</v>
      </c>
      <c r="H5146" s="12" t="n">
        <v>1</v>
      </c>
      <c r="I5146" s="4" t="s">
        <v>408</v>
      </c>
      <c r="J5146" s="4" t="s">
        <v>506</v>
      </c>
      <c r="K5146" s="13" t="n">
        <v>120</v>
      </c>
      <c r="L5146" s="6" t="n">
        <f aca="false">H5146*K5146</f>
        <v>120</v>
      </c>
      <c r="M5146" s="4" t="s">
        <v>371</v>
      </c>
    </row>
    <row r="5147" customFormat="false" ht="15" hidden="false" customHeight="false" outlineLevel="0" collapsed="false">
      <c r="A5147" s="4" t="s">
        <v>221</v>
      </c>
      <c r="B5147" s="5" t="s">
        <v>244</v>
      </c>
      <c r="C5147" s="5" t="s">
        <v>245</v>
      </c>
      <c r="D5147" s="4" t="s">
        <v>16</v>
      </c>
      <c r="E5147" s="4" t="s">
        <v>2159</v>
      </c>
      <c r="F5147" s="4" t="s">
        <v>488</v>
      </c>
      <c r="G5147" s="4" t="s">
        <v>2160</v>
      </c>
      <c r="H5147" s="12" t="n">
        <v>1</v>
      </c>
      <c r="I5147" s="4" t="s">
        <v>408</v>
      </c>
      <c r="J5147" s="4" t="s">
        <v>416</v>
      </c>
      <c r="K5147" s="13" t="n">
        <v>120</v>
      </c>
      <c r="L5147" s="6" t="n">
        <f aca="false">H5147*K5147</f>
        <v>120</v>
      </c>
      <c r="M5147" s="4" t="s">
        <v>371</v>
      </c>
    </row>
    <row r="5148" customFormat="false" ht="15" hidden="false" customHeight="false" outlineLevel="0" collapsed="false">
      <c r="A5148" s="4" t="s">
        <v>221</v>
      </c>
      <c r="B5148" s="5" t="s">
        <v>244</v>
      </c>
      <c r="C5148" s="5" t="s">
        <v>245</v>
      </c>
      <c r="D5148" s="4" t="s">
        <v>16</v>
      </c>
      <c r="E5148" s="4" t="s">
        <v>1723</v>
      </c>
      <c r="F5148" s="4" t="s">
        <v>488</v>
      </c>
      <c r="G5148" s="4" t="s">
        <v>1724</v>
      </c>
      <c r="H5148" s="12" t="n">
        <v>1</v>
      </c>
      <c r="I5148" s="4" t="s">
        <v>408</v>
      </c>
      <c r="J5148" s="4" t="s">
        <v>409</v>
      </c>
      <c r="K5148" s="13" t="n">
        <v>25</v>
      </c>
      <c r="L5148" s="6" t="n">
        <f aca="false">H5148*K5148</f>
        <v>25</v>
      </c>
      <c r="M5148" s="4" t="s">
        <v>371</v>
      </c>
    </row>
    <row r="5149" customFormat="false" ht="15" hidden="false" customHeight="false" outlineLevel="0" collapsed="false">
      <c r="A5149" s="4" t="s">
        <v>246</v>
      </c>
      <c r="B5149" s="5" t="s">
        <v>247</v>
      </c>
      <c r="C5149" s="5" t="s">
        <v>248</v>
      </c>
      <c r="D5149" s="4" t="s">
        <v>16</v>
      </c>
      <c r="E5149" s="4" t="s">
        <v>2371</v>
      </c>
      <c r="F5149" s="4" t="s">
        <v>406</v>
      </c>
      <c r="G5149" s="4" t="s">
        <v>2372</v>
      </c>
      <c r="H5149" s="12" t="n">
        <v>1</v>
      </c>
      <c r="I5149" s="4" t="s">
        <v>408</v>
      </c>
      <c r="J5149" s="4" t="s">
        <v>416</v>
      </c>
      <c r="K5149" s="13" t="n">
        <v>2500</v>
      </c>
      <c r="L5149" s="6" t="n">
        <f aca="false">H5149*K5149</f>
        <v>2500</v>
      </c>
      <c r="M5149" s="4" t="s">
        <v>371</v>
      </c>
    </row>
    <row r="5150" customFormat="false" ht="15" hidden="false" customHeight="false" outlineLevel="0" collapsed="false">
      <c r="A5150" s="4" t="s">
        <v>246</v>
      </c>
      <c r="B5150" s="5" t="s">
        <v>247</v>
      </c>
      <c r="C5150" s="5" t="s">
        <v>248</v>
      </c>
      <c r="D5150" s="4" t="s">
        <v>16</v>
      </c>
      <c r="E5150" s="4" t="s">
        <v>2225</v>
      </c>
      <c r="F5150" s="4" t="s">
        <v>406</v>
      </c>
      <c r="G5150" s="4" t="s">
        <v>2226</v>
      </c>
      <c r="H5150" s="12" t="n">
        <v>1</v>
      </c>
      <c r="I5150" s="4" t="s">
        <v>408</v>
      </c>
      <c r="J5150" s="4" t="s">
        <v>409</v>
      </c>
      <c r="K5150" s="13" t="n">
        <v>350</v>
      </c>
      <c r="L5150" s="6" t="n">
        <f aca="false">H5150*K5150</f>
        <v>350</v>
      </c>
      <c r="M5150" s="14" t="s">
        <v>410</v>
      </c>
    </row>
    <row r="5151" customFormat="false" ht="15" hidden="false" customHeight="false" outlineLevel="0" collapsed="false">
      <c r="A5151" s="4" t="s">
        <v>246</v>
      </c>
      <c r="B5151" s="5" t="s">
        <v>247</v>
      </c>
      <c r="C5151" s="5" t="s">
        <v>248</v>
      </c>
      <c r="D5151" s="4" t="s">
        <v>16</v>
      </c>
      <c r="E5151" s="4" t="s">
        <v>2257</v>
      </c>
      <c r="F5151" s="4" t="s">
        <v>406</v>
      </c>
      <c r="G5151" s="4" t="s">
        <v>2258</v>
      </c>
      <c r="H5151" s="12" t="n">
        <v>1</v>
      </c>
      <c r="I5151" s="4" t="s">
        <v>408</v>
      </c>
      <c r="J5151" s="4" t="s">
        <v>409</v>
      </c>
      <c r="K5151" s="13" t="n">
        <v>6500</v>
      </c>
      <c r="L5151" s="6" t="n">
        <f aca="false">H5151*K5151</f>
        <v>6500</v>
      </c>
      <c r="M5151" s="14" t="s">
        <v>410</v>
      </c>
    </row>
    <row r="5152" customFormat="false" ht="15" hidden="false" customHeight="false" outlineLevel="0" collapsed="false">
      <c r="A5152" s="4" t="s">
        <v>246</v>
      </c>
      <c r="B5152" s="5" t="s">
        <v>247</v>
      </c>
      <c r="C5152" s="5" t="s">
        <v>248</v>
      </c>
      <c r="D5152" s="4" t="s">
        <v>16</v>
      </c>
      <c r="E5152" s="4" t="s">
        <v>2259</v>
      </c>
      <c r="F5152" s="4" t="s">
        <v>406</v>
      </c>
      <c r="G5152" s="4" t="s">
        <v>2260</v>
      </c>
      <c r="H5152" s="12" t="n">
        <v>1</v>
      </c>
      <c r="I5152" s="4" t="s">
        <v>408</v>
      </c>
      <c r="J5152" s="4" t="s">
        <v>409</v>
      </c>
      <c r="K5152" s="13" t="n">
        <v>85000</v>
      </c>
      <c r="L5152" s="6" t="n">
        <f aca="false">H5152*K5152</f>
        <v>85000</v>
      </c>
      <c r="M5152" s="14" t="s">
        <v>410</v>
      </c>
    </row>
    <row r="5153" customFormat="false" ht="15" hidden="false" customHeight="false" outlineLevel="0" collapsed="false">
      <c r="A5153" s="4" t="s">
        <v>246</v>
      </c>
      <c r="B5153" s="5" t="s">
        <v>247</v>
      </c>
      <c r="C5153" s="5" t="s">
        <v>248</v>
      </c>
      <c r="D5153" s="4" t="s">
        <v>16</v>
      </c>
      <c r="E5153" s="4" t="s">
        <v>2261</v>
      </c>
      <c r="F5153" s="4" t="s">
        <v>406</v>
      </c>
      <c r="G5153" s="4" t="s">
        <v>2262</v>
      </c>
      <c r="H5153" s="12" t="n">
        <v>1</v>
      </c>
      <c r="I5153" s="4" t="s">
        <v>408</v>
      </c>
      <c r="J5153" s="4" t="s">
        <v>409</v>
      </c>
      <c r="K5153" s="13" t="n">
        <v>18000</v>
      </c>
      <c r="L5153" s="6" t="n">
        <f aca="false">H5153*K5153</f>
        <v>18000</v>
      </c>
      <c r="M5153" s="14" t="s">
        <v>410</v>
      </c>
    </row>
    <row r="5154" customFormat="false" ht="15" hidden="false" customHeight="false" outlineLevel="0" collapsed="false">
      <c r="A5154" s="4" t="s">
        <v>246</v>
      </c>
      <c r="B5154" s="5" t="s">
        <v>247</v>
      </c>
      <c r="C5154" s="5" t="s">
        <v>248</v>
      </c>
      <c r="D5154" s="4" t="s">
        <v>16</v>
      </c>
      <c r="E5154" s="4" t="s">
        <v>2263</v>
      </c>
      <c r="F5154" s="4" t="s">
        <v>406</v>
      </c>
      <c r="G5154" s="4" t="s">
        <v>2264</v>
      </c>
      <c r="H5154" s="12" t="n">
        <v>1</v>
      </c>
      <c r="I5154" s="4" t="s">
        <v>408</v>
      </c>
      <c r="J5154" s="4" t="s">
        <v>409</v>
      </c>
      <c r="K5154" s="13" t="n">
        <v>25000</v>
      </c>
      <c r="L5154" s="6" t="n">
        <f aca="false">H5154*K5154</f>
        <v>25000</v>
      </c>
      <c r="M5154" s="4" t="s">
        <v>371</v>
      </c>
    </row>
    <row r="5155" customFormat="false" ht="15" hidden="false" customHeight="false" outlineLevel="0" collapsed="false">
      <c r="A5155" s="4" t="s">
        <v>246</v>
      </c>
      <c r="B5155" s="5" t="s">
        <v>247</v>
      </c>
      <c r="C5155" s="5" t="s">
        <v>248</v>
      </c>
      <c r="D5155" s="4" t="s">
        <v>16</v>
      </c>
      <c r="E5155" s="4" t="s">
        <v>2265</v>
      </c>
      <c r="F5155" s="4" t="s">
        <v>406</v>
      </c>
      <c r="G5155" s="4" t="s">
        <v>2266</v>
      </c>
      <c r="H5155" s="12" t="n">
        <v>1</v>
      </c>
      <c r="I5155" s="4" t="s">
        <v>408</v>
      </c>
      <c r="J5155" s="4" t="s">
        <v>416</v>
      </c>
      <c r="K5155" s="13" t="n">
        <v>18000</v>
      </c>
      <c r="L5155" s="6" t="n">
        <f aca="false">H5155*K5155</f>
        <v>18000</v>
      </c>
      <c r="M5155" s="4" t="s">
        <v>371</v>
      </c>
    </row>
    <row r="5156" customFormat="false" ht="15" hidden="false" customHeight="false" outlineLevel="0" collapsed="false">
      <c r="A5156" s="4" t="s">
        <v>246</v>
      </c>
      <c r="B5156" s="5" t="s">
        <v>247</v>
      </c>
      <c r="C5156" s="5" t="s">
        <v>248</v>
      </c>
      <c r="D5156" s="4" t="s">
        <v>16</v>
      </c>
      <c r="E5156" s="4" t="s">
        <v>5911</v>
      </c>
      <c r="F5156" s="4" t="s">
        <v>406</v>
      </c>
      <c r="G5156" s="4" t="s">
        <v>5912</v>
      </c>
      <c r="H5156" s="12" t="n">
        <v>1</v>
      </c>
      <c r="I5156" s="4" t="s">
        <v>408</v>
      </c>
      <c r="J5156" s="4" t="s">
        <v>543</v>
      </c>
      <c r="K5156" s="13" t="n">
        <v>850000</v>
      </c>
      <c r="L5156" s="6" t="n">
        <f aca="false">H5156*K5156</f>
        <v>850000</v>
      </c>
      <c r="M5156" s="4" t="s">
        <v>371</v>
      </c>
    </row>
    <row r="5157" customFormat="false" ht="15" hidden="false" customHeight="false" outlineLevel="0" collapsed="false">
      <c r="A5157" s="4" t="s">
        <v>246</v>
      </c>
      <c r="B5157" s="5" t="s">
        <v>247</v>
      </c>
      <c r="C5157" s="5" t="s">
        <v>248</v>
      </c>
      <c r="D5157" s="4" t="s">
        <v>16</v>
      </c>
      <c r="E5157" s="4" t="s">
        <v>2267</v>
      </c>
      <c r="F5157" s="4" t="s">
        <v>406</v>
      </c>
      <c r="G5157" s="4" t="s">
        <v>2268</v>
      </c>
      <c r="H5157" s="12" t="n">
        <v>1</v>
      </c>
      <c r="I5157" s="4" t="s">
        <v>408</v>
      </c>
      <c r="J5157" s="4" t="s">
        <v>543</v>
      </c>
      <c r="K5157" s="13" t="n">
        <v>850000</v>
      </c>
      <c r="L5157" s="6" t="n">
        <f aca="false">H5157*K5157</f>
        <v>850000</v>
      </c>
      <c r="M5157" s="4" t="s">
        <v>371</v>
      </c>
    </row>
    <row r="5158" customFormat="false" ht="15" hidden="false" customHeight="false" outlineLevel="0" collapsed="false">
      <c r="A5158" s="4" t="s">
        <v>246</v>
      </c>
      <c r="B5158" s="5" t="s">
        <v>247</v>
      </c>
      <c r="C5158" s="5" t="s">
        <v>248</v>
      </c>
      <c r="D5158" s="4" t="s">
        <v>16</v>
      </c>
      <c r="E5158" s="4" t="s">
        <v>2269</v>
      </c>
      <c r="F5158" s="4" t="s">
        <v>470</v>
      </c>
      <c r="G5158" s="4" t="s">
        <v>2270</v>
      </c>
      <c r="H5158" s="12" t="n">
        <v>1</v>
      </c>
      <c r="I5158" s="4" t="s">
        <v>408</v>
      </c>
      <c r="J5158" s="4" t="s">
        <v>416</v>
      </c>
      <c r="K5158" s="13" t="n">
        <v>25000</v>
      </c>
      <c r="L5158" s="6" t="n">
        <f aca="false">H5158*K5158</f>
        <v>25000</v>
      </c>
      <c r="M5158" s="4" t="s">
        <v>371</v>
      </c>
    </row>
    <row r="5159" customFormat="false" ht="15" hidden="false" customHeight="false" outlineLevel="0" collapsed="false">
      <c r="A5159" s="4" t="s">
        <v>246</v>
      </c>
      <c r="B5159" s="5" t="s">
        <v>247</v>
      </c>
      <c r="C5159" s="5" t="s">
        <v>248</v>
      </c>
      <c r="D5159" s="4" t="s">
        <v>16</v>
      </c>
      <c r="E5159" s="4" t="s">
        <v>2271</v>
      </c>
      <c r="F5159" s="4" t="s">
        <v>470</v>
      </c>
      <c r="G5159" s="4" t="s">
        <v>2272</v>
      </c>
      <c r="H5159" s="12" t="n">
        <v>1</v>
      </c>
      <c r="I5159" s="4" t="s">
        <v>408</v>
      </c>
      <c r="J5159" s="4" t="s">
        <v>409</v>
      </c>
      <c r="K5159" s="13" t="n">
        <v>4500</v>
      </c>
      <c r="L5159" s="6" t="n">
        <f aca="false">H5159*K5159</f>
        <v>4500</v>
      </c>
      <c r="M5159" s="14" t="s">
        <v>410</v>
      </c>
    </row>
    <row r="5160" customFormat="false" ht="15" hidden="false" customHeight="false" outlineLevel="0" collapsed="false">
      <c r="A5160" s="4" t="s">
        <v>246</v>
      </c>
      <c r="B5160" s="5" t="s">
        <v>247</v>
      </c>
      <c r="C5160" s="5" t="s">
        <v>248</v>
      </c>
      <c r="D5160" s="4" t="s">
        <v>16</v>
      </c>
      <c r="E5160" s="4" t="s">
        <v>2273</v>
      </c>
      <c r="F5160" s="4" t="s">
        <v>470</v>
      </c>
      <c r="G5160" s="4" t="s">
        <v>2274</v>
      </c>
      <c r="H5160" s="12" t="n">
        <v>1</v>
      </c>
      <c r="I5160" s="4" t="s">
        <v>408</v>
      </c>
      <c r="J5160" s="4" t="s">
        <v>409</v>
      </c>
      <c r="K5160" s="13" t="n">
        <v>25000</v>
      </c>
      <c r="L5160" s="6" t="n">
        <f aca="false">H5160*K5160</f>
        <v>25000</v>
      </c>
      <c r="M5160" s="14" t="s">
        <v>410</v>
      </c>
    </row>
    <row r="5161" customFormat="false" ht="15" hidden="false" customHeight="false" outlineLevel="0" collapsed="false">
      <c r="A5161" s="4" t="s">
        <v>246</v>
      </c>
      <c r="B5161" s="5" t="s">
        <v>247</v>
      </c>
      <c r="C5161" s="5" t="s">
        <v>248</v>
      </c>
      <c r="D5161" s="4" t="s">
        <v>16</v>
      </c>
      <c r="E5161" s="4" t="s">
        <v>2163</v>
      </c>
      <c r="F5161" s="4" t="s">
        <v>470</v>
      </c>
      <c r="G5161" s="4" t="s">
        <v>2164</v>
      </c>
      <c r="H5161" s="12" t="n">
        <v>1</v>
      </c>
      <c r="I5161" s="4" t="s">
        <v>408</v>
      </c>
      <c r="J5161" s="4" t="s">
        <v>409</v>
      </c>
      <c r="K5161" s="13" t="n">
        <v>35000</v>
      </c>
      <c r="L5161" s="6" t="n">
        <f aca="false">H5161*K5161</f>
        <v>35000</v>
      </c>
      <c r="M5161" s="14" t="s">
        <v>410</v>
      </c>
    </row>
    <row r="5162" customFormat="false" ht="15" hidden="false" customHeight="false" outlineLevel="0" collapsed="false">
      <c r="A5162" s="4" t="s">
        <v>246</v>
      </c>
      <c r="B5162" s="5" t="s">
        <v>247</v>
      </c>
      <c r="C5162" s="5" t="s">
        <v>248</v>
      </c>
      <c r="D5162" s="4" t="s">
        <v>16</v>
      </c>
      <c r="E5162" s="4" t="s">
        <v>1058</v>
      </c>
      <c r="F5162" s="4" t="s">
        <v>470</v>
      </c>
      <c r="G5162" s="4" t="s">
        <v>1059</v>
      </c>
      <c r="H5162" s="12" t="n">
        <v>1</v>
      </c>
      <c r="I5162" s="4" t="s">
        <v>408</v>
      </c>
      <c r="J5162" s="4" t="s">
        <v>409</v>
      </c>
      <c r="K5162" s="13" t="n">
        <v>45000</v>
      </c>
      <c r="L5162" s="6" t="n">
        <f aca="false">H5162*K5162</f>
        <v>45000</v>
      </c>
      <c r="M5162" s="14" t="s">
        <v>410</v>
      </c>
    </row>
    <row r="5163" customFormat="false" ht="15" hidden="false" customHeight="false" outlineLevel="0" collapsed="false">
      <c r="A5163" s="4" t="s">
        <v>246</v>
      </c>
      <c r="B5163" s="5" t="s">
        <v>247</v>
      </c>
      <c r="C5163" s="5" t="s">
        <v>248</v>
      </c>
      <c r="D5163" s="4" t="s">
        <v>16</v>
      </c>
      <c r="E5163" s="4" t="s">
        <v>2275</v>
      </c>
      <c r="F5163" s="4" t="s">
        <v>470</v>
      </c>
      <c r="G5163" s="4" t="s">
        <v>2276</v>
      </c>
      <c r="H5163" s="12" t="n">
        <v>1</v>
      </c>
      <c r="I5163" s="4" t="s">
        <v>408</v>
      </c>
      <c r="J5163" s="4" t="s">
        <v>409</v>
      </c>
      <c r="K5163" s="13" t="n">
        <v>8500</v>
      </c>
      <c r="L5163" s="6" t="n">
        <f aca="false">H5163*K5163</f>
        <v>8500</v>
      </c>
      <c r="M5163" s="4" t="s">
        <v>371</v>
      </c>
    </row>
    <row r="5164" customFormat="false" ht="15" hidden="false" customHeight="false" outlineLevel="0" collapsed="false">
      <c r="A5164" s="4" t="s">
        <v>246</v>
      </c>
      <c r="B5164" s="5" t="s">
        <v>247</v>
      </c>
      <c r="C5164" s="5" t="s">
        <v>248</v>
      </c>
      <c r="D5164" s="4" t="s">
        <v>16</v>
      </c>
      <c r="E5164" s="4" t="s">
        <v>5913</v>
      </c>
      <c r="F5164" s="4" t="s">
        <v>470</v>
      </c>
      <c r="G5164" s="4" t="s">
        <v>5914</v>
      </c>
      <c r="H5164" s="12" t="n">
        <v>1</v>
      </c>
      <c r="I5164" s="4" t="s">
        <v>408</v>
      </c>
      <c r="J5164" s="4" t="s">
        <v>416</v>
      </c>
      <c r="K5164" s="13" t="n">
        <v>4500</v>
      </c>
      <c r="L5164" s="6" t="n">
        <f aca="false">H5164*K5164</f>
        <v>4500</v>
      </c>
      <c r="M5164" s="4" t="s">
        <v>371</v>
      </c>
    </row>
    <row r="5165" customFormat="false" ht="15" hidden="false" customHeight="false" outlineLevel="0" collapsed="false">
      <c r="A5165" s="4" t="s">
        <v>246</v>
      </c>
      <c r="B5165" s="5" t="s">
        <v>247</v>
      </c>
      <c r="C5165" s="5" t="s">
        <v>248</v>
      </c>
      <c r="D5165" s="4" t="s">
        <v>16</v>
      </c>
      <c r="E5165" s="4" t="s">
        <v>2288</v>
      </c>
      <c r="F5165" s="4" t="s">
        <v>470</v>
      </c>
      <c r="G5165" s="4" t="s">
        <v>1452</v>
      </c>
      <c r="H5165" s="12" t="n">
        <v>1</v>
      </c>
      <c r="I5165" s="4" t="s">
        <v>408</v>
      </c>
      <c r="J5165" s="4" t="s">
        <v>413</v>
      </c>
      <c r="K5165" s="13" t="n">
        <v>450</v>
      </c>
      <c r="L5165" s="6" t="n">
        <f aca="false">H5165*K5165</f>
        <v>450</v>
      </c>
      <c r="M5165" s="4" t="s">
        <v>371</v>
      </c>
    </row>
    <row r="5166" customFormat="false" ht="15" hidden="false" customHeight="false" outlineLevel="0" collapsed="false">
      <c r="A5166" s="4" t="s">
        <v>246</v>
      </c>
      <c r="B5166" s="5" t="s">
        <v>247</v>
      </c>
      <c r="C5166" s="5" t="s">
        <v>248</v>
      </c>
      <c r="D5166" s="4" t="s">
        <v>16</v>
      </c>
      <c r="E5166" s="4" t="s">
        <v>1089</v>
      </c>
      <c r="F5166" s="4" t="s">
        <v>470</v>
      </c>
      <c r="G5166" s="4" t="s">
        <v>1090</v>
      </c>
      <c r="H5166" s="12" t="n">
        <v>1</v>
      </c>
      <c r="I5166" s="4" t="s">
        <v>408</v>
      </c>
      <c r="J5166" s="4" t="s">
        <v>409</v>
      </c>
      <c r="K5166" s="13" t="n">
        <v>3500</v>
      </c>
      <c r="L5166" s="6" t="n">
        <f aca="false">H5166*K5166</f>
        <v>3500</v>
      </c>
      <c r="M5166" s="4" t="s">
        <v>371</v>
      </c>
    </row>
    <row r="5167" customFormat="false" ht="15" hidden="false" customHeight="false" outlineLevel="0" collapsed="false">
      <c r="A5167" s="4" t="s">
        <v>246</v>
      </c>
      <c r="B5167" s="5" t="s">
        <v>247</v>
      </c>
      <c r="C5167" s="5" t="s">
        <v>248</v>
      </c>
      <c r="D5167" s="4" t="s">
        <v>16</v>
      </c>
      <c r="E5167" s="4" t="s">
        <v>2289</v>
      </c>
      <c r="F5167" s="4" t="s">
        <v>470</v>
      </c>
      <c r="G5167" s="4" t="s">
        <v>2290</v>
      </c>
      <c r="H5167" s="12" t="n">
        <v>1</v>
      </c>
      <c r="I5167" s="4" t="s">
        <v>408</v>
      </c>
      <c r="J5167" s="4" t="s">
        <v>409</v>
      </c>
      <c r="K5167" s="13" t="n">
        <v>2500</v>
      </c>
      <c r="L5167" s="6" t="n">
        <f aca="false">H5167*K5167</f>
        <v>2500</v>
      </c>
      <c r="M5167" s="4" t="s">
        <v>371</v>
      </c>
    </row>
    <row r="5168" customFormat="false" ht="15" hidden="false" customHeight="false" outlineLevel="0" collapsed="false">
      <c r="A5168" s="4" t="s">
        <v>246</v>
      </c>
      <c r="B5168" s="5" t="s">
        <v>247</v>
      </c>
      <c r="C5168" s="5" t="s">
        <v>248</v>
      </c>
      <c r="D5168" s="4" t="s">
        <v>16</v>
      </c>
      <c r="E5168" s="4" t="s">
        <v>2291</v>
      </c>
      <c r="F5168" s="4" t="s">
        <v>470</v>
      </c>
      <c r="G5168" s="4" t="s">
        <v>2292</v>
      </c>
      <c r="H5168" s="12" t="n">
        <v>1</v>
      </c>
      <c r="I5168" s="4" t="s">
        <v>408</v>
      </c>
      <c r="J5168" s="4" t="s">
        <v>416</v>
      </c>
      <c r="K5168" s="13" t="n">
        <v>6500</v>
      </c>
      <c r="L5168" s="6" t="n">
        <f aca="false">H5168*K5168</f>
        <v>6500</v>
      </c>
      <c r="M5168" s="4" t="s">
        <v>371</v>
      </c>
    </row>
    <row r="5169" customFormat="false" ht="15" hidden="false" customHeight="false" outlineLevel="0" collapsed="false">
      <c r="A5169" s="4" t="s">
        <v>246</v>
      </c>
      <c r="B5169" s="5" t="s">
        <v>247</v>
      </c>
      <c r="C5169" s="5" t="s">
        <v>248</v>
      </c>
      <c r="D5169" s="4" t="s">
        <v>16</v>
      </c>
      <c r="E5169" s="4" t="s">
        <v>2373</v>
      </c>
      <c r="F5169" s="4" t="s">
        <v>470</v>
      </c>
      <c r="G5169" s="4" t="s">
        <v>2374</v>
      </c>
      <c r="H5169" s="12" t="n">
        <v>1</v>
      </c>
      <c r="I5169" s="4" t="s">
        <v>408</v>
      </c>
      <c r="J5169" s="4" t="s">
        <v>416</v>
      </c>
      <c r="K5169" s="13" t="n">
        <v>850</v>
      </c>
      <c r="L5169" s="6" t="n">
        <f aca="false">H5169*K5169</f>
        <v>850</v>
      </c>
      <c r="M5169" s="4" t="s">
        <v>371</v>
      </c>
    </row>
    <row r="5170" customFormat="false" ht="15" hidden="false" customHeight="false" outlineLevel="0" collapsed="false">
      <c r="A5170" s="4" t="s">
        <v>246</v>
      </c>
      <c r="B5170" s="5" t="s">
        <v>247</v>
      </c>
      <c r="C5170" s="5" t="s">
        <v>248</v>
      </c>
      <c r="D5170" s="4" t="s">
        <v>16</v>
      </c>
      <c r="E5170" s="4" t="s">
        <v>2375</v>
      </c>
      <c r="F5170" s="4" t="s">
        <v>470</v>
      </c>
      <c r="G5170" s="4" t="s">
        <v>2376</v>
      </c>
      <c r="H5170" s="12" t="n">
        <v>1</v>
      </c>
      <c r="I5170" s="4" t="s">
        <v>408</v>
      </c>
      <c r="J5170" s="4" t="s">
        <v>416</v>
      </c>
      <c r="K5170" s="13" t="n">
        <v>850</v>
      </c>
      <c r="L5170" s="6" t="n">
        <f aca="false">H5170*K5170</f>
        <v>850</v>
      </c>
      <c r="M5170" s="4" t="s">
        <v>371</v>
      </c>
    </row>
    <row r="5171" customFormat="false" ht="15" hidden="false" customHeight="false" outlineLevel="0" collapsed="false">
      <c r="A5171" s="4" t="s">
        <v>246</v>
      </c>
      <c r="B5171" s="5" t="s">
        <v>247</v>
      </c>
      <c r="C5171" s="5" t="s">
        <v>248</v>
      </c>
      <c r="D5171" s="4" t="s">
        <v>16</v>
      </c>
      <c r="E5171" s="4" t="s">
        <v>5915</v>
      </c>
      <c r="F5171" s="4" t="s">
        <v>470</v>
      </c>
      <c r="G5171" s="4" t="s">
        <v>5916</v>
      </c>
      <c r="H5171" s="12" t="n">
        <v>1</v>
      </c>
      <c r="I5171" s="4" t="s">
        <v>408</v>
      </c>
      <c r="J5171" s="4" t="s">
        <v>416</v>
      </c>
      <c r="K5171" s="13" t="n">
        <v>1800</v>
      </c>
      <c r="L5171" s="6" t="n">
        <f aca="false">H5171*K5171</f>
        <v>1800</v>
      </c>
      <c r="M5171" s="4" t="s">
        <v>371</v>
      </c>
    </row>
    <row r="5172" customFormat="false" ht="15" hidden="false" customHeight="false" outlineLevel="0" collapsed="false">
      <c r="A5172" s="4" t="s">
        <v>246</v>
      </c>
      <c r="B5172" s="5" t="s">
        <v>247</v>
      </c>
      <c r="C5172" s="5" t="s">
        <v>248</v>
      </c>
      <c r="D5172" s="4" t="s">
        <v>16</v>
      </c>
      <c r="E5172" s="4" t="s">
        <v>5917</v>
      </c>
      <c r="F5172" s="4" t="s">
        <v>470</v>
      </c>
      <c r="G5172" s="4" t="s">
        <v>5918</v>
      </c>
      <c r="H5172" s="12" t="n">
        <v>1</v>
      </c>
      <c r="I5172" s="4" t="s">
        <v>408</v>
      </c>
      <c r="J5172" s="4" t="s">
        <v>416</v>
      </c>
      <c r="K5172" s="13" t="n">
        <v>850</v>
      </c>
      <c r="L5172" s="6" t="n">
        <f aca="false">H5172*K5172</f>
        <v>850</v>
      </c>
      <c r="M5172" s="4" t="s">
        <v>371</v>
      </c>
    </row>
    <row r="5173" customFormat="false" ht="15" hidden="false" customHeight="false" outlineLevel="0" collapsed="false">
      <c r="A5173" s="4" t="s">
        <v>246</v>
      </c>
      <c r="B5173" s="5" t="s">
        <v>247</v>
      </c>
      <c r="C5173" s="5" t="s">
        <v>248</v>
      </c>
      <c r="D5173" s="4" t="s">
        <v>16</v>
      </c>
      <c r="E5173" s="4" t="s">
        <v>2381</v>
      </c>
      <c r="F5173" s="4" t="s">
        <v>470</v>
      </c>
      <c r="G5173" s="4" t="s">
        <v>2382</v>
      </c>
      <c r="H5173" s="12" t="n">
        <v>1</v>
      </c>
      <c r="I5173" s="4" t="s">
        <v>408</v>
      </c>
      <c r="J5173" s="4" t="s">
        <v>416</v>
      </c>
      <c r="K5173" s="13" t="n">
        <v>850</v>
      </c>
      <c r="L5173" s="6" t="n">
        <f aca="false">H5173*K5173</f>
        <v>850</v>
      </c>
      <c r="M5173" s="4" t="s">
        <v>371</v>
      </c>
    </row>
    <row r="5174" customFormat="false" ht="15" hidden="false" customHeight="false" outlineLevel="0" collapsed="false">
      <c r="A5174" s="4" t="s">
        <v>246</v>
      </c>
      <c r="B5174" s="5" t="s">
        <v>247</v>
      </c>
      <c r="C5174" s="5" t="s">
        <v>248</v>
      </c>
      <c r="D5174" s="4" t="s">
        <v>16</v>
      </c>
      <c r="E5174" s="4" t="s">
        <v>3630</v>
      </c>
      <c r="F5174" s="4" t="s">
        <v>470</v>
      </c>
      <c r="G5174" s="4" t="s">
        <v>3631</v>
      </c>
      <c r="H5174" s="12" t="n">
        <v>1</v>
      </c>
      <c r="I5174" s="4" t="s">
        <v>408</v>
      </c>
      <c r="J5174" s="4" t="s">
        <v>416</v>
      </c>
      <c r="K5174" s="13" t="n">
        <v>850</v>
      </c>
      <c r="L5174" s="6" t="n">
        <f aca="false">H5174*K5174</f>
        <v>850</v>
      </c>
      <c r="M5174" s="4" t="s">
        <v>371</v>
      </c>
    </row>
    <row r="5175" customFormat="false" ht="15" hidden="false" customHeight="false" outlineLevel="0" collapsed="false">
      <c r="A5175" s="4" t="s">
        <v>246</v>
      </c>
      <c r="B5175" s="5" t="s">
        <v>247</v>
      </c>
      <c r="C5175" s="5" t="s">
        <v>248</v>
      </c>
      <c r="D5175" s="4" t="s">
        <v>16</v>
      </c>
      <c r="E5175" s="4" t="s">
        <v>2295</v>
      </c>
      <c r="F5175" s="4" t="s">
        <v>470</v>
      </c>
      <c r="G5175" s="4" t="s">
        <v>2296</v>
      </c>
      <c r="H5175" s="12" t="n">
        <v>1</v>
      </c>
      <c r="I5175" s="4" t="s">
        <v>408</v>
      </c>
      <c r="J5175" s="4" t="s">
        <v>416</v>
      </c>
      <c r="K5175" s="13" t="n">
        <v>850</v>
      </c>
      <c r="L5175" s="6" t="n">
        <f aca="false">H5175*K5175</f>
        <v>850</v>
      </c>
      <c r="M5175" s="4" t="s">
        <v>371</v>
      </c>
    </row>
    <row r="5176" customFormat="false" ht="15" hidden="false" customHeight="false" outlineLevel="0" collapsed="false">
      <c r="A5176" s="4" t="s">
        <v>246</v>
      </c>
      <c r="B5176" s="5" t="s">
        <v>247</v>
      </c>
      <c r="C5176" s="5" t="s">
        <v>248</v>
      </c>
      <c r="D5176" s="4" t="s">
        <v>16</v>
      </c>
      <c r="E5176" s="4" t="s">
        <v>2297</v>
      </c>
      <c r="F5176" s="4" t="s">
        <v>470</v>
      </c>
      <c r="G5176" s="4" t="s">
        <v>2298</v>
      </c>
      <c r="H5176" s="12" t="n">
        <v>1</v>
      </c>
      <c r="I5176" s="4" t="s">
        <v>408</v>
      </c>
      <c r="J5176" s="4" t="s">
        <v>416</v>
      </c>
      <c r="K5176" s="13" t="n">
        <v>850</v>
      </c>
      <c r="L5176" s="6" t="n">
        <f aca="false">H5176*K5176</f>
        <v>850</v>
      </c>
      <c r="M5176" s="4" t="s">
        <v>371</v>
      </c>
    </row>
    <row r="5177" customFormat="false" ht="15" hidden="false" customHeight="false" outlineLevel="0" collapsed="false">
      <c r="A5177" s="4" t="s">
        <v>246</v>
      </c>
      <c r="B5177" s="5" t="s">
        <v>247</v>
      </c>
      <c r="C5177" s="5" t="s">
        <v>248</v>
      </c>
      <c r="D5177" s="4" t="s">
        <v>16</v>
      </c>
      <c r="E5177" s="4" t="s">
        <v>2299</v>
      </c>
      <c r="F5177" s="4" t="s">
        <v>470</v>
      </c>
      <c r="G5177" s="4" t="s">
        <v>2300</v>
      </c>
      <c r="H5177" s="12" t="n">
        <v>1</v>
      </c>
      <c r="I5177" s="4" t="s">
        <v>408</v>
      </c>
      <c r="J5177" s="4" t="s">
        <v>416</v>
      </c>
      <c r="K5177" s="13" t="n">
        <v>850</v>
      </c>
      <c r="L5177" s="6" t="n">
        <f aca="false">H5177*K5177</f>
        <v>850</v>
      </c>
      <c r="M5177" s="4" t="s">
        <v>371</v>
      </c>
    </row>
    <row r="5178" customFormat="false" ht="15" hidden="false" customHeight="false" outlineLevel="0" collapsed="false">
      <c r="A5178" s="4" t="s">
        <v>246</v>
      </c>
      <c r="B5178" s="5" t="s">
        <v>247</v>
      </c>
      <c r="C5178" s="5" t="s">
        <v>248</v>
      </c>
      <c r="D5178" s="4" t="s">
        <v>16</v>
      </c>
      <c r="E5178" s="4" t="s">
        <v>2301</v>
      </c>
      <c r="F5178" s="4" t="s">
        <v>470</v>
      </c>
      <c r="G5178" s="4" t="s">
        <v>2302</v>
      </c>
      <c r="H5178" s="12" t="n">
        <v>1</v>
      </c>
      <c r="I5178" s="4" t="s">
        <v>408</v>
      </c>
      <c r="J5178" s="4" t="s">
        <v>409</v>
      </c>
      <c r="K5178" s="13" t="n">
        <v>8500</v>
      </c>
      <c r="L5178" s="6" t="n">
        <f aca="false">H5178*K5178</f>
        <v>8500</v>
      </c>
      <c r="M5178" s="4" t="s">
        <v>371</v>
      </c>
    </row>
    <row r="5179" customFormat="false" ht="15" hidden="false" customHeight="false" outlineLevel="0" collapsed="false">
      <c r="A5179" s="4" t="s">
        <v>246</v>
      </c>
      <c r="B5179" s="5" t="s">
        <v>247</v>
      </c>
      <c r="C5179" s="5" t="s">
        <v>248</v>
      </c>
      <c r="D5179" s="4" t="s">
        <v>16</v>
      </c>
      <c r="E5179" s="4" t="s">
        <v>2303</v>
      </c>
      <c r="F5179" s="4" t="s">
        <v>470</v>
      </c>
      <c r="G5179" s="4" t="s">
        <v>2304</v>
      </c>
      <c r="H5179" s="12" t="n">
        <v>1</v>
      </c>
      <c r="I5179" s="4" t="s">
        <v>408</v>
      </c>
      <c r="J5179" s="4" t="s">
        <v>409</v>
      </c>
      <c r="K5179" s="13" t="n">
        <v>3500</v>
      </c>
      <c r="L5179" s="6" t="n">
        <f aca="false">H5179*K5179</f>
        <v>3500</v>
      </c>
      <c r="M5179" s="4" t="s">
        <v>371</v>
      </c>
    </row>
    <row r="5180" customFormat="false" ht="15" hidden="false" customHeight="false" outlineLevel="0" collapsed="false">
      <c r="A5180" s="4" t="s">
        <v>246</v>
      </c>
      <c r="B5180" s="5" t="s">
        <v>247</v>
      </c>
      <c r="C5180" s="5" t="s">
        <v>248</v>
      </c>
      <c r="D5180" s="4" t="s">
        <v>16</v>
      </c>
      <c r="E5180" s="4" t="s">
        <v>2305</v>
      </c>
      <c r="F5180" s="4" t="s">
        <v>470</v>
      </c>
      <c r="G5180" s="4" t="s">
        <v>2306</v>
      </c>
      <c r="H5180" s="12" t="n">
        <v>1</v>
      </c>
      <c r="I5180" s="4" t="s">
        <v>408</v>
      </c>
      <c r="J5180" s="4" t="s">
        <v>409</v>
      </c>
      <c r="K5180" s="13" t="n">
        <v>850</v>
      </c>
      <c r="L5180" s="6" t="n">
        <f aca="false">H5180*K5180</f>
        <v>850</v>
      </c>
      <c r="M5180" s="4" t="s">
        <v>371</v>
      </c>
    </row>
    <row r="5181" customFormat="false" ht="15" hidden="false" customHeight="false" outlineLevel="0" collapsed="false">
      <c r="A5181" s="4" t="s">
        <v>246</v>
      </c>
      <c r="B5181" s="5" t="s">
        <v>247</v>
      </c>
      <c r="C5181" s="5" t="s">
        <v>248</v>
      </c>
      <c r="D5181" s="4" t="s">
        <v>16</v>
      </c>
      <c r="E5181" s="4" t="s">
        <v>2323</v>
      </c>
      <c r="F5181" s="4" t="s">
        <v>488</v>
      </c>
      <c r="G5181" s="4" t="s">
        <v>2324</v>
      </c>
      <c r="H5181" s="12" t="n">
        <v>1</v>
      </c>
      <c r="I5181" s="4" t="s">
        <v>408</v>
      </c>
      <c r="J5181" s="4" t="s">
        <v>807</v>
      </c>
      <c r="K5181" s="13" t="n">
        <v>450</v>
      </c>
      <c r="L5181" s="6" t="n">
        <f aca="false">H5181*K5181</f>
        <v>450</v>
      </c>
      <c r="M5181" s="4" t="s">
        <v>371</v>
      </c>
    </row>
    <row r="5182" customFormat="false" ht="15" hidden="false" customHeight="false" outlineLevel="0" collapsed="false">
      <c r="A5182" s="4" t="s">
        <v>246</v>
      </c>
      <c r="B5182" s="5" t="s">
        <v>247</v>
      </c>
      <c r="C5182" s="5" t="s">
        <v>248</v>
      </c>
      <c r="D5182" s="4" t="s">
        <v>16</v>
      </c>
      <c r="E5182" s="4" t="s">
        <v>2325</v>
      </c>
      <c r="F5182" s="4" t="s">
        <v>488</v>
      </c>
      <c r="G5182" s="4" t="s">
        <v>2326</v>
      </c>
      <c r="H5182" s="12" t="n">
        <v>1</v>
      </c>
      <c r="I5182" s="4" t="s">
        <v>408</v>
      </c>
      <c r="J5182" s="4" t="s">
        <v>416</v>
      </c>
      <c r="K5182" s="13" t="n">
        <v>650</v>
      </c>
      <c r="L5182" s="6" t="n">
        <f aca="false">H5182*K5182</f>
        <v>650</v>
      </c>
      <c r="M5182" s="4" t="s">
        <v>371</v>
      </c>
    </row>
    <row r="5183" customFormat="false" ht="15" hidden="false" customHeight="false" outlineLevel="0" collapsed="false">
      <c r="A5183" s="4" t="s">
        <v>246</v>
      </c>
      <c r="B5183" s="5" t="s">
        <v>247</v>
      </c>
      <c r="C5183" s="5" t="s">
        <v>248</v>
      </c>
      <c r="D5183" s="4" t="s">
        <v>16</v>
      </c>
      <c r="E5183" s="4" t="s">
        <v>2327</v>
      </c>
      <c r="F5183" s="4" t="s">
        <v>488</v>
      </c>
      <c r="G5183" s="4" t="s">
        <v>2328</v>
      </c>
      <c r="H5183" s="12" t="n">
        <v>1</v>
      </c>
      <c r="I5183" s="4" t="s">
        <v>408</v>
      </c>
      <c r="J5183" s="4" t="s">
        <v>506</v>
      </c>
      <c r="K5183" s="13" t="n">
        <v>450</v>
      </c>
      <c r="L5183" s="6" t="n">
        <f aca="false">H5183*K5183</f>
        <v>450</v>
      </c>
      <c r="M5183" s="4" t="s">
        <v>371</v>
      </c>
    </row>
    <row r="5184" customFormat="false" ht="15" hidden="false" customHeight="false" outlineLevel="0" collapsed="false">
      <c r="A5184" s="4" t="s">
        <v>246</v>
      </c>
      <c r="B5184" s="5" t="s">
        <v>247</v>
      </c>
      <c r="C5184" s="5" t="s">
        <v>248</v>
      </c>
      <c r="D5184" s="4" t="s">
        <v>16</v>
      </c>
      <c r="E5184" s="4" t="s">
        <v>2385</v>
      </c>
      <c r="F5184" s="4" t="s">
        <v>470</v>
      </c>
      <c r="G5184" s="4" t="s">
        <v>2386</v>
      </c>
      <c r="H5184" s="12" t="n">
        <v>1</v>
      </c>
      <c r="I5184" s="4" t="s">
        <v>408</v>
      </c>
      <c r="J5184" s="4" t="s">
        <v>416</v>
      </c>
      <c r="K5184" s="13" t="n">
        <v>2500</v>
      </c>
      <c r="L5184" s="6" t="n">
        <f aca="false">H5184*K5184</f>
        <v>2500</v>
      </c>
      <c r="M5184" s="4" t="s">
        <v>371</v>
      </c>
    </row>
    <row r="5185" customFormat="false" ht="15" hidden="false" customHeight="false" outlineLevel="0" collapsed="false">
      <c r="A5185" s="4" t="s">
        <v>246</v>
      </c>
      <c r="B5185" s="5" t="s">
        <v>247</v>
      </c>
      <c r="C5185" s="5" t="s">
        <v>248</v>
      </c>
      <c r="D5185" s="4" t="s">
        <v>16</v>
      </c>
      <c r="E5185" s="4" t="s">
        <v>2337</v>
      </c>
      <c r="F5185" s="4" t="s">
        <v>470</v>
      </c>
      <c r="G5185" s="4" t="s">
        <v>2338</v>
      </c>
      <c r="H5185" s="12" t="n">
        <v>1</v>
      </c>
      <c r="I5185" s="4" t="s">
        <v>408</v>
      </c>
      <c r="J5185" s="4" t="s">
        <v>416</v>
      </c>
      <c r="K5185" s="13" t="n">
        <v>8500</v>
      </c>
      <c r="L5185" s="6" t="n">
        <f aca="false">H5185*K5185</f>
        <v>8500</v>
      </c>
      <c r="M5185" s="4" t="s">
        <v>371</v>
      </c>
    </row>
    <row r="5186" customFormat="false" ht="15" hidden="false" customHeight="false" outlineLevel="0" collapsed="false">
      <c r="A5186" s="4" t="s">
        <v>246</v>
      </c>
      <c r="B5186" s="5" t="s">
        <v>247</v>
      </c>
      <c r="C5186" s="5" t="s">
        <v>248</v>
      </c>
      <c r="D5186" s="4" t="s">
        <v>16</v>
      </c>
      <c r="E5186" s="4" t="s">
        <v>2339</v>
      </c>
      <c r="F5186" s="4" t="s">
        <v>470</v>
      </c>
      <c r="G5186" s="4" t="s">
        <v>2340</v>
      </c>
      <c r="H5186" s="12" t="n">
        <v>1</v>
      </c>
      <c r="I5186" s="4" t="s">
        <v>408</v>
      </c>
      <c r="J5186" s="4" t="s">
        <v>416</v>
      </c>
      <c r="K5186" s="13" t="n">
        <v>8500</v>
      </c>
      <c r="L5186" s="6" t="n">
        <f aca="false">H5186*K5186</f>
        <v>8500</v>
      </c>
      <c r="M5186" s="14" t="s">
        <v>410</v>
      </c>
    </row>
    <row r="5187" customFormat="false" ht="15" hidden="false" customHeight="false" outlineLevel="0" collapsed="false">
      <c r="A5187" s="4" t="s">
        <v>246</v>
      </c>
      <c r="B5187" s="5" t="s">
        <v>247</v>
      </c>
      <c r="C5187" s="5" t="s">
        <v>248</v>
      </c>
      <c r="D5187" s="4" t="s">
        <v>16</v>
      </c>
      <c r="E5187" s="4" t="s">
        <v>2341</v>
      </c>
      <c r="F5187" s="4" t="s">
        <v>470</v>
      </c>
      <c r="G5187" s="4" t="s">
        <v>2342</v>
      </c>
      <c r="H5187" s="12" t="n">
        <v>1</v>
      </c>
      <c r="I5187" s="4" t="s">
        <v>408</v>
      </c>
      <c r="J5187" s="4" t="s">
        <v>543</v>
      </c>
      <c r="K5187" s="13" t="n">
        <v>5000</v>
      </c>
      <c r="L5187" s="6" t="n">
        <f aca="false">H5187*K5187</f>
        <v>5000</v>
      </c>
      <c r="M5187" s="4" t="s">
        <v>371</v>
      </c>
    </row>
    <row r="5188" customFormat="false" ht="15" hidden="false" customHeight="false" outlineLevel="0" collapsed="false">
      <c r="A5188" s="4" t="s">
        <v>246</v>
      </c>
      <c r="B5188" s="5" t="s">
        <v>249</v>
      </c>
      <c r="C5188" s="5" t="s">
        <v>250</v>
      </c>
      <c r="D5188" s="4" t="s">
        <v>16</v>
      </c>
      <c r="E5188" s="4" t="s">
        <v>2371</v>
      </c>
      <c r="F5188" s="4" t="s">
        <v>406</v>
      </c>
      <c r="G5188" s="4" t="s">
        <v>2372</v>
      </c>
      <c r="H5188" s="12" t="n">
        <v>1</v>
      </c>
      <c r="I5188" s="4" t="s">
        <v>408</v>
      </c>
      <c r="J5188" s="4" t="s">
        <v>416</v>
      </c>
      <c r="K5188" s="13" t="n">
        <v>2500</v>
      </c>
      <c r="L5188" s="6" t="n">
        <f aca="false">H5188*K5188</f>
        <v>2500</v>
      </c>
      <c r="M5188" s="4" t="s">
        <v>371</v>
      </c>
    </row>
    <row r="5189" customFormat="false" ht="15" hidden="false" customHeight="false" outlineLevel="0" collapsed="false">
      <c r="A5189" s="4" t="s">
        <v>246</v>
      </c>
      <c r="B5189" s="5" t="s">
        <v>249</v>
      </c>
      <c r="C5189" s="5" t="s">
        <v>250</v>
      </c>
      <c r="D5189" s="4" t="s">
        <v>16</v>
      </c>
      <c r="E5189" s="4" t="s">
        <v>2217</v>
      </c>
      <c r="F5189" s="4" t="s">
        <v>406</v>
      </c>
      <c r="G5189" s="4" t="s">
        <v>2218</v>
      </c>
      <c r="H5189" s="12" t="n">
        <v>1</v>
      </c>
      <c r="I5189" s="4" t="s">
        <v>408</v>
      </c>
      <c r="J5189" s="4" t="s">
        <v>409</v>
      </c>
      <c r="K5189" s="13" t="n">
        <v>4500</v>
      </c>
      <c r="L5189" s="6" t="n">
        <f aca="false">H5189*K5189</f>
        <v>4500</v>
      </c>
      <c r="M5189" s="14" t="s">
        <v>410</v>
      </c>
    </row>
    <row r="5190" customFormat="false" ht="15" hidden="false" customHeight="false" outlineLevel="0" collapsed="false">
      <c r="A5190" s="4" t="s">
        <v>246</v>
      </c>
      <c r="B5190" s="5" t="s">
        <v>249</v>
      </c>
      <c r="C5190" s="5" t="s">
        <v>250</v>
      </c>
      <c r="D5190" s="4" t="s">
        <v>16</v>
      </c>
      <c r="E5190" s="4" t="s">
        <v>2225</v>
      </c>
      <c r="F5190" s="4" t="s">
        <v>406</v>
      </c>
      <c r="G5190" s="4" t="s">
        <v>2226</v>
      </c>
      <c r="H5190" s="12" t="n">
        <v>1</v>
      </c>
      <c r="I5190" s="4" t="s">
        <v>408</v>
      </c>
      <c r="J5190" s="4" t="s">
        <v>409</v>
      </c>
      <c r="K5190" s="13" t="n">
        <v>350</v>
      </c>
      <c r="L5190" s="6" t="n">
        <f aca="false">H5190*K5190</f>
        <v>350</v>
      </c>
      <c r="M5190" s="14" t="s">
        <v>410</v>
      </c>
    </row>
    <row r="5191" customFormat="false" ht="15" hidden="false" customHeight="false" outlineLevel="0" collapsed="false">
      <c r="A5191" s="4" t="s">
        <v>246</v>
      </c>
      <c r="B5191" s="5" t="s">
        <v>249</v>
      </c>
      <c r="C5191" s="5" t="s">
        <v>250</v>
      </c>
      <c r="D5191" s="4" t="s">
        <v>16</v>
      </c>
      <c r="E5191" s="4" t="s">
        <v>5919</v>
      </c>
      <c r="F5191" s="4" t="s">
        <v>406</v>
      </c>
      <c r="G5191" s="4" t="s">
        <v>5920</v>
      </c>
      <c r="H5191" s="12" t="n">
        <v>1</v>
      </c>
      <c r="I5191" s="4" t="s">
        <v>408</v>
      </c>
      <c r="J5191" s="4" t="s">
        <v>409</v>
      </c>
      <c r="K5191" s="13" t="n">
        <v>18000</v>
      </c>
      <c r="L5191" s="6" t="n">
        <f aca="false">H5191*K5191</f>
        <v>18000</v>
      </c>
      <c r="M5191" s="14" t="s">
        <v>410</v>
      </c>
    </row>
    <row r="5192" customFormat="false" ht="15" hidden="false" customHeight="false" outlineLevel="0" collapsed="false">
      <c r="A5192" s="4" t="s">
        <v>246</v>
      </c>
      <c r="B5192" s="5" t="s">
        <v>249</v>
      </c>
      <c r="C5192" s="5" t="s">
        <v>250</v>
      </c>
      <c r="D5192" s="4" t="s">
        <v>16</v>
      </c>
      <c r="E5192" s="4" t="s">
        <v>2257</v>
      </c>
      <c r="F5192" s="4" t="s">
        <v>406</v>
      </c>
      <c r="G5192" s="4" t="s">
        <v>2258</v>
      </c>
      <c r="H5192" s="12" t="n">
        <v>1</v>
      </c>
      <c r="I5192" s="4" t="s">
        <v>408</v>
      </c>
      <c r="J5192" s="4" t="s">
        <v>409</v>
      </c>
      <c r="K5192" s="13" t="n">
        <v>6500</v>
      </c>
      <c r="L5192" s="6" t="n">
        <f aca="false">H5192*K5192</f>
        <v>6500</v>
      </c>
      <c r="M5192" s="14" t="s">
        <v>410</v>
      </c>
    </row>
    <row r="5193" customFormat="false" ht="15" hidden="false" customHeight="false" outlineLevel="0" collapsed="false">
      <c r="A5193" s="4" t="s">
        <v>246</v>
      </c>
      <c r="B5193" s="5" t="s">
        <v>249</v>
      </c>
      <c r="C5193" s="5" t="s">
        <v>250</v>
      </c>
      <c r="D5193" s="4" t="s">
        <v>16</v>
      </c>
      <c r="E5193" s="4" t="s">
        <v>2259</v>
      </c>
      <c r="F5193" s="4" t="s">
        <v>406</v>
      </c>
      <c r="G5193" s="4" t="s">
        <v>2260</v>
      </c>
      <c r="H5193" s="12" t="n">
        <v>1</v>
      </c>
      <c r="I5193" s="4" t="s">
        <v>408</v>
      </c>
      <c r="J5193" s="4" t="s">
        <v>409</v>
      </c>
      <c r="K5193" s="13" t="n">
        <v>85000</v>
      </c>
      <c r="L5193" s="6" t="n">
        <f aca="false">H5193*K5193</f>
        <v>85000</v>
      </c>
      <c r="M5193" s="14" t="s">
        <v>410</v>
      </c>
    </row>
    <row r="5194" customFormat="false" ht="15" hidden="false" customHeight="false" outlineLevel="0" collapsed="false">
      <c r="A5194" s="4" t="s">
        <v>246</v>
      </c>
      <c r="B5194" s="5" t="s">
        <v>249</v>
      </c>
      <c r="C5194" s="5" t="s">
        <v>250</v>
      </c>
      <c r="D5194" s="4" t="s">
        <v>16</v>
      </c>
      <c r="E5194" s="4" t="s">
        <v>2261</v>
      </c>
      <c r="F5194" s="4" t="s">
        <v>406</v>
      </c>
      <c r="G5194" s="4" t="s">
        <v>2262</v>
      </c>
      <c r="H5194" s="12" t="n">
        <v>1</v>
      </c>
      <c r="I5194" s="4" t="s">
        <v>408</v>
      </c>
      <c r="J5194" s="4" t="s">
        <v>409</v>
      </c>
      <c r="K5194" s="13" t="n">
        <v>18000</v>
      </c>
      <c r="L5194" s="6" t="n">
        <f aca="false">H5194*K5194</f>
        <v>18000</v>
      </c>
      <c r="M5194" s="14" t="s">
        <v>410</v>
      </c>
    </row>
    <row r="5195" customFormat="false" ht="15" hidden="false" customHeight="false" outlineLevel="0" collapsed="false">
      <c r="A5195" s="4" t="s">
        <v>246</v>
      </c>
      <c r="B5195" s="5" t="s">
        <v>249</v>
      </c>
      <c r="C5195" s="5" t="s">
        <v>250</v>
      </c>
      <c r="D5195" s="4" t="s">
        <v>16</v>
      </c>
      <c r="E5195" s="4" t="s">
        <v>2263</v>
      </c>
      <c r="F5195" s="4" t="s">
        <v>406</v>
      </c>
      <c r="G5195" s="4" t="s">
        <v>2264</v>
      </c>
      <c r="H5195" s="12" t="n">
        <v>1</v>
      </c>
      <c r="I5195" s="4" t="s">
        <v>408</v>
      </c>
      <c r="J5195" s="4" t="s">
        <v>409</v>
      </c>
      <c r="K5195" s="13" t="n">
        <v>25000</v>
      </c>
      <c r="L5195" s="6" t="n">
        <f aca="false">H5195*K5195</f>
        <v>25000</v>
      </c>
      <c r="M5195" s="4" t="s">
        <v>371</v>
      </c>
    </row>
    <row r="5196" customFormat="false" ht="15" hidden="false" customHeight="false" outlineLevel="0" collapsed="false">
      <c r="A5196" s="4" t="s">
        <v>246</v>
      </c>
      <c r="B5196" s="5" t="s">
        <v>249</v>
      </c>
      <c r="C5196" s="5" t="s">
        <v>250</v>
      </c>
      <c r="D5196" s="4" t="s">
        <v>16</v>
      </c>
      <c r="E5196" s="4" t="s">
        <v>2265</v>
      </c>
      <c r="F5196" s="4" t="s">
        <v>406</v>
      </c>
      <c r="G5196" s="4" t="s">
        <v>2266</v>
      </c>
      <c r="H5196" s="12" t="n">
        <v>1</v>
      </c>
      <c r="I5196" s="4" t="s">
        <v>408</v>
      </c>
      <c r="J5196" s="4" t="s">
        <v>416</v>
      </c>
      <c r="K5196" s="13" t="n">
        <v>18000</v>
      </c>
      <c r="L5196" s="6" t="n">
        <f aca="false">H5196*K5196</f>
        <v>18000</v>
      </c>
      <c r="M5196" s="4" t="s">
        <v>371</v>
      </c>
    </row>
    <row r="5197" customFormat="false" ht="15" hidden="false" customHeight="false" outlineLevel="0" collapsed="false">
      <c r="A5197" s="4" t="s">
        <v>246</v>
      </c>
      <c r="B5197" s="5" t="s">
        <v>249</v>
      </c>
      <c r="C5197" s="5" t="s">
        <v>250</v>
      </c>
      <c r="D5197" s="4" t="s">
        <v>16</v>
      </c>
      <c r="E5197" s="4" t="s">
        <v>5911</v>
      </c>
      <c r="F5197" s="4" t="s">
        <v>406</v>
      </c>
      <c r="G5197" s="4" t="s">
        <v>5912</v>
      </c>
      <c r="H5197" s="12" t="n">
        <v>1</v>
      </c>
      <c r="I5197" s="4" t="s">
        <v>408</v>
      </c>
      <c r="J5197" s="4" t="s">
        <v>543</v>
      </c>
      <c r="K5197" s="13" t="n">
        <v>850000</v>
      </c>
      <c r="L5197" s="6" t="n">
        <f aca="false">H5197*K5197</f>
        <v>850000</v>
      </c>
      <c r="M5197" s="4" t="s">
        <v>371</v>
      </c>
    </row>
    <row r="5198" customFormat="false" ht="15" hidden="false" customHeight="false" outlineLevel="0" collapsed="false">
      <c r="A5198" s="4" t="s">
        <v>246</v>
      </c>
      <c r="B5198" s="5" t="s">
        <v>249</v>
      </c>
      <c r="C5198" s="5" t="s">
        <v>250</v>
      </c>
      <c r="D5198" s="4" t="s">
        <v>16</v>
      </c>
      <c r="E5198" s="4" t="s">
        <v>5921</v>
      </c>
      <c r="F5198" s="4" t="s">
        <v>406</v>
      </c>
      <c r="G5198" s="4" t="s">
        <v>5922</v>
      </c>
      <c r="H5198" s="12" t="n">
        <v>1</v>
      </c>
      <c r="I5198" s="4" t="s">
        <v>408</v>
      </c>
      <c r="J5198" s="4" t="s">
        <v>409</v>
      </c>
      <c r="K5198" s="13" t="n">
        <v>250000</v>
      </c>
      <c r="L5198" s="6" t="n">
        <f aca="false">H5198*K5198</f>
        <v>250000</v>
      </c>
      <c r="M5198" s="14" t="s">
        <v>410</v>
      </c>
    </row>
    <row r="5199" customFormat="false" ht="15" hidden="false" customHeight="false" outlineLevel="0" collapsed="false">
      <c r="A5199" s="4" t="s">
        <v>246</v>
      </c>
      <c r="B5199" s="5" t="s">
        <v>249</v>
      </c>
      <c r="C5199" s="5" t="s">
        <v>250</v>
      </c>
      <c r="D5199" s="4" t="s">
        <v>16</v>
      </c>
      <c r="E5199" s="4" t="s">
        <v>5923</v>
      </c>
      <c r="F5199" s="4" t="s">
        <v>406</v>
      </c>
      <c r="G5199" s="4" t="s">
        <v>5924</v>
      </c>
      <c r="H5199" s="12" t="n">
        <v>1</v>
      </c>
      <c r="I5199" s="4" t="s">
        <v>408</v>
      </c>
      <c r="J5199" s="4" t="s">
        <v>409</v>
      </c>
      <c r="K5199" s="13" t="n">
        <v>85000</v>
      </c>
      <c r="L5199" s="6" t="n">
        <f aca="false">H5199*K5199</f>
        <v>85000</v>
      </c>
      <c r="M5199" s="14" t="s">
        <v>410</v>
      </c>
    </row>
    <row r="5200" customFormat="false" ht="15" hidden="false" customHeight="false" outlineLevel="0" collapsed="false">
      <c r="A5200" s="4" t="s">
        <v>246</v>
      </c>
      <c r="B5200" s="5" t="s">
        <v>249</v>
      </c>
      <c r="C5200" s="5" t="s">
        <v>250</v>
      </c>
      <c r="D5200" s="4" t="s">
        <v>16</v>
      </c>
      <c r="E5200" s="4" t="s">
        <v>5925</v>
      </c>
      <c r="F5200" s="4" t="s">
        <v>406</v>
      </c>
      <c r="G5200" s="4" t="s">
        <v>5926</v>
      </c>
      <c r="H5200" s="12" t="n">
        <v>1</v>
      </c>
      <c r="I5200" s="4" t="s">
        <v>408</v>
      </c>
      <c r="J5200" s="4" t="s">
        <v>409</v>
      </c>
      <c r="K5200" s="13" t="n">
        <v>850000</v>
      </c>
      <c r="L5200" s="6" t="n">
        <f aca="false">H5200*K5200</f>
        <v>850000</v>
      </c>
      <c r="M5200" s="4" t="s">
        <v>371</v>
      </c>
    </row>
    <row r="5201" customFormat="false" ht="15" hidden="false" customHeight="false" outlineLevel="0" collapsed="false">
      <c r="A5201" s="4" t="s">
        <v>246</v>
      </c>
      <c r="B5201" s="5" t="s">
        <v>249</v>
      </c>
      <c r="C5201" s="5" t="s">
        <v>250</v>
      </c>
      <c r="D5201" s="4" t="s">
        <v>16</v>
      </c>
      <c r="E5201" s="4" t="s">
        <v>5927</v>
      </c>
      <c r="F5201" s="4" t="s">
        <v>470</v>
      </c>
      <c r="G5201" s="4" t="s">
        <v>5928</v>
      </c>
      <c r="H5201" s="12" t="n">
        <v>1</v>
      </c>
      <c r="I5201" s="4" t="s">
        <v>408</v>
      </c>
      <c r="J5201" s="4" t="s">
        <v>506</v>
      </c>
      <c r="K5201" s="13" t="n">
        <v>250</v>
      </c>
      <c r="L5201" s="6" t="n">
        <f aca="false">H5201*K5201</f>
        <v>250</v>
      </c>
      <c r="M5201" s="4" t="s">
        <v>371</v>
      </c>
    </row>
    <row r="5202" customFormat="false" ht="15" hidden="false" customHeight="false" outlineLevel="0" collapsed="false">
      <c r="A5202" s="4" t="s">
        <v>246</v>
      </c>
      <c r="B5202" s="5" t="s">
        <v>249</v>
      </c>
      <c r="C5202" s="5" t="s">
        <v>250</v>
      </c>
      <c r="D5202" s="4" t="s">
        <v>16</v>
      </c>
      <c r="E5202" s="4" t="s">
        <v>4605</v>
      </c>
      <c r="F5202" s="4" t="s">
        <v>470</v>
      </c>
      <c r="G5202" s="4" t="s">
        <v>4606</v>
      </c>
      <c r="H5202" s="12" t="n">
        <v>1</v>
      </c>
      <c r="I5202" s="4" t="s">
        <v>408</v>
      </c>
      <c r="J5202" s="4" t="s">
        <v>409</v>
      </c>
      <c r="K5202" s="13" t="n">
        <v>8500</v>
      </c>
      <c r="L5202" s="6" t="n">
        <f aca="false">H5202*K5202</f>
        <v>8500</v>
      </c>
      <c r="M5202" s="14" t="s">
        <v>410</v>
      </c>
    </row>
    <row r="5203" customFormat="false" ht="15" hidden="false" customHeight="false" outlineLevel="0" collapsed="false">
      <c r="A5203" s="4" t="s">
        <v>246</v>
      </c>
      <c r="B5203" s="5" t="s">
        <v>249</v>
      </c>
      <c r="C5203" s="5" t="s">
        <v>250</v>
      </c>
      <c r="D5203" s="4" t="s">
        <v>16</v>
      </c>
      <c r="E5203" s="4" t="s">
        <v>5929</v>
      </c>
      <c r="F5203" s="4" t="s">
        <v>470</v>
      </c>
      <c r="G5203" s="4" t="s">
        <v>5930</v>
      </c>
      <c r="H5203" s="12" t="n">
        <v>1</v>
      </c>
      <c r="I5203" s="4" t="s">
        <v>408</v>
      </c>
      <c r="J5203" s="4" t="s">
        <v>416</v>
      </c>
      <c r="K5203" s="13" t="n">
        <v>18000</v>
      </c>
      <c r="L5203" s="6" t="n">
        <f aca="false">H5203*K5203</f>
        <v>18000</v>
      </c>
      <c r="M5203" s="4" t="s">
        <v>371</v>
      </c>
    </row>
    <row r="5204" customFormat="false" ht="15" hidden="false" customHeight="false" outlineLevel="0" collapsed="false">
      <c r="A5204" s="4" t="s">
        <v>246</v>
      </c>
      <c r="B5204" s="5" t="s">
        <v>249</v>
      </c>
      <c r="C5204" s="5" t="s">
        <v>250</v>
      </c>
      <c r="D5204" s="4" t="s">
        <v>16</v>
      </c>
      <c r="E5204" s="4" t="s">
        <v>2271</v>
      </c>
      <c r="F5204" s="4" t="s">
        <v>470</v>
      </c>
      <c r="G5204" s="4" t="s">
        <v>2272</v>
      </c>
      <c r="H5204" s="12" t="n">
        <v>1</v>
      </c>
      <c r="I5204" s="4" t="s">
        <v>408</v>
      </c>
      <c r="J5204" s="4" t="s">
        <v>409</v>
      </c>
      <c r="K5204" s="13" t="n">
        <v>4500</v>
      </c>
      <c r="L5204" s="6" t="n">
        <f aca="false">H5204*K5204</f>
        <v>4500</v>
      </c>
      <c r="M5204" s="14" t="s">
        <v>410</v>
      </c>
    </row>
    <row r="5205" customFormat="false" ht="15" hidden="false" customHeight="false" outlineLevel="0" collapsed="false">
      <c r="A5205" s="4" t="s">
        <v>246</v>
      </c>
      <c r="B5205" s="5" t="s">
        <v>249</v>
      </c>
      <c r="C5205" s="5" t="s">
        <v>250</v>
      </c>
      <c r="D5205" s="4" t="s">
        <v>16</v>
      </c>
      <c r="E5205" s="4" t="s">
        <v>5931</v>
      </c>
      <c r="F5205" s="4" t="s">
        <v>470</v>
      </c>
      <c r="G5205" s="4" t="s">
        <v>5932</v>
      </c>
      <c r="H5205" s="12" t="n">
        <v>1</v>
      </c>
      <c r="I5205" s="4" t="s">
        <v>408</v>
      </c>
      <c r="J5205" s="4" t="s">
        <v>409</v>
      </c>
      <c r="K5205" s="13" t="n">
        <v>8500</v>
      </c>
      <c r="L5205" s="6" t="n">
        <f aca="false">H5205*K5205</f>
        <v>8500</v>
      </c>
      <c r="M5205" s="4" t="s">
        <v>371</v>
      </c>
    </row>
    <row r="5206" customFormat="false" ht="15" hidden="false" customHeight="false" outlineLevel="0" collapsed="false">
      <c r="A5206" s="4" t="s">
        <v>246</v>
      </c>
      <c r="B5206" s="5" t="s">
        <v>249</v>
      </c>
      <c r="C5206" s="5" t="s">
        <v>250</v>
      </c>
      <c r="D5206" s="4" t="s">
        <v>16</v>
      </c>
      <c r="E5206" s="4" t="s">
        <v>2163</v>
      </c>
      <c r="F5206" s="4" t="s">
        <v>470</v>
      </c>
      <c r="G5206" s="4" t="s">
        <v>2164</v>
      </c>
      <c r="H5206" s="12" t="n">
        <v>1</v>
      </c>
      <c r="I5206" s="4" t="s">
        <v>408</v>
      </c>
      <c r="J5206" s="4" t="s">
        <v>409</v>
      </c>
      <c r="K5206" s="13" t="n">
        <v>35000</v>
      </c>
      <c r="L5206" s="6" t="n">
        <f aca="false">H5206*K5206</f>
        <v>35000</v>
      </c>
      <c r="M5206" s="14" t="s">
        <v>410</v>
      </c>
    </row>
    <row r="5207" customFormat="false" ht="15" hidden="false" customHeight="false" outlineLevel="0" collapsed="false">
      <c r="A5207" s="4" t="s">
        <v>246</v>
      </c>
      <c r="B5207" s="5" t="s">
        <v>249</v>
      </c>
      <c r="C5207" s="5" t="s">
        <v>250</v>
      </c>
      <c r="D5207" s="4" t="s">
        <v>16</v>
      </c>
      <c r="E5207" s="4" t="s">
        <v>1058</v>
      </c>
      <c r="F5207" s="4" t="s">
        <v>470</v>
      </c>
      <c r="G5207" s="4" t="s">
        <v>1059</v>
      </c>
      <c r="H5207" s="12" t="n">
        <v>1</v>
      </c>
      <c r="I5207" s="4" t="s">
        <v>408</v>
      </c>
      <c r="J5207" s="4" t="s">
        <v>409</v>
      </c>
      <c r="K5207" s="13" t="n">
        <v>45000</v>
      </c>
      <c r="L5207" s="6" t="n">
        <f aca="false">H5207*K5207</f>
        <v>45000</v>
      </c>
      <c r="M5207" s="14" t="s">
        <v>410</v>
      </c>
    </row>
    <row r="5208" customFormat="false" ht="15" hidden="false" customHeight="false" outlineLevel="0" collapsed="false">
      <c r="A5208" s="4" t="s">
        <v>246</v>
      </c>
      <c r="B5208" s="5" t="s">
        <v>249</v>
      </c>
      <c r="C5208" s="5" t="s">
        <v>250</v>
      </c>
      <c r="D5208" s="4" t="s">
        <v>16</v>
      </c>
      <c r="E5208" s="4" t="s">
        <v>2275</v>
      </c>
      <c r="F5208" s="4" t="s">
        <v>470</v>
      </c>
      <c r="G5208" s="4" t="s">
        <v>2276</v>
      </c>
      <c r="H5208" s="12" t="n">
        <v>1</v>
      </c>
      <c r="I5208" s="4" t="s">
        <v>408</v>
      </c>
      <c r="J5208" s="4" t="s">
        <v>409</v>
      </c>
      <c r="K5208" s="13" t="n">
        <v>8500</v>
      </c>
      <c r="L5208" s="6" t="n">
        <f aca="false">H5208*K5208</f>
        <v>8500</v>
      </c>
      <c r="M5208" s="4" t="s">
        <v>371</v>
      </c>
    </row>
    <row r="5209" customFormat="false" ht="15" hidden="false" customHeight="false" outlineLevel="0" collapsed="false">
      <c r="A5209" s="4" t="s">
        <v>246</v>
      </c>
      <c r="B5209" s="5" t="s">
        <v>249</v>
      </c>
      <c r="C5209" s="5" t="s">
        <v>250</v>
      </c>
      <c r="D5209" s="4" t="s">
        <v>16</v>
      </c>
      <c r="E5209" s="4" t="s">
        <v>5913</v>
      </c>
      <c r="F5209" s="4" t="s">
        <v>470</v>
      </c>
      <c r="G5209" s="4" t="s">
        <v>5914</v>
      </c>
      <c r="H5209" s="12" t="n">
        <v>1</v>
      </c>
      <c r="I5209" s="4" t="s">
        <v>408</v>
      </c>
      <c r="J5209" s="4" t="s">
        <v>416</v>
      </c>
      <c r="K5209" s="13" t="n">
        <v>4500</v>
      </c>
      <c r="L5209" s="6" t="n">
        <f aca="false">H5209*K5209</f>
        <v>4500</v>
      </c>
      <c r="M5209" s="4" t="s">
        <v>371</v>
      </c>
    </row>
    <row r="5210" customFormat="false" ht="15" hidden="false" customHeight="false" outlineLevel="0" collapsed="false">
      <c r="A5210" s="4" t="s">
        <v>246</v>
      </c>
      <c r="B5210" s="5" t="s">
        <v>249</v>
      </c>
      <c r="C5210" s="5" t="s">
        <v>250</v>
      </c>
      <c r="D5210" s="4" t="s">
        <v>16</v>
      </c>
      <c r="E5210" s="4" t="s">
        <v>2288</v>
      </c>
      <c r="F5210" s="4" t="s">
        <v>470</v>
      </c>
      <c r="G5210" s="4" t="s">
        <v>1452</v>
      </c>
      <c r="H5210" s="12" t="n">
        <v>1</v>
      </c>
      <c r="I5210" s="4" t="s">
        <v>408</v>
      </c>
      <c r="J5210" s="4" t="s">
        <v>413</v>
      </c>
      <c r="K5210" s="13" t="n">
        <v>450</v>
      </c>
      <c r="L5210" s="6" t="n">
        <f aca="false">H5210*K5210</f>
        <v>450</v>
      </c>
      <c r="M5210" s="4" t="s">
        <v>371</v>
      </c>
    </row>
    <row r="5211" customFormat="false" ht="15" hidden="false" customHeight="false" outlineLevel="0" collapsed="false">
      <c r="A5211" s="4" t="s">
        <v>246</v>
      </c>
      <c r="B5211" s="5" t="s">
        <v>249</v>
      </c>
      <c r="C5211" s="5" t="s">
        <v>250</v>
      </c>
      <c r="D5211" s="4" t="s">
        <v>16</v>
      </c>
      <c r="E5211" s="4" t="s">
        <v>1089</v>
      </c>
      <c r="F5211" s="4" t="s">
        <v>470</v>
      </c>
      <c r="G5211" s="4" t="s">
        <v>1090</v>
      </c>
      <c r="H5211" s="12" t="n">
        <v>1</v>
      </c>
      <c r="I5211" s="4" t="s">
        <v>408</v>
      </c>
      <c r="J5211" s="4" t="s">
        <v>409</v>
      </c>
      <c r="K5211" s="13" t="n">
        <v>3500</v>
      </c>
      <c r="L5211" s="6" t="n">
        <f aca="false">H5211*K5211</f>
        <v>3500</v>
      </c>
      <c r="M5211" s="4" t="s">
        <v>371</v>
      </c>
    </row>
    <row r="5212" customFormat="false" ht="15" hidden="false" customHeight="false" outlineLevel="0" collapsed="false">
      <c r="A5212" s="4" t="s">
        <v>246</v>
      </c>
      <c r="B5212" s="5" t="s">
        <v>249</v>
      </c>
      <c r="C5212" s="5" t="s">
        <v>250</v>
      </c>
      <c r="D5212" s="4" t="s">
        <v>16</v>
      </c>
      <c r="E5212" s="4" t="s">
        <v>2289</v>
      </c>
      <c r="F5212" s="4" t="s">
        <v>470</v>
      </c>
      <c r="G5212" s="4" t="s">
        <v>2290</v>
      </c>
      <c r="H5212" s="12" t="n">
        <v>1</v>
      </c>
      <c r="I5212" s="4" t="s">
        <v>408</v>
      </c>
      <c r="J5212" s="4" t="s">
        <v>409</v>
      </c>
      <c r="K5212" s="13" t="n">
        <v>2500</v>
      </c>
      <c r="L5212" s="6" t="n">
        <f aca="false">H5212*K5212</f>
        <v>2500</v>
      </c>
      <c r="M5212" s="4" t="s">
        <v>371</v>
      </c>
    </row>
    <row r="5213" customFormat="false" ht="15" hidden="false" customHeight="false" outlineLevel="0" collapsed="false">
      <c r="A5213" s="4" t="s">
        <v>246</v>
      </c>
      <c r="B5213" s="5" t="s">
        <v>249</v>
      </c>
      <c r="C5213" s="5" t="s">
        <v>250</v>
      </c>
      <c r="D5213" s="4" t="s">
        <v>16</v>
      </c>
      <c r="E5213" s="4" t="s">
        <v>2291</v>
      </c>
      <c r="F5213" s="4" t="s">
        <v>470</v>
      </c>
      <c r="G5213" s="4" t="s">
        <v>2292</v>
      </c>
      <c r="H5213" s="12" t="n">
        <v>1</v>
      </c>
      <c r="I5213" s="4" t="s">
        <v>408</v>
      </c>
      <c r="J5213" s="4" t="s">
        <v>416</v>
      </c>
      <c r="K5213" s="13" t="n">
        <v>6500</v>
      </c>
      <c r="L5213" s="6" t="n">
        <f aca="false">H5213*K5213</f>
        <v>6500</v>
      </c>
      <c r="M5213" s="4" t="s">
        <v>371</v>
      </c>
    </row>
    <row r="5214" customFormat="false" ht="15" hidden="false" customHeight="false" outlineLevel="0" collapsed="false">
      <c r="A5214" s="4" t="s">
        <v>246</v>
      </c>
      <c r="B5214" s="5" t="s">
        <v>249</v>
      </c>
      <c r="C5214" s="5" t="s">
        <v>250</v>
      </c>
      <c r="D5214" s="4" t="s">
        <v>16</v>
      </c>
      <c r="E5214" s="4" t="s">
        <v>2373</v>
      </c>
      <c r="F5214" s="4" t="s">
        <v>470</v>
      </c>
      <c r="G5214" s="4" t="s">
        <v>2374</v>
      </c>
      <c r="H5214" s="12" t="n">
        <v>1</v>
      </c>
      <c r="I5214" s="4" t="s">
        <v>408</v>
      </c>
      <c r="J5214" s="4" t="s">
        <v>416</v>
      </c>
      <c r="K5214" s="13" t="n">
        <v>850</v>
      </c>
      <c r="L5214" s="6" t="n">
        <f aca="false">H5214*K5214</f>
        <v>850</v>
      </c>
      <c r="M5214" s="4" t="s">
        <v>371</v>
      </c>
    </row>
    <row r="5215" customFormat="false" ht="15" hidden="false" customHeight="false" outlineLevel="0" collapsed="false">
      <c r="A5215" s="4" t="s">
        <v>246</v>
      </c>
      <c r="B5215" s="5" t="s">
        <v>249</v>
      </c>
      <c r="C5215" s="5" t="s">
        <v>250</v>
      </c>
      <c r="D5215" s="4" t="s">
        <v>16</v>
      </c>
      <c r="E5215" s="4" t="s">
        <v>2375</v>
      </c>
      <c r="F5215" s="4" t="s">
        <v>470</v>
      </c>
      <c r="G5215" s="4" t="s">
        <v>2376</v>
      </c>
      <c r="H5215" s="12" t="n">
        <v>1</v>
      </c>
      <c r="I5215" s="4" t="s">
        <v>408</v>
      </c>
      <c r="J5215" s="4" t="s">
        <v>416</v>
      </c>
      <c r="K5215" s="13" t="n">
        <v>850</v>
      </c>
      <c r="L5215" s="6" t="n">
        <f aca="false">H5215*K5215</f>
        <v>850</v>
      </c>
      <c r="M5215" s="4" t="s">
        <v>371</v>
      </c>
    </row>
    <row r="5216" customFormat="false" ht="15" hidden="false" customHeight="false" outlineLevel="0" collapsed="false">
      <c r="A5216" s="4" t="s">
        <v>246</v>
      </c>
      <c r="B5216" s="5" t="s">
        <v>249</v>
      </c>
      <c r="C5216" s="5" t="s">
        <v>250</v>
      </c>
      <c r="D5216" s="4" t="s">
        <v>16</v>
      </c>
      <c r="E5216" s="4" t="s">
        <v>5915</v>
      </c>
      <c r="F5216" s="4" t="s">
        <v>470</v>
      </c>
      <c r="G5216" s="4" t="s">
        <v>5916</v>
      </c>
      <c r="H5216" s="12" t="n">
        <v>1</v>
      </c>
      <c r="I5216" s="4" t="s">
        <v>408</v>
      </c>
      <c r="J5216" s="4" t="s">
        <v>416</v>
      </c>
      <c r="K5216" s="13" t="n">
        <v>1800</v>
      </c>
      <c r="L5216" s="6" t="n">
        <f aca="false">H5216*K5216</f>
        <v>1800</v>
      </c>
      <c r="M5216" s="4" t="s">
        <v>371</v>
      </c>
    </row>
    <row r="5217" customFormat="false" ht="15" hidden="false" customHeight="false" outlineLevel="0" collapsed="false">
      <c r="A5217" s="4" t="s">
        <v>246</v>
      </c>
      <c r="B5217" s="5" t="s">
        <v>249</v>
      </c>
      <c r="C5217" s="5" t="s">
        <v>250</v>
      </c>
      <c r="D5217" s="4" t="s">
        <v>16</v>
      </c>
      <c r="E5217" s="4" t="s">
        <v>5917</v>
      </c>
      <c r="F5217" s="4" t="s">
        <v>470</v>
      </c>
      <c r="G5217" s="4" t="s">
        <v>5918</v>
      </c>
      <c r="H5217" s="12" t="n">
        <v>1</v>
      </c>
      <c r="I5217" s="4" t="s">
        <v>408</v>
      </c>
      <c r="J5217" s="4" t="s">
        <v>416</v>
      </c>
      <c r="K5217" s="13" t="n">
        <v>850</v>
      </c>
      <c r="L5217" s="6" t="n">
        <f aca="false">H5217*K5217</f>
        <v>850</v>
      </c>
      <c r="M5217" s="4" t="s">
        <v>371</v>
      </c>
    </row>
    <row r="5218" customFormat="false" ht="15" hidden="false" customHeight="false" outlineLevel="0" collapsed="false">
      <c r="A5218" s="4" t="s">
        <v>246</v>
      </c>
      <c r="B5218" s="5" t="s">
        <v>249</v>
      </c>
      <c r="C5218" s="5" t="s">
        <v>250</v>
      </c>
      <c r="D5218" s="4" t="s">
        <v>16</v>
      </c>
      <c r="E5218" s="4" t="s">
        <v>2381</v>
      </c>
      <c r="F5218" s="4" t="s">
        <v>470</v>
      </c>
      <c r="G5218" s="4" t="s">
        <v>2382</v>
      </c>
      <c r="H5218" s="12" t="n">
        <v>1</v>
      </c>
      <c r="I5218" s="4" t="s">
        <v>408</v>
      </c>
      <c r="J5218" s="4" t="s">
        <v>416</v>
      </c>
      <c r="K5218" s="13" t="n">
        <v>850</v>
      </c>
      <c r="L5218" s="6" t="n">
        <f aca="false">H5218*K5218</f>
        <v>850</v>
      </c>
      <c r="M5218" s="4" t="s">
        <v>371</v>
      </c>
    </row>
    <row r="5219" customFormat="false" ht="15" hidden="false" customHeight="false" outlineLevel="0" collapsed="false">
      <c r="A5219" s="4" t="s">
        <v>246</v>
      </c>
      <c r="B5219" s="5" t="s">
        <v>249</v>
      </c>
      <c r="C5219" s="5" t="s">
        <v>250</v>
      </c>
      <c r="D5219" s="4" t="s">
        <v>16</v>
      </c>
      <c r="E5219" s="4" t="s">
        <v>2383</v>
      </c>
      <c r="F5219" s="4" t="s">
        <v>470</v>
      </c>
      <c r="G5219" s="4" t="s">
        <v>2384</v>
      </c>
      <c r="H5219" s="12" t="n">
        <v>1</v>
      </c>
      <c r="I5219" s="4" t="s">
        <v>408</v>
      </c>
      <c r="J5219" s="4" t="s">
        <v>416</v>
      </c>
      <c r="K5219" s="13" t="n">
        <v>850</v>
      </c>
      <c r="L5219" s="6" t="n">
        <f aca="false">H5219*K5219</f>
        <v>850</v>
      </c>
      <c r="M5219" s="4" t="s">
        <v>371</v>
      </c>
    </row>
    <row r="5220" customFormat="false" ht="15" hidden="false" customHeight="false" outlineLevel="0" collapsed="false">
      <c r="A5220" s="4" t="s">
        <v>246</v>
      </c>
      <c r="B5220" s="5" t="s">
        <v>249</v>
      </c>
      <c r="C5220" s="5" t="s">
        <v>250</v>
      </c>
      <c r="D5220" s="4" t="s">
        <v>16</v>
      </c>
      <c r="E5220" s="4" t="s">
        <v>2295</v>
      </c>
      <c r="F5220" s="4" t="s">
        <v>470</v>
      </c>
      <c r="G5220" s="4" t="s">
        <v>2296</v>
      </c>
      <c r="H5220" s="12" t="n">
        <v>1</v>
      </c>
      <c r="I5220" s="4" t="s">
        <v>408</v>
      </c>
      <c r="J5220" s="4" t="s">
        <v>416</v>
      </c>
      <c r="K5220" s="13" t="n">
        <v>850</v>
      </c>
      <c r="L5220" s="6" t="n">
        <f aca="false">H5220*K5220</f>
        <v>850</v>
      </c>
      <c r="M5220" s="4" t="s">
        <v>371</v>
      </c>
    </row>
    <row r="5221" customFormat="false" ht="15" hidden="false" customHeight="false" outlineLevel="0" collapsed="false">
      <c r="A5221" s="4" t="s">
        <v>246</v>
      </c>
      <c r="B5221" s="5" t="s">
        <v>249</v>
      </c>
      <c r="C5221" s="5" t="s">
        <v>250</v>
      </c>
      <c r="D5221" s="4" t="s">
        <v>16</v>
      </c>
      <c r="E5221" s="4" t="s">
        <v>2297</v>
      </c>
      <c r="F5221" s="4" t="s">
        <v>470</v>
      </c>
      <c r="G5221" s="4" t="s">
        <v>2298</v>
      </c>
      <c r="H5221" s="12" t="n">
        <v>1</v>
      </c>
      <c r="I5221" s="4" t="s">
        <v>408</v>
      </c>
      <c r="J5221" s="4" t="s">
        <v>416</v>
      </c>
      <c r="K5221" s="13" t="n">
        <v>850</v>
      </c>
      <c r="L5221" s="6" t="n">
        <f aca="false">H5221*K5221</f>
        <v>850</v>
      </c>
      <c r="M5221" s="4" t="s">
        <v>371</v>
      </c>
    </row>
    <row r="5222" customFormat="false" ht="15" hidden="false" customHeight="false" outlineLevel="0" collapsed="false">
      <c r="A5222" s="4" t="s">
        <v>246</v>
      </c>
      <c r="B5222" s="5" t="s">
        <v>249</v>
      </c>
      <c r="C5222" s="5" t="s">
        <v>250</v>
      </c>
      <c r="D5222" s="4" t="s">
        <v>16</v>
      </c>
      <c r="E5222" s="4" t="s">
        <v>2299</v>
      </c>
      <c r="F5222" s="4" t="s">
        <v>470</v>
      </c>
      <c r="G5222" s="4" t="s">
        <v>2300</v>
      </c>
      <c r="H5222" s="12" t="n">
        <v>1</v>
      </c>
      <c r="I5222" s="4" t="s">
        <v>408</v>
      </c>
      <c r="J5222" s="4" t="s">
        <v>416</v>
      </c>
      <c r="K5222" s="13" t="n">
        <v>850</v>
      </c>
      <c r="L5222" s="6" t="n">
        <f aca="false">H5222*K5222</f>
        <v>850</v>
      </c>
      <c r="M5222" s="4" t="s">
        <v>371</v>
      </c>
    </row>
    <row r="5223" customFormat="false" ht="15" hidden="false" customHeight="false" outlineLevel="0" collapsed="false">
      <c r="A5223" s="4" t="s">
        <v>246</v>
      </c>
      <c r="B5223" s="5" t="s">
        <v>249</v>
      </c>
      <c r="C5223" s="5" t="s">
        <v>250</v>
      </c>
      <c r="D5223" s="4" t="s">
        <v>16</v>
      </c>
      <c r="E5223" s="4" t="s">
        <v>2301</v>
      </c>
      <c r="F5223" s="4" t="s">
        <v>470</v>
      </c>
      <c r="G5223" s="4" t="s">
        <v>2302</v>
      </c>
      <c r="H5223" s="12" t="n">
        <v>1</v>
      </c>
      <c r="I5223" s="4" t="s">
        <v>408</v>
      </c>
      <c r="J5223" s="4" t="s">
        <v>409</v>
      </c>
      <c r="K5223" s="13" t="n">
        <v>8500</v>
      </c>
      <c r="L5223" s="6" t="n">
        <f aca="false">H5223*K5223</f>
        <v>8500</v>
      </c>
      <c r="M5223" s="4" t="s">
        <v>371</v>
      </c>
    </row>
    <row r="5224" customFormat="false" ht="15" hidden="false" customHeight="false" outlineLevel="0" collapsed="false">
      <c r="A5224" s="4" t="s">
        <v>246</v>
      </c>
      <c r="B5224" s="5" t="s">
        <v>249</v>
      </c>
      <c r="C5224" s="5" t="s">
        <v>250</v>
      </c>
      <c r="D5224" s="4" t="s">
        <v>16</v>
      </c>
      <c r="E5224" s="4" t="s">
        <v>2303</v>
      </c>
      <c r="F5224" s="4" t="s">
        <v>470</v>
      </c>
      <c r="G5224" s="4" t="s">
        <v>2304</v>
      </c>
      <c r="H5224" s="12" t="n">
        <v>1</v>
      </c>
      <c r="I5224" s="4" t="s">
        <v>408</v>
      </c>
      <c r="J5224" s="4" t="s">
        <v>409</v>
      </c>
      <c r="K5224" s="13" t="n">
        <v>3500</v>
      </c>
      <c r="L5224" s="6" t="n">
        <f aca="false">H5224*K5224</f>
        <v>3500</v>
      </c>
      <c r="M5224" s="4" t="s">
        <v>371</v>
      </c>
    </row>
    <row r="5225" customFormat="false" ht="15" hidden="false" customHeight="false" outlineLevel="0" collapsed="false">
      <c r="A5225" s="4" t="s">
        <v>246</v>
      </c>
      <c r="B5225" s="5" t="s">
        <v>249</v>
      </c>
      <c r="C5225" s="5" t="s">
        <v>250</v>
      </c>
      <c r="D5225" s="4" t="s">
        <v>16</v>
      </c>
      <c r="E5225" s="4" t="s">
        <v>2305</v>
      </c>
      <c r="F5225" s="4" t="s">
        <v>470</v>
      </c>
      <c r="G5225" s="4" t="s">
        <v>2306</v>
      </c>
      <c r="H5225" s="12" t="n">
        <v>1</v>
      </c>
      <c r="I5225" s="4" t="s">
        <v>408</v>
      </c>
      <c r="J5225" s="4" t="s">
        <v>409</v>
      </c>
      <c r="K5225" s="13" t="n">
        <v>850</v>
      </c>
      <c r="L5225" s="6" t="n">
        <f aca="false">H5225*K5225</f>
        <v>850</v>
      </c>
      <c r="M5225" s="4" t="s">
        <v>371</v>
      </c>
    </row>
    <row r="5226" customFormat="false" ht="15" hidden="false" customHeight="false" outlineLevel="0" collapsed="false">
      <c r="A5226" s="4" t="s">
        <v>246</v>
      </c>
      <c r="B5226" s="5" t="s">
        <v>249</v>
      </c>
      <c r="C5226" s="5" t="s">
        <v>250</v>
      </c>
      <c r="D5226" s="4" t="s">
        <v>16</v>
      </c>
      <c r="E5226" s="4" t="s">
        <v>2323</v>
      </c>
      <c r="F5226" s="4" t="s">
        <v>488</v>
      </c>
      <c r="G5226" s="4" t="s">
        <v>2324</v>
      </c>
      <c r="H5226" s="12" t="n">
        <v>1</v>
      </c>
      <c r="I5226" s="4" t="s">
        <v>408</v>
      </c>
      <c r="J5226" s="4" t="s">
        <v>807</v>
      </c>
      <c r="K5226" s="13" t="n">
        <v>450</v>
      </c>
      <c r="L5226" s="6" t="n">
        <f aca="false">H5226*K5226</f>
        <v>450</v>
      </c>
      <c r="M5226" s="4" t="s">
        <v>371</v>
      </c>
    </row>
    <row r="5227" customFormat="false" ht="15" hidden="false" customHeight="false" outlineLevel="0" collapsed="false">
      <c r="A5227" s="4" t="s">
        <v>246</v>
      </c>
      <c r="B5227" s="5" t="s">
        <v>249</v>
      </c>
      <c r="C5227" s="5" t="s">
        <v>250</v>
      </c>
      <c r="D5227" s="4" t="s">
        <v>16</v>
      </c>
      <c r="E5227" s="4" t="s">
        <v>2325</v>
      </c>
      <c r="F5227" s="4" t="s">
        <v>488</v>
      </c>
      <c r="G5227" s="4" t="s">
        <v>2326</v>
      </c>
      <c r="H5227" s="12" t="n">
        <v>1</v>
      </c>
      <c r="I5227" s="4" t="s">
        <v>408</v>
      </c>
      <c r="J5227" s="4" t="s">
        <v>416</v>
      </c>
      <c r="K5227" s="13" t="n">
        <v>650</v>
      </c>
      <c r="L5227" s="6" t="n">
        <f aca="false">H5227*K5227</f>
        <v>650</v>
      </c>
      <c r="M5227" s="4" t="s">
        <v>371</v>
      </c>
    </row>
    <row r="5228" customFormat="false" ht="15" hidden="false" customHeight="false" outlineLevel="0" collapsed="false">
      <c r="A5228" s="4" t="s">
        <v>246</v>
      </c>
      <c r="B5228" s="5" t="s">
        <v>249</v>
      </c>
      <c r="C5228" s="5" t="s">
        <v>250</v>
      </c>
      <c r="D5228" s="4" t="s">
        <v>16</v>
      </c>
      <c r="E5228" s="4" t="s">
        <v>2327</v>
      </c>
      <c r="F5228" s="4" t="s">
        <v>488</v>
      </c>
      <c r="G5228" s="4" t="s">
        <v>2328</v>
      </c>
      <c r="H5228" s="12" t="n">
        <v>1</v>
      </c>
      <c r="I5228" s="4" t="s">
        <v>408</v>
      </c>
      <c r="J5228" s="4" t="s">
        <v>506</v>
      </c>
      <c r="K5228" s="13" t="n">
        <v>450</v>
      </c>
      <c r="L5228" s="6" t="n">
        <f aca="false">H5228*K5228</f>
        <v>450</v>
      </c>
      <c r="M5228" s="4" t="s">
        <v>371</v>
      </c>
    </row>
    <row r="5229" customFormat="false" ht="15" hidden="false" customHeight="false" outlineLevel="0" collapsed="false">
      <c r="A5229" s="4" t="s">
        <v>246</v>
      </c>
      <c r="B5229" s="5" t="s">
        <v>249</v>
      </c>
      <c r="C5229" s="5" t="s">
        <v>250</v>
      </c>
      <c r="D5229" s="4" t="s">
        <v>16</v>
      </c>
      <c r="E5229" s="4" t="s">
        <v>2385</v>
      </c>
      <c r="F5229" s="4" t="s">
        <v>470</v>
      </c>
      <c r="G5229" s="4" t="s">
        <v>2386</v>
      </c>
      <c r="H5229" s="12" t="n">
        <v>1</v>
      </c>
      <c r="I5229" s="4" t="s">
        <v>408</v>
      </c>
      <c r="J5229" s="4" t="s">
        <v>416</v>
      </c>
      <c r="K5229" s="13" t="n">
        <v>2500</v>
      </c>
      <c r="L5229" s="6" t="n">
        <f aca="false">H5229*K5229</f>
        <v>2500</v>
      </c>
      <c r="M5229" s="4" t="s">
        <v>371</v>
      </c>
    </row>
    <row r="5230" customFormat="false" ht="15" hidden="false" customHeight="false" outlineLevel="0" collapsed="false">
      <c r="A5230" s="4" t="s">
        <v>246</v>
      </c>
      <c r="B5230" s="5" t="s">
        <v>249</v>
      </c>
      <c r="C5230" s="5" t="s">
        <v>250</v>
      </c>
      <c r="D5230" s="4" t="s">
        <v>16</v>
      </c>
      <c r="E5230" s="4" t="s">
        <v>2337</v>
      </c>
      <c r="F5230" s="4" t="s">
        <v>470</v>
      </c>
      <c r="G5230" s="4" t="s">
        <v>2338</v>
      </c>
      <c r="H5230" s="12" t="n">
        <v>1</v>
      </c>
      <c r="I5230" s="4" t="s">
        <v>408</v>
      </c>
      <c r="J5230" s="4" t="s">
        <v>416</v>
      </c>
      <c r="K5230" s="13" t="n">
        <v>8500</v>
      </c>
      <c r="L5230" s="6" t="n">
        <f aca="false">H5230*K5230</f>
        <v>8500</v>
      </c>
      <c r="M5230" s="4" t="s">
        <v>371</v>
      </c>
    </row>
    <row r="5231" customFormat="false" ht="15" hidden="false" customHeight="false" outlineLevel="0" collapsed="false">
      <c r="A5231" s="4" t="s">
        <v>246</v>
      </c>
      <c r="B5231" s="5" t="s">
        <v>249</v>
      </c>
      <c r="C5231" s="5" t="s">
        <v>250</v>
      </c>
      <c r="D5231" s="4" t="s">
        <v>16</v>
      </c>
      <c r="E5231" s="4" t="s">
        <v>2339</v>
      </c>
      <c r="F5231" s="4" t="s">
        <v>470</v>
      </c>
      <c r="G5231" s="4" t="s">
        <v>2340</v>
      </c>
      <c r="H5231" s="12" t="n">
        <v>1</v>
      </c>
      <c r="I5231" s="4" t="s">
        <v>408</v>
      </c>
      <c r="J5231" s="4" t="s">
        <v>416</v>
      </c>
      <c r="K5231" s="13" t="n">
        <v>8500</v>
      </c>
      <c r="L5231" s="6" t="n">
        <f aca="false">H5231*K5231</f>
        <v>8500</v>
      </c>
      <c r="M5231" s="14" t="s">
        <v>410</v>
      </c>
    </row>
    <row r="5232" customFormat="false" ht="15" hidden="false" customHeight="false" outlineLevel="0" collapsed="false">
      <c r="A5232" s="4" t="s">
        <v>246</v>
      </c>
      <c r="B5232" s="5" t="s">
        <v>249</v>
      </c>
      <c r="C5232" s="5" t="s">
        <v>250</v>
      </c>
      <c r="D5232" s="4" t="s">
        <v>16</v>
      </c>
      <c r="E5232" s="4" t="s">
        <v>2341</v>
      </c>
      <c r="F5232" s="4" t="s">
        <v>470</v>
      </c>
      <c r="G5232" s="4" t="s">
        <v>2342</v>
      </c>
      <c r="H5232" s="12" t="n">
        <v>1</v>
      </c>
      <c r="I5232" s="4" t="s">
        <v>408</v>
      </c>
      <c r="J5232" s="4" t="s">
        <v>543</v>
      </c>
      <c r="K5232" s="13" t="n">
        <v>5000</v>
      </c>
      <c r="L5232" s="6" t="n">
        <f aca="false">H5232*K5232</f>
        <v>5000</v>
      </c>
      <c r="M5232" s="4" t="s">
        <v>371</v>
      </c>
    </row>
    <row r="5233" customFormat="false" ht="15" hidden="false" customHeight="false" outlineLevel="0" collapsed="false">
      <c r="A5233" s="4" t="s">
        <v>246</v>
      </c>
      <c r="B5233" s="5" t="s">
        <v>253</v>
      </c>
      <c r="C5233" s="5" t="s">
        <v>254</v>
      </c>
      <c r="D5233" s="4" t="s">
        <v>16</v>
      </c>
      <c r="E5233" s="4" t="s">
        <v>3596</v>
      </c>
      <c r="F5233" s="4" t="s">
        <v>406</v>
      </c>
      <c r="G5233" s="4" t="s">
        <v>3597</v>
      </c>
      <c r="H5233" s="12" t="n">
        <v>1</v>
      </c>
      <c r="I5233" s="4" t="s">
        <v>408</v>
      </c>
      <c r="J5233" s="4" t="s">
        <v>416</v>
      </c>
      <c r="K5233" s="13" t="n">
        <v>1200</v>
      </c>
      <c r="L5233" s="6" t="n">
        <f aca="false">H5233*K5233</f>
        <v>1200</v>
      </c>
      <c r="M5233" s="4" t="s">
        <v>371</v>
      </c>
    </row>
    <row r="5234" customFormat="false" ht="15" hidden="false" customHeight="false" outlineLevel="0" collapsed="false">
      <c r="A5234" s="4" t="s">
        <v>246</v>
      </c>
      <c r="B5234" s="5" t="s">
        <v>253</v>
      </c>
      <c r="C5234" s="5" t="s">
        <v>254</v>
      </c>
      <c r="D5234" s="4" t="s">
        <v>16</v>
      </c>
      <c r="E5234" s="4" t="s">
        <v>2225</v>
      </c>
      <c r="F5234" s="4" t="s">
        <v>406</v>
      </c>
      <c r="G5234" s="4" t="s">
        <v>2226</v>
      </c>
      <c r="H5234" s="12" t="n">
        <v>1</v>
      </c>
      <c r="I5234" s="4" t="s">
        <v>408</v>
      </c>
      <c r="J5234" s="4" t="s">
        <v>409</v>
      </c>
      <c r="K5234" s="13" t="n">
        <v>350</v>
      </c>
      <c r="L5234" s="6" t="n">
        <f aca="false">H5234*K5234</f>
        <v>350</v>
      </c>
      <c r="M5234" s="14" t="s">
        <v>410</v>
      </c>
    </row>
    <row r="5235" customFormat="false" ht="15" hidden="false" customHeight="false" outlineLevel="0" collapsed="false">
      <c r="A5235" s="4" t="s">
        <v>246</v>
      </c>
      <c r="B5235" s="5" t="s">
        <v>253</v>
      </c>
      <c r="C5235" s="5" t="s">
        <v>254</v>
      </c>
      <c r="D5235" s="4" t="s">
        <v>16</v>
      </c>
      <c r="E5235" s="4" t="s">
        <v>2385</v>
      </c>
      <c r="F5235" s="4" t="s">
        <v>406</v>
      </c>
      <c r="G5235" s="4" t="s">
        <v>2386</v>
      </c>
      <c r="H5235" s="12" t="n">
        <v>1</v>
      </c>
      <c r="I5235" s="4" t="s">
        <v>408</v>
      </c>
      <c r="J5235" s="4" t="s">
        <v>416</v>
      </c>
      <c r="K5235" s="13" t="n">
        <v>2500</v>
      </c>
      <c r="L5235" s="6" t="n">
        <f aca="false">H5235*K5235</f>
        <v>2500</v>
      </c>
      <c r="M5235" s="4" t="s">
        <v>371</v>
      </c>
    </row>
    <row r="5236" customFormat="false" ht="15" hidden="false" customHeight="false" outlineLevel="0" collapsed="false">
      <c r="A5236" s="4" t="s">
        <v>246</v>
      </c>
      <c r="B5236" s="5" t="s">
        <v>253</v>
      </c>
      <c r="C5236" s="5" t="s">
        <v>254</v>
      </c>
      <c r="D5236" s="4" t="s">
        <v>16</v>
      </c>
      <c r="E5236" s="4" t="s">
        <v>5933</v>
      </c>
      <c r="F5236" s="4" t="s">
        <v>406</v>
      </c>
      <c r="G5236" s="4" t="s">
        <v>5934</v>
      </c>
      <c r="H5236" s="12" t="n">
        <v>1</v>
      </c>
      <c r="I5236" s="4" t="s">
        <v>408</v>
      </c>
      <c r="J5236" s="4" t="s">
        <v>409</v>
      </c>
      <c r="K5236" s="13" t="n">
        <v>18000</v>
      </c>
      <c r="L5236" s="6" t="n">
        <f aca="false">H5236*K5236</f>
        <v>18000</v>
      </c>
      <c r="M5236" s="4" t="s">
        <v>371</v>
      </c>
    </row>
    <row r="5237" customFormat="false" ht="15" hidden="false" customHeight="false" outlineLevel="0" collapsed="false">
      <c r="A5237" s="4" t="s">
        <v>246</v>
      </c>
      <c r="B5237" s="5" t="s">
        <v>253</v>
      </c>
      <c r="C5237" s="5" t="s">
        <v>254</v>
      </c>
      <c r="D5237" s="4" t="s">
        <v>16</v>
      </c>
      <c r="E5237" s="4" t="s">
        <v>2217</v>
      </c>
      <c r="F5237" s="4" t="s">
        <v>406</v>
      </c>
      <c r="G5237" s="4" t="s">
        <v>2218</v>
      </c>
      <c r="H5237" s="12" t="n">
        <v>1</v>
      </c>
      <c r="I5237" s="4" t="s">
        <v>408</v>
      </c>
      <c r="J5237" s="4" t="s">
        <v>409</v>
      </c>
      <c r="K5237" s="13" t="n">
        <v>4500</v>
      </c>
      <c r="L5237" s="6" t="n">
        <f aca="false">H5237*K5237</f>
        <v>4500</v>
      </c>
      <c r="M5237" s="14" t="s">
        <v>410</v>
      </c>
    </row>
    <row r="5238" customFormat="false" ht="15" hidden="false" customHeight="false" outlineLevel="0" collapsed="false">
      <c r="A5238" s="4" t="s">
        <v>246</v>
      </c>
      <c r="B5238" s="5" t="s">
        <v>253</v>
      </c>
      <c r="C5238" s="5" t="s">
        <v>254</v>
      </c>
      <c r="D5238" s="4" t="s">
        <v>16</v>
      </c>
      <c r="E5238" s="4" t="s">
        <v>2339</v>
      </c>
      <c r="F5238" s="4" t="s">
        <v>406</v>
      </c>
      <c r="G5238" s="4" t="s">
        <v>2340</v>
      </c>
      <c r="H5238" s="12" t="n">
        <v>1</v>
      </c>
      <c r="I5238" s="4" t="s">
        <v>408</v>
      </c>
      <c r="J5238" s="4" t="s">
        <v>416</v>
      </c>
      <c r="K5238" s="13" t="n">
        <v>8500</v>
      </c>
      <c r="L5238" s="6" t="n">
        <f aca="false">H5238*K5238</f>
        <v>8500</v>
      </c>
      <c r="M5238" s="14" t="s">
        <v>410</v>
      </c>
    </row>
    <row r="5239" customFormat="false" ht="15" hidden="false" customHeight="false" outlineLevel="0" collapsed="false">
      <c r="A5239" s="4" t="s">
        <v>246</v>
      </c>
      <c r="B5239" s="5" t="s">
        <v>253</v>
      </c>
      <c r="C5239" s="5" t="s">
        <v>254</v>
      </c>
      <c r="D5239" s="4" t="s">
        <v>16</v>
      </c>
      <c r="E5239" s="4" t="s">
        <v>2257</v>
      </c>
      <c r="F5239" s="4" t="s">
        <v>406</v>
      </c>
      <c r="G5239" s="4" t="s">
        <v>2258</v>
      </c>
      <c r="H5239" s="12" t="n">
        <v>1</v>
      </c>
      <c r="I5239" s="4" t="s">
        <v>408</v>
      </c>
      <c r="J5239" s="4" t="s">
        <v>409</v>
      </c>
      <c r="K5239" s="13" t="n">
        <v>6500</v>
      </c>
      <c r="L5239" s="6" t="n">
        <f aca="false">H5239*K5239</f>
        <v>6500</v>
      </c>
      <c r="M5239" s="14" t="s">
        <v>410</v>
      </c>
    </row>
    <row r="5240" customFormat="false" ht="15" hidden="false" customHeight="false" outlineLevel="0" collapsed="false">
      <c r="A5240" s="4" t="s">
        <v>246</v>
      </c>
      <c r="B5240" s="5" t="s">
        <v>253</v>
      </c>
      <c r="C5240" s="5" t="s">
        <v>254</v>
      </c>
      <c r="D5240" s="4" t="s">
        <v>16</v>
      </c>
      <c r="E5240" s="4" t="s">
        <v>2259</v>
      </c>
      <c r="F5240" s="4" t="s">
        <v>406</v>
      </c>
      <c r="G5240" s="4" t="s">
        <v>2260</v>
      </c>
      <c r="H5240" s="12" t="n">
        <v>1</v>
      </c>
      <c r="I5240" s="4" t="s">
        <v>408</v>
      </c>
      <c r="J5240" s="4" t="s">
        <v>409</v>
      </c>
      <c r="K5240" s="13" t="n">
        <v>85000</v>
      </c>
      <c r="L5240" s="6" t="n">
        <f aca="false">H5240*K5240</f>
        <v>85000</v>
      </c>
      <c r="M5240" s="14" t="s">
        <v>410</v>
      </c>
    </row>
    <row r="5241" customFormat="false" ht="15" hidden="false" customHeight="false" outlineLevel="0" collapsed="false">
      <c r="A5241" s="4" t="s">
        <v>246</v>
      </c>
      <c r="B5241" s="5" t="s">
        <v>253</v>
      </c>
      <c r="C5241" s="5" t="s">
        <v>254</v>
      </c>
      <c r="D5241" s="4" t="s">
        <v>16</v>
      </c>
      <c r="E5241" s="4" t="s">
        <v>2261</v>
      </c>
      <c r="F5241" s="4" t="s">
        <v>406</v>
      </c>
      <c r="G5241" s="4" t="s">
        <v>2262</v>
      </c>
      <c r="H5241" s="12" t="n">
        <v>1</v>
      </c>
      <c r="I5241" s="4" t="s">
        <v>408</v>
      </c>
      <c r="J5241" s="4" t="s">
        <v>409</v>
      </c>
      <c r="K5241" s="13" t="n">
        <v>18000</v>
      </c>
      <c r="L5241" s="6" t="n">
        <f aca="false">H5241*K5241</f>
        <v>18000</v>
      </c>
      <c r="M5241" s="14" t="s">
        <v>410</v>
      </c>
    </row>
    <row r="5242" customFormat="false" ht="15" hidden="false" customHeight="false" outlineLevel="0" collapsed="false">
      <c r="A5242" s="4" t="s">
        <v>246</v>
      </c>
      <c r="B5242" s="5" t="s">
        <v>253</v>
      </c>
      <c r="C5242" s="5" t="s">
        <v>254</v>
      </c>
      <c r="D5242" s="4" t="s">
        <v>16</v>
      </c>
      <c r="E5242" s="4" t="s">
        <v>2263</v>
      </c>
      <c r="F5242" s="4" t="s">
        <v>406</v>
      </c>
      <c r="G5242" s="4" t="s">
        <v>2264</v>
      </c>
      <c r="H5242" s="12" t="n">
        <v>1</v>
      </c>
      <c r="I5242" s="4" t="s">
        <v>408</v>
      </c>
      <c r="J5242" s="4" t="s">
        <v>409</v>
      </c>
      <c r="K5242" s="13" t="n">
        <v>25000</v>
      </c>
      <c r="L5242" s="6" t="n">
        <f aca="false">H5242*K5242</f>
        <v>25000</v>
      </c>
      <c r="M5242" s="4" t="s">
        <v>371</v>
      </c>
    </row>
    <row r="5243" customFormat="false" ht="15" hidden="false" customHeight="false" outlineLevel="0" collapsed="false">
      <c r="A5243" s="4" t="s">
        <v>246</v>
      </c>
      <c r="B5243" s="5" t="s">
        <v>253</v>
      </c>
      <c r="C5243" s="5" t="s">
        <v>254</v>
      </c>
      <c r="D5243" s="4" t="s">
        <v>16</v>
      </c>
      <c r="E5243" s="4" t="s">
        <v>5935</v>
      </c>
      <c r="F5243" s="4" t="s">
        <v>406</v>
      </c>
      <c r="G5243" s="4" t="s">
        <v>5936</v>
      </c>
      <c r="H5243" s="12" t="n">
        <v>1</v>
      </c>
      <c r="I5243" s="4" t="s">
        <v>408</v>
      </c>
      <c r="J5243" s="4" t="s">
        <v>416</v>
      </c>
      <c r="K5243" s="13" t="n">
        <v>18000</v>
      </c>
      <c r="L5243" s="6" t="n">
        <f aca="false">H5243*K5243</f>
        <v>18000</v>
      </c>
      <c r="M5243" s="4" t="s">
        <v>371</v>
      </c>
    </row>
    <row r="5244" customFormat="false" ht="15" hidden="false" customHeight="false" outlineLevel="0" collapsed="false">
      <c r="A5244" s="4" t="s">
        <v>246</v>
      </c>
      <c r="B5244" s="5" t="s">
        <v>253</v>
      </c>
      <c r="C5244" s="5" t="s">
        <v>254</v>
      </c>
      <c r="D5244" s="4" t="s">
        <v>16</v>
      </c>
      <c r="E5244" s="4" t="s">
        <v>5911</v>
      </c>
      <c r="F5244" s="4" t="s">
        <v>406</v>
      </c>
      <c r="G5244" s="4" t="s">
        <v>5912</v>
      </c>
      <c r="H5244" s="12" t="n">
        <v>1</v>
      </c>
      <c r="I5244" s="4" t="s">
        <v>408</v>
      </c>
      <c r="J5244" s="4" t="s">
        <v>543</v>
      </c>
      <c r="K5244" s="13" t="n">
        <v>850000</v>
      </c>
      <c r="L5244" s="6" t="n">
        <f aca="false">H5244*K5244</f>
        <v>850000</v>
      </c>
      <c r="M5244" s="4" t="s">
        <v>371</v>
      </c>
    </row>
    <row r="5245" customFormat="false" ht="15" hidden="false" customHeight="false" outlineLevel="0" collapsed="false">
      <c r="A5245" s="4" t="s">
        <v>246</v>
      </c>
      <c r="B5245" s="5" t="s">
        <v>253</v>
      </c>
      <c r="C5245" s="5" t="s">
        <v>254</v>
      </c>
      <c r="D5245" s="4" t="s">
        <v>16</v>
      </c>
      <c r="E5245" s="4" t="s">
        <v>5937</v>
      </c>
      <c r="F5245" s="4" t="s">
        <v>406</v>
      </c>
      <c r="G5245" s="4" t="s">
        <v>5938</v>
      </c>
      <c r="H5245" s="12" t="n">
        <v>1</v>
      </c>
      <c r="I5245" s="4" t="s">
        <v>408</v>
      </c>
      <c r="J5245" s="4" t="s">
        <v>409</v>
      </c>
      <c r="K5245" s="13" t="n">
        <v>18000</v>
      </c>
      <c r="L5245" s="6" t="n">
        <f aca="false">H5245*K5245</f>
        <v>18000</v>
      </c>
      <c r="M5245" s="4" t="s">
        <v>371</v>
      </c>
    </row>
    <row r="5246" customFormat="false" ht="15" hidden="false" customHeight="false" outlineLevel="0" collapsed="false">
      <c r="A5246" s="4" t="s">
        <v>246</v>
      </c>
      <c r="B5246" s="5" t="s">
        <v>253</v>
      </c>
      <c r="C5246" s="5" t="s">
        <v>254</v>
      </c>
      <c r="D5246" s="4" t="s">
        <v>16</v>
      </c>
      <c r="E5246" s="4" t="s">
        <v>5923</v>
      </c>
      <c r="F5246" s="4" t="s">
        <v>406</v>
      </c>
      <c r="G5246" s="4" t="s">
        <v>5924</v>
      </c>
      <c r="H5246" s="12" t="n">
        <v>1</v>
      </c>
      <c r="I5246" s="4" t="s">
        <v>408</v>
      </c>
      <c r="J5246" s="4" t="s">
        <v>409</v>
      </c>
      <c r="K5246" s="13" t="n">
        <v>85000</v>
      </c>
      <c r="L5246" s="6" t="n">
        <f aca="false">H5246*K5246</f>
        <v>85000</v>
      </c>
      <c r="M5246" s="14" t="s">
        <v>410</v>
      </c>
    </row>
    <row r="5247" customFormat="false" ht="15" hidden="false" customHeight="false" outlineLevel="0" collapsed="false">
      <c r="A5247" s="4" t="s">
        <v>246</v>
      </c>
      <c r="B5247" s="5" t="s">
        <v>253</v>
      </c>
      <c r="C5247" s="5" t="s">
        <v>254</v>
      </c>
      <c r="D5247" s="4" t="s">
        <v>16</v>
      </c>
      <c r="E5247" s="4" t="s">
        <v>5925</v>
      </c>
      <c r="F5247" s="4" t="s">
        <v>406</v>
      </c>
      <c r="G5247" s="4" t="s">
        <v>5926</v>
      </c>
      <c r="H5247" s="12" t="n">
        <v>1</v>
      </c>
      <c r="I5247" s="4" t="s">
        <v>408</v>
      </c>
      <c r="J5247" s="4" t="s">
        <v>409</v>
      </c>
      <c r="K5247" s="13" t="n">
        <v>850000</v>
      </c>
      <c r="L5247" s="6" t="n">
        <f aca="false">H5247*K5247</f>
        <v>850000</v>
      </c>
      <c r="M5247" s="4" t="s">
        <v>371</v>
      </c>
    </row>
    <row r="5248" customFormat="false" ht="15" hidden="false" customHeight="false" outlineLevel="0" collapsed="false">
      <c r="A5248" s="4" t="s">
        <v>246</v>
      </c>
      <c r="B5248" s="5" t="s">
        <v>253</v>
      </c>
      <c r="C5248" s="5" t="s">
        <v>254</v>
      </c>
      <c r="D5248" s="4" t="s">
        <v>16</v>
      </c>
      <c r="E5248" s="4" t="s">
        <v>5939</v>
      </c>
      <c r="F5248" s="4" t="s">
        <v>470</v>
      </c>
      <c r="G5248" s="4" t="s">
        <v>5940</v>
      </c>
      <c r="H5248" s="12" t="n">
        <v>1</v>
      </c>
      <c r="I5248" s="4" t="s">
        <v>408</v>
      </c>
      <c r="J5248" s="4" t="s">
        <v>409</v>
      </c>
      <c r="K5248" s="13" t="n">
        <v>3500</v>
      </c>
      <c r="L5248" s="6" t="n">
        <f aca="false">H5248*K5248</f>
        <v>3500</v>
      </c>
      <c r="M5248" s="4" t="s">
        <v>371</v>
      </c>
    </row>
    <row r="5249" customFormat="false" ht="15" hidden="false" customHeight="false" outlineLevel="0" collapsed="false">
      <c r="A5249" s="4" t="s">
        <v>246</v>
      </c>
      <c r="B5249" s="5" t="s">
        <v>253</v>
      </c>
      <c r="C5249" s="5" t="s">
        <v>254</v>
      </c>
      <c r="D5249" s="4" t="s">
        <v>16</v>
      </c>
      <c r="E5249" s="4" t="s">
        <v>5929</v>
      </c>
      <c r="F5249" s="4" t="s">
        <v>470</v>
      </c>
      <c r="G5249" s="4" t="s">
        <v>5930</v>
      </c>
      <c r="H5249" s="12" t="n">
        <v>1</v>
      </c>
      <c r="I5249" s="4" t="s">
        <v>408</v>
      </c>
      <c r="J5249" s="4" t="s">
        <v>416</v>
      </c>
      <c r="K5249" s="13" t="n">
        <v>18000</v>
      </c>
      <c r="L5249" s="6" t="n">
        <f aca="false">H5249*K5249</f>
        <v>18000</v>
      </c>
      <c r="M5249" s="4" t="s">
        <v>371</v>
      </c>
    </row>
    <row r="5250" customFormat="false" ht="15" hidden="false" customHeight="false" outlineLevel="0" collapsed="false">
      <c r="A5250" s="4" t="s">
        <v>246</v>
      </c>
      <c r="B5250" s="5" t="s">
        <v>253</v>
      </c>
      <c r="C5250" s="5" t="s">
        <v>254</v>
      </c>
      <c r="D5250" s="4" t="s">
        <v>16</v>
      </c>
      <c r="E5250" s="4" t="s">
        <v>2271</v>
      </c>
      <c r="F5250" s="4" t="s">
        <v>470</v>
      </c>
      <c r="G5250" s="4" t="s">
        <v>2272</v>
      </c>
      <c r="H5250" s="12" t="n">
        <v>1</v>
      </c>
      <c r="I5250" s="4" t="s">
        <v>408</v>
      </c>
      <c r="J5250" s="4" t="s">
        <v>409</v>
      </c>
      <c r="K5250" s="13" t="n">
        <v>4500</v>
      </c>
      <c r="L5250" s="6" t="n">
        <f aca="false">H5250*K5250</f>
        <v>4500</v>
      </c>
      <c r="M5250" s="14" t="s">
        <v>410</v>
      </c>
    </row>
    <row r="5251" customFormat="false" ht="15" hidden="false" customHeight="false" outlineLevel="0" collapsed="false">
      <c r="A5251" s="4" t="s">
        <v>246</v>
      </c>
      <c r="B5251" s="5" t="s">
        <v>253</v>
      </c>
      <c r="C5251" s="5" t="s">
        <v>254</v>
      </c>
      <c r="D5251" s="4" t="s">
        <v>16</v>
      </c>
      <c r="E5251" s="4" t="s">
        <v>2273</v>
      </c>
      <c r="F5251" s="4" t="s">
        <v>470</v>
      </c>
      <c r="G5251" s="4" t="s">
        <v>2274</v>
      </c>
      <c r="H5251" s="12" t="n">
        <v>1</v>
      </c>
      <c r="I5251" s="4" t="s">
        <v>408</v>
      </c>
      <c r="J5251" s="4" t="s">
        <v>409</v>
      </c>
      <c r="K5251" s="13" t="n">
        <v>25000</v>
      </c>
      <c r="L5251" s="6" t="n">
        <f aca="false">H5251*K5251</f>
        <v>25000</v>
      </c>
      <c r="M5251" s="14" t="s">
        <v>410</v>
      </c>
    </row>
    <row r="5252" customFormat="false" ht="15" hidden="false" customHeight="false" outlineLevel="0" collapsed="false">
      <c r="A5252" s="4" t="s">
        <v>246</v>
      </c>
      <c r="B5252" s="5" t="s">
        <v>253</v>
      </c>
      <c r="C5252" s="5" t="s">
        <v>254</v>
      </c>
      <c r="D5252" s="4" t="s">
        <v>16</v>
      </c>
      <c r="E5252" s="4" t="s">
        <v>2163</v>
      </c>
      <c r="F5252" s="4" t="s">
        <v>470</v>
      </c>
      <c r="G5252" s="4" t="s">
        <v>2164</v>
      </c>
      <c r="H5252" s="12" t="n">
        <v>1</v>
      </c>
      <c r="I5252" s="4" t="s">
        <v>408</v>
      </c>
      <c r="J5252" s="4" t="s">
        <v>409</v>
      </c>
      <c r="K5252" s="13" t="n">
        <v>35000</v>
      </c>
      <c r="L5252" s="6" t="n">
        <f aca="false">H5252*K5252</f>
        <v>35000</v>
      </c>
      <c r="M5252" s="14" t="s">
        <v>410</v>
      </c>
    </row>
    <row r="5253" customFormat="false" ht="15" hidden="false" customHeight="false" outlineLevel="0" collapsed="false">
      <c r="A5253" s="4" t="s">
        <v>246</v>
      </c>
      <c r="B5253" s="5" t="s">
        <v>253</v>
      </c>
      <c r="C5253" s="5" t="s">
        <v>254</v>
      </c>
      <c r="D5253" s="4" t="s">
        <v>16</v>
      </c>
      <c r="E5253" s="4" t="s">
        <v>1058</v>
      </c>
      <c r="F5253" s="4" t="s">
        <v>470</v>
      </c>
      <c r="G5253" s="4" t="s">
        <v>1059</v>
      </c>
      <c r="H5253" s="12" t="n">
        <v>1</v>
      </c>
      <c r="I5253" s="4" t="s">
        <v>408</v>
      </c>
      <c r="J5253" s="4" t="s">
        <v>409</v>
      </c>
      <c r="K5253" s="13" t="n">
        <v>45000</v>
      </c>
      <c r="L5253" s="6" t="n">
        <f aca="false">H5253*K5253</f>
        <v>45000</v>
      </c>
      <c r="M5253" s="14" t="s">
        <v>410</v>
      </c>
    </row>
    <row r="5254" customFormat="false" ht="15" hidden="false" customHeight="false" outlineLevel="0" collapsed="false">
      <c r="A5254" s="4" t="s">
        <v>246</v>
      </c>
      <c r="B5254" s="5" t="s">
        <v>253</v>
      </c>
      <c r="C5254" s="5" t="s">
        <v>254</v>
      </c>
      <c r="D5254" s="4" t="s">
        <v>16</v>
      </c>
      <c r="E5254" s="4" t="s">
        <v>2275</v>
      </c>
      <c r="F5254" s="4" t="s">
        <v>470</v>
      </c>
      <c r="G5254" s="4" t="s">
        <v>2276</v>
      </c>
      <c r="H5254" s="12" t="n">
        <v>1</v>
      </c>
      <c r="I5254" s="4" t="s">
        <v>408</v>
      </c>
      <c r="J5254" s="4" t="s">
        <v>409</v>
      </c>
      <c r="K5254" s="13" t="n">
        <v>8500</v>
      </c>
      <c r="L5254" s="6" t="n">
        <f aca="false">H5254*K5254</f>
        <v>8500</v>
      </c>
      <c r="M5254" s="4" t="s">
        <v>371</v>
      </c>
    </row>
    <row r="5255" customFormat="false" ht="15" hidden="false" customHeight="false" outlineLevel="0" collapsed="false">
      <c r="A5255" s="4" t="s">
        <v>246</v>
      </c>
      <c r="B5255" s="5" t="s">
        <v>253</v>
      </c>
      <c r="C5255" s="5" t="s">
        <v>254</v>
      </c>
      <c r="D5255" s="4" t="s">
        <v>16</v>
      </c>
      <c r="E5255" s="4" t="s">
        <v>5913</v>
      </c>
      <c r="F5255" s="4" t="s">
        <v>470</v>
      </c>
      <c r="G5255" s="4" t="s">
        <v>5914</v>
      </c>
      <c r="H5255" s="12" t="n">
        <v>1</v>
      </c>
      <c r="I5255" s="4" t="s">
        <v>408</v>
      </c>
      <c r="J5255" s="4" t="s">
        <v>416</v>
      </c>
      <c r="K5255" s="13" t="n">
        <v>4500</v>
      </c>
      <c r="L5255" s="6" t="n">
        <f aca="false">H5255*K5255</f>
        <v>4500</v>
      </c>
      <c r="M5255" s="4" t="s">
        <v>371</v>
      </c>
    </row>
    <row r="5256" customFormat="false" ht="15" hidden="false" customHeight="false" outlineLevel="0" collapsed="false">
      <c r="A5256" s="4" t="s">
        <v>246</v>
      </c>
      <c r="B5256" s="5" t="s">
        <v>253</v>
      </c>
      <c r="C5256" s="5" t="s">
        <v>254</v>
      </c>
      <c r="D5256" s="4" t="s">
        <v>16</v>
      </c>
      <c r="E5256" s="4" t="s">
        <v>2288</v>
      </c>
      <c r="F5256" s="4" t="s">
        <v>470</v>
      </c>
      <c r="G5256" s="4" t="s">
        <v>1452</v>
      </c>
      <c r="H5256" s="12" t="n">
        <v>1</v>
      </c>
      <c r="I5256" s="4" t="s">
        <v>408</v>
      </c>
      <c r="J5256" s="4" t="s">
        <v>413</v>
      </c>
      <c r="K5256" s="13" t="n">
        <v>450</v>
      </c>
      <c r="L5256" s="6" t="n">
        <f aca="false">H5256*K5256</f>
        <v>450</v>
      </c>
      <c r="M5256" s="4" t="s">
        <v>371</v>
      </c>
    </row>
    <row r="5257" customFormat="false" ht="15" hidden="false" customHeight="false" outlineLevel="0" collapsed="false">
      <c r="A5257" s="4" t="s">
        <v>246</v>
      </c>
      <c r="B5257" s="5" t="s">
        <v>253</v>
      </c>
      <c r="C5257" s="5" t="s">
        <v>254</v>
      </c>
      <c r="D5257" s="4" t="s">
        <v>16</v>
      </c>
      <c r="E5257" s="4" t="s">
        <v>1089</v>
      </c>
      <c r="F5257" s="4" t="s">
        <v>470</v>
      </c>
      <c r="G5257" s="4" t="s">
        <v>1090</v>
      </c>
      <c r="H5257" s="12" t="n">
        <v>1</v>
      </c>
      <c r="I5257" s="4" t="s">
        <v>408</v>
      </c>
      <c r="J5257" s="4" t="s">
        <v>409</v>
      </c>
      <c r="K5257" s="13" t="n">
        <v>3500</v>
      </c>
      <c r="L5257" s="6" t="n">
        <f aca="false">H5257*K5257</f>
        <v>3500</v>
      </c>
      <c r="M5257" s="4" t="s">
        <v>371</v>
      </c>
    </row>
    <row r="5258" customFormat="false" ht="15" hidden="false" customHeight="false" outlineLevel="0" collapsed="false">
      <c r="A5258" s="4" t="s">
        <v>246</v>
      </c>
      <c r="B5258" s="5" t="s">
        <v>253</v>
      </c>
      <c r="C5258" s="5" t="s">
        <v>254</v>
      </c>
      <c r="D5258" s="4" t="s">
        <v>16</v>
      </c>
      <c r="E5258" s="4" t="s">
        <v>2289</v>
      </c>
      <c r="F5258" s="4" t="s">
        <v>470</v>
      </c>
      <c r="G5258" s="4" t="s">
        <v>2290</v>
      </c>
      <c r="H5258" s="12" t="n">
        <v>1</v>
      </c>
      <c r="I5258" s="4" t="s">
        <v>408</v>
      </c>
      <c r="J5258" s="4" t="s">
        <v>409</v>
      </c>
      <c r="K5258" s="13" t="n">
        <v>2500</v>
      </c>
      <c r="L5258" s="6" t="n">
        <f aca="false">H5258*K5258</f>
        <v>2500</v>
      </c>
      <c r="M5258" s="4" t="s">
        <v>371</v>
      </c>
    </row>
    <row r="5259" customFormat="false" ht="15" hidden="false" customHeight="false" outlineLevel="0" collapsed="false">
      <c r="A5259" s="4" t="s">
        <v>246</v>
      </c>
      <c r="B5259" s="5" t="s">
        <v>253</v>
      </c>
      <c r="C5259" s="5" t="s">
        <v>254</v>
      </c>
      <c r="D5259" s="4" t="s">
        <v>16</v>
      </c>
      <c r="E5259" s="4" t="s">
        <v>2457</v>
      </c>
      <c r="F5259" s="4" t="s">
        <v>470</v>
      </c>
      <c r="G5259" s="4" t="s">
        <v>2458</v>
      </c>
      <c r="H5259" s="12" t="n">
        <v>1</v>
      </c>
      <c r="I5259" s="4" t="s">
        <v>408</v>
      </c>
      <c r="J5259" s="4" t="s">
        <v>416</v>
      </c>
      <c r="K5259" s="13" t="n">
        <v>4500</v>
      </c>
      <c r="L5259" s="6" t="n">
        <f aca="false">H5259*K5259</f>
        <v>4500</v>
      </c>
      <c r="M5259" s="4" t="s">
        <v>371</v>
      </c>
    </row>
    <row r="5260" customFormat="false" ht="15" hidden="false" customHeight="false" outlineLevel="0" collapsed="false">
      <c r="A5260" s="4" t="s">
        <v>246</v>
      </c>
      <c r="B5260" s="5" t="s">
        <v>253</v>
      </c>
      <c r="C5260" s="5" t="s">
        <v>254</v>
      </c>
      <c r="D5260" s="4" t="s">
        <v>16</v>
      </c>
      <c r="E5260" s="4" t="s">
        <v>2373</v>
      </c>
      <c r="F5260" s="4" t="s">
        <v>470</v>
      </c>
      <c r="G5260" s="4" t="s">
        <v>2374</v>
      </c>
      <c r="H5260" s="12" t="n">
        <v>1</v>
      </c>
      <c r="I5260" s="4" t="s">
        <v>408</v>
      </c>
      <c r="J5260" s="4" t="s">
        <v>416</v>
      </c>
      <c r="K5260" s="13" t="n">
        <v>850</v>
      </c>
      <c r="L5260" s="6" t="n">
        <f aca="false">H5260*K5260</f>
        <v>850</v>
      </c>
      <c r="M5260" s="4" t="s">
        <v>371</v>
      </c>
    </row>
    <row r="5261" customFormat="false" ht="15" hidden="false" customHeight="false" outlineLevel="0" collapsed="false">
      <c r="A5261" s="4" t="s">
        <v>246</v>
      </c>
      <c r="B5261" s="5" t="s">
        <v>253</v>
      </c>
      <c r="C5261" s="5" t="s">
        <v>254</v>
      </c>
      <c r="D5261" s="4" t="s">
        <v>16</v>
      </c>
      <c r="E5261" s="4" t="s">
        <v>2375</v>
      </c>
      <c r="F5261" s="4" t="s">
        <v>470</v>
      </c>
      <c r="G5261" s="4" t="s">
        <v>2376</v>
      </c>
      <c r="H5261" s="12" t="n">
        <v>1</v>
      </c>
      <c r="I5261" s="4" t="s">
        <v>408</v>
      </c>
      <c r="J5261" s="4" t="s">
        <v>416</v>
      </c>
      <c r="K5261" s="13" t="n">
        <v>850</v>
      </c>
      <c r="L5261" s="6" t="n">
        <f aca="false">H5261*K5261</f>
        <v>850</v>
      </c>
      <c r="M5261" s="4" t="s">
        <v>371</v>
      </c>
    </row>
    <row r="5262" customFormat="false" ht="15" hidden="false" customHeight="false" outlineLevel="0" collapsed="false">
      <c r="A5262" s="4" t="s">
        <v>246</v>
      </c>
      <c r="B5262" s="5" t="s">
        <v>253</v>
      </c>
      <c r="C5262" s="5" t="s">
        <v>254</v>
      </c>
      <c r="D5262" s="4" t="s">
        <v>16</v>
      </c>
      <c r="E5262" s="4" t="s">
        <v>5915</v>
      </c>
      <c r="F5262" s="4" t="s">
        <v>470</v>
      </c>
      <c r="G5262" s="4" t="s">
        <v>5916</v>
      </c>
      <c r="H5262" s="12" t="n">
        <v>1</v>
      </c>
      <c r="I5262" s="4" t="s">
        <v>408</v>
      </c>
      <c r="J5262" s="4" t="s">
        <v>416</v>
      </c>
      <c r="K5262" s="13" t="n">
        <v>1800</v>
      </c>
      <c r="L5262" s="6" t="n">
        <f aca="false">H5262*K5262</f>
        <v>1800</v>
      </c>
      <c r="M5262" s="4" t="s">
        <v>371</v>
      </c>
    </row>
    <row r="5263" customFormat="false" ht="15" hidden="false" customHeight="false" outlineLevel="0" collapsed="false">
      <c r="A5263" s="4" t="s">
        <v>246</v>
      </c>
      <c r="B5263" s="5" t="s">
        <v>253</v>
      </c>
      <c r="C5263" s="5" t="s">
        <v>254</v>
      </c>
      <c r="D5263" s="4" t="s">
        <v>16</v>
      </c>
      <c r="E5263" s="4" t="s">
        <v>5917</v>
      </c>
      <c r="F5263" s="4" t="s">
        <v>470</v>
      </c>
      <c r="G5263" s="4" t="s">
        <v>5918</v>
      </c>
      <c r="H5263" s="12" t="n">
        <v>1</v>
      </c>
      <c r="I5263" s="4" t="s">
        <v>408</v>
      </c>
      <c r="J5263" s="4" t="s">
        <v>416</v>
      </c>
      <c r="K5263" s="13" t="n">
        <v>850</v>
      </c>
      <c r="L5263" s="6" t="n">
        <f aca="false">H5263*K5263</f>
        <v>850</v>
      </c>
      <c r="M5263" s="4" t="s">
        <v>371</v>
      </c>
    </row>
    <row r="5264" customFormat="false" ht="15" hidden="false" customHeight="false" outlineLevel="0" collapsed="false">
      <c r="A5264" s="4" t="s">
        <v>246</v>
      </c>
      <c r="B5264" s="5" t="s">
        <v>253</v>
      </c>
      <c r="C5264" s="5" t="s">
        <v>254</v>
      </c>
      <c r="D5264" s="4" t="s">
        <v>16</v>
      </c>
      <c r="E5264" s="4" t="s">
        <v>2381</v>
      </c>
      <c r="F5264" s="4" t="s">
        <v>470</v>
      </c>
      <c r="G5264" s="4" t="s">
        <v>2382</v>
      </c>
      <c r="H5264" s="12" t="n">
        <v>1</v>
      </c>
      <c r="I5264" s="4" t="s">
        <v>408</v>
      </c>
      <c r="J5264" s="4" t="s">
        <v>416</v>
      </c>
      <c r="K5264" s="13" t="n">
        <v>850</v>
      </c>
      <c r="L5264" s="6" t="n">
        <f aca="false">H5264*K5264</f>
        <v>850</v>
      </c>
      <c r="M5264" s="4" t="s">
        <v>371</v>
      </c>
    </row>
    <row r="5265" customFormat="false" ht="15" hidden="false" customHeight="false" outlineLevel="0" collapsed="false">
      <c r="A5265" s="4" t="s">
        <v>246</v>
      </c>
      <c r="B5265" s="5" t="s">
        <v>253</v>
      </c>
      <c r="C5265" s="5" t="s">
        <v>254</v>
      </c>
      <c r="D5265" s="4" t="s">
        <v>16</v>
      </c>
      <c r="E5265" s="4" t="s">
        <v>3630</v>
      </c>
      <c r="F5265" s="4" t="s">
        <v>470</v>
      </c>
      <c r="G5265" s="4" t="s">
        <v>3631</v>
      </c>
      <c r="H5265" s="12" t="n">
        <v>1</v>
      </c>
      <c r="I5265" s="4" t="s">
        <v>408</v>
      </c>
      <c r="J5265" s="4" t="s">
        <v>416</v>
      </c>
      <c r="K5265" s="13" t="n">
        <v>850</v>
      </c>
      <c r="L5265" s="6" t="n">
        <f aca="false">H5265*K5265</f>
        <v>850</v>
      </c>
      <c r="M5265" s="4" t="s">
        <v>371</v>
      </c>
    </row>
    <row r="5266" customFormat="false" ht="15" hidden="false" customHeight="false" outlineLevel="0" collapsed="false">
      <c r="A5266" s="4" t="s">
        <v>246</v>
      </c>
      <c r="B5266" s="5" t="s">
        <v>253</v>
      </c>
      <c r="C5266" s="5" t="s">
        <v>254</v>
      </c>
      <c r="D5266" s="4" t="s">
        <v>16</v>
      </c>
      <c r="E5266" s="4" t="s">
        <v>2295</v>
      </c>
      <c r="F5266" s="4" t="s">
        <v>470</v>
      </c>
      <c r="G5266" s="4" t="s">
        <v>2296</v>
      </c>
      <c r="H5266" s="12" t="n">
        <v>1</v>
      </c>
      <c r="I5266" s="4" t="s">
        <v>408</v>
      </c>
      <c r="J5266" s="4" t="s">
        <v>416</v>
      </c>
      <c r="K5266" s="13" t="n">
        <v>850</v>
      </c>
      <c r="L5266" s="6" t="n">
        <f aca="false">H5266*K5266</f>
        <v>850</v>
      </c>
      <c r="M5266" s="4" t="s">
        <v>371</v>
      </c>
    </row>
    <row r="5267" customFormat="false" ht="15" hidden="false" customHeight="false" outlineLevel="0" collapsed="false">
      <c r="A5267" s="4" t="s">
        <v>246</v>
      </c>
      <c r="B5267" s="5" t="s">
        <v>253</v>
      </c>
      <c r="C5267" s="5" t="s">
        <v>254</v>
      </c>
      <c r="D5267" s="4" t="s">
        <v>16</v>
      </c>
      <c r="E5267" s="4" t="s">
        <v>2297</v>
      </c>
      <c r="F5267" s="4" t="s">
        <v>470</v>
      </c>
      <c r="G5267" s="4" t="s">
        <v>2298</v>
      </c>
      <c r="H5267" s="12" t="n">
        <v>1</v>
      </c>
      <c r="I5267" s="4" t="s">
        <v>408</v>
      </c>
      <c r="J5267" s="4" t="s">
        <v>416</v>
      </c>
      <c r="K5267" s="13" t="n">
        <v>850</v>
      </c>
      <c r="L5267" s="6" t="n">
        <f aca="false">H5267*K5267</f>
        <v>850</v>
      </c>
      <c r="M5267" s="4" t="s">
        <v>371</v>
      </c>
    </row>
    <row r="5268" customFormat="false" ht="15" hidden="false" customHeight="false" outlineLevel="0" collapsed="false">
      <c r="A5268" s="4" t="s">
        <v>246</v>
      </c>
      <c r="B5268" s="5" t="s">
        <v>253</v>
      </c>
      <c r="C5268" s="5" t="s">
        <v>254</v>
      </c>
      <c r="D5268" s="4" t="s">
        <v>16</v>
      </c>
      <c r="E5268" s="4" t="s">
        <v>2299</v>
      </c>
      <c r="F5268" s="4" t="s">
        <v>470</v>
      </c>
      <c r="G5268" s="4" t="s">
        <v>2300</v>
      </c>
      <c r="H5268" s="12" t="n">
        <v>1</v>
      </c>
      <c r="I5268" s="4" t="s">
        <v>408</v>
      </c>
      <c r="J5268" s="4" t="s">
        <v>416</v>
      </c>
      <c r="K5268" s="13" t="n">
        <v>850</v>
      </c>
      <c r="L5268" s="6" t="n">
        <f aca="false">H5268*K5268</f>
        <v>850</v>
      </c>
      <c r="M5268" s="4" t="s">
        <v>371</v>
      </c>
    </row>
    <row r="5269" customFormat="false" ht="15" hidden="false" customHeight="false" outlineLevel="0" collapsed="false">
      <c r="A5269" s="4" t="s">
        <v>246</v>
      </c>
      <c r="B5269" s="5" t="s">
        <v>253</v>
      </c>
      <c r="C5269" s="5" t="s">
        <v>254</v>
      </c>
      <c r="D5269" s="4" t="s">
        <v>16</v>
      </c>
      <c r="E5269" s="4" t="s">
        <v>2301</v>
      </c>
      <c r="F5269" s="4" t="s">
        <v>470</v>
      </c>
      <c r="G5269" s="4" t="s">
        <v>2302</v>
      </c>
      <c r="H5269" s="12" t="n">
        <v>1</v>
      </c>
      <c r="I5269" s="4" t="s">
        <v>408</v>
      </c>
      <c r="J5269" s="4" t="s">
        <v>409</v>
      </c>
      <c r="K5269" s="13" t="n">
        <v>8500</v>
      </c>
      <c r="L5269" s="6" t="n">
        <f aca="false">H5269*K5269</f>
        <v>8500</v>
      </c>
      <c r="M5269" s="4" t="s">
        <v>371</v>
      </c>
    </row>
    <row r="5270" customFormat="false" ht="15" hidden="false" customHeight="false" outlineLevel="0" collapsed="false">
      <c r="A5270" s="4" t="s">
        <v>246</v>
      </c>
      <c r="B5270" s="5" t="s">
        <v>253</v>
      </c>
      <c r="C5270" s="5" t="s">
        <v>254</v>
      </c>
      <c r="D5270" s="4" t="s">
        <v>16</v>
      </c>
      <c r="E5270" s="4" t="s">
        <v>2303</v>
      </c>
      <c r="F5270" s="4" t="s">
        <v>470</v>
      </c>
      <c r="G5270" s="4" t="s">
        <v>2304</v>
      </c>
      <c r="H5270" s="12" t="n">
        <v>1</v>
      </c>
      <c r="I5270" s="4" t="s">
        <v>408</v>
      </c>
      <c r="J5270" s="4" t="s">
        <v>409</v>
      </c>
      <c r="K5270" s="13" t="n">
        <v>3500</v>
      </c>
      <c r="L5270" s="6" t="n">
        <f aca="false">H5270*K5270</f>
        <v>3500</v>
      </c>
      <c r="M5270" s="4" t="s">
        <v>371</v>
      </c>
    </row>
    <row r="5271" customFormat="false" ht="15" hidden="false" customHeight="false" outlineLevel="0" collapsed="false">
      <c r="A5271" s="4" t="s">
        <v>246</v>
      </c>
      <c r="B5271" s="5" t="s">
        <v>253</v>
      </c>
      <c r="C5271" s="5" t="s">
        <v>254</v>
      </c>
      <c r="D5271" s="4" t="s">
        <v>16</v>
      </c>
      <c r="E5271" s="4" t="s">
        <v>2305</v>
      </c>
      <c r="F5271" s="4" t="s">
        <v>470</v>
      </c>
      <c r="G5271" s="4" t="s">
        <v>2306</v>
      </c>
      <c r="H5271" s="12" t="n">
        <v>1</v>
      </c>
      <c r="I5271" s="4" t="s">
        <v>408</v>
      </c>
      <c r="J5271" s="4" t="s">
        <v>409</v>
      </c>
      <c r="K5271" s="13" t="n">
        <v>850</v>
      </c>
      <c r="L5271" s="6" t="n">
        <f aca="false">H5271*K5271</f>
        <v>850</v>
      </c>
      <c r="M5271" s="4" t="s">
        <v>371</v>
      </c>
    </row>
    <row r="5272" customFormat="false" ht="15" hidden="false" customHeight="false" outlineLevel="0" collapsed="false">
      <c r="A5272" s="4" t="s">
        <v>246</v>
      </c>
      <c r="B5272" s="5" t="s">
        <v>253</v>
      </c>
      <c r="C5272" s="5" t="s">
        <v>254</v>
      </c>
      <c r="D5272" s="4" t="s">
        <v>16</v>
      </c>
      <c r="E5272" s="4" t="s">
        <v>2323</v>
      </c>
      <c r="F5272" s="4" t="s">
        <v>488</v>
      </c>
      <c r="G5272" s="4" t="s">
        <v>2324</v>
      </c>
      <c r="H5272" s="12" t="n">
        <v>1</v>
      </c>
      <c r="I5272" s="4" t="s">
        <v>408</v>
      </c>
      <c r="J5272" s="4" t="s">
        <v>807</v>
      </c>
      <c r="K5272" s="13" t="n">
        <v>450</v>
      </c>
      <c r="L5272" s="6" t="n">
        <f aca="false">H5272*K5272</f>
        <v>450</v>
      </c>
      <c r="M5272" s="4" t="s">
        <v>371</v>
      </c>
    </row>
    <row r="5273" customFormat="false" ht="15" hidden="false" customHeight="false" outlineLevel="0" collapsed="false">
      <c r="A5273" s="4" t="s">
        <v>246</v>
      </c>
      <c r="B5273" s="5" t="s">
        <v>253</v>
      </c>
      <c r="C5273" s="5" t="s">
        <v>254</v>
      </c>
      <c r="D5273" s="4" t="s">
        <v>16</v>
      </c>
      <c r="E5273" s="4" t="s">
        <v>2325</v>
      </c>
      <c r="F5273" s="4" t="s">
        <v>488</v>
      </c>
      <c r="G5273" s="4" t="s">
        <v>2326</v>
      </c>
      <c r="H5273" s="12" t="n">
        <v>1</v>
      </c>
      <c r="I5273" s="4" t="s">
        <v>408</v>
      </c>
      <c r="J5273" s="4" t="s">
        <v>416</v>
      </c>
      <c r="K5273" s="13" t="n">
        <v>650</v>
      </c>
      <c r="L5273" s="6" t="n">
        <f aca="false">H5273*K5273</f>
        <v>650</v>
      </c>
      <c r="M5273" s="4" t="s">
        <v>371</v>
      </c>
    </row>
    <row r="5274" customFormat="false" ht="15" hidden="false" customHeight="false" outlineLevel="0" collapsed="false">
      <c r="A5274" s="4" t="s">
        <v>246</v>
      </c>
      <c r="B5274" s="5" t="s">
        <v>253</v>
      </c>
      <c r="C5274" s="5" t="s">
        <v>254</v>
      </c>
      <c r="D5274" s="4" t="s">
        <v>16</v>
      </c>
      <c r="E5274" s="4" t="s">
        <v>2327</v>
      </c>
      <c r="F5274" s="4" t="s">
        <v>488</v>
      </c>
      <c r="G5274" s="4" t="s">
        <v>2328</v>
      </c>
      <c r="H5274" s="12" t="n">
        <v>1</v>
      </c>
      <c r="I5274" s="4" t="s">
        <v>408</v>
      </c>
      <c r="J5274" s="4" t="s">
        <v>506</v>
      </c>
      <c r="K5274" s="13" t="n">
        <v>450</v>
      </c>
      <c r="L5274" s="6" t="n">
        <f aca="false">H5274*K5274</f>
        <v>450</v>
      </c>
      <c r="M5274" s="4" t="s">
        <v>371</v>
      </c>
    </row>
    <row r="5275" customFormat="false" ht="15" hidden="false" customHeight="false" outlineLevel="0" collapsed="false">
      <c r="A5275" s="4" t="s">
        <v>246</v>
      </c>
      <c r="B5275" s="5" t="s">
        <v>253</v>
      </c>
      <c r="C5275" s="5" t="s">
        <v>254</v>
      </c>
      <c r="D5275" s="4" t="s">
        <v>16</v>
      </c>
      <c r="E5275" s="4" t="s">
        <v>2337</v>
      </c>
      <c r="F5275" s="4" t="s">
        <v>470</v>
      </c>
      <c r="G5275" s="4" t="s">
        <v>2338</v>
      </c>
      <c r="H5275" s="12" t="n">
        <v>1</v>
      </c>
      <c r="I5275" s="4" t="s">
        <v>408</v>
      </c>
      <c r="J5275" s="4" t="s">
        <v>416</v>
      </c>
      <c r="K5275" s="13" t="n">
        <v>8500</v>
      </c>
      <c r="L5275" s="6" t="n">
        <f aca="false">H5275*K5275</f>
        <v>8500</v>
      </c>
      <c r="M5275" s="4" t="s">
        <v>371</v>
      </c>
    </row>
    <row r="5276" customFormat="false" ht="15" hidden="false" customHeight="false" outlineLevel="0" collapsed="false">
      <c r="A5276" s="4" t="s">
        <v>246</v>
      </c>
      <c r="B5276" s="5" t="s">
        <v>253</v>
      </c>
      <c r="C5276" s="5" t="s">
        <v>254</v>
      </c>
      <c r="D5276" s="4" t="s">
        <v>16</v>
      </c>
      <c r="E5276" s="4" t="s">
        <v>2341</v>
      </c>
      <c r="F5276" s="4" t="s">
        <v>470</v>
      </c>
      <c r="G5276" s="4" t="s">
        <v>2342</v>
      </c>
      <c r="H5276" s="12" t="n">
        <v>1</v>
      </c>
      <c r="I5276" s="4" t="s">
        <v>408</v>
      </c>
      <c r="J5276" s="4" t="s">
        <v>543</v>
      </c>
      <c r="K5276" s="13" t="n">
        <v>5000</v>
      </c>
      <c r="L5276" s="6" t="n">
        <f aca="false">H5276*K5276</f>
        <v>5000</v>
      </c>
      <c r="M5276" s="4" t="s">
        <v>371</v>
      </c>
    </row>
    <row r="5277" customFormat="false" ht="15" hidden="false" customHeight="false" outlineLevel="0" collapsed="false">
      <c r="A5277" s="4" t="s">
        <v>246</v>
      </c>
      <c r="B5277" s="5" t="s">
        <v>259</v>
      </c>
      <c r="C5277" s="5" t="s">
        <v>260</v>
      </c>
      <c r="D5277" s="4" t="s">
        <v>16</v>
      </c>
      <c r="E5277" s="4" t="s">
        <v>2201</v>
      </c>
      <c r="F5277" s="4" t="s">
        <v>406</v>
      </c>
      <c r="G5277" s="4" t="s">
        <v>2202</v>
      </c>
      <c r="H5277" s="12" t="n">
        <v>1</v>
      </c>
      <c r="I5277" s="4" t="s">
        <v>474</v>
      </c>
      <c r="J5277" s="4" t="s">
        <v>416</v>
      </c>
      <c r="K5277" s="13" t="n">
        <v>1800</v>
      </c>
      <c r="L5277" s="6" t="n">
        <f aca="false">H5277*K5277</f>
        <v>1800</v>
      </c>
      <c r="M5277" s="14" t="s">
        <v>410</v>
      </c>
    </row>
    <row r="5278" customFormat="false" ht="15" hidden="false" customHeight="false" outlineLevel="0" collapsed="false">
      <c r="A5278" s="4" t="s">
        <v>246</v>
      </c>
      <c r="B5278" s="5" t="s">
        <v>259</v>
      </c>
      <c r="C5278" s="5" t="s">
        <v>260</v>
      </c>
      <c r="D5278" s="4" t="s">
        <v>16</v>
      </c>
      <c r="E5278" s="4" t="s">
        <v>2203</v>
      </c>
      <c r="F5278" s="4" t="s">
        <v>406</v>
      </c>
      <c r="G5278" s="4" t="s">
        <v>2204</v>
      </c>
      <c r="H5278" s="12" t="n">
        <v>2</v>
      </c>
      <c r="I5278" s="4" t="s">
        <v>474</v>
      </c>
      <c r="J5278" s="4" t="s">
        <v>416</v>
      </c>
      <c r="K5278" s="13" t="n">
        <v>650</v>
      </c>
      <c r="L5278" s="6" t="n">
        <f aca="false">H5278*K5278</f>
        <v>1300</v>
      </c>
      <c r="M5278" s="14" t="s">
        <v>410</v>
      </c>
    </row>
    <row r="5279" customFormat="false" ht="15" hidden="false" customHeight="false" outlineLevel="0" collapsed="false">
      <c r="A5279" s="4" t="s">
        <v>246</v>
      </c>
      <c r="B5279" s="5" t="s">
        <v>259</v>
      </c>
      <c r="C5279" s="5" t="s">
        <v>260</v>
      </c>
      <c r="D5279" s="4" t="s">
        <v>16</v>
      </c>
      <c r="E5279" s="4" t="s">
        <v>2205</v>
      </c>
      <c r="F5279" s="4" t="s">
        <v>406</v>
      </c>
      <c r="G5279" s="4" t="s">
        <v>2206</v>
      </c>
      <c r="H5279" s="12" t="n">
        <v>2</v>
      </c>
      <c r="I5279" s="4" t="s">
        <v>474</v>
      </c>
      <c r="J5279" s="4" t="s">
        <v>416</v>
      </c>
      <c r="K5279" s="13" t="n">
        <v>450</v>
      </c>
      <c r="L5279" s="6" t="n">
        <f aca="false">H5279*K5279</f>
        <v>900</v>
      </c>
      <c r="M5279" s="14" t="s">
        <v>410</v>
      </c>
    </row>
    <row r="5280" customFormat="false" ht="15" hidden="false" customHeight="false" outlineLevel="0" collapsed="false">
      <c r="A5280" s="4" t="s">
        <v>246</v>
      </c>
      <c r="B5280" s="5" t="s">
        <v>259</v>
      </c>
      <c r="C5280" s="5" t="s">
        <v>260</v>
      </c>
      <c r="D5280" s="4" t="s">
        <v>16</v>
      </c>
      <c r="E5280" s="4" t="s">
        <v>2343</v>
      </c>
      <c r="F5280" s="4" t="s">
        <v>406</v>
      </c>
      <c r="G5280" s="4" t="s">
        <v>2344</v>
      </c>
      <c r="H5280" s="12" t="n">
        <v>10</v>
      </c>
      <c r="I5280" s="4" t="s">
        <v>474</v>
      </c>
      <c r="J5280" s="4" t="s">
        <v>409</v>
      </c>
      <c r="K5280" s="13" t="n">
        <v>450</v>
      </c>
      <c r="L5280" s="6" t="n">
        <f aca="false">H5280*K5280</f>
        <v>4500</v>
      </c>
      <c r="M5280" s="4" t="s">
        <v>371</v>
      </c>
    </row>
    <row r="5281" customFormat="false" ht="15" hidden="false" customHeight="false" outlineLevel="0" collapsed="false">
      <c r="A5281" s="4" t="s">
        <v>246</v>
      </c>
      <c r="B5281" s="5" t="s">
        <v>259</v>
      </c>
      <c r="C5281" s="5" t="s">
        <v>260</v>
      </c>
      <c r="D5281" s="4" t="s">
        <v>16</v>
      </c>
      <c r="E5281" s="4" t="s">
        <v>2209</v>
      </c>
      <c r="F5281" s="4" t="s">
        <v>406</v>
      </c>
      <c r="G5281" s="4" t="s">
        <v>2210</v>
      </c>
      <c r="H5281" s="12" t="n">
        <v>1</v>
      </c>
      <c r="I5281" s="4" t="s">
        <v>408</v>
      </c>
      <c r="J5281" s="4" t="s">
        <v>409</v>
      </c>
      <c r="K5281" s="13" t="n">
        <v>1800</v>
      </c>
      <c r="L5281" s="6" t="n">
        <f aca="false">H5281*K5281</f>
        <v>1800</v>
      </c>
      <c r="M5281" s="14" t="s">
        <v>410</v>
      </c>
    </row>
    <row r="5282" customFormat="false" ht="15" hidden="false" customHeight="false" outlineLevel="0" collapsed="false">
      <c r="A5282" s="4" t="s">
        <v>246</v>
      </c>
      <c r="B5282" s="5" t="s">
        <v>259</v>
      </c>
      <c r="C5282" s="5" t="s">
        <v>260</v>
      </c>
      <c r="D5282" s="4" t="s">
        <v>16</v>
      </c>
      <c r="E5282" s="4" t="s">
        <v>2211</v>
      </c>
      <c r="F5282" s="4" t="s">
        <v>406</v>
      </c>
      <c r="G5282" s="4" t="s">
        <v>2212</v>
      </c>
      <c r="H5282" s="12" t="n">
        <v>1</v>
      </c>
      <c r="I5282" s="4" t="s">
        <v>474</v>
      </c>
      <c r="J5282" s="4" t="s">
        <v>409</v>
      </c>
      <c r="K5282" s="13" t="n">
        <v>180</v>
      </c>
      <c r="L5282" s="6" t="n">
        <f aca="false">H5282*K5282</f>
        <v>180</v>
      </c>
      <c r="M5282" s="14" t="s">
        <v>410</v>
      </c>
    </row>
    <row r="5283" customFormat="false" ht="15" hidden="false" customHeight="false" outlineLevel="0" collapsed="false">
      <c r="A5283" s="4" t="s">
        <v>246</v>
      </c>
      <c r="B5283" s="5" t="s">
        <v>259</v>
      </c>
      <c r="C5283" s="5" t="s">
        <v>260</v>
      </c>
      <c r="D5283" s="4" t="s">
        <v>16</v>
      </c>
      <c r="E5283" s="4" t="s">
        <v>2969</v>
      </c>
      <c r="F5283" s="4" t="s">
        <v>406</v>
      </c>
      <c r="G5283" s="4" t="s">
        <v>1308</v>
      </c>
      <c r="H5283" s="12" t="n">
        <v>2</v>
      </c>
      <c r="I5283" s="4" t="s">
        <v>474</v>
      </c>
      <c r="J5283" s="4" t="s">
        <v>409</v>
      </c>
      <c r="K5283" s="13" t="n">
        <v>350</v>
      </c>
      <c r="L5283" s="6" t="n">
        <f aca="false">H5283*K5283</f>
        <v>700</v>
      </c>
      <c r="M5283" s="14" t="s">
        <v>410</v>
      </c>
    </row>
    <row r="5284" customFormat="false" ht="15" hidden="false" customHeight="false" outlineLevel="0" collapsed="false">
      <c r="A5284" s="4" t="s">
        <v>246</v>
      </c>
      <c r="B5284" s="5" t="s">
        <v>259</v>
      </c>
      <c r="C5284" s="5" t="s">
        <v>260</v>
      </c>
      <c r="D5284" s="4" t="s">
        <v>16</v>
      </c>
      <c r="E5284" s="4" t="s">
        <v>2219</v>
      </c>
      <c r="F5284" s="4" t="s">
        <v>406</v>
      </c>
      <c r="G5284" s="4" t="s">
        <v>2220</v>
      </c>
      <c r="H5284" s="12" t="n">
        <v>1</v>
      </c>
      <c r="I5284" s="4" t="s">
        <v>474</v>
      </c>
      <c r="J5284" s="4" t="s">
        <v>409</v>
      </c>
      <c r="K5284" s="13" t="n">
        <v>2500</v>
      </c>
      <c r="L5284" s="6" t="n">
        <f aca="false">H5284*K5284</f>
        <v>2500</v>
      </c>
      <c r="M5284" s="4" t="s">
        <v>371</v>
      </c>
    </row>
    <row r="5285" customFormat="false" ht="15" hidden="false" customHeight="false" outlineLevel="0" collapsed="false">
      <c r="A5285" s="4" t="s">
        <v>246</v>
      </c>
      <c r="B5285" s="5" t="s">
        <v>259</v>
      </c>
      <c r="C5285" s="5" t="s">
        <v>260</v>
      </c>
      <c r="D5285" s="4" t="s">
        <v>16</v>
      </c>
      <c r="E5285" s="4" t="s">
        <v>2221</v>
      </c>
      <c r="F5285" s="4" t="s">
        <v>406</v>
      </c>
      <c r="G5285" s="4" t="s">
        <v>2222</v>
      </c>
      <c r="H5285" s="12" t="n">
        <v>1</v>
      </c>
      <c r="I5285" s="4" t="s">
        <v>408</v>
      </c>
      <c r="J5285" s="4" t="s">
        <v>409</v>
      </c>
      <c r="K5285" s="13" t="n">
        <v>4500</v>
      </c>
      <c r="L5285" s="6" t="n">
        <f aca="false">H5285*K5285</f>
        <v>4500</v>
      </c>
      <c r="M5285" s="4" t="s">
        <v>371</v>
      </c>
    </row>
    <row r="5286" customFormat="false" ht="15" hidden="false" customHeight="false" outlineLevel="0" collapsed="false">
      <c r="A5286" s="4" t="s">
        <v>246</v>
      </c>
      <c r="B5286" s="5" t="s">
        <v>259</v>
      </c>
      <c r="C5286" s="5" t="s">
        <v>260</v>
      </c>
      <c r="D5286" s="4" t="s">
        <v>16</v>
      </c>
      <c r="E5286" s="4" t="s">
        <v>2223</v>
      </c>
      <c r="F5286" s="4" t="s">
        <v>406</v>
      </c>
      <c r="G5286" s="4" t="s">
        <v>2224</v>
      </c>
      <c r="H5286" s="12" t="n">
        <v>1</v>
      </c>
      <c r="I5286" s="4" t="s">
        <v>408</v>
      </c>
      <c r="J5286" s="4" t="s">
        <v>416</v>
      </c>
      <c r="K5286" s="13" t="n">
        <v>1800</v>
      </c>
      <c r="L5286" s="6" t="n">
        <f aca="false">H5286*K5286</f>
        <v>1800</v>
      </c>
      <c r="M5286" s="4" t="s">
        <v>371</v>
      </c>
    </row>
    <row r="5287" customFormat="false" ht="15" hidden="false" customHeight="false" outlineLevel="0" collapsed="false">
      <c r="A5287" s="4" t="s">
        <v>246</v>
      </c>
      <c r="B5287" s="5" t="s">
        <v>259</v>
      </c>
      <c r="C5287" s="5" t="s">
        <v>260</v>
      </c>
      <c r="D5287" s="4" t="s">
        <v>16</v>
      </c>
      <c r="E5287" s="4" t="s">
        <v>2225</v>
      </c>
      <c r="F5287" s="4" t="s">
        <v>406</v>
      </c>
      <c r="G5287" s="4" t="s">
        <v>2226</v>
      </c>
      <c r="H5287" s="12" t="n">
        <v>1</v>
      </c>
      <c r="I5287" s="4" t="s">
        <v>408</v>
      </c>
      <c r="J5287" s="4" t="s">
        <v>409</v>
      </c>
      <c r="K5287" s="13" t="n">
        <v>350</v>
      </c>
      <c r="L5287" s="6" t="n">
        <f aca="false">H5287*K5287</f>
        <v>350</v>
      </c>
      <c r="M5287" s="14" t="s">
        <v>410</v>
      </c>
    </row>
    <row r="5288" customFormat="false" ht="15" hidden="false" customHeight="false" outlineLevel="0" collapsed="false">
      <c r="A5288" s="4" t="s">
        <v>246</v>
      </c>
      <c r="B5288" s="5" t="s">
        <v>259</v>
      </c>
      <c r="C5288" s="5" t="s">
        <v>260</v>
      </c>
      <c r="D5288" s="4" t="s">
        <v>16</v>
      </c>
      <c r="E5288" s="4" t="s">
        <v>2348</v>
      </c>
      <c r="F5288" s="4" t="s">
        <v>406</v>
      </c>
      <c r="G5288" s="4" t="s">
        <v>2228</v>
      </c>
      <c r="H5288" s="12" t="n">
        <v>1</v>
      </c>
      <c r="I5288" s="4" t="s">
        <v>474</v>
      </c>
      <c r="J5288" s="4" t="s">
        <v>409</v>
      </c>
      <c r="K5288" s="13" t="n">
        <v>18000</v>
      </c>
      <c r="L5288" s="6" t="n">
        <f aca="false">H5288*K5288</f>
        <v>18000</v>
      </c>
      <c r="M5288" s="4" t="s">
        <v>371</v>
      </c>
    </row>
    <row r="5289" customFormat="false" ht="15" hidden="false" customHeight="false" outlineLevel="0" collapsed="false">
      <c r="A5289" s="4" t="s">
        <v>246</v>
      </c>
      <c r="B5289" s="5" t="s">
        <v>259</v>
      </c>
      <c r="C5289" s="5" t="s">
        <v>260</v>
      </c>
      <c r="D5289" s="4" t="s">
        <v>16</v>
      </c>
      <c r="E5289" s="4" t="s">
        <v>2229</v>
      </c>
      <c r="F5289" s="4" t="s">
        <v>406</v>
      </c>
      <c r="G5289" s="4" t="s">
        <v>2230</v>
      </c>
      <c r="H5289" s="12" t="n">
        <v>1</v>
      </c>
      <c r="I5289" s="4" t="s">
        <v>474</v>
      </c>
      <c r="J5289" s="4" t="s">
        <v>409</v>
      </c>
      <c r="K5289" s="13" t="n">
        <v>8500</v>
      </c>
      <c r="L5289" s="6" t="n">
        <f aca="false">H5289*K5289</f>
        <v>8500</v>
      </c>
      <c r="M5289" s="4" t="s">
        <v>371</v>
      </c>
    </row>
    <row r="5290" customFormat="false" ht="15" hidden="false" customHeight="false" outlineLevel="0" collapsed="false">
      <c r="A5290" s="4" t="s">
        <v>246</v>
      </c>
      <c r="B5290" s="5" t="s">
        <v>259</v>
      </c>
      <c r="C5290" s="5" t="s">
        <v>260</v>
      </c>
      <c r="D5290" s="4" t="s">
        <v>16</v>
      </c>
      <c r="E5290" s="4" t="s">
        <v>2231</v>
      </c>
      <c r="F5290" s="4" t="s">
        <v>406</v>
      </c>
      <c r="G5290" s="4" t="s">
        <v>2232</v>
      </c>
      <c r="H5290" s="12" t="n">
        <v>1</v>
      </c>
      <c r="I5290" s="4" t="s">
        <v>474</v>
      </c>
      <c r="J5290" s="4" t="s">
        <v>416</v>
      </c>
      <c r="K5290" s="13" t="n">
        <v>8500</v>
      </c>
      <c r="L5290" s="6" t="n">
        <f aca="false">H5290*K5290</f>
        <v>8500</v>
      </c>
      <c r="M5290" s="4" t="s">
        <v>371</v>
      </c>
    </row>
    <row r="5291" customFormat="false" ht="15" hidden="false" customHeight="false" outlineLevel="0" collapsed="false">
      <c r="A5291" s="4" t="s">
        <v>246</v>
      </c>
      <c r="B5291" s="5" t="s">
        <v>259</v>
      </c>
      <c r="C5291" s="5" t="s">
        <v>260</v>
      </c>
      <c r="D5291" s="4" t="s">
        <v>16</v>
      </c>
      <c r="E5291" s="4" t="s">
        <v>5941</v>
      </c>
      <c r="F5291" s="4" t="s">
        <v>406</v>
      </c>
      <c r="G5291" s="4" t="s">
        <v>5942</v>
      </c>
      <c r="H5291" s="12" t="n">
        <v>1</v>
      </c>
      <c r="I5291" s="4" t="s">
        <v>408</v>
      </c>
      <c r="J5291" s="4" t="s">
        <v>409</v>
      </c>
      <c r="K5291" s="13" t="n">
        <v>120</v>
      </c>
      <c r="L5291" s="6" t="n">
        <f aca="false">H5291*K5291</f>
        <v>120</v>
      </c>
      <c r="M5291" s="14" t="s">
        <v>410</v>
      </c>
    </row>
    <row r="5292" customFormat="false" ht="15" hidden="false" customHeight="false" outlineLevel="0" collapsed="false">
      <c r="A5292" s="4" t="s">
        <v>246</v>
      </c>
      <c r="B5292" s="5" t="s">
        <v>259</v>
      </c>
      <c r="C5292" s="5" t="s">
        <v>260</v>
      </c>
      <c r="D5292" s="4" t="s">
        <v>16</v>
      </c>
      <c r="E5292" s="4" t="s">
        <v>5943</v>
      </c>
      <c r="F5292" s="4" t="s">
        <v>406</v>
      </c>
      <c r="G5292" s="4" t="s">
        <v>5944</v>
      </c>
      <c r="H5292" s="12" t="n">
        <v>5</v>
      </c>
      <c r="I5292" s="4" t="s">
        <v>474</v>
      </c>
      <c r="J5292" s="4" t="s">
        <v>416</v>
      </c>
      <c r="K5292" s="13" t="n">
        <v>1200</v>
      </c>
      <c r="L5292" s="6" t="n">
        <f aca="false">H5292*K5292</f>
        <v>6000</v>
      </c>
      <c r="M5292" s="4" t="s">
        <v>371</v>
      </c>
    </row>
    <row r="5293" customFormat="false" ht="15" hidden="false" customHeight="false" outlineLevel="0" collapsed="false">
      <c r="A5293" s="4" t="s">
        <v>246</v>
      </c>
      <c r="B5293" s="5" t="s">
        <v>259</v>
      </c>
      <c r="C5293" s="5" t="s">
        <v>260</v>
      </c>
      <c r="D5293" s="4" t="s">
        <v>16</v>
      </c>
      <c r="E5293" s="4" t="s">
        <v>2215</v>
      </c>
      <c r="F5293" s="4" t="s">
        <v>406</v>
      </c>
      <c r="G5293" s="4" t="s">
        <v>2216</v>
      </c>
      <c r="H5293" s="12" t="n">
        <v>1</v>
      </c>
      <c r="I5293" s="4" t="s">
        <v>408</v>
      </c>
      <c r="J5293" s="4" t="s">
        <v>409</v>
      </c>
      <c r="K5293" s="13" t="n">
        <v>1200</v>
      </c>
      <c r="L5293" s="6" t="n">
        <f aca="false">H5293*K5293</f>
        <v>1200</v>
      </c>
      <c r="M5293" s="4" t="s">
        <v>371</v>
      </c>
    </row>
    <row r="5294" customFormat="false" ht="15" hidden="false" customHeight="false" outlineLevel="0" collapsed="false">
      <c r="A5294" s="4" t="s">
        <v>246</v>
      </c>
      <c r="B5294" s="5" t="s">
        <v>259</v>
      </c>
      <c r="C5294" s="5" t="s">
        <v>260</v>
      </c>
      <c r="D5294" s="4" t="s">
        <v>16</v>
      </c>
      <c r="E5294" s="4" t="s">
        <v>2237</v>
      </c>
      <c r="F5294" s="4" t="s">
        <v>406</v>
      </c>
      <c r="G5294" s="4" t="s">
        <v>2238</v>
      </c>
      <c r="H5294" s="12" t="n">
        <v>1</v>
      </c>
      <c r="I5294" s="4" t="s">
        <v>408</v>
      </c>
      <c r="J5294" s="4" t="s">
        <v>416</v>
      </c>
      <c r="K5294" s="13" t="n">
        <v>1200</v>
      </c>
      <c r="L5294" s="6" t="n">
        <f aca="false">H5294*K5294</f>
        <v>1200</v>
      </c>
      <c r="M5294" s="14" t="s">
        <v>410</v>
      </c>
    </row>
    <row r="5295" customFormat="false" ht="15" hidden="false" customHeight="false" outlineLevel="0" collapsed="false">
      <c r="A5295" s="4" t="s">
        <v>246</v>
      </c>
      <c r="B5295" s="5" t="s">
        <v>259</v>
      </c>
      <c r="C5295" s="5" t="s">
        <v>260</v>
      </c>
      <c r="D5295" s="4" t="s">
        <v>16</v>
      </c>
      <c r="E5295" s="4" t="s">
        <v>2217</v>
      </c>
      <c r="F5295" s="4" t="s">
        <v>406</v>
      </c>
      <c r="G5295" s="4" t="s">
        <v>2218</v>
      </c>
      <c r="H5295" s="12" t="n">
        <v>1</v>
      </c>
      <c r="I5295" s="4" t="s">
        <v>474</v>
      </c>
      <c r="J5295" s="4" t="s">
        <v>409</v>
      </c>
      <c r="K5295" s="13" t="n">
        <v>4500</v>
      </c>
      <c r="L5295" s="6" t="n">
        <f aca="false">H5295*K5295</f>
        <v>4500</v>
      </c>
      <c r="M5295" s="14" t="s">
        <v>410</v>
      </c>
    </row>
    <row r="5296" customFormat="false" ht="15" hidden="false" customHeight="false" outlineLevel="0" collapsed="false">
      <c r="A5296" s="4" t="s">
        <v>246</v>
      </c>
      <c r="B5296" s="5" t="s">
        <v>259</v>
      </c>
      <c r="C5296" s="5" t="s">
        <v>260</v>
      </c>
      <c r="D5296" s="4" t="s">
        <v>16</v>
      </c>
      <c r="E5296" s="4" t="s">
        <v>2239</v>
      </c>
      <c r="F5296" s="4" t="s">
        <v>406</v>
      </c>
      <c r="G5296" s="4" t="s">
        <v>2240</v>
      </c>
      <c r="H5296" s="12" t="n">
        <v>1</v>
      </c>
      <c r="I5296" s="4" t="s">
        <v>408</v>
      </c>
      <c r="J5296" s="4" t="s">
        <v>409</v>
      </c>
      <c r="K5296" s="13" t="n">
        <v>8500</v>
      </c>
      <c r="L5296" s="6" t="n">
        <f aca="false">H5296*K5296</f>
        <v>8500</v>
      </c>
      <c r="M5296" s="14" t="s">
        <v>410</v>
      </c>
    </row>
    <row r="5297" customFormat="false" ht="15" hidden="false" customHeight="false" outlineLevel="0" collapsed="false">
      <c r="A5297" s="4" t="s">
        <v>246</v>
      </c>
      <c r="B5297" s="5" t="s">
        <v>259</v>
      </c>
      <c r="C5297" s="5" t="s">
        <v>260</v>
      </c>
      <c r="D5297" s="4" t="s">
        <v>16</v>
      </c>
      <c r="E5297" s="4" t="s">
        <v>2241</v>
      </c>
      <c r="F5297" s="4" t="s">
        <v>406</v>
      </c>
      <c r="G5297" s="4" t="s">
        <v>2242</v>
      </c>
      <c r="H5297" s="12" t="n">
        <v>1</v>
      </c>
      <c r="I5297" s="4" t="s">
        <v>474</v>
      </c>
      <c r="J5297" s="4" t="s">
        <v>409</v>
      </c>
      <c r="K5297" s="13" t="n">
        <v>18000</v>
      </c>
      <c r="L5297" s="6" t="n">
        <f aca="false">H5297*K5297</f>
        <v>18000</v>
      </c>
      <c r="M5297" s="14" t="s">
        <v>410</v>
      </c>
    </row>
    <row r="5298" customFormat="false" ht="15" hidden="false" customHeight="false" outlineLevel="0" collapsed="false">
      <c r="A5298" s="4" t="s">
        <v>246</v>
      </c>
      <c r="B5298" s="5" t="s">
        <v>259</v>
      </c>
      <c r="C5298" s="5" t="s">
        <v>260</v>
      </c>
      <c r="D5298" s="4" t="s">
        <v>16</v>
      </c>
      <c r="E5298" s="4" t="s">
        <v>2243</v>
      </c>
      <c r="F5298" s="4" t="s">
        <v>406</v>
      </c>
      <c r="G5298" s="4" t="s">
        <v>2244</v>
      </c>
      <c r="H5298" s="12" t="n">
        <v>1</v>
      </c>
      <c r="I5298" s="4" t="s">
        <v>474</v>
      </c>
      <c r="J5298" s="4" t="s">
        <v>409</v>
      </c>
      <c r="K5298" s="13" t="n">
        <v>4500</v>
      </c>
      <c r="L5298" s="6" t="n">
        <f aca="false">H5298*K5298</f>
        <v>4500</v>
      </c>
      <c r="M5298" s="14" t="s">
        <v>410</v>
      </c>
    </row>
    <row r="5299" customFormat="false" ht="15" hidden="false" customHeight="false" outlineLevel="0" collapsed="false">
      <c r="A5299" s="4" t="s">
        <v>246</v>
      </c>
      <c r="B5299" s="5" t="s">
        <v>259</v>
      </c>
      <c r="C5299" s="5" t="s">
        <v>260</v>
      </c>
      <c r="D5299" s="4" t="s">
        <v>16</v>
      </c>
      <c r="E5299" s="4" t="s">
        <v>2245</v>
      </c>
      <c r="F5299" s="4" t="s">
        <v>406</v>
      </c>
      <c r="G5299" s="4" t="s">
        <v>2246</v>
      </c>
      <c r="H5299" s="12" t="n">
        <v>2</v>
      </c>
      <c r="I5299" s="4" t="s">
        <v>474</v>
      </c>
      <c r="J5299" s="4" t="s">
        <v>409</v>
      </c>
      <c r="K5299" s="13" t="n">
        <v>850</v>
      </c>
      <c r="L5299" s="6" t="n">
        <f aca="false">H5299*K5299</f>
        <v>1700</v>
      </c>
      <c r="M5299" s="14" t="s">
        <v>410</v>
      </c>
    </row>
    <row r="5300" customFormat="false" ht="15" hidden="false" customHeight="false" outlineLevel="0" collapsed="false">
      <c r="A5300" s="4" t="s">
        <v>246</v>
      </c>
      <c r="B5300" s="5" t="s">
        <v>259</v>
      </c>
      <c r="C5300" s="5" t="s">
        <v>260</v>
      </c>
      <c r="D5300" s="4" t="s">
        <v>16</v>
      </c>
      <c r="E5300" s="4" t="s">
        <v>2351</v>
      </c>
      <c r="F5300" s="4" t="s">
        <v>406</v>
      </c>
      <c r="G5300" s="4" t="s">
        <v>2352</v>
      </c>
      <c r="H5300" s="12" t="n">
        <v>2</v>
      </c>
      <c r="I5300" s="4" t="s">
        <v>474</v>
      </c>
      <c r="J5300" s="4" t="s">
        <v>416</v>
      </c>
      <c r="K5300" s="13" t="n">
        <v>1800</v>
      </c>
      <c r="L5300" s="6" t="n">
        <f aca="false">H5300*K5300</f>
        <v>3600</v>
      </c>
      <c r="M5300" s="4" t="s">
        <v>371</v>
      </c>
    </row>
    <row r="5301" customFormat="false" ht="15" hidden="false" customHeight="false" outlineLevel="0" collapsed="false">
      <c r="A5301" s="4" t="s">
        <v>246</v>
      </c>
      <c r="B5301" s="5" t="s">
        <v>259</v>
      </c>
      <c r="C5301" s="5" t="s">
        <v>260</v>
      </c>
      <c r="D5301" s="4" t="s">
        <v>16</v>
      </c>
      <c r="E5301" s="4" t="s">
        <v>2249</v>
      </c>
      <c r="F5301" s="4" t="s">
        <v>406</v>
      </c>
      <c r="G5301" s="4" t="s">
        <v>2250</v>
      </c>
      <c r="H5301" s="12" t="n">
        <v>10</v>
      </c>
      <c r="I5301" s="4" t="s">
        <v>474</v>
      </c>
      <c r="J5301" s="4" t="s">
        <v>409</v>
      </c>
      <c r="K5301" s="13" t="n">
        <v>80</v>
      </c>
      <c r="L5301" s="6" t="n">
        <f aca="false">H5301*K5301</f>
        <v>800</v>
      </c>
      <c r="M5301" s="14" t="s">
        <v>410</v>
      </c>
    </row>
    <row r="5302" customFormat="false" ht="15" hidden="false" customHeight="false" outlineLevel="0" collapsed="false">
      <c r="A5302" s="4" t="s">
        <v>246</v>
      </c>
      <c r="B5302" s="5" t="s">
        <v>259</v>
      </c>
      <c r="C5302" s="5" t="s">
        <v>260</v>
      </c>
      <c r="D5302" s="4" t="s">
        <v>16</v>
      </c>
      <c r="E5302" s="4" t="s">
        <v>2251</v>
      </c>
      <c r="F5302" s="4" t="s">
        <v>406</v>
      </c>
      <c r="G5302" s="4" t="s">
        <v>2252</v>
      </c>
      <c r="H5302" s="12" t="n">
        <v>1</v>
      </c>
      <c r="I5302" s="4" t="s">
        <v>474</v>
      </c>
      <c r="J5302" s="4" t="s">
        <v>409</v>
      </c>
      <c r="K5302" s="13" t="n">
        <v>85000</v>
      </c>
      <c r="L5302" s="6" t="n">
        <f aca="false">H5302*K5302</f>
        <v>85000</v>
      </c>
      <c r="M5302" s="14" t="s">
        <v>410</v>
      </c>
    </row>
    <row r="5303" customFormat="false" ht="15" hidden="false" customHeight="false" outlineLevel="0" collapsed="false">
      <c r="A5303" s="4" t="s">
        <v>246</v>
      </c>
      <c r="B5303" s="5" t="s">
        <v>259</v>
      </c>
      <c r="C5303" s="5" t="s">
        <v>260</v>
      </c>
      <c r="D5303" s="4" t="s">
        <v>16</v>
      </c>
      <c r="E5303" s="4" t="s">
        <v>2253</v>
      </c>
      <c r="F5303" s="4" t="s">
        <v>406</v>
      </c>
      <c r="G5303" s="4" t="s">
        <v>2254</v>
      </c>
      <c r="H5303" s="12" t="n">
        <v>1</v>
      </c>
      <c r="I5303" s="4" t="s">
        <v>474</v>
      </c>
      <c r="J5303" s="4" t="s">
        <v>409</v>
      </c>
      <c r="K5303" s="13" t="n">
        <v>125000</v>
      </c>
      <c r="L5303" s="6" t="n">
        <f aca="false">H5303*K5303</f>
        <v>125000</v>
      </c>
      <c r="M5303" s="14" t="s">
        <v>410</v>
      </c>
    </row>
    <row r="5304" customFormat="false" ht="15" hidden="false" customHeight="false" outlineLevel="0" collapsed="false">
      <c r="A5304" s="4" t="s">
        <v>246</v>
      </c>
      <c r="B5304" s="5" t="s">
        <v>259</v>
      </c>
      <c r="C5304" s="5" t="s">
        <v>260</v>
      </c>
      <c r="D5304" s="4" t="s">
        <v>16</v>
      </c>
      <c r="E5304" s="4" t="s">
        <v>2255</v>
      </c>
      <c r="F5304" s="4" t="s">
        <v>406</v>
      </c>
      <c r="G5304" s="4" t="s">
        <v>2256</v>
      </c>
      <c r="H5304" s="12" t="n">
        <v>1</v>
      </c>
      <c r="I5304" s="4" t="s">
        <v>474</v>
      </c>
      <c r="J5304" s="4" t="s">
        <v>409</v>
      </c>
      <c r="K5304" s="13" t="n">
        <v>8500</v>
      </c>
      <c r="L5304" s="6" t="n">
        <f aca="false">H5304*K5304</f>
        <v>8500</v>
      </c>
      <c r="M5304" s="14" t="s">
        <v>410</v>
      </c>
    </row>
    <row r="5305" customFormat="false" ht="15" hidden="false" customHeight="false" outlineLevel="0" collapsed="false">
      <c r="A5305" s="4" t="s">
        <v>246</v>
      </c>
      <c r="B5305" s="5" t="s">
        <v>259</v>
      </c>
      <c r="C5305" s="5" t="s">
        <v>260</v>
      </c>
      <c r="D5305" s="4" t="s">
        <v>16</v>
      </c>
      <c r="E5305" s="4" t="s">
        <v>2369</v>
      </c>
      <c r="F5305" s="4" t="s">
        <v>406</v>
      </c>
      <c r="G5305" s="4" t="s">
        <v>2370</v>
      </c>
      <c r="H5305" s="12" t="n">
        <v>1</v>
      </c>
      <c r="I5305" s="4" t="s">
        <v>408</v>
      </c>
      <c r="J5305" s="4" t="s">
        <v>543</v>
      </c>
      <c r="K5305" s="13" t="n">
        <v>25000</v>
      </c>
      <c r="L5305" s="6" t="n">
        <f aca="false">H5305*K5305</f>
        <v>25000</v>
      </c>
      <c r="M5305" s="4" t="s">
        <v>371</v>
      </c>
    </row>
    <row r="5306" customFormat="false" ht="15" hidden="false" customHeight="false" outlineLevel="0" collapsed="false">
      <c r="A5306" s="4" t="s">
        <v>246</v>
      </c>
      <c r="B5306" s="5" t="s">
        <v>259</v>
      </c>
      <c r="C5306" s="5" t="s">
        <v>260</v>
      </c>
      <c r="D5306" s="4" t="s">
        <v>16</v>
      </c>
      <c r="E5306" s="4" t="s">
        <v>2257</v>
      </c>
      <c r="F5306" s="4" t="s">
        <v>406</v>
      </c>
      <c r="G5306" s="4" t="s">
        <v>2258</v>
      </c>
      <c r="H5306" s="12" t="n">
        <v>1</v>
      </c>
      <c r="I5306" s="4" t="s">
        <v>408</v>
      </c>
      <c r="J5306" s="4" t="s">
        <v>409</v>
      </c>
      <c r="K5306" s="13" t="n">
        <v>6500</v>
      </c>
      <c r="L5306" s="6" t="n">
        <f aca="false">H5306*K5306</f>
        <v>6500</v>
      </c>
      <c r="M5306" s="14" t="s">
        <v>410</v>
      </c>
    </row>
    <row r="5307" customFormat="false" ht="15" hidden="false" customHeight="false" outlineLevel="0" collapsed="false">
      <c r="A5307" s="4" t="s">
        <v>246</v>
      </c>
      <c r="B5307" s="5" t="s">
        <v>259</v>
      </c>
      <c r="C5307" s="5" t="s">
        <v>260</v>
      </c>
      <c r="D5307" s="4" t="s">
        <v>16</v>
      </c>
      <c r="E5307" s="4" t="s">
        <v>2259</v>
      </c>
      <c r="F5307" s="4" t="s">
        <v>406</v>
      </c>
      <c r="G5307" s="4" t="s">
        <v>2260</v>
      </c>
      <c r="H5307" s="12" t="n">
        <v>1</v>
      </c>
      <c r="I5307" s="4" t="s">
        <v>408</v>
      </c>
      <c r="J5307" s="4" t="s">
        <v>409</v>
      </c>
      <c r="K5307" s="13" t="n">
        <v>85000</v>
      </c>
      <c r="L5307" s="6" t="n">
        <f aca="false">H5307*K5307</f>
        <v>85000</v>
      </c>
      <c r="M5307" s="14" t="s">
        <v>410</v>
      </c>
    </row>
    <row r="5308" customFormat="false" ht="15" hidden="false" customHeight="false" outlineLevel="0" collapsed="false">
      <c r="A5308" s="4" t="s">
        <v>246</v>
      </c>
      <c r="B5308" s="5" t="s">
        <v>259</v>
      </c>
      <c r="C5308" s="5" t="s">
        <v>260</v>
      </c>
      <c r="D5308" s="4" t="s">
        <v>16</v>
      </c>
      <c r="E5308" s="4" t="s">
        <v>2261</v>
      </c>
      <c r="F5308" s="4" t="s">
        <v>406</v>
      </c>
      <c r="G5308" s="4" t="s">
        <v>2262</v>
      </c>
      <c r="H5308" s="12" t="n">
        <v>1</v>
      </c>
      <c r="I5308" s="4" t="s">
        <v>408</v>
      </c>
      <c r="J5308" s="4" t="s">
        <v>409</v>
      </c>
      <c r="K5308" s="13" t="n">
        <v>18000</v>
      </c>
      <c r="L5308" s="6" t="n">
        <f aca="false">H5308*K5308</f>
        <v>18000</v>
      </c>
      <c r="M5308" s="14" t="s">
        <v>410</v>
      </c>
    </row>
    <row r="5309" customFormat="false" ht="15" hidden="false" customHeight="false" outlineLevel="0" collapsed="false">
      <c r="A5309" s="4" t="s">
        <v>246</v>
      </c>
      <c r="B5309" s="5" t="s">
        <v>259</v>
      </c>
      <c r="C5309" s="5" t="s">
        <v>260</v>
      </c>
      <c r="D5309" s="4" t="s">
        <v>16</v>
      </c>
      <c r="E5309" s="4" t="s">
        <v>2263</v>
      </c>
      <c r="F5309" s="4" t="s">
        <v>406</v>
      </c>
      <c r="G5309" s="4" t="s">
        <v>2264</v>
      </c>
      <c r="H5309" s="12" t="n">
        <v>1</v>
      </c>
      <c r="I5309" s="4" t="s">
        <v>408</v>
      </c>
      <c r="J5309" s="4" t="s">
        <v>409</v>
      </c>
      <c r="K5309" s="13" t="n">
        <v>25000</v>
      </c>
      <c r="L5309" s="6" t="n">
        <f aca="false">H5309*K5309</f>
        <v>25000</v>
      </c>
      <c r="M5309" s="4" t="s">
        <v>371</v>
      </c>
    </row>
    <row r="5310" customFormat="false" ht="15" hidden="false" customHeight="false" outlineLevel="0" collapsed="false">
      <c r="A5310" s="4" t="s">
        <v>246</v>
      </c>
      <c r="B5310" s="5" t="s">
        <v>259</v>
      </c>
      <c r="C5310" s="5" t="s">
        <v>260</v>
      </c>
      <c r="D5310" s="4" t="s">
        <v>16</v>
      </c>
      <c r="E5310" s="4" t="s">
        <v>2265</v>
      </c>
      <c r="F5310" s="4" t="s">
        <v>406</v>
      </c>
      <c r="G5310" s="4" t="s">
        <v>2266</v>
      </c>
      <c r="H5310" s="12" t="n">
        <v>1</v>
      </c>
      <c r="I5310" s="4" t="s">
        <v>408</v>
      </c>
      <c r="J5310" s="4" t="s">
        <v>416</v>
      </c>
      <c r="K5310" s="13" t="n">
        <v>18000</v>
      </c>
      <c r="L5310" s="6" t="n">
        <f aca="false">H5310*K5310</f>
        <v>18000</v>
      </c>
      <c r="M5310" s="4" t="s">
        <v>371</v>
      </c>
    </row>
    <row r="5311" customFormat="false" ht="15" hidden="false" customHeight="false" outlineLevel="0" collapsed="false">
      <c r="A5311" s="4" t="s">
        <v>246</v>
      </c>
      <c r="B5311" s="5" t="s">
        <v>259</v>
      </c>
      <c r="C5311" s="5" t="s">
        <v>260</v>
      </c>
      <c r="D5311" s="4" t="s">
        <v>16</v>
      </c>
      <c r="E5311" s="4" t="s">
        <v>2353</v>
      </c>
      <c r="F5311" s="4" t="s">
        <v>406</v>
      </c>
      <c r="G5311" s="4" t="s">
        <v>2354</v>
      </c>
      <c r="H5311" s="12" t="n">
        <v>1</v>
      </c>
      <c r="I5311" s="4" t="s">
        <v>408</v>
      </c>
      <c r="J5311" s="4" t="s">
        <v>409</v>
      </c>
      <c r="K5311" s="13" t="n">
        <v>850000</v>
      </c>
      <c r="L5311" s="6" t="n">
        <f aca="false">H5311*K5311</f>
        <v>850000</v>
      </c>
      <c r="M5311" s="14" t="s">
        <v>410</v>
      </c>
    </row>
    <row r="5312" customFormat="false" ht="15" hidden="false" customHeight="false" outlineLevel="0" collapsed="false">
      <c r="A5312" s="4" t="s">
        <v>246</v>
      </c>
      <c r="B5312" s="5" t="s">
        <v>259</v>
      </c>
      <c r="C5312" s="5" t="s">
        <v>260</v>
      </c>
      <c r="D5312" s="4" t="s">
        <v>16</v>
      </c>
      <c r="E5312" s="4" t="s">
        <v>2355</v>
      </c>
      <c r="F5312" s="4" t="s">
        <v>406</v>
      </c>
      <c r="G5312" s="4" t="s">
        <v>2356</v>
      </c>
      <c r="H5312" s="12" t="n">
        <v>1</v>
      </c>
      <c r="I5312" s="4" t="s">
        <v>408</v>
      </c>
      <c r="J5312" s="4" t="s">
        <v>409</v>
      </c>
      <c r="K5312" s="13" t="n">
        <v>2500000</v>
      </c>
      <c r="L5312" s="6" t="n">
        <f aca="false">H5312*K5312</f>
        <v>2500000</v>
      </c>
      <c r="M5312" s="14" t="s">
        <v>410</v>
      </c>
    </row>
    <row r="5313" customFormat="false" ht="15" hidden="false" customHeight="false" outlineLevel="0" collapsed="false">
      <c r="A5313" s="4" t="s">
        <v>246</v>
      </c>
      <c r="B5313" s="5" t="s">
        <v>259</v>
      </c>
      <c r="C5313" s="5" t="s">
        <v>260</v>
      </c>
      <c r="D5313" s="4" t="s">
        <v>16</v>
      </c>
      <c r="E5313" s="4" t="s">
        <v>2271</v>
      </c>
      <c r="F5313" s="4" t="s">
        <v>470</v>
      </c>
      <c r="G5313" s="4" t="s">
        <v>2272</v>
      </c>
      <c r="H5313" s="12" t="n">
        <v>1</v>
      </c>
      <c r="I5313" s="4" t="s">
        <v>408</v>
      </c>
      <c r="J5313" s="4" t="s">
        <v>409</v>
      </c>
      <c r="K5313" s="13" t="n">
        <v>4500</v>
      </c>
      <c r="L5313" s="6" t="n">
        <f aca="false">H5313*K5313</f>
        <v>4500</v>
      </c>
      <c r="M5313" s="14" t="s">
        <v>410</v>
      </c>
    </row>
    <row r="5314" customFormat="false" ht="15" hidden="false" customHeight="false" outlineLevel="0" collapsed="false">
      <c r="A5314" s="4" t="s">
        <v>246</v>
      </c>
      <c r="B5314" s="5" t="s">
        <v>259</v>
      </c>
      <c r="C5314" s="5" t="s">
        <v>260</v>
      </c>
      <c r="D5314" s="4" t="s">
        <v>16</v>
      </c>
      <c r="E5314" s="4" t="s">
        <v>2273</v>
      </c>
      <c r="F5314" s="4" t="s">
        <v>470</v>
      </c>
      <c r="G5314" s="4" t="s">
        <v>2274</v>
      </c>
      <c r="H5314" s="12" t="n">
        <v>1</v>
      </c>
      <c r="I5314" s="4" t="s">
        <v>408</v>
      </c>
      <c r="J5314" s="4" t="s">
        <v>409</v>
      </c>
      <c r="K5314" s="13" t="n">
        <v>25000</v>
      </c>
      <c r="L5314" s="6" t="n">
        <f aca="false">H5314*K5314</f>
        <v>25000</v>
      </c>
      <c r="M5314" s="14" t="s">
        <v>410</v>
      </c>
    </row>
    <row r="5315" customFormat="false" ht="15" hidden="false" customHeight="false" outlineLevel="0" collapsed="false">
      <c r="A5315" s="4" t="s">
        <v>246</v>
      </c>
      <c r="B5315" s="5" t="s">
        <v>259</v>
      </c>
      <c r="C5315" s="5" t="s">
        <v>260</v>
      </c>
      <c r="D5315" s="4" t="s">
        <v>16</v>
      </c>
      <c r="E5315" s="4" t="s">
        <v>2163</v>
      </c>
      <c r="F5315" s="4" t="s">
        <v>470</v>
      </c>
      <c r="G5315" s="4" t="s">
        <v>2164</v>
      </c>
      <c r="H5315" s="12" t="n">
        <v>1</v>
      </c>
      <c r="I5315" s="4" t="s">
        <v>408</v>
      </c>
      <c r="J5315" s="4" t="s">
        <v>409</v>
      </c>
      <c r="K5315" s="13" t="n">
        <v>35000</v>
      </c>
      <c r="L5315" s="6" t="n">
        <f aca="false">H5315*K5315</f>
        <v>35000</v>
      </c>
      <c r="M5315" s="14" t="s">
        <v>410</v>
      </c>
    </row>
    <row r="5316" customFormat="false" ht="15" hidden="false" customHeight="false" outlineLevel="0" collapsed="false">
      <c r="A5316" s="4" t="s">
        <v>246</v>
      </c>
      <c r="B5316" s="5" t="s">
        <v>259</v>
      </c>
      <c r="C5316" s="5" t="s">
        <v>260</v>
      </c>
      <c r="D5316" s="4" t="s">
        <v>16</v>
      </c>
      <c r="E5316" s="4" t="s">
        <v>1058</v>
      </c>
      <c r="F5316" s="4" t="s">
        <v>470</v>
      </c>
      <c r="G5316" s="4" t="s">
        <v>1059</v>
      </c>
      <c r="H5316" s="12" t="n">
        <v>1</v>
      </c>
      <c r="I5316" s="4" t="s">
        <v>408</v>
      </c>
      <c r="J5316" s="4" t="s">
        <v>409</v>
      </c>
      <c r="K5316" s="13" t="n">
        <v>45000</v>
      </c>
      <c r="L5316" s="6" t="n">
        <f aca="false">H5316*K5316</f>
        <v>45000</v>
      </c>
      <c r="M5316" s="14" t="s">
        <v>410</v>
      </c>
    </row>
    <row r="5317" customFormat="false" ht="15" hidden="false" customHeight="false" outlineLevel="0" collapsed="false">
      <c r="A5317" s="4" t="s">
        <v>246</v>
      </c>
      <c r="B5317" s="5" t="s">
        <v>259</v>
      </c>
      <c r="C5317" s="5" t="s">
        <v>260</v>
      </c>
      <c r="D5317" s="4" t="s">
        <v>16</v>
      </c>
      <c r="E5317" s="4" t="s">
        <v>2365</v>
      </c>
      <c r="F5317" s="4" t="s">
        <v>470</v>
      </c>
      <c r="G5317" s="4" t="s">
        <v>2366</v>
      </c>
      <c r="H5317" s="12" t="n">
        <v>1</v>
      </c>
      <c r="I5317" s="4" t="s">
        <v>408</v>
      </c>
      <c r="J5317" s="4" t="s">
        <v>416</v>
      </c>
      <c r="K5317" s="13" t="n">
        <v>850</v>
      </c>
      <c r="L5317" s="6" t="n">
        <f aca="false">H5317*K5317</f>
        <v>850</v>
      </c>
      <c r="M5317" s="4" t="s">
        <v>371</v>
      </c>
    </row>
    <row r="5318" customFormat="false" ht="15" hidden="false" customHeight="false" outlineLevel="0" collapsed="false">
      <c r="A5318" s="4" t="s">
        <v>246</v>
      </c>
      <c r="B5318" s="5" t="s">
        <v>259</v>
      </c>
      <c r="C5318" s="5" t="s">
        <v>260</v>
      </c>
      <c r="D5318" s="4" t="s">
        <v>16</v>
      </c>
      <c r="E5318" s="4" t="s">
        <v>2357</v>
      </c>
      <c r="F5318" s="4" t="s">
        <v>470</v>
      </c>
      <c r="G5318" s="4" t="s">
        <v>2358</v>
      </c>
      <c r="H5318" s="12" t="n">
        <v>1</v>
      </c>
      <c r="I5318" s="4" t="s">
        <v>408</v>
      </c>
      <c r="J5318" s="4" t="s">
        <v>409</v>
      </c>
      <c r="K5318" s="13" t="n">
        <v>8500</v>
      </c>
      <c r="L5318" s="6" t="n">
        <f aca="false">H5318*K5318</f>
        <v>8500</v>
      </c>
      <c r="M5318" s="4" t="s">
        <v>371</v>
      </c>
    </row>
    <row r="5319" customFormat="false" ht="15" hidden="false" customHeight="false" outlineLevel="0" collapsed="false">
      <c r="A5319" s="4" t="s">
        <v>246</v>
      </c>
      <c r="B5319" s="5" t="s">
        <v>259</v>
      </c>
      <c r="C5319" s="5" t="s">
        <v>260</v>
      </c>
      <c r="D5319" s="4" t="s">
        <v>16</v>
      </c>
      <c r="E5319" s="4" t="s">
        <v>2277</v>
      </c>
      <c r="F5319" s="4" t="s">
        <v>470</v>
      </c>
      <c r="G5319" s="4" t="s">
        <v>2278</v>
      </c>
      <c r="H5319" s="12" t="n">
        <v>1</v>
      </c>
      <c r="I5319" s="4" t="s">
        <v>474</v>
      </c>
      <c r="J5319" s="4" t="s">
        <v>413</v>
      </c>
      <c r="K5319" s="13" t="n">
        <v>450</v>
      </c>
      <c r="L5319" s="6" t="n">
        <f aca="false">H5319*K5319</f>
        <v>450</v>
      </c>
      <c r="M5319" s="4" t="s">
        <v>371</v>
      </c>
    </row>
    <row r="5320" customFormat="false" ht="15" hidden="false" customHeight="false" outlineLevel="0" collapsed="false">
      <c r="A5320" s="4" t="s">
        <v>246</v>
      </c>
      <c r="B5320" s="5" t="s">
        <v>259</v>
      </c>
      <c r="C5320" s="5" t="s">
        <v>260</v>
      </c>
      <c r="D5320" s="4" t="s">
        <v>16</v>
      </c>
      <c r="E5320" s="4" t="s">
        <v>1104</v>
      </c>
      <c r="F5320" s="4" t="s">
        <v>470</v>
      </c>
      <c r="G5320" s="4" t="s">
        <v>1105</v>
      </c>
      <c r="H5320" s="12" t="n">
        <v>1</v>
      </c>
      <c r="I5320" s="4" t="s">
        <v>408</v>
      </c>
      <c r="J5320" s="4" t="s">
        <v>409</v>
      </c>
      <c r="K5320" s="13" t="n">
        <v>3500</v>
      </c>
      <c r="L5320" s="6" t="n">
        <f aca="false">H5320*K5320</f>
        <v>3500</v>
      </c>
      <c r="M5320" s="4" t="s">
        <v>371</v>
      </c>
    </row>
    <row r="5321" customFormat="false" ht="15" hidden="false" customHeight="false" outlineLevel="0" collapsed="false">
      <c r="A5321" s="4" t="s">
        <v>246</v>
      </c>
      <c r="B5321" s="5" t="s">
        <v>259</v>
      </c>
      <c r="C5321" s="5" t="s">
        <v>260</v>
      </c>
      <c r="D5321" s="4" t="s">
        <v>16</v>
      </c>
      <c r="E5321" s="4" t="s">
        <v>2279</v>
      </c>
      <c r="F5321" s="4" t="s">
        <v>470</v>
      </c>
      <c r="G5321" s="4" t="s">
        <v>2280</v>
      </c>
      <c r="H5321" s="12" t="n">
        <v>1</v>
      </c>
      <c r="I5321" s="4" t="s">
        <v>408</v>
      </c>
      <c r="J5321" s="4" t="s">
        <v>409</v>
      </c>
      <c r="K5321" s="13" t="n">
        <v>450</v>
      </c>
      <c r="L5321" s="6" t="n">
        <f aca="false">H5321*K5321</f>
        <v>450</v>
      </c>
      <c r="M5321" s="4" t="s">
        <v>371</v>
      </c>
    </row>
    <row r="5322" customFormat="false" ht="15" hidden="false" customHeight="false" outlineLevel="0" collapsed="false">
      <c r="A5322" s="4" t="s">
        <v>246</v>
      </c>
      <c r="B5322" s="5" t="s">
        <v>259</v>
      </c>
      <c r="C5322" s="5" t="s">
        <v>260</v>
      </c>
      <c r="D5322" s="4" t="s">
        <v>16</v>
      </c>
      <c r="E5322" s="4" t="s">
        <v>2281</v>
      </c>
      <c r="F5322" s="4" t="s">
        <v>470</v>
      </c>
      <c r="G5322" s="4" t="s">
        <v>477</v>
      </c>
      <c r="H5322" s="12" t="n">
        <v>1</v>
      </c>
      <c r="I5322" s="4" t="s">
        <v>408</v>
      </c>
      <c r="J5322" s="4" t="s">
        <v>475</v>
      </c>
      <c r="K5322" s="13" t="n">
        <v>850</v>
      </c>
      <c r="L5322" s="6" t="n">
        <f aca="false">H5322*K5322</f>
        <v>850</v>
      </c>
      <c r="M5322" s="4" t="s">
        <v>371</v>
      </c>
    </row>
    <row r="5323" customFormat="false" ht="15" hidden="false" customHeight="false" outlineLevel="0" collapsed="false">
      <c r="A5323" s="4" t="s">
        <v>246</v>
      </c>
      <c r="B5323" s="5" t="s">
        <v>259</v>
      </c>
      <c r="C5323" s="5" t="s">
        <v>260</v>
      </c>
      <c r="D5323" s="4" t="s">
        <v>16</v>
      </c>
      <c r="E5323" s="4" t="s">
        <v>1096</v>
      </c>
      <c r="F5323" s="4" t="s">
        <v>470</v>
      </c>
      <c r="G5323" s="4" t="s">
        <v>1097</v>
      </c>
      <c r="H5323" s="12" t="n">
        <v>1</v>
      </c>
      <c r="I5323" s="4" t="s">
        <v>408</v>
      </c>
      <c r="J5323" s="4" t="s">
        <v>475</v>
      </c>
      <c r="K5323" s="13" t="n">
        <v>350</v>
      </c>
      <c r="L5323" s="6" t="n">
        <f aca="false">H5323*K5323</f>
        <v>350</v>
      </c>
      <c r="M5323" s="4" t="s">
        <v>371</v>
      </c>
    </row>
    <row r="5324" customFormat="false" ht="15" hidden="false" customHeight="false" outlineLevel="0" collapsed="false">
      <c r="A5324" s="4" t="s">
        <v>246</v>
      </c>
      <c r="B5324" s="5" t="s">
        <v>259</v>
      </c>
      <c r="C5324" s="5" t="s">
        <v>260</v>
      </c>
      <c r="D5324" s="4" t="s">
        <v>16</v>
      </c>
      <c r="E5324" s="4" t="s">
        <v>2282</v>
      </c>
      <c r="F5324" s="4" t="s">
        <v>470</v>
      </c>
      <c r="G5324" s="4" t="s">
        <v>2283</v>
      </c>
      <c r="H5324" s="12" t="n">
        <v>1</v>
      </c>
      <c r="I5324" s="4" t="s">
        <v>408</v>
      </c>
      <c r="J5324" s="4" t="s">
        <v>416</v>
      </c>
      <c r="K5324" s="13" t="n">
        <v>8500</v>
      </c>
      <c r="L5324" s="6" t="n">
        <f aca="false">H5324*K5324</f>
        <v>8500</v>
      </c>
      <c r="M5324" s="4" t="s">
        <v>371</v>
      </c>
    </row>
    <row r="5325" customFormat="false" ht="15" hidden="false" customHeight="false" outlineLevel="0" collapsed="false">
      <c r="A5325" s="4" t="s">
        <v>246</v>
      </c>
      <c r="B5325" s="5" t="s">
        <v>259</v>
      </c>
      <c r="C5325" s="5" t="s">
        <v>260</v>
      </c>
      <c r="D5325" s="4" t="s">
        <v>16</v>
      </c>
      <c r="E5325" s="4" t="s">
        <v>2284</v>
      </c>
      <c r="F5325" s="4" t="s">
        <v>470</v>
      </c>
      <c r="G5325" s="4" t="s">
        <v>2285</v>
      </c>
      <c r="H5325" s="12" t="n">
        <v>1</v>
      </c>
      <c r="I5325" s="4" t="s">
        <v>408</v>
      </c>
      <c r="J5325" s="4" t="s">
        <v>409</v>
      </c>
      <c r="K5325" s="13" t="n">
        <v>35</v>
      </c>
      <c r="L5325" s="6" t="n">
        <f aca="false">H5325*K5325</f>
        <v>35</v>
      </c>
      <c r="M5325" s="4" t="s">
        <v>371</v>
      </c>
    </row>
    <row r="5326" customFormat="false" ht="15" hidden="false" customHeight="false" outlineLevel="0" collapsed="false">
      <c r="A5326" s="4" t="s">
        <v>246</v>
      </c>
      <c r="B5326" s="5" t="s">
        <v>259</v>
      </c>
      <c r="C5326" s="5" t="s">
        <v>260</v>
      </c>
      <c r="D5326" s="4" t="s">
        <v>16</v>
      </c>
      <c r="E5326" s="4" t="s">
        <v>2286</v>
      </c>
      <c r="F5326" s="4" t="s">
        <v>470</v>
      </c>
      <c r="G5326" s="4" t="s">
        <v>2287</v>
      </c>
      <c r="H5326" s="12" t="n">
        <v>1</v>
      </c>
      <c r="I5326" s="4" t="s">
        <v>408</v>
      </c>
      <c r="J5326" s="4" t="s">
        <v>409</v>
      </c>
      <c r="K5326" s="13" t="n">
        <v>350</v>
      </c>
      <c r="L5326" s="6" t="n">
        <f aca="false">H5326*K5326</f>
        <v>350</v>
      </c>
      <c r="M5326" s="4" t="s">
        <v>371</v>
      </c>
    </row>
    <row r="5327" customFormat="false" ht="15" hidden="false" customHeight="false" outlineLevel="0" collapsed="false">
      <c r="A5327" s="4" t="s">
        <v>246</v>
      </c>
      <c r="B5327" s="5" t="s">
        <v>259</v>
      </c>
      <c r="C5327" s="5" t="s">
        <v>260</v>
      </c>
      <c r="D5327" s="4" t="s">
        <v>16</v>
      </c>
      <c r="E5327" s="4" t="s">
        <v>1089</v>
      </c>
      <c r="F5327" s="4" t="s">
        <v>470</v>
      </c>
      <c r="G5327" s="4" t="s">
        <v>1090</v>
      </c>
      <c r="H5327" s="12" t="n">
        <v>1</v>
      </c>
      <c r="I5327" s="4" t="s">
        <v>408</v>
      </c>
      <c r="J5327" s="4" t="s">
        <v>409</v>
      </c>
      <c r="K5327" s="13" t="n">
        <v>3500</v>
      </c>
      <c r="L5327" s="6" t="n">
        <f aca="false">H5327*K5327</f>
        <v>3500</v>
      </c>
      <c r="M5327" s="4" t="s">
        <v>371</v>
      </c>
    </row>
    <row r="5328" customFormat="false" ht="15" hidden="false" customHeight="false" outlineLevel="0" collapsed="false">
      <c r="A5328" s="4" t="s">
        <v>246</v>
      </c>
      <c r="B5328" s="5" t="s">
        <v>259</v>
      </c>
      <c r="C5328" s="5" t="s">
        <v>260</v>
      </c>
      <c r="D5328" s="4" t="s">
        <v>16</v>
      </c>
      <c r="E5328" s="4" t="s">
        <v>2289</v>
      </c>
      <c r="F5328" s="4" t="s">
        <v>470</v>
      </c>
      <c r="G5328" s="4" t="s">
        <v>2290</v>
      </c>
      <c r="H5328" s="12" t="n">
        <v>1</v>
      </c>
      <c r="I5328" s="4" t="s">
        <v>408</v>
      </c>
      <c r="J5328" s="4" t="s">
        <v>409</v>
      </c>
      <c r="K5328" s="13" t="n">
        <v>2500</v>
      </c>
      <c r="L5328" s="6" t="n">
        <f aca="false">H5328*K5328</f>
        <v>2500</v>
      </c>
      <c r="M5328" s="4" t="s">
        <v>371</v>
      </c>
    </row>
    <row r="5329" customFormat="false" ht="15" hidden="false" customHeight="false" outlineLevel="0" collapsed="false">
      <c r="A5329" s="4" t="s">
        <v>246</v>
      </c>
      <c r="B5329" s="5" t="s">
        <v>259</v>
      </c>
      <c r="C5329" s="5" t="s">
        <v>260</v>
      </c>
      <c r="D5329" s="4" t="s">
        <v>16</v>
      </c>
      <c r="E5329" s="4" t="s">
        <v>2359</v>
      </c>
      <c r="F5329" s="4" t="s">
        <v>470</v>
      </c>
      <c r="G5329" s="4" t="s">
        <v>2360</v>
      </c>
      <c r="H5329" s="12" t="n">
        <v>1</v>
      </c>
      <c r="I5329" s="4" t="s">
        <v>408</v>
      </c>
      <c r="J5329" s="4" t="s">
        <v>416</v>
      </c>
      <c r="K5329" s="13" t="n">
        <v>4500</v>
      </c>
      <c r="L5329" s="6" t="n">
        <f aca="false">H5329*K5329</f>
        <v>4500</v>
      </c>
      <c r="M5329" s="4" t="s">
        <v>371</v>
      </c>
    </row>
    <row r="5330" customFormat="false" ht="15" hidden="false" customHeight="false" outlineLevel="0" collapsed="false">
      <c r="A5330" s="4" t="s">
        <v>246</v>
      </c>
      <c r="B5330" s="5" t="s">
        <v>259</v>
      </c>
      <c r="C5330" s="5" t="s">
        <v>260</v>
      </c>
      <c r="D5330" s="4" t="s">
        <v>16</v>
      </c>
      <c r="E5330" s="4" t="s">
        <v>2361</v>
      </c>
      <c r="F5330" s="4" t="s">
        <v>470</v>
      </c>
      <c r="G5330" s="4" t="s">
        <v>2362</v>
      </c>
      <c r="H5330" s="12" t="n">
        <v>1</v>
      </c>
      <c r="I5330" s="4" t="s">
        <v>408</v>
      </c>
      <c r="J5330" s="4" t="s">
        <v>416</v>
      </c>
      <c r="K5330" s="13" t="n">
        <v>850</v>
      </c>
      <c r="L5330" s="6" t="n">
        <f aca="false">H5330*K5330</f>
        <v>850</v>
      </c>
      <c r="M5330" s="4" t="s">
        <v>371</v>
      </c>
    </row>
    <row r="5331" customFormat="false" ht="15" hidden="false" customHeight="false" outlineLevel="0" collapsed="false">
      <c r="A5331" s="4" t="s">
        <v>246</v>
      </c>
      <c r="B5331" s="5" t="s">
        <v>259</v>
      </c>
      <c r="C5331" s="5" t="s">
        <v>260</v>
      </c>
      <c r="D5331" s="4" t="s">
        <v>16</v>
      </c>
      <c r="E5331" s="4" t="s">
        <v>2301</v>
      </c>
      <c r="F5331" s="4" t="s">
        <v>470</v>
      </c>
      <c r="G5331" s="4" t="s">
        <v>2302</v>
      </c>
      <c r="H5331" s="12" t="n">
        <v>1</v>
      </c>
      <c r="I5331" s="4" t="s">
        <v>408</v>
      </c>
      <c r="J5331" s="4" t="s">
        <v>409</v>
      </c>
      <c r="K5331" s="13" t="n">
        <v>8500</v>
      </c>
      <c r="L5331" s="6" t="n">
        <f aca="false">H5331*K5331</f>
        <v>8500</v>
      </c>
      <c r="M5331" s="4" t="s">
        <v>371</v>
      </c>
    </row>
    <row r="5332" customFormat="false" ht="15" hidden="false" customHeight="false" outlineLevel="0" collapsed="false">
      <c r="A5332" s="4" t="s">
        <v>246</v>
      </c>
      <c r="B5332" s="5" t="s">
        <v>259</v>
      </c>
      <c r="C5332" s="5" t="s">
        <v>260</v>
      </c>
      <c r="D5332" s="4" t="s">
        <v>16</v>
      </c>
      <c r="E5332" s="4" t="s">
        <v>2303</v>
      </c>
      <c r="F5332" s="4" t="s">
        <v>470</v>
      </c>
      <c r="G5332" s="4" t="s">
        <v>2304</v>
      </c>
      <c r="H5332" s="12" t="n">
        <v>1</v>
      </c>
      <c r="I5332" s="4" t="s">
        <v>408</v>
      </c>
      <c r="J5332" s="4" t="s">
        <v>409</v>
      </c>
      <c r="K5332" s="13" t="n">
        <v>3500</v>
      </c>
      <c r="L5332" s="6" t="n">
        <f aca="false">H5332*K5332</f>
        <v>3500</v>
      </c>
      <c r="M5332" s="4" t="s">
        <v>371</v>
      </c>
    </row>
    <row r="5333" customFormat="false" ht="15" hidden="false" customHeight="false" outlineLevel="0" collapsed="false">
      <c r="A5333" s="4" t="s">
        <v>246</v>
      </c>
      <c r="B5333" s="5" t="s">
        <v>259</v>
      </c>
      <c r="C5333" s="5" t="s">
        <v>260</v>
      </c>
      <c r="D5333" s="4" t="s">
        <v>16</v>
      </c>
      <c r="E5333" s="4" t="s">
        <v>2305</v>
      </c>
      <c r="F5333" s="4" t="s">
        <v>470</v>
      </c>
      <c r="G5333" s="4" t="s">
        <v>2306</v>
      </c>
      <c r="H5333" s="12" t="n">
        <v>1</v>
      </c>
      <c r="I5333" s="4" t="s">
        <v>408</v>
      </c>
      <c r="J5333" s="4" t="s">
        <v>409</v>
      </c>
      <c r="K5333" s="13" t="n">
        <v>850</v>
      </c>
      <c r="L5333" s="6" t="n">
        <f aca="false">H5333*K5333</f>
        <v>850</v>
      </c>
      <c r="M5333" s="4" t="s">
        <v>371</v>
      </c>
    </row>
    <row r="5334" customFormat="false" ht="15" hidden="false" customHeight="false" outlineLevel="0" collapsed="false">
      <c r="A5334" s="4" t="s">
        <v>246</v>
      </c>
      <c r="B5334" s="5" t="s">
        <v>259</v>
      </c>
      <c r="C5334" s="5" t="s">
        <v>260</v>
      </c>
      <c r="D5334" s="4" t="s">
        <v>16</v>
      </c>
      <c r="E5334" s="4" t="s">
        <v>2307</v>
      </c>
      <c r="F5334" s="4" t="s">
        <v>488</v>
      </c>
      <c r="G5334" s="4" t="s">
        <v>2308</v>
      </c>
      <c r="H5334" s="12" t="n">
        <v>1</v>
      </c>
      <c r="I5334" s="4" t="s">
        <v>408</v>
      </c>
      <c r="J5334" s="4" t="s">
        <v>506</v>
      </c>
      <c r="K5334" s="13" t="n">
        <v>250</v>
      </c>
      <c r="L5334" s="6" t="n">
        <f aca="false">H5334*K5334</f>
        <v>250</v>
      </c>
      <c r="M5334" s="4" t="s">
        <v>371</v>
      </c>
    </row>
    <row r="5335" customFormat="false" ht="15" hidden="false" customHeight="false" outlineLevel="0" collapsed="false">
      <c r="A5335" s="4" t="s">
        <v>246</v>
      </c>
      <c r="B5335" s="5" t="s">
        <v>259</v>
      </c>
      <c r="C5335" s="5" t="s">
        <v>260</v>
      </c>
      <c r="D5335" s="4" t="s">
        <v>16</v>
      </c>
      <c r="E5335" s="4" t="s">
        <v>2309</v>
      </c>
      <c r="F5335" s="4" t="s">
        <v>488</v>
      </c>
      <c r="G5335" s="4" t="s">
        <v>2310</v>
      </c>
      <c r="H5335" s="12" t="n">
        <v>1</v>
      </c>
      <c r="I5335" s="4" t="s">
        <v>408</v>
      </c>
      <c r="J5335" s="4" t="s">
        <v>416</v>
      </c>
      <c r="K5335" s="13" t="n">
        <v>450</v>
      </c>
      <c r="L5335" s="6" t="n">
        <f aca="false">H5335*K5335</f>
        <v>450</v>
      </c>
      <c r="M5335" s="4" t="s">
        <v>371</v>
      </c>
    </row>
    <row r="5336" customFormat="false" ht="15" hidden="false" customHeight="false" outlineLevel="0" collapsed="false">
      <c r="A5336" s="4" t="s">
        <v>246</v>
      </c>
      <c r="B5336" s="5" t="s">
        <v>259</v>
      </c>
      <c r="C5336" s="5" t="s">
        <v>260</v>
      </c>
      <c r="D5336" s="4" t="s">
        <v>16</v>
      </c>
      <c r="E5336" s="4" t="s">
        <v>5945</v>
      </c>
      <c r="F5336" s="4" t="s">
        <v>488</v>
      </c>
      <c r="G5336" s="4" t="s">
        <v>5946</v>
      </c>
      <c r="H5336" s="12" t="n">
        <v>1</v>
      </c>
      <c r="I5336" s="4" t="s">
        <v>408</v>
      </c>
      <c r="J5336" s="4" t="s">
        <v>1080</v>
      </c>
      <c r="K5336" s="13" t="n">
        <v>180</v>
      </c>
      <c r="L5336" s="6" t="n">
        <f aca="false">H5336*K5336</f>
        <v>180</v>
      </c>
      <c r="M5336" s="4" t="s">
        <v>371</v>
      </c>
    </row>
    <row r="5337" customFormat="false" ht="15" hidden="false" customHeight="false" outlineLevel="0" collapsed="false">
      <c r="A5337" s="4" t="s">
        <v>246</v>
      </c>
      <c r="B5337" s="5" t="s">
        <v>259</v>
      </c>
      <c r="C5337" s="5" t="s">
        <v>260</v>
      </c>
      <c r="D5337" s="4" t="s">
        <v>16</v>
      </c>
      <c r="E5337" s="4" t="s">
        <v>5947</v>
      </c>
      <c r="F5337" s="4" t="s">
        <v>488</v>
      </c>
      <c r="G5337" s="4" t="s">
        <v>5948</v>
      </c>
      <c r="H5337" s="12" t="n">
        <v>1</v>
      </c>
      <c r="I5337" s="4" t="s">
        <v>408</v>
      </c>
      <c r="J5337" s="4" t="s">
        <v>1080</v>
      </c>
      <c r="K5337" s="13" t="n">
        <v>180</v>
      </c>
      <c r="L5337" s="6" t="n">
        <f aca="false">H5337*K5337</f>
        <v>180</v>
      </c>
      <c r="M5337" s="4" t="s">
        <v>371</v>
      </c>
    </row>
    <row r="5338" customFormat="false" ht="15" hidden="false" customHeight="false" outlineLevel="0" collapsed="false">
      <c r="A5338" s="4" t="s">
        <v>246</v>
      </c>
      <c r="B5338" s="5" t="s">
        <v>259</v>
      </c>
      <c r="C5338" s="5" t="s">
        <v>260</v>
      </c>
      <c r="D5338" s="4" t="s">
        <v>16</v>
      </c>
      <c r="E5338" s="4" t="s">
        <v>2315</v>
      </c>
      <c r="F5338" s="4" t="s">
        <v>488</v>
      </c>
      <c r="G5338" s="4" t="s">
        <v>2316</v>
      </c>
      <c r="H5338" s="12" t="n">
        <v>1</v>
      </c>
      <c r="I5338" s="4" t="s">
        <v>408</v>
      </c>
      <c r="J5338" s="4" t="s">
        <v>807</v>
      </c>
      <c r="K5338" s="13" t="n">
        <v>60</v>
      </c>
      <c r="L5338" s="6" t="n">
        <f aca="false">H5338*K5338</f>
        <v>60</v>
      </c>
      <c r="M5338" s="4" t="s">
        <v>371</v>
      </c>
    </row>
    <row r="5339" customFormat="false" ht="15" hidden="false" customHeight="false" outlineLevel="0" collapsed="false">
      <c r="A5339" s="4" t="s">
        <v>246</v>
      </c>
      <c r="B5339" s="5" t="s">
        <v>259</v>
      </c>
      <c r="C5339" s="5" t="s">
        <v>260</v>
      </c>
      <c r="D5339" s="4" t="s">
        <v>16</v>
      </c>
      <c r="E5339" s="4" t="s">
        <v>2317</v>
      </c>
      <c r="F5339" s="4" t="s">
        <v>488</v>
      </c>
      <c r="G5339" s="4" t="s">
        <v>2318</v>
      </c>
      <c r="H5339" s="12" t="n">
        <v>1</v>
      </c>
      <c r="I5339" s="4" t="s">
        <v>408</v>
      </c>
      <c r="J5339" s="4" t="s">
        <v>807</v>
      </c>
      <c r="K5339" s="13" t="n">
        <v>450</v>
      </c>
      <c r="L5339" s="6" t="n">
        <f aca="false">H5339*K5339</f>
        <v>450</v>
      </c>
      <c r="M5339" s="4" t="s">
        <v>371</v>
      </c>
    </row>
    <row r="5340" customFormat="false" ht="15" hidden="false" customHeight="false" outlineLevel="0" collapsed="false">
      <c r="A5340" s="4" t="s">
        <v>246</v>
      </c>
      <c r="B5340" s="5" t="s">
        <v>259</v>
      </c>
      <c r="C5340" s="5" t="s">
        <v>260</v>
      </c>
      <c r="D5340" s="4" t="s">
        <v>16</v>
      </c>
      <c r="E5340" s="4" t="s">
        <v>2319</v>
      </c>
      <c r="F5340" s="4" t="s">
        <v>488</v>
      </c>
      <c r="G5340" s="4" t="s">
        <v>2320</v>
      </c>
      <c r="H5340" s="12" t="n">
        <v>1</v>
      </c>
      <c r="I5340" s="4" t="s">
        <v>408</v>
      </c>
      <c r="J5340" s="4" t="s">
        <v>506</v>
      </c>
      <c r="K5340" s="13" t="n">
        <v>180</v>
      </c>
      <c r="L5340" s="6" t="n">
        <f aca="false">H5340*K5340</f>
        <v>180</v>
      </c>
      <c r="M5340" s="4" t="s">
        <v>371</v>
      </c>
    </row>
    <row r="5341" customFormat="false" ht="15" hidden="false" customHeight="false" outlineLevel="0" collapsed="false">
      <c r="A5341" s="4" t="s">
        <v>246</v>
      </c>
      <c r="B5341" s="5" t="s">
        <v>259</v>
      </c>
      <c r="C5341" s="5" t="s">
        <v>260</v>
      </c>
      <c r="D5341" s="4" t="s">
        <v>16</v>
      </c>
      <c r="E5341" s="4" t="s">
        <v>2321</v>
      </c>
      <c r="F5341" s="4" t="s">
        <v>488</v>
      </c>
      <c r="G5341" s="4" t="s">
        <v>2322</v>
      </c>
      <c r="H5341" s="12" t="n">
        <v>1</v>
      </c>
      <c r="I5341" s="4" t="s">
        <v>408</v>
      </c>
      <c r="J5341" s="4" t="s">
        <v>416</v>
      </c>
      <c r="K5341" s="13" t="n">
        <v>650</v>
      </c>
      <c r="L5341" s="6" t="n">
        <f aca="false">H5341*K5341</f>
        <v>650</v>
      </c>
      <c r="M5341" s="4" t="s">
        <v>371</v>
      </c>
    </row>
    <row r="5342" customFormat="false" ht="15" hidden="false" customHeight="false" outlineLevel="0" collapsed="false">
      <c r="A5342" s="4" t="s">
        <v>246</v>
      </c>
      <c r="B5342" s="5" t="s">
        <v>259</v>
      </c>
      <c r="C5342" s="5" t="s">
        <v>260</v>
      </c>
      <c r="D5342" s="4" t="s">
        <v>16</v>
      </c>
      <c r="E5342" s="4" t="s">
        <v>2325</v>
      </c>
      <c r="F5342" s="4" t="s">
        <v>488</v>
      </c>
      <c r="G5342" s="4" t="s">
        <v>2326</v>
      </c>
      <c r="H5342" s="12" t="n">
        <v>1</v>
      </c>
      <c r="I5342" s="4" t="s">
        <v>408</v>
      </c>
      <c r="J5342" s="4" t="s">
        <v>416</v>
      </c>
      <c r="K5342" s="13" t="n">
        <v>650</v>
      </c>
      <c r="L5342" s="6" t="n">
        <f aca="false">H5342*K5342</f>
        <v>650</v>
      </c>
      <c r="M5342" s="4" t="s">
        <v>371</v>
      </c>
    </row>
    <row r="5343" customFormat="false" ht="15" hidden="false" customHeight="false" outlineLevel="0" collapsed="false">
      <c r="A5343" s="4" t="s">
        <v>246</v>
      </c>
      <c r="B5343" s="5" t="s">
        <v>259</v>
      </c>
      <c r="C5343" s="5" t="s">
        <v>260</v>
      </c>
      <c r="D5343" s="4" t="s">
        <v>16</v>
      </c>
      <c r="E5343" s="4" t="s">
        <v>2327</v>
      </c>
      <c r="F5343" s="4" t="s">
        <v>488</v>
      </c>
      <c r="G5343" s="4" t="s">
        <v>2328</v>
      </c>
      <c r="H5343" s="12" t="n">
        <v>1</v>
      </c>
      <c r="I5343" s="4" t="s">
        <v>408</v>
      </c>
      <c r="J5343" s="4" t="s">
        <v>506</v>
      </c>
      <c r="K5343" s="13" t="n">
        <v>450</v>
      </c>
      <c r="L5343" s="6" t="n">
        <f aca="false">H5343*K5343</f>
        <v>450</v>
      </c>
      <c r="M5343" s="4" t="s">
        <v>371</v>
      </c>
    </row>
    <row r="5344" customFormat="false" ht="15" hidden="false" customHeight="false" outlineLevel="0" collapsed="false">
      <c r="A5344" s="4" t="s">
        <v>246</v>
      </c>
      <c r="B5344" s="5" t="s">
        <v>259</v>
      </c>
      <c r="C5344" s="5" t="s">
        <v>260</v>
      </c>
      <c r="D5344" s="4" t="s">
        <v>16</v>
      </c>
      <c r="E5344" s="4" t="s">
        <v>2329</v>
      </c>
      <c r="F5344" s="4" t="s">
        <v>470</v>
      </c>
      <c r="G5344" s="4" t="s">
        <v>2330</v>
      </c>
      <c r="H5344" s="12" t="n">
        <v>1</v>
      </c>
      <c r="I5344" s="4" t="s">
        <v>408</v>
      </c>
      <c r="J5344" s="4" t="s">
        <v>409</v>
      </c>
      <c r="K5344" s="13" t="n">
        <v>450</v>
      </c>
      <c r="L5344" s="6" t="n">
        <f aca="false">H5344*K5344</f>
        <v>450</v>
      </c>
      <c r="M5344" s="4" t="s">
        <v>371</v>
      </c>
    </row>
    <row r="5345" customFormat="false" ht="15" hidden="false" customHeight="false" outlineLevel="0" collapsed="false">
      <c r="A5345" s="4" t="s">
        <v>246</v>
      </c>
      <c r="B5345" s="5" t="s">
        <v>259</v>
      </c>
      <c r="C5345" s="5" t="s">
        <v>260</v>
      </c>
      <c r="D5345" s="4" t="s">
        <v>16</v>
      </c>
      <c r="E5345" s="4" t="s">
        <v>2331</v>
      </c>
      <c r="F5345" s="4" t="s">
        <v>470</v>
      </c>
      <c r="G5345" s="4" t="s">
        <v>2332</v>
      </c>
      <c r="H5345" s="12" t="n">
        <v>2</v>
      </c>
      <c r="I5345" s="4" t="s">
        <v>474</v>
      </c>
      <c r="J5345" s="4" t="s">
        <v>1080</v>
      </c>
      <c r="K5345" s="13" t="n">
        <v>120</v>
      </c>
      <c r="L5345" s="6" t="n">
        <f aca="false">H5345*K5345</f>
        <v>240</v>
      </c>
      <c r="M5345" s="4" t="s">
        <v>371</v>
      </c>
    </row>
    <row r="5346" customFormat="false" ht="15" hidden="false" customHeight="false" outlineLevel="0" collapsed="false">
      <c r="A5346" s="4" t="s">
        <v>246</v>
      </c>
      <c r="B5346" s="5" t="s">
        <v>259</v>
      </c>
      <c r="C5346" s="5" t="s">
        <v>260</v>
      </c>
      <c r="D5346" s="4" t="s">
        <v>16</v>
      </c>
      <c r="E5346" s="4" t="s">
        <v>2333</v>
      </c>
      <c r="F5346" s="4" t="s">
        <v>470</v>
      </c>
      <c r="G5346" s="4" t="s">
        <v>2334</v>
      </c>
      <c r="H5346" s="12" t="n">
        <v>1</v>
      </c>
      <c r="I5346" s="4" t="s">
        <v>408</v>
      </c>
      <c r="J5346" s="4" t="s">
        <v>409</v>
      </c>
      <c r="K5346" s="13" t="n">
        <v>350</v>
      </c>
      <c r="L5346" s="6" t="n">
        <f aca="false">H5346*K5346</f>
        <v>350</v>
      </c>
      <c r="M5346" s="4" t="s">
        <v>371</v>
      </c>
    </row>
    <row r="5347" customFormat="false" ht="15" hidden="false" customHeight="false" outlineLevel="0" collapsed="false">
      <c r="A5347" s="4" t="s">
        <v>246</v>
      </c>
      <c r="B5347" s="5" t="s">
        <v>259</v>
      </c>
      <c r="C5347" s="5" t="s">
        <v>260</v>
      </c>
      <c r="D5347" s="4" t="s">
        <v>16</v>
      </c>
      <c r="E5347" s="4" t="s">
        <v>2335</v>
      </c>
      <c r="F5347" s="4" t="s">
        <v>470</v>
      </c>
      <c r="G5347" s="4" t="s">
        <v>2336</v>
      </c>
      <c r="H5347" s="12" t="n">
        <v>1</v>
      </c>
      <c r="I5347" s="4" t="s">
        <v>408</v>
      </c>
      <c r="J5347" s="4" t="s">
        <v>409</v>
      </c>
      <c r="K5347" s="13" t="n">
        <v>850</v>
      </c>
      <c r="L5347" s="6" t="n">
        <f aca="false">H5347*K5347</f>
        <v>850</v>
      </c>
      <c r="M5347" s="4" t="s">
        <v>371</v>
      </c>
    </row>
    <row r="5348" customFormat="false" ht="15" hidden="false" customHeight="false" outlineLevel="0" collapsed="false">
      <c r="A5348" s="4" t="s">
        <v>246</v>
      </c>
      <c r="B5348" s="5" t="s">
        <v>259</v>
      </c>
      <c r="C5348" s="5" t="s">
        <v>260</v>
      </c>
      <c r="D5348" s="4" t="s">
        <v>16</v>
      </c>
      <c r="E5348" s="4" t="s">
        <v>2367</v>
      </c>
      <c r="F5348" s="4" t="s">
        <v>470</v>
      </c>
      <c r="G5348" s="4" t="s">
        <v>2368</v>
      </c>
      <c r="H5348" s="12" t="n">
        <v>1</v>
      </c>
      <c r="I5348" s="4" t="s">
        <v>408</v>
      </c>
      <c r="J5348" s="4" t="s">
        <v>416</v>
      </c>
      <c r="K5348" s="13" t="n">
        <v>850</v>
      </c>
      <c r="L5348" s="6" t="n">
        <f aca="false">H5348*K5348</f>
        <v>850</v>
      </c>
      <c r="M5348" s="4" t="s">
        <v>371</v>
      </c>
    </row>
    <row r="5349" customFormat="false" ht="15" hidden="false" customHeight="false" outlineLevel="0" collapsed="false">
      <c r="A5349" s="4" t="s">
        <v>246</v>
      </c>
      <c r="B5349" s="5" t="s">
        <v>259</v>
      </c>
      <c r="C5349" s="5" t="s">
        <v>260</v>
      </c>
      <c r="D5349" s="4" t="s">
        <v>16</v>
      </c>
      <c r="E5349" s="4" t="s">
        <v>2339</v>
      </c>
      <c r="F5349" s="4" t="s">
        <v>470</v>
      </c>
      <c r="G5349" s="4" t="s">
        <v>2340</v>
      </c>
      <c r="H5349" s="12" t="n">
        <v>1</v>
      </c>
      <c r="I5349" s="4" t="s">
        <v>408</v>
      </c>
      <c r="J5349" s="4" t="s">
        <v>416</v>
      </c>
      <c r="K5349" s="13" t="n">
        <v>8500</v>
      </c>
      <c r="L5349" s="6" t="n">
        <f aca="false">H5349*K5349</f>
        <v>8500</v>
      </c>
      <c r="M5349" s="14" t="s">
        <v>410</v>
      </c>
    </row>
    <row r="5350" customFormat="false" ht="15" hidden="false" customHeight="false" outlineLevel="0" collapsed="false">
      <c r="A5350" s="4" t="s">
        <v>246</v>
      </c>
      <c r="B5350" s="5" t="s">
        <v>259</v>
      </c>
      <c r="C5350" s="5" t="s">
        <v>260</v>
      </c>
      <c r="D5350" s="4" t="s">
        <v>16</v>
      </c>
      <c r="E5350" s="4" t="s">
        <v>2341</v>
      </c>
      <c r="F5350" s="4" t="s">
        <v>470</v>
      </c>
      <c r="G5350" s="4" t="s">
        <v>2342</v>
      </c>
      <c r="H5350" s="12" t="n">
        <v>1</v>
      </c>
      <c r="I5350" s="4" t="s">
        <v>408</v>
      </c>
      <c r="J5350" s="4" t="s">
        <v>543</v>
      </c>
      <c r="K5350" s="13" t="n">
        <v>5000</v>
      </c>
      <c r="L5350" s="6" t="n">
        <f aca="false">H5350*K5350</f>
        <v>5000</v>
      </c>
      <c r="M5350" s="4" t="s">
        <v>371</v>
      </c>
    </row>
    <row r="5351" customFormat="false" ht="15" hidden="false" customHeight="false" outlineLevel="0" collapsed="false">
      <c r="A5351" s="4" t="s">
        <v>261</v>
      </c>
      <c r="B5351" s="5" t="s">
        <v>264</v>
      </c>
      <c r="C5351" s="5" t="s">
        <v>265</v>
      </c>
      <c r="D5351" s="4" t="s">
        <v>16</v>
      </c>
      <c r="E5351" s="4" t="s">
        <v>3607</v>
      </c>
      <c r="F5351" s="4" t="s">
        <v>406</v>
      </c>
      <c r="G5351" s="4" t="s">
        <v>3608</v>
      </c>
      <c r="H5351" s="12" t="n">
        <v>10</v>
      </c>
      <c r="I5351" s="4" t="s">
        <v>474</v>
      </c>
      <c r="J5351" s="4" t="s">
        <v>409</v>
      </c>
      <c r="K5351" s="13" t="n">
        <v>150</v>
      </c>
      <c r="L5351" s="6" t="n">
        <f aca="false">H5351*K5351</f>
        <v>1500</v>
      </c>
      <c r="M5351" s="14" t="s">
        <v>410</v>
      </c>
    </row>
    <row r="5352" customFormat="false" ht="15" hidden="false" customHeight="false" outlineLevel="0" collapsed="false">
      <c r="A5352" s="4" t="s">
        <v>261</v>
      </c>
      <c r="B5352" s="5" t="s">
        <v>264</v>
      </c>
      <c r="C5352" s="5" t="s">
        <v>265</v>
      </c>
      <c r="D5352" s="4" t="s">
        <v>16</v>
      </c>
      <c r="E5352" s="4" t="s">
        <v>3423</v>
      </c>
      <c r="F5352" s="4" t="s">
        <v>406</v>
      </c>
      <c r="G5352" s="4" t="s">
        <v>3424</v>
      </c>
      <c r="H5352" s="12" t="n">
        <v>5</v>
      </c>
      <c r="I5352" s="4" t="s">
        <v>474</v>
      </c>
      <c r="J5352" s="4" t="s">
        <v>409</v>
      </c>
      <c r="K5352" s="13" t="n">
        <v>18000</v>
      </c>
      <c r="L5352" s="6" t="n">
        <f aca="false">H5352*K5352</f>
        <v>90000</v>
      </c>
      <c r="M5352" s="14" t="s">
        <v>410</v>
      </c>
    </row>
    <row r="5353" customFormat="false" ht="15" hidden="false" customHeight="false" outlineLevel="0" collapsed="false">
      <c r="A5353" s="4" t="s">
        <v>261</v>
      </c>
      <c r="B5353" s="5" t="s">
        <v>264</v>
      </c>
      <c r="C5353" s="5" t="s">
        <v>265</v>
      </c>
      <c r="D5353" s="4" t="s">
        <v>16</v>
      </c>
      <c r="E5353" s="4" t="s">
        <v>5949</v>
      </c>
      <c r="F5353" s="4" t="s">
        <v>406</v>
      </c>
      <c r="G5353" s="4" t="s">
        <v>5950</v>
      </c>
      <c r="H5353" s="12" t="n">
        <v>3</v>
      </c>
      <c r="I5353" s="4" t="s">
        <v>474</v>
      </c>
      <c r="J5353" s="4" t="s">
        <v>409</v>
      </c>
      <c r="K5353" s="13" t="n">
        <v>8500</v>
      </c>
      <c r="L5353" s="6" t="n">
        <f aca="false">H5353*K5353</f>
        <v>25500</v>
      </c>
      <c r="M5353" s="14" t="s">
        <v>410</v>
      </c>
    </row>
    <row r="5354" customFormat="false" ht="15" hidden="false" customHeight="false" outlineLevel="0" collapsed="false">
      <c r="A5354" s="4" t="s">
        <v>261</v>
      </c>
      <c r="B5354" s="5" t="s">
        <v>264</v>
      </c>
      <c r="C5354" s="5" t="s">
        <v>265</v>
      </c>
      <c r="D5354" s="4" t="s">
        <v>16</v>
      </c>
      <c r="E5354" s="4" t="s">
        <v>5951</v>
      </c>
      <c r="F5354" s="4" t="s">
        <v>406</v>
      </c>
      <c r="G5354" s="4" t="s">
        <v>5952</v>
      </c>
      <c r="H5354" s="12" t="n">
        <v>3</v>
      </c>
      <c r="I5354" s="4" t="s">
        <v>474</v>
      </c>
      <c r="J5354" s="4" t="s">
        <v>409</v>
      </c>
      <c r="K5354" s="13" t="n">
        <v>18000</v>
      </c>
      <c r="L5354" s="6" t="n">
        <f aca="false">H5354*K5354</f>
        <v>54000</v>
      </c>
      <c r="M5354" s="14" t="s">
        <v>410</v>
      </c>
    </row>
    <row r="5355" customFormat="false" ht="15" hidden="false" customHeight="false" outlineLevel="0" collapsed="false">
      <c r="A5355" s="4" t="s">
        <v>261</v>
      </c>
      <c r="B5355" s="5" t="s">
        <v>264</v>
      </c>
      <c r="C5355" s="5" t="s">
        <v>265</v>
      </c>
      <c r="D5355" s="4" t="s">
        <v>16</v>
      </c>
      <c r="E5355" s="4" t="s">
        <v>5953</v>
      </c>
      <c r="F5355" s="4" t="s">
        <v>406</v>
      </c>
      <c r="G5355" s="4" t="s">
        <v>5954</v>
      </c>
      <c r="H5355" s="12" t="n">
        <v>10</v>
      </c>
      <c r="I5355" s="4" t="s">
        <v>474</v>
      </c>
      <c r="J5355" s="4" t="s">
        <v>409</v>
      </c>
      <c r="K5355" s="13" t="n">
        <v>1200</v>
      </c>
      <c r="L5355" s="6" t="n">
        <f aca="false">H5355*K5355</f>
        <v>12000</v>
      </c>
      <c r="M5355" s="14" t="s">
        <v>410</v>
      </c>
    </row>
    <row r="5356" customFormat="false" ht="15" hidden="false" customHeight="false" outlineLevel="0" collapsed="false">
      <c r="A5356" s="4" t="s">
        <v>261</v>
      </c>
      <c r="B5356" s="5" t="s">
        <v>264</v>
      </c>
      <c r="C5356" s="5" t="s">
        <v>265</v>
      </c>
      <c r="D5356" s="4" t="s">
        <v>16</v>
      </c>
      <c r="E5356" s="4" t="s">
        <v>5955</v>
      </c>
      <c r="F5356" s="4" t="s">
        <v>406</v>
      </c>
      <c r="G5356" s="4" t="s">
        <v>5956</v>
      </c>
      <c r="H5356" s="12" t="n">
        <v>10</v>
      </c>
      <c r="I5356" s="4" t="s">
        <v>474</v>
      </c>
      <c r="J5356" s="4" t="s">
        <v>409</v>
      </c>
      <c r="K5356" s="13" t="n">
        <v>850</v>
      </c>
      <c r="L5356" s="6" t="n">
        <f aca="false">H5356*K5356</f>
        <v>8500</v>
      </c>
      <c r="M5356" s="14" t="s">
        <v>410</v>
      </c>
    </row>
    <row r="5357" customFormat="false" ht="15" hidden="false" customHeight="false" outlineLevel="0" collapsed="false">
      <c r="A5357" s="4" t="s">
        <v>261</v>
      </c>
      <c r="B5357" s="5" t="s">
        <v>264</v>
      </c>
      <c r="C5357" s="5" t="s">
        <v>265</v>
      </c>
      <c r="D5357" s="4" t="s">
        <v>16</v>
      </c>
      <c r="E5357" s="4" t="s">
        <v>5957</v>
      </c>
      <c r="F5357" s="4" t="s">
        <v>406</v>
      </c>
      <c r="G5357" s="4" t="s">
        <v>5958</v>
      </c>
      <c r="H5357" s="12" t="n">
        <v>10</v>
      </c>
      <c r="I5357" s="4" t="s">
        <v>474</v>
      </c>
      <c r="J5357" s="4" t="s">
        <v>409</v>
      </c>
      <c r="K5357" s="13" t="n">
        <v>850</v>
      </c>
      <c r="L5357" s="6" t="n">
        <f aca="false">H5357*K5357</f>
        <v>8500</v>
      </c>
      <c r="M5357" s="14" t="s">
        <v>410</v>
      </c>
    </row>
    <row r="5358" customFormat="false" ht="15" hidden="false" customHeight="false" outlineLevel="0" collapsed="false">
      <c r="A5358" s="4" t="s">
        <v>261</v>
      </c>
      <c r="B5358" s="5" t="s">
        <v>264</v>
      </c>
      <c r="C5358" s="5" t="s">
        <v>265</v>
      </c>
      <c r="D5358" s="4" t="s">
        <v>16</v>
      </c>
      <c r="E5358" s="4" t="s">
        <v>5959</v>
      </c>
      <c r="F5358" s="4" t="s">
        <v>406</v>
      </c>
      <c r="G5358" s="4" t="s">
        <v>5960</v>
      </c>
      <c r="H5358" s="12" t="n">
        <v>2</v>
      </c>
      <c r="I5358" s="4" t="s">
        <v>474</v>
      </c>
      <c r="J5358" s="4" t="s">
        <v>409</v>
      </c>
      <c r="K5358" s="13" t="n">
        <v>35000</v>
      </c>
      <c r="L5358" s="6" t="n">
        <f aca="false">H5358*K5358</f>
        <v>70000</v>
      </c>
      <c r="M5358" s="14" t="s">
        <v>410</v>
      </c>
    </row>
    <row r="5359" customFormat="false" ht="15" hidden="false" customHeight="false" outlineLevel="0" collapsed="false">
      <c r="A5359" s="4" t="s">
        <v>261</v>
      </c>
      <c r="B5359" s="5" t="s">
        <v>264</v>
      </c>
      <c r="C5359" s="5" t="s">
        <v>265</v>
      </c>
      <c r="D5359" s="4" t="s">
        <v>16</v>
      </c>
      <c r="E5359" s="4" t="s">
        <v>5961</v>
      </c>
      <c r="F5359" s="4" t="s">
        <v>470</v>
      </c>
      <c r="G5359" s="4" t="s">
        <v>5962</v>
      </c>
      <c r="H5359" s="12" t="n">
        <v>10</v>
      </c>
      <c r="I5359" s="4" t="s">
        <v>474</v>
      </c>
      <c r="J5359" s="4" t="s">
        <v>409</v>
      </c>
      <c r="K5359" s="13" t="n">
        <v>45000</v>
      </c>
      <c r="L5359" s="6" t="n">
        <f aca="false">H5359*K5359</f>
        <v>450000</v>
      </c>
      <c r="M5359" s="14" t="s">
        <v>410</v>
      </c>
    </row>
    <row r="5360" customFormat="false" ht="15" hidden="false" customHeight="false" outlineLevel="0" collapsed="false">
      <c r="A5360" s="4" t="s">
        <v>261</v>
      </c>
      <c r="B5360" s="5" t="s">
        <v>264</v>
      </c>
      <c r="C5360" s="5" t="s">
        <v>265</v>
      </c>
      <c r="D5360" s="4" t="s">
        <v>16</v>
      </c>
      <c r="E5360" s="4" t="s">
        <v>1699</v>
      </c>
      <c r="F5360" s="4" t="s">
        <v>470</v>
      </c>
      <c r="G5360" s="4" t="s">
        <v>1700</v>
      </c>
      <c r="H5360" s="12" t="n">
        <v>10</v>
      </c>
      <c r="I5360" s="4" t="s">
        <v>474</v>
      </c>
      <c r="J5360" s="4" t="s">
        <v>409</v>
      </c>
      <c r="K5360" s="13" t="n">
        <v>55000</v>
      </c>
      <c r="L5360" s="6" t="n">
        <f aca="false">H5360*K5360</f>
        <v>550000</v>
      </c>
      <c r="M5360" s="14" t="s">
        <v>410</v>
      </c>
    </row>
    <row r="5361" customFormat="false" ht="15" hidden="false" customHeight="false" outlineLevel="0" collapsed="false">
      <c r="A5361" s="4" t="s">
        <v>261</v>
      </c>
      <c r="B5361" s="5" t="s">
        <v>264</v>
      </c>
      <c r="C5361" s="5" t="s">
        <v>265</v>
      </c>
      <c r="D5361" s="4" t="s">
        <v>16</v>
      </c>
      <c r="E5361" s="4" t="s">
        <v>1616</v>
      </c>
      <c r="F5361" s="4" t="s">
        <v>470</v>
      </c>
      <c r="G5361" s="4" t="s">
        <v>1617</v>
      </c>
      <c r="H5361" s="12" t="n">
        <v>5</v>
      </c>
      <c r="I5361" s="4" t="s">
        <v>474</v>
      </c>
      <c r="J5361" s="4" t="s">
        <v>409</v>
      </c>
      <c r="K5361" s="13" t="n">
        <v>12000</v>
      </c>
      <c r="L5361" s="6" t="n">
        <f aca="false">H5361*K5361</f>
        <v>60000</v>
      </c>
      <c r="M5361" s="14" t="s">
        <v>410</v>
      </c>
    </row>
    <row r="5362" customFormat="false" ht="15" hidden="false" customHeight="false" outlineLevel="0" collapsed="false">
      <c r="A5362" s="4" t="s">
        <v>261</v>
      </c>
      <c r="B5362" s="5" t="s">
        <v>264</v>
      </c>
      <c r="C5362" s="5" t="s">
        <v>265</v>
      </c>
      <c r="D5362" s="4" t="s">
        <v>16</v>
      </c>
      <c r="E5362" s="4" t="s">
        <v>1253</v>
      </c>
      <c r="F5362" s="4" t="s">
        <v>470</v>
      </c>
      <c r="G5362" s="4" t="s">
        <v>1254</v>
      </c>
      <c r="H5362" s="12" t="n">
        <v>5</v>
      </c>
      <c r="I5362" s="4" t="s">
        <v>474</v>
      </c>
      <c r="J5362" s="4" t="s">
        <v>409</v>
      </c>
      <c r="K5362" s="13" t="n">
        <v>8500</v>
      </c>
      <c r="L5362" s="6" t="n">
        <f aca="false">H5362*K5362</f>
        <v>42500</v>
      </c>
      <c r="M5362" s="14" t="s">
        <v>410</v>
      </c>
    </row>
    <row r="5363" customFormat="false" ht="15" hidden="false" customHeight="false" outlineLevel="0" collapsed="false">
      <c r="A5363" s="4" t="s">
        <v>261</v>
      </c>
      <c r="B5363" s="5" t="s">
        <v>264</v>
      </c>
      <c r="C5363" s="5" t="s">
        <v>265</v>
      </c>
      <c r="D5363" s="4" t="s">
        <v>16</v>
      </c>
      <c r="E5363" s="4" t="s">
        <v>5963</v>
      </c>
      <c r="F5363" s="4" t="s">
        <v>470</v>
      </c>
      <c r="G5363" s="4" t="s">
        <v>5964</v>
      </c>
      <c r="H5363" s="12" t="n">
        <v>2</v>
      </c>
      <c r="I5363" s="4" t="s">
        <v>474</v>
      </c>
      <c r="J5363" s="4" t="s">
        <v>409</v>
      </c>
      <c r="K5363" s="13" t="n">
        <v>18000</v>
      </c>
      <c r="L5363" s="6" t="n">
        <f aca="false">H5363*K5363</f>
        <v>36000</v>
      </c>
      <c r="M5363" s="14" t="s">
        <v>410</v>
      </c>
    </row>
    <row r="5364" customFormat="false" ht="15" hidden="false" customHeight="false" outlineLevel="0" collapsed="false">
      <c r="A5364" s="4" t="s">
        <v>261</v>
      </c>
      <c r="B5364" s="5" t="s">
        <v>264</v>
      </c>
      <c r="C5364" s="5" t="s">
        <v>265</v>
      </c>
      <c r="D5364" s="4" t="s">
        <v>16</v>
      </c>
      <c r="E5364" s="4" t="s">
        <v>2390</v>
      </c>
      <c r="F5364" s="4" t="s">
        <v>470</v>
      </c>
      <c r="G5364" s="4" t="s">
        <v>2391</v>
      </c>
      <c r="H5364" s="12" t="n">
        <v>2</v>
      </c>
      <c r="I5364" s="4" t="s">
        <v>474</v>
      </c>
      <c r="J5364" s="4" t="s">
        <v>409</v>
      </c>
      <c r="K5364" s="13" t="n">
        <v>85000</v>
      </c>
      <c r="L5364" s="6" t="n">
        <f aca="false">H5364*K5364</f>
        <v>170000</v>
      </c>
      <c r="M5364" s="14" t="s">
        <v>410</v>
      </c>
    </row>
    <row r="5365" customFormat="false" ht="15" hidden="false" customHeight="false" outlineLevel="0" collapsed="false">
      <c r="A5365" s="4" t="s">
        <v>261</v>
      </c>
      <c r="B5365" s="5" t="s">
        <v>264</v>
      </c>
      <c r="C5365" s="5" t="s">
        <v>265</v>
      </c>
      <c r="D5365" s="4" t="s">
        <v>16</v>
      </c>
      <c r="E5365" s="4" t="s">
        <v>1697</v>
      </c>
      <c r="F5365" s="4" t="s">
        <v>470</v>
      </c>
      <c r="G5365" s="4" t="s">
        <v>1698</v>
      </c>
      <c r="H5365" s="12" t="n">
        <v>3</v>
      </c>
      <c r="I5365" s="4" t="s">
        <v>474</v>
      </c>
      <c r="J5365" s="4" t="s">
        <v>409</v>
      </c>
      <c r="K5365" s="13" t="n">
        <v>45000</v>
      </c>
      <c r="L5365" s="6" t="n">
        <f aca="false">H5365*K5365</f>
        <v>135000</v>
      </c>
      <c r="M5365" s="14" t="s">
        <v>410</v>
      </c>
    </row>
    <row r="5366" customFormat="false" ht="15" hidden="false" customHeight="false" outlineLevel="0" collapsed="false">
      <c r="A5366" s="4" t="s">
        <v>261</v>
      </c>
      <c r="B5366" s="5" t="s">
        <v>264</v>
      </c>
      <c r="C5366" s="5" t="s">
        <v>265</v>
      </c>
      <c r="D5366" s="4" t="s">
        <v>16</v>
      </c>
      <c r="E5366" s="4" t="s">
        <v>5832</v>
      </c>
      <c r="F5366" s="4" t="s">
        <v>470</v>
      </c>
      <c r="G5366" s="4" t="s">
        <v>5833</v>
      </c>
      <c r="H5366" s="12" t="n">
        <v>10</v>
      </c>
      <c r="I5366" s="4" t="s">
        <v>474</v>
      </c>
      <c r="J5366" s="4" t="s">
        <v>409</v>
      </c>
      <c r="K5366" s="13" t="n">
        <v>1800</v>
      </c>
      <c r="L5366" s="6" t="n">
        <f aca="false">H5366*K5366</f>
        <v>18000</v>
      </c>
      <c r="M5366" s="14" t="s">
        <v>410</v>
      </c>
    </row>
    <row r="5367" customFormat="false" ht="15" hidden="false" customHeight="false" outlineLevel="0" collapsed="false">
      <c r="A5367" s="4" t="s">
        <v>261</v>
      </c>
      <c r="B5367" s="5" t="s">
        <v>264</v>
      </c>
      <c r="C5367" s="5" t="s">
        <v>265</v>
      </c>
      <c r="D5367" s="4" t="s">
        <v>16</v>
      </c>
      <c r="E5367" s="4" t="s">
        <v>5965</v>
      </c>
      <c r="F5367" s="4" t="s">
        <v>470</v>
      </c>
      <c r="G5367" s="4" t="s">
        <v>5966</v>
      </c>
      <c r="H5367" s="12" t="n">
        <v>10</v>
      </c>
      <c r="I5367" s="4" t="s">
        <v>474</v>
      </c>
      <c r="J5367" s="4" t="s">
        <v>409</v>
      </c>
      <c r="K5367" s="13" t="n">
        <v>4500</v>
      </c>
      <c r="L5367" s="6" t="n">
        <f aca="false">H5367*K5367</f>
        <v>45000</v>
      </c>
      <c r="M5367" s="14" t="s">
        <v>410</v>
      </c>
    </row>
    <row r="5368" customFormat="false" ht="15" hidden="false" customHeight="false" outlineLevel="0" collapsed="false">
      <c r="A5368" s="4" t="s">
        <v>261</v>
      </c>
      <c r="B5368" s="5" t="s">
        <v>264</v>
      </c>
      <c r="C5368" s="5" t="s">
        <v>265</v>
      </c>
      <c r="D5368" s="4" t="s">
        <v>16</v>
      </c>
      <c r="E5368" s="4" t="s">
        <v>5967</v>
      </c>
      <c r="F5368" s="4" t="s">
        <v>470</v>
      </c>
      <c r="G5368" s="4" t="s">
        <v>5968</v>
      </c>
      <c r="H5368" s="12" t="n">
        <v>2</v>
      </c>
      <c r="I5368" s="4" t="s">
        <v>474</v>
      </c>
      <c r="J5368" s="4" t="s">
        <v>416</v>
      </c>
      <c r="K5368" s="13" t="n">
        <v>8500</v>
      </c>
      <c r="L5368" s="6" t="n">
        <f aca="false">H5368*K5368</f>
        <v>17000</v>
      </c>
      <c r="M5368" s="14" t="s">
        <v>410</v>
      </c>
    </row>
    <row r="5369" customFormat="false" ht="15" hidden="false" customHeight="false" outlineLevel="0" collapsed="false">
      <c r="A5369" s="4" t="s">
        <v>261</v>
      </c>
      <c r="B5369" s="5" t="s">
        <v>264</v>
      </c>
      <c r="C5369" s="5" t="s">
        <v>265</v>
      </c>
      <c r="D5369" s="4" t="s">
        <v>16</v>
      </c>
      <c r="E5369" s="4" t="s">
        <v>5969</v>
      </c>
      <c r="F5369" s="4" t="s">
        <v>470</v>
      </c>
      <c r="G5369" s="4" t="s">
        <v>5970</v>
      </c>
      <c r="H5369" s="12" t="n">
        <v>20</v>
      </c>
      <c r="I5369" s="4" t="s">
        <v>474</v>
      </c>
      <c r="J5369" s="4" t="s">
        <v>409</v>
      </c>
      <c r="K5369" s="13" t="n">
        <v>650</v>
      </c>
      <c r="L5369" s="6" t="n">
        <f aca="false">H5369*K5369</f>
        <v>13000</v>
      </c>
      <c r="M5369" s="14" t="s">
        <v>410</v>
      </c>
    </row>
    <row r="5370" customFormat="false" ht="15" hidden="false" customHeight="false" outlineLevel="0" collapsed="false">
      <c r="A5370" s="4" t="s">
        <v>261</v>
      </c>
      <c r="B5370" s="5" t="s">
        <v>264</v>
      </c>
      <c r="C5370" s="5" t="s">
        <v>265</v>
      </c>
      <c r="D5370" s="4" t="s">
        <v>16</v>
      </c>
      <c r="E5370" s="4" t="s">
        <v>5971</v>
      </c>
      <c r="F5370" s="4" t="s">
        <v>470</v>
      </c>
      <c r="G5370" s="4" t="s">
        <v>5972</v>
      </c>
      <c r="H5370" s="12" t="n">
        <v>5</v>
      </c>
      <c r="I5370" s="4" t="s">
        <v>474</v>
      </c>
      <c r="J5370" s="4" t="s">
        <v>409</v>
      </c>
      <c r="K5370" s="13" t="n">
        <v>8500</v>
      </c>
      <c r="L5370" s="6" t="n">
        <f aca="false">H5370*K5370</f>
        <v>42500</v>
      </c>
      <c r="M5370" s="14" t="s">
        <v>410</v>
      </c>
    </row>
    <row r="5371" customFormat="false" ht="15" hidden="false" customHeight="false" outlineLevel="0" collapsed="false">
      <c r="A5371" s="4" t="s">
        <v>261</v>
      </c>
      <c r="B5371" s="5" t="s">
        <v>264</v>
      </c>
      <c r="C5371" s="5" t="s">
        <v>265</v>
      </c>
      <c r="D5371" s="4" t="s">
        <v>16</v>
      </c>
      <c r="E5371" s="4" t="s">
        <v>5973</v>
      </c>
      <c r="F5371" s="4" t="s">
        <v>470</v>
      </c>
      <c r="G5371" s="4" t="s">
        <v>5974</v>
      </c>
      <c r="H5371" s="12" t="n">
        <v>1</v>
      </c>
      <c r="I5371" s="4" t="s">
        <v>474</v>
      </c>
      <c r="J5371" s="4" t="s">
        <v>543</v>
      </c>
      <c r="K5371" s="13" t="n">
        <v>25000</v>
      </c>
      <c r="L5371" s="6" t="n">
        <f aca="false">H5371*K5371</f>
        <v>25000</v>
      </c>
      <c r="M5371" s="4" t="s">
        <v>371</v>
      </c>
    </row>
    <row r="5372" customFormat="false" ht="15" hidden="false" customHeight="false" outlineLevel="0" collapsed="false">
      <c r="A5372" s="4" t="s">
        <v>261</v>
      </c>
      <c r="B5372" s="5" t="s">
        <v>264</v>
      </c>
      <c r="C5372" s="5" t="s">
        <v>265</v>
      </c>
      <c r="D5372" s="4" t="s">
        <v>16</v>
      </c>
      <c r="E5372" s="4" t="s">
        <v>5975</v>
      </c>
      <c r="F5372" s="4" t="s">
        <v>470</v>
      </c>
      <c r="G5372" s="4" t="s">
        <v>5976</v>
      </c>
      <c r="H5372" s="12" t="n">
        <v>2</v>
      </c>
      <c r="I5372" s="4" t="s">
        <v>474</v>
      </c>
      <c r="J5372" s="4" t="s">
        <v>416</v>
      </c>
      <c r="K5372" s="13" t="n">
        <v>25000</v>
      </c>
      <c r="L5372" s="6" t="n">
        <f aca="false">H5372*K5372</f>
        <v>50000</v>
      </c>
      <c r="M5372" s="4" t="s">
        <v>371</v>
      </c>
    </row>
    <row r="5373" customFormat="false" ht="15" hidden="false" customHeight="false" outlineLevel="0" collapsed="false">
      <c r="A5373" s="4" t="s">
        <v>261</v>
      </c>
      <c r="B5373" s="5" t="s">
        <v>264</v>
      </c>
      <c r="C5373" s="5" t="s">
        <v>265</v>
      </c>
      <c r="D5373" s="4" t="s">
        <v>16</v>
      </c>
      <c r="E5373" s="4" t="s">
        <v>5977</v>
      </c>
      <c r="F5373" s="4" t="s">
        <v>470</v>
      </c>
      <c r="G5373" s="4" t="s">
        <v>5978</v>
      </c>
      <c r="H5373" s="12" t="n">
        <v>5</v>
      </c>
      <c r="I5373" s="4" t="s">
        <v>474</v>
      </c>
      <c r="J5373" s="4" t="s">
        <v>409</v>
      </c>
      <c r="K5373" s="13" t="n">
        <v>1800</v>
      </c>
      <c r="L5373" s="6" t="n">
        <f aca="false">H5373*K5373</f>
        <v>9000</v>
      </c>
      <c r="M5373" s="14" t="s">
        <v>410</v>
      </c>
    </row>
    <row r="5374" customFormat="false" ht="15" hidden="false" customHeight="false" outlineLevel="0" collapsed="false">
      <c r="A5374" s="4" t="s">
        <v>261</v>
      </c>
      <c r="B5374" s="5" t="s">
        <v>264</v>
      </c>
      <c r="C5374" s="5" t="s">
        <v>265</v>
      </c>
      <c r="D5374" s="4" t="s">
        <v>16</v>
      </c>
      <c r="E5374" s="4" t="s">
        <v>5979</v>
      </c>
      <c r="F5374" s="4" t="s">
        <v>470</v>
      </c>
      <c r="G5374" s="4" t="s">
        <v>5980</v>
      </c>
      <c r="H5374" s="12" t="n">
        <v>10</v>
      </c>
      <c r="I5374" s="4" t="s">
        <v>474</v>
      </c>
      <c r="J5374" s="4" t="s">
        <v>409</v>
      </c>
      <c r="K5374" s="13" t="n">
        <v>350</v>
      </c>
      <c r="L5374" s="6" t="n">
        <f aca="false">H5374*K5374</f>
        <v>3500</v>
      </c>
      <c r="M5374" s="14" t="s">
        <v>410</v>
      </c>
    </row>
    <row r="5375" customFormat="false" ht="15" hidden="false" customHeight="false" outlineLevel="0" collapsed="false">
      <c r="A5375" s="4" t="s">
        <v>261</v>
      </c>
      <c r="B5375" s="5" t="s">
        <v>264</v>
      </c>
      <c r="C5375" s="5" t="s">
        <v>265</v>
      </c>
      <c r="D5375" s="4" t="s">
        <v>16</v>
      </c>
      <c r="E5375" s="4" t="s">
        <v>5981</v>
      </c>
      <c r="F5375" s="4" t="s">
        <v>470</v>
      </c>
      <c r="G5375" s="4" t="s">
        <v>5982</v>
      </c>
      <c r="H5375" s="12" t="n">
        <v>10</v>
      </c>
      <c r="I5375" s="4" t="s">
        <v>474</v>
      </c>
      <c r="J5375" s="4" t="s">
        <v>409</v>
      </c>
      <c r="K5375" s="13" t="n">
        <v>250</v>
      </c>
      <c r="L5375" s="6" t="n">
        <f aca="false">H5375*K5375</f>
        <v>2500</v>
      </c>
      <c r="M5375" s="14" t="s">
        <v>410</v>
      </c>
    </row>
    <row r="5376" customFormat="false" ht="15" hidden="false" customHeight="false" outlineLevel="0" collapsed="false">
      <c r="A5376" s="4" t="s">
        <v>261</v>
      </c>
      <c r="B5376" s="5" t="s">
        <v>264</v>
      </c>
      <c r="C5376" s="5" t="s">
        <v>265</v>
      </c>
      <c r="D5376" s="4" t="s">
        <v>16</v>
      </c>
      <c r="E5376" s="4" t="s">
        <v>5983</v>
      </c>
      <c r="F5376" s="4" t="s">
        <v>470</v>
      </c>
      <c r="G5376" s="4" t="s">
        <v>5984</v>
      </c>
      <c r="H5376" s="12" t="n">
        <v>5</v>
      </c>
      <c r="I5376" s="4" t="s">
        <v>474</v>
      </c>
      <c r="J5376" s="4" t="s">
        <v>409</v>
      </c>
      <c r="K5376" s="13" t="n">
        <v>8500</v>
      </c>
      <c r="L5376" s="6" t="n">
        <f aca="false">H5376*K5376</f>
        <v>42500</v>
      </c>
      <c r="M5376" s="4" t="s">
        <v>371</v>
      </c>
    </row>
    <row r="5377" customFormat="false" ht="15" hidden="false" customHeight="false" outlineLevel="0" collapsed="false">
      <c r="A5377" s="4" t="s">
        <v>261</v>
      </c>
      <c r="B5377" s="5" t="s">
        <v>264</v>
      </c>
      <c r="C5377" s="5" t="s">
        <v>265</v>
      </c>
      <c r="D5377" s="4" t="s">
        <v>16</v>
      </c>
      <c r="E5377" s="4" t="s">
        <v>5985</v>
      </c>
      <c r="F5377" s="4" t="s">
        <v>470</v>
      </c>
      <c r="G5377" s="4" t="s">
        <v>5986</v>
      </c>
      <c r="H5377" s="12" t="n">
        <v>10</v>
      </c>
      <c r="I5377" s="4" t="s">
        <v>474</v>
      </c>
      <c r="J5377" s="4" t="s">
        <v>543</v>
      </c>
      <c r="K5377" s="13" t="n">
        <v>6500</v>
      </c>
      <c r="L5377" s="6" t="n">
        <f aca="false">H5377*K5377</f>
        <v>65000</v>
      </c>
      <c r="M5377" s="4" t="s">
        <v>371</v>
      </c>
    </row>
    <row r="5378" customFormat="false" ht="15" hidden="false" customHeight="false" outlineLevel="0" collapsed="false">
      <c r="A5378" s="4" t="s">
        <v>261</v>
      </c>
      <c r="B5378" s="5" t="s">
        <v>264</v>
      </c>
      <c r="C5378" s="5" t="s">
        <v>265</v>
      </c>
      <c r="D5378" s="4" t="s">
        <v>16</v>
      </c>
      <c r="E5378" s="4" t="s">
        <v>5987</v>
      </c>
      <c r="F5378" s="4" t="s">
        <v>470</v>
      </c>
      <c r="G5378" s="4" t="s">
        <v>5988</v>
      </c>
      <c r="H5378" s="12" t="n">
        <v>10</v>
      </c>
      <c r="I5378" s="4" t="s">
        <v>474</v>
      </c>
      <c r="J5378" s="4" t="s">
        <v>543</v>
      </c>
      <c r="K5378" s="13" t="n">
        <v>4500</v>
      </c>
      <c r="L5378" s="6" t="n">
        <f aca="false">H5378*K5378</f>
        <v>45000</v>
      </c>
      <c r="M5378" s="4" t="s">
        <v>371</v>
      </c>
    </row>
    <row r="5379" customFormat="false" ht="15" hidden="false" customHeight="false" outlineLevel="0" collapsed="false">
      <c r="A5379" s="4" t="s">
        <v>261</v>
      </c>
      <c r="B5379" s="5" t="s">
        <v>264</v>
      </c>
      <c r="C5379" s="5" t="s">
        <v>265</v>
      </c>
      <c r="D5379" s="4" t="s">
        <v>16</v>
      </c>
      <c r="E5379" s="4" t="s">
        <v>5989</v>
      </c>
      <c r="F5379" s="4" t="s">
        <v>470</v>
      </c>
      <c r="G5379" s="4" t="s">
        <v>5990</v>
      </c>
      <c r="H5379" s="12" t="n">
        <v>5</v>
      </c>
      <c r="I5379" s="4" t="s">
        <v>474</v>
      </c>
      <c r="J5379" s="4" t="s">
        <v>543</v>
      </c>
      <c r="K5379" s="13" t="n">
        <v>18000</v>
      </c>
      <c r="L5379" s="6" t="n">
        <f aca="false">H5379*K5379</f>
        <v>90000</v>
      </c>
      <c r="M5379" s="4" t="s">
        <v>371</v>
      </c>
    </row>
    <row r="5380" customFormat="false" ht="15" hidden="false" customHeight="false" outlineLevel="0" collapsed="false">
      <c r="A5380" s="4" t="s">
        <v>261</v>
      </c>
      <c r="B5380" s="5" t="s">
        <v>264</v>
      </c>
      <c r="C5380" s="5" t="s">
        <v>265</v>
      </c>
      <c r="D5380" s="4" t="s">
        <v>16</v>
      </c>
      <c r="E5380" s="4" t="s">
        <v>5991</v>
      </c>
      <c r="F5380" s="4" t="s">
        <v>470</v>
      </c>
      <c r="G5380" s="4" t="s">
        <v>5992</v>
      </c>
      <c r="H5380" s="12" t="n">
        <v>10</v>
      </c>
      <c r="I5380" s="4" t="s">
        <v>474</v>
      </c>
      <c r="J5380" s="4" t="s">
        <v>409</v>
      </c>
      <c r="K5380" s="13" t="n">
        <v>8500</v>
      </c>
      <c r="L5380" s="6" t="n">
        <f aca="false">H5380*K5380</f>
        <v>85000</v>
      </c>
      <c r="M5380" s="4" t="s">
        <v>371</v>
      </c>
    </row>
    <row r="5381" customFormat="false" ht="15" hidden="false" customHeight="false" outlineLevel="0" collapsed="false">
      <c r="A5381" s="4" t="s">
        <v>261</v>
      </c>
      <c r="B5381" s="5" t="s">
        <v>264</v>
      </c>
      <c r="C5381" s="5" t="s">
        <v>265</v>
      </c>
      <c r="D5381" s="4" t="s">
        <v>16</v>
      </c>
      <c r="E5381" s="4" t="s">
        <v>5993</v>
      </c>
      <c r="F5381" s="4" t="s">
        <v>470</v>
      </c>
      <c r="G5381" s="4" t="s">
        <v>5994</v>
      </c>
      <c r="H5381" s="12" t="n">
        <v>10</v>
      </c>
      <c r="I5381" s="4" t="s">
        <v>474</v>
      </c>
      <c r="J5381" s="4" t="s">
        <v>409</v>
      </c>
      <c r="K5381" s="13" t="n">
        <v>4500</v>
      </c>
      <c r="L5381" s="6" t="n">
        <f aca="false">H5381*K5381</f>
        <v>45000</v>
      </c>
      <c r="M5381" s="4" t="s">
        <v>371</v>
      </c>
    </row>
    <row r="5382" customFormat="false" ht="15" hidden="false" customHeight="false" outlineLevel="0" collapsed="false">
      <c r="A5382" s="4" t="s">
        <v>261</v>
      </c>
      <c r="B5382" s="5" t="s">
        <v>264</v>
      </c>
      <c r="C5382" s="5" t="s">
        <v>265</v>
      </c>
      <c r="D5382" s="4" t="s">
        <v>16</v>
      </c>
      <c r="E5382" s="4" t="s">
        <v>1648</v>
      </c>
      <c r="F5382" s="4" t="s">
        <v>470</v>
      </c>
      <c r="G5382" s="4" t="s">
        <v>1424</v>
      </c>
      <c r="H5382" s="12" t="n">
        <v>5</v>
      </c>
      <c r="I5382" s="4" t="s">
        <v>474</v>
      </c>
      <c r="J5382" s="4" t="s">
        <v>409</v>
      </c>
      <c r="K5382" s="13" t="n">
        <v>3500</v>
      </c>
      <c r="L5382" s="6" t="n">
        <f aca="false">H5382*K5382</f>
        <v>17500</v>
      </c>
      <c r="M5382" s="4" t="s">
        <v>371</v>
      </c>
    </row>
    <row r="5383" customFormat="false" ht="15" hidden="false" customHeight="false" outlineLevel="0" collapsed="false">
      <c r="A5383" s="4" t="s">
        <v>261</v>
      </c>
      <c r="B5383" s="5" t="s">
        <v>264</v>
      </c>
      <c r="C5383" s="5" t="s">
        <v>265</v>
      </c>
      <c r="D5383" s="4" t="s">
        <v>16</v>
      </c>
      <c r="E5383" s="4" t="s">
        <v>5995</v>
      </c>
      <c r="F5383" s="4" t="s">
        <v>470</v>
      </c>
      <c r="G5383" s="4" t="s">
        <v>5996</v>
      </c>
      <c r="H5383" s="12" t="n">
        <v>5</v>
      </c>
      <c r="I5383" s="4" t="s">
        <v>474</v>
      </c>
      <c r="J5383" s="4" t="s">
        <v>409</v>
      </c>
      <c r="K5383" s="13" t="n">
        <v>2500</v>
      </c>
      <c r="L5383" s="6" t="n">
        <f aca="false">H5383*K5383</f>
        <v>12500</v>
      </c>
      <c r="M5383" s="4" t="s">
        <v>371</v>
      </c>
    </row>
    <row r="5384" customFormat="false" ht="15" hidden="false" customHeight="false" outlineLevel="0" collapsed="false">
      <c r="A5384" s="4" t="s">
        <v>261</v>
      </c>
      <c r="B5384" s="5" t="s">
        <v>264</v>
      </c>
      <c r="C5384" s="5" t="s">
        <v>265</v>
      </c>
      <c r="D5384" s="4" t="s">
        <v>16</v>
      </c>
      <c r="E5384" s="4" t="s">
        <v>5997</v>
      </c>
      <c r="F5384" s="4" t="s">
        <v>470</v>
      </c>
      <c r="G5384" s="4" t="s">
        <v>5998</v>
      </c>
      <c r="H5384" s="12" t="n">
        <v>10</v>
      </c>
      <c r="I5384" s="4" t="s">
        <v>474</v>
      </c>
      <c r="J5384" s="4" t="s">
        <v>409</v>
      </c>
      <c r="K5384" s="13" t="n">
        <v>850</v>
      </c>
      <c r="L5384" s="6" t="n">
        <f aca="false">H5384*K5384</f>
        <v>8500</v>
      </c>
      <c r="M5384" s="4" t="s">
        <v>371</v>
      </c>
    </row>
    <row r="5385" customFormat="false" ht="15" hidden="false" customHeight="false" outlineLevel="0" collapsed="false">
      <c r="A5385" s="4" t="s">
        <v>261</v>
      </c>
      <c r="B5385" s="5" t="s">
        <v>264</v>
      </c>
      <c r="C5385" s="5" t="s">
        <v>265</v>
      </c>
      <c r="D5385" s="4" t="s">
        <v>16</v>
      </c>
      <c r="E5385" s="4" t="s">
        <v>2157</v>
      </c>
      <c r="F5385" s="4" t="s">
        <v>488</v>
      </c>
      <c r="G5385" s="4" t="s">
        <v>2158</v>
      </c>
      <c r="H5385" s="12" t="n">
        <v>20</v>
      </c>
      <c r="I5385" s="4" t="s">
        <v>474</v>
      </c>
      <c r="J5385" s="4" t="s">
        <v>506</v>
      </c>
      <c r="K5385" s="13" t="n">
        <v>120</v>
      </c>
      <c r="L5385" s="6" t="n">
        <f aca="false">H5385*K5385</f>
        <v>2400</v>
      </c>
      <c r="M5385" s="4" t="s">
        <v>371</v>
      </c>
    </row>
    <row r="5386" customFormat="false" ht="15" hidden="false" customHeight="false" outlineLevel="0" collapsed="false">
      <c r="A5386" s="4" t="s">
        <v>261</v>
      </c>
      <c r="B5386" s="5" t="s">
        <v>264</v>
      </c>
      <c r="C5386" s="5" t="s">
        <v>265</v>
      </c>
      <c r="D5386" s="4" t="s">
        <v>16</v>
      </c>
      <c r="E5386" s="4" t="s">
        <v>5999</v>
      </c>
      <c r="F5386" s="4" t="s">
        <v>488</v>
      </c>
      <c r="G5386" s="4" t="s">
        <v>6000</v>
      </c>
      <c r="H5386" s="12" t="n">
        <v>50</v>
      </c>
      <c r="I5386" s="4" t="s">
        <v>474</v>
      </c>
      <c r="J5386" s="4" t="s">
        <v>506</v>
      </c>
      <c r="K5386" s="13" t="n">
        <v>80</v>
      </c>
      <c r="L5386" s="6" t="n">
        <f aca="false">H5386*K5386</f>
        <v>4000</v>
      </c>
      <c r="M5386" s="4" t="s">
        <v>371</v>
      </c>
    </row>
    <row r="5387" customFormat="false" ht="15" hidden="false" customHeight="false" outlineLevel="0" collapsed="false">
      <c r="A5387" s="4" t="s">
        <v>261</v>
      </c>
      <c r="B5387" s="5" t="s">
        <v>264</v>
      </c>
      <c r="C5387" s="5" t="s">
        <v>265</v>
      </c>
      <c r="D5387" s="4" t="s">
        <v>16</v>
      </c>
      <c r="E5387" s="4" t="s">
        <v>6001</v>
      </c>
      <c r="F5387" s="4" t="s">
        <v>488</v>
      </c>
      <c r="G5387" s="4" t="s">
        <v>6002</v>
      </c>
      <c r="H5387" s="12" t="n">
        <v>100</v>
      </c>
      <c r="I5387" s="4" t="s">
        <v>474</v>
      </c>
      <c r="J5387" s="4" t="s">
        <v>409</v>
      </c>
      <c r="K5387" s="13" t="n">
        <v>60</v>
      </c>
      <c r="L5387" s="6" t="n">
        <f aca="false">H5387*K5387</f>
        <v>6000</v>
      </c>
      <c r="M5387" s="4" t="s">
        <v>371</v>
      </c>
    </row>
    <row r="5388" customFormat="false" ht="15" hidden="false" customHeight="false" outlineLevel="0" collapsed="false">
      <c r="A5388" s="4" t="s">
        <v>261</v>
      </c>
      <c r="B5388" s="5" t="s">
        <v>264</v>
      </c>
      <c r="C5388" s="5" t="s">
        <v>265</v>
      </c>
      <c r="D5388" s="4" t="s">
        <v>16</v>
      </c>
      <c r="E5388" s="4" t="s">
        <v>6003</v>
      </c>
      <c r="F5388" s="4" t="s">
        <v>488</v>
      </c>
      <c r="G5388" s="4" t="s">
        <v>6004</v>
      </c>
      <c r="H5388" s="12" t="n">
        <v>200</v>
      </c>
      <c r="I5388" s="4" t="s">
        <v>474</v>
      </c>
      <c r="J5388" s="4" t="s">
        <v>506</v>
      </c>
      <c r="K5388" s="13" t="n">
        <v>120</v>
      </c>
      <c r="L5388" s="6" t="n">
        <f aca="false">H5388*K5388</f>
        <v>24000</v>
      </c>
      <c r="M5388" s="4" t="s">
        <v>371</v>
      </c>
    </row>
    <row r="5389" customFormat="false" ht="15" hidden="false" customHeight="false" outlineLevel="0" collapsed="false">
      <c r="A5389" s="4" t="s">
        <v>261</v>
      </c>
      <c r="B5389" s="5" t="s">
        <v>264</v>
      </c>
      <c r="C5389" s="5" t="s">
        <v>265</v>
      </c>
      <c r="D5389" s="4" t="s">
        <v>16</v>
      </c>
      <c r="E5389" s="4" t="s">
        <v>6005</v>
      </c>
      <c r="F5389" s="4" t="s">
        <v>488</v>
      </c>
      <c r="G5389" s="4" t="s">
        <v>6006</v>
      </c>
      <c r="H5389" s="12" t="n">
        <v>100</v>
      </c>
      <c r="I5389" s="4" t="s">
        <v>474</v>
      </c>
      <c r="J5389" s="4" t="s">
        <v>506</v>
      </c>
      <c r="K5389" s="13" t="n">
        <v>120</v>
      </c>
      <c r="L5389" s="6" t="n">
        <f aca="false">H5389*K5389</f>
        <v>12000</v>
      </c>
      <c r="M5389" s="4" t="s">
        <v>371</v>
      </c>
    </row>
    <row r="5390" customFormat="false" ht="15" hidden="false" customHeight="false" outlineLevel="0" collapsed="false">
      <c r="A5390" s="4" t="s">
        <v>261</v>
      </c>
      <c r="B5390" s="5" t="s">
        <v>264</v>
      </c>
      <c r="C5390" s="5" t="s">
        <v>265</v>
      </c>
      <c r="D5390" s="4" t="s">
        <v>16</v>
      </c>
      <c r="E5390" s="4" t="s">
        <v>6007</v>
      </c>
      <c r="F5390" s="4" t="s">
        <v>488</v>
      </c>
      <c r="G5390" s="4" t="s">
        <v>6008</v>
      </c>
      <c r="H5390" s="12" t="n">
        <v>5</v>
      </c>
      <c r="I5390" s="4" t="s">
        <v>474</v>
      </c>
      <c r="J5390" s="4" t="s">
        <v>480</v>
      </c>
      <c r="K5390" s="13" t="n">
        <v>30</v>
      </c>
      <c r="L5390" s="6" t="n">
        <f aca="false">H5390*K5390</f>
        <v>150</v>
      </c>
      <c r="M5390" s="4" t="s">
        <v>371</v>
      </c>
    </row>
    <row r="5391" customFormat="false" ht="15" hidden="false" customHeight="false" outlineLevel="0" collapsed="false">
      <c r="A5391" s="4" t="s">
        <v>261</v>
      </c>
      <c r="B5391" s="5" t="s">
        <v>264</v>
      </c>
      <c r="C5391" s="5" t="s">
        <v>265</v>
      </c>
      <c r="D5391" s="4" t="s">
        <v>16</v>
      </c>
      <c r="E5391" s="4" t="s">
        <v>6009</v>
      </c>
      <c r="F5391" s="4" t="s">
        <v>488</v>
      </c>
      <c r="G5391" s="4" t="s">
        <v>6010</v>
      </c>
      <c r="H5391" s="12" t="n">
        <v>50</v>
      </c>
      <c r="I5391" s="4" t="s">
        <v>474</v>
      </c>
      <c r="J5391" s="4" t="s">
        <v>409</v>
      </c>
      <c r="K5391" s="13" t="n">
        <v>25</v>
      </c>
      <c r="L5391" s="6" t="n">
        <f aca="false">H5391*K5391</f>
        <v>1250</v>
      </c>
      <c r="M5391" s="4" t="s">
        <v>371</v>
      </c>
    </row>
    <row r="5392" customFormat="false" ht="15" hidden="false" customHeight="false" outlineLevel="0" collapsed="false">
      <c r="A5392" s="4" t="s">
        <v>261</v>
      </c>
      <c r="B5392" s="5" t="s">
        <v>264</v>
      </c>
      <c r="C5392" s="5" t="s">
        <v>265</v>
      </c>
      <c r="D5392" s="4" t="s">
        <v>16</v>
      </c>
      <c r="E5392" s="4" t="s">
        <v>6011</v>
      </c>
      <c r="F5392" s="4" t="s">
        <v>488</v>
      </c>
      <c r="G5392" s="4" t="s">
        <v>6012</v>
      </c>
      <c r="H5392" s="12" t="n">
        <v>20</v>
      </c>
      <c r="I5392" s="4" t="s">
        <v>474</v>
      </c>
      <c r="J5392" s="4" t="s">
        <v>409</v>
      </c>
      <c r="K5392" s="13" t="n">
        <v>120</v>
      </c>
      <c r="L5392" s="6" t="n">
        <f aca="false">H5392*K5392</f>
        <v>2400</v>
      </c>
      <c r="M5392" s="4" t="s">
        <v>371</v>
      </c>
    </row>
    <row r="5393" customFormat="false" ht="15" hidden="false" customHeight="false" outlineLevel="0" collapsed="false">
      <c r="A5393" s="4" t="s">
        <v>261</v>
      </c>
      <c r="B5393" s="5" t="s">
        <v>264</v>
      </c>
      <c r="C5393" s="5" t="s">
        <v>265</v>
      </c>
      <c r="D5393" s="4" t="s">
        <v>16</v>
      </c>
      <c r="E5393" s="4" t="s">
        <v>6013</v>
      </c>
      <c r="F5393" s="4" t="s">
        <v>488</v>
      </c>
      <c r="G5393" s="4" t="s">
        <v>6014</v>
      </c>
      <c r="H5393" s="12" t="n">
        <v>20</v>
      </c>
      <c r="I5393" s="4" t="s">
        <v>474</v>
      </c>
      <c r="J5393" s="4" t="s">
        <v>506</v>
      </c>
      <c r="K5393" s="13" t="n">
        <v>120</v>
      </c>
      <c r="L5393" s="6" t="n">
        <f aca="false">H5393*K5393</f>
        <v>2400</v>
      </c>
      <c r="M5393" s="4" t="s">
        <v>371</v>
      </c>
    </row>
    <row r="5394" customFormat="false" ht="15" hidden="false" customHeight="false" outlineLevel="0" collapsed="false">
      <c r="A5394" s="4" t="s">
        <v>261</v>
      </c>
      <c r="B5394" s="5" t="s">
        <v>264</v>
      </c>
      <c r="C5394" s="5" t="s">
        <v>265</v>
      </c>
      <c r="D5394" s="4" t="s">
        <v>16</v>
      </c>
      <c r="E5394" s="4" t="s">
        <v>6015</v>
      </c>
      <c r="F5394" s="4" t="s">
        <v>488</v>
      </c>
      <c r="G5394" s="4" t="s">
        <v>6016</v>
      </c>
      <c r="H5394" s="12" t="n">
        <v>20</v>
      </c>
      <c r="I5394" s="4" t="s">
        <v>474</v>
      </c>
      <c r="J5394" s="4" t="s">
        <v>409</v>
      </c>
      <c r="K5394" s="13" t="n">
        <v>180</v>
      </c>
      <c r="L5394" s="6" t="n">
        <f aca="false">H5394*K5394</f>
        <v>3600</v>
      </c>
      <c r="M5394" s="4" t="s">
        <v>371</v>
      </c>
    </row>
    <row r="5395" customFormat="false" ht="15" hidden="false" customHeight="false" outlineLevel="0" collapsed="false">
      <c r="A5395" s="4" t="s">
        <v>261</v>
      </c>
      <c r="B5395" s="5" t="s">
        <v>264</v>
      </c>
      <c r="C5395" s="5" t="s">
        <v>265</v>
      </c>
      <c r="D5395" s="4" t="s">
        <v>16</v>
      </c>
      <c r="E5395" s="4" t="s">
        <v>5640</v>
      </c>
      <c r="F5395" s="4" t="s">
        <v>488</v>
      </c>
      <c r="G5395" s="4" t="s">
        <v>5641</v>
      </c>
      <c r="H5395" s="12" t="n">
        <v>50</v>
      </c>
      <c r="I5395" s="4" t="s">
        <v>474</v>
      </c>
      <c r="J5395" s="4" t="s">
        <v>409</v>
      </c>
      <c r="K5395" s="13" t="n">
        <v>30</v>
      </c>
      <c r="L5395" s="6" t="n">
        <f aca="false">H5395*K5395</f>
        <v>1500</v>
      </c>
      <c r="M5395" s="4" t="s">
        <v>371</v>
      </c>
    </row>
    <row r="5396" customFormat="false" ht="15" hidden="false" customHeight="false" outlineLevel="0" collapsed="false">
      <c r="A5396" s="4" t="s">
        <v>261</v>
      </c>
      <c r="B5396" s="5" t="s">
        <v>264</v>
      </c>
      <c r="C5396" s="5" t="s">
        <v>265</v>
      </c>
      <c r="D5396" s="4" t="s">
        <v>16</v>
      </c>
      <c r="E5396" s="4" t="s">
        <v>6017</v>
      </c>
      <c r="F5396" s="4" t="s">
        <v>488</v>
      </c>
      <c r="G5396" s="4" t="s">
        <v>6018</v>
      </c>
      <c r="H5396" s="12" t="n">
        <v>100</v>
      </c>
      <c r="I5396" s="4" t="s">
        <v>474</v>
      </c>
      <c r="J5396" s="4" t="s">
        <v>506</v>
      </c>
      <c r="K5396" s="13" t="n">
        <v>120</v>
      </c>
      <c r="L5396" s="6" t="n">
        <f aca="false">H5396*K5396</f>
        <v>12000</v>
      </c>
      <c r="M5396" s="4" t="s">
        <v>371</v>
      </c>
    </row>
    <row r="5397" customFormat="false" ht="15" hidden="false" customHeight="false" outlineLevel="0" collapsed="false">
      <c r="A5397" s="4" t="s">
        <v>261</v>
      </c>
      <c r="B5397" s="5" t="s">
        <v>264</v>
      </c>
      <c r="C5397" s="5" t="s">
        <v>265</v>
      </c>
      <c r="D5397" s="4" t="s">
        <v>16</v>
      </c>
      <c r="E5397" s="4" t="s">
        <v>6019</v>
      </c>
      <c r="F5397" s="4" t="s">
        <v>488</v>
      </c>
      <c r="G5397" s="4" t="s">
        <v>6020</v>
      </c>
      <c r="H5397" s="12" t="n">
        <v>5</v>
      </c>
      <c r="I5397" s="4" t="s">
        <v>474</v>
      </c>
      <c r="J5397" s="4" t="s">
        <v>506</v>
      </c>
      <c r="K5397" s="13" t="n">
        <v>150</v>
      </c>
      <c r="L5397" s="6" t="n">
        <f aca="false">H5397*K5397</f>
        <v>750</v>
      </c>
      <c r="M5397" s="4" t="s">
        <v>371</v>
      </c>
    </row>
    <row r="5398" customFormat="false" ht="15" hidden="false" customHeight="false" outlineLevel="0" collapsed="false">
      <c r="A5398" s="4" t="s">
        <v>261</v>
      </c>
      <c r="B5398" s="5" t="s">
        <v>264</v>
      </c>
      <c r="C5398" s="5" t="s">
        <v>265</v>
      </c>
      <c r="D5398" s="4" t="s">
        <v>16</v>
      </c>
      <c r="E5398" s="4" t="s">
        <v>6021</v>
      </c>
      <c r="F5398" s="4" t="s">
        <v>488</v>
      </c>
      <c r="G5398" s="4" t="s">
        <v>6022</v>
      </c>
      <c r="H5398" s="12" t="n">
        <v>20</v>
      </c>
      <c r="I5398" s="4" t="s">
        <v>474</v>
      </c>
      <c r="J5398" s="4" t="s">
        <v>409</v>
      </c>
      <c r="K5398" s="13" t="n">
        <v>180</v>
      </c>
      <c r="L5398" s="6" t="n">
        <f aca="false">H5398*K5398</f>
        <v>3600</v>
      </c>
      <c r="M5398" s="4" t="s">
        <v>371</v>
      </c>
    </row>
    <row r="5399" customFormat="false" ht="15" hidden="false" customHeight="false" outlineLevel="0" collapsed="false">
      <c r="A5399" s="4" t="s">
        <v>261</v>
      </c>
      <c r="B5399" s="5" t="s">
        <v>264</v>
      </c>
      <c r="C5399" s="5" t="s">
        <v>265</v>
      </c>
      <c r="D5399" s="4" t="s">
        <v>16</v>
      </c>
      <c r="E5399" s="4" t="s">
        <v>6023</v>
      </c>
      <c r="F5399" s="4" t="s">
        <v>488</v>
      </c>
      <c r="G5399" s="4" t="s">
        <v>6024</v>
      </c>
      <c r="H5399" s="12" t="n">
        <v>5</v>
      </c>
      <c r="I5399" s="4" t="s">
        <v>474</v>
      </c>
      <c r="J5399" s="4" t="s">
        <v>506</v>
      </c>
      <c r="K5399" s="13" t="n">
        <v>30</v>
      </c>
      <c r="L5399" s="6" t="n">
        <f aca="false">H5399*K5399</f>
        <v>150</v>
      </c>
      <c r="M5399" s="4" t="s">
        <v>371</v>
      </c>
    </row>
    <row r="5400" customFormat="false" ht="15" hidden="false" customHeight="false" outlineLevel="0" collapsed="false">
      <c r="A5400" s="4" t="s">
        <v>261</v>
      </c>
      <c r="B5400" s="5" t="s">
        <v>264</v>
      </c>
      <c r="C5400" s="5" t="s">
        <v>265</v>
      </c>
      <c r="D5400" s="4" t="s">
        <v>16</v>
      </c>
      <c r="E5400" s="4" t="s">
        <v>6025</v>
      </c>
      <c r="F5400" s="4" t="s">
        <v>488</v>
      </c>
      <c r="G5400" s="4" t="s">
        <v>6026</v>
      </c>
      <c r="H5400" s="12" t="n">
        <v>10</v>
      </c>
      <c r="I5400" s="4" t="s">
        <v>474</v>
      </c>
      <c r="J5400" s="4" t="s">
        <v>409</v>
      </c>
      <c r="K5400" s="13" t="n">
        <v>60</v>
      </c>
      <c r="L5400" s="6" t="n">
        <f aca="false">H5400*K5400</f>
        <v>600</v>
      </c>
      <c r="M5400" s="4" t="s">
        <v>371</v>
      </c>
    </row>
    <row r="5401" customFormat="false" ht="15" hidden="false" customHeight="false" outlineLevel="0" collapsed="false">
      <c r="A5401" s="4" t="s">
        <v>261</v>
      </c>
      <c r="B5401" s="5" t="s">
        <v>264</v>
      </c>
      <c r="C5401" s="5" t="s">
        <v>265</v>
      </c>
      <c r="D5401" s="4" t="s">
        <v>16</v>
      </c>
      <c r="E5401" s="4" t="s">
        <v>6027</v>
      </c>
      <c r="F5401" s="4" t="s">
        <v>488</v>
      </c>
      <c r="G5401" s="4" t="s">
        <v>6028</v>
      </c>
      <c r="H5401" s="12" t="n">
        <v>5</v>
      </c>
      <c r="I5401" s="4" t="s">
        <v>474</v>
      </c>
      <c r="J5401" s="4" t="s">
        <v>413</v>
      </c>
      <c r="K5401" s="13" t="n">
        <v>350</v>
      </c>
      <c r="L5401" s="6" t="n">
        <f aca="false">H5401*K5401</f>
        <v>1750</v>
      </c>
      <c r="M5401" s="4" t="s">
        <v>371</v>
      </c>
    </row>
    <row r="5402" customFormat="false" ht="15" hidden="false" customHeight="false" outlineLevel="0" collapsed="false">
      <c r="A5402" s="4" t="s">
        <v>261</v>
      </c>
      <c r="B5402" s="5" t="s">
        <v>264</v>
      </c>
      <c r="C5402" s="5" t="s">
        <v>265</v>
      </c>
      <c r="D5402" s="4" t="s">
        <v>16</v>
      </c>
      <c r="E5402" s="4" t="s">
        <v>6029</v>
      </c>
      <c r="F5402" s="4" t="s">
        <v>470</v>
      </c>
      <c r="G5402" s="4" t="s">
        <v>6030</v>
      </c>
      <c r="H5402" s="12" t="n">
        <v>10</v>
      </c>
      <c r="I5402" s="4" t="s">
        <v>474</v>
      </c>
      <c r="J5402" s="4" t="s">
        <v>409</v>
      </c>
      <c r="K5402" s="13" t="n">
        <v>450</v>
      </c>
      <c r="L5402" s="6" t="n">
        <f aca="false">H5402*K5402</f>
        <v>4500</v>
      </c>
      <c r="M5402" s="4" t="s">
        <v>371</v>
      </c>
    </row>
    <row r="5403" customFormat="false" ht="15" hidden="false" customHeight="false" outlineLevel="0" collapsed="false">
      <c r="A5403" s="4" t="s">
        <v>261</v>
      </c>
      <c r="B5403" s="5" t="s">
        <v>264</v>
      </c>
      <c r="C5403" s="5" t="s">
        <v>265</v>
      </c>
      <c r="D5403" s="4" t="s">
        <v>16</v>
      </c>
      <c r="E5403" s="4" t="s">
        <v>6031</v>
      </c>
      <c r="F5403" s="4" t="s">
        <v>470</v>
      </c>
      <c r="G5403" s="4" t="s">
        <v>6032</v>
      </c>
      <c r="H5403" s="12" t="n">
        <v>5</v>
      </c>
      <c r="I5403" s="4" t="s">
        <v>474</v>
      </c>
      <c r="J5403" s="4" t="s">
        <v>409</v>
      </c>
      <c r="K5403" s="13" t="n">
        <v>250</v>
      </c>
      <c r="L5403" s="6" t="n">
        <f aca="false">H5403*K5403</f>
        <v>1250</v>
      </c>
      <c r="M5403" s="4" t="s">
        <v>371</v>
      </c>
    </row>
    <row r="5404" customFormat="false" ht="15" hidden="false" customHeight="false" outlineLevel="0" collapsed="false">
      <c r="A5404" s="4" t="s">
        <v>261</v>
      </c>
      <c r="B5404" s="5" t="s">
        <v>264</v>
      </c>
      <c r="C5404" s="5" t="s">
        <v>265</v>
      </c>
      <c r="D5404" s="4" t="s">
        <v>16</v>
      </c>
      <c r="E5404" s="4" t="s">
        <v>6033</v>
      </c>
      <c r="F5404" s="4" t="s">
        <v>470</v>
      </c>
      <c r="G5404" s="4" t="s">
        <v>6034</v>
      </c>
      <c r="H5404" s="12" t="n">
        <v>20</v>
      </c>
      <c r="I5404" s="4" t="s">
        <v>474</v>
      </c>
      <c r="J5404" s="4" t="s">
        <v>416</v>
      </c>
      <c r="K5404" s="13" t="n">
        <v>350</v>
      </c>
      <c r="L5404" s="6" t="n">
        <f aca="false">H5404*K5404</f>
        <v>7000</v>
      </c>
      <c r="M5404" s="4" t="s">
        <v>371</v>
      </c>
    </row>
    <row r="5405" customFormat="false" ht="15" hidden="false" customHeight="false" outlineLevel="0" collapsed="false">
      <c r="A5405" s="4" t="s">
        <v>261</v>
      </c>
      <c r="B5405" s="5" t="s">
        <v>264</v>
      </c>
      <c r="C5405" s="5" t="s">
        <v>265</v>
      </c>
      <c r="D5405" s="4" t="s">
        <v>16</v>
      </c>
      <c r="E5405" s="4" t="s">
        <v>6035</v>
      </c>
      <c r="F5405" s="4" t="s">
        <v>470</v>
      </c>
      <c r="G5405" s="4" t="s">
        <v>6036</v>
      </c>
      <c r="H5405" s="12" t="n">
        <v>20</v>
      </c>
      <c r="I5405" s="4" t="s">
        <v>474</v>
      </c>
      <c r="J5405" s="4" t="s">
        <v>409</v>
      </c>
      <c r="K5405" s="13" t="n">
        <v>350</v>
      </c>
      <c r="L5405" s="6" t="n">
        <f aca="false">H5405*K5405</f>
        <v>7000</v>
      </c>
      <c r="M5405" s="4" t="s">
        <v>371</v>
      </c>
    </row>
    <row r="5406" customFormat="false" ht="15" hidden="false" customHeight="false" outlineLevel="0" collapsed="false">
      <c r="A5406" s="4" t="s">
        <v>261</v>
      </c>
      <c r="B5406" s="5" t="s">
        <v>264</v>
      </c>
      <c r="C5406" s="5" t="s">
        <v>265</v>
      </c>
      <c r="D5406" s="4" t="s">
        <v>16</v>
      </c>
      <c r="E5406" s="4" t="s">
        <v>6037</v>
      </c>
      <c r="F5406" s="4" t="s">
        <v>470</v>
      </c>
      <c r="G5406" s="4" t="s">
        <v>6038</v>
      </c>
      <c r="H5406" s="12" t="n">
        <v>20</v>
      </c>
      <c r="I5406" s="4" t="s">
        <v>474</v>
      </c>
      <c r="J5406" s="4" t="s">
        <v>409</v>
      </c>
      <c r="K5406" s="13" t="n">
        <v>120</v>
      </c>
      <c r="L5406" s="6" t="n">
        <f aca="false">H5406*K5406</f>
        <v>2400</v>
      </c>
      <c r="M5406" s="4" t="s">
        <v>371</v>
      </c>
    </row>
    <row r="5407" customFormat="false" ht="15" hidden="false" customHeight="false" outlineLevel="0" collapsed="false">
      <c r="A5407" s="4" t="s">
        <v>261</v>
      </c>
      <c r="B5407" s="5" t="s">
        <v>264</v>
      </c>
      <c r="C5407" s="5" t="s">
        <v>265</v>
      </c>
      <c r="D5407" s="4" t="s">
        <v>16</v>
      </c>
      <c r="E5407" s="4" t="s">
        <v>6039</v>
      </c>
      <c r="F5407" s="4" t="s">
        <v>470</v>
      </c>
      <c r="G5407" s="4" t="s">
        <v>6040</v>
      </c>
      <c r="H5407" s="12" t="n">
        <v>10</v>
      </c>
      <c r="I5407" s="4" t="s">
        <v>474</v>
      </c>
      <c r="J5407" s="4" t="s">
        <v>409</v>
      </c>
      <c r="K5407" s="13" t="n">
        <v>350</v>
      </c>
      <c r="L5407" s="6" t="n">
        <f aca="false">H5407*K5407</f>
        <v>3500</v>
      </c>
      <c r="M5407" s="4" t="s">
        <v>371</v>
      </c>
    </row>
    <row r="5408" customFormat="false" ht="15" hidden="false" customHeight="false" outlineLevel="0" collapsed="false">
      <c r="A5408" s="4" t="s">
        <v>261</v>
      </c>
      <c r="B5408" s="5" t="s">
        <v>264</v>
      </c>
      <c r="C5408" s="5" t="s">
        <v>265</v>
      </c>
      <c r="D5408" s="4" t="s">
        <v>16</v>
      </c>
      <c r="E5408" s="4" t="s">
        <v>6041</v>
      </c>
      <c r="F5408" s="4" t="s">
        <v>470</v>
      </c>
      <c r="G5408" s="4" t="s">
        <v>6042</v>
      </c>
      <c r="H5408" s="12" t="n">
        <v>10</v>
      </c>
      <c r="I5408" s="4" t="s">
        <v>474</v>
      </c>
      <c r="J5408" s="4" t="s">
        <v>409</v>
      </c>
      <c r="K5408" s="13" t="n">
        <v>180</v>
      </c>
      <c r="L5408" s="6" t="n">
        <f aca="false">H5408*K5408</f>
        <v>1800</v>
      </c>
      <c r="M5408" s="4" t="s">
        <v>371</v>
      </c>
    </row>
    <row r="5409" customFormat="false" ht="15" hidden="false" customHeight="false" outlineLevel="0" collapsed="false">
      <c r="A5409" s="4" t="s">
        <v>261</v>
      </c>
      <c r="B5409" s="5" t="s">
        <v>264</v>
      </c>
      <c r="C5409" s="5" t="s">
        <v>265</v>
      </c>
      <c r="D5409" s="4" t="s">
        <v>16</v>
      </c>
      <c r="E5409" s="4" t="s">
        <v>6043</v>
      </c>
      <c r="F5409" s="4" t="s">
        <v>470</v>
      </c>
      <c r="G5409" s="4" t="s">
        <v>6044</v>
      </c>
      <c r="H5409" s="12" t="n">
        <v>10</v>
      </c>
      <c r="I5409" s="4" t="s">
        <v>474</v>
      </c>
      <c r="J5409" s="4" t="s">
        <v>416</v>
      </c>
      <c r="K5409" s="13" t="n">
        <v>2500</v>
      </c>
      <c r="L5409" s="6" t="n">
        <f aca="false">H5409*K5409</f>
        <v>25000</v>
      </c>
      <c r="M5409" s="4" t="s">
        <v>371</v>
      </c>
    </row>
    <row r="5410" customFormat="false" ht="15" hidden="false" customHeight="false" outlineLevel="0" collapsed="false">
      <c r="A5410" s="4" t="s">
        <v>261</v>
      </c>
      <c r="B5410" s="5" t="s">
        <v>264</v>
      </c>
      <c r="C5410" s="5" t="s">
        <v>265</v>
      </c>
      <c r="D5410" s="4" t="s">
        <v>16</v>
      </c>
      <c r="E5410" s="4" t="s">
        <v>6045</v>
      </c>
      <c r="F5410" s="4" t="s">
        <v>470</v>
      </c>
      <c r="G5410" s="4" t="s">
        <v>6046</v>
      </c>
      <c r="H5410" s="12" t="n">
        <v>5</v>
      </c>
      <c r="I5410" s="4" t="s">
        <v>474</v>
      </c>
      <c r="J5410" s="4" t="s">
        <v>416</v>
      </c>
      <c r="K5410" s="13" t="n">
        <v>850</v>
      </c>
      <c r="L5410" s="6" t="n">
        <f aca="false">H5410*K5410</f>
        <v>4250</v>
      </c>
      <c r="M5410" s="4" t="s">
        <v>371</v>
      </c>
    </row>
    <row r="5411" customFormat="false" ht="15" hidden="false" customHeight="false" outlineLevel="0" collapsed="false">
      <c r="A5411" s="4" t="s">
        <v>261</v>
      </c>
      <c r="B5411" s="5" t="s">
        <v>266</v>
      </c>
      <c r="C5411" s="5" t="s">
        <v>267</v>
      </c>
      <c r="D5411" s="4" t="s">
        <v>16</v>
      </c>
      <c r="E5411" s="4" t="s">
        <v>2394</v>
      </c>
      <c r="F5411" s="4" t="s">
        <v>406</v>
      </c>
      <c r="G5411" s="4" t="s">
        <v>2395</v>
      </c>
      <c r="H5411" s="12" t="n">
        <v>1</v>
      </c>
      <c r="I5411" s="4" t="s">
        <v>474</v>
      </c>
      <c r="J5411" s="4" t="s">
        <v>409</v>
      </c>
      <c r="K5411" s="13" t="n">
        <v>18000</v>
      </c>
      <c r="L5411" s="6" t="n">
        <f aca="false">H5411*K5411</f>
        <v>18000</v>
      </c>
      <c r="M5411" s="14" t="s">
        <v>410</v>
      </c>
    </row>
    <row r="5412" customFormat="false" ht="15" hidden="false" customHeight="false" outlineLevel="0" collapsed="false">
      <c r="A5412" s="4" t="s">
        <v>261</v>
      </c>
      <c r="B5412" s="5" t="s">
        <v>266</v>
      </c>
      <c r="C5412" s="5" t="s">
        <v>267</v>
      </c>
      <c r="D5412" s="4" t="s">
        <v>16</v>
      </c>
      <c r="E5412" s="4" t="s">
        <v>6047</v>
      </c>
      <c r="F5412" s="4" t="s">
        <v>406</v>
      </c>
      <c r="G5412" s="4" t="s">
        <v>6048</v>
      </c>
      <c r="H5412" s="12" t="n">
        <v>1</v>
      </c>
      <c r="I5412" s="4" t="s">
        <v>408</v>
      </c>
      <c r="J5412" s="4" t="s">
        <v>416</v>
      </c>
      <c r="K5412" s="13" t="n">
        <v>4500</v>
      </c>
      <c r="L5412" s="6" t="n">
        <f aca="false">H5412*K5412</f>
        <v>4500</v>
      </c>
      <c r="M5412" s="4" t="s">
        <v>371</v>
      </c>
    </row>
    <row r="5413" customFormat="false" ht="15" hidden="false" customHeight="false" outlineLevel="0" collapsed="false">
      <c r="A5413" s="4" t="s">
        <v>261</v>
      </c>
      <c r="B5413" s="5" t="s">
        <v>266</v>
      </c>
      <c r="C5413" s="5" t="s">
        <v>267</v>
      </c>
      <c r="D5413" s="4" t="s">
        <v>16</v>
      </c>
      <c r="E5413" s="4" t="s">
        <v>1699</v>
      </c>
      <c r="F5413" s="4" t="s">
        <v>470</v>
      </c>
      <c r="G5413" s="4" t="s">
        <v>1700</v>
      </c>
      <c r="H5413" s="12" t="n">
        <v>1</v>
      </c>
      <c r="I5413" s="4" t="s">
        <v>474</v>
      </c>
      <c r="J5413" s="4" t="s">
        <v>409</v>
      </c>
      <c r="K5413" s="13" t="n">
        <v>55000</v>
      </c>
      <c r="L5413" s="6" t="n">
        <f aca="false">H5413*K5413</f>
        <v>55000</v>
      </c>
      <c r="M5413" s="14" t="s">
        <v>410</v>
      </c>
    </row>
    <row r="5414" customFormat="false" ht="15" hidden="false" customHeight="false" outlineLevel="0" collapsed="false">
      <c r="A5414" s="4" t="s">
        <v>261</v>
      </c>
      <c r="B5414" s="5" t="s">
        <v>266</v>
      </c>
      <c r="C5414" s="5" t="s">
        <v>267</v>
      </c>
      <c r="D5414" s="4" t="s">
        <v>16</v>
      </c>
      <c r="E5414" s="4" t="s">
        <v>6049</v>
      </c>
      <c r="F5414" s="4" t="s">
        <v>470</v>
      </c>
      <c r="G5414" s="4" t="s">
        <v>6050</v>
      </c>
      <c r="H5414" s="12" t="n">
        <v>1</v>
      </c>
      <c r="I5414" s="4" t="s">
        <v>474</v>
      </c>
      <c r="J5414" s="4" t="s">
        <v>409</v>
      </c>
      <c r="K5414" s="13" t="n">
        <v>18000</v>
      </c>
      <c r="L5414" s="6" t="n">
        <f aca="false">H5414*K5414</f>
        <v>18000</v>
      </c>
      <c r="M5414" s="14" t="s">
        <v>410</v>
      </c>
    </row>
    <row r="5415" customFormat="false" ht="15" hidden="false" customHeight="false" outlineLevel="0" collapsed="false">
      <c r="A5415" s="4" t="s">
        <v>261</v>
      </c>
      <c r="B5415" s="5" t="s">
        <v>266</v>
      </c>
      <c r="C5415" s="5" t="s">
        <v>267</v>
      </c>
      <c r="D5415" s="4" t="s">
        <v>16</v>
      </c>
      <c r="E5415" s="4" t="s">
        <v>1253</v>
      </c>
      <c r="F5415" s="4" t="s">
        <v>470</v>
      </c>
      <c r="G5415" s="4" t="s">
        <v>1254</v>
      </c>
      <c r="H5415" s="12" t="n">
        <v>1</v>
      </c>
      <c r="I5415" s="4" t="s">
        <v>474</v>
      </c>
      <c r="J5415" s="4" t="s">
        <v>409</v>
      </c>
      <c r="K5415" s="13" t="n">
        <v>8500</v>
      </c>
      <c r="L5415" s="6" t="n">
        <f aca="false">H5415*K5415</f>
        <v>8500</v>
      </c>
      <c r="M5415" s="14" t="s">
        <v>410</v>
      </c>
    </row>
    <row r="5416" customFormat="false" ht="15" hidden="false" customHeight="false" outlineLevel="0" collapsed="false">
      <c r="A5416" s="4" t="s">
        <v>261</v>
      </c>
      <c r="B5416" s="5" t="s">
        <v>266</v>
      </c>
      <c r="C5416" s="5" t="s">
        <v>267</v>
      </c>
      <c r="D5416" s="4" t="s">
        <v>16</v>
      </c>
      <c r="E5416" s="4" t="s">
        <v>2390</v>
      </c>
      <c r="F5416" s="4" t="s">
        <v>470</v>
      </c>
      <c r="G5416" s="4" t="s">
        <v>2391</v>
      </c>
      <c r="H5416" s="12" t="n">
        <v>1</v>
      </c>
      <c r="I5416" s="4" t="s">
        <v>474</v>
      </c>
      <c r="J5416" s="4" t="s">
        <v>409</v>
      </c>
      <c r="K5416" s="13" t="n">
        <v>85000</v>
      </c>
      <c r="L5416" s="6" t="n">
        <f aca="false">H5416*K5416</f>
        <v>85000</v>
      </c>
      <c r="M5416" s="14" t="s">
        <v>410</v>
      </c>
    </row>
    <row r="5417" customFormat="false" ht="15" hidden="false" customHeight="false" outlineLevel="0" collapsed="false">
      <c r="A5417" s="4" t="s">
        <v>261</v>
      </c>
      <c r="B5417" s="5" t="s">
        <v>266</v>
      </c>
      <c r="C5417" s="5" t="s">
        <v>267</v>
      </c>
      <c r="D5417" s="4" t="s">
        <v>16</v>
      </c>
      <c r="E5417" s="4" t="s">
        <v>6051</v>
      </c>
      <c r="F5417" s="4" t="s">
        <v>470</v>
      </c>
      <c r="G5417" s="4" t="s">
        <v>6052</v>
      </c>
      <c r="H5417" s="12" t="n">
        <v>2</v>
      </c>
      <c r="I5417" s="4" t="s">
        <v>474</v>
      </c>
      <c r="J5417" s="4" t="s">
        <v>416</v>
      </c>
      <c r="K5417" s="13" t="n">
        <v>65000</v>
      </c>
      <c r="L5417" s="6" t="n">
        <f aca="false">H5417*K5417</f>
        <v>130000</v>
      </c>
      <c r="M5417" s="4" t="s">
        <v>371</v>
      </c>
    </row>
    <row r="5418" customFormat="false" ht="15" hidden="false" customHeight="false" outlineLevel="0" collapsed="false">
      <c r="A5418" s="4" t="s">
        <v>261</v>
      </c>
      <c r="B5418" s="5" t="s">
        <v>266</v>
      </c>
      <c r="C5418" s="5" t="s">
        <v>267</v>
      </c>
      <c r="D5418" s="4" t="s">
        <v>16</v>
      </c>
      <c r="E5418" s="4" t="s">
        <v>6053</v>
      </c>
      <c r="F5418" s="4" t="s">
        <v>470</v>
      </c>
      <c r="G5418" s="4" t="s">
        <v>6054</v>
      </c>
      <c r="H5418" s="12" t="n">
        <v>1</v>
      </c>
      <c r="I5418" s="4" t="s">
        <v>408</v>
      </c>
      <c r="J5418" s="4" t="s">
        <v>409</v>
      </c>
      <c r="K5418" s="13" t="n">
        <v>45000</v>
      </c>
      <c r="L5418" s="6" t="n">
        <f aca="false">H5418*K5418</f>
        <v>45000</v>
      </c>
      <c r="M5418" s="4" t="s">
        <v>371</v>
      </c>
    </row>
    <row r="5419" customFormat="false" ht="15" hidden="false" customHeight="false" outlineLevel="0" collapsed="false">
      <c r="A5419" s="4" t="s">
        <v>261</v>
      </c>
      <c r="B5419" s="5" t="s">
        <v>266</v>
      </c>
      <c r="C5419" s="5" t="s">
        <v>267</v>
      </c>
      <c r="D5419" s="4" t="s">
        <v>16</v>
      </c>
      <c r="E5419" s="4" t="s">
        <v>1616</v>
      </c>
      <c r="F5419" s="4" t="s">
        <v>470</v>
      </c>
      <c r="G5419" s="4" t="s">
        <v>1617</v>
      </c>
      <c r="H5419" s="12" t="n">
        <v>1</v>
      </c>
      <c r="I5419" s="4" t="s">
        <v>408</v>
      </c>
      <c r="J5419" s="4" t="s">
        <v>409</v>
      </c>
      <c r="K5419" s="13" t="n">
        <v>12000</v>
      </c>
      <c r="L5419" s="6" t="n">
        <f aca="false">H5419*K5419</f>
        <v>12000</v>
      </c>
      <c r="M5419" s="14" t="s">
        <v>410</v>
      </c>
    </row>
    <row r="5420" customFormat="false" ht="15" hidden="false" customHeight="false" outlineLevel="0" collapsed="false">
      <c r="A5420" s="4" t="s">
        <v>261</v>
      </c>
      <c r="B5420" s="5" t="s">
        <v>266</v>
      </c>
      <c r="C5420" s="5" t="s">
        <v>267</v>
      </c>
      <c r="D5420" s="4" t="s">
        <v>16</v>
      </c>
      <c r="E5420" s="4" t="s">
        <v>6055</v>
      </c>
      <c r="F5420" s="4" t="s">
        <v>470</v>
      </c>
      <c r="G5420" s="4" t="s">
        <v>6056</v>
      </c>
      <c r="H5420" s="12" t="n">
        <v>1</v>
      </c>
      <c r="I5420" s="4" t="s">
        <v>408</v>
      </c>
      <c r="J5420" s="4" t="s">
        <v>416</v>
      </c>
      <c r="K5420" s="13" t="n">
        <v>35000</v>
      </c>
      <c r="L5420" s="6" t="n">
        <f aca="false">H5420*K5420</f>
        <v>35000</v>
      </c>
      <c r="M5420" s="4" t="s">
        <v>371</v>
      </c>
    </row>
    <row r="5421" customFormat="false" ht="15" hidden="false" customHeight="false" outlineLevel="0" collapsed="false">
      <c r="A5421" s="4" t="s">
        <v>261</v>
      </c>
      <c r="B5421" s="5" t="s">
        <v>266</v>
      </c>
      <c r="C5421" s="5" t="s">
        <v>267</v>
      </c>
      <c r="D5421" s="4" t="s">
        <v>16</v>
      </c>
      <c r="E5421" s="4" t="s">
        <v>1697</v>
      </c>
      <c r="F5421" s="4" t="s">
        <v>470</v>
      </c>
      <c r="G5421" s="4" t="s">
        <v>1698</v>
      </c>
      <c r="H5421" s="12" t="n">
        <v>1</v>
      </c>
      <c r="I5421" s="4" t="s">
        <v>408</v>
      </c>
      <c r="J5421" s="4" t="s">
        <v>409</v>
      </c>
      <c r="K5421" s="13" t="n">
        <v>45000</v>
      </c>
      <c r="L5421" s="6" t="n">
        <f aca="false">H5421*K5421</f>
        <v>45000</v>
      </c>
      <c r="M5421" s="14" t="s">
        <v>410</v>
      </c>
    </row>
    <row r="5422" customFormat="false" ht="15" hidden="false" customHeight="false" outlineLevel="0" collapsed="false">
      <c r="A5422" s="4" t="s">
        <v>261</v>
      </c>
      <c r="B5422" s="5" t="s">
        <v>266</v>
      </c>
      <c r="C5422" s="5" t="s">
        <v>267</v>
      </c>
      <c r="D5422" s="4" t="s">
        <v>16</v>
      </c>
      <c r="E5422" s="4" t="s">
        <v>4090</v>
      </c>
      <c r="F5422" s="4" t="s">
        <v>470</v>
      </c>
      <c r="G5422" s="4" t="s">
        <v>4091</v>
      </c>
      <c r="H5422" s="12" t="n">
        <v>1</v>
      </c>
      <c r="I5422" s="4" t="s">
        <v>408</v>
      </c>
      <c r="J5422" s="4" t="s">
        <v>409</v>
      </c>
      <c r="K5422" s="13" t="n">
        <v>55000</v>
      </c>
      <c r="L5422" s="6" t="n">
        <f aca="false">H5422*K5422</f>
        <v>55000</v>
      </c>
      <c r="M5422" s="4" t="s">
        <v>371</v>
      </c>
    </row>
    <row r="5423" customFormat="false" ht="15" hidden="false" customHeight="false" outlineLevel="0" collapsed="false">
      <c r="A5423" s="4" t="s">
        <v>261</v>
      </c>
      <c r="B5423" s="5" t="s">
        <v>266</v>
      </c>
      <c r="C5423" s="5" t="s">
        <v>267</v>
      </c>
      <c r="D5423" s="4" t="s">
        <v>16</v>
      </c>
      <c r="E5423" s="4" t="s">
        <v>4092</v>
      </c>
      <c r="F5423" s="4" t="s">
        <v>470</v>
      </c>
      <c r="G5423" s="4" t="s">
        <v>4093</v>
      </c>
      <c r="H5423" s="12" t="n">
        <v>1</v>
      </c>
      <c r="I5423" s="4" t="s">
        <v>408</v>
      </c>
      <c r="J5423" s="4" t="s">
        <v>416</v>
      </c>
      <c r="K5423" s="13" t="n">
        <v>1200</v>
      </c>
      <c r="L5423" s="6" t="n">
        <f aca="false">H5423*K5423</f>
        <v>1200</v>
      </c>
      <c r="M5423" s="14" t="s">
        <v>410</v>
      </c>
    </row>
    <row r="5424" customFormat="false" ht="15" hidden="false" customHeight="false" outlineLevel="0" collapsed="false">
      <c r="A5424" s="4" t="s">
        <v>261</v>
      </c>
      <c r="B5424" s="5" t="s">
        <v>266</v>
      </c>
      <c r="C5424" s="5" t="s">
        <v>267</v>
      </c>
      <c r="D5424" s="4" t="s">
        <v>16</v>
      </c>
      <c r="E5424" s="4" t="s">
        <v>2796</v>
      </c>
      <c r="F5424" s="4" t="s">
        <v>470</v>
      </c>
      <c r="G5424" s="4" t="s">
        <v>2797</v>
      </c>
      <c r="H5424" s="12" t="n">
        <v>4</v>
      </c>
      <c r="I5424" s="4" t="s">
        <v>474</v>
      </c>
      <c r="J5424" s="4" t="s">
        <v>409</v>
      </c>
      <c r="K5424" s="13" t="n">
        <v>8500</v>
      </c>
      <c r="L5424" s="6" t="n">
        <f aca="false">H5424*K5424</f>
        <v>34000</v>
      </c>
      <c r="M5424" s="4" t="s">
        <v>371</v>
      </c>
    </row>
    <row r="5425" customFormat="false" ht="15" hidden="false" customHeight="false" outlineLevel="0" collapsed="false">
      <c r="A5425" s="4" t="s">
        <v>261</v>
      </c>
      <c r="B5425" s="5" t="s">
        <v>266</v>
      </c>
      <c r="C5425" s="5" t="s">
        <v>267</v>
      </c>
      <c r="D5425" s="4" t="s">
        <v>16</v>
      </c>
      <c r="E5425" s="4" t="s">
        <v>3768</v>
      </c>
      <c r="F5425" s="4" t="s">
        <v>470</v>
      </c>
      <c r="G5425" s="4" t="s">
        <v>3769</v>
      </c>
      <c r="H5425" s="12" t="n">
        <v>8</v>
      </c>
      <c r="I5425" s="4" t="s">
        <v>474</v>
      </c>
      <c r="J5425" s="4" t="s">
        <v>409</v>
      </c>
      <c r="K5425" s="13" t="n">
        <v>1800</v>
      </c>
      <c r="L5425" s="6" t="n">
        <f aca="false">H5425*K5425</f>
        <v>14400</v>
      </c>
      <c r="M5425" s="4" t="s">
        <v>371</v>
      </c>
    </row>
    <row r="5426" customFormat="false" ht="15" hidden="false" customHeight="false" outlineLevel="0" collapsed="false">
      <c r="A5426" s="4" t="s">
        <v>261</v>
      </c>
      <c r="B5426" s="5" t="s">
        <v>266</v>
      </c>
      <c r="C5426" s="5" t="s">
        <v>267</v>
      </c>
      <c r="D5426" s="4" t="s">
        <v>16</v>
      </c>
      <c r="E5426" s="4" t="s">
        <v>6057</v>
      </c>
      <c r="F5426" s="4" t="s">
        <v>470</v>
      </c>
      <c r="G5426" s="4" t="s">
        <v>6058</v>
      </c>
      <c r="H5426" s="12" t="n">
        <v>4</v>
      </c>
      <c r="I5426" s="4" t="s">
        <v>474</v>
      </c>
      <c r="J5426" s="4" t="s">
        <v>409</v>
      </c>
      <c r="K5426" s="13" t="n">
        <v>3500</v>
      </c>
      <c r="L5426" s="6" t="n">
        <f aca="false">H5426*K5426</f>
        <v>14000</v>
      </c>
      <c r="M5426" s="4" t="s">
        <v>371</v>
      </c>
    </row>
    <row r="5427" customFormat="false" ht="15" hidden="false" customHeight="false" outlineLevel="0" collapsed="false">
      <c r="A5427" s="4" t="s">
        <v>261</v>
      </c>
      <c r="B5427" s="5" t="s">
        <v>266</v>
      </c>
      <c r="C5427" s="5" t="s">
        <v>267</v>
      </c>
      <c r="D5427" s="4" t="s">
        <v>16</v>
      </c>
      <c r="E5427" s="4" t="s">
        <v>6059</v>
      </c>
      <c r="F5427" s="4" t="s">
        <v>470</v>
      </c>
      <c r="G5427" s="4" t="s">
        <v>6060</v>
      </c>
      <c r="H5427" s="12" t="n">
        <v>1</v>
      </c>
      <c r="I5427" s="4" t="s">
        <v>408</v>
      </c>
      <c r="J5427" s="4" t="s">
        <v>409</v>
      </c>
      <c r="K5427" s="13" t="n">
        <v>8500</v>
      </c>
      <c r="L5427" s="6" t="n">
        <f aca="false">H5427*K5427</f>
        <v>8500</v>
      </c>
      <c r="M5427" s="4" t="s">
        <v>371</v>
      </c>
    </row>
    <row r="5428" customFormat="false" ht="15" hidden="false" customHeight="false" outlineLevel="0" collapsed="false">
      <c r="A5428" s="4" t="s">
        <v>261</v>
      </c>
      <c r="B5428" s="5" t="s">
        <v>266</v>
      </c>
      <c r="C5428" s="5" t="s">
        <v>267</v>
      </c>
      <c r="D5428" s="4" t="s">
        <v>16</v>
      </c>
      <c r="E5428" s="4" t="s">
        <v>6061</v>
      </c>
      <c r="F5428" s="4" t="s">
        <v>470</v>
      </c>
      <c r="G5428" s="4" t="s">
        <v>1424</v>
      </c>
      <c r="H5428" s="12" t="n">
        <v>1</v>
      </c>
      <c r="I5428" s="4" t="s">
        <v>474</v>
      </c>
      <c r="J5428" s="4" t="s">
        <v>409</v>
      </c>
      <c r="K5428" s="13" t="n">
        <v>3500</v>
      </c>
      <c r="L5428" s="6" t="n">
        <f aca="false">H5428*K5428</f>
        <v>3500</v>
      </c>
      <c r="M5428" s="4" t="s">
        <v>371</v>
      </c>
    </row>
    <row r="5429" customFormat="false" ht="15" hidden="false" customHeight="false" outlineLevel="0" collapsed="false">
      <c r="A5429" s="4" t="s">
        <v>261</v>
      </c>
      <c r="B5429" s="5" t="s">
        <v>266</v>
      </c>
      <c r="C5429" s="5" t="s">
        <v>267</v>
      </c>
      <c r="D5429" s="4" t="s">
        <v>16</v>
      </c>
      <c r="E5429" s="4" t="s">
        <v>6062</v>
      </c>
      <c r="F5429" s="4" t="s">
        <v>470</v>
      </c>
      <c r="G5429" s="4" t="s">
        <v>6063</v>
      </c>
      <c r="H5429" s="12" t="n">
        <v>1</v>
      </c>
      <c r="I5429" s="4" t="s">
        <v>408</v>
      </c>
      <c r="J5429" s="4" t="s">
        <v>416</v>
      </c>
      <c r="K5429" s="13" t="n">
        <v>850</v>
      </c>
      <c r="L5429" s="6" t="n">
        <f aca="false">H5429*K5429</f>
        <v>850</v>
      </c>
      <c r="M5429" s="4" t="s">
        <v>371</v>
      </c>
    </row>
    <row r="5430" customFormat="false" ht="15" hidden="false" customHeight="false" outlineLevel="0" collapsed="false">
      <c r="A5430" s="4" t="s">
        <v>261</v>
      </c>
      <c r="B5430" s="5" t="s">
        <v>266</v>
      </c>
      <c r="C5430" s="5" t="s">
        <v>267</v>
      </c>
      <c r="D5430" s="4" t="s">
        <v>16</v>
      </c>
      <c r="E5430" s="4" t="s">
        <v>6064</v>
      </c>
      <c r="F5430" s="4" t="s">
        <v>470</v>
      </c>
      <c r="G5430" s="4" t="s">
        <v>6065</v>
      </c>
      <c r="H5430" s="12" t="n">
        <v>1</v>
      </c>
      <c r="I5430" s="4" t="s">
        <v>408</v>
      </c>
      <c r="J5430" s="4" t="s">
        <v>416</v>
      </c>
      <c r="K5430" s="13" t="n">
        <v>850</v>
      </c>
      <c r="L5430" s="6" t="n">
        <f aca="false">H5430*K5430</f>
        <v>850</v>
      </c>
      <c r="M5430" s="4" t="s">
        <v>371</v>
      </c>
    </row>
    <row r="5431" customFormat="false" ht="15" hidden="false" customHeight="false" outlineLevel="0" collapsed="false">
      <c r="A5431" s="4" t="s">
        <v>261</v>
      </c>
      <c r="B5431" s="5" t="s">
        <v>266</v>
      </c>
      <c r="C5431" s="5" t="s">
        <v>267</v>
      </c>
      <c r="D5431" s="4" t="s">
        <v>16</v>
      </c>
      <c r="E5431" s="4" t="s">
        <v>1648</v>
      </c>
      <c r="F5431" s="4" t="s">
        <v>470</v>
      </c>
      <c r="G5431" s="4" t="s">
        <v>1424</v>
      </c>
      <c r="H5431" s="12" t="n">
        <v>1</v>
      </c>
      <c r="I5431" s="4" t="s">
        <v>408</v>
      </c>
      <c r="J5431" s="4" t="s">
        <v>409</v>
      </c>
      <c r="K5431" s="13" t="n">
        <v>3500</v>
      </c>
      <c r="L5431" s="6" t="n">
        <f aca="false">H5431*K5431</f>
        <v>3500</v>
      </c>
      <c r="M5431" s="4" t="s">
        <v>371</v>
      </c>
    </row>
    <row r="5432" customFormat="false" ht="15" hidden="false" customHeight="false" outlineLevel="0" collapsed="false">
      <c r="A5432" s="4" t="s">
        <v>261</v>
      </c>
      <c r="B5432" s="5" t="s">
        <v>266</v>
      </c>
      <c r="C5432" s="5" t="s">
        <v>267</v>
      </c>
      <c r="D5432" s="4" t="s">
        <v>16</v>
      </c>
      <c r="E5432" s="4" t="s">
        <v>4108</v>
      </c>
      <c r="F5432" s="4" t="s">
        <v>470</v>
      </c>
      <c r="G5432" s="4" t="s">
        <v>4109</v>
      </c>
      <c r="H5432" s="12" t="n">
        <v>1</v>
      </c>
      <c r="I5432" s="4" t="s">
        <v>408</v>
      </c>
      <c r="J5432" s="4" t="s">
        <v>409</v>
      </c>
      <c r="K5432" s="13" t="n">
        <v>1800</v>
      </c>
      <c r="L5432" s="6" t="n">
        <f aca="false">H5432*K5432</f>
        <v>1800</v>
      </c>
      <c r="M5432" s="4" t="s">
        <v>371</v>
      </c>
    </row>
    <row r="5433" customFormat="false" ht="15" hidden="false" customHeight="false" outlineLevel="0" collapsed="false">
      <c r="A5433" s="4" t="s">
        <v>261</v>
      </c>
      <c r="B5433" s="5" t="s">
        <v>266</v>
      </c>
      <c r="C5433" s="5" t="s">
        <v>267</v>
      </c>
      <c r="D5433" s="4" t="s">
        <v>16</v>
      </c>
      <c r="E5433" s="4" t="s">
        <v>3077</v>
      </c>
      <c r="F5433" s="4" t="s">
        <v>470</v>
      </c>
      <c r="G5433" s="4" t="s">
        <v>3078</v>
      </c>
      <c r="H5433" s="12" t="n">
        <v>1</v>
      </c>
      <c r="I5433" s="4" t="s">
        <v>408</v>
      </c>
      <c r="J5433" s="4" t="s">
        <v>409</v>
      </c>
      <c r="K5433" s="13" t="n">
        <v>120</v>
      </c>
      <c r="L5433" s="6" t="n">
        <f aca="false">H5433*K5433</f>
        <v>120</v>
      </c>
      <c r="M5433" s="14" t="s">
        <v>410</v>
      </c>
    </row>
    <row r="5434" customFormat="false" ht="15" hidden="false" customHeight="false" outlineLevel="0" collapsed="false">
      <c r="A5434" s="4" t="s">
        <v>261</v>
      </c>
      <c r="B5434" s="5" t="s">
        <v>266</v>
      </c>
      <c r="C5434" s="5" t="s">
        <v>267</v>
      </c>
      <c r="D5434" s="4" t="s">
        <v>16</v>
      </c>
      <c r="E5434" s="4" t="s">
        <v>1257</v>
      </c>
      <c r="F5434" s="4" t="s">
        <v>470</v>
      </c>
      <c r="G5434" s="4" t="s">
        <v>1258</v>
      </c>
      <c r="H5434" s="12" t="n">
        <v>1</v>
      </c>
      <c r="I5434" s="4" t="s">
        <v>408</v>
      </c>
      <c r="J5434" s="4" t="s">
        <v>409</v>
      </c>
      <c r="K5434" s="13" t="n">
        <v>8500</v>
      </c>
      <c r="L5434" s="6" t="n">
        <f aca="false">H5434*K5434</f>
        <v>8500</v>
      </c>
      <c r="M5434" s="4" t="s">
        <v>371</v>
      </c>
    </row>
    <row r="5435" customFormat="false" ht="15" hidden="false" customHeight="false" outlineLevel="0" collapsed="false">
      <c r="A5435" s="4" t="s">
        <v>261</v>
      </c>
      <c r="B5435" s="5" t="s">
        <v>266</v>
      </c>
      <c r="C5435" s="5" t="s">
        <v>267</v>
      </c>
      <c r="D5435" s="4" t="s">
        <v>16</v>
      </c>
      <c r="E5435" s="4" t="s">
        <v>4110</v>
      </c>
      <c r="F5435" s="4" t="s">
        <v>470</v>
      </c>
      <c r="G5435" s="4" t="s">
        <v>4111</v>
      </c>
      <c r="H5435" s="12" t="n">
        <v>1</v>
      </c>
      <c r="I5435" s="4" t="s">
        <v>408</v>
      </c>
      <c r="J5435" s="4" t="s">
        <v>543</v>
      </c>
      <c r="K5435" s="13" t="n">
        <v>12000</v>
      </c>
      <c r="L5435" s="6" t="n">
        <f aca="false">H5435*K5435</f>
        <v>12000</v>
      </c>
      <c r="M5435" s="4" t="s">
        <v>371</v>
      </c>
    </row>
    <row r="5436" customFormat="false" ht="15" hidden="false" customHeight="false" outlineLevel="0" collapsed="false">
      <c r="A5436" s="4" t="s">
        <v>261</v>
      </c>
      <c r="B5436" s="5" t="s">
        <v>266</v>
      </c>
      <c r="C5436" s="5" t="s">
        <v>267</v>
      </c>
      <c r="D5436" s="4" t="s">
        <v>16</v>
      </c>
      <c r="E5436" s="4" t="s">
        <v>6066</v>
      </c>
      <c r="F5436" s="4" t="s">
        <v>488</v>
      </c>
      <c r="G5436" s="4" t="s">
        <v>6067</v>
      </c>
      <c r="H5436" s="12" t="n">
        <v>1</v>
      </c>
      <c r="I5436" s="4" t="s">
        <v>408</v>
      </c>
      <c r="J5436" s="4" t="s">
        <v>416</v>
      </c>
      <c r="K5436" s="13" t="n">
        <v>350</v>
      </c>
      <c r="L5436" s="6" t="n">
        <f aca="false">H5436*K5436</f>
        <v>350</v>
      </c>
      <c r="M5436" s="4" t="s">
        <v>371</v>
      </c>
    </row>
    <row r="5437" customFormat="false" ht="15" hidden="false" customHeight="false" outlineLevel="0" collapsed="false">
      <c r="A5437" s="4" t="s">
        <v>261</v>
      </c>
      <c r="B5437" s="5" t="s">
        <v>266</v>
      </c>
      <c r="C5437" s="5" t="s">
        <v>267</v>
      </c>
      <c r="D5437" s="4" t="s">
        <v>16</v>
      </c>
      <c r="E5437" s="4" t="s">
        <v>4054</v>
      </c>
      <c r="F5437" s="4" t="s">
        <v>488</v>
      </c>
      <c r="G5437" s="4" t="s">
        <v>4055</v>
      </c>
      <c r="H5437" s="12" t="n">
        <v>1</v>
      </c>
      <c r="I5437" s="4" t="s">
        <v>408</v>
      </c>
      <c r="J5437" s="4" t="s">
        <v>416</v>
      </c>
      <c r="K5437" s="13" t="n">
        <v>350</v>
      </c>
      <c r="L5437" s="6" t="n">
        <f aca="false">H5437*K5437</f>
        <v>350</v>
      </c>
      <c r="M5437" s="4" t="s">
        <v>371</v>
      </c>
    </row>
    <row r="5438" customFormat="false" ht="15" hidden="false" customHeight="false" outlineLevel="0" collapsed="false">
      <c r="A5438" s="4" t="s">
        <v>261</v>
      </c>
      <c r="B5438" s="5" t="s">
        <v>266</v>
      </c>
      <c r="C5438" s="5" t="s">
        <v>267</v>
      </c>
      <c r="D5438" s="4" t="s">
        <v>16</v>
      </c>
      <c r="E5438" s="4" t="s">
        <v>6068</v>
      </c>
      <c r="F5438" s="4" t="s">
        <v>488</v>
      </c>
      <c r="G5438" s="4" t="s">
        <v>6069</v>
      </c>
      <c r="H5438" s="12" t="n">
        <v>1</v>
      </c>
      <c r="I5438" s="4" t="s">
        <v>408</v>
      </c>
      <c r="J5438" s="4" t="s">
        <v>416</v>
      </c>
      <c r="K5438" s="13" t="n">
        <v>450</v>
      </c>
      <c r="L5438" s="6" t="n">
        <f aca="false">H5438*K5438</f>
        <v>450</v>
      </c>
      <c r="M5438" s="4" t="s">
        <v>371</v>
      </c>
    </row>
    <row r="5439" customFormat="false" ht="15" hidden="false" customHeight="false" outlineLevel="0" collapsed="false">
      <c r="A5439" s="4" t="s">
        <v>261</v>
      </c>
      <c r="B5439" s="5" t="s">
        <v>266</v>
      </c>
      <c r="C5439" s="5" t="s">
        <v>267</v>
      </c>
      <c r="D5439" s="4" t="s">
        <v>16</v>
      </c>
      <c r="E5439" s="4" t="s">
        <v>6070</v>
      </c>
      <c r="F5439" s="4" t="s">
        <v>488</v>
      </c>
      <c r="G5439" s="4" t="s">
        <v>6071</v>
      </c>
      <c r="H5439" s="12" t="n">
        <v>1</v>
      </c>
      <c r="I5439" s="4" t="s">
        <v>408</v>
      </c>
      <c r="J5439" s="4" t="s">
        <v>416</v>
      </c>
      <c r="K5439" s="13" t="n">
        <v>650</v>
      </c>
      <c r="L5439" s="6" t="n">
        <f aca="false">H5439*K5439</f>
        <v>650</v>
      </c>
      <c r="M5439" s="4" t="s">
        <v>371</v>
      </c>
    </row>
    <row r="5440" customFormat="false" ht="15" hidden="false" customHeight="false" outlineLevel="0" collapsed="false">
      <c r="A5440" s="4" t="s">
        <v>261</v>
      </c>
      <c r="B5440" s="5" t="s">
        <v>266</v>
      </c>
      <c r="C5440" s="5" t="s">
        <v>267</v>
      </c>
      <c r="D5440" s="4" t="s">
        <v>16</v>
      </c>
      <c r="E5440" s="4" t="s">
        <v>6072</v>
      </c>
      <c r="F5440" s="4" t="s">
        <v>488</v>
      </c>
      <c r="G5440" s="4" t="s">
        <v>6073</v>
      </c>
      <c r="H5440" s="12" t="n">
        <v>1</v>
      </c>
      <c r="I5440" s="4" t="s">
        <v>408</v>
      </c>
      <c r="J5440" s="4" t="s">
        <v>506</v>
      </c>
      <c r="K5440" s="13" t="n">
        <v>120</v>
      </c>
      <c r="L5440" s="6" t="n">
        <f aca="false">H5440*K5440</f>
        <v>120</v>
      </c>
      <c r="M5440" s="4" t="s">
        <v>371</v>
      </c>
    </row>
    <row r="5441" customFormat="false" ht="15" hidden="false" customHeight="false" outlineLevel="0" collapsed="false">
      <c r="A5441" s="4" t="s">
        <v>261</v>
      </c>
      <c r="B5441" s="5" t="s">
        <v>266</v>
      </c>
      <c r="C5441" s="5" t="s">
        <v>267</v>
      </c>
      <c r="D5441" s="4" t="s">
        <v>16</v>
      </c>
      <c r="E5441" s="4" t="s">
        <v>1460</v>
      </c>
      <c r="F5441" s="4" t="s">
        <v>488</v>
      </c>
      <c r="G5441" s="4" t="s">
        <v>1461</v>
      </c>
      <c r="H5441" s="12" t="n">
        <v>1</v>
      </c>
      <c r="I5441" s="4" t="s">
        <v>408</v>
      </c>
      <c r="J5441" s="4" t="s">
        <v>416</v>
      </c>
      <c r="K5441" s="13" t="n">
        <v>450</v>
      </c>
      <c r="L5441" s="6" t="n">
        <f aca="false">H5441*K5441</f>
        <v>450</v>
      </c>
      <c r="M5441" s="4" t="s">
        <v>371</v>
      </c>
    </row>
    <row r="5442" customFormat="false" ht="15" hidden="false" customHeight="false" outlineLevel="0" collapsed="false">
      <c r="A5442" s="4" t="s">
        <v>261</v>
      </c>
      <c r="B5442" s="5" t="s">
        <v>266</v>
      </c>
      <c r="C5442" s="5" t="s">
        <v>267</v>
      </c>
      <c r="D5442" s="4" t="s">
        <v>16</v>
      </c>
      <c r="E5442" s="4" t="s">
        <v>2157</v>
      </c>
      <c r="F5442" s="4" t="s">
        <v>488</v>
      </c>
      <c r="G5442" s="4" t="s">
        <v>2158</v>
      </c>
      <c r="H5442" s="12" t="n">
        <v>1</v>
      </c>
      <c r="I5442" s="4" t="s">
        <v>408</v>
      </c>
      <c r="J5442" s="4" t="s">
        <v>506</v>
      </c>
      <c r="K5442" s="13" t="n">
        <v>120</v>
      </c>
      <c r="L5442" s="6" t="n">
        <f aca="false">H5442*K5442</f>
        <v>120</v>
      </c>
      <c r="M5442" s="4" t="s">
        <v>371</v>
      </c>
    </row>
    <row r="5443" customFormat="false" ht="15" hidden="false" customHeight="false" outlineLevel="0" collapsed="false">
      <c r="A5443" s="4" t="s">
        <v>261</v>
      </c>
      <c r="B5443" s="5" t="s">
        <v>266</v>
      </c>
      <c r="C5443" s="5" t="s">
        <v>267</v>
      </c>
      <c r="D5443" s="4" t="s">
        <v>16</v>
      </c>
      <c r="E5443" s="4" t="s">
        <v>6074</v>
      </c>
      <c r="F5443" s="4" t="s">
        <v>470</v>
      </c>
      <c r="G5443" s="4" t="s">
        <v>6075</v>
      </c>
      <c r="H5443" s="12" t="n">
        <v>1</v>
      </c>
      <c r="I5443" s="4" t="s">
        <v>408</v>
      </c>
      <c r="J5443" s="4" t="s">
        <v>409</v>
      </c>
      <c r="K5443" s="13" t="n">
        <v>250</v>
      </c>
      <c r="L5443" s="6" t="n">
        <f aca="false">H5443*K5443</f>
        <v>250</v>
      </c>
      <c r="M5443" s="4" t="s">
        <v>371</v>
      </c>
    </row>
    <row r="5444" customFormat="false" ht="15" hidden="false" customHeight="false" outlineLevel="0" collapsed="false">
      <c r="A5444" s="4" t="s">
        <v>261</v>
      </c>
      <c r="B5444" s="5" t="s">
        <v>268</v>
      </c>
      <c r="C5444" s="5" t="s">
        <v>269</v>
      </c>
      <c r="D5444" s="4" t="s">
        <v>16</v>
      </c>
      <c r="E5444" s="4" t="s">
        <v>2394</v>
      </c>
      <c r="F5444" s="4" t="s">
        <v>406</v>
      </c>
      <c r="G5444" s="4" t="s">
        <v>2395</v>
      </c>
      <c r="H5444" s="12" t="n">
        <v>1</v>
      </c>
      <c r="I5444" s="4" t="s">
        <v>474</v>
      </c>
      <c r="J5444" s="4" t="s">
        <v>409</v>
      </c>
      <c r="K5444" s="13" t="n">
        <v>18000</v>
      </c>
      <c r="L5444" s="6" t="n">
        <f aca="false">H5444*K5444</f>
        <v>18000</v>
      </c>
      <c r="M5444" s="14" t="s">
        <v>410</v>
      </c>
    </row>
    <row r="5445" customFormat="false" ht="15" hidden="false" customHeight="false" outlineLevel="0" collapsed="false">
      <c r="A5445" s="4" t="s">
        <v>261</v>
      </c>
      <c r="B5445" s="5" t="s">
        <v>268</v>
      </c>
      <c r="C5445" s="5" t="s">
        <v>269</v>
      </c>
      <c r="D5445" s="4" t="s">
        <v>16</v>
      </c>
      <c r="E5445" s="4" t="s">
        <v>2387</v>
      </c>
      <c r="F5445" s="4" t="s">
        <v>470</v>
      </c>
      <c r="G5445" s="4" t="s">
        <v>1700</v>
      </c>
      <c r="H5445" s="12" t="n">
        <v>1</v>
      </c>
      <c r="I5445" s="4" t="s">
        <v>474</v>
      </c>
      <c r="J5445" s="4" t="s">
        <v>409</v>
      </c>
      <c r="K5445" s="13" t="n">
        <v>55000</v>
      </c>
      <c r="L5445" s="6" t="n">
        <f aca="false">H5445*K5445</f>
        <v>55000</v>
      </c>
      <c r="M5445" s="14" t="s">
        <v>410</v>
      </c>
    </row>
    <row r="5446" customFormat="false" ht="15" hidden="false" customHeight="false" outlineLevel="0" collapsed="false">
      <c r="A5446" s="4" t="s">
        <v>261</v>
      </c>
      <c r="B5446" s="5" t="s">
        <v>268</v>
      </c>
      <c r="C5446" s="5" t="s">
        <v>269</v>
      </c>
      <c r="D5446" s="4" t="s">
        <v>16</v>
      </c>
      <c r="E5446" s="4" t="s">
        <v>6049</v>
      </c>
      <c r="F5446" s="4" t="s">
        <v>470</v>
      </c>
      <c r="G5446" s="4" t="s">
        <v>6050</v>
      </c>
      <c r="H5446" s="12" t="n">
        <v>1</v>
      </c>
      <c r="I5446" s="4" t="s">
        <v>474</v>
      </c>
      <c r="J5446" s="4" t="s">
        <v>409</v>
      </c>
      <c r="K5446" s="13" t="n">
        <v>18000</v>
      </c>
      <c r="L5446" s="6" t="n">
        <f aca="false">H5446*K5446</f>
        <v>18000</v>
      </c>
      <c r="M5446" s="14" t="s">
        <v>410</v>
      </c>
    </row>
    <row r="5447" customFormat="false" ht="15" hidden="false" customHeight="false" outlineLevel="0" collapsed="false">
      <c r="A5447" s="4" t="s">
        <v>261</v>
      </c>
      <c r="B5447" s="5" t="s">
        <v>268</v>
      </c>
      <c r="C5447" s="5" t="s">
        <v>269</v>
      </c>
      <c r="D5447" s="4" t="s">
        <v>16</v>
      </c>
      <c r="E5447" s="4" t="s">
        <v>1253</v>
      </c>
      <c r="F5447" s="4" t="s">
        <v>470</v>
      </c>
      <c r="G5447" s="4" t="s">
        <v>1254</v>
      </c>
      <c r="H5447" s="12" t="n">
        <v>1</v>
      </c>
      <c r="I5447" s="4" t="s">
        <v>474</v>
      </c>
      <c r="J5447" s="4" t="s">
        <v>409</v>
      </c>
      <c r="K5447" s="13" t="n">
        <v>8500</v>
      </c>
      <c r="L5447" s="6" t="n">
        <f aca="false">H5447*K5447</f>
        <v>8500</v>
      </c>
      <c r="M5447" s="14" t="s">
        <v>410</v>
      </c>
    </row>
    <row r="5448" customFormat="false" ht="15" hidden="false" customHeight="false" outlineLevel="0" collapsed="false">
      <c r="A5448" s="4" t="s">
        <v>261</v>
      </c>
      <c r="B5448" s="5" t="s">
        <v>268</v>
      </c>
      <c r="C5448" s="5" t="s">
        <v>269</v>
      </c>
      <c r="D5448" s="4" t="s">
        <v>16</v>
      </c>
      <c r="E5448" s="4" t="s">
        <v>2390</v>
      </c>
      <c r="F5448" s="4" t="s">
        <v>470</v>
      </c>
      <c r="G5448" s="4" t="s">
        <v>2391</v>
      </c>
      <c r="H5448" s="12" t="n">
        <v>1</v>
      </c>
      <c r="I5448" s="4" t="s">
        <v>474</v>
      </c>
      <c r="J5448" s="4" t="s">
        <v>409</v>
      </c>
      <c r="K5448" s="13" t="n">
        <v>85000</v>
      </c>
      <c r="L5448" s="6" t="n">
        <f aca="false">H5448*K5448</f>
        <v>85000</v>
      </c>
      <c r="M5448" s="14" t="s">
        <v>410</v>
      </c>
    </row>
    <row r="5449" customFormat="false" ht="15" hidden="false" customHeight="false" outlineLevel="0" collapsed="false">
      <c r="A5449" s="4" t="s">
        <v>261</v>
      </c>
      <c r="B5449" s="5" t="s">
        <v>268</v>
      </c>
      <c r="C5449" s="5" t="s">
        <v>269</v>
      </c>
      <c r="D5449" s="4" t="s">
        <v>16</v>
      </c>
      <c r="E5449" s="4" t="s">
        <v>6076</v>
      </c>
      <c r="F5449" s="4" t="s">
        <v>470</v>
      </c>
      <c r="G5449" s="4" t="s">
        <v>6052</v>
      </c>
      <c r="H5449" s="12" t="n">
        <v>2</v>
      </c>
      <c r="I5449" s="4" t="s">
        <v>474</v>
      </c>
      <c r="J5449" s="4" t="s">
        <v>416</v>
      </c>
      <c r="K5449" s="13" t="n">
        <v>65000</v>
      </c>
      <c r="L5449" s="6" t="n">
        <f aca="false">H5449*K5449</f>
        <v>130000</v>
      </c>
      <c r="M5449" s="4" t="s">
        <v>371</v>
      </c>
    </row>
    <row r="5450" customFormat="false" ht="15" hidden="false" customHeight="false" outlineLevel="0" collapsed="false">
      <c r="A5450" s="4" t="s">
        <v>261</v>
      </c>
      <c r="B5450" s="5" t="s">
        <v>268</v>
      </c>
      <c r="C5450" s="5" t="s">
        <v>269</v>
      </c>
      <c r="D5450" s="4" t="s">
        <v>16</v>
      </c>
      <c r="E5450" s="4" t="s">
        <v>2163</v>
      </c>
      <c r="F5450" s="4" t="s">
        <v>470</v>
      </c>
      <c r="G5450" s="4" t="s">
        <v>2164</v>
      </c>
      <c r="H5450" s="12" t="n">
        <v>1</v>
      </c>
      <c r="I5450" s="4" t="s">
        <v>408</v>
      </c>
      <c r="J5450" s="4" t="s">
        <v>409</v>
      </c>
      <c r="K5450" s="13" t="n">
        <v>35000</v>
      </c>
      <c r="L5450" s="6" t="n">
        <f aca="false">H5450*K5450</f>
        <v>35000</v>
      </c>
      <c r="M5450" s="14" t="s">
        <v>410</v>
      </c>
    </row>
    <row r="5451" customFormat="false" ht="15" hidden="false" customHeight="false" outlineLevel="0" collapsed="false">
      <c r="A5451" s="4" t="s">
        <v>261</v>
      </c>
      <c r="B5451" s="5" t="s">
        <v>268</v>
      </c>
      <c r="C5451" s="5" t="s">
        <v>269</v>
      </c>
      <c r="D5451" s="4" t="s">
        <v>16</v>
      </c>
      <c r="E5451" s="4" t="s">
        <v>1058</v>
      </c>
      <c r="F5451" s="4" t="s">
        <v>470</v>
      </c>
      <c r="G5451" s="4" t="s">
        <v>1059</v>
      </c>
      <c r="H5451" s="12" t="n">
        <v>1</v>
      </c>
      <c r="I5451" s="4" t="s">
        <v>408</v>
      </c>
      <c r="J5451" s="4" t="s">
        <v>409</v>
      </c>
      <c r="K5451" s="13" t="n">
        <v>45000</v>
      </c>
      <c r="L5451" s="6" t="n">
        <f aca="false">H5451*K5451</f>
        <v>45000</v>
      </c>
      <c r="M5451" s="14" t="s">
        <v>410</v>
      </c>
    </row>
    <row r="5452" customFormat="false" ht="15" hidden="false" customHeight="false" outlineLevel="0" collapsed="false">
      <c r="A5452" s="4" t="s">
        <v>261</v>
      </c>
      <c r="B5452" s="5" t="s">
        <v>268</v>
      </c>
      <c r="C5452" s="5" t="s">
        <v>269</v>
      </c>
      <c r="D5452" s="4" t="s">
        <v>16</v>
      </c>
      <c r="E5452" s="4" t="s">
        <v>2796</v>
      </c>
      <c r="F5452" s="4" t="s">
        <v>470</v>
      </c>
      <c r="G5452" s="4" t="s">
        <v>2797</v>
      </c>
      <c r="H5452" s="12" t="n">
        <v>4</v>
      </c>
      <c r="I5452" s="4" t="s">
        <v>474</v>
      </c>
      <c r="J5452" s="4" t="s">
        <v>409</v>
      </c>
      <c r="K5452" s="13" t="n">
        <v>8500</v>
      </c>
      <c r="L5452" s="6" t="n">
        <f aca="false">H5452*K5452</f>
        <v>34000</v>
      </c>
      <c r="M5452" s="4" t="s">
        <v>371</v>
      </c>
    </row>
    <row r="5453" customFormat="false" ht="15" hidden="false" customHeight="false" outlineLevel="0" collapsed="false">
      <c r="A5453" s="4" t="s">
        <v>261</v>
      </c>
      <c r="B5453" s="5" t="s">
        <v>268</v>
      </c>
      <c r="C5453" s="5" t="s">
        <v>269</v>
      </c>
      <c r="D5453" s="4" t="s">
        <v>16</v>
      </c>
      <c r="E5453" s="4" t="s">
        <v>3768</v>
      </c>
      <c r="F5453" s="4" t="s">
        <v>470</v>
      </c>
      <c r="G5453" s="4" t="s">
        <v>3769</v>
      </c>
      <c r="H5453" s="12" t="n">
        <v>8</v>
      </c>
      <c r="I5453" s="4" t="s">
        <v>474</v>
      </c>
      <c r="J5453" s="4" t="s">
        <v>409</v>
      </c>
      <c r="K5453" s="13" t="n">
        <v>1800</v>
      </c>
      <c r="L5453" s="6" t="n">
        <f aca="false">H5453*K5453</f>
        <v>14400</v>
      </c>
      <c r="M5453" s="4" t="s">
        <v>371</v>
      </c>
    </row>
    <row r="5454" customFormat="false" ht="15" hidden="false" customHeight="false" outlineLevel="0" collapsed="false">
      <c r="A5454" s="4" t="s">
        <v>261</v>
      </c>
      <c r="B5454" s="5" t="s">
        <v>268</v>
      </c>
      <c r="C5454" s="5" t="s">
        <v>269</v>
      </c>
      <c r="D5454" s="4" t="s">
        <v>16</v>
      </c>
      <c r="E5454" s="4" t="s">
        <v>6057</v>
      </c>
      <c r="F5454" s="4" t="s">
        <v>470</v>
      </c>
      <c r="G5454" s="4" t="s">
        <v>6058</v>
      </c>
      <c r="H5454" s="12" t="n">
        <v>4</v>
      </c>
      <c r="I5454" s="4" t="s">
        <v>474</v>
      </c>
      <c r="J5454" s="4" t="s">
        <v>409</v>
      </c>
      <c r="K5454" s="13" t="n">
        <v>3500</v>
      </c>
      <c r="L5454" s="6" t="n">
        <f aca="false">H5454*K5454</f>
        <v>14000</v>
      </c>
      <c r="M5454" s="4" t="s">
        <v>371</v>
      </c>
    </row>
    <row r="5455" customFormat="false" ht="15" hidden="false" customHeight="false" outlineLevel="0" collapsed="false">
      <c r="A5455" s="4" t="s">
        <v>261</v>
      </c>
      <c r="B5455" s="5" t="s">
        <v>268</v>
      </c>
      <c r="C5455" s="5" t="s">
        <v>269</v>
      </c>
      <c r="D5455" s="4" t="s">
        <v>16</v>
      </c>
      <c r="E5455" s="4" t="s">
        <v>1423</v>
      </c>
      <c r="F5455" s="4" t="s">
        <v>470</v>
      </c>
      <c r="G5455" s="4" t="s">
        <v>1424</v>
      </c>
      <c r="H5455" s="12" t="n">
        <v>1</v>
      </c>
      <c r="I5455" s="4" t="s">
        <v>474</v>
      </c>
      <c r="J5455" s="4" t="s">
        <v>409</v>
      </c>
      <c r="K5455" s="13" t="n">
        <v>3500</v>
      </c>
      <c r="L5455" s="6" t="n">
        <f aca="false">H5455*K5455</f>
        <v>3500</v>
      </c>
      <c r="M5455" s="4" t="s">
        <v>371</v>
      </c>
    </row>
    <row r="5456" customFormat="false" ht="15" hidden="false" customHeight="false" outlineLevel="0" collapsed="false">
      <c r="A5456" s="4" t="s">
        <v>261</v>
      </c>
      <c r="B5456" s="5" t="s">
        <v>268</v>
      </c>
      <c r="C5456" s="5" t="s">
        <v>269</v>
      </c>
      <c r="D5456" s="4" t="s">
        <v>16</v>
      </c>
      <c r="E5456" s="4" t="s">
        <v>2301</v>
      </c>
      <c r="F5456" s="4" t="s">
        <v>470</v>
      </c>
      <c r="G5456" s="4" t="s">
        <v>2302</v>
      </c>
      <c r="H5456" s="12" t="n">
        <v>1</v>
      </c>
      <c r="I5456" s="4" t="s">
        <v>408</v>
      </c>
      <c r="J5456" s="4" t="s">
        <v>409</v>
      </c>
      <c r="K5456" s="13" t="n">
        <v>8500</v>
      </c>
      <c r="L5456" s="6" t="n">
        <f aca="false">H5456*K5456</f>
        <v>8500</v>
      </c>
      <c r="M5456" s="4" t="s">
        <v>371</v>
      </c>
    </row>
    <row r="5457" customFormat="false" ht="15" hidden="false" customHeight="false" outlineLevel="0" collapsed="false">
      <c r="A5457" s="4" t="s">
        <v>261</v>
      </c>
      <c r="B5457" s="5" t="s">
        <v>268</v>
      </c>
      <c r="C5457" s="5" t="s">
        <v>269</v>
      </c>
      <c r="D5457" s="4" t="s">
        <v>16</v>
      </c>
      <c r="E5457" s="4" t="s">
        <v>2303</v>
      </c>
      <c r="F5457" s="4" t="s">
        <v>470</v>
      </c>
      <c r="G5457" s="4" t="s">
        <v>2304</v>
      </c>
      <c r="H5457" s="12" t="n">
        <v>1</v>
      </c>
      <c r="I5457" s="4" t="s">
        <v>408</v>
      </c>
      <c r="J5457" s="4" t="s">
        <v>409</v>
      </c>
      <c r="K5457" s="13" t="n">
        <v>3500</v>
      </c>
      <c r="L5457" s="6" t="n">
        <f aca="false">H5457*K5457</f>
        <v>3500</v>
      </c>
      <c r="M5457" s="4" t="s">
        <v>371</v>
      </c>
    </row>
    <row r="5458" customFormat="false" ht="15" hidden="false" customHeight="false" outlineLevel="0" collapsed="false">
      <c r="A5458" s="4" t="s">
        <v>261</v>
      </c>
      <c r="B5458" s="5" t="s">
        <v>268</v>
      </c>
      <c r="C5458" s="5" t="s">
        <v>269</v>
      </c>
      <c r="D5458" s="4" t="s">
        <v>16</v>
      </c>
      <c r="E5458" s="4" t="s">
        <v>2305</v>
      </c>
      <c r="F5458" s="4" t="s">
        <v>470</v>
      </c>
      <c r="G5458" s="4" t="s">
        <v>2306</v>
      </c>
      <c r="H5458" s="12" t="n">
        <v>1</v>
      </c>
      <c r="I5458" s="4" t="s">
        <v>408</v>
      </c>
      <c r="J5458" s="4" t="s">
        <v>409</v>
      </c>
      <c r="K5458" s="13" t="n">
        <v>850</v>
      </c>
      <c r="L5458" s="6" t="n">
        <f aca="false">H5458*K5458</f>
        <v>850</v>
      </c>
      <c r="M5458" s="4" t="s">
        <v>371</v>
      </c>
    </row>
    <row r="5459" customFormat="false" ht="15" hidden="false" customHeight="false" outlineLevel="0" collapsed="false">
      <c r="A5459" s="4" t="s">
        <v>261</v>
      </c>
      <c r="B5459" s="5" t="s">
        <v>268</v>
      </c>
      <c r="C5459" s="5" t="s">
        <v>269</v>
      </c>
      <c r="D5459" s="4" t="s">
        <v>16</v>
      </c>
      <c r="E5459" s="4" t="s">
        <v>2402</v>
      </c>
      <c r="F5459" s="4" t="s">
        <v>488</v>
      </c>
      <c r="G5459" s="4" t="s">
        <v>2403</v>
      </c>
      <c r="H5459" s="12" t="n">
        <v>1</v>
      </c>
      <c r="I5459" s="4" t="s">
        <v>408</v>
      </c>
      <c r="J5459" s="4" t="s">
        <v>416</v>
      </c>
      <c r="K5459" s="13" t="n">
        <v>350</v>
      </c>
      <c r="L5459" s="6" t="n">
        <f aca="false">H5459*K5459</f>
        <v>350</v>
      </c>
      <c r="M5459" s="4" t="s">
        <v>371</v>
      </c>
    </row>
    <row r="5460" customFormat="false" ht="15" hidden="false" customHeight="false" outlineLevel="0" collapsed="false">
      <c r="A5460" s="4" t="s">
        <v>261</v>
      </c>
      <c r="B5460" s="5" t="s">
        <v>270</v>
      </c>
      <c r="C5460" s="5" t="s">
        <v>271</v>
      </c>
      <c r="D5460" s="4" t="s">
        <v>16</v>
      </c>
      <c r="E5460" s="4" t="s">
        <v>6077</v>
      </c>
      <c r="F5460" s="4" t="s">
        <v>406</v>
      </c>
      <c r="G5460" s="4" t="s">
        <v>6078</v>
      </c>
      <c r="H5460" s="12" t="n">
        <v>3</v>
      </c>
      <c r="I5460" s="4" t="s">
        <v>474</v>
      </c>
      <c r="J5460" s="4" t="s">
        <v>416</v>
      </c>
      <c r="K5460" s="13" t="n">
        <v>2500</v>
      </c>
      <c r="L5460" s="6" t="n">
        <f aca="false">H5460*K5460</f>
        <v>7500</v>
      </c>
      <c r="M5460" s="4" t="s">
        <v>371</v>
      </c>
    </row>
    <row r="5461" customFormat="false" ht="15" hidden="false" customHeight="false" outlineLevel="0" collapsed="false">
      <c r="A5461" s="4" t="s">
        <v>261</v>
      </c>
      <c r="B5461" s="5" t="s">
        <v>270</v>
      </c>
      <c r="C5461" s="5" t="s">
        <v>271</v>
      </c>
      <c r="D5461" s="4" t="s">
        <v>16</v>
      </c>
      <c r="E5461" s="4" t="s">
        <v>6079</v>
      </c>
      <c r="F5461" s="4" t="s">
        <v>406</v>
      </c>
      <c r="G5461" s="4" t="s">
        <v>6080</v>
      </c>
      <c r="H5461" s="12" t="n">
        <v>5</v>
      </c>
      <c r="I5461" s="4" t="s">
        <v>474</v>
      </c>
      <c r="J5461" s="4" t="s">
        <v>409</v>
      </c>
      <c r="K5461" s="13" t="n">
        <v>250</v>
      </c>
      <c r="L5461" s="6" t="n">
        <f aca="false">H5461*K5461</f>
        <v>1250</v>
      </c>
      <c r="M5461" s="4" t="s">
        <v>371</v>
      </c>
    </row>
    <row r="5462" customFormat="false" ht="15" hidden="false" customHeight="false" outlineLevel="0" collapsed="false">
      <c r="A5462" s="4" t="s">
        <v>261</v>
      </c>
      <c r="B5462" s="5" t="s">
        <v>270</v>
      </c>
      <c r="C5462" s="5" t="s">
        <v>271</v>
      </c>
      <c r="D5462" s="4" t="s">
        <v>16</v>
      </c>
      <c r="E5462" s="4" t="s">
        <v>6081</v>
      </c>
      <c r="F5462" s="4" t="s">
        <v>406</v>
      </c>
      <c r="G5462" s="4" t="s">
        <v>3373</v>
      </c>
      <c r="H5462" s="12" t="n">
        <v>2</v>
      </c>
      <c r="I5462" s="4" t="s">
        <v>474</v>
      </c>
      <c r="J5462" s="4" t="s">
        <v>409</v>
      </c>
      <c r="K5462" s="13" t="n">
        <v>1200</v>
      </c>
      <c r="L5462" s="6" t="n">
        <f aca="false">H5462*K5462</f>
        <v>2400</v>
      </c>
      <c r="M5462" s="14" t="s">
        <v>410</v>
      </c>
    </row>
    <row r="5463" customFormat="false" ht="15" hidden="false" customHeight="false" outlineLevel="0" collapsed="false">
      <c r="A5463" s="4" t="s">
        <v>261</v>
      </c>
      <c r="B5463" s="5" t="s">
        <v>270</v>
      </c>
      <c r="C5463" s="5" t="s">
        <v>271</v>
      </c>
      <c r="D5463" s="4" t="s">
        <v>16</v>
      </c>
      <c r="E5463" s="4" t="s">
        <v>6082</v>
      </c>
      <c r="F5463" s="4" t="s">
        <v>406</v>
      </c>
      <c r="G5463" s="4" t="s">
        <v>6083</v>
      </c>
      <c r="H5463" s="12" t="n">
        <v>1</v>
      </c>
      <c r="I5463" s="4" t="s">
        <v>474</v>
      </c>
      <c r="J5463" s="4" t="s">
        <v>416</v>
      </c>
      <c r="K5463" s="13" t="n">
        <v>850</v>
      </c>
      <c r="L5463" s="6" t="n">
        <f aca="false">H5463*K5463</f>
        <v>850</v>
      </c>
      <c r="M5463" s="4" t="s">
        <v>371</v>
      </c>
    </row>
    <row r="5464" customFormat="false" ht="15" hidden="false" customHeight="false" outlineLevel="0" collapsed="false">
      <c r="A5464" s="4" t="s">
        <v>261</v>
      </c>
      <c r="B5464" s="5" t="s">
        <v>270</v>
      </c>
      <c r="C5464" s="5" t="s">
        <v>271</v>
      </c>
      <c r="D5464" s="4" t="s">
        <v>16</v>
      </c>
      <c r="E5464" s="4" t="s">
        <v>6084</v>
      </c>
      <c r="F5464" s="4" t="s">
        <v>406</v>
      </c>
      <c r="G5464" s="4" t="s">
        <v>6085</v>
      </c>
      <c r="H5464" s="12" t="n">
        <v>2</v>
      </c>
      <c r="I5464" s="4" t="s">
        <v>474</v>
      </c>
      <c r="J5464" s="4" t="s">
        <v>409</v>
      </c>
      <c r="K5464" s="13" t="n">
        <v>3500</v>
      </c>
      <c r="L5464" s="6" t="n">
        <f aca="false">H5464*K5464</f>
        <v>7000</v>
      </c>
      <c r="M5464" s="14" t="s">
        <v>410</v>
      </c>
    </row>
    <row r="5465" customFormat="false" ht="15" hidden="false" customHeight="false" outlineLevel="0" collapsed="false">
      <c r="A5465" s="4" t="s">
        <v>261</v>
      </c>
      <c r="B5465" s="5" t="s">
        <v>270</v>
      </c>
      <c r="C5465" s="5" t="s">
        <v>271</v>
      </c>
      <c r="D5465" s="4" t="s">
        <v>16</v>
      </c>
      <c r="E5465" s="4" t="s">
        <v>6086</v>
      </c>
      <c r="F5465" s="4" t="s">
        <v>406</v>
      </c>
      <c r="G5465" s="4" t="s">
        <v>6087</v>
      </c>
      <c r="H5465" s="12" t="n">
        <v>1</v>
      </c>
      <c r="I5465" s="4" t="s">
        <v>474</v>
      </c>
      <c r="J5465" s="4" t="s">
        <v>409</v>
      </c>
      <c r="K5465" s="13" t="n">
        <v>3500</v>
      </c>
      <c r="L5465" s="6" t="n">
        <f aca="false">H5465*K5465</f>
        <v>3500</v>
      </c>
      <c r="M5465" s="14" t="s">
        <v>410</v>
      </c>
    </row>
    <row r="5466" customFormat="false" ht="15" hidden="false" customHeight="false" outlineLevel="0" collapsed="false">
      <c r="A5466" s="4" t="s">
        <v>261</v>
      </c>
      <c r="B5466" s="5" t="s">
        <v>270</v>
      </c>
      <c r="C5466" s="5" t="s">
        <v>271</v>
      </c>
      <c r="D5466" s="4" t="s">
        <v>16</v>
      </c>
      <c r="E5466" s="4" t="s">
        <v>6088</v>
      </c>
      <c r="F5466" s="4" t="s">
        <v>406</v>
      </c>
      <c r="G5466" s="4" t="s">
        <v>6089</v>
      </c>
      <c r="H5466" s="12" t="n">
        <v>5</v>
      </c>
      <c r="I5466" s="4" t="s">
        <v>474</v>
      </c>
      <c r="J5466" s="4" t="s">
        <v>409</v>
      </c>
      <c r="K5466" s="13" t="n">
        <v>850</v>
      </c>
      <c r="L5466" s="6" t="n">
        <f aca="false">H5466*K5466</f>
        <v>4250</v>
      </c>
      <c r="M5466" s="4" t="s">
        <v>371</v>
      </c>
    </row>
    <row r="5467" customFormat="false" ht="15" hidden="false" customHeight="false" outlineLevel="0" collapsed="false">
      <c r="A5467" s="4" t="s">
        <v>261</v>
      </c>
      <c r="B5467" s="5" t="s">
        <v>270</v>
      </c>
      <c r="C5467" s="5" t="s">
        <v>271</v>
      </c>
      <c r="D5467" s="4" t="s">
        <v>16</v>
      </c>
      <c r="E5467" s="4" t="s">
        <v>6090</v>
      </c>
      <c r="F5467" s="4" t="s">
        <v>406</v>
      </c>
      <c r="G5467" s="4" t="s">
        <v>6091</v>
      </c>
      <c r="H5467" s="12" t="n">
        <v>3</v>
      </c>
      <c r="I5467" s="4" t="s">
        <v>474</v>
      </c>
      <c r="J5467" s="4" t="s">
        <v>409</v>
      </c>
      <c r="K5467" s="13" t="n">
        <v>3500</v>
      </c>
      <c r="L5467" s="6" t="n">
        <f aca="false">H5467*K5467</f>
        <v>10500</v>
      </c>
      <c r="M5467" s="4" t="s">
        <v>371</v>
      </c>
    </row>
    <row r="5468" customFormat="false" ht="15" hidden="false" customHeight="false" outlineLevel="0" collapsed="false">
      <c r="A5468" s="4" t="s">
        <v>261</v>
      </c>
      <c r="B5468" s="5" t="s">
        <v>270</v>
      </c>
      <c r="C5468" s="5" t="s">
        <v>271</v>
      </c>
      <c r="D5468" s="4" t="s">
        <v>16</v>
      </c>
      <c r="E5468" s="4" t="s">
        <v>5768</v>
      </c>
      <c r="F5468" s="4" t="s">
        <v>406</v>
      </c>
      <c r="G5468" s="4" t="s">
        <v>5769</v>
      </c>
      <c r="H5468" s="12" t="n">
        <v>2</v>
      </c>
      <c r="I5468" s="4" t="s">
        <v>474</v>
      </c>
      <c r="J5468" s="4" t="s">
        <v>409</v>
      </c>
      <c r="K5468" s="13" t="n">
        <v>1200</v>
      </c>
      <c r="L5468" s="6" t="n">
        <f aca="false">H5468*K5468</f>
        <v>2400</v>
      </c>
      <c r="M5468" s="14" t="s">
        <v>410</v>
      </c>
    </row>
    <row r="5469" customFormat="false" ht="15" hidden="false" customHeight="false" outlineLevel="0" collapsed="false">
      <c r="A5469" s="4" t="s">
        <v>261</v>
      </c>
      <c r="B5469" s="5" t="s">
        <v>270</v>
      </c>
      <c r="C5469" s="5" t="s">
        <v>271</v>
      </c>
      <c r="D5469" s="4" t="s">
        <v>16</v>
      </c>
      <c r="E5469" s="4" t="s">
        <v>6092</v>
      </c>
      <c r="F5469" s="4" t="s">
        <v>406</v>
      </c>
      <c r="G5469" s="4" t="s">
        <v>6093</v>
      </c>
      <c r="H5469" s="12" t="n">
        <v>1</v>
      </c>
      <c r="I5469" s="4" t="s">
        <v>474</v>
      </c>
      <c r="J5469" s="4" t="s">
        <v>409</v>
      </c>
      <c r="K5469" s="13" t="n">
        <v>12000</v>
      </c>
      <c r="L5469" s="6" t="n">
        <f aca="false">H5469*K5469</f>
        <v>12000</v>
      </c>
      <c r="M5469" s="4" t="s">
        <v>371</v>
      </c>
    </row>
    <row r="5470" customFormat="false" ht="15" hidden="false" customHeight="false" outlineLevel="0" collapsed="false">
      <c r="A5470" s="4" t="s">
        <v>261</v>
      </c>
      <c r="B5470" s="5" t="s">
        <v>270</v>
      </c>
      <c r="C5470" s="5" t="s">
        <v>271</v>
      </c>
      <c r="D5470" s="4" t="s">
        <v>16</v>
      </c>
      <c r="E5470" s="4" t="s">
        <v>6094</v>
      </c>
      <c r="F5470" s="4" t="s">
        <v>406</v>
      </c>
      <c r="G5470" s="4" t="s">
        <v>6095</v>
      </c>
      <c r="H5470" s="12" t="n">
        <v>1</v>
      </c>
      <c r="I5470" s="4" t="s">
        <v>474</v>
      </c>
      <c r="J5470" s="4" t="s">
        <v>409</v>
      </c>
      <c r="K5470" s="13" t="n">
        <v>18000</v>
      </c>
      <c r="L5470" s="6" t="n">
        <f aca="false">H5470*K5470</f>
        <v>18000</v>
      </c>
      <c r="M5470" s="14" t="s">
        <v>410</v>
      </c>
    </row>
    <row r="5471" customFormat="false" ht="15" hidden="false" customHeight="false" outlineLevel="0" collapsed="false">
      <c r="A5471" s="4" t="s">
        <v>261</v>
      </c>
      <c r="B5471" s="5" t="s">
        <v>270</v>
      </c>
      <c r="C5471" s="5" t="s">
        <v>271</v>
      </c>
      <c r="D5471" s="4" t="s">
        <v>16</v>
      </c>
      <c r="E5471" s="4" t="s">
        <v>6096</v>
      </c>
      <c r="F5471" s="4" t="s">
        <v>406</v>
      </c>
      <c r="G5471" s="4" t="s">
        <v>6097</v>
      </c>
      <c r="H5471" s="12" t="n">
        <v>1</v>
      </c>
      <c r="I5471" s="4" t="s">
        <v>474</v>
      </c>
      <c r="J5471" s="4" t="s">
        <v>409</v>
      </c>
      <c r="K5471" s="13" t="n">
        <v>12000</v>
      </c>
      <c r="L5471" s="6" t="n">
        <f aca="false">H5471*K5471</f>
        <v>12000</v>
      </c>
      <c r="M5471" s="14" t="s">
        <v>410</v>
      </c>
    </row>
    <row r="5472" customFormat="false" ht="15" hidden="false" customHeight="false" outlineLevel="0" collapsed="false">
      <c r="A5472" s="4" t="s">
        <v>261</v>
      </c>
      <c r="B5472" s="5" t="s">
        <v>270</v>
      </c>
      <c r="C5472" s="5" t="s">
        <v>271</v>
      </c>
      <c r="D5472" s="4" t="s">
        <v>16</v>
      </c>
      <c r="E5472" s="4" t="s">
        <v>6098</v>
      </c>
      <c r="F5472" s="4" t="s">
        <v>406</v>
      </c>
      <c r="G5472" s="4" t="s">
        <v>6099</v>
      </c>
      <c r="H5472" s="12" t="n">
        <v>1</v>
      </c>
      <c r="I5472" s="4" t="s">
        <v>474</v>
      </c>
      <c r="J5472" s="4" t="s">
        <v>409</v>
      </c>
      <c r="K5472" s="13" t="n">
        <v>35000</v>
      </c>
      <c r="L5472" s="6" t="n">
        <f aca="false">H5472*K5472</f>
        <v>35000</v>
      </c>
      <c r="M5472" s="4" t="s">
        <v>371</v>
      </c>
    </row>
    <row r="5473" customFormat="false" ht="15" hidden="false" customHeight="false" outlineLevel="0" collapsed="false">
      <c r="A5473" s="4" t="s">
        <v>261</v>
      </c>
      <c r="B5473" s="5" t="s">
        <v>270</v>
      </c>
      <c r="C5473" s="5" t="s">
        <v>271</v>
      </c>
      <c r="D5473" s="4" t="s">
        <v>16</v>
      </c>
      <c r="E5473" s="4" t="s">
        <v>6100</v>
      </c>
      <c r="F5473" s="4" t="s">
        <v>470</v>
      </c>
      <c r="G5473" s="4" t="s">
        <v>6101</v>
      </c>
      <c r="H5473" s="12" t="n">
        <v>1</v>
      </c>
      <c r="I5473" s="4" t="s">
        <v>474</v>
      </c>
      <c r="J5473" s="4" t="s">
        <v>409</v>
      </c>
      <c r="K5473" s="13" t="n">
        <v>45000</v>
      </c>
      <c r="L5473" s="6" t="n">
        <f aca="false">H5473*K5473</f>
        <v>45000</v>
      </c>
      <c r="M5473" s="4" t="s">
        <v>371</v>
      </c>
    </row>
    <row r="5474" customFormat="false" ht="15" hidden="false" customHeight="false" outlineLevel="0" collapsed="false">
      <c r="A5474" s="4" t="s">
        <v>261</v>
      </c>
      <c r="B5474" s="5" t="s">
        <v>270</v>
      </c>
      <c r="C5474" s="5" t="s">
        <v>271</v>
      </c>
      <c r="D5474" s="4" t="s">
        <v>16</v>
      </c>
      <c r="E5474" s="4" t="s">
        <v>6102</v>
      </c>
      <c r="F5474" s="4" t="s">
        <v>470</v>
      </c>
      <c r="G5474" s="4" t="s">
        <v>6103</v>
      </c>
      <c r="H5474" s="12" t="n">
        <v>1</v>
      </c>
      <c r="I5474" s="4" t="s">
        <v>474</v>
      </c>
      <c r="J5474" s="4" t="s">
        <v>543</v>
      </c>
      <c r="K5474" s="13" t="n">
        <v>6000</v>
      </c>
      <c r="L5474" s="6" t="n">
        <f aca="false">H5474*K5474</f>
        <v>6000</v>
      </c>
      <c r="M5474" s="4" t="s">
        <v>371</v>
      </c>
    </row>
    <row r="5475" customFormat="false" ht="15" hidden="false" customHeight="false" outlineLevel="0" collapsed="false">
      <c r="A5475" s="4" t="s">
        <v>261</v>
      </c>
      <c r="B5475" s="5" t="s">
        <v>270</v>
      </c>
      <c r="C5475" s="5" t="s">
        <v>271</v>
      </c>
      <c r="D5475" s="4" t="s">
        <v>16</v>
      </c>
      <c r="E5475" s="4" t="s">
        <v>6104</v>
      </c>
      <c r="F5475" s="4" t="s">
        <v>470</v>
      </c>
      <c r="G5475" s="4" t="s">
        <v>6105</v>
      </c>
      <c r="H5475" s="12" t="n">
        <v>2</v>
      </c>
      <c r="I5475" s="4" t="s">
        <v>474</v>
      </c>
      <c r="J5475" s="4" t="s">
        <v>409</v>
      </c>
      <c r="K5475" s="13" t="n">
        <v>12000</v>
      </c>
      <c r="L5475" s="6" t="n">
        <f aca="false">H5475*K5475</f>
        <v>24000</v>
      </c>
      <c r="M5475" s="4" t="s">
        <v>371</v>
      </c>
    </row>
    <row r="5476" customFormat="false" ht="15" hidden="false" customHeight="false" outlineLevel="0" collapsed="false">
      <c r="A5476" s="4" t="s">
        <v>261</v>
      </c>
      <c r="B5476" s="5" t="s">
        <v>270</v>
      </c>
      <c r="C5476" s="5" t="s">
        <v>271</v>
      </c>
      <c r="D5476" s="4" t="s">
        <v>16</v>
      </c>
      <c r="E5476" s="4" t="s">
        <v>6106</v>
      </c>
      <c r="F5476" s="4" t="s">
        <v>470</v>
      </c>
      <c r="G5476" s="4" t="s">
        <v>6107</v>
      </c>
      <c r="H5476" s="12" t="n">
        <v>3</v>
      </c>
      <c r="I5476" s="4" t="s">
        <v>474</v>
      </c>
      <c r="J5476" s="4" t="s">
        <v>409</v>
      </c>
      <c r="K5476" s="13" t="n">
        <v>4500</v>
      </c>
      <c r="L5476" s="6" t="n">
        <f aca="false">H5476*K5476</f>
        <v>13500</v>
      </c>
      <c r="M5476" s="4" t="s">
        <v>371</v>
      </c>
    </row>
    <row r="5477" customFormat="false" ht="15" hidden="false" customHeight="false" outlineLevel="0" collapsed="false">
      <c r="A5477" s="4" t="s">
        <v>261</v>
      </c>
      <c r="B5477" s="5" t="s">
        <v>270</v>
      </c>
      <c r="C5477" s="5" t="s">
        <v>271</v>
      </c>
      <c r="D5477" s="4" t="s">
        <v>16</v>
      </c>
      <c r="E5477" s="4" t="s">
        <v>6108</v>
      </c>
      <c r="F5477" s="4" t="s">
        <v>470</v>
      </c>
      <c r="G5477" s="4" t="s">
        <v>6109</v>
      </c>
      <c r="H5477" s="12" t="n">
        <v>3</v>
      </c>
      <c r="I5477" s="4" t="s">
        <v>474</v>
      </c>
      <c r="J5477" s="4" t="s">
        <v>409</v>
      </c>
      <c r="K5477" s="13" t="n">
        <v>8500</v>
      </c>
      <c r="L5477" s="6" t="n">
        <f aca="false">H5477*K5477</f>
        <v>25500</v>
      </c>
      <c r="M5477" s="4" t="s">
        <v>371</v>
      </c>
    </row>
    <row r="5478" customFormat="false" ht="15" hidden="false" customHeight="false" outlineLevel="0" collapsed="false">
      <c r="A5478" s="4" t="s">
        <v>261</v>
      </c>
      <c r="B5478" s="5" t="s">
        <v>270</v>
      </c>
      <c r="C5478" s="5" t="s">
        <v>271</v>
      </c>
      <c r="D5478" s="4" t="s">
        <v>16</v>
      </c>
      <c r="E5478" s="4" t="s">
        <v>6110</v>
      </c>
      <c r="F5478" s="4" t="s">
        <v>470</v>
      </c>
      <c r="G5478" s="4" t="s">
        <v>6111</v>
      </c>
      <c r="H5478" s="12" t="n">
        <v>6</v>
      </c>
      <c r="I5478" s="4" t="s">
        <v>474</v>
      </c>
      <c r="J5478" s="4" t="s">
        <v>409</v>
      </c>
      <c r="K5478" s="13" t="n">
        <v>1800</v>
      </c>
      <c r="L5478" s="6" t="n">
        <f aca="false">H5478*K5478</f>
        <v>10800</v>
      </c>
      <c r="M5478" s="4" t="s">
        <v>371</v>
      </c>
    </row>
    <row r="5479" customFormat="false" ht="15" hidden="false" customHeight="false" outlineLevel="0" collapsed="false">
      <c r="A5479" s="4" t="s">
        <v>261</v>
      </c>
      <c r="B5479" s="5" t="s">
        <v>270</v>
      </c>
      <c r="C5479" s="5" t="s">
        <v>271</v>
      </c>
      <c r="D5479" s="4" t="s">
        <v>16</v>
      </c>
      <c r="E5479" s="4" t="s">
        <v>6112</v>
      </c>
      <c r="F5479" s="4" t="s">
        <v>470</v>
      </c>
      <c r="G5479" s="4" t="s">
        <v>1916</v>
      </c>
      <c r="H5479" s="12" t="n">
        <v>5</v>
      </c>
      <c r="I5479" s="4" t="s">
        <v>474</v>
      </c>
      <c r="J5479" s="4" t="s">
        <v>409</v>
      </c>
      <c r="K5479" s="13" t="n">
        <v>850</v>
      </c>
      <c r="L5479" s="6" t="n">
        <f aca="false">H5479*K5479</f>
        <v>4250</v>
      </c>
      <c r="M5479" s="4" t="s">
        <v>371</v>
      </c>
    </row>
    <row r="5480" customFormat="false" ht="15" hidden="false" customHeight="false" outlineLevel="0" collapsed="false">
      <c r="A5480" s="4" t="s">
        <v>261</v>
      </c>
      <c r="B5480" s="5" t="s">
        <v>270</v>
      </c>
      <c r="C5480" s="5" t="s">
        <v>271</v>
      </c>
      <c r="D5480" s="4" t="s">
        <v>16</v>
      </c>
      <c r="E5480" s="4" t="s">
        <v>6113</v>
      </c>
      <c r="F5480" s="4" t="s">
        <v>470</v>
      </c>
      <c r="G5480" s="4" t="s">
        <v>6114</v>
      </c>
      <c r="H5480" s="12" t="n">
        <v>10</v>
      </c>
      <c r="I5480" s="4" t="s">
        <v>474</v>
      </c>
      <c r="J5480" s="4" t="s">
        <v>475</v>
      </c>
      <c r="K5480" s="13" t="n">
        <v>850</v>
      </c>
      <c r="L5480" s="6" t="n">
        <f aca="false">H5480*K5480</f>
        <v>8500</v>
      </c>
      <c r="M5480" s="4" t="s">
        <v>371</v>
      </c>
    </row>
    <row r="5481" customFormat="false" ht="15" hidden="false" customHeight="false" outlineLevel="0" collapsed="false">
      <c r="A5481" s="4" t="s">
        <v>261</v>
      </c>
      <c r="B5481" s="5" t="s">
        <v>270</v>
      </c>
      <c r="C5481" s="5" t="s">
        <v>271</v>
      </c>
      <c r="D5481" s="4" t="s">
        <v>16</v>
      </c>
      <c r="E5481" s="4" t="s">
        <v>6115</v>
      </c>
      <c r="F5481" s="4" t="s">
        <v>470</v>
      </c>
      <c r="G5481" s="4" t="s">
        <v>1922</v>
      </c>
      <c r="H5481" s="12" t="n">
        <v>5</v>
      </c>
      <c r="I5481" s="4" t="s">
        <v>474</v>
      </c>
      <c r="J5481" s="4" t="s">
        <v>475</v>
      </c>
      <c r="K5481" s="13" t="n">
        <v>350</v>
      </c>
      <c r="L5481" s="6" t="n">
        <f aca="false">H5481*K5481</f>
        <v>1750</v>
      </c>
      <c r="M5481" s="4" t="s">
        <v>371</v>
      </c>
    </row>
    <row r="5482" customFormat="false" ht="15" hidden="false" customHeight="false" outlineLevel="0" collapsed="false">
      <c r="A5482" s="4" t="s">
        <v>261</v>
      </c>
      <c r="B5482" s="5" t="s">
        <v>270</v>
      </c>
      <c r="C5482" s="5" t="s">
        <v>271</v>
      </c>
      <c r="D5482" s="4" t="s">
        <v>16</v>
      </c>
      <c r="E5482" s="4" t="s">
        <v>6116</v>
      </c>
      <c r="F5482" s="4" t="s">
        <v>470</v>
      </c>
      <c r="G5482" s="4" t="s">
        <v>6117</v>
      </c>
      <c r="H5482" s="12" t="n">
        <v>10</v>
      </c>
      <c r="I5482" s="4" t="s">
        <v>474</v>
      </c>
      <c r="J5482" s="4" t="s">
        <v>409</v>
      </c>
      <c r="K5482" s="13" t="n">
        <v>180</v>
      </c>
      <c r="L5482" s="6" t="n">
        <f aca="false">H5482*K5482</f>
        <v>1800</v>
      </c>
      <c r="M5482" s="4" t="s">
        <v>371</v>
      </c>
    </row>
    <row r="5483" customFormat="false" ht="15" hidden="false" customHeight="false" outlineLevel="0" collapsed="false">
      <c r="A5483" s="4" t="s">
        <v>261</v>
      </c>
      <c r="B5483" s="5" t="s">
        <v>270</v>
      </c>
      <c r="C5483" s="5" t="s">
        <v>271</v>
      </c>
      <c r="D5483" s="4" t="s">
        <v>16</v>
      </c>
      <c r="E5483" s="4" t="s">
        <v>2288</v>
      </c>
      <c r="F5483" s="4" t="s">
        <v>470</v>
      </c>
      <c r="G5483" s="4" t="s">
        <v>1452</v>
      </c>
      <c r="H5483" s="12" t="n">
        <v>1</v>
      </c>
      <c r="I5483" s="4" t="s">
        <v>474</v>
      </c>
      <c r="J5483" s="4" t="s">
        <v>413</v>
      </c>
      <c r="K5483" s="13" t="n">
        <v>450</v>
      </c>
      <c r="L5483" s="6" t="n">
        <f aca="false">H5483*K5483</f>
        <v>450</v>
      </c>
      <c r="M5483" s="4" t="s">
        <v>371</v>
      </c>
    </row>
    <row r="5484" customFormat="false" ht="15" hidden="false" customHeight="false" outlineLevel="0" collapsed="false">
      <c r="A5484" s="4" t="s">
        <v>261</v>
      </c>
      <c r="B5484" s="5" t="s">
        <v>270</v>
      </c>
      <c r="C5484" s="5" t="s">
        <v>271</v>
      </c>
      <c r="D5484" s="4" t="s">
        <v>16</v>
      </c>
      <c r="E5484" s="4" t="s">
        <v>6118</v>
      </c>
      <c r="F5484" s="4" t="s">
        <v>470</v>
      </c>
      <c r="G5484" s="4" t="s">
        <v>6119</v>
      </c>
      <c r="H5484" s="12" t="n">
        <v>2</v>
      </c>
      <c r="I5484" s="4" t="s">
        <v>474</v>
      </c>
      <c r="J5484" s="4" t="s">
        <v>409</v>
      </c>
      <c r="K5484" s="13" t="n">
        <v>3500</v>
      </c>
      <c r="L5484" s="6" t="n">
        <f aca="false">H5484*K5484</f>
        <v>7000</v>
      </c>
      <c r="M5484" s="4" t="s">
        <v>371</v>
      </c>
    </row>
    <row r="5485" customFormat="false" ht="15" hidden="false" customHeight="false" outlineLevel="0" collapsed="false">
      <c r="A5485" s="4" t="s">
        <v>261</v>
      </c>
      <c r="B5485" s="5" t="s">
        <v>270</v>
      </c>
      <c r="C5485" s="5" t="s">
        <v>271</v>
      </c>
      <c r="D5485" s="4" t="s">
        <v>16</v>
      </c>
      <c r="E5485" s="4" t="s">
        <v>6120</v>
      </c>
      <c r="F5485" s="4" t="s">
        <v>470</v>
      </c>
      <c r="G5485" s="4" t="s">
        <v>6121</v>
      </c>
      <c r="H5485" s="12" t="n">
        <v>1</v>
      </c>
      <c r="I5485" s="4" t="s">
        <v>474</v>
      </c>
      <c r="J5485" s="4" t="s">
        <v>409</v>
      </c>
      <c r="K5485" s="13" t="n">
        <v>4500</v>
      </c>
      <c r="L5485" s="6" t="n">
        <f aca="false">H5485*K5485</f>
        <v>4500</v>
      </c>
      <c r="M5485" s="4" t="s">
        <v>371</v>
      </c>
    </row>
    <row r="5486" customFormat="false" ht="15" hidden="false" customHeight="false" outlineLevel="0" collapsed="false">
      <c r="A5486" s="4" t="s">
        <v>261</v>
      </c>
      <c r="B5486" s="5" t="s">
        <v>270</v>
      </c>
      <c r="C5486" s="5" t="s">
        <v>271</v>
      </c>
      <c r="D5486" s="4" t="s">
        <v>16</v>
      </c>
      <c r="E5486" s="4" t="s">
        <v>6122</v>
      </c>
      <c r="F5486" s="4" t="s">
        <v>488</v>
      </c>
      <c r="G5486" s="4" t="s">
        <v>6123</v>
      </c>
      <c r="H5486" s="12" t="n">
        <v>1</v>
      </c>
      <c r="I5486" s="4" t="s">
        <v>408</v>
      </c>
      <c r="J5486" s="4" t="s">
        <v>416</v>
      </c>
      <c r="K5486" s="13" t="n">
        <v>350</v>
      </c>
      <c r="L5486" s="6" t="n">
        <f aca="false">H5486*K5486</f>
        <v>350</v>
      </c>
      <c r="M5486" s="4" t="s">
        <v>371</v>
      </c>
    </row>
    <row r="5487" customFormat="false" ht="15" hidden="false" customHeight="false" outlineLevel="0" collapsed="false">
      <c r="A5487" s="4" t="s">
        <v>261</v>
      </c>
      <c r="B5487" s="5" t="s">
        <v>270</v>
      </c>
      <c r="C5487" s="5" t="s">
        <v>271</v>
      </c>
      <c r="D5487" s="4" t="s">
        <v>16</v>
      </c>
      <c r="E5487" s="4" t="s">
        <v>6124</v>
      </c>
      <c r="F5487" s="4" t="s">
        <v>488</v>
      </c>
      <c r="G5487" s="4" t="s">
        <v>6125</v>
      </c>
      <c r="H5487" s="12" t="n">
        <v>1</v>
      </c>
      <c r="I5487" s="4" t="s">
        <v>408</v>
      </c>
      <c r="J5487" s="4" t="s">
        <v>416</v>
      </c>
      <c r="K5487" s="13" t="n">
        <v>1500</v>
      </c>
      <c r="L5487" s="6" t="n">
        <f aca="false">H5487*K5487</f>
        <v>1500</v>
      </c>
      <c r="M5487" s="4" t="s">
        <v>371</v>
      </c>
    </row>
    <row r="5488" customFormat="false" ht="15" hidden="false" customHeight="false" outlineLevel="0" collapsed="false">
      <c r="A5488" s="4" t="s">
        <v>261</v>
      </c>
      <c r="B5488" s="5" t="s">
        <v>270</v>
      </c>
      <c r="C5488" s="5" t="s">
        <v>271</v>
      </c>
      <c r="D5488" s="4" t="s">
        <v>16</v>
      </c>
      <c r="E5488" s="4" t="s">
        <v>6126</v>
      </c>
      <c r="F5488" s="4" t="s">
        <v>488</v>
      </c>
      <c r="G5488" s="4" t="s">
        <v>6127</v>
      </c>
      <c r="H5488" s="12" t="n">
        <v>1</v>
      </c>
      <c r="I5488" s="4" t="s">
        <v>408</v>
      </c>
      <c r="J5488" s="4" t="s">
        <v>416</v>
      </c>
      <c r="K5488" s="13" t="n">
        <v>350</v>
      </c>
      <c r="L5488" s="6" t="n">
        <f aca="false">H5488*K5488</f>
        <v>350</v>
      </c>
      <c r="M5488" s="4" t="s">
        <v>371</v>
      </c>
    </row>
    <row r="5489" customFormat="false" ht="15" hidden="false" customHeight="false" outlineLevel="0" collapsed="false">
      <c r="A5489" s="4" t="s">
        <v>261</v>
      </c>
      <c r="B5489" s="5" t="s">
        <v>270</v>
      </c>
      <c r="C5489" s="5" t="s">
        <v>271</v>
      </c>
      <c r="D5489" s="4" t="s">
        <v>16</v>
      </c>
      <c r="E5489" s="4" t="s">
        <v>6128</v>
      </c>
      <c r="F5489" s="4" t="s">
        <v>470</v>
      </c>
      <c r="G5489" s="4" t="s">
        <v>6129</v>
      </c>
      <c r="H5489" s="12" t="n">
        <v>10</v>
      </c>
      <c r="I5489" s="4" t="s">
        <v>474</v>
      </c>
      <c r="J5489" s="4" t="s">
        <v>409</v>
      </c>
      <c r="K5489" s="13" t="n">
        <v>450</v>
      </c>
      <c r="L5489" s="6" t="n">
        <f aca="false">H5489*K5489</f>
        <v>4500</v>
      </c>
      <c r="M5489" s="4" t="s">
        <v>371</v>
      </c>
    </row>
    <row r="5490" customFormat="false" ht="15" hidden="false" customHeight="false" outlineLevel="0" collapsed="false">
      <c r="A5490" s="4" t="s">
        <v>272</v>
      </c>
      <c r="B5490" s="5" t="s">
        <v>273</v>
      </c>
      <c r="C5490" s="5" t="s">
        <v>274</v>
      </c>
      <c r="D5490" s="4" t="s">
        <v>16</v>
      </c>
      <c r="E5490" s="4" t="s">
        <v>6130</v>
      </c>
      <c r="F5490" s="4" t="s">
        <v>406</v>
      </c>
      <c r="G5490" s="4" t="s">
        <v>6131</v>
      </c>
      <c r="H5490" s="12" t="n">
        <v>2</v>
      </c>
      <c r="I5490" s="4" t="s">
        <v>474</v>
      </c>
      <c r="J5490" s="4" t="s">
        <v>409</v>
      </c>
      <c r="K5490" s="13" t="n">
        <v>2500</v>
      </c>
      <c r="L5490" s="6" t="n">
        <f aca="false">H5490*K5490</f>
        <v>5000</v>
      </c>
      <c r="M5490" s="14" t="s">
        <v>410</v>
      </c>
    </row>
    <row r="5491" customFormat="false" ht="15" hidden="false" customHeight="false" outlineLevel="0" collapsed="false">
      <c r="A5491" s="4" t="s">
        <v>272</v>
      </c>
      <c r="B5491" s="5" t="s">
        <v>273</v>
      </c>
      <c r="C5491" s="5" t="s">
        <v>274</v>
      </c>
      <c r="D5491" s="4" t="s">
        <v>16</v>
      </c>
      <c r="E5491" s="4" t="s">
        <v>5965</v>
      </c>
      <c r="F5491" s="4" t="s">
        <v>406</v>
      </c>
      <c r="G5491" s="4" t="s">
        <v>5966</v>
      </c>
      <c r="H5491" s="12" t="n">
        <v>5</v>
      </c>
      <c r="I5491" s="4" t="s">
        <v>474</v>
      </c>
      <c r="J5491" s="4" t="s">
        <v>409</v>
      </c>
      <c r="K5491" s="13" t="n">
        <v>4500</v>
      </c>
      <c r="L5491" s="6" t="n">
        <f aca="false">H5491*K5491</f>
        <v>22500</v>
      </c>
      <c r="M5491" s="14" t="s">
        <v>410</v>
      </c>
    </row>
    <row r="5492" customFormat="false" ht="15" hidden="false" customHeight="false" outlineLevel="0" collapsed="false">
      <c r="A5492" s="4" t="s">
        <v>272</v>
      </c>
      <c r="B5492" s="5" t="s">
        <v>273</v>
      </c>
      <c r="C5492" s="5" t="s">
        <v>274</v>
      </c>
      <c r="D5492" s="4" t="s">
        <v>16</v>
      </c>
      <c r="E5492" s="4" t="s">
        <v>6132</v>
      </c>
      <c r="F5492" s="4" t="s">
        <v>470</v>
      </c>
      <c r="G5492" s="4" t="s">
        <v>6133</v>
      </c>
      <c r="H5492" s="12" t="n">
        <v>10</v>
      </c>
      <c r="I5492" s="4" t="s">
        <v>474</v>
      </c>
      <c r="J5492" s="4" t="s">
        <v>409</v>
      </c>
      <c r="K5492" s="13" t="n">
        <v>125000</v>
      </c>
      <c r="L5492" s="6" t="n">
        <f aca="false">H5492*K5492</f>
        <v>1250000</v>
      </c>
      <c r="M5492" s="4" t="s">
        <v>371</v>
      </c>
    </row>
    <row r="5493" customFormat="false" ht="15" hidden="false" customHeight="false" outlineLevel="0" collapsed="false">
      <c r="A5493" s="4" t="s">
        <v>272</v>
      </c>
      <c r="B5493" s="5" t="s">
        <v>273</v>
      </c>
      <c r="C5493" s="5" t="s">
        <v>274</v>
      </c>
      <c r="D5493" s="4" t="s">
        <v>16</v>
      </c>
      <c r="E5493" s="4" t="s">
        <v>6134</v>
      </c>
      <c r="F5493" s="4" t="s">
        <v>470</v>
      </c>
      <c r="G5493" s="4" t="s">
        <v>6135</v>
      </c>
      <c r="H5493" s="12" t="n">
        <v>1</v>
      </c>
      <c r="I5493" s="4" t="s">
        <v>474</v>
      </c>
      <c r="J5493" s="4" t="s">
        <v>409</v>
      </c>
      <c r="K5493" s="13" t="n">
        <v>85000</v>
      </c>
      <c r="L5493" s="6" t="n">
        <f aca="false">H5493*K5493</f>
        <v>85000</v>
      </c>
      <c r="M5493" s="4" t="s">
        <v>371</v>
      </c>
    </row>
    <row r="5494" customFormat="false" ht="15" hidden="false" customHeight="false" outlineLevel="0" collapsed="false">
      <c r="A5494" s="4" t="s">
        <v>272</v>
      </c>
      <c r="B5494" s="5" t="s">
        <v>273</v>
      </c>
      <c r="C5494" s="5" t="s">
        <v>274</v>
      </c>
      <c r="D5494" s="4" t="s">
        <v>16</v>
      </c>
      <c r="E5494" s="4" t="s">
        <v>6136</v>
      </c>
      <c r="F5494" s="4" t="s">
        <v>470</v>
      </c>
      <c r="G5494" s="4" t="s">
        <v>6137</v>
      </c>
      <c r="H5494" s="12" t="n">
        <v>5</v>
      </c>
      <c r="I5494" s="4" t="s">
        <v>474</v>
      </c>
      <c r="J5494" s="4" t="s">
        <v>409</v>
      </c>
      <c r="K5494" s="13" t="n">
        <v>8500</v>
      </c>
      <c r="L5494" s="6" t="n">
        <f aca="false">H5494*K5494</f>
        <v>42500</v>
      </c>
      <c r="M5494" s="4" t="s">
        <v>371</v>
      </c>
    </row>
    <row r="5495" customFormat="false" ht="15" hidden="false" customHeight="false" outlineLevel="0" collapsed="false">
      <c r="A5495" s="4" t="s">
        <v>272</v>
      </c>
      <c r="B5495" s="5" t="s">
        <v>273</v>
      </c>
      <c r="C5495" s="5" t="s">
        <v>274</v>
      </c>
      <c r="D5495" s="4" t="s">
        <v>16</v>
      </c>
      <c r="E5495" s="4" t="s">
        <v>1062</v>
      </c>
      <c r="F5495" s="4" t="s">
        <v>470</v>
      </c>
      <c r="G5495" s="4" t="s">
        <v>1063</v>
      </c>
      <c r="H5495" s="12" t="n">
        <v>5</v>
      </c>
      <c r="I5495" s="4" t="s">
        <v>474</v>
      </c>
      <c r="J5495" s="4" t="s">
        <v>409</v>
      </c>
      <c r="K5495" s="13" t="n">
        <v>6500</v>
      </c>
      <c r="L5495" s="6" t="n">
        <f aca="false">H5495*K5495</f>
        <v>32500</v>
      </c>
      <c r="M5495" s="14" t="s">
        <v>410</v>
      </c>
    </row>
    <row r="5496" customFormat="false" ht="15" hidden="false" customHeight="false" outlineLevel="0" collapsed="false">
      <c r="A5496" s="4" t="s">
        <v>272</v>
      </c>
      <c r="B5496" s="5" t="s">
        <v>273</v>
      </c>
      <c r="C5496" s="5" t="s">
        <v>274</v>
      </c>
      <c r="D5496" s="4" t="s">
        <v>16</v>
      </c>
      <c r="E5496" s="4" t="s">
        <v>5971</v>
      </c>
      <c r="F5496" s="4" t="s">
        <v>470</v>
      </c>
      <c r="G5496" s="4" t="s">
        <v>5972</v>
      </c>
      <c r="H5496" s="12" t="n">
        <v>2</v>
      </c>
      <c r="I5496" s="4" t="s">
        <v>474</v>
      </c>
      <c r="J5496" s="4" t="s">
        <v>409</v>
      </c>
      <c r="K5496" s="13" t="n">
        <v>8500</v>
      </c>
      <c r="L5496" s="6" t="n">
        <f aca="false">H5496*K5496</f>
        <v>17000</v>
      </c>
      <c r="M5496" s="14" t="s">
        <v>410</v>
      </c>
    </row>
    <row r="5497" customFormat="false" ht="15" hidden="false" customHeight="false" outlineLevel="0" collapsed="false">
      <c r="A5497" s="4" t="s">
        <v>272</v>
      </c>
      <c r="B5497" s="5" t="s">
        <v>273</v>
      </c>
      <c r="C5497" s="5" t="s">
        <v>274</v>
      </c>
      <c r="D5497" s="4" t="s">
        <v>16</v>
      </c>
      <c r="E5497" s="4" t="s">
        <v>1255</v>
      </c>
      <c r="F5497" s="4" t="s">
        <v>470</v>
      </c>
      <c r="G5497" s="4" t="s">
        <v>1256</v>
      </c>
      <c r="H5497" s="12" t="n">
        <v>1</v>
      </c>
      <c r="I5497" s="4" t="s">
        <v>474</v>
      </c>
      <c r="J5497" s="4" t="s">
        <v>409</v>
      </c>
      <c r="K5497" s="13" t="n">
        <v>65000</v>
      </c>
      <c r="L5497" s="6" t="n">
        <f aca="false">H5497*K5497</f>
        <v>65000</v>
      </c>
      <c r="M5497" s="14" t="s">
        <v>410</v>
      </c>
    </row>
    <row r="5498" customFormat="false" ht="15" hidden="false" customHeight="false" outlineLevel="0" collapsed="false">
      <c r="A5498" s="4" t="s">
        <v>272</v>
      </c>
      <c r="B5498" s="5" t="s">
        <v>273</v>
      </c>
      <c r="C5498" s="5" t="s">
        <v>274</v>
      </c>
      <c r="D5498" s="4" t="s">
        <v>16</v>
      </c>
      <c r="E5498" s="4" t="s">
        <v>6138</v>
      </c>
      <c r="F5498" s="4" t="s">
        <v>470</v>
      </c>
      <c r="G5498" s="4" t="s">
        <v>6139</v>
      </c>
      <c r="H5498" s="12" t="n">
        <v>2</v>
      </c>
      <c r="I5498" s="4" t="s">
        <v>474</v>
      </c>
      <c r="J5498" s="4" t="s">
        <v>409</v>
      </c>
      <c r="K5498" s="13" t="n">
        <v>3500</v>
      </c>
      <c r="L5498" s="6" t="n">
        <f aca="false">H5498*K5498</f>
        <v>7000</v>
      </c>
      <c r="M5498" s="14" t="s">
        <v>410</v>
      </c>
    </row>
    <row r="5499" customFormat="false" ht="15" hidden="false" customHeight="false" outlineLevel="0" collapsed="false">
      <c r="A5499" s="4" t="s">
        <v>272</v>
      </c>
      <c r="B5499" s="5" t="s">
        <v>273</v>
      </c>
      <c r="C5499" s="5" t="s">
        <v>274</v>
      </c>
      <c r="D5499" s="4" t="s">
        <v>16</v>
      </c>
      <c r="E5499" s="4" t="s">
        <v>6140</v>
      </c>
      <c r="F5499" s="4" t="s">
        <v>470</v>
      </c>
      <c r="G5499" s="4" t="s">
        <v>6141</v>
      </c>
      <c r="H5499" s="12" t="n">
        <v>10</v>
      </c>
      <c r="I5499" s="4" t="s">
        <v>474</v>
      </c>
      <c r="J5499" s="4" t="s">
        <v>543</v>
      </c>
      <c r="K5499" s="13" t="n">
        <v>150000</v>
      </c>
      <c r="L5499" s="6" t="n">
        <f aca="false">H5499*K5499</f>
        <v>1500000</v>
      </c>
      <c r="M5499" s="4" t="s">
        <v>371</v>
      </c>
    </row>
    <row r="5500" customFormat="false" ht="15" hidden="false" customHeight="false" outlineLevel="0" collapsed="false">
      <c r="A5500" s="4" t="s">
        <v>272</v>
      </c>
      <c r="B5500" s="5" t="s">
        <v>273</v>
      </c>
      <c r="C5500" s="5" t="s">
        <v>274</v>
      </c>
      <c r="D5500" s="4" t="s">
        <v>16</v>
      </c>
      <c r="E5500" s="4" t="s">
        <v>6142</v>
      </c>
      <c r="F5500" s="4" t="s">
        <v>470</v>
      </c>
      <c r="G5500" s="4" t="s">
        <v>6143</v>
      </c>
      <c r="H5500" s="12" t="n">
        <v>10</v>
      </c>
      <c r="I5500" s="4" t="s">
        <v>474</v>
      </c>
      <c r="J5500" s="4" t="s">
        <v>2810</v>
      </c>
      <c r="K5500" s="13" t="n">
        <v>0</v>
      </c>
      <c r="L5500" s="6" t="n">
        <f aca="false">H5500*K5500</f>
        <v>0</v>
      </c>
      <c r="M5500" s="4" t="s">
        <v>371</v>
      </c>
    </row>
    <row r="5501" customFormat="false" ht="15" hidden="false" customHeight="false" outlineLevel="0" collapsed="false">
      <c r="A5501" s="4" t="s">
        <v>272</v>
      </c>
      <c r="B5501" s="5" t="s">
        <v>273</v>
      </c>
      <c r="C5501" s="5" t="s">
        <v>274</v>
      </c>
      <c r="D5501" s="4" t="s">
        <v>16</v>
      </c>
      <c r="E5501" s="4" t="s">
        <v>6144</v>
      </c>
      <c r="F5501" s="4" t="s">
        <v>470</v>
      </c>
      <c r="G5501" s="4" t="s">
        <v>6145</v>
      </c>
      <c r="H5501" s="12" t="n">
        <v>10</v>
      </c>
      <c r="I5501" s="4" t="s">
        <v>474</v>
      </c>
      <c r="J5501" s="4" t="s">
        <v>2810</v>
      </c>
      <c r="K5501" s="13" t="n">
        <v>0</v>
      </c>
      <c r="L5501" s="6" t="n">
        <f aca="false">H5501*K5501</f>
        <v>0</v>
      </c>
      <c r="M5501" s="4" t="s">
        <v>371</v>
      </c>
    </row>
    <row r="5502" customFormat="false" ht="15" hidden="false" customHeight="false" outlineLevel="0" collapsed="false">
      <c r="A5502" s="4" t="s">
        <v>272</v>
      </c>
      <c r="B5502" s="5" t="s">
        <v>273</v>
      </c>
      <c r="C5502" s="5" t="s">
        <v>274</v>
      </c>
      <c r="D5502" s="4" t="s">
        <v>16</v>
      </c>
      <c r="E5502" s="4" t="s">
        <v>6146</v>
      </c>
      <c r="F5502" s="4" t="s">
        <v>470</v>
      </c>
      <c r="G5502" s="4" t="s">
        <v>6147</v>
      </c>
      <c r="H5502" s="12" t="n">
        <v>10</v>
      </c>
      <c r="I5502" s="4" t="s">
        <v>474</v>
      </c>
      <c r="J5502" s="4" t="s">
        <v>2810</v>
      </c>
      <c r="K5502" s="13" t="n">
        <v>0</v>
      </c>
      <c r="L5502" s="6" t="n">
        <f aca="false">H5502*K5502</f>
        <v>0</v>
      </c>
      <c r="M5502" s="4" t="s">
        <v>371</v>
      </c>
    </row>
    <row r="5503" customFormat="false" ht="15" hidden="false" customHeight="false" outlineLevel="0" collapsed="false">
      <c r="A5503" s="4" t="s">
        <v>272</v>
      </c>
      <c r="B5503" s="5" t="s">
        <v>273</v>
      </c>
      <c r="C5503" s="5" t="s">
        <v>274</v>
      </c>
      <c r="D5503" s="4" t="s">
        <v>16</v>
      </c>
      <c r="E5503" s="4" t="s">
        <v>6148</v>
      </c>
      <c r="F5503" s="4" t="s">
        <v>470</v>
      </c>
      <c r="G5503" s="4" t="s">
        <v>6149</v>
      </c>
      <c r="H5503" s="12" t="n">
        <v>10</v>
      </c>
      <c r="I5503" s="4" t="s">
        <v>474</v>
      </c>
      <c r="J5503" s="4" t="s">
        <v>2810</v>
      </c>
      <c r="K5503" s="13" t="n">
        <v>0</v>
      </c>
      <c r="L5503" s="6" t="n">
        <f aca="false">H5503*K5503</f>
        <v>0</v>
      </c>
      <c r="M5503" s="4" t="s">
        <v>371</v>
      </c>
    </row>
    <row r="5504" customFormat="false" ht="15" hidden="false" customHeight="false" outlineLevel="0" collapsed="false">
      <c r="A5504" s="4" t="s">
        <v>272</v>
      </c>
      <c r="B5504" s="5" t="s">
        <v>273</v>
      </c>
      <c r="C5504" s="5" t="s">
        <v>274</v>
      </c>
      <c r="D5504" s="4" t="s">
        <v>16</v>
      </c>
      <c r="E5504" s="4" t="s">
        <v>2183</v>
      </c>
      <c r="F5504" s="4" t="s">
        <v>470</v>
      </c>
      <c r="G5504" s="4" t="s">
        <v>2184</v>
      </c>
      <c r="H5504" s="12" t="n">
        <v>30</v>
      </c>
      <c r="I5504" s="4" t="s">
        <v>474</v>
      </c>
      <c r="J5504" s="4" t="s">
        <v>409</v>
      </c>
      <c r="K5504" s="13" t="n">
        <v>8500</v>
      </c>
      <c r="L5504" s="6" t="n">
        <f aca="false">H5504*K5504</f>
        <v>255000</v>
      </c>
      <c r="M5504" s="4" t="s">
        <v>371</v>
      </c>
    </row>
    <row r="5505" customFormat="false" ht="15" hidden="false" customHeight="false" outlineLevel="0" collapsed="false">
      <c r="A5505" s="4" t="s">
        <v>272</v>
      </c>
      <c r="B5505" s="5" t="s">
        <v>273</v>
      </c>
      <c r="C5505" s="5" t="s">
        <v>274</v>
      </c>
      <c r="D5505" s="4" t="s">
        <v>16</v>
      </c>
      <c r="E5505" s="4" t="s">
        <v>3768</v>
      </c>
      <c r="F5505" s="4" t="s">
        <v>470</v>
      </c>
      <c r="G5505" s="4" t="s">
        <v>3769</v>
      </c>
      <c r="H5505" s="12" t="n">
        <v>30</v>
      </c>
      <c r="I5505" s="4" t="s">
        <v>474</v>
      </c>
      <c r="J5505" s="4" t="s">
        <v>409</v>
      </c>
      <c r="K5505" s="13" t="n">
        <v>1800</v>
      </c>
      <c r="L5505" s="6" t="n">
        <f aca="false">H5505*K5505</f>
        <v>54000</v>
      </c>
      <c r="M5505" s="4" t="s">
        <v>371</v>
      </c>
    </row>
    <row r="5506" customFormat="false" ht="15" hidden="false" customHeight="false" outlineLevel="0" collapsed="false">
      <c r="A5506" s="4" t="s">
        <v>272</v>
      </c>
      <c r="B5506" s="5" t="s">
        <v>273</v>
      </c>
      <c r="C5506" s="5" t="s">
        <v>274</v>
      </c>
      <c r="D5506" s="4" t="s">
        <v>16</v>
      </c>
      <c r="E5506" s="4" t="s">
        <v>6150</v>
      </c>
      <c r="F5506" s="4" t="s">
        <v>470</v>
      </c>
      <c r="G5506" s="4" t="s">
        <v>6151</v>
      </c>
      <c r="H5506" s="12" t="n">
        <v>1</v>
      </c>
      <c r="I5506" s="4" t="s">
        <v>474</v>
      </c>
      <c r="J5506" s="4" t="s">
        <v>416</v>
      </c>
      <c r="K5506" s="13" t="n">
        <v>12000</v>
      </c>
      <c r="L5506" s="6" t="n">
        <f aca="false">H5506*K5506</f>
        <v>12000</v>
      </c>
      <c r="M5506" s="4" t="s">
        <v>371</v>
      </c>
    </row>
    <row r="5507" customFormat="false" ht="15" hidden="false" customHeight="false" outlineLevel="0" collapsed="false">
      <c r="A5507" s="4" t="s">
        <v>272</v>
      </c>
      <c r="B5507" s="5" t="s">
        <v>273</v>
      </c>
      <c r="C5507" s="5" t="s">
        <v>274</v>
      </c>
      <c r="D5507" s="4" t="s">
        <v>16</v>
      </c>
      <c r="E5507" s="4" t="s">
        <v>6152</v>
      </c>
      <c r="F5507" s="4" t="s">
        <v>488</v>
      </c>
      <c r="G5507" s="4" t="s">
        <v>6153</v>
      </c>
      <c r="H5507" s="12" t="n">
        <v>30</v>
      </c>
      <c r="I5507" s="4" t="s">
        <v>474</v>
      </c>
      <c r="J5507" s="4" t="s">
        <v>409</v>
      </c>
      <c r="K5507" s="13" t="n">
        <v>180</v>
      </c>
      <c r="L5507" s="6" t="n">
        <f aca="false">H5507*K5507</f>
        <v>5400</v>
      </c>
      <c r="M5507" s="4" t="s">
        <v>371</v>
      </c>
    </row>
    <row r="5508" customFormat="false" ht="15" hidden="false" customHeight="false" outlineLevel="0" collapsed="false">
      <c r="A5508" s="4" t="s">
        <v>272</v>
      </c>
      <c r="B5508" s="5" t="s">
        <v>273</v>
      </c>
      <c r="C5508" s="5" t="s">
        <v>274</v>
      </c>
      <c r="D5508" s="4" t="s">
        <v>16</v>
      </c>
      <c r="E5508" s="4" t="s">
        <v>6154</v>
      </c>
      <c r="F5508" s="4" t="s">
        <v>488</v>
      </c>
      <c r="G5508" s="4" t="s">
        <v>6155</v>
      </c>
      <c r="H5508" s="12" t="n">
        <v>30</v>
      </c>
      <c r="I5508" s="4" t="s">
        <v>474</v>
      </c>
      <c r="J5508" s="4" t="s">
        <v>416</v>
      </c>
      <c r="K5508" s="13" t="n">
        <v>450</v>
      </c>
      <c r="L5508" s="6" t="n">
        <f aca="false">H5508*K5508</f>
        <v>13500</v>
      </c>
      <c r="M5508" s="4" t="s">
        <v>371</v>
      </c>
    </row>
    <row r="5509" customFormat="false" ht="15" hidden="false" customHeight="false" outlineLevel="0" collapsed="false">
      <c r="A5509" s="4" t="s">
        <v>272</v>
      </c>
      <c r="B5509" s="5" t="s">
        <v>273</v>
      </c>
      <c r="C5509" s="5" t="s">
        <v>274</v>
      </c>
      <c r="D5509" s="4" t="s">
        <v>16</v>
      </c>
      <c r="E5509" s="4" t="s">
        <v>6156</v>
      </c>
      <c r="F5509" s="4" t="s">
        <v>488</v>
      </c>
      <c r="G5509" s="4" t="s">
        <v>6157</v>
      </c>
      <c r="H5509" s="12" t="n">
        <v>10</v>
      </c>
      <c r="I5509" s="4" t="s">
        <v>474</v>
      </c>
      <c r="J5509" s="4" t="s">
        <v>416</v>
      </c>
      <c r="K5509" s="13" t="n">
        <v>180</v>
      </c>
      <c r="L5509" s="6" t="n">
        <f aca="false">H5509*K5509</f>
        <v>1800</v>
      </c>
      <c r="M5509" s="4" t="s">
        <v>371</v>
      </c>
    </row>
    <row r="5510" customFormat="false" ht="15" hidden="false" customHeight="false" outlineLevel="0" collapsed="false">
      <c r="A5510" s="4" t="s">
        <v>272</v>
      </c>
      <c r="B5510" s="5" t="s">
        <v>273</v>
      </c>
      <c r="C5510" s="5" t="s">
        <v>274</v>
      </c>
      <c r="D5510" s="4" t="s">
        <v>16</v>
      </c>
      <c r="E5510" s="4" t="s">
        <v>6158</v>
      </c>
      <c r="F5510" s="4" t="s">
        <v>488</v>
      </c>
      <c r="G5510" s="4" t="s">
        <v>6159</v>
      </c>
      <c r="H5510" s="12" t="n">
        <v>10</v>
      </c>
      <c r="I5510" s="4" t="s">
        <v>474</v>
      </c>
      <c r="J5510" s="4" t="s">
        <v>506</v>
      </c>
      <c r="K5510" s="13" t="n">
        <v>120</v>
      </c>
      <c r="L5510" s="6" t="n">
        <f aca="false">H5510*K5510</f>
        <v>1200</v>
      </c>
      <c r="M5510" s="4" t="s">
        <v>371</v>
      </c>
    </row>
    <row r="5511" customFormat="false" ht="15" hidden="false" customHeight="false" outlineLevel="0" collapsed="false">
      <c r="A5511" s="4" t="s">
        <v>272</v>
      </c>
      <c r="B5511" s="5" t="s">
        <v>273</v>
      </c>
      <c r="C5511" s="5" t="s">
        <v>274</v>
      </c>
      <c r="D5511" s="4" t="s">
        <v>16</v>
      </c>
      <c r="E5511" s="4" t="s">
        <v>6160</v>
      </c>
      <c r="F5511" s="4" t="s">
        <v>488</v>
      </c>
      <c r="G5511" s="4" t="s">
        <v>6161</v>
      </c>
      <c r="H5511" s="12" t="n">
        <v>30</v>
      </c>
      <c r="I5511" s="4" t="s">
        <v>474</v>
      </c>
      <c r="J5511" s="4" t="s">
        <v>409</v>
      </c>
      <c r="K5511" s="13" t="n">
        <v>180</v>
      </c>
      <c r="L5511" s="6" t="n">
        <f aca="false">H5511*K5511</f>
        <v>5400</v>
      </c>
      <c r="M5511" s="4" t="s">
        <v>371</v>
      </c>
    </row>
    <row r="5512" customFormat="false" ht="15" hidden="false" customHeight="false" outlineLevel="0" collapsed="false">
      <c r="A5512" s="4" t="s">
        <v>272</v>
      </c>
      <c r="B5512" s="5" t="s">
        <v>275</v>
      </c>
      <c r="C5512" s="5" t="s">
        <v>276</v>
      </c>
      <c r="D5512" s="4" t="s">
        <v>16</v>
      </c>
      <c r="E5512" s="4" t="s">
        <v>6162</v>
      </c>
      <c r="F5512" s="4" t="s">
        <v>406</v>
      </c>
      <c r="G5512" s="4" t="s">
        <v>6163</v>
      </c>
      <c r="H5512" s="12" t="n">
        <v>1</v>
      </c>
      <c r="I5512" s="4" t="s">
        <v>474</v>
      </c>
      <c r="J5512" s="4" t="s">
        <v>409</v>
      </c>
      <c r="K5512" s="13" t="n">
        <v>850</v>
      </c>
      <c r="L5512" s="6" t="n">
        <f aca="false">H5512*K5512</f>
        <v>850</v>
      </c>
      <c r="M5512" s="14" t="s">
        <v>410</v>
      </c>
    </row>
    <row r="5513" customFormat="false" ht="15" hidden="false" customHeight="false" outlineLevel="0" collapsed="false">
      <c r="A5513" s="4" t="s">
        <v>272</v>
      </c>
      <c r="B5513" s="5" t="s">
        <v>275</v>
      </c>
      <c r="C5513" s="5" t="s">
        <v>276</v>
      </c>
      <c r="D5513" s="4" t="s">
        <v>16</v>
      </c>
      <c r="E5513" s="4" t="s">
        <v>6164</v>
      </c>
      <c r="F5513" s="4" t="s">
        <v>406</v>
      </c>
      <c r="G5513" s="4" t="s">
        <v>6165</v>
      </c>
      <c r="H5513" s="12" t="n">
        <v>1</v>
      </c>
      <c r="I5513" s="4" t="s">
        <v>474</v>
      </c>
      <c r="J5513" s="4" t="s">
        <v>416</v>
      </c>
      <c r="K5513" s="13" t="n">
        <v>350</v>
      </c>
      <c r="L5513" s="6" t="n">
        <f aca="false">H5513*K5513</f>
        <v>350</v>
      </c>
      <c r="M5513" s="14" t="s">
        <v>410</v>
      </c>
    </row>
    <row r="5514" customFormat="false" ht="15" hidden="false" customHeight="false" outlineLevel="0" collapsed="false">
      <c r="A5514" s="4" t="s">
        <v>272</v>
      </c>
      <c r="B5514" s="5" t="s">
        <v>275</v>
      </c>
      <c r="C5514" s="5" t="s">
        <v>276</v>
      </c>
      <c r="D5514" s="4" t="s">
        <v>16</v>
      </c>
      <c r="E5514" s="4" t="s">
        <v>6166</v>
      </c>
      <c r="F5514" s="4" t="s">
        <v>406</v>
      </c>
      <c r="G5514" s="4" t="s">
        <v>6167</v>
      </c>
      <c r="H5514" s="12" t="n">
        <v>1</v>
      </c>
      <c r="I5514" s="4" t="s">
        <v>474</v>
      </c>
      <c r="J5514" s="4" t="s">
        <v>409</v>
      </c>
      <c r="K5514" s="13" t="n">
        <v>250</v>
      </c>
      <c r="L5514" s="6" t="n">
        <f aca="false">H5514*K5514</f>
        <v>250</v>
      </c>
      <c r="M5514" s="14" t="s">
        <v>410</v>
      </c>
    </row>
    <row r="5515" customFormat="false" ht="15" hidden="false" customHeight="false" outlineLevel="0" collapsed="false">
      <c r="A5515" s="4" t="s">
        <v>272</v>
      </c>
      <c r="B5515" s="5" t="s">
        <v>275</v>
      </c>
      <c r="C5515" s="5" t="s">
        <v>276</v>
      </c>
      <c r="D5515" s="4" t="s">
        <v>16</v>
      </c>
      <c r="E5515" s="4" t="s">
        <v>826</v>
      </c>
      <c r="F5515" s="4" t="s">
        <v>406</v>
      </c>
      <c r="G5515" s="4" t="s">
        <v>827</v>
      </c>
      <c r="H5515" s="12" t="n">
        <v>1</v>
      </c>
      <c r="I5515" s="4" t="s">
        <v>474</v>
      </c>
      <c r="J5515" s="4" t="s">
        <v>409</v>
      </c>
      <c r="K5515" s="13" t="n">
        <v>80</v>
      </c>
      <c r="L5515" s="6" t="n">
        <f aca="false">H5515*K5515</f>
        <v>80</v>
      </c>
      <c r="M5515" s="14" t="s">
        <v>410</v>
      </c>
    </row>
    <row r="5516" customFormat="false" ht="15" hidden="false" customHeight="false" outlineLevel="0" collapsed="false">
      <c r="A5516" s="4" t="s">
        <v>272</v>
      </c>
      <c r="B5516" s="5" t="s">
        <v>275</v>
      </c>
      <c r="C5516" s="5" t="s">
        <v>276</v>
      </c>
      <c r="D5516" s="4" t="s">
        <v>16</v>
      </c>
      <c r="E5516" s="4" t="s">
        <v>6168</v>
      </c>
      <c r="F5516" s="4" t="s">
        <v>406</v>
      </c>
      <c r="G5516" s="4" t="s">
        <v>6169</v>
      </c>
      <c r="H5516" s="12" t="n">
        <v>1</v>
      </c>
      <c r="I5516" s="4" t="s">
        <v>474</v>
      </c>
      <c r="J5516" s="4" t="s">
        <v>416</v>
      </c>
      <c r="K5516" s="13" t="n">
        <v>850</v>
      </c>
      <c r="L5516" s="6" t="n">
        <f aca="false">H5516*K5516</f>
        <v>850</v>
      </c>
      <c r="M5516" s="14" t="s">
        <v>410</v>
      </c>
    </row>
    <row r="5517" customFormat="false" ht="15" hidden="false" customHeight="false" outlineLevel="0" collapsed="false">
      <c r="A5517" s="4" t="s">
        <v>272</v>
      </c>
      <c r="B5517" s="5" t="s">
        <v>275</v>
      </c>
      <c r="C5517" s="5" t="s">
        <v>276</v>
      </c>
      <c r="D5517" s="4" t="s">
        <v>16</v>
      </c>
      <c r="E5517" s="4" t="s">
        <v>6170</v>
      </c>
      <c r="F5517" s="4" t="s">
        <v>406</v>
      </c>
      <c r="G5517" s="4" t="s">
        <v>6171</v>
      </c>
      <c r="H5517" s="12" t="n">
        <v>1</v>
      </c>
      <c r="I5517" s="4" t="s">
        <v>474</v>
      </c>
      <c r="J5517" s="4" t="s">
        <v>409</v>
      </c>
      <c r="K5517" s="13" t="n">
        <v>25000</v>
      </c>
      <c r="L5517" s="6" t="n">
        <f aca="false">H5517*K5517</f>
        <v>25000</v>
      </c>
      <c r="M5517" s="14" t="s">
        <v>410</v>
      </c>
    </row>
    <row r="5518" customFormat="false" ht="15" hidden="false" customHeight="false" outlineLevel="0" collapsed="false">
      <c r="A5518" s="4" t="s">
        <v>272</v>
      </c>
      <c r="B5518" s="5" t="s">
        <v>275</v>
      </c>
      <c r="C5518" s="5" t="s">
        <v>276</v>
      </c>
      <c r="D5518" s="4" t="s">
        <v>16</v>
      </c>
      <c r="E5518" s="4" t="s">
        <v>6172</v>
      </c>
      <c r="F5518" s="4" t="s">
        <v>406</v>
      </c>
      <c r="G5518" s="4" t="s">
        <v>6173</v>
      </c>
      <c r="H5518" s="12" t="n">
        <v>1</v>
      </c>
      <c r="I5518" s="4" t="s">
        <v>474</v>
      </c>
      <c r="J5518" s="4" t="s">
        <v>416</v>
      </c>
      <c r="K5518" s="13" t="n">
        <v>18000</v>
      </c>
      <c r="L5518" s="6" t="n">
        <f aca="false">H5518*K5518</f>
        <v>18000</v>
      </c>
      <c r="M5518" s="14" t="s">
        <v>410</v>
      </c>
    </row>
    <row r="5519" customFormat="false" ht="15" hidden="false" customHeight="false" outlineLevel="0" collapsed="false">
      <c r="A5519" s="4" t="s">
        <v>272</v>
      </c>
      <c r="B5519" s="5" t="s">
        <v>275</v>
      </c>
      <c r="C5519" s="5" t="s">
        <v>276</v>
      </c>
      <c r="D5519" s="4" t="s">
        <v>16</v>
      </c>
      <c r="E5519" s="4" t="s">
        <v>6174</v>
      </c>
      <c r="F5519" s="4" t="s">
        <v>406</v>
      </c>
      <c r="G5519" s="4" t="s">
        <v>6175</v>
      </c>
      <c r="H5519" s="12" t="n">
        <v>2</v>
      </c>
      <c r="I5519" s="4" t="s">
        <v>474</v>
      </c>
      <c r="J5519" s="4" t="s">
        <v>409</v>
      </c>
      <c r="K5519" s="13" t="n">
        <v>850</v>
      </c>
      <c r="L5519" s="6" t="n">
        <f aca="false">H5519*K5519</f>
        <v>1700</v>
      </c>
      <c r="M5519" s="14" t="s">
        <v>410</v>
      </c>
    </row>
    <row r="5520" customFormat="false" ht="15" hidden="false" customHeight="false" outlineLevel="0" collapsed="false">
      <c r="A5520" s="4" t="s">
        <v>272</v>
      </c>
      <c r="B5520" s="5" t="s">
        <v>275</v>
      </c>
      <c r="C5520" s="5" t="s">
        <v>276</v>
      </c>
      <c r="D5520" s="4" t="s">
        <v>16</v>
      </c>
      <c r="E5520" s="4" t="s">
        <v>2163</v>
      </c>
      <c r="F5520" s="4" t="s">
        <v>470</v>
      </c>
      <c r="G5520" s="4" t="s">
        <v>2164</v>
      </c>
      <c r="H5520" s="12" t="n">
        <v>1</v>
      </c>
      <c r="I5520" s="4" t="s">
        <v>474</v>
      </c>
      <c r="J5520" s="4" t="s">
        <v>409</v>
      </c>
      <c r="K5520" s="13" t="n">
        <v>35000</v>
      </c>
      <c r="L5520" s="6" t="n">
        <f aca="false">H5520*K5520</f>
        <v>35000</v>
      </c>
      <c r="M5520" s="14" t="s">
        <v>410</v>
      </c>
    </row>
    <row r="5521" customFormat="false" ht="15" hidden="false" customHeight="false" outlineLevel="0" collapsed="false">
      <c r="A5521" s="4" t="s">
        <v>272</v>
      </c>
      <c r="B5521" s="5" t="s">
        <v>275</v>
      </c>
      <c r="C5521" s="5" t="s">
        <v>276</v>
      </c>
      <c r="D5521" s="4" t="s">
        <v>16</v>
      </c>
      <c r="E5521" s="4" t="s">
        <v>6176</v>
      </c>
      <c r="F5521" s="4" t="s">
        <v>470</v>
      </c>
      <c r="G5521" s="4" t="s">
        <v>6177</v>
      </c>
      <c r="H5521" s="12" t="n">
        <v>1</v>
      </c>
      <c r="I5521" s="4" t="s">
        <v>474</v>
      </c>
      <c r="J5521" s="4" t="s">
        <v>409</v>
      </c>
      <c r="K5521" s="13" t="n">
        <v>8500</v>
      </c>
      <c r="L5521" s="6" t="n">
        <f aca="false">H5521*K5521</f>
        <v>8500</v>
      </c>
      <c r="M5521" s="14" t="s">
        <v>410</v>
      </c>
    </row>
    <row r="5522" customFormat="false" ht="15" hidden="false" customHeight="false" outlineLevel="0" collapsed="false">
      <c r="A5522" s="4" t="s">
        <v>272</v>
      </c>
      <c r="B5522" s="5" t="s">
        <v>275</v>
      </c>
      <c r="C5522" s="5" t="s">
        <v>276</v>
      </c>
      <c r="D5522" s="4" t="s">
        <v>16</v>
      </c>
      <c r="E5522" s="4" t="s">
        <v>6178</v>
      </c>
      <c r="F5522" s="4" t="s">
        <v>470</v>
      </c>
      <c r="G5522" s="4" t="s">
        <v>6179</v>
      </c>
      <c r="H5522" s="12" t="n">
        <v>1</v>
      </c>
      <c r="I5522" s="4" t="s">
        <v>474</v>
      </c>
      <c r="J5522" s="4" t="s">
        <v>416</v>
      </c>
      <c r="K5522" s="13" t="n">
        <v>18000</v>
      </c>
      <c r="L5522" s="6" t="n">
        <f aca="false">H5522*K5522</f>
        <v>18000</v>
      </c>
      <c r="M5522" s="14" t="s">
        <v>410</v>
      </c>
    </row>
    <row r="5523" customFormat="false" ht="15" hidden="false" customHeight="false" outlineLevel="0" collapsed="false">
      <c r="A5523" s="4" t="s">
        <v>272</v>
      </c>
      <c r="B5523" s="5" t="s">
        <v>275</v>
      </c>
      <c r="C5523" s="5" t="s">
        <v>276</v>
      </c>
      <c r="D5523" s="4" t="s">
        <v>16</v>
      </c>
      <c r="E5523" s="4" t="s">
        <v>6180</v>
      </c>
      <c r="F5523" s="4" t="s">
        <v>470</v>
      </c>
      <c r="G5523" s="4" t="s">
        <v>6181</v>
      </c>
      <c r="H5523" s="12" t="n">
        <v>1</v>
      </c>
      <c r="I5523" s="4" t="s">
        <v>474</v>
      </c>
      <c r="J5523" s="4" t="s">
        <v>2810</v>
      </c>
      <c r="K5523" s="13" t="n">
        <v>0</v>
      </c>
      <c r="L5523" s="6" t="n">
        <f aca="false">H5523*K5523</f>
        <v>0</v>
      </c>
      <c r="M5523" s="4" t="s">
        <v>371</v>
      </c>
    </row>
    <row r="5524" customFormat="false" ht="15" hidden="false" customHeight="false" outlineLevel="0" collapsed="false">
      <c r="A5524" s="4" t="s">
        <v>272</v>
      </c>
      <c r="B5524" s="5" t="s">
        <v>275</v>
      </c>
      <c r="C5524" s="5" t="s">
        <v>276</v>
      </c>
      <c r="D5524" s="4" t="s">
        <v>16</v>
      </c>
      <c r="E5524" s="4" t="s">
        <v>6182</v>
      </c>
      <c r="F5524" s="4" t="s">
        <v>470</v>
      </c>
      <c r="G5524" s="4" t="s">
        <v>6183</v>
      </c>
      <c r="H5524" s="12" t="n">
        <v>1</v>
      </c>
      <c r="I5524" s="4" t="s">
        <v>474</v>
      </c>
      <c r="J5524" s="4" t="s">
        <v>543</v>
      </c>
      <c r="K5524" s="13" t="n">
        <v>25000</v>
      </c>
      <c r="L5524" s="6" t="n">
        <f aca="false">H5524*K5524</f>
        <v>25000</v>
      </c>
      <c r="M5524" s="4" t="s">
        <v>371</v>
      </c>
    </row>
    <row r="5525" customFormat="false" ht="15" hidden="false" customHeight="false" outlineLevel="0" collapsed="false">
      <c r="A5525" s="4" t="s">
        <v>272</v>
      </c>
      <c r="B5525" s="5" t="s">
        <v>275</v>
      </c>
      <c r="C5525" s="5" t="s">
        <v>276</v>
      </c>
      <c r="D5525" s="4" t="s">
        <v>16</v>
      </c>
      <c r="E5525" s="4" t="s">
        <v>6184</v>
      </c>
      <c r="F5525" s="4" t="s">
        <v>470</v>
      </c>
      <c r="G5525" s="4" t="s">
        <v>6185</v>
      </c>
      <c r="H5525" s="12" t="n">
        <v>2</v>
      </c>
      <c r="I5525" s="4" t="s">
        <v>474</v>
      </c>
      <c r="J5525" s="4" t="s">
        <v>416</v>
      </c>
      <c r="K5525" s="13" t="n">
        <v>18000</v>
      </c>
      <c r="L5525" s="6" t="n">
        <f aca="false">H5525*K5525</f>
        <v>36000</v>
      </c>
      <c r="M5525" s="4" t="s">
        <v>371</v>
      </c>
    </row>
    <row r="5526" customFormat="false" ht="15" hidden="false" customHeight="false" outlineLevel="0" collapsed="false">
      <c r="A5526" s="4" t="s">
        <v>272</v>
      </c>
      <c r="B5526" s="5" t="s">
        <v>275</v>
      </c>
      <c r="C5526" s="5" t="s">
        <v>276</v>
      </c>
      <c r="D5526" s="4" t="s">
        <v>16</v>
      </c>
      <c r="E5526" s="4" t="s">
        <v>6186</v>
      </c>
      <c r="F5526" s="4" t="s">
        <v>470</v>
      </c>
      <c r="G5526" s="4" t="s">
        <v>6187</v>
      </c>
      <c r="H5526" s="12" t="n">
        <v>1</v>
      </c>
      <c r="I5526" s="4" t="s">
        <v>474</v>
      </c>
      <c r="J5526" s="4" t="s">
        <v>416</v>
      </c>
      <c r="K5526" s="13" t="n">
        <v>2500</v>
      </c>
      <c r="L5526" s="6" t="n">
        <f aca="false">H5526*K5526</f>
        <v>2500</v>
      </c>
      <c r="M5526" s="4" t="s">
        <v>371</v>
      </c>
    </row>
    <row r="5527" customFormat="false" ht="15" hidden="false" customHeight="false" outlineLevel="0" collapsed="false">
      <c r="A5527" s="4" t="s">
        <v>272</v>
      </c>
      <c r="B5527" s="5" t="s">
        <v>275</v>
      </c>
      <c r="C5527" s="5" t="s">
        <v>276</v>
      </c>
      <c r="D5527" s="4" t="s">
        <v>16</v>
      </c>
      <c r="E5527" s="4" t="s">
        <v>6188</v>
      </c>
      <c r="F5527" s="4" t="s">
        <v>470</v>
      </c>
      <c r="G5527" s="4" t="s">
        <v>6189</v>
      </c>
      <c r="H5527" s="12" t="n">
        <v>1</v>
      </c>
      <c r="I5527" s="4" t="s">
        <v>474</v>
      </c>
      <c r="J5527" s="4" t="s">
        <v>409</v>
      </c>
      <c r="K5527" s="13" t="n">
        <v>850</v>
      </c>
      <c r="L5527" s="6" t="n">
        <f aca="false">H5527*K5527</f>
        <v>850</v>
      </c>
      <c r="M5527" s="4" t="s">
        <v>371</v>
      </c>
    </row>
    <row r="5528" customFormat="false" ht="15" hidden="false" customHeight="false" outlineLevel="0" collapsed="false">
      <c r="A5528" s="4" t="s">
        <v>272</v>
      </c>
      <c r="B5528" s="5" t="s">
        <v>275</v>
      </c>
      <c r="C5528" s="5" t="s">
        <v>276</v>
      </c>
      <c r="D5528" s="4" t="s">
        <v>16</v>
      </c>
      <c r="E5528" s="4" t="s">
        <v>6190</v>
      </c>
      <c r="F5528" s="4" t="s">
        <v>488</v>
      </c>
      <c r="G5528" s="4" t="s">
        <v>6191</v>
      </c>
      <c r="H5528" s="12" t="n">
        <v>1</v>
      </c>
      <c r="I5528" s="4" t="s">
        <v>474</v>
      </c>
      <c r="J5528" s="4" t="s">
        <v>416</v>
      </c>
      <c r="K5528" s="13" t="n">
        <v>250</v>
      </c>
      <c r="L5528" s="6" t="n">
        <f aca="false">H5528*K5528</f>
        <v>250</v>
      </c>
      <c r="M5528" s="4" t="s">
        <v>371</v>
      </c>
    </row>
    <row r="5529" customFormat="false" ht="15" hidden="false" customHeight="false" outlineLevel="0" collapsed="false">
      <c r="A5529" s="4" t="s">
        <v>272</v>
      </c>
      <c r="B5529" s="5" t="s">
        <v>275</v>
      </c>
      <c r="C5529" s="5" t="s">
        <v>276</v>
      </c>
      <c r="D5529" s="4" t="s">
        <v>16</v>
      </c>
      <c r="E5529" s="4" t="s">
        <v>6192</v>
      </c>
      <c r="F5529" s="4" t="s">
        <v>488</v>
      </c>
      <c r="G5529" s="4" t="s">
        <v>6193</v>
      </c>
      <c r="H5529" s="12" t="n">
        <v>2</v>
      </c>
      <c r="I5529" s="4" t="s">
        <v>474</v>
      </c>
      <c r="J5529" s="4" t="s">
        <v>416</v>
      </c>
      <c r="K5529" s="13" t="n">
        <v>650</v>
      </c>
      <c r="L5529" s="6" t="n">
        <f aca="false">H5529*K5529</f>
        <v>1300</v>
      </c>
      <c r="M5529" s="4" t="s">
        <v>371</v>
      </c>
    </row>
    <row r="5530" customFormat="false" ht="15" hidden="false" customHeight="false" outlineLevel="0" collapsed="false">
      <c r="A5530" s="4" t="s">
        <v>272</v>
      </c>
      <c r="B5530" s="5" t="s">
        <v>275</v>
      </c>
      <c r="C5530" s="5" t="s">
        <v>276</v>
      </c>
      <c r="D5530" s="4" t="s">
        <v>16</v>
      </c>
      <c r="E5530" s="4" t="s">
        <v>6194</v>
      </c>
      <c r="F5530" s="4" t="s">
        <v>488</v>
      </c>
      <c r="G5530" s="4" t="s">
        <v>6195</v>
      </c>
      <c r="H5530" s="12" t="n">
        <v>1</v>
      </c>
      <c r="I5530" s="4" t="s">
        <v>474</v>
      </c>
      <c r="J5530" s="4" t="s">
        <v>432</v>
      </c>
      <c r="K5530" s="13" t="n">
        <v>50</v>
      </c>
      <c r="L5530" s="6" t="n">
        <f aca="false">H5530*K5530</f>
        <v>50</v>
      </c>
      <c r="M5530" s="4" t="s">
        <v>371</v>
      </c>
    </row>
    <row r="5531" customFormat="false" ht="15" hidden="false" customHeight="false" outlineLevel="0" collapsed="false">
      <c r="A5531" s="4" t="s">
        <v>272</v>
      </c>
      <c r="B5531" s="5" t="s">
        <v>275</v>
      </c>
      <c r="C5531" s="5" t="s">
        <v>276</v>
      </c>
      <c r="D5531" s="4" t="s">
        <v>16</v>
      </c>
      <c r="E5531" s="4" t="s">
        <v>6196</v>
      </c>
      <c r="F5531" s="4" t="s">
        <v>488</v>
      </c>
      <c r="G5531" s="4" t="s">
        <v>6197</v>
      </c>
      <c r="H5531" s="12" t="n">
        <v>1</v>
      </c>
      <c r="I5531" s="4" t="s">
        <v>474</v>
      </c>
      <c r="J5531" s="4" t="s">
        <v>432</v>
      </c>
      <c r="K5531" s="13" t="n">
        <v>350</v>
      </c>
      <c r="L5531" s="6" t="n">
        <f aca="false">H5531*K5531</f>
        <v>350</v>
      </c>
      <c r="M5531" s="4" t="s">
        <v>371</v>
      </c>
    </row>
    <row r="5532" customFormat="false" ht="15" hidden="false" customHeight="false" outlineLevel="0" collapsed="false">
      <c r="A5532" s="4" t="s">
        <v>272</v>
      </c>
      <c r="B5532" s="5" t="s">
        <v>277</v>
      </c>
      <c r="C5532" s="5" t="s">
        <v>278</v>
      </c>
      <c r="D5532" s="4" t="s">
        <v>16</v>
      </c>
      <c r="E5532" s="4" t="s">
        <v>6198</v>
      </c>
      <c r="F5532" s="4" t="s">
        <v>406</v>
      </c>
      <c r="G5532" s="4" t="s">
        <v>6199</v>
      </c>
      <c r="H5532" s="12" t="n">
        <v>1</v>
      </c>
      <c r="I5532" s="4" t="s">
        <v>408</v>
      </c>
      <c r="J5532" s="4" t="s">
        <v>416</v>
      </c>
      <c r="K5532" s="13" t="n">
        <v>1200</v>
      </c>
      <c r="L5532" s="6" t="n">
        <f aca="false">H5532*K5532</f>
        <v>1200</v>
      </c>
      <c r="M5532" s="14" t="s">
        <v>410</v>
      </c>
    </row>
    <row r="5533" customFormat="false" ht="15" hidden="false" customHeight="false" outlineLevel="0" collapsed="false">
      <c r="A5533" s="4" t="s">
        <v>272</v>
      </c>
      <c r="B5533" s="5" t="s">
        <v>277</v>
      </c>
      <c r="C5533" s="5" t="s">
        <v>278</v>
      </c>
      <c r="D5533" s="4" t="s">
        <v>16</v>
      </c>
      <c r="E5533" s="4" t="s">
        <v>6200</v>
      </c>
      <c r="F5533" s="4" t="s">
        <v>406</v>
      </c>
      <c r="G5533" s="4" t="s">
        <v>6201</v>
      </c>
      <c r="H5533" s="12" t="n">
        <v>1</v>
      </c>
      <c r="I5533" s="4" t="s">
        <v>408</v>
      </c>
      <c r="J5533" s="4" t="s">
        <v>409</v>
      </c>
      <c r="K5533" s="13" t="n">
        <v>250</v>
      </c>
      <c r="L5533" s="6" t="n">
        <f aca="false">H5533*K5533</f>
        <v>250</v>
      </c>
      <c r="M5533" s="14" t="s">
        <v>410</v>
      </c>
    </row>
    <row r="5534" customFormat="false" ht="15" hidden="false" customHeight="false" outlineLevel="0" collapsed="false">
      <c r="A5534" s="4" t="s">
        <v>272</v>
      </c>
      <c r="B5534" s="5" t="s">
        <v>277</v>
      </c>
      <c r="C5534" s="5" t="s">
        <v>278</v>
      </c>
      <c r="D5534" s="4" t="s">
        <v>16</v>
      </c>
      <c r="E5534" s="4" t="s">
        <v>2413</v>
      </c>
      <c r="F5534" s="4" t="s">
        <v>406</v>
      </c>
      <c r="G5534" s="4" t="s">
        <v>2414</v>
      </c>
      <c r="H5534" s="12" t="n">
        <v>1</v>
      </c>
      <c r="I5534" s="4" t="s">
        <v>474</v>
      </c>
      <c r="J5534" s="4" t="s">
        <v>409</v>
      </c>
      <c r="K5534" s="13" t="n">
        <v>45000</v>
      </c>
      <c r="L5534" s="6" t="n">
        <f aca="false">H5534*K5534</f>
        <v>45000</v>
      </c>
      <c r="M5534" s="14" t="s">
        <v>410</v>
      </c>
    </row>
    <row r="5535" customFormat="false" ht="15" hidden="false" customHeight="false" outlineLevel="0" collapsed="false">
      <c r="A5535" s="4" t="s">
        <v>272</v>
      </c>
      <c r="B5535" s="5" t="s">
        <v>277</v>
      </c>
      <c r="C5535" s="5" t="s">
        <v>278</v>
      </c>
      <c r="D5535" s="4" t="s">
        <v>16</v>
      </c>
      <c r="E5535" s="4" t="s">
        <v>2163</v>
      </c>
      <c r="F5535" s="4" t="s">
        <v>470</v>
      </c>
      <c r="G5535" s="4" t="s">
        <v>2164</v>
      </c>
      <c r="H5535" s="12" t="n">
        <v>20</v>
      </c>
      <c r="I5535" s="4" t="s">
        <v>2404</v>
      </c>
      <c r="J5535" s="4" t="s">
        <v>409</v>
      </c>
      <c r="K5535" s="13" t="n">
        <v>35000</v>
      </c>
      <c r="L5535" s="6" t="n">
        <f aca="false">H5535*K5535</f>
        <v>700000</v>
      </c>
      <c r="M5535" s="14" t="s">
        <v>410</v>
      </c>
    </row>
    <row r="5536" customFormat="false" ht="15" hidden="false" customHeight="false" outlineLevel="0" collapsed="false">
      <c r="A5536" s="4" t="s">
        <v>272</v>
      </c>
      <c r="B5536" s="5" t="s">
        <v>277</v>
      </c>
      <c r="C5536" s="5" t="s">
        <v>278</v>
      </c>
      <c r="D5536" s="4" t="s">
        <v>16</v>
      </c>
      <c r="E5536" s="4" t="s">
        <v>2417</v>
      </c>
      <c r="F5536" s="4" t="s">
        <v>470</v>
      </c>
      <c r="G5536" s="4" t="s">
        <v>2418</v>
      </c>
      <c r="H5536" s="12" t="n">
        <v>1</v>
      </c>
      <c r="I5536" s="4" t="s">
        <v>408</v>
      </c>
      <c r="J5536" s="4" t="s">
        <v>409</v>
      </c>
      <c r="K5536" s="13" t="n">
        <v>45000</v>
      </c>
      <c r="L5536" s="6" t="n">
        <f aca="false">H5536*K5536</f>
        <v>45000</v>
      </c>
      <c r="M5536" s="14" t="s">
        <v>410</v>
      </c>
    </row>
    <row r="5537" customFormat="false" ht="15" hidden="false" customHeight="false" outlineLevel="0" collapsed="false">
      <c r="A5537" s="4" t="s">
        <v>272</v>
      </c>
      <c r="B5537" s="5" t="s">
        <v>277</v>
      </c>
      <c r="C5537" s="5" t="s">
        <v>278</v>
      </c>
      <c r="D5537" s="4" t="s">
        <v>16</v>
      </c>
      <c r="E5537" s="4" t="s">
        <v>1253</v>
      </c>
      <c r="F5537" s="4" t="s">
        <v>470</v>
      </c>
      <c r="G5537" s="4" t="s">
        <v>1254</v>
      </c>
      <c r="H5537" s="12" t="n">
        <v>1</v>
      </c>
      <c r="I5537" s="4" t="s">
        <v>408</v>
      </c>
      <c r="J5537" s="4" t="s">
        <v>409</v>
      </c>
      <c r="K5537" s="13" t="n">
        <v>8500</v>
      </c>
      <c r="L5537" s="6" t="n">
        <f aca="false">H5537*K5537</f>
        <v>8500</v>
      </c>
      <c r="M5537" s="14" t="s">
        <v>410</v>
      </c>
    </row>
    <row r="5538" customFormat="false" ht="15" hidden="false" customHeight="false" outlineLevel="0" collapsed="false">
      <c r="A5538" s="4" t="s">
        <v>272</v>
      </c>
      <c r="B5538" s="5" t="s">
        <v>277</v>
      </c>
      <c r="C5538" s="5" t="s">
        <v>278</v>
      </c>
      <c r="D5538" s="4" t="s">
        <v>16</v>
      </c>
      <c r="E5538" s="4" t="s">
        <v>2173</v>
      </c>
      <c r="F5538" s="4" t="s">
        <v>470</v>
      </c>
      <c r="G5538" s="4" t="s">
        <v>2174</v>
      </c>
      <c r="H5538" s="12" t="n">
        <v>1</v>
      </c>
      <c r="I5538" s="4" t="s">
        <v>474</v>
      </c>
      <c r="J5538" s="4" t="s">
        <v>543</v>
      </c>
      <c r="K5538" s="13" t="n">
        <v>12000</v>
      </c>
      <c r="L5538" s="6" t="n">
        <f aca="false">H5538*K5538</f>
        <v>12000</v>
      </c>
      <c r="M5538" s="4" t="s">
        <v>371</v>
      </c>
    </row>
    <row r="5539" customFormat="false" ht="15" hidden="false" customHeight="false" outlineLevel="0" collapsed="false">
      <c r="A5539" s="4" t="s">
        <v>272</v>
      </c>
      <c r="B5539" s="5" t="s">
        <v>277</v>
      </c>
      <c r="C5539" s="5" t="s">
        <v>278</v>
      </c>
      <c r="D5539" s="4" t="s">
        <v>16</v>
      </c>
      <c r="E5539" s="4" t="s">
        <v>1697</v>
      </c>
      <c r="F5539" s="4" t="s">
        <v>470</v>
      </c>
      <c r="G5539" s="4" t="s">
        <v>1698</v>
      </c>
      <c r="H5539" s="12" t="n">
        <v>1</v>
      </c>
      <c r="I5539" s="4" t="s">
        <v>408</v>
      </c>
      <c r="J5539" s="4" t="s">
        <v>409</v>
      </c>
      <c r="K5539" s="13" t="n">
        <v>45000</v>
      </c>
      <c r="L5539" s="6" t="n">
        <f aca="false">H5539*K5539</f>
        <v>45000</v>
      </c>
      <c r="M5539" s="14" t="s">
        <v>410</v>
      </c>
    </row>
    <row r="5540" customFormat="false" ht="15" hidden="false" customHeight="false" outlineLevel="0" collapsed="false">
      <c r="A5540" s="4" t="s">
        <v>272</v>
      </c>
      <c r="B5540" s="5" t="s">
        <v>277</v>
      </c>
      <c r="C5540" s="5" t="s">
        <v>278</v>
      </c>
      <c r="D5540" s="4" t="s">
        <v>16</v>
      </c>
      <c r="E5540" s="4" t="s">
        <v>2419</v>
      </c>
      <c r="F5540" s="4" t="s">
        <v>470</v>
      </c>
      <c r="G5540" s="4" t="s">
        <v>2420</v>
      </c>
      <c r="H5540" s="12" t="n">
        <v>1</v>
      </c>
      <c r="I5540" s="4" t="s">
        <v>474</v>
      </c>
      <c r="J5540" s="4" t="s">
        <v>543</v>
      </c>
      <c r="K5540" s="13" t="n">
        <v>12000</v>
      </c>
      <c r="L5540" s="6" t="n">
        <f aca="false">H5540*K5540</f>
        <v>12000</v>
      </c>
      <c r="M5540" s="4" t="s">
        <v>371</v>
      </c>
    </row>
    <row r="5541" customFormat="false" ht="15" hidden="false" customHeight="false" outlineLevel="0" collapsed="false">
      <c r="A5541" s="4" t="s">
        <v>272</v>
      </c>
      <c r="B5541" s="5" t="s">
        <v>277</v>
      </c>
      <c r="C5541" s="5" t="s">
        <v>278</v>
      </c>
      <c r="D5541" s="4" t="s">
        <v>16</v>
      </c>
      <c r="E5541" s="4" t="s">
        <v>2421</v>
      </c>
      <c r="F5541" s="4" t="s">
        <v>470</v>
      </c>
      <c r="G5541" s="4" t="s">
        <v>2422</v>
      </c>
      <c r="H5541" s="12" t="n">
        <v>1</v>
      </c>
      <c r="I5541" s="4" t="s">
        <v>474</v>
      </c>
      <c r="J5541" s="4" t="s">
        <v>543</v>
      </c>
      <c r="K5541" s="13" t="n">
        <v>1200</v>
      </c>
      <c r="L5541" s="6" t="n">
        <f aca="false">H5541*K5541</f>
        <v>1200</v>
      </c>
      <c r="M5541" s="4" t="s">
        <v>371</v>
      </c>
    </row>
    <row r="5542" customFormat="false" ht="15" hidden="false" customHeight="false" outlineLevel="0" collapsed="false">
      <c r="A5542" s="4" t="s">
        <v>272</v>
      </c>
      <c r="B5542" s="5" t="s">
        <v>277</v>
      </c>
      <c r="C5542" s="5" t="s">
        <v>278</v>
      </c>
      <c r="D5542" s="4" t="s">
        <v>16</v>
      </c>
      <c r="E5542" s="4" t="s">
        <v>6202</v>
      </c>
      <c r="F5542" s="4" t="s">
        <v>470</v>
      </c>
      <c r="G5542" s="4" t="s">
        <v>6203</v>
      </c>
      <c r="H5542" s="12" t="n">
        <v>1</v>
      </c>
      <c r="I5542" s="4" t="s">
        <v>408</v>
      </c>
      <c r="J5542" s="4" t="s">
        <v>543</v>
      </c>
      <c r="K5542" s="13" t="n">
        <v>250000</v>
      </c>
      <c r="L5542" s="6" t="n">
        <f aca="false">H5542*K5542</f>
        <v>250000</v>
      </c>
      <c r="M5542" s="4" t="s">
        <v>371</v>
      </c>
    </row>
    <row r="5543" customFormat="false" ht="15" hidden="false" customHeight="false" outlineLevel="0" collapsed="false">
      <c r="A5543" s="4" t="s">
        <v>272</v>
      </c>
      <c r="B5543" s="5" t="s">
        <v>277</v>
      </c>
      <c r="C5543" s="5" t="s">
        <v>278</v>
      </c>
      <c r="D5543" s="4" t="s">
        <v>16</v>
      </c>
      <c r="E5543" s="4" t="s">
        <v>2181</v>
      </c>
      <c r="F5543" s="4" t="s">
        <v>470</v>
      </c>
      <c r="G5543" s="4" t="s">
        <v>2182</v>
      </c>
      <c r="H5543" s="12" t="n">
        <v>20</v>
      </c>
      <c r="I5543" s="4" t="s">
        <v>2404</v>
      </c>
      <c r="J5543" s="4" t="s">
        <v>416</v>
      </c>
      <c r="K5543" s="13" t="n">
        <v>18000</v>
      </c>
      <c r="L5543" s="6" t="n">
        <f aca="false">H5543*K5543</f>
        <v>360000</v>
      </c>
      <c r="M5543" s="4" t="s">
        <v>371</v>
      </c>
    </row>
    <row r="5544" customFormat="false" ht="15" hidden="false" customHeight="false" outlineLevel="0" collapsed="false">
      <c r="A5544" s="4" t="s">
        <v>272</v>
      </c>
      <c r="B5544" s="5" t="s">
        <v>277</v>
      </c>
      <c r="C5544" s="5" t="s">
        <v>278</v>
      </c>
      <c r="D5544" s="4" t="s">
        <v>16</v>
      </c>
      <c r="E5544" s="4" t="s">
        <v>2429</v>
      </c>
      <c r="F5544" s="4" t="s">
        <v>470</v>
      </c>
      <c r="G5544" s="4" t="s">
        <v>2430</v>
      </c>
      <c r="H5544" s="12" t="n">
        <v>20</v>
      </c>
      <c r="I5544" s="4" t="s">
        <v>2404</v>
      </c>
      <c r="J5544" s="4" t="s">
        <v>409</v>
      </c>
      <c r="K5544" s="13" t="n">
        <v>6500</v>
      </c>
      <c r="L5544" s="6" t="n">
        <f aca="false">H5544*K5544</f>
        <v>130000</v>
      </c>
      <c r="M5544" s="4" t="s">
        <v>371</v>
      </c>
    </row>
    <row r="5545" customFormat="false" ht="15" hidden="false" customHeight="false" outlineLevel="0" collapsed="false">
      <c r="A5545" s="4" t="s">
        <v>272</v>
      </c>
      <c r="B5545" s="5" t="s">
        <v>277</v>
      </c>
      <c r="C5545" s="5" t="s">
        <v>278</v>
      </c>
      <c r="D5545" s="4" t="s">
        <v>16</v>
      </c>
      <c r="E5545" s="4" t="s">
        <v>2431</v>
      </c>
      <c r="F5545" s="4" t="s">
        <v>470</v>
      </c>
      <c r="G5545" s="4" t="s">
        <v>2432</v>
      </c>
      <c r="H5545" s="12" t="n">
        <v>20</v>
      </c>
      <c r="I5545" s="4" t="s">
        <v>2404</v>
      </c>
      <c r="J5545" s="4" t="s">
        <v>409</v>
      </c>
      <c r="K5545" s="13" t="n">
        <v>4500</v>
      </c>
      <c r="L5545" s="6" t="n">
        <f aca="false">H5545*K5545</f>
        <v>90000</v>
      </c>
      <c r="M5545" s="4" t="s">
        <v>371</v>
      </c>
    </row>
    <row r="5546" customFormat="false" ht="15" hidden="false" customHeight="false" outlineLevel="0" collapsed="false">
      <c r="A5546" s="4" t="s">
        <v>272</v>
      </c>
      <c r="B5546" s="5" t="s">
        <v>277</v>
      </c>
      <c r="C5546" s="5" t="s">
        <v>278</v>
      </c>
      <c r="D5546" s="4" t="s">
        <v>16</v>
      </c>
      <c r="E5546" s="4" t="s">
        <v>2187</v>
      </c>
      <c r="F5546" s="4" t="s">
        <v>470</v>
      </c>
      <c r="G5546" s="4" t="s">
        <v>2188</v>
      </c>
      <c r="H5546" s="12" t="n">
        <v>1</v>
      </c>
      <c r="I5546" s="4" t="s">
        <v>474</v>
      </c>
      <c r="J5546" s="4" t="s">
        <v>409</v>
      </c>
      <c r="K5546" s="13" t="n">
        <v>8500</v>
      </c>
      <c r="L5546" s="6" t="n">
        <f aca="false">H5546*K5546</f>
        <v>8500</v>
      </c>
      <c r="M5546" s="4" t="s">
        <v>371</v>
      </c>
    </row>
    <row r="5547" customFormat="false" ht="15" hidden="false" customHeight="false" outlineLevel="0" collapsed="false">
      <c r="A5547" s="4" t="s">
        <v>272</v>
      </c>
      <c r="B5547" s="5" t="s">
        <v>277</v>
      </c>
      <c r="C5547" s="5" t="s">
        <v>278</v>
      </c>
      <c r="D5547" s="4" t="s">
        <v>16</v>
      </c>
      <c r="E5547" s="4" t="s">
        <v>2189</v>
      </c>
      <c r="F5547" s="4" t="s">
        <v>470</v>
      </c>
      <c r="G5547" s="4" t="s">
        <v>2190</v>
      </c>
      <c r="H5547" s="12" t="n">
        <v>1</v>
      </c>
      <c r="I5547" s="4" t="s">
        <v>474</v>
      </c>
      <c r="J5547" s="4" t="s">
        <v>409</v>
      </c>
      <c r="K5547" s="13" t="n">
        <v>8500</v>
      </c>
      <c r="L5547" s="6" t="n">
        <f aca="false">H5547*K5547</f>
        <v>8500</v>
      </c>
      <c r="M5547" s="4" t="s">
        <v>371</v>
      </c>
    </row>
    <row r="5548" customFormat="false" ht="15" hidden="false" customHeight="false" outlineLevel="0" collapsed="false">
      <c r="A5548" s="4" t="s">
        <v>272</v>
      </c>
      <c r="B5548" s="5" t="s">
        <v>277</v>
      </c>
      <c r="C5548" s="5" t="s">
        <v>278</v>
      </c>
      <c r="D5548" s="4" t="s">
        <v>16</v>
      </c>
      <c r="E5548" s="4" t="s">
        <v>2193</v>
      </c>
      <c r="F5548" s="4" t="s">
        <v>470</v>
      </c>
      <c r="G5548" s="4" t="s">
        <v>2194</v>
      </c>
      <c r="H5548" s="12" t="n">
        <v>1</v>
      </c>
      <c r="I5548" s="4" t="s">
        <v>474</v>
      </c>
      <c r="J5548" s="4" t="s">
        <v>409</v>
      </c>
      <c r="K5548" s="13" t="n">
        <v>18000</v>
      </c>
      <c r="L5548" s="6" t="n">
        <f aca="false">H5548*K5548</f>
        <v>18000</v>
      </c>
      <c r="M5548" s="4" t="s">
        <v>371</v>
      </c>
    </row>
    <row r="5549" customFormat="false" ht="15" hidden="false" customHeight="false" outlineLevel="0" collapsed="false">
      <c r="A5549" s="4" t="s">
        <v>272</v>
      </c>
      <c r="B5549" s="5" t="s">
        <v>277</v>
      </c>
      <c r="C5549" s="5" t="s">
        <v>278</v>
      </c>
      <c r="D5549" s="4" t="s">
        <v>16</v>
      </c>
      <c r="E5549" s="4" t="s">
        <v>2195</v>
      </c>
      <c r="F5549" s="4" t="s">
        <v>470</v>
      </c>
      <c r="G5549" s="4" t="s">
        <v>2196</v>
      </c>
      <c r="H5549" s="12" t="n">
        <v>1</v>
      </c>
      <c r="I5549" s="4" t="s">
        <v>474</v>
      </c>
      <c r="J5549" s="4" t="s">
        <v>409</v>
      </c>
      <c r="K5549" s="13" t="n">
        <v>6500</v>
      </c>
      <c r="L5549" s="6" t="n">
        <f aca="false">H5549*K5549</f>
        <v>6500</v>
      </c>
      <c r="M5549" s="4" t="s">
        <v>371</v>
      </c>
    </row>
    <row r="5550" customFormat="false" ht="15" hidden="false" customHeight="false" outlineLevel="0" collapsed="false">
      <c r="A5550" s="4" t="s">
        <v>272</v>
      </c>
      <c r="B5550" s="5" t="s">
        <v>277</v>
      </c>
      <c r="C5550" s="5" t="s">
        <v>278</v>
      </c>
      <c r="D5550" s="4" t="s">
        <v>16</v>
      </c>
      <c r="E5550" s="4" t="s">
        <v>2197</v>
      </c>
      <c r="F5550" s="4" t="s">
        <v>470</v>
      </c>
      <c r="G5550" s="4" t="s">
        <v>2198</v>
      </c>
      <c r="H5550" s="12" t="n">
        <v>1</v>
      </c>
      <c r="I5550" s="4" t="s">
        <v>474</v>
      </c>
      <c r="J5550" s="4" t="s">
        <v>409</v>
      </c>
      <c r="K5550" s="13" t="n">
        <v>18000</v>
      </c>
      <c r="L5550" s="6" t="n">
        <f aca="false">H5550*K5550</f>
        <v>18000</v>
      </c>
      <c r="M5550" s="4" t="s">
        <v>371</v>
      </c>
    </row>
    <row r="5551" customFormat="false" ht="15" hidden="false" customHeight="false" outlineLevel="0" collapsed="false">
      <c r="A5551" s="4" t="s">
        <v>272</v>
      </c>
      <c r="B5551" s="5" t="s">
        <v>277</v>
      </c>
      <c r="C5551" s="5" t="s">
        <v>278</v>
      </c>
      <c r="D5551" s="4" t="s">
        <v>16</v>
      </c>
      <c r="E5551" s="4" t="s">
        <v>2199</v>
      </c>
      <c r="F5551" s="4" t="s">
        <v>470</v>
      </c>
      <c r="G5551" s="4" t="s">
        <v>2200</v>
      </c>
      <c r="H5551" s="12" t="n">
        <v>1</v>
      </c>
      <c r="I5551" s="4" t="s">
        <v>474</v>
      </c>
      <c r="J5551" s="4" t="s">
        <v>409</v>
      </c>
      <c r="K5551" s="13" t="n">
        <v>8500</v>
      </c>
      <c r="L5551" s="6" t="n">
        <f aca="false">H5551*K5551</f>
        <v>8500</v>
      </c>
      <c r="M5551" s="4" t="s">
        <v>371</v>
      </c>
    </row>
    <row r="5552" customFormat="false" ht="15" hidden="false" customHeight="false" outlineLevel="0" collapsed="false">
      <c r="A5552" s="4" t="s">
        <v>272</v>
      </c>
      <c r="B5552" s="5" t="s">
        <v>277</v>
      </c>
      <c r="C5552" s="5" t="s">
        <v>278</v>
      </c>
      <c r="D5552" s="4" t="s">
        <v>16</v>
      </c>
      <c r="E5552" s="4" t="s">
        <v>1453</v>
      </c>
      <c r="F5552" s="4" t="s">
        <v>470</v>
      </c>
      <c r="G5552" s="4" t="s">
        <v>1090</v>
      </c>
      <c r="H5552" s="12" t="n">
        <v>1</v>
      </c>
      <c r="I5552" s="4" t="s">
        <v>408</v>
      </c>
      <c r="J5552" s="4" t="s">
        <v>409</v>
      </c>
      <c r="K5552" s="13" t="n">
        <v>3500</v>
      </c>
      <c r="L5552" s="6" t="n">
        <f aca="false">H5552*K5552</f>
        <v>3500</v>
      </c>
      <c r="M5552" s="4" t="s">
        <v>371</v>
      </c>
    </row>
    <row r="5553" customFormat="false" ht="15" hidden="false" customHeight="false" outlineLevel="0" collapsed="false">
      <c r="A5553" s="4" t="s">
        <v>272</v>
      </c>
      <c r="B5553" s="5" t="s">
        <v>277</v>
      </c>
      <c r="C5553" s="5" t="s">
        <v>278</v>
      </c>
      <c r="D5553" s="4" t="s">
        <v>16</v>
      </c>
      <c r="E5553" s="4" t="s">
        <v>6204</v>
      </c>
      <c r="F5553" s="4" t="s">
        <v>470</v>
      </c>
      <c r="G5553" s="4" t="s">
        <v>1452</v>
      </c>
      <c r="H5553" s="12" t="n">
        <v>1</v>
      </c>
      <c r="I5553" s="4" t="s">
        <v>408</v>
      </c>
      <c r="J5553" s="4" t="s">
        <v>413</v>
      </c>
      <c r="K5553" s="13" t="n">
        <v>450</v>
      </c>
      <c r="L5553" s="6" t="n">
        <f aca="false">H5553*K5553</f>
        <v>450</v>
      </c>
      <c r="M5553" s="4" t="s">
        <v>371</v>
      </c>
    </row>
    <row r="5554" customFormat="false" ht="15" hidden="false" customHeight="false" outlineLevel="0" collapsed="false">
      <c r="A5554" s="4" t="s">
        <v>272</v>
      </c>
      <c r="B5554" s="5" t="s">
        <v>277</v>
      </c>
      <c r="C5554" s="5" t="s">
        <v>278</v>
      </c>
      <c r="D5554" s="4" t="s">
        <v>16</v>
      </c>
      <c r="E5554" s="4" t="s">
        <v>6061</v>
      </c>
      <c r="F5554" s="4" t="s">
        <v>470</v>
      </c>
      <c r="G5554" s="4" t="s">
        <v>1424</v>
      </c>
      <c r="H5554" s="12" t="n">
        <v>1</v>
      </c>
      <c r="I5554" s="4" t="s">
        <v>408</v>
      </c>
      <c r="J5554" s="4" t="s">
        <v>409</v>
      </c>
      <c r="K5554" s="13" t="n">
        <v>3500</v>
      </c>
      <c r="L5554" s="6" t="n">
        <f aca="false">H5554*K5554</f>
        <v>3500</v>
      </c>
      <c r="M5554" s="4" t="s">
        <v>371</v>
      </c>
    </row>
    <row r="5555" customFormat="false" ht="15" hidden="false" customHeight="false" outlineLevel="0" collapsed="false">
      <c r="A5555" s="4" t="s">
        <v>272</v>
      </c>
      <c r="B5555" s="5" t="s">
        <v>277</v>
      </c>
      <c r="C5555" s="5" t="s">
        <v>278</v>
      </c>
      <c r="D5555" s="4" t="s">
        <v>16</v>
      </c>
      <c r="E5555" s="4" t="s">
        <v>6205</v>
      </c>
      <c r="F5555" s="4" t="s">
        <v>470</v>
      </c>
      <c r="G5555" s="4" t="s">
        <v>6206</v>
      </c>
      <c r="H5555" s="12" t="n">
        <v>1</v>
      </c>
      <c r="I5555" s="4" t="s">
        <v>408</v>
      </c>
      <c r="J5555" s="4" t="s">
        <v>416</v>
      </c>
      <c r="K5555" s="13" t="n">
        <v>2500</v>
      </c>
      <c r="L5555" s="6" t="n">
        <f aca="false">H5555*K5555</f>
        <v>2500</v>
      </c>
      <c r="M5555" s="4" t="s">
        <v>371</v>
      </c>
    </row>
    <row r="5556" customFormat="false" ht="15" hidden="false" customHeight="false" outlineLevel="0" collapsed="false">
      <c r="A5556" s="4" t="s">
        <v>272</v>
      </c>
      <c r="B5556" s="5" t="s">
        <v>277</v>
      </c>
      <c r="C5556" s="5" t="s">
        <v>278</v>
      </c>
      <c r="D5556" s="4" t="s">
        <v>16</v>
      </c>
      <c r="E5556" s="4" t="s">
        <v>6207</v>
      </c>
      <c r="F5556" s="4" t="s">
        <v>470</v>
      </c>
      <c r="G5556" s="4" t="s">
        <v>6208</v>
      </c>
      <c r="H5556" s="12" t="n">
        <v>1</v>
      </c>
      <c r="I5556" s="4" t="s">
        <v>408</v>
      </c>
      <c r="J5556" s="4" t="s">
        <v>416</v>
      </c>
      <c r="K5556" s="13" t="n">
        <v>850</v>
      </c>
      <c r="L5556" s="6" t="n">
        <f aca="false">H5556*K5556</f>
        <v>850</v>
      </c>
      <c r="M5556" s="4" t="s">
        <v>371</v>
      </c>
    </row>
    <row r="5557" customFormat="false" ht="15" hidden="false" customHeight="false" outlineLevel="0" collapsed="false">
      <c r="A5557" s="4" t="s">
        <v>272</v>
      </c>
      <c r="B5557" s="5" t="s">
        <v>277</v>
      </c>
      <c r="C5557" s="5" t="s">
        <v>278</v>
      </c>
      <c r="D5557" s="4" t="s">
        <v>16</v>
      </c>
      <c r="E5557" s="4" t="s">
        <v>1723</v>
      </c>
      <c r="F5557" s="4" t="s">
        <v>488</v>
      </c>
      <c r="G5557" s="4" t="s">
        <v>1724</v>
      </c>
      <c r="H5557" s="12" t="n">
        <v>1</v>
      </c>
      <c r="I5557" s="4" t="s">
        <v>408</v>
      </c>
      <c r="J5557" s="4" t="s">
        <v>409</v>
      </c>
      <c r="K5557" s="13" t="n">
        <v>25</v>
      </c>
      <c r="L5557" s="6" t="n">
        <f aca="false">H5557*K5557</f>
        <v>25</v>
      </c>
      <c r="M5557" s="4" t="s">
        <v>371</v>
      </c>
    </row>
    <row r="5558" customFormat="false" ht="15" hidden="false" customHeight="false" outlineLevel="0" collapsed="false">
      <c r="A5558" s="4" t="s">
        <v>272</v>
      </c>
      <c r="B5558" s="5" t="s">
        <v>281</v>
      </c>
      <c r="C5558" s="5" t="s">
        <v>282</v>
      </c>
      <c r="D5558" s="4" t="s">
        <v>16</v>
      </c>
      <c r="E5558" s="4" t="s">
        <v>3248</v>
      </c>
      <c r="F5558" s="4" t="s">
        <v>406</v>
      </c>
      <c r="G5558" s="4" t="s">
        <v>3249</v>
      </c>
      <c r="H5558" s="12" t="n">
        <v>1</v>
      </c>
      <c r="I5558" s="4" t="s">
        <v>408</v>
      </c>
      <c r="J5558" s="4" t="s">
        <v>416</v>
      </c>
      <c r="K5558" s="13" t="n">
        <v>350</v>
      </c>
      <c r="L5558" s="6" t="n">
        <f aca="false">H5558*K5558</f>
        <v>350</v>
      </c>
      <c r="M5558" s="14" t="s">
        <v>410</v>
      </c>
    </row>
    <row r="5559" customFormat="false" ht="15" hidden="false" customHeight="false" outlineLevel="0" collapsed="false">
      <c r="A5559" s="4" t="s">
        <v>272</v>
      </c>
      <c r="B5559" s="5" t="s">
        <v>281</v>
      </c>
      <c r="C5559" s="5" t="s">
        <v>282</v>
      </c>
      <c r="D5559" s="4" t="s">
        <v>16</v>
      </c>
      <c r="E5559" s="4" t="s">
        <v>3839</v>
      </c>
      <c r="F5559" s="4" t="s">
        <v>470</v>
      </c>
      <c r="G5559" s="4" t="s">
        <v>1061</v>
      </c>
      <c r="H5559" s="12" t="n">
        <v>1</v>
      </c>
      <c r="I5559" s="4" t="s">
        <v>408</v>
      </c>
      <c r="J5559" s="4" t="s">
        <v>409</v>
      </c>
      <c r="K5559" s="13" t="n">
        <v>45000</v>
      </c>
      <c r="L5559" s="6" t="n">
        <f aca="false">H5559*K5559</f>
        <v>45000</v>
      </c>
      <c r="M5559" s="14" t="s">
        <v>410</v>
      </c>
    </row>
    <row r="5560" customFormat="false" ht="15" hidden="false" customHeight="false" outlineLevel="0" collapsed="false">
      <c r="A5560" s="4" t="s">
        <v>272</v>
      </c>
      <c r="B5560" s="5" t="s">
        <v>281</v>
      </c>
      <c r="C5560" s="5" t="s">
        <v>282</v>
      </c>
      <c r="D5560" s="4" t="s">
        <v>16</v>
      </c>
      <c r="E5560" s="4" t="s">
        <v>1616</v>
      </c>
      <c r="F5560" s="4" t="s">
        <v>470</v>
      </c>
      <c r="G5560" s="4" t="s">
        <v>1617</v>
      </c>
      <c r="H5560" s="12" t="n">
        <v>1</v>
      </c>
      <c r="I5560" s="4" t="s">
        <v>408</v>
      </c>
      <c r="J5560" s="4" t="s">
        <v>409</v>
      </c>
      <c r="K5560" s="13" t="n">
        <v>12000</v>
      </c>
      <c r="L5560" s="6" t="n">
        <f aca="false">H5560*K5560</f>
        <v>12000</v>
      </c>
      <c r="M5560" s="14" t="s">
        <v>410</v>
      </c>
    </row>
    <row r="5561" customFormat="false" ht="15" hidden="false" customHeight="false" outlineLevel="0" collapsed="false">
      <c r="A5561" s="4" t="s">
        <v>272</v>
      </c>
      <c r="B5561" s="5" t="s">
        <v>281</v>
      </c>
      <c r="C5561" s="5" t="s">
        <v>282</v>
      </c>
      <c r="D5561" s="4" t="s">
        <v>16</v>
      </c>
      <c r="E5561" s="4" t="s">
        <v>1253</v>
      </c>
      <c r="F5561" s="4" t="s">
        <v>470</v>
      </c>
      <c r="G5561" s="4" t="s">
        <v>1254</v>
      </c>
      <c r="H5561" s="12" t="n">
        <v>1</v>
      </c>
      <c r="I5561" s="4" t="s">
        <v>408</v>
      </c>
      <c r="J5561" s="4" t="s">
        <v>409</v>
      </c>
      <c r="K5561" s="13" t="n">
        <v>8500</v>
      </c>
      <c r="L5561" s="6" t="n">
        <f aca="false">H5561*K5561</f>
        <v>8500</v>
      </c>
      <c r="M5561" s="14" t="s">
        <v>410</v>
      </c>
    </row>
    <row r="5562" customFormat="false" ht="15" hidden="false" customHeight="false" outlineLevel="0" collapsed="false">
      <c r="A5562" s="4" t="s">
        <v>272</v>
      </c>
      <c r="B5562" s="5" t="s">
        <v>281</v>
      </c>
      <c r="C5562" s="5" t="s">
        <v>282</v>
      </c>
      <c r="D5562" s="4" t="s">
        <v>16</v>
      </c>
      <c r="E5562" s="4" t="s">
        <v>6209</v>
      </c>
      <c r="F5562" s="4" t="s">
        <v>470</v>
      </c>
      <c r="G5562" s="4" t="s">
        <v>6210</v>
      </c>
      <c r="H5562" s="12" t="n">
        <v>1</v>
      </c>
      <c r="I5562" s="4" t="s">
        <v>408</v>
      </c>
      <c r="J5562" s="4" t="s">
        <v>416</v>
      </c>
      <c r="K5562" s="13" t="n">
        <v>25000</v>
      </c>
      <c r="L5562" s="6" t="n">
        <f aca="false">H5562*K5562</f>
        <v>25000</v>
      </c>
      <c r="M5562" s="4" t="s">
        <v>371</v>
      </c>
    </row>
    <row r="5563" customFormat="false" ht="15" hidden="false" customHeight="false" outlineLevel="0" collapsed="false">
      <c r="A5563" s="4" t="s">
        <v>272</v>
      </c>
      <c r="B5563" s="5" t="s">
        <v>281</v>
      </c>
      <c r="C5563" s="5" t="s">
        <v>282</v>
      </c>
      <c r="D5563" s="4" t="s">
        <v>16</v>
      </c>
      <c r="E5563" s="4" t="s">
        <v>6211</v>
      </c>
      <c r="F5563" s="4" t="s">
        <v>470</v>
      </c>
      <c r="G5563" s="4" t="s">
        <v>3919</v>
      </c>
      <c r="H5563" s="12" t="n">
        <v>1</v>
      </c>
      <c r="I5563" s="4" t="s">
        <v>408</v>
      </c>
      <c r="J5563" s="4" t="s">
        <v>543</v>
      </c>
      <c r="K5563" s="13" t="n">
        <v>12000</v>
      </c>
      <c r="L5563" s="6" t="n">
        <f aca="false">H5563*K5563</f>
        <v>12000</v>
      </c>
      <c r="M5563" s="4" t="s">
        <v>371</v>
      </c>
    </row>
    <row r="5564" customFormat="false" ht="15" hidden="false" customHeight="false" outlineLevel="0" collapsed="false">
      <c r="A5564" s="4" t="s">
        <v>272</v>
      </c>
      <c r="B5564" s="5" t="s">
        <v>281</v>
      </c>
      <c r="C5564" s="5" t="s">
        <v>282</v>
      </c>
      <c r="D5564" s="4" t="s">
        <v>16</v>
      </c>
      <c r="E5564" s="4" t="s">
        <v>1648</v>
      </c>
      <c r="F5564" s="4" t="s">
        <v>470</v>
      </c>
      <c r="G5564" s="4" t="s">
        <v>1424</v>
      </c>
      <c r="H5564" s="12" t="n">
        <v>1</v>
      </c>
      <c r="I5564" s="4" t="s">
        <v>408</v>
      </c>
      <c r="J5564" s="4" t="s">
        <v>409</v>
      </c>
      <c r="K5564" s="13" t="n">
        <v>3500</v>
      </c>
      <c r="L5564" s="6" t="n">
        <f aca="false">H5564*K5564</f>
        <v>3500</v>
      </c>
      <c r="M5564" s="4" t="s">
        <v>371</v>
      </c>
    </row>
    <row r="5565" customFormat="false" ht="15" hidden="false" customHeight="false" outlineLevel="0" collapsed="false">
      <c r="A5565" s="4" t="s">
        <v>272</v>
      </c>
      <c r="B5565" s="5" t="s">
        <v>281</v>
      </c>
      <c r="C5565" s="5" t="s">
        <v>282</v>
      </c>
      <c r="D5565" s="4" t="s">
        <v>16</v>
      </c>
      <c r="E5565" s="4" t="s">
        <v>6212</v>
      </c>
      <c r="F5565" s="4" t="s">
        <v>470</v>
      </c>
      <c r="G5565" s="4" t="s">
        <v>6213</v>
      </c>
      <c r="H5565" s="12" t="n">
        <v>1</v>
      </c>
      <c r="I5565" s="4" t="s">
        <v>408</v>
      </c>
      <c r="J5565" s="4" t="s">
        <v>416</v>
      </c>
      <c r="K5565" s="13" t="n">
        <v>850</v>
      </c>
      <c r="L5565" s="6" t="n">
        <f aca="false">H5565*K5565</f>
        <v>850</v>
      </c>
      <c r="M5565" s="4" t="s">
        <v>371</v>
      </c>
    </row>
    <row r="5566" customFormat="false" ht="15" hidden="false" customHeight="false" outlineLevel="0" collapsed="false">
      <c r="A5566" s="4" t="s">
        <v>272</v>
      </c>
      <c r="B5566" s="5" t="s">
        <v>281</v>
      </c>
      <c r="C5566" s="5" t="s">
        <v>282</v>
      </c>
      <c r="D5566" s="4" t="s">
        <v>16</v>
      </c>
      <c r="E5566" s="4" t="s">
        <v>6214</v>
      </c>
      <c r="F5566" s="4" t="s">
        <v>488</v>
      </c>
      <c r="G5566" s="4" t="s">
        <v>6215</v>
      </c>
      <c r="H5566" s="12" t="n">
        <v>1</v>
      </c>
      <c r="I5566" s="4" t="s">
        <v>408</v>
      </c>
      <c r="J5566" s="4" t="s">
        <v>796</v>
      </c>
      <c r="K5566" s="13" t="n">
        <v>20</v>
      </c>
      <c r="L5566" s="6" t="n">
        <f aca="false">H5566*K5566</f>
        <v>20</v>
      </c>
      <c r="M5566" s="4" t="s">
        <v>371</v>
      </c>
    </row>
    <row r="5567" customFormat="false" ht="15" hidden="false" customHeight="false" outlineLevel="0" collapsed="false">
      <c r="A5567" s="4" t="s">
        <v>272</v>
      </c>
      <c r="B5567" s="5" t="s">
        <v>281</v>
      </c>
      <c r="C5567" s="5" t="s">
        <v>282</v>
      </c>
      <c r="D5567" s="4" t="s">
        <v>16</v>
      </c>
      <c r="E5567" s="4" t="s">
        <v>3660</v>
      </c>
      <c r="F5567" s="4" t="s">
        <v>488</v>
      </c>
      <c r="G5567" s="4" t="s">
        <v>3661</v>
      </c>
      <c r="H5567" s="12" t="n">
        <v>1</v>
      </c>
      <c r="I5567" s="4" t="s">
        <v>408</v>
      </c>
      <c r="J5567" s="4" t="s">
        <v>416</v>
      </c>
      <c r="K5567" s="13" t="n">
        <v>120</v>
      </c>
      <c r="L5567" s="6" t="n">
        <f aca="false">H5567*K5567</f>
        <v>120</v>
      </c>
      <c r="M5567" s="4" t="s">
        <v>371</v>
      </c>
    </row>
    <row r="5568" customFormat="false" ht="15" hidden="false" customHeight="false" outlineLevel="0" collapsed="false">
      <c r="A5568" s="4" t="s">
        <v>272</v>
      </c>
      <c r="B5568" s="5" t="s">
        <v>281</v>
      </c>
      <c r="C5568" s="5" t="s">
        <v>282</v>
      </c>
      <c r="D5568" s="4" t="s">
        <v>16</v>
      </c>
      <c r="E5568" s="4" t="s">
        <v>6216</v>
      </c>
      <c r="F5568" s="4" t="s">
        <v>488</v>
      </c>
      <c r="G5568" s="4" t="s">
        <v>6217</v>
      </c>
      <c r="H5568" s="12" t="n">
        <v>1</v>
      </c>
      <c r="I5568" s="4" t="s">
        <v>408</v>
      </c>
      <c r="J5568" s="4" t="s">
        <v>409</v>
      </c>
      <c r="K5568" s="13" t="n">
        <v>35</v>
      </c>
      <c r="L5568" s="6" t="n">
        <f aca="false">H5568*K5568</f>
        <v>35</v>
      </c>
      <c r="M5568" s="4" t="s">
        <v>371</v>
      </c>
    </row>
    <row r="5569" customFormat="false" ht="15" hidden="false" customHeight="false" outlineLevel="0" collapsed="false">
      <c r="A5569" s="4" t="s">
        <v>272</v>
      </c>
      <c r="B5569" s="5" t="s">
        <v>281</v>
      </c>
      <c r="C5569" s="5" t="s">
        <v>282</v>
      </c>
      <c r="D5569" s="4" t="s">
        <v>16</v>
      </c>
      <c r="E5569" s="4" t="s">
        <v>6154</v>
      </c>
      <c r="F5569" s="4" t="s">
        <v>488</v>
      </c>
      <c r="G5569" s="4" t="s">
        <v>6155</v>
      </c>
      <c r="H5569" s="12" t="n">
        <v>1</v>
      </c>
      <c r="I5569" s="4" t="s">
        <v>408</v>
      </c>
      <c r="J5569" s="4" t="s">
        <v>416</v>
      </c>
      <c r="K5569" s="13" t="n">
        <v>450</v>
      </c>
      <c r="L5569" s="6" t="n">
        <f aca="false">H5569*K5569</f>
        <v>450</v>
      </c>
      <c r="M5569" s="4" t="s">
        <v>371</v>
      </c>
    </row>
    <row r="5570" customFormat="false" ht="15" hidden="false" customHeight="false" outlineLevel="0" collapsed="false">
      <c r="A5570" s="4" t="s">
        <v>272</v>
      </c>
      <c r="B5570" s="5" t="s">
        <v>281</v>
      </c>
      <c r="C5570" s="5" t="s">
        <v>282</v>
      </c>
      <c r="D5570" s="4" t="s">
        <v>16</v>
      </c>
      <c r="E5570" s="4" t="s">
        <v>6218</v>
      </c>
      <c r="F5570" s="4" t="s">
        <v>488</v>
      </c>
      <c r="G5570" s="4" t="s">
        <v>6219</v>
      </c>
      <c r="H5570" s="12" t="n">
        <v>1</v>
      </c>
      <c r="I5570" s="4" t="s">
        <v>408</v>
      </c>
      <c r="J5570" s="4" t="s">
        <v>506</v>
      </c>
      <c r="K5570" s="13" t="n">
        <v>120</v>
      </c>
      <c r="L5570" s="6" t="n">
        <f aca="false">H5570*K5570</f>
        <v>120</v>
      </c>
      <c r="M5570" s="4" t="s">
        <v>371</v>
      </c>
    </row>
    <row r="5571" customFormat="false" ht="15" hidden="false" customHeight="false" outlineLevel="0" collapsed="false">
      <c r="A5571" s="4" t="s">
        <v>272</v>
      </c>
      <c r="B5571" s="5" t="s">
        <v>281</v>
      </c>
      <c r="C5571" s="5" t="s">
        <v>282</v>
      </c>
      <c r="D5571" s="4" t="s">
        <v>16</v>
      </c>
      <c r="E5571" s="4" t="s">
        <v>6220</v>
      </c>
      <c r="F5571" s="4" t="s">
        <v>488</v>
      </c>
      <c r="G5571" s="4" t="s">
        <v>6221</v>
      </c>
      <c r="H5571" s="12" t="n">
        <v>1</v>
      </c>
      <c r="I5571" s="4" t="s">
        <v>408</v>
      </c>
      <c r="J5571" s="4" t="s">
        <v>409</v>
      </c>
      <c r="K5571" s="13" t="n">
        <v>15</v>
      </c>
      <c r="L5571" s="6" t="n">
        <f aca="false">H5571*K5571</f>
        <v>15</v>
      </c>
      <c r="M5571" s="4" t="s">
        <v>371</v>
      </c>
    </row>
    <row r="5572" customFormat="false" ht="15" hidden="false" customHeight="false" outlineLevel="0" collapsed="false">
      <c r="A5572" s="4" t="s">
        <v>272</v>
      </c>
      <c r="B5572" s="5" t="s">
        <v>281</v>
      </c>
      <c r="C5572" s="5" t="s">
        <v>282</v>
      </c>
      <c r="D5572" s="4" t="s">
        <v>16</v>
      </c>
      <c r="E5572" s="4" t="s">
        <v>6222</v>
      </c>
      <c r="F5572" s="4" t="s">
        <v>488</v>
      </c>
      <c r="G5572" s="4" t="s">
        <v>6223</v>
      </c>
      <c r="H5572" s="12" t="n">
        <v>1</v>
      </c>
      <c r="I5572" s="4" t="s">
        <v>408</v>
      </c>
      <c r="J5572" s="4" t="s">
        <v>506</v>
      </c>
      <c r="K5572" s="13" t="n">
        <v>250</v>
      </c>
      <c r="L5572" s="6" t="n">
        <f aca="false">H5572*K5572</f>
        <v>250</v>
      </c>
      <c r="M5572" s="4" t="s">
        <v>371</v>
      </c>
    </row>
    <row r="5573" customFormat="false" ht="15" hidden="false" customHeight="false" outlineLevel="0" collapsed="false">
      <c r="A5573" s="4" t="s">
        <v>272</v>
      </c>
      <c r="B5573" s="5" t="s">
        <v>281</v>
      </c>
      <c r="C5573" s="5" t="s">
        <v>282</v>
      </c>
      <c r="D5573" s="4" t="s">
        <v>16</v>
      </c>
      <c r="E5573" s="4" t="s">
        <v>5216</v>
      </c>
      <c r="F5573" s="4" t="s">
        <v>488</v>
      </c>
      <c r="G5573" s="4" t="s">
        <v>5217</v>
      </c>
      <c r="H5573" s="12" t="n">
        <v>1</v>
      </c>
      <c r="I5573" s="4" t="s">
        <v>408</v>
      </c>
      <c r="J5573" s="4" t="s">
        <v>416</v>
      </c>
      <c r="K5573" s="13" t="n">
        <v>650</v>
      </c>
      <c r="L5573" s="6" t="n">
        <f aca="false">H5573*K5573</f>
        <v>650</v>
      </c>
      <c r="M5573" s="4" t="s">
        <v>371</v>
      </c>
    </row>
    <row r="5574" customFormat="false" ht="15" hidden="false" customHeight="false" outlineLevel="0" collapsed="false">
      <c r="A5574" s="4" t="s">
        <v>272</v>
      </c>
      <c r="B5574" s="5" t="s">
        <v>281</v>
      </c>
      <c r="C5574" s="5" t="s">
        <v>282</v>
      </c>
      <c r="D5574" s="4" t="s">
        <v>16</v>
      </c>
      <c r="E5574" s="4" t="s">
        <v>6224</v>
      </c>
      <c r="F5574" s="4" t="s">
        <v>488</v>
      </c>
      <c r="G5574" s="4" t="s">
        <v>6225</v>
      </c>
      <c r="H5574" s="12" t="n">
        <v>1</v>
      </c>
      <c r="I5574" s="4" t="s">
        <v>408</v>
      </c>
      <c r="J5574" s="4" t="s">
        <v>416</v>
      </c>
      <c r="K5574" s="13" t="n">
        <v>350</v>
      </c>
      <c r="L5574" s="6" t="n">
        <f aca="false">H5574*K5574</f>
        <v>350</v>
      </c>
      <c r="M5574" s="4" t="s">
        <v>371</v>
      </c>
    </row>
    <row r="5575" customFormat="false" ht="15" hidden="false" customHeight="false" outlineLevel="0" collapsed="false">
      <c r="A5575" s="4" t="s">
        <v>327</v>
      </c>
      <c r="B5575" s="5" t="s">
        <v>330</v>
      </c>
      <c r="C5575" s="5" t="s">
        <v>331</v>
      </c>
      <c r="D5575" s="4" t="s">
        <v>16</v>
      </c>
      <c r="E5575" s="4" t="s">
        <v>6226</v>
      </c>
      <c r="F5575" s="4" t="s">
        <v>406</v>
      </c>
      <c r="G5575" s="4" t="s">
        <v>6227</v>
      </c>
      <c r="H5575" s="12" t="n">
        <v>1</v>
      </c>
      <c r="I5575" s="4" t="s">
        <v>408</v>
      </c>
      <c r="J5575" s="4" t="s">
        <v>409</v>
      </c>
      <c r="K5575" s="13" t="n">
        <v>2500</v>
      </c>
      <c r="L5575" s="6" t="n">
        <f aca="false">H5575*K5575</f>
        <v>2500</v>
      </c>
      <c r="M5575" s="4" t="s">
        <v>371</v>
      </c>
    </row>
    <row r="5576" customFormat="false" ht="15" hidden="false" customHeight="false" outlineLevel="0" collapsed="false">
      <c r="A5576" s="4" t="s">
        <v>327</v>
      </c>
      <c r="B5576" s="5" t="s">
        <v>330</v>
      </c>
      <c r="C5576" s="5" t="s">
        <v>331</v>
      </c>
      <c r="D5576" s="4" t="s">
        <v>16</v>
      </c>
      <c r="E5576" s="4" t="s">
        <v>6228</v>
      </c>
      <c r="F5576" s="4" t="s">
        <v>406</v>
      </c>
      <c r="G5576" s="4" t="s">
        <v>6229</v>
      </c>
      <c r="H5576" s="12" t="n">
        <v>1</v>
      </c>
      <c r="I5576" s="4" t="s">
        <v>408</v>
      </c>
      <c r="J5576" s="4" t="s">
        <v>409</v>
      </c>
      <c r="K5576" s="13" t="n">
        <v>8500</v>
      </c>
      <c r="L5576" s="6" t="n">
        <f aca="false">H5576*K5576</f>
        <v>8500</v>
      </c>
      <c r="M5576" s="14" t="s">
        <v>410</v>
      </c>
    </row>
    <row r="5577" customFormat="false" ht="15" hidden="false" customHeight="false" outlineLevel="0" collapsed="false">
      <c r="A5577" s="4" t="s">
        <v>327</v>
      </c>
      <c r="B5577" s="5" t="s">
        <v>330</v>
      </c>
      <c r="C5577" s="5" t="s">
        <v>331</v>
      </c>
      <c r="D5577" s="4" t="s">
        <v>16</v>
      </c>
      <c r="E5577" s="4" t="s">
        <v>6230</v>
      </c>
      <c r="F5577" s="4" t="s">
        <v>406</v>
      </c>
      <c r="G5577" s="4" t="s">
        <v>6231</v>
      </c>
      <c r="H5577" s="12" t="n">
        <v>1</v>
      </c>
      <c r="I5577" s="4" t="s">
        <v>408</v>
      </c>
      <c r="J5577" s="4" t="s">
        <v>409</v>
      </c>
      <c r="K5577" s="13" t="n">
        <v>1800</v>
      </c>
      <c r="L5577" s="6" t="n">
        <f aca="false">H5577*K5577</f>
        <v>1800</v>
      </c>
      <c r="M5577" s="14" t="s">
        <v>410</v>
      </c>
    </row>
    <row r="5578" customFormat="false" ht="15" hidden="false" customHeight="false" outlineLevel="0" collapsed="false">
      <c r="A5578" s="4" t="s">
        <v>327</v>
      </c>
      <c r="B5578" s="5" t="s">
        <v>330</v>
      </c>
      <c r="C5578" s="5" t="s">
        <v>331</v>
      </c>
      <c r="D5578" s="4" t="s">
        <v>16</v>
      </c>
      <c r="E5578" s="4" t="s">
        <v>467</v>
      </c>
      <c r="F5578" s="4" t="s">
        <v>406</v>
      </c>
      <c r="G5578" s="4" t="s">
        <v>468</v>
      </c>
      <c r="H5578" s="12" t="n">
        <v>1</v>
      </c>
      <c r="I5578" s="4" t="s">
        <v>408</v>
      </c>
      <c r="J5578" s="4" t="s">
        <v>409</v>
      </c>
      <c r="K5578" s="13" t="n">
        <v>250</v>
      </c>
      <c r="L5578" s="6" t="n">
        <f aca="false">H5578*K5578</f>
        <v>250</v>
      </c>
      <c r="M5578" s="14" t="s">
        <v>410</v>
      </c>
    </row>
    <row r="5579" customFormat="false" ht="15" hidden="false" customHeight="false" outlineLevel="0" collapsed="false">
      <c r="A5579" s="4" t="s">
        <v>327</v>
      </c>
      <c r="B5579" s="5" t="s">
        <v>330</v>
      </c>
      <c r="C5579" s="5" t="s">
        <v>331</v>
      </c>
      <c r="D5579" s="4" t="s">
        <v>16</v>
      </c>
      <c r="E5579" s="4" t="s">
        <v>6232</v>
      </c>
      <c r="F5579" s="4" t="s">
        <v>406</v>
      </c>
      <c r="G5579" s="4" t="s">
        <v>6233</v>
      </c>
      <c r="H5579" s="12" t="n">
        <v>1</v>
      </c>
      <c r="I5579" s="4" t="s">
        <v>408</v>
      </c>
      <c r="J5579" s="4" t="s">
        <v>409</v>
      </c>
      <c r="K5579" s="13" t="n">
        <v>180000</v>
      </c>
      <c r="L5579" s="6" t="n">
        <f aca="false">H5579*K5579</f>
        <v>180000</v>
      </c>
      <c r="M5579" s="14" t="s">
        <v>410</v>
      </c>
    </row>
    <row r="5580" customFormat="false" ht="15" hidden="false" customHeight="false" outlineLevel="0" collapsed="false">
      <c r="A5580" s="4" t="s">
        <v>327</v>
      </c>
      <c r="B5580" s="5" t="s">
        <v>330</v>
      </c>
      <c r="C5580" s="5" t="s">
        <v>331</v>
      </c>
      <c r="D5580" s="4" t="s">
        <v>16</v>
      </c>
      <c r="E5580" s="4" t="s">
        <v>6234</v>
      </c>
      <c r="F5580" s="4" t="s">
        <v>470</v>
      </c>
      <c r="G5580" s="4" t="s">
        <v>6235</v>
      </c>
      <c r="H5580" s="12" t="n">
        <v>1</v>
      </c>
      <c r="I5580" s="4" t="s">
        <v>408</v>
      </c>
      <c r="J5580" s="4" t="s">
        <v>409</v>
      </c>
      <c r="K5580" s="13" t="n">
        <v>45000</v>
      </c>
      <c r="L5580" s="6" t="n">
        <f aca="false">H5580*K5580</f>
        <v>45000</v>
      </c>
      <c r="M5580" s="4" t="s">
        <v>371</v>
      </c>
    </row>
    <row r="5581" customFormat="false" ht="15" hidden="false" customHeight="false" outlineLevel="0" collapsed="false">
      <c r="A5581" s="4" t="s">
        <v>327</v>
      </c>
      <c r="B5581" s="5" t="s">
        <v>330</v>
      </c>
      <c r="C5581" s="5" t="s">
        <v>331</v>
      </c>
      <c r="D5581" s="4" t="s">
        <v>16</v>
      </c>
      <c r="E5581" s="4" t="s">
        <v>2639</v>
      </c>
      <c r="F5581" s="4" t="s">
        <v>470</v>
      </c>
      <c r="G5581" s="4" t="s">
        <v>2640</v>
      </c>
      <c r="H5581" s="12" t="n">
        <v>1</v>
      </c>
      <c r="I5581" s="4" t="s">
        <v>408</v>
      </c>
      <c r="J5581" s="4" t="s">
        <v>409</v>
      </c>
      <c r="K5581" s="13" t="n">
        <v>3500</v>
      </c>
      <c r="L5581" s="6" t="n">
        <f aca="false">H5581*K5581</f>
        <v>3500</v>
      </c>
      <c r="M5581" s="14" t="s">
        <v>410</v>
      </c>
    </row>
    <row r="5582" customFormat="false" ht="15" hidden="false" customHeight="false" outlineLevel="0" collapsed="false">
      <c r="A5582" s="4" t="s">
        <v>327</v>
      </c>
      <c r="B5582" s="5" t="s">
        <v>330</v>
      </c>
      <c r="C5582" s="5" t="s">
        <v>331</v>
      </c>
      <c r="D5582" s="4" t="s">
        <v>16</v>
      </c>
      <c r="E5582" s="4" t="s">
        <v>6236</v>
      </c>
      <c r="F5582" s="4" t="s">
        <v>470</v>
      </c>
      <c r="G5582" s="4" t="s">
        <v>6237</v>
      </c>
      <c r="H5582" s="12" t="n">
        <v>1</v>
      </c>
      <c r="I5582" s="4" t="s">
        <v>408</v>
      </c>
      <c r="J5582" s="4" t="s">
        <v>543</v>
      </c>
      <c r="K5582" s="13" t="n">
        <v>18000</v>
      </c>
      <c r="L5582" s="6" t="n">
        <f aca="false">H5582*K5582</f>
        <v>18000</v>
      </c>
      <c r="M5582" s="4" t="s">
        <v>371</v>
      </c>
    </row>
    <row r="5583" customFormat="false" ht="15" hidden="false" customHeight="false" outlineLevel="0" collapsed="false">
      <c r="A5583" s="4" t="s">
        <v>327</v>
      </c>
      <c r="B5583" s="5" t="s">
        <v>330</v>
      </c>
      <c r="C5583" s="5" t="s">
        <v>331</v>
      </c>
      <c r="D5583" s="4" t="s">
        <v>16</v>
      </c>
      <c r="E5583" s="4" t="s">
        <v>6238</v>
      </c>
      <c r="F5583" s="4" t="s">
        <v>470</v>
      </c>
      <c r="G5583" s="4" t="s">
        <v>6239</v>
      </c>
      <c r="H5583" s="12" t="n">
        <v>1</v>
      </c>
      <c r="I5583" s="4" t="s">
        <v>408</v>
      </c>
      <c r="J5583" s="4" t="s">
        <v>543</v>
      </c>
      <c r="K5583" s="13" t="n">
        <v>5000</v>
      </c>
      <c r="L5583" s="6" t="n">
        <f aca="false">H5583*K5583</f>
        <v>5000</v>
      </c>
      <c r="M5583" s="4" t="s">
        <v>371</v>
      </c>
    </row>
    <row r="5584" customFormat="false" ht="15" hidden="false" customHeight="false" outlineLevel="0" collapsed="false">
      <c r="A5584" s="4" t="s">
        <v>327</v>
      </c>
      <c r="B5584" s="5" t="s">
        <v>330</v>
      </c>
      <c r="C5584" s="5" t="s">
        <v>331</v>
      </c>
      <c r="D5584" s="4" t="s">
        <v>16</v>
      </c>
      <c r="E5584" s="4" t="s">
        <v>6240</v>
      </c>
      <c r="F5584" s="4" t="s">
        <v>470</v>
      </c>
      <c r="G5584" s="4" t="s">
        <v>6241</v>
      </c>
      <c r="H5584" s="12" t="n">
        <v>1</v>
      </c>
      <c r="I5584" s="4" t="s">
        <v>408</v>
      </c>
      <c r="J5584" s="4" t="s">
        <v>543</v>
      </c>
      <c r="K5584" s="13" t="n">
        <v>5000</v>
      </c>
      <c r="L5584" s="6" t="n">
        <f aca="false">H5584*K5584</f>
        <v>5000</v>
      </c>
      <c r="M5584" s="4" t="s">
        <v>371</v>
      </c>
    </row>
    <row r="5585" customFormat="false" ht="15" hidden="false" customHeight="false" outlineLevel="0" collapsed="false">
      <c r="A5585" s="4" t="s">
        <v>283</v>
      </c>
      <c r="B5585" s="5" t="s">
        <v>284</v>
      </c>
      <c r="C5585" s="5" t="s">
        <v>285</v>
      </c>
      <c r="D5585" s="4" t="s">
        <v>16</v>
      </c>
      <c r="E5585" s="4" t="s">
        <v>2225</v>
      </c>
      <c r="F5585" s="4" t="s">
        <v>406</v>
      </c>
      <c r="G5585" s="4" t="s">
        <v>2226</v>
      </c>
      <c r="H5585" s="12" t="n">
        <v>1</v>
      </c>
      <c r="I5585" s="4" t="s">
        <v>408</v>
      </c>
      <c r="J5585" s="4" t="s">
        <v>409</v>
      </c>
      <c r="K5585" s="13" t="n">
        <v>350</v>
      </c>
      <c r="L5585" s="6" t="n">
        <f aca="false">H5585*K5585</f>
        <v>350</v>
      </c>
      <c r="M5585" s="14" t="s">
        <v>410</v>
      </c>
    </row>
    <row r="5586" customFormat="false" ht="15" hidden="false" customHeight="false" outlineLevel="0" collapsed="false">
      <c r="A5586" s="4" t="s">
        <v>283</v>
      </c>
      <c r="B5586" s="5" t="s">
        <v>284</v>
      </c>
      <c r="C5586" s="5" t="s">
        <v>285</v>
      </c>
      <c r="D5586" s="4" t="s">
        <v>16</v>
      </c>
      <c r="E5586" s="4" t="s">
        <v>2257</v>
      </c>
      <c r="F5586" s="4" t="s">
        <v>406</v>
      </c>
      <c r="G5586" s="4" t="s">
        <v>2258</v>
      </c>
      <c r="H5586" s="12" t="n">
        <v>1</v>
      </c>
      <c r="I5586" s="4" t="s">
        <v>408</v>
      </c>
      <c r="J5586" s="4" t="s">
        <v>409</v>
      </c>
      <c r="K5586" s="13" t="n">
        <v>6500</v>
      </c>
      <c r="L5586" s="6" t="n">
        <f aca="false">H5586*K5586</f>
        <v>6500</v>
      </c>
      <c r="M5586" s="14" t="s">
        <v>410</v>
      </c>
    </row>
    <row r="5587" customFormat="false" ht="15" hidden="false" customHeight="false" outlineLevel="0" collapsed="false">
      <c r="A5587" s="4" t="s">
        <v>283</v>
      </c>
      <c r="B5587" s="5" t="s">
        <v>284</v>
      </c>
      <c r="C5587" s="5" t="s">
        <v>285</v>
      </c>
      <c r="D5587" s="4" t="s">
        <v>16</v>
      </c>
      <c r="E5587" s="4" t="s">
        <v>2259</v>
      </c>
      <c r="F5587" s="4" t="s">
        <v>406</v>
      </c>
      <c r="G5587" s="4" t="s">
        <v>2260</v>
      </c>
      <c r="H5587" s="12" t="n">
        <v>1</v>
      </c>
      <c r="I5587" s="4" t="s">
        <v>408</v>
      </c>
      <c r="J5587" s="4" t="s">
        <v>409</v>
      </c>
      <c r="K5587" s="13" t="n">
        <v>85000</v>
      </c>
      <c r="L5587" s="6" t="n">
        <f aca="false">H5587*K5587</f>
        <v>85000</v>
      </c>
      <c r="M5587" s="14" t="s">
        <v>410</v>
      </c>
    </row>
    <row r="5588" customFormat="false" ht="15" hidden="false" customHeight="false" outlineLevel="0" collapsed="false">
      <c r="A5588" s="4" t="s">
        <v>283</v>
      </c>
      <c r="B5588" s="5" t="s">
        <v>284</v>
      </c>
      <c r="C5588" s="5" t="s">
        <v>285</v>
      </c>
      <c r="D5588" s="4" t="s">
        <v>16</v>
      </c>
      <c r="E5588" s="4" t="s">
        <v>2261</v>
      </c>
      <c r="F5588" s="4" t="s">
        <v>406</v>
      </c>
      <c r="G5588" s="4" t="s">
        <v>2262</v>
      </c>
      <c r="H5588" s="12" t="n">
        <v>1</v>
      </c>
      <c r="I5588" s="4" t="s">
        <v>408</v>
      </c>
      <c r="J5588" s="4" t="s">
        <v>409</v>
      </c>
      <c r="K5588" s="13" t="n">
        <v>18000</v>
      </c>
      <c r="L5588" s="6" t="n">
        <f aca="false">H5588*K5588</f>
        <v>18000</v>
      </c>
      <c r="M5588" s="14" t="s">
        <v>410</v>
      </c>
    </row>
    <row r="5589" customFormat="false" ht="15" hidden="false" customHeight="false" outlineLevel="0" collapsed="false">
      <c r="A5589" s="4" t="s">
        <v>283</v>
      </c>
      <c r="B5589" s="5" t="s">
        <v>284</v>
      </c>
      <c r="C5589" s="5" t="s">
        <v>285</v>
      </c>
      <c r="D5589" s="4" t="s">
        <v>16</v>
      </c>
      <c r="E5589" s="4" t="s">
        <v>2263</v>
      </c>
      <c r="F5589" s="4" t="s">
        <v>406</v>
      </c>
      <c r="G5589" s="4" t="s">
        <v>2264</v>
      </c>
      <c r="H5589" s="12" t="n">
        <v>1</v>
      </c>
      <c r="I5589" s="4" t="s">
        <v>408</v>
      </c>
      <c r="J5589" s="4" t="s">
        <v>409</v>
      </c>
      <c r="K5589" s="13" t="n">
        <v>25000</v>
      </c>
      <c r="L5589" s="6" t="n">
        <f aca="false">H5589*K5589</f>
        <v>25000</v>
      </c>
      <c r="M5589" s="4" t="s">
        <v>371</v>
      </c>
    </row>
    <row r="5590" customFormat="false" ht="15" hidden="false" customHeight="false" outlineLevel="0" collapsed="false">
      <c r="A5590" s="4" t="s">
        <v>283</v>
      </c>
      <c r="B5590" s="5" t="s">
        <v>284</v>
      </c>
      <c r="C5590" s="5" t="s">
        <v>285</v>
      </c>
      <c r="D5590" s="4" t="s">
        <v>16</v>
      </c>
      <c r="E5590" s="4" t="s">
        <v>2449</v>
      </c>
      <c r="F5590" s="4" t="s">
        <v>470</v>
      </c>
      <c r="G5590" s="4" t="s">
        <v>2450</v>
      </c>
      <c r="H5590" s="12" t="n">
        <v>1</v>
      </c>
      <c r="I5590" s="4" t="s">
        <v>408</v>
      </c>
      <c r="J5590" s="4" t="s">
        <v>409</v>
      </c>
      <c r="K5590" s="13" t="n">
        <v>8500</v>
      </c>
      <c r="L5590" s="6" t="n">
        <f aca="false">H5590*K5590</f>
        <v>8500</v>
      </c>
      <c r="M5590" s="4" t="s">
        <v>371</v>
      </c>
    </row>
    <row r="5591" customFormat="false" ht="15" hidden="false" customHeight="false" outlineLevel="0" collapsed="false">
      <c r="A5591" s="4" t="s">
        <v>283</v>
      </c>
      <c r="B5591" s="5" t="s">
        <v>284</v>
      </c>
      <c r="C5591" s="5" t="s">
        <v>285</v>
      </c>
      <c r="D5591" s="4" t="s">
        <v>16</v>
      </c>
      <c r="E5591" s="4" t="s">
        <v>2271</v>
      </c>
      <c r="F5591" s="4" t="s">
        <v>470</v>
      </c>
      <c r="G5591" s="4" t="s">
        <v>2272</v>
      </c>
      <c r="H5591" s="12" t="n">
        <v>1</v>
      </c>
      <c r="I5591" s="4" t="s">
        <v>408</v>
      </c>
      <c r="J5591" s="4" t="s">
        <v>409</v>
      </c>
      <c r="K5591" s="13" t="n">
        <v>4500</v>
      </c>
      <c r="L5591" s="6" t="n">
        <f aca="false">H5591*K5591</f>
        <v>4500</v>
      </c>
      <c r="M5591" s="14" t="s">
        <v>410</v>
      </c>
    </row>
    <row r="5592" customFormat="false" ht="15" hidden="false" customHeight="false" outlineLevel="0" collapsed="false">
      <c r="A5592" s="4" t="s">
        <v>283</v>
      </c>
      <c r="B5592" s="5" t="s">
        <v>284</v>
      </c>
      <c r="C5592" s="5" t="s">
        <v>285</v>
      </c>
      <c r="D5592" s="4" t="s">
        <v>16</v>
      </c>
      <c r="E5592" s="4" t="s">
        <v>2273</v>
      </c>
      <c r="F5592" s="4" t="s">
        <v>470</v>
      </c>
      <c r="G5592" s="4" t="s">
        <v>2274</v>
      </c>
      <c r="H5592" s="12" t="n">
        <v>1</v>
      </c>
      <c r="I5592" s="4" t="s">
        <v>408</v>
      </c>
      <c r="J5592" s="4" t="s">
        <v>409</v>
      </c>
      <c r="K5592" s="13" t="n">
        <v>25000</v>
      </c>
      <c r="L5592" s="6" t="n">
        <f aca="false">H5592*K5592</f>
        <v>25000</v>
      </c>
      <c r="M5592" s="14" t="s">
        <v>410</v>
      </c>
    </row>
    <row r="5593" customFormat="false" ht="15" hidden="false" customHeight="false" outlineLevel="0" collapsed="false">
      <c r="A5593" s="4" t="s">
        <v>283</v>
      </c>
      <c r="B5593" s="5" t="s">
        <v>284</v>
      </c>
      <c r="C5593" s="5" t="s">
        <v>285</v>
      </c>
      <c r="D5593" s="4" t="s">
        <v>16</v>
      </c>
      <c r="E5593" s="4" t="s">
        <v>2163</v>
      </c>
      <c r="F5593" s="4" t="s">
        <v>470</v>
      </c>
      <c r="G5593" s="4" t="s">
        <v>2164</v>
      </c>
      <c r="H5593" s="12" t="n">
        <v>1</v>
      </c>
      <c r="I5593" s="4" t="s">
        <v>408</v>
      </c>
      <c r="J5593" s="4" t="s">
        <v>409</v>
      </c>
      <c r="K5593" s="13" t="n">
        <v>35000</v>
      </c>
      <c r="L5593" s="6" t="n">
        <f aca="false">H5593*K5593</f>
        <v>35000</v>
      </c>
      <c r="M5593" s="14" t="s">
        <v>410</v>
      </c>
    </row>
    <row r="5594" customFormat="false" ht="15" hidden="false" customHeight="false" outlineLevel="0" collapsed="false">
      <c r="A5594" s="4" t="s">
        <v>283</v>
      </c>
      <c r="B5594" s="5" t="s">
        <v>284</v>
      </c>
      <c r="C5594" s="5" t="s">
        <v>285</v>
      </c>
      <c r="D5594" s="4" t="s">
        <v>16</v>
      </c>
      <c r="E5594" s="4" t="s">
        <v>1058</v>
      </c>
      <c r="F5594" s="4" t="s">
        <v>470</v>
      </c>
      <c r="G5594" s="4" t="s">
        <v>1059</v>
      </c>
      <c r="H5594" s="12" t="n">
        <v>1</v>
      </c>
      <c r="I5594" s="4" t="s">
        <v>408</v>
      </c>
      <c r="J5594" s="4" t="s">
        <v>409</v>
      </c>
      <c r="K5594" s="13" t="n">
        <v>45000</v>
      </c>
      <c r="L5594" s="6" t="n">
        <f aca="false">H5594*K5594</f>
        <v>45000</v>
      </c>
      <c r="M5594" s="14" t="s">
        <v>410</v>
      </c>
    </row>
    <row r="5595" customFormat="false" ht="15" hidden="false" customHeight="false" outlineLevel="0" collapsed="false">
      <c r="A5595" s="4" t="s">
        <v>283</v>
      </c>
      <c r="B5595" s="5" t="s">
        <v>284</v>
      </c>
      <c r="C5595" s="5" t="s">
        <v>285</v>
      </c>
      <c r="D5595" s="4" t="s">
        <v>16</v>
      </c>
      <c r="E5595" s="4" t="s">
        <v>6242</v>
      </c>
      <c r="F5595" s="4" t="s">
        <v>470</v>
      </c>
      <c r="G5595" s="4" t="s">
        <v>6243</v>
      </c>
      <c r="H5595" s="12" t="n">
        <v>1</v>
      </c>
      <c r="I5595" s="4" t="s">
        <v>408</v>
      </c>
      <c r="J5595" s="4" t="s">
        <v>416</v>
      </c>
      <c r="K5595" s="13" t="n">
        <v>8500</v>
      </c>
      <c r="L5595" s="6" t="n">
        <f aca="false">H5595*K5595</f>
        <v>8500</v>
      </c>
      <c r="M5595" s="4" t="s">
        <v>371</v>
      </c>
    </row>
    <row r="5596" customFormat="false" ht="15" hidden="false" customHeight="false" outlineLevel="0" collapsed="false">
      <c r="A5596" s="4" t="s">
        <v>283</v>
      </c>
      <c r="B5596" s="5" t="s">
        <v>284</v>
      </c>
      <c r="C5596" s="5" t="s">
        <v>285</v>
      </c>
      <c r="D5596" s="4" t="s">
        <v>16</v>
      </c>
      <c r="E5596" s="4" t="s">
        <v>2451</v>
      </c>
      <c r="F5596" s="4" t="s">
        <v>470</v>
      </c>
      <c r="G5596" s="4" t="s">
        <v>2452</v>
      </c>
      <c r="H5596" s="12" t="n">
        <v>1</v>
      </c>
      <c r="I5596" s="4" t="s">
        <v>408</v>
      </c>
      <c r="J5596" s="4" t="s">
        <v>409</v>
      </c>
      <c r="K5596" s="13" t="n">
        <v>8500</v>
      </c>
      <c r="L5596" s="6" t="n">
        <f aca="false">H5596*K5596</f>
        <v>8500</v>
      </c>
      <c r="M5596" s="4" t="s">
        <v>371</v>
      </c>
    </row>
    <row r="5597" customFormat="false" ht="15" hidden="false" customHeight="false" outlineLevel="0" collapsed="false">
      <c r="A5597" s="4" t="s">
        <v>283</v>
      </c>
      <c r="B5597" s="5" t="s">
        <v>284</v>
      </c>
      <c r="C5597" s="5" t="s">
        <v>285</v>
      </c>
      <c r="D5597" s="4" t="s">
        <v>16</v>
      </c>
      <c r="E5597" s="4" t="s">
        <v>2453</v>
      </c>
      <c r="F5597" s="4" t="s">
        <v>470</v>
      </c>
      <c r="G5597" s="4" t="s">
        <v>2454</v>
      </c>
      <c r="H5597" s="12" t="n">
        <v>1</v>
      </c>
      <c r="I5597" s="4" t="s">
        <v>408</v>
      </c>
      <c r="J5597" s="4" t="s">
        <v>409</v>
      </c>
      <c r="K5597" s="13" t="n">
        <v>18000</v>
      </c>
      <c r="L5597" s="6" t="n">
        <f aca="false">H5597*K5597</f>
        <v>18000</v>
      </c>
      <c r="M5597" s="4" t="s">
        <v>371</v>
      </c>
    </row>
    <row r="5598" customFormat="false" ht="15" hidden="false" customHeight="false" outlineLevel="0" collapsed="false">
      <c r="A5598" s="4" t="s">
        <v>283</v>
      </c>
      <c r="B5598" s="5" t="s">
        <v>284</v>
      </c>
      <c r="C5598" s="5" t="s">
        <v>285</v>
      </c>
      <c r="D5598" s="4" t="s">
        <v>16</v>
      </c>
      <c r="E5598" s="4" t="s">
        <v>2455</v>
      </c>
      <c r="F5598" s="4" t="s">
        <v>470</v>
      </c>
      <c r="G5598" s="4" t="s">
        <v>2456</v>
      </c>
      <c r="H5598" s="12" t="n">
        <v>1</v>
      </c>
      <c r="I5598" s="4" t="s">
        <v>408</v>
      </c>
      <c r="J5598" s="4" t="s">
        <v>409</v>
      </c>
      <c r="K5598" s="13" t="n">
        <v>25000</v>
      </c>
      <c r="L5598" s="6" t="n">
        <f aca="false">H5598*K5598</f>
        <v>25000</v>
      </c>
      <c r="M5598" s="4" t="s">
        <v>371</v>
      </c>
    </row>
    <row r="5599" customFormat="false" ht="15" hidden="false" customHeight="false" outlineLevel="0" collapsed="false">
      <c r="A5599" s="4" t="s">
        <v>283</v>
      </c>
      <c r="B5599" s="5" t="s">
        <v>284</v>
      </c>
      <c r="C5599" s="5" t="s">
        <v>285</v>
      </c>
      <c r="D5599" s="4" t="s">
        <v>16</v>
      </c>
      <c r="E5599" s="4" t="s">
        <v>1089</v>
      </c>
      <c r="F5599" s="4" t="s">
        <v>470</v>
      </c>
      <c r="G5599" s="4" t="s">
        <v>1090</v>
      </c>
      <c r="H5599" s="12" t="n">
        <v>1</v>
      </c>
      <c r="I5599" s="4" t="s">
        <v>408</v>
      </c>
      <c r="J5599" s="4" t="s">
        <v>409</v>
      </c>
      <c r="K5599" s="13" t="n">
        <v>3500</v>
      </c>
      <c r="L5599" s="6" t="n">
        <f aca="false">H5599*K5599</f>
        <v>3500</v>
      </c>
      <c r="M5599" s="4" t="s">
        <v>371</v>
      </c>
    </row>
    <row r="5600" customFormat="false" ht="15" hidden="false" customHeight="false" outlineLevel="0" collapsed="false">
      <c r="A5600" s="4" t="s">
        <v>283</v>
      </c>
      <c r="B5600" s="5" t="s">
        <v>284</v>
      </c>
      <c r="C5600" s="5" t="s">
        <v>285</v>
      </c>
      <c r="D5600" s="4" t="s">
        <v>16</v>
      </c>
      <c r="E5600" s="4" t="s">
        <v>2289</v>
      </c>
      <c r="F5600" s="4" t="s">
        <v>470</v>
      </c>
      <c r="G5600" s="4" t="s">
        <v>2290</v>
      </c>
      <c r="H5600" s="12" t="n">
        <v>1</v>
      </c>
      <c r="I5600" s="4" t="s">
        <v>408</v>
      </c>
      <c r="J5600" s="4" t="s">
        <v>409</v>
      </c>
      <c r="K5600" s="13" t="n">
        <v>2500</v>
      </c>
      <c r="L5600" s="6" t="n">
        <f aca="false">H5600*K5600</f>
        <v>2500</v>
      </c>
      <c r="M5600" s="4" t="s">
        <v>371</v>
      </c>
    </row>
    <row r="5601" customFormat="false" ht="15" hidden="false" customHeight="false" outlineLevel="0" collapsed="false">
      <c r="A5601" s="4" t="s">
        <v>283</v>
      </c>
      <c r="B5601" s="5" t="s">
        <v>284</v>
      </c>
      <c r="C5601" s="5" t="s">
        <v>285</v>
      </c>
      <c r="D5601" s="4" t="s">
        <v>16</v>
      </c>
      <c r="E5601" s="4" t="s">
        <v>6244</v>
      </c>
      <c r="F5601" s="4" t="s">
        <v>470</v>
      </c>
      <c r="G5601" s="4" t="s">
        <v>2360</v>
      </c>
      <c r="H5601" s="12" t="n">
        <v>1</v>
      </c>
      <c r="I5601" s="4" t="s">
        <v>408</v>
      </c>
      <c r="J5601" s="4" t="s">
        <v>416</v>
      </c>
      <c r="K5601" s="13" t="n">
        <v>4500</v>
      </c>
      <c r="L5601" s="6" t="n">
        <f aca="false">H5601*K5601</f>
        <v>4500</v>
      </c>
      <c r="M5601" s="4" t="s">
        <v>371</v>
      </c>
    </row>
    <row r="5602" customFormat="false" ht="15" hidden="false" customHeight="false" outlineLevel="0" collapsed="false">
      <c r="A5602" s="4" t="s">
        <v>283</v>
      </c>
      <c r="B5602" s="5" t="s">
        <v>284</v>
      </c>
      <c r="C5602" s="5" t="s">
        <v>285</v>
      </c>
      <c r="D5602" s="4" t="s">
        <v>16</v>
      </c>
      <c r="E5602" s="4" t="s">
        <v>2459</v>
      </c>
      <c r="F5602" s="4" t="s">
        <v>470</v>
      </c>
      <c r="G5602" s="4" t="s">
        <v>2460</v>
      </c>
      <c r="H5602" s="12" t="n">
        <v>1</v>
      </c>
      <c r="I5602" s="4" t="s">
        <v>408</v>
      </c>
      <c r="J5602" s="4" t="s">
        <v>416</v>
      </c>
      <c r="K5602" s="13" t="n">
        <v>2500</v>
      </c>
      <c r="L5602" s="6" t="n">
        <f aca="false">H5602*K5602</f>
        <v>2500</v>
      </c>
      <c r="M5602" s="4" t="s">
        <v>371</v>
      </c>
    </row>
    <row r="5603" customFormat="false" ht="15" hidden="false" customHeight="false" outlineLevel="0" collapsed="false">
      <c r="A5603" s="4" t="s">
        <v>283</v>
      </c>
      <c r="B5603" s="5" t="s">
        <v>284</v>
      </c>
      <c r="C5603" s="5" t="s">
        <v>285</v>
      </c>
      <c r="D5603" s="4" t="s">
        <v>16</v>
      </c>
      <c r="E5603" s="4" t="s">
        <v>2301</v>
      </c>
      <c r="F5603" s="4" t="s">
        <v>470</v>
      </c>
      <c r="G5603" s="4" t="s">
        <v>2302</v>
      </c>
      <c r="H5603" s="12" t="n">
        <v>1</v>
      </c>
      <c r="I5603" s="4" t="s">
        <v>408</v>
      </c>
      <c r="J5603" s="4" t="s">
        <v>409</v>
      </c>
      <c r="K5603" s="13" t="n">
        <v>8500</v>
      </c>
      <c r="L5603" s="6" t="n">
        <f aca="false">H5603*K5603</f>
        <v>8500</v>
      </c>
      <c r="M5603" s="4" t="s">
        <v>371</v>
      </c>
    </row>
    <row r="5604" customFormat="false" ht="15" hidden="false" customHeight="false" outlineLevel="0" collapsed="false">
      <c r="A5604" s="4" t="s">
        <v>283</v>
      </c>
      <c r="B5604" s="5" t="s">
        <v>284</v>
      </c>
      <c r="C5604" s="5" t="s">
        <v>285</v>
      </c>
      <c r="D5604" s="4" t="s">
        <v>16</v>
      </c>
      <c r="E5604" s="4" t="s">
        <v>2303</v>
      </c>
      <c r="F5604" s="4" t="s">
        <v>470</v>
      </c>
      <c r="G5604" s="4" t="s">
        <v>2304</v>
      </c>
      <c r="H5604" s="12" t="n">
        <v>1</v>
      </c>
      <c r="I5604" s="4" t="s">
        <v>408</v>
      </c>
      <c r="J5604" s="4" t="s">
        <v>409</v>
      </c>
      <c r="K5604" s="13" t="n">
        <v>3500</v>
      </c>
      <c r="L5604" s="6" t="n">
        <f aca="false">H5604*K5604</f>
        <v>3500</v>
      </c>
      <c r="M5604" s="4" t="s">
        <v>371</v>
      </c>
    </row>
    <row r="5605" customFormat="false" ht="15" hidden="false" customHeight="false" outlineLevel="0" collapsed="false">
      <c r="A5605" s="4" t="s">
        <v>283</v>
      </c>
      <c r="B5605" s="5" t="s">
        <v>284</v>
      </c>
      <c r="C5605" s="5" t="s">
        <v>285</v>
      </c>
      <c r="D5605" s="4" t="s">
        <v>16</v>
      </c>
      <c r="E5605" s="4" t="s">
        <v>2305</v>
      </c>
      <c r="F5605" s="4" t="s">
        <v>470</v>
      </c>
      <c r="G5605" s="4" t="s">
        <v>2306</v>
      </c>
      <c r="H5605" s="12" t="n">
        <v>1</v>
      </c>
      <c r="I5605" s="4" t="s">
        <v>408</v>
      </c>
      <c r="J5605" s="4" t="s">
        <v>409</v>
      </c>
      <c r="K5605" s="13" t="n">
        <v>850</v>
      </c>
      <c r="L5605" s="6" t="n">
        <f aca="false">H5605*K5605</f>
        <v>850</v>
      </c>
      <c r="M5605" s="4" t="s">
        <v>371</v>
      </c>
    </row>
    <row r="5606" customFormat="false" ht="15" hidden="false" customHeight="false" outlineLevel="0" collapsed="false">
      <c r="A5606" s="4" t="s">
        <v>283</v>
      </c>
      <c r="B5606" s="5" t="s">
        <v>284</v>
      </c>
      <c r="C5606" s="5" t="s">
        <v>285</v>
      </c>
      <c r="D5606" s="4" t="s">
        <v>16</v>
      </c>
      <c r="E5606" s="4" t="s">
        <v>2463</v>
      </c>
      <c r="F5606" s="4" t="s">
        <v>488</v>
      </c>
      <c r="G5606" s="4" t="s">
        <v>2464</v>
      </c>
      <c r="H5606" s="12" t="n">
        <v>1</v>
      </c>
      <c r="I5606" s="4" t="s">
        <v>408</v>
      </c>
      <c r="J5606" s="4" t="s">
        <v>409</v>
      </c>
      <c r="K5606" s="13" t="n">
        <v>35</v>
      </c>
      <c r="L5606" s="6" t="n">
        <f aca="false">H5606*K5606</f>
        <v>35</v>
      </c>
      <c r="M5606" s="4" t="s">
        <v>371</v>
      </c>
    </row>
    <row r="5607" customFormat="false" ht="15" hidden="false" customHeight="false" outlineLevel="0" collapsed="false">
      <c r="A5607" s="4" t="s">
        <v>283</v>
      </c>
      <c r="B5607" s="5" t="s">
        <v>284</v>
      </c>
      <c r="C5607" s="5" t="s">
        <v>285</v>
      </c>
      <c r="D5607" s="4" t="s">
        <v>16</v>
      </c>
      <c r="E5607" s="4" t="s">
        <v>2465</v>
      </c>
      <c r="F5607" s="4" t="s">
        <v>488</v>
      </c>
      <c r="G5607" s="4" t="s">
        <v>2466</v>
      </c>
      <c r="H5607" s="12" t="n">
        <v>1</v>
      </c>
      <c r="I5607" s="4" t="s">
        <v>408</v>
      </c>
      <c r="J5607" s="4" t="s">
        <v>506</v>
      </c>
      <c r="K5607" s="13" t="n">
        <v>100</v>
      </c>
      <c r="L5607" s="6" t="n">
        <f aca="false">H5607*K5607</f>
        <v>100</v>
      </c>
      <c r="M5607" s="4" t="s">
        <v>371</v>
      </c>
    </row>
    <row r="5608" customFormat="false" ht="15" hidden="false" customHeight="false" outlineLevel="0" collapsed="false">
      <c r="A5608" s="4" t="s">
        <v>283</v>
      </c>
      <c r="B5608" s="5" t="s">
        <v>284</v>
      </c>
      <c r="C5608" s="5" t="s">
        <v>285</v>
      </c>
      <c r="D5608" s="4" t="s">
        <v>16</v>
      </c>
      <c r="E5608" s="4" t="s">
        <v>2467</v>
      </c>
      <c r="F5608" s="4" t="s">
        <v>488</v>
      </c>
      <c r="G5608" s="4" t="s">
        <v>2468</v>
      </c>
      <c r="H5608" s="12" t="n">
        <v>1</v>
      </c>
      <c r="I5608" s="4" t="s">
        <v>408</v>
      </c>
      <c r="J5608" s="4" t="s">
        <v>409</v>
      </c>
      <c r="K5608" s="13" t="n">
        <v>15</v>
      </c>
      <c r="L5608" s="6" t="n">
        <f aca="false">H5608*K5608</f>
        <v>15</v>
      </c>
      <c r="M5608" s="4" t="s">
        <v>371</v>
      </c>
    </row>
    <row r="5609" customFormat="false" ht="15" hidden="false" customHeight="false" outlineLevel="0" collapsed="false">
      <c r="A5609" s="4" t="s">
        <v>283</v>
      </c>
      <c r="B5609" s="5" t="s">
        <v>284</v>
      </c>
      <c r="C5609" s="5" t="s">
        <v>285</v>
      </c>
      <c r="D5609" s="4" t="s">
        <v>16</v>
      </c>
      <c r="E5609" s="4" t="s">
        <v>2469</v>
      </c>
      <c r="F5609" s="4" t="s">
        <v>488</v>
      </c>
      <c r="G5609" s="4" t="s">
        <v>2470</v>
      </c>
      <c r="H5609" s="12" t="n">
        <v>1</v>
      </c>
      <c r="I5609" s="4" t="s">
        <v>408</v>
      </c>
      <c r="J5609" s="4" t="s">
        <v>409</v>
      </c>
      <c r="K5609" s="13" t="n">
        <v>10</v>
      </c>
      <c r="L5609" s="6" t="n">
        <f aca="false">H5609*K5609</f>
        <v>10</v>
      </c>
      <c r="M5609" s="4" t="s">
        <v>371</v>
      </c>
    </row>
    <row r="5610" customFormat="false" ht="15" hidden="false" customHeight="false" outlineLevel="0" collapsed="false">
      <c r="A5610" s="4" t="s">
        <v>283</v>
      </c>
      <c r="B5610" s="5" t="s">
        <v>284</v>
      </c>
      <c r="C5610" s="5" t="s">
        <v>285</v>
      </c>
      <c r="D5610" s="4" t="s">
        <v>16</v>
      </c>
      <c r="E5610" s="4" t="s">
        <v>2471</v>
      </c>
      <c r="F5610" s="4" t="s">
        <v>488</v>
      </c>
      <c r="G5610" s="4" t="s">
        <v>2472</v>
      </c>
      <c r="H5610" s="12" t="n">
        <v>1</v>
      </c>
      <c r="I5610" s="4" t="s">
        <v>408</v>
      </c>
      <c r="J5610" s="4" t="s">
        <v>506</v>
      </c>
      <c r="K5610" s="13" t="n">
        <v>120</v>
      </c>
      <c r="L5610" s="6" t="n">
        <f aca="false">H5610*K5610</f>
        <v>120</v>
      </c>
      <c r="M5610" s="4" t="s">
        <v>371</v>
      </c>
    </row>
    <row r="5611" customFormat="false" ht="15" hidden="false" customHeight="false" outlineLevel="0" collapsed="false">
      <c r="A5611" s="4" t="s">
        <v>283</v>
      </c>
      <c r="B5611" s="5" t="s">
        <v>284</v>
      </c>
      <c r="C5611" s="5" t="s">
        <v>285</v>
      </c>
      <c r="D5611" s="4" t="s">
        <v>16</v>
      </c>
      <c r="E5611" s="4" t="s">
        <v>2325</v>
      </c>
      <c r="F5611" s="4" t="s">
        <v>488</v>
      </c>
      <c r="G5611" s="4" t="s">
        <v>2326</v>
      </c>
      <c r="H5611" s="12" t="n">
        <v>1</v>
      </c>
      <c r="I5611" s="4" t="s">
        <v>408</v>
      </c>
      <c r="J5611" s="4" t="s">
        <v>416</v>
      </c>
      <c r="K5611" s="13" t="n">
        <v>650</v>
      </c>
      <c r="L5611" s="6" t="n">
        <f aca="false">H5611*K5611</f>
        <v>650</v>
      </c>
      <c r="M5611" s="4" t="s">
        <v>371</v>
      </c>
    </row>
    <row r="5612" customFormat="false" ht="15" hidden="false" customHeight="false" outlineLevel="0" collapsed="false">
      <c r="A5612" s="4" t="s">
        <v>283</v>
      </c>
      <c r="B5612" s="5" t="s">
        <v>284</v>
      </c>
      <c r="C5612" s="5" t="s">
        <v>285</v>
      </c>
      <c r="D5612" s="4" t="s">
        <v>16</v>
      </c>
      <c r="E5612" s="4" t="s">
        <v>2327</v>
      </c>
      <c r="F5612" s="4" t="s">
        <v>488</v>
      </c>
      <c r="G5612" s="4" t="s">
        <v>2328</v>
      </c>
      <c r="H5612" s="12" t="n">
        <v>1</v>
      </c>
      <c r="I5612" s="4" t="s">
        <v>408</v>
      </c>
      <c r="J5612" s="4" t="s">
        <v>506</v>
      </c>
      <c r="K5612" s="13" t="n">
        <v>450</v>
      </c>
      <c r="L5612" s="6" t="n">
        <f aca="false">H5612*K5612</f>
        <v>450</v>
      </c>
      <c r="M5612" s="4" t="s">
        <v>371</v>
      </c>
    </row>
    <row r="5613" customFormat="false" ht="15" hidden="false" customHeight="false" outlineLevel="0" collapsed="false">
      <c r="A5613" s="4" t="s">
        <v>283</v>
      </c>
      <c r="B5613" s="5" t="s">
        <v>284</v>
      </c>
      <c r="C5613" s="5" t="s">
        <v>285</v>
      </c>
      <c r="D5613" s="4" t="s">
        <v>16</v>
      </c>
      <c r="E5613" s="4" t="s">
        <v>2473</v>
      </c>
      <c r="F5613" s="4" t="s">
        <v>470</v>
      </c>
      <c r="G5613" s="4" t="s">
        <v>2474</v>
      </c>
      <c r="H5613" s="12" t="n">
        <v>1</v>
      </c>
      <c r="I5613" s="4" t="s">
        <v>408</v>
      </c>
      <c r="J5613" s="4" t="s">
        <v>409</v>
      </c>
      <c r="K5613" s="13" t="n">
        <v>3500</v>
      </c>
      <c r="L5613" s="6" t="n">
        <f aca="false">H5613*K5613</f>
        <v>3500</v>
      </c>
      <c r="M5613" s="4" t="s">
        <v>371</v>
      </c>
    </row>
    <row r="5614" customFormat="false" ht="15" hidden="false" customHeight="false" outlineLevel="0" collapsed="false">
      <c r="A5614" s="4" t="s">
        <v>283</v>
      </c>
      <c r="B5614" s="5" t="s">
        <v>284</v>
      </c>
      <c r="C5614" s="5" t="s">
        <v>285</v>
      </c>
      <c r="D5614" s="4" t="s">
        <v>16</v>
      </c>
      <c r="E5614" s="4" t="s">
        <v>2475</v>
      </c>
      <c r="F5614" s="4" t="s">
        <v>470</v>
      </c>
      <c r="G5614" s="4" t="s">
        <v>2476</v>
      </c>
      <c r="H5614" s="12" t="n">
        <v>1</v>
      </c>
      <c r="I5614" s="4" t="s">
        <v>408</v>
      </c>
      <c r="J5614" s="4" t="s">
        <v>409</v>
      </c>
      <c r="K5614" s="13" t="n">
        <v>850</v>
      </c>
      <c r="L5614" s="6" t="n">
        <f aca="false">H5614*K5614</f>
        <v>850</v>
      </c>
      <c r="M5614" s="4" t="s">
        <v>371</v>
      </c>
    </row>
    <row r="5615" customFormat="false" ht="15" hidden="false" customHeight="false" outlineLevel="0" collapsed="false">
      <c r="A5615" s="4" t="s">
        <v>283</v>
      </c>
      <c r="B5615" s="5" t="s">
        <v>284</v>
      </c>
      <c r="C5615" s="5" t="s">
        <v>285</v>
      </c>
      <c r="D5615" s="4" t="s">
        <v>16</v>
      </c>
      <c r="E5615" s="4" t="s">
        <v>2461</v>
      </c>
      <c r="F5615" s="4" t="s">
        <v>470</v>
      </c>
      <c r="G5615" s="4" t="s">
        <v>2462</v>
      </c>
      <c r="H5615" s="12" t="n">
        <v>1</v>
      </c>
      <c r="I5615" s="4" t="s">
        <v>408</v>
      </c>
      <c r="J5615" s="4" t="s">
        <v>409</v>
      </c>
      <c r="K5615" s="13" t="n">
        <v>450</v>
      </c>
      <c r="L5615" s="6" t="n">
        <f aca="false">H5615*K5615</f>
        <v>450</v>
      </c>
      <c r="M5615" s="4" t="s">
        <v>371</v>
      </c>
    </row>
    <row r="5616" customFormat="false" ht="15" hidden="false" customHeight="false" outlineLevel="0" collapsed="false">
      <c r="A5616" s="4" t="s">
        <v>283</v>
      </c>
      <c r="B5616" s="5" t="s">
        <v>284</v>
      </c>
      <c r="C5616" s="5" t="s">
        <v>285</v>
      </c>
      <c r="D5616" s="4" t="s">
        <v>16</v>
      </c>
      <c r="E5616" s="4" t="s">
        <v>2339</v>
      </c>
      <c r="F5616" s="4" t="s">
        <v>470</v>
      </c>
      <c r="G5616" s="4" t="s">
        <v>2340</v>
      </c>
      <c r="H5616" s="12" t="n">
        <v>1</v>
      </c>
      <c r="I5616" s="4" t="s">
        <v>408</v>
      </c>
      <c r="J5616" s="4" t="s">
        <v>416</v>
      </c>
      <c r="K5616" s="13" t="n">
        <v>8500</v>
      </c>
      <c r="L5616" s="6" t="n">
        <f aca="false">H5616*K5616</f>
        <v>8500</v>
      </c>
      <c r="M5616" s="14" t="s">
        <v>410</v>
      </c>
    </row>
    <row r="5617" customFormat="false" ht="15" hidden="false" customHeight="false" outlineLevel="0" collapsed="false">
      <c r="A5617" s="4" t="s">
        <v>283</v>
      </c>
      <c r="B5617" s="5" t="s">
        <v>284</v>
      </c>
      <c r="C5617" s="5" t="s">
        <v>285</v>
      </c>
      <c r="D5617" s="4" t="s">
        <v>16</v>
      </c>
      <c r="E5617" s="4" t="s">
        <v>2483</v>
      </c>
      <c r="F5617" s="4" t="s">
        <v>470</v>
      </c>
      <c r="G5617" s="4" t="s">
        <v>2484</v>
      </c>
      <c r="H5617" s="12" t="n">
        <v>1</v>
      </c>
      <c r="I5617" s="4" t="s">
        <v>408</v>
      </c>
      <c r="J5617" s="4" t="s">
        <v>543</v>
      </c>
      <c r="K5617" s="13" t="n">
        <v>2500</v>
      </c>
      <c r="L5617" s="6" t="n">
        <f aca="false">H5617*K5617</f>
        <v>2500</v>
      </c>
      <c r="M5617" s="4" t="s">
        <v>371</v>
      </c>
    </row>
    <row r="5618" customFormat="false" ht="15" hidden="false" customHeight="false" outlineLevel="0" collapsed="false">
      <c r="A5618" s="4" t="s">
        <v>283</v>
      </c>
      <c r="B5618" s="5" t="s">
        <v>286</v>
      </c>
      <c r="C5618" s="5" t="s">
        <v>287</v>
      </c>
      <c r="D5618" s="4" t="s">
        <v>16</v>
      </c>
      <c r="E5618" s="4" t="s">
        <v>6245</v>
      </c>
      <c r="F5618" s="4" t="s">
        <v>406</v>
      </c>
      <c r="G5618" s="4" t="s">
        <v>6246</v>
      </c>
      <c r="H5618" s="12" t="n">
        <v>1</v>
      </c>
      <c r="I5618" s="4" t="s">
        <v>408</v>
      </c>
      <c r="J5618" s="4" t="s">
        <v>409</v>
      </c>
      <c r="K5618" s="13" t="n">
        <v>4500</v>
      </c>
      <c r="L5618" s="6" t="n">
        <f aca="false">H5618*K5618</f>
        <v>4500</v>
      </c>
      <c r="M5618" s="4" t="s">
        <v>371</v>
      </c>
    </row>
    <row r="5619" customFormat="false" ht="15" hidden="false" customHeight="false" outlineLevel="0" collapsed="false">
      <c r="A5619" s="4" t="s">
        <v>283</v>
      </c>
      <c r="B5619" s="5" t="s">
        <v>286</v>
      </c>
      <c r="C5619" s="5" t="s">
        <v>287</v>
      </c>
      <c r="D5619" s="4" t="s">
        <v>16</v>
      </c>
      <c r="E5619" s="4" t="s">
        <v>6247</v>
      </c>
      <c r="F5619" s="4" t="s">
        <v>406</v>
      </c>
      <c r="G5619" s="4" t="s">
        <v>6248</v>
      </c>
      <c r="H5619" s="12" t="n">
        <v>1</v>
      </c>
      <c r="I5619" s="4" t="s">
        <v>408</v>
      </c>
      <c r="J5619" s="4" t="s">
        <v>409</v>
      </c>
      <c r="K5619" s="13" t="n">
        <v>12000</v>
      </c>
      <c r="L5619" s="6" t="n">
        <f aca="false">H5619*K5619</f>
        <v>12000</v>
      </c>
      <c r="M5619" s="14" t="s">
        <v>410</v>
      </c>
    </row>
    <row r="5620" customFormat="false" ht="15" hidden="false" customHeight="false" outlineLevel="0" collapsed="false">
      <c r="A5620" s="4" t="s">
        <v>283</v>
      </c>
      <c r="B5620" s="5" t="s">
        <v>286</v>
      </c>
      <c r="C5620" s="5" t="s">
        <v>287</v>
      </c>
      <c r="D5620" s="4" t="s">
        <v>16</v>
      </c>
      <c r="E5620" s="4" t="s">
        <v>6249</v>
      </c>
      <c r="F5620" s="4" t="s">
        <v>406</v>
      </c>
      <c r="G5620" s="4" t="s">
        <v>6250</v>
      </c>
      <c r="H5620" s="12" t="n">
        <v>1</v>
      </c>
      <c r="I5620" s="4" t="s">
        <v>408</v>
      </c>
      <c r="J5620" s="4" t="s">
        <v>416</v>
      </c>
      <c r="K5620" s="13" t="n">
        <v>4500</v>
      </c>
      <c r="L5620" s="6" t="n">
        <f aca="false">H5620*K5620</f>
        <v>4500</v>
      </c>
      <c r="M5620" s="4" t="s">
        <v>371</v>
      </c>
    </row>
    <row r="5621" customFormat="false" ht="15" hidden="false" customHeight="false" outlineLevel="0" collapsed="false">
      <c r="A5621" s="4" t="s">
        <v>283</v>
      </c>
      <c r="B5621" s="5" t="s">
        <v>286</v>
      </c>
      <c r="C5621" s="5" t="s">
        <v>287</v>
      </c>
      <c r="D5621" s="4" t="s">
        <v>16</v>
      </c>
      <c r="E5621" s="4" t="s">
        <v>6251</v>
      </c>
      <c r="F5621" s="4" t="s">
        <v>406</v>
      </c>
      <c r="G5621" s="4" t="s">
        <v>6252</v>
      </c>
      <c r="H5621" s="12" t="n">
        <v>1</v>
      </c>
      <c r="I5621" s="4" t="s">
        <v>408</v>
      </c>
      <c r="J5621" s="4" t="s">
        <v>409</v>
      </c>
      <c r="K5621" s="13" t="n">
        <v>25000</v>
      </c>
      <c r="L5621" s="6" t="n">
        <f aca="false">H5621*K5621</f>
        <v>25000</v>
      </c>
      <c r="M5621" s="4" t="s">
        <v>371</v>
      </c>
    </row>
    <row r="5622" customFormat="false" ht="15" hidden="false" customHeight="false" outlineLevel="0" collapsed="false">
      <c r="A5622" s="4" t="s">
        <v>283</v>
      </c>
      <c r="B5622" s="5" t="s">
        <v>286</v>
      </c>
      <c r="C5622" s="5" t="s">
        <v>287</v>
      </c>
      <c r="D5622" s="4" t="s">
        <v>16</v>
      </c>
      <c r="E5622" s="4" t="s">
        <v>2163</v>
      </c>
      <c r="F5622" s="4" t="s">
        <v>470</v>
      </c>
      <c r="G5622" s="4" t="s">
        <v>2164</v>
      </c>
      <c r="H5622" s="12" t="n">
        <v>1</v>
      </c>
      <c r="I5622" s="4" t="s">
        <v>408</v>
      </c>
      <c r="J5622" s="4" t="s">
        <v>409</v>
      </c>
      <c r="K5622" s="13" t="n">
        <v>35000</v>
      </c>
      <c r="L5622" s="6" t="n">
        <f aca="false">H5622*K5622</f>
        <v>35000</v>
      </c>
      <c r="M5622" s="14" t="s">
        <v>410</v>
      </c>
    </row>
    <row r="5623" customFormat="false" ht="15" hidden="false" customHeight="false" outlineLevel="0" collapsed="false">
      <c r="A5623" s="4" t="s">
        <v>283</v>
      </c>
      <c r="B5623" s="5" t="s">
        <v>286</v>
      </c>
      <c r="C5623" s="5" t="s">
        <v>287</v>
      </c>
      <c r="D5623" s="4" t="s">
        <v>16</v>
      </c>
      <c r="E5623" s="4" t="s">
        <v>1058</v>
      </c>
      <c r="F5623" s="4" t="s">
        <v>470</v>
      </c>
      <c r="G5623" s="4" t="s">
        <v>1059</v>
      </c>
      <c r="H5623" s="12" t="n">
        <v>1</v>
      </c>
      <c r="I5623" s="4" t="s">
        <v>408</v>
      </c>
      <c r="J5623" s="4" t="s">
        <v>409</v>
      </c>
      <c r="K5623" s="13" t="n">
        <v>45000</v>
      </c>
      <c r="L5623" s="6" t="n">
        <f aca="false">H5623*K5623</f>
        <v>45000</v>
      </c>
      <c r="M5623" s="14" t="s">
        <v>410</v>
      </c>
    </row>
    <row r="5624" customFormat="false" ht="15" hidden="false" customHeight="false" outlineLevel="0" collapsed="false">
      <c r="A5624" s="4" t="s">
        <v>283</v>
      </c>
      <c r="B5624" s="5" t="s">
        <v>286</v>
      </c>
      <c r="C5624" s="5" t="s">
        <v>287</v>
      </c>
      <c r="D5624" s="4" t="s">
        <v>16</v>
      </c>
      <c r="E5624" s="4" t="s">
        <v>2451</v>
      </c>
      <c r="F5624" s="4" t="s">
        <v>470</v>
      </c>
      <c r="G5624" s="4" t="s">
        <v>2452</v>
      </c>
      <c r="H5624" s="12" t="n">
        <v>1</v>
      </c>
      <c r="I5624" s="4" t="s">
        <v>408</v>
      </c>
      <c r="J5624" s="4" t="s">
        <v>409</v>
      </c>
      <c r="K5624" s="13" t="n">
        <v>8500</v>
      </c>
      <c r="L5624" s="6" t="n">
        <f aca="false">H5624*K5624</f>
        <v>8500</v>
      </c>
      <c r="M5624" s="4" t="s">
        <v>371</v>
      </c>
    </row>
    <row r="5625" customFormat="false" ht="15" hidden="false" customHeight="false" outlineLevel="0" collapsed="false">
      <c r="A5625" s="4" t="s">
        <v>283</v>
      </c>
      <c r="B5625" s="5" t="s">
        <v>286</v>
      </c>
      <c r="C5625" s="5" t="s">
        <v>287</v>
      </c>
      <c r="D5625" s="4" t="s">
        <v>16</v>
      </c>
      <c r="E5625" s="4" t="s">
        <v>2453</v>
      </c>
      <c r="F5625" s="4" t="s">
        <v>470</v>
      </c>
      <c r="G5625" s="4" t="s">
        <v>2454</v>
      </c>
      <c r="H5625" s="12" t="n">
        <v>1</v>
      </c>
      <c r="I5625" s="4" t="s">
        <v>408</v>
      </c>
      <c r="J5625" s="4" t="s">
        <v>409</v>
      </c>
      <c r="K5625" s="13" t="n">
        <v>18000</v>
      </c>
      <c r="L5625" s="6" t="n">
        <f aca="false">H5625*K5625</f>
        <v>18000</v>
      </c>
      <c r="M5625" s="4" t="s">
        <v>371</v>
      </c>
    </row>
    <row r="5626" customFormat="false" ht="15" hidden="false" customHeight="false" outlineLevel="0" collapsed="false">
      <c r="A5626" s="4" t="s">
        <v>283</v>
      </c>
      <c r="B5626" s="5" t="s">
        <v>286</v>
      </c>
      <c r="C5626" s="5" t="s">
        <v>287</v>
      </c>
      <c r="D5626" s="4" t="s">
        <v>16</v>
      </c>
      <c r="E5626" s="4" t="s">
        <v>6253</v>
      </c>
      <c r="F5626" s="4" t="s">
        <v>470</v>
      </c>
      <c r="G5626" s="4" t="s">
        <v>6254</v>
      </c>
      <c r="H5626" s="12" t="n">
        <v>1</v>
      </c>
      <c r="I5626" s="4" t="s">
        <v>408</v>
      </c>
      <c r="J5626" s="4" t="s">
        <v>409</v>
      </c>
      <c r="K5626" s="13" t="n">
        <v>120</v>
      </c>
      <c r="L5626" s="6" t="n">
        <f aca="false">H5626*K5626</f>
        <v>120</v>
      </c>
      <c r="M5626" s="4" t="s">
        <v>371</v>
      </c>
    </row>
    <row r="5627" customFormat="false" ht="15" hidden="false" customHeight="false" outlineLevel="0" collapsed="false">
      <c r="A5627" s="4" t="s">
        <v>283</v>
      </c>
      <c r="B5627" s="5" t="s">
        <v>286</v>
      </c>
      <c r="C5627" s="5" t="s">
        <v>287</v>
      </c>
      <c r="D5627" s="4" t="s">
        <v>16</v>
      </c>
      <c r="E5627" s="4" t="s">
        <v>6255</v>
      </c>
      <c r="F5627" s="4" t="s">
        <v>470</v>
      </c>
      <c r="G5627" s="4" t="s">
        <v>6256</v>
      </c>
      <c r="H5627" s="12" t="n">
        <v>1</v>
      </c>
      <c r="I5627" s="4" t="s">
        <v>408</v>
      </c>
      <c r="J5627" s="4" t="s">
        <v>409</v>
      </c>
      <c r="K5627" s="13" t="n">
        <v>8500</v>
      </c>
      <c r="L5627" s="6" t="n">
        <f aca="false">H5627*K5627</f>
        <v>8500</v>
      </c>
      <c r="M5627" s="4" t="s">
        <v>371</v>
      </c>
    </row>
    <row r="5628" customFormat="false" ht="15" hidden="false" customHeight="false" outlineLevel="0" collapsed="false">
      <c r="A5628" s="4" t="s">
        <v>283</v>
      </c>
      <c r="B5628" s="5" t="s">
        <v>286</v>
      </c>
      <c r="C5628" s="5" t="s">
        <v>287</v>
      </c>
      <c r="D5628" s="4" t="s">
        <v>16</v>
      </c>
      <c r="E5628" s="4" t="s">
        <v>6257</v>
      </c>
      <c r="F5628" s="4" t="s">
        <v>470</v>
      </c>
      <c r="G5628" s="4" t="s">
        <v>6258</v>
      </c>
      <c r="H5628" s="12" t="n">
        <v>1</v>
      </c>
      <c r="I5628" s="4" t="s">
        <v>408</v>
      </c>
      <c r="J5628" s="4" t="s">
        <v>409</v>
      </c>
      <c r="K5628" s="13" t="n">
        <v>2500</v>
      </c>
      <c r="L5628" s="6" t="n">
        <f aca="false">H5628*K5628</f>
        <v>2500</v>
      </c>
      <c r="M5628" s="4" t="s">
        <v>371</v>
      </c>
    </row>
    <row r="5629" customFormat="false" ht="15" hidden="false" customHeight="false" outlineLevel="0" collapsed="false">
      <c r="A5629" s="4" t="s">
        <v>283</v>
      </c>
      <c r="B5629" s="5" t="s">
        <v>286</v>
      </c>
      <c r="C5629" s="5" t="s">
        <v>287</v>
      </c>
      <c r="D5629" s="4" t="s">
        <v>16</v>
      </c>
      <c r="E5629" s="4" t="s">
        <v>6259</v>
      </c>
      <c r="F5629" s="4" t="s">
        <v>470</v>
      </c>
      <c r="G5629" s="4" t="s">
        <v>6260</v>
      </c>
      <c r="H5629" s="12" t="n">
        <v>1</v>
      </c>
      <c r="I5629" s="4" t="s">
        <v>408</v>
      </c>
      <c r="J5629" s="4" t="s">
        <v>409</v>
      </c>
      <c r="K5629" s="13" t="n">
        <v>25000</v>
      </c>
      <c r="L5629" s="6" t="n">
        <f aca="false">H5629*K5629</f>
        <v>25000</v>
      </c>
      <c r="M5629" s="4" t="s">
        <v>371</v>
      </c>
    </row>
    <row r="5630" customFormat="false" ht="15" hidden="false" customHeight="false" outlineLevel="0" collapsed="false">
      <c r="A5630" s="4" t="s">
        <v>283</v>
      </c>
      <c r="B5630" s="5" t="s">
        <v>286</v>
      </c>
      <c r="C5630" s="5" t="s">
        <v>287</v>
      </c>
      <c r="D5630" s="4" t="s">
        <v>16</v>
      </c>
      <c r="E5630" s="4" t="s">
        <v>6261</v>
      </c>
      <c r="F5630" s="4" t="s">
        <v>470</v>
      </c>
      <c r="G5630" s="4" t="s">
        <v>6262</v>
      </c>
      <c r="H5630" s="12" t="n">
        <v>1</v>
      </c>
      <c r="I5630" s="4" t="s">
        <v>408</v>
      </c>
      <c r="J5630" s="4" t="s">
        <v>409</v>
      </c>
      <c r="K5630" s="13" t="n">
        <v>2500</v>
      </c>
      <c r="L5630" s="6" t="n">
        <f aca="false">H5630*K5630</f>
        <v>2500</v>
      </c>
      <c r="M5630" s="4" t="s">
        <v>371</v>
      </c>
    </row>
    <row r="5631" customFormat="false" ht="15" hidden="false" customHeight="false" outlineLevel="0" collapsed="false">
      <c r="A5631" s="4" t="s">
        <v>283</v>
      </c>
      <c r="B5631" s="5" t="s">
        <v>286</v>
      </c>
      <c r="C5631" s="5" t="s">
        <v>287</v>
      </c>
      <c r="D5631" s="4" t="s">
        <v>16</v>
      </c>
      <c r="E5631" s="4" t="s">
        <v>6263</v>
      </c>
      <c r="F5631" s="4" t="s">
        <v>470</v>
      </c>
      <c r="G5631" s="4" t="s">
        <v>6264</v>
      </c>
      <c r="H5631" s="12" t="n">
        <v>1</v>
      </c>
      <c r="I5631" s="4" t="s">
        <v>408</v>
      </c>
      <c r="J5631" s="4" t="s">
        <v>409</v>
      </c>
      <c r="K5631" s="13" t="n">
        <v>850</v>
      </c>
      <c r="L5631" s="6" t="n">
        <f aca="false">H5631*K5631</f>
        <v>850</v>
      </c>
      <c r="M5631" s="4" t="s">
        <v>371</v>
      </c>
    </row>
    <row r="5632" customFormat="false" ht="15" hidden="false" customHeight="false" outlineLevel="0" collapsed="false">
      <c r="A5632" s="4" t="s">
        <v>283</v>
      </c>
      <c r="B5632" s="5" t="s">
        <v>286</v>
      </c>
      <c r="C5632" s="5" t="s">
        <v>287</v>
      </c>
      <c r="D5632" s="4" t="s">
        <v>16</v>
      </c>
      <c r="E5632" s="4" t="s">
        <v>6265</v>
      </c>
      <c r="F5632" s="4" t="s">
        <v>470</v>
      </c>
      <c r="G5632" s="4" t="s">
        <v>6266</v>
      </c>
      <c r="H5632" s="12" t="n">
        <v>1</v>
      </c>
      <c r="I5632" s="4" t="s">
        <v>408</v>
      </c>
      <c r="J5632" s="4" t="s">
        <v>416</v>
      </c>
      <c r="K5632" s="13" t="n">
        <v>850</v>
      </c>
      <c r="L5632" s="6" t="n">
        <f aca="false">H5632*K5632</f>
        <v>850</v>
      </c>
      <c r="M5632" s="4" t="s">
        <v>371</v>
      </c>
    </row>
    <row r="5633" customFormat="false" ht="15" hidden="false" customHeight="false" outlineLevel="0" collapsed="false">
      <c r="A5633" s="4" t="s">
        <v>283</v>
      </c>
      <c r="B5633" s="5" t="s">
        <v>286</v>
      </c>
      <c r="C5633" s="5" t="s">
        <v>287</v>
      </c>
      <c r="D5633" s="4" t="s">
        <v>16</v>
      </c>
      <c r="E5633" s="4" t="s">
        <v>6267</v>
      </c>
      <c r="F5633" s="4" t="s">
        <v>470</v>
      </c>
      <c r="G5633" s="4" t="s">
        <v>6268</v>
      </c>
      <c r="H5633" s="12" t="n">
        <v>1</v>
      </c>
      <c r="I5633" s="4" t="s">
        <v>408</v>
      </c>
      <c r="J5633" s="4" t="s">
        <v>416</v>
      </c>
      <c r="K5633" s="13" t="n">
        <v>8500</v>
      </c>
      <c r="L5633" s="6" t="n">
        <f aca="false">H5633*K5633</f>
        <v>8500</v>
      </c>
      <c r="M5633" s="4" t="s">
        <v>371</v>
      </c>
    </row>
    <row r="5634" customFormat="false" ht="15" hidden="false" customHeight="false" outlineLevel="0" collapsed="false">
      <c r="A5634" s="4" t="s">
        <v>283</v>
      </c>
      <c r="B5634" s="5" t="s">
        <v>286</v>
      </c>
      <c r="C5634" s="5" t="s">
        <v>287</v>
      </c>
      <c r="D5634" s="4" t="s">
        <v>16</v>
      </c>
      <c r="E5634" s="4" t="s">
        <v>6269</v>
      </c>
      <c r="F5634" s="4" t="s">
        <v>470</v>
      </c>
      <c r="G5634" s="4" t="s">
        <v>6270</v>
      </c>
      <c r="H5634" s="12" t="n">
        <v>1</v>
      </c>
      <c r="I5634" s="4" t="s">
        <v>408</v>
      </c>
      <c r="J5634" s="4" t="s">
        <v>416</v>
      </c>
      <c r="K5634" s="13" t="n">
        <v>1000</v>
      </c>
      <c r="L5634" s="6" t="n">
        <f aca="false">H5634*K5634</f>
        <v>1000</v>
      </c>
      <c r="M5634" s="4" t="s">
        <v>371</v>
      </c>
    </row>
    <row r="5635" customFormat="false" ht="15" hidden="false" customHeight="false" outlineLevel="0" collapsed="false">
      <c r="A5635" s="4" t="s">
        <v>283</v>
      </c>
      <c r="B5635" s="5" t="s">
        <v>286</v>
      </c>
      <c r="C5635" s="5" t="s">
        <v>287</v>
      </c>
      <c r="D5635" s="4" t="s">
        <v>16</v>
      </c>
      <c r="E5635" s="4" t="s">
        <v>6271</v>
      </c>
      <c r="F5635" s="4" t="s">
        <v>470</v>
      </c>
      <c r="G5635" s="4" t="s">
        <v>6272</v>
      </c>
      <c r="H5635" s="12" t="n">
        <v>1</v>
      </c>
      <c r="I5635" s="4" t="s">
        <v>408</v>
      </c>
      <c r="J5635" s="4" t="s">
        <v>416</v>
      </c>
      <c r="K5635" s="13" t="n">
        <v>850</v>
      </c>
      <c r="L5635" s="6" t="n">
        <f aca="false">H5635*K5635</f>
        <v>850</v>
      </c>
      <c r="M5635" s="4" t="s">
        <v>371</v>
      </c>
    </row>
    <row r="5636" customFormat="false" ht="15" hidden="false" customHeight="false" outlineLevel="0" collapsed="false">
      <c r="A5636" s="4" t="s">
        <v>283</v>
      </c>
      <c r="B5636" s="5" t="s">
        <v>286</v>
      </c>
      <c r="C5636" s="5" t="s">
        <v>287</v>
      </c>
      <c r="D5636" s="4" t="s">
        <v>16</v>
      </c>
      <c r="E5636" s="4" t="s">
        <v>2301</v>
      </c>
      <c r="F5636" s="4" t="s">
        <v>470</v>
      </c>
      <c r="G5636" s="4" t="s">
        <v>2302</v>
      </c>
      <c r="H5636" s="12" t="n">
        <v>1</v>
      </c>
      <c r="I5636" s="4" t="s">
        <v>408</v>
      </c>
      <c r="J5636" s="4" t="s">
        <v>409</v>
      </c>
      <c r="K5636" s="13" t="n">
        <v>8500</v>
      </c>
      <c r="L5636" s="6" t="n">
        <f aca="false">H5636*K5636</f>
        <v>8500</v>
      </c>
      <c r="M5636" s="4" t="s">
        <v>371</v>
      </c>
    </row>
    <row r="5637" customFormat="false" ht="15" hidden="false" customHeight="false" outlineLevel="0" collapsed="false">
      <c r="A5637" s="4" t="s">
        <v>283</v>
      </c>
      <c r="B5637" s="5" t="s">
        <v>286</v>
      </c>
      <c r="C5637" s="5" t="s">
        <v>287</v>
      </c>
      <c r="D5637" s="4" t="s">
        <v>16</v>
      </c>
      <c r="E5637" s="4" t="s">
        <v>2303</v>
      </c>
      <c r="F5637" s="4" t="s">
        <v>470</v>
      </c>
      <c r="G5637" s="4" t="s">
        <v>2304</v>
      </c>
      <c r="H5637" s="12" t="n">
        <v>1</v>
      </c>
      <c r="I5637" s="4" t="s">
        <v>408</v>
      </c>
      <c r="J5637" s="4" t="s">
        <v>409</v>
      </c>
      <c r="K5637" s="13" t="n">
        <v>3500</v>
      </c>
      <c r="L5637" s="6" t="n">
        <f aca="false">H5637*K5637</f>
        <v>3500</v>
      </c>
      <c r="M5637" s="4" t="s">
        <v>371</v>
      </c>
    </row>
    <row r="5638" customFormat="false" ht="15" hidden="false" customHeight="false" outlineLevel="0" collapsed="false">
      <c r="A5638" s="4" t="s">
        <v>283</v>
      </c>
      <c r="B5638" s="5" t="s">
        <v>286</v>
      </c>
      <c r="C5638" s="5" t="s">
        <v>287</v>
      </c>
      <c r="D5638" s="4" t="s">
        <v>16</v>
      </c>
      <c r="E5638" s="4" t="s">
        <v>6273</v>
      </c>
      <c r="F5638" s="4" t="s">
        <v>470</v>
      </c>
      <c r="G5638" s="4" t="s">
        <v>6274</v>
      </c>
      <c r="H5638" s="12" t="n">
        <v>1</v>
      </c>
      <c r="I5638" s="4" t="s">
        <v>408</v>
      </c>
      <c r="J5638" s="4" t="s">
        <v>409</v>
      </c>
      <c r="K5638" s="13" t="n">
        <v>2500</v>
      </c>
      <c r="L5638" s="6" t="n">
        <f aca="false">H5638*K5638</f>
        <v>2500</v>
      </c>
      <c r="M5638" s="4" t="s">
        <v>371</v>
      </c>
    </row>
    <row r="5639" customFormat="false" ht="15" hidden="false" customHeight="false" outlineLevel="0" collapsed="false">
      <c r="A5639" s="4" t="s">
        <v>283</v>
      </c>
      <c r="B5639" s="5" t="s">
        <v>286</v>
      </c>
      <c r="C5639" s="5" t="s">
        <v>287</v>
      </c>
      <c r="D5639" s="4" t="s">
        <v>16</v>
      </c>
      <c r="E5639" s="4" t="s">
        <v>6275</v>
      </c>
      <c r="F5639" s="4" t="s">
        <v>488</v>
      </c>
      <c r="G5639" s="4" t="s">
        <v>6276</v>
      </c>
      <c r="H5639" s="12" t="n">
        <v>1</v>
      </c>
      <c r="I5639" s="4" t="s">
        <v>408</v>
      </c>
      <c r="J5639" s="4" t="s">
        <v>409</v>
      </c>
      <c r="K5639" s="13" t="n">
        <v>350</v>
      </c>
      <c r="L5639" s="6" t="n">
        <f aca="false">H5639*K5639</f>
        <v>350</v>
      </c>
      <c r="M5639" s="4" t="s">
        <v>371</v>
      </c>
    </row>
    <row r="5640" customFormat="false" ht="15" hidden="false" customHeight="false" outlineLevel="0" collapsed="false">
      <c r="A5640" s="4" t="s">
        <v>283</v>
      </c>
      <c r="B5640" s="5" t="s">
        <v>286</v>
      </c>
      <c r="C5640" s="5" t="s">
        <v>287</v>
      </c>
      <c r="D5640" s="4" t="s">
        <v>16</v>
      </c>
      <c r="E5640" s="4" t="s">
        <v>2463</v>
      </c>
      <c r="F5640" s="4" t="s">
        <v>488</v>
      </c>
      <c r="G5640" s="4" t="s">
        <v>2464</v>
      </c>
      <c r="H5640" s="12" t="n">
        <v>1</v>
      </c>
      <c r="I5640" s="4" t="s">
        <v>408</v>
      </c>
      <c r="J5640" s="4" t="s">
        <v>409</v>
      </c>
      <c r="K5640" s="13" t="n">
        <v>35</v>
      </c>
      <c r="L5640" s="6" t="n">
        <f aca="false">H5640*K5640</f>
        <v>35</v>
      </c>
      <c r="M5640" s="4" t="s">
        <v>371</v>
      </c>
    </row>
    <row r="5641" customFormat="false" ht="15" hidden="false" customHeight="false" outlineLevel="0" collapsed="false">
      <c r="A5641" s="4" t="s">
        <v>283</v>
      </c>
      <c r="B5641" s="5" t="s">
        <v>286</v>
      </c>
      <c r="C5641" s="5" t="s">
        <v>287</v>
      </c>
      <c r="D5641" s="4" t="s">
        <v>16</v>
      </c>
      <c r="E5641" s="4" t="s">
        <v>2465</v>
      </c>
      <c r="F5641" s="4" t="s">
        <v>488</v>
      </c>
      <c r="G5641" s="4" t="s">
        <v>2466</v>
      </c>
      <c r="H5641" s="12" t="n">
        <v>1</v>
      </c>
      <c r="I5641" s="4" t="s">
        <v>408</v>
      </c>
      <c r="J5641" s="4" t="s">
        <v>506</v>
      </c>
      <c r="K5641" s="13" t="n">
        <v>100</v>
      </c>
      <c r="L5641" s="6" t="n">
        <f aca="false">H5641*K5641</f>
        <v>100</v>
      </c>
      <c r="M5641" s="4" t="s">
        <v>371</v>
      </c>
    </row>
    <row r="5642" customFormat="false" ht="15" hidden="false" customHeight="false" outlineLevel="0" collapsed="false">
      <c r="A5642" s="4" t="s">
        <v>283</v>
      </c>
      <c r="B5642" s="5" t="s">
        <v>286</v>
      </c>
      <c r="C5642" s="5" t="s">
        <v>287</v>
      </c>
      <c r="D5642" s="4" t="s">
        <v>16</v>
      </c>
      <c r="E5642" s="4" t="s">
        <v>6277</v>
      </c>
      <c r="F5642" s="4" t="s">
        <v>488</v>
      </c>
      <c r="G5642" s="4" t="s">
        <v>6278</v>
      </c>
      <c r="H5642" s="12" t="n">
        <v>1</v>
      </c>
      <c r="I5642" s="4" t="s">
        <v>408</v>
      </c>
      <c r="J5642" s="4" t="s">
        <v>506</v>
      </c>
      <c r="K5642" s="13" t="n">
        <v>100</v>
      </c>
      <c r="L5642" s="6" t="n">
        <f aca="false">H5642*K5642</f>
        <v>100</v>
      </c>
      <c r="M5642" s="4" t="s">
        <v>371</v>
      </c>
    </row>
    <row r="5643" customFormat="false" ht="15" hidden="false" customHeight="false" outlineLevel="0" collapsed="false">
      <c r="A5643" s="4" t="s">
        <v>283</v>
      </c>
      <c r="B5643" s="5" t="s">
        <v>286</v>
      </c>
      <c r="C5643" s="5" t="s">
        <v>287</v>
      </c>
      <c r="D5643" s="4" t="s">
        <v>16</v>
      </c>
      <c r="E5643" s="4" t="s">
        <v>2467</v>
      </c>
      <c r="F5643" s="4" t="s">
        <v>488</v>
      </c>
      <c r="G5643" s="4" t="s">
        <v>2468</v>
      </c>
      <c r="H5643" s="12" t="n">
        <v>1</v>
      </c>
      <c r="I5643" s="4" t="s">
        <v>408</v>
      </c>
      <c r="J5643" s="4" t="s">
        <v>409</v>
      </c>
      <c r="K5643" s="13" t="n">
        <v>15</v>
      </c>
      <c r="L5643" s="6" t="n">
        <f aca="false">H5643*K5643</f>
        <v>15</v>
      </c>
      <c r="M5643" s="4" t="s">
        <v>371</v>
      </c>
    </row>
    <row r="5644" customFormat="false" ht="15" hidden="false" customHeight="false" outlineLevel="0" collapsed="false">
      <c r="A5644" s="4" t="s">
        <v>283</v>
      </c>
      <c r="B5644" s="5" t="s">
        <v>286</v>
      </c>
      <c r="C5644" s="5" t="s">
        <v>287</v>
      </c>
      <c r="D5644" s="4" t="s">
        <v>16</v>
      </c>
      <c r="E5644" s="4" t="s">
        <v>6279</v>
      </c>
      <c r="F5644" s="4" t="s">
        <v>488</v>
      </c>
      <c r="G5644" s="4" t="s">
        <v>6280</v>
      </c>
      <c r="H5644" s="12" t="n">
        <v>1</v>
      </c>
      <c r="I5644" s="4" t="s">
        <v>408</v>
      </c>
      <c r="J5644" s="4" t="s">
        <v>506</v>
      </c>
      <c r="K5644" s="13" t="n">
        <v>150</v>
      </c>
      <c r="L5644" s="6" t="n">
        <f aca="false">H5644*K5644</f>
        <v>150</v>
      </c>
      <c r="M5644" s="4" t="s">
        <v>371</v>
      </c>
    </row>
    <row r="5645" customFormat="false" ht="15" hidden="false" customHeight="false" outlineLevel="0" collapsed="false">
      <c r="A5645" s="4" t="s">
        <v>283</v>
      </c>
      <c r="B5645" s="5" t="s">
        <v>286</v>
      </c>
      <c r="C5645" s="5" t="s">
        <v>287</v>
      </c>
      <c r="D5645" s="4" t="s">
        <v>16</v>
      </c>
      <c r="E5645" s="4" t="s">
        <v>2469</v>
      </c>
      <c r="F5645" s="4" t="s">
        <v>488</v>
      </c>
      <c r="G5645" s="4" t="s">
        <v>2470</v>
      </c>
      <c r="H5645" s="12" t="n">
        <v>1</v>
      </c>
      <c r="I5645" s="4" t="s">
        <v>408</v>
      </c>
      <c r="J5645" s="4" t="s">
        <v>409</v>
      </c>
      <c r="K5645" s="13" t="n">
        <v>10</v>
      </c>
      <c r="L5645" s="6" t="n">
        <f aca="false">H5645*K5645</f>
        <v>10</v>
      </c>
      <c r="M5645" s="4" t="s">
        <v>371</v>
      </c>
    </row>
    <row r="5646" customFormat="false" ht="15" hidden="false" customHeight="false" outlineLevel="0" collapsed="false">
      <c r="A5646" s="4" t="s">
        <v>283</v>
      </c>
      <c r="B5646" s="5" t="s">
        <v>288</v>
      </c>
      <c r="C5646" s="5" t="s">
        <v>289</v>
      </c>
      <c r="D5646" s="4" t="s">
        <v>16</v>
      </c>
      <c r="E5646" s="4" t="s">
        <v>2225</v>
      </c>
      <c r="F5646" s="4" t="s">
        <v>406</v>
      </c>
      <c r="G5646" s="4" t="s">
        <v>2226</v>
      </c>
      <c r="H5646" s="12" t="n">
        <v>1</v>
      </c>
      <c r="I5646" s="4" t="s">
        <v>408</v>
      </c>
      <c r="J5646" s="4" t="s">
        <v>409</v>
      </c>
      <c r="K5646" s="13" t="n">
        <v>350</v>
      </c>
      <c r="L5646" s="6" t="n">
        <f aca="false">H5646*K5646</f>
        <v>350</v>
      </c>
      <c r="M5646" s="14" t="s">
        <v>410</v>
      </c>
    </row>
    <row r="5647" customFormat="false" ht="15" hidden="false" customHeight="false" outlineLevel="0" collapsed="false">
      <c r="A5647" s="4" t="s">
        <v>283</v>
      </c>
      <c r="B5647" s="5" t="s">
        <v>288</v>
      </c>
      <c r="C5647" s="5" t="s">
        <v>289</v>
      </c>
      <c r="D5647" s="4" t="s">
        <v>16</v>
      </c>
      <c r="E5647" s="4" t="s">
        <v>2449</v>
      </c>
      <c r="F5647" s="4" t="s">
        <v>406</v>
      </c>
      <c r="G5647" s="4" t="s">
        <v>2450</v>
      </c>
      <c r="H5647" s="12" t="n">
        <v>1</v>
      </c>
      <c r="I5647" s="4" t="s">
        <v>408</v>
      </c>
      <c r="J5647" s="4" t="s">
        <v>409</v>
      </c>
      <c r="K5647" s="13" t="n">
        <v>8500</v>
      </c>
      <c r="L5647" s="6" t="n">
        <f aca="false">H5647*K5647</f>
        <v>8500</v>
      </c>
      <c r="M5647" s="4" t="s">
        <v>371</v>
      </c>
    </row>
    <row r="5648" customFormat="false" ht="15" hidden="false" customHeight="false" outlineLevel="0" collapsed="false">
      <c r="A5648" s="4" t="s">
        <v>283</v>
      </c>
      <c r="B5648" s="5" t="s">
        <v>288</v>
      </c>
      <c r="C5648" s="5" t="s">
        <v>289</v>
      </c>
      <c r="D5648" s="4" t="s">
        <v>16</v>
      </c>
      <c r="E5648" s="4" t="s">
        <v>2257</v>
      </c>
      <c r="F5648" s="4" t="s">
        <v>406</v>
      </c>
      <c r="G5648" s="4" t="s">
        <v>2258</v>
      </c>
      <c r="H5648" s="12" t="n">
        <v>1</v>
      </c>
      <c r="I5648" s="4" t="s">
        <v>408</v>
      </c>
      <c r="J5648" s="4" t="s">
        <v>409</v>
      </c>
      <c r="K5648" s="13" t="n">
        <v>6500</v>
      </c>
      <c r="L5648" s="6" t="n">
        <f aca="false">H5648*K5648</f>
        <v>6500</v>
      </c>
      <c r="M5648" s="14" t="s">
        <v>410</v>
      </c>
    </row>
    <row r="5649" customFormat="false" ht="15" hidden="false" customHeight="false" outlineLevel="0" collapsed="false">
      <c r="A5649" s="4" t="s">
        <v>283</v>
      </c>
      <c r="B5649" s="5" t="s">
        <v>288</v>
      </c>
      <c r="C5649" s="5" t="s">
        <v>289</v>
      </c>
      <c r="D5649" s="4" t="s">
        <v>16</v>
      </c>
      <c r="E5649" s="4" t="s">
        <v>2259</v>
      </c>
      <c r="F5649" s="4" t="s">
        <v>406</v>
      </c>
      <c r="G5649" s="4" t="s">
        <v>2260</v>
      </c>
      <c r="H5649" s="12" t="n">
        <v>1</v>
      </c>
      <c r="I5649" s="4" t="s">
        <v>408</v>
      </c>
      <c r="J5649" s="4" t="s">
        <v>409</v>
      </c>
      <c r="K5649" s="13" t="n">
        <v>85000</v>
      </c>
      <c r="L5649" s="6" t="n">
        <f aca="false">H5649*K5649</f>
        <v>85000</v>
      </c>
      <c r="M5649" s="14" t="s">
        <v>410</v>
      </c>
    </row>
    <row r="5650" customFormat="false" ht="15" hidden="false" customHeight="false" outlineLevel="0" collapsed="false">
      <c r="A5650" s="4" t="s">
        <v>283</v>
      </c>
      <c r="B5650" s="5" t="s">
        <v>288</v>
      </c>
      <c r="C5650" s="5" t="s">
        <v>289</v>
      </c>
      <c r="D5650" s="4" t="s">
        <v>16</v>
      </c>
      <c r="E5650" s="4" t="s">
        <v>2261</v>
      </c>
      <c r="F5650" s="4" t="s">
        <v>406</v>
      </c>
      <c r="G5650" s="4" t="s">
        <v>2262</v>
      </c>
      <c r="H5650" s="12" t="n">
        <v>1</v>
      </c>
      <c r="I5650" s="4" t="s">
        <v>408</v>
      </c>
      <c r="J5650" s="4" t="s">
        <v>409</v>
      </c>
      <c r="K5650" s="13" t="n">
        <v>18000</v>
      </c>
      <c r="L5650" s="6" t="n">
        <f aca="false">H5650*K5650</f>
        <v>18000</v>
      </c>
      <c r="M5650" s="14" t="s">
        <v>410</v>
      </c>
    </row>
    <row r="5651" customFormat="false" ht="15" hidden="false" customHeight="false" outlineLevel="0" collapsed="false">
      <c r="A5651" s="4" t="s">
        <v>283</v>
      </c>
      <c r="B5651" s="5" t="s">
        <v>288</v>
      </c>
      <c r="C5651" s="5" t="s">
        <v>289</v>
      </c>
      <c r="D5651" s="4" t="s">
        <v>16</v>
      </c>
      <c r="E5651" s="4" t="s">
        <v>2263</v>
      </c>
      <c r="F5651" s="4" t="s">
        <v>406</v>
      </c>
      <c r="G5651" s="4" t="s">
        <v>2264</v>
      </c>
      <c r="H5651" s="12" t="n">
        <v>1</v>
      </c>
      <c r="I5651" s="4" t="s">
        <v>408</v>
      </c>
      <c r="J5651" s="4" t="s">
        <v>409</v>
      </c>
      <c r="K5651" s="13" t="n">
        <v>25000</v>
      </c>
      <c r="L5651" s="6" t="n">
        <f aca="false">H5651*K5651</f>
        <v>25000</v>
      </c>
      <c r="M5651" s="4" t="s">
        <v>371</v>
      </c>
    </row>
    <row r="5652" customFormat="false" ht="15" hidden="false" customHeight="false" outlineLevel="0" collapsed="false">
      <c r="A5652" s="4" t="s">
        <v>283</v>
      </c>
      <c r="B5652" s="5" t="s">
        <v>288</v>
      </c>
      <c r="C5652" s="5" t="s">
        <v>289</v>
      </c>
      <c r="D5652" s="4" t="s">
        <v>16</v>
      </c>
      <c r="E5652" s="4" t="s">
        <v>6242</v>
      </c>
      <c r="F5652" s="4" t="s">
        <v>406</v>
      </c>
      <c r="G5652" s="4" t="s">
        <v>6243</v>
      </c>
      <c r="H5652" s="12" t="n">
        <v>1</v>
      </c>
      <c r="I5652" s="4" t="s">
        <v>408</v>
      </c>
      <c r="J5652" s="4" t="s">
        <v>416</v>
      </c>
      <c r="K5652" s="13" t="n">
        <v>8500</v>
      </c>
      <c r="L5652" s="6" t="n">
        <f aca="false">H5652*K5652</f>
        <v>8500</v>
      </c>
      <c r="M5652" s="4" t="s">
        <v>371</v>
      </c>
    </row>
    <row r="5653" customFormat="false" ht="15" hidden="false" customHeight="false" outlineLevel="0" collapsed="false">
      <c r="A5653" s="4" t="s">
        <v>283</v>
      </c>
      <c r="B5653" s="5" t="s">
        <v>288</v>
      </c>
      <c r="C5653" s="5" t="s">
        <v>289</v>
      </c>
      <c r="D5653" s="4" t="s">
        <v>16</v>
      </c>
      <c r="E5653" s="4" t="s">
        <v>2271</v>
      </c>
      <c r="F5653" s="4" t="s">
        <v>470</v>
      </c>
      <c r="G5653" s="4" t="s">
        <v>2272</v>
      </c>
      <c r="H5653" s="12" t="n">
        <v>1</v>
      </c>
      <c r="I5653" s="4" t="s">
        <v>408</v>
      </c>
      <c r="J5653" s="4" t="s">
        <v>409</v>
      </c>
      <c r="K5653" s="13" t="n">
        <v>4500</v>
      </c>
      <c r="L5653" s="6" t="n">
        <f aca="false">H5653*K5653</f>
        <v>4500</v>
      </c>
      <c r="M5653" s="14" t="s">
        <v>410</v>
      </c>
    </row>
    <row r="5654" customFormat="false" ht="15" hidden="false" customHeight="false" outlineLevel="0" collapsed="false">
      <c r="A5654" s="4" t="s">
        <v>283</v>
      </c>
      <c r="B5654" s="5" t="s">
        <v>288</v>
      </c>
      <c r="C5654" s="5" t="s">
        <v>289</v>
      </c>
      <c r="D5654" s="4" t="s">
        <v>16</v>
      </c>
      <c r="E5654" s="4" t="s">
        <v>2273</v>
      </c>
      <c r="F5654" s="4" t="s">
        <v>470</v>
      </c>
      <c r="G5654" s="4" t="s">
        <v>2274</v>
      </c>
      <c r="H5654" s="12" t="n">
        <v>1</v>
      </c>
      <c r="I5654" s="4" t="s">
        <v>408</v>
      </c>
      <c r="J5654" s="4" t="s">
        <v>409</v>
      </c>
      <c r="K5654" s="13" t="n">
        <v>25000</v>
      </c>
      <c r="L5654" s="6" t="n">
        <f aca="false">H5654*K5654</f>
        <v>25000</v>
      </c>
      <c r="M5654" s="14" t="s">
        <v>410</v>
      </c>
    </row>
    <row r="5655" customFormat="false" ht="15" hidden="false" customHeight="false" outlineLevel="0" collapsed="false">
      <c r="A5655" s="4" t="s">
        <v>283</v>
      </c>
      <c r="B5655" s="5" t="s">
        <v>288</v>
      </c>
      <c r="C5655" s="5" t="s">
        <v>289</v>
      </c>
      <c r="D5655" s="4" t="s">
        <v>16</v>
      </c>
      <c r="E5655" s="4" t="s">
        <v>2163</v>
      </c>
      <c r="F5655" s="4" t="s">
        <v>470</v>
      </c>
      <c r="G5655" s="4" t="s">
        <v>2164</v>
      </c>
      <c r="H5655" s="12" t="n">
        <v>1</v>
      </c>
      <c r="I5655" s="4" t="s">
        <v>408</v>
      </c>
      <c r="J5655" s="4" t="s">
        <v>409</v>
      </c>
      <c r="K5655" s="13" t="n">
        <v>35000</v>
      </c>
      <c r="L5655" s="6" t="n">
        <f aca="false">H5655*K5655</f>
        <v>35000</v>
      </c>
      <c r="M5655" s="14" t="s">
        <v>410</v>
      </c>
    </row>
    <row r="5656" customFormat="false" ht="15" hidden="false" customHeight="false" outlineLevel="0" collapsed="false">
      <c r="A5656" s="4" t="s">
        <v>283</v>
      </c>
      <c r="B5656" s="5" t="s">
        <v>288</v>
      </c>
      <c r="C5656" s="5" t="s">
        <v>289</v>
      </c>
      <c r="D5656" s="4" t="s">
        <v>16</v>
      </c>
      <c r="E5656" s="4" t="s">
        <v>1058</v>
      </c>
      <c r="F5656" s="4" t="s">
        <v>470</v>
      </c>
      <c r="G5656" s="4" t="s">
        <v>1059</v>
      </c>
      <c r="H5656" s="12" t="n">
        <v>1</v>
      </c>
      <c r="I5656" s="4" t="s">
        <v>408</v>
      </c>
      <c r="J5656" s="4" t="s">
        <v>409</v>
      </c>
      <c r="K5656" s="13" t="n">
        <v>45000</v>
      </c>
      <c r="L5656" s="6" t="n">
        <f aca="false">H5656*K5656</f>
        <v>45000</v>
      </c>
      <c r="M5656" s="14" t="s">
        <v>410</v>
      </c>
    </row>
    <row r="5657" customFormat="false" ht="15" hidden="false" customHeight="false" outlineLevel="0" collapsed="false">
      <c r="A5657" s="4" t="s">
        <v>283</v>
      </c>
      <c r="B5657" s="5" t="s">
        <v>288</v>
      </c>
      <c r="C5657" s="5" t="s">
        <v>289</v>
      </c>
      <c r="D5657" s="4" t="s">
        <v>16</v>
      </c>
      <c r="E5657" s="4" t="s">
        <v>2451</v>
      </c>
      <c r="F5657" s="4" t="s">
        <v>470</v>
      </c>
      <c r="G5657" s="4" t="s">
        <v>2452</v>
      </c>
      <c r="H5657" s="12" t="n">
        <v>1</v>
      </c>
      <c r="I5657" s="4" t="s">
        <v>408</v>
      </c>
      <c r="J5657" s="4" t="s">
        <v>409</v>
      </c>
      <c r="K5657" s="13" t="n">
        <v>8500</v>
      </c>
      <c r="L5657" s="6" t="n">
        <f aca="false">H5657*K5657</f>
        <v>8500</v>
      </c>
      <c r="M5657" s="4" t="s">
        <v>371</v>
      </c>
    </row>
    <row r="5658" customFormat="false" ht="15" hidden="false" customHeight="false" outlineLevel="0" collapsed="false">
      <c r="A5658" s="4" t="s">
        <v>283</v>
      </c>
      <c r="B5658" s="5" t="s">
        <v>288</v>
      </c>
      <c r="C5658" s="5" t="s">
        <v>289</v>
      </c>
      <c r="D5658" s="4" t="s">
        <v>16</v>
      </c>
      <c r="E5658" s="4" t="s">
        <v>2453</v>
      </c>
      <c r="F5658" s="4" t="s">
        <v>470</v>
      </c>
      <c r="G5658" s="4" t="s">
        <v>2454</v>
      </c>
      <c r="H5658" s="12" t="n">
        <v>1</v>
      </c>
      <c r="I5658" s="4" t="s">
        <v>408</v>
      </c>
      <c r="J5658" s="4" t="s">
        <v>409</v>
      </c>
      <c r="K5658" s="13" t="n">
        <v>18000</v>
      </c>
      <c r="L5658" s="6" t="n">
        <f aca="false">H5658*K5658</f>
        <v>18000</v>
      </c>
      <c r="M5658" s="4" t="s">
        <v>371</v>
      </c>
    </row>
    <row r="5659" customFormat="false" ht="15" hidden="false" customHeight="false" outlineLevel="0" collapsed="false">
      <c r="A5659" s="4" t="s">
        <v>283</v>
      </c>
      <c r="B5659" s="5" t="s">
        <v>288</v>
      </c>
      <c r="C5659" s="5" t="s">
        <v>289</v>
      </c>
      <c r="D5659" s="4" t="s">
        <v>16</v>
      </c>
      <c r="E5659" s="4" t="s">
        <v>2455</v>
      </c>
      <c r="F5659" s="4" t="s">
        <v>470</v>
      </c>
      <c r="G5659" s="4" t="s">
        <v>2456</v>
      </c>
      <c r="H5659" s="12" t="n">
        <v>1</v>
      </c>
      <c r="I5659" s="4" t="s">
        <v>408</v>
      </c>
      <c r="J5659" s="4" t="s">
        <v>409</v>
      </c>
      <c r="K5659" s="13" t="n">
        <v>25000</v>
      </c>
      <c r="L5659" s="6" t="n">
        <f aca="false">H5659*K5659</f>
        <v>25000</v>
      </c>
      <c r="M5659" s="4" t="s">
        <v>371</v>
      </c>
    </row>
    <row r="5660" customFormat="false" ht="15" hidden="false" customHeight="false" outlineLevel="0" collapsed="false">
      <c r="A5660" s="4" t="s">
        <v>283</v>
      </c>
      <c r="B5660" s="5" t="s">
        <v>288</v>
      </c>
      <c r="C5660" s="5" t="s">
        <v>289</v>
      </c>
      <c r="D5660" s="4" t="s">
        <v>16</v>
      </c>
      <c r="E5660" s="4" t="s">
        <v>1089</v>
      </c>
      <c r="F5660" s="4" t="s">
        <v>470</v>
      </c>
      <c r="G5660" s="4" t="s">
        <v>1090</v>
      </c>
      <c r="H5660" s="12" t="n">
        <v>1</v>
      </c>
      <c r="I5660" s="4" t="s">
        <v>408</v>
      </c>
      <c r="J5660" s="4" t="s">
        <v>409</v>
      </c>
      <c r="K5660" s="13" t="n">
        <v>3500</v>
      </c>
      <c r="L5660" s="6" t="n">
        <f aca="false">H5660*K5660</f>
        <v>3500</v>
      </c>
      <c r="M5660" s="4" t="s">
        <v>371</v>
      </c>
    </row>
    <row r="5661" customFormat="false" ht="15" hidden="false" customHeight="false" outlineLevel="0" collapsed="false">
      <c r="A5661" s="4" t="s">
        <v>283</v>
      </c>
      <c r="B5661" s="5" t="s">
        <v>288</v>
      </c>
      <c r="C5661" s="5" t="s">
        <v>289</v>
      </c>
      <c r="D5661" s="4" t="s">
        <v>16</v>
      </c>
      <c r="E5661" s="4" t="s">
        <v>2289</v>
      </c>
      <c r="F5661" s="4" t="s">
        <v>470</v>
      </c>
      <c r="G5661" s="4" t="s">
        <v>2290</v>
      </c>
      <c r="H5661" s="12" t="n">
        <v>1</v>
      </c>
      <c r="I5661" s="4" t="s">
        <v>408</v>
      </c>
      <c r="J5661" s="4" t="s">
        <v>409</v>
      </c>
      <c r="K5661" s="13" t="n">
        <v>2500</v>
      </c>
      <c r="L5661" s="6" t="n">
        <f aca="false">H5661*K5661</f>
        <v>2500</v>
      </c>
      <c r="M5661" s="4" t="s">
        <v>371</v>
      </c>
    </row>
    <row r="5662" customFormat="false" ht="15" hidden="false" customHeight="false" outlineLevel="0" collapsed="false">
      <c r="A5662" s="4" t="s">
        <v>283</v>
      </c>
      <c r="B5662" s="5" t="s">
        <v>288</v>
      </c>
      <c r="C5662" s="5" t="s">
        <v>289</v>
      </c>
      <c r="D5662" s="4" t="s">
        <v>16</v>
      </c>
      <c r="E5662" s="4" t="s">
        <v>6244</v>
      </c>
      <c r="F5662" s="4" t="s">
        <v>470</v>
      </c>
      <c r="G5662" s="4" t="s">
        <v>2360</v>
      </c>
      <c r="H5662" s="12" t="n">
        <v>1</v>
      </c>
      <c r="I5662" s="4" t="s">
        <v>408</v>
      </c>
      <c r="J5662" s="4" t="s">
        <v>416</v>
      </c>
      <c r="K5662" s="13" t="n">
        <v>4500</v>
      </c>
      <c r="L5662" s="6" t="n">
        <f aca="false">H5662*K5662</f>
        <v>4500</v>
      </c>
      <c r="M5662" s="4" t="s">
        <v>371</v>
      </c>
    </row>
    <row r="5663" customFormat="false" ht="15" hidden="false" customHeight="false" outlineLevel="0" collapsed="false">
      <c r="A5663" s="4" t="s">
        <v>283</v>
      </c>
      <c r="B5663" s="5" t="s">
        <v>288</v>
      </c>
      <c r="C5663" s="5" t="s">
        <v>289</v>
      </c>
      <c r="D5663" s="4" t="s">
        <v>16</v>
      </c>
      <c r="E5663" s="4" t="s">
        <v>2459</v>
      </c>
      <c r="F5663" s="4" t="s">
        <v>470</v>
      </c>
      <c r="G5663" s="4" t="s">
        <v>2460</v>
      </c>
      <c r="H5663" s="12" t="n">
        <v>1</v>
      </c>
      <c r="I5663" s="4" t="s">
        <v>408</v>
      </c>
      <c r="J5663" s="4" t="s">
        <v>416</v>
      </c>
      <c r="K5663" s="13" t="n">
        <v>2500</v>
      </c>
      <c r="L5663" s="6" t="n">
        <f aca="false">H5663*K5663</f>
        <v>2500</v>
      </c>
      <c r="M5663" s="4" t="s">
        <v>371</v>
      </c>
    </row>
    <row r="5664" customFormat="false" ht="15" hidden="false" customHeight="false" outlineLevel="0" collapsed="false">
      <c r="A5664" s="4" t="s">
        <v>283</v>
      </c>
      <c r="B5664" s="5" t="s">
        <v>288</v>
      </c>
      <c r="C5664" s="5" t="s">
        <v>289</v>
      </c>
      <c r="D5664" s="4" t="s">
        <v>16</v>
      </c>
      <c r="E5664" s="4" t="s">
        <v>2301</v>
      </c>
      <c r="F5664" s="4" t="s">
        <v>470</v>
      </c>
      <c r="G5664" s="4" t="s">
        <v>2302</v>
      </c>
      <c r="H5664" s="12" t="n">
        <v>1</v>
      </c>
      <c r="I5664" s="4" t="s">
        <v>408</v>
      </c>
      <c r="J5664" s="4" t="s">
        <v>409</v>
      </c>
      <c r="K5664" s="13" t="n">
        <v>8500</v>
      </c>
      <c r="L5664" s="6" t="n">
        <f aca="false">H5664*K5664</f>
        <v>8500</v>
      </c>
      <c r="M5664" s="4" t="s">
        <v>371</v>
      </c>
    </row>
    <row r="5665" customFormat="false" ht="15" hidden="false" customHeight="false" outlineLevel="0" collapsed="false">
      <c r="A5665" s="4" t="s">
        <v>283</v>
      </c>
      <c r="B5665" s="5" t="s">
        <v>288</v>
      </c>
      <c r="C5665" s="5" t="s">
        <v>289</v>
      </c>
      <c r="D5665" s="4" t="s">
        <v>16</v>
      </c>
      <c r="E5665" s="4" t="s">
        <v>2303</v>
      </c>
      <c r="F5665" s="4" t="s">
        <v>470</v>
      </c>
      <c r="G5665" s="4" t="s">
        <v>2304</v>
      </c>
      <c r="H5665" s="12" t="n">
        <v>1</v>
      </c>
      <c r="I5665" s="4" t="s">
        <v>408</v>
      </c>
      <c r="J5665" s="4" t="s">
        <v>409</v>
      </c>
      <c r="K5665" s="13" t="n">
        <v>3500</v>
      </c>
      <c r="L5665" s="6" t="n">
        <f aca="false">H5665*K5665</f>
        <v>3500</v>
      </c>
      <c r="M5665" s="4" t="s">
        <v>371</v>
      </c>
    </row>
    <row r="5666" customFormat="false" ht="15" hidden="false" customHeight="false" outlineLevel="0" collapsed="false">
      <c r="A5666" s="4" t="s">
        <v>283</v>
      </c>
      <c r="B5666" s="5" t="s">
        <v>288</v>
      </c>
      <c r="C5666" s="5" t="s">
        <v>289</v>
      </c>
      <c r="D5666" s="4" t="s">
        <v>16</v>
      </c>
      <c r="E5666" s="4" t="s">
        <v>2305</v>
      </c>
      <c r="F5666" s="4" t="s">
        <v>470</v>
      </c>
      <c r="G5666" s="4" t="s">
        <v>2306</v>
      </c>
      <c r="H5666" s="12" t="n">
        <v>1</v>
      </c>
      <c r="I5666" s="4" t="s">
        <v>408</v>
      </c>
      <c r="J5666" s="4" t="s">
        <v>409</v>
      </c>
      <c r="K5666" s="13" t="n">
        <v>850</v>
      </c>
      <c r="L5666" s="6" t="n">
        <f aca="false">H5666*K5666</f>
        <v>850</v>
      </c>
      <c r="M5666" s="4" t="s">
        <v>371</v>
      </c>
    </row>
    <row r="5667" customFormat="false" ht="15" hidden="false" customHeight="false" outlineLevel="0" collapsed="false">
      <c r="A5667" s="4" t="s">
        <v>283</v>
      </c>
      <c r="B5667" s="5" t="s">
        <v>288</v>
      </c>
      <c r="C5667" s="5" t="s">
        <v>289</v>
      </c>
      <c r="D5667" s="4" t="s">
        <v>16</v>
      </c>
      <c r="E5667" s="4" t="s">
        <v>2465</v>
      </c>
      <c r="F5667" s="4" t="s">
        <v>488</v>
      </c>
      <c r="G5667" s="4" t="s">
        <v>2466</v>
      </c>
      <c r="H5667" s="12" t="n">
        <v>1</v>
      </c>
      <c r="I5667" s="4" t="s">
        <v>408</v>
      </c>
      <c r="J5667" s="4" t="s">
        <v>506</v>
      </c>
      <c r="K5667" s="13" t="n">
        <v>100</v>
      </c>
      <c r="L5667" s="6" t="n">
        <f aca="false">H5667*K5667</f>
        <v>100</v>
      </c>
      <c r="M5667" s="4" t="s">
        <v>371</v>
      </c>
    </row>
    <row r="5668" customFormat="false" ht="15" hidden="false" customHeight="false" outlineLevel="0" collapsed="false">
      <c r="A5668" s="4" t="s">
        <v>283</v>
      </c>
      <c r="B5668" s="5" t="s">
        <v>288</v>
      </c>
      <c r="C5668" s="5" t="s">
        <v>289</v>
      </c>
      <c r="D5668" s="4" t="s">
        <v>16</v>
      </c>
      <c r="E5668" s="4" t="s">
        <v>2467</v>
      </c>
      <c r="F5668" s="4" t="s">
        <v>488</v>
      </c>
      <c r="G5668" s="4" t="s">
        <v>2468</v>
      </c>
      <c r="H5668" s="12" t="n">
        <v>1</v>
      </c>
      <c r="I5668" s="4" t="s">
        <v>408</v>
      </c>
      <c r="J5668" s="4" t="s">
        <v>409</v>
      </c>
      <c r="K5668" s="13" t="n">
        <v>15</v>
      </c>
      <c r="L5668" s="6" t="n">
        <f aca="false">H5668*K5668</f>
        <v>15</v>
      </c>
      <c r="M5668" s="4" t="s">
        <v>371</v>
      </c>
    </row>
    <row r="5669" customFormat="false" ht="15" hidden="false" customHeight="false" outlineLevel="0" collapsed="false">
      <c r="A5669" s="4" t="s">
        <v>283</v>
      </c>
      <c r="B5669" s="5" t="s">
        <v>288</v>
      </c>
      <c r="C5669" s="5" t="s">
        <v>289</v>
      </c>
      <c r="D5669" s="4" t="s">
        <v>16</v>
      </c>
      <c r="E5669" s="4" t="s">
        <v>2469</v>
      </c>
      <c r="F5669" s="4" t="s">
        <v>488</v>
      </c>
      <c r="G5669" s="4" t="s">
        <v>2470</v>
      </c>
      <c r="H5669" s="12" t="n">
        <v>1</v>
      </c>
      <c r="I5669" s="4" t="s">
        <v>408</v>
      </c>
      <c r="J5669" s="4" t="s">
        <v>409</v>
      </c>
      <c r="K5669" s="13" t="n">
        <v>10</v>
      </c>
      <c r="L5669" s="6" t="n">
        <f aca="false">H5669*K5669</f>
        <v>10</v>
      </c>
      <c r="M5669" s="4" t="s">
        <v>371</v>
      </c>
    </row>
    <row r="5670" customFormat="false" ht="15" hidden="false" customHeight="false" outlineLevel="0" collapsed="false">
      <c r="A5670" s="4" t="s">
        <v>283</v>
      </c>
      <c r="B5670" s="5" t="s">
        <v>288</v>
      </c>
      <c r="C5670" s="5" t="s">
        <v>289</v>
      </c>
      <c r="D5670" s="4" t="s">
        <v>16</v>
      </c>
      <c r="E5670" s="4" t="s">
        <v>2471</v>
      </c>
      <c r="F5670" s="4" t="s">
        <v>488</v>
      </c>
      <c r="G5670" s="4" t="s">
        <v>2472</v>
      </c>
      <c r="H5670" s="12" t="n">
        <v>1</v>
      </c>
      <c r="I5670" s="4" t="s">
        <v>408</v>
      </c>
      <c r="J5670" s="4" t="s">
        <v>506</v>
      </c>
      <c r="K5670" s="13" t="n">
        <v>120</v>
      </c>
      <c r="L5670" s="6" t="n">
        <f aca="false">H5670*K5670</f>
        <v>120</v>
      </c>
      <c r="M5670" s="4" t="s">
        <v>371</v>
      </c>
    </row>
    <row r="5671" customFormat="false" ht="15" hidden="false" customHeight="false" outlineLevel="0" collapsed="false">
      <c r="A5671" s="4" t="s">
        <v>283</v>
      </c>
      <c r="B5671" s="5" t="s">
        <v>288</v>
      </c>
      <c r="C5671" s="5" t="s">
        <v>289</v>
      </c>
      <c r="D5671" s="4" t="s">
        <v>16</v>
      </c>
      <c r="E5671" s="4" t="s">
        <v>2325</v>
      </c>
      <c r="F5671" s="4" t="s">
        <v>488</v>
      </c>
      <c r="G5671" s="4" t="s">
        <v>2326</v>
      </c>
      <c r="H5671" s="12" t="n">
        <v>1</v>
      </c>
      <c r="I5671" s="4" t="s">
        <v>408</v>
      </c>
      <c r="J5671" s="4" t="s">
        <v>416</v>
      </c>
      <c r="K5671" s="13" t="n">
        <v>650</v>
      </c>
      <c r="L5671" s="6" t="n">
        <f aca="false">H5671*K5671</f>
        <v>650</v>
      </c>
      <c r="M5671" s="4" t="s">
        <v>371</v>
      </c>
    </row>
    <row r="5672" customFormat="false" ht="15" hidden="false" customHeight="false" outlineLevel="0" collapsed="false">
      <c r="A5672" s="4" t="s">
        <v>283</v>
      </c>
      <c r="B5672" s="5" t="s">
        <v>288</v>
      </c>
      <c r="C5672" s="5" t="s">
        <v>289</v>
      </c>
      <c r="D5672" s="4" t="s">
        <v>16</v>
      </c>
      <c r="E5672" s="4" t="s">
        <v>2327</v>
      </c>
      <c r="F5672" s="4" t="s">
        <v>488</v>
      </c>
      <c r="G5672" s="4" t="s">
        <v>2328</v>
      </c>
      <c r="H5672" s="12" t="n">
        <v>1</v>
      </c>
      <c r="I5672" s="4" t="s">
        <v>408</v>
      </c>
      <c r="J5672" s="4" t="s">
        <v>506</v>
      </c>
      <c r="K5672" s="13" t="n">
        <v>450</v>
      </c>
      <c r="L5672" s="6" t="n">
        <f aca="false">H5672*K5672</f>
        <v>450</v>
      </c>
      <c r="M5672" s="4" t="s">
        <v>371</v>
      </c>
    </row>
    <row r="5673" customFormat="false" ht="15" hidden="false" customHeight="false" outlineLevel="0" collapsed="false">
      <c r="A5673" s="4" t="s">
        <v>283</v>
      </c>
      <c r="B5673" s="5" t="s">
        <v>288</v>
      </c>
      <c r="C5673" s="5" t="s">
        <v>289</v>
      </c>
      <c r="D5673" s="4" t="s">
        <v>16</v>
      </c>
      <c r="E5673" s="4" t="s">
        <v>2473</v>
      </c>
      <c r="F5673" s="4" t="s">
        <v>470</v>
      </c>
      <c r="G5673" s="4" t="s">
        <v>2474</v>
      </c>
      <c r="H5673" s="12" t="n">
        <v>1</v>
      </c>
      <c r="I5673" s="4" t="s">
        <v>408</v>
      </c>
      <c r="J5673" s="4" t="s">
        <v>409</v>
      </c>
      <c r="K5673" s="13" t="n">
        <v>3500</v>
      </c>
      <c r="L5673" s="6" t="n">
        <f aca="false">H5673*K5673</f>
        <v>3500</v>
      </c>
      <c r="M5673" s="4" t="s">
        <v>371</v>
      </c>
    </row>
    <row r="5674" customFormat="false" ht="15" hidden="false" customHeight="false" outlineLevel="0" collapsed="false">
      <c r="A5674" s="4" t="s">
        <v>283</v>
      </c>
      <c r="B5674" s="5" t="s">
        <v>288</v>
      </c>
      <c r="C5674" s="5" t="s">
        <v>289</v>
      </c>
      <c r="D5674" s="4" t="s">
        <v>16</v>
      </c>
      <c r="E5674" s="4" t="s">
        <v>2475</v>
      </c>
      <c r="F5674" s="4" t="s">
        <v>470</v>
      </c>
      <c r="G5674" s="4" t="s">
        <v>2476</v>
      </c>
      <c r="H5674" s="12" t="n">
        <v>1</v>
      </c>
      <c r="I5674" s="4" t="s">
        <v>408</v>
      </c>
      <c r="J5674" s="4" t="s">
        <v>409</v>
      </c>
      <c r="K5674" s="13" t="n">
        <v>850</v>
      </c>
      <c r="L5674" s="6" t="n">
        <f aca="false">H5674*K5674</f>
        <v>850</v>
      </c>
      <c r="M5674" s="4" t="s">
        <v>371</v>
      </c>
    </row>
    <row r="5675" customFormat="false" ht="15" hidden="false" customHeight="false" outlineLevel="0" collapsed="false">
      <c r="A5675" s="4" t="s">
        <v>283</v>
      </c>
      <c r="B5675" s="5" t="s">
        <v>288</v>
      </c>
      <c r="C5675" s="5" t="s">
        <v>289</v>
      </c>
      <c r="D5675" s="4" t="s">
        <v>16</v>
      </c>
      <c r="E5675" s="4" t="s">
        <v>2461</v>
      </c>
      <c r="F5675" s="4" t="s">
        <v>470</v>
      </c>
      <c r="G5675" s="4" t="s">
        <v>2462</v>
      </c>
      <c r="H5675" s="12" t="n">
        <v>1</v>
      </c>
      <c r="I5675" s="4" t="s">
        <v>408</v>
      </c>
      <c r="J5675" s="4" t="s">
        <v>409</v>
      </c>
      <c r="K5675" s="13" t="n">
        <v>450</v>
      </c>
      <c r="L5675" s="6" t="n">
        <f aca="false">H5675*K5675</f>
        <v>450</v>
      </c>
      <c r="M5675" s="4" t="s">
        <v>371</v>
      </c>
    </row>
    <row r="5676" customFormat="false" ht="15" hidden="false" customHeight="false" outlineLevel="0" collapsed="false">
      <c r="A5676" s="4" t="s">
        <v>283</v>
      </c>
      <c r="B5676" s="5" t="s">
        <v>288</v>
      </c>
      <c r="C5676" s="5" t="s">
        <v>289</v>
      </c>
      <c r="D5676" s="4" t="s">
        <v>16</v>
      </c>
      <c r="E5676" s="4" t="s">
        <v>2463</v>
      </c>
      <c r="F5676" s="4" t="s">
        <v>470</v>
      </c>
      <c r="G5676" s="4" t="s">
        <v>2464</v>
      </c>
      <c r="H5676" s="12" t="n">
        <v>1</v>
      </c>
      <c r="I5676" s="4" t="s">
        <v>408</v>
      </c>
      <c r="J5676" s="4" t="s">
        <v>409</v>
      </c>
      <c r="K5676" s="13" t="n">
        <v>35</v>
      </c>
      <c r="L5676" s="6" t="n">
        <f aca="false">H5676*K5676</f>
        <v>35</v>
      </c>
      <c r="M5676" s="4" t="s">
        <v>371</v>
      </c>
    </row>
    <row r="5677" customFormat="false" ht="15" hidden="false" customHeight="false" outlineLevel="0" collapsed="false">
      <c r="A5677" s="4" t="s">
        <v>283</v>
      </c>
      <c r="B5677" s="5" t="s">
        <v>288</v>
      </c>
      <c r="C5677" s="5" t="s">
        <v>289</v>
      </c>
      <c r="D5677" s="4" t="s">
        <v>16</v>
      </c>
      <c r="E5677" s="4" t="s">
        <v>2339</v>
      </c>
      <c r="F5677" s="4" t="s">
        <v>470</v>
      </c>
      <c r="G5677" s="4" t="s">
        <v>2340</v>
      </c>
      <c r="H5677" s="12" t="n">
        <v>1</v>
      </c>
      <c r="I5677" s="4" t="s">
        <v>408</v>
      </c>
      <c r="J5677" s="4" t="s">
        <v>416</v>
      </c>
      <c r="K5677" s="13" t="n">
        <v>8500</v>
      </c>
      <c r="L5677" s="6" t="n">
        <f aca="false">H5677*K5677</f>
        <v>8500</v>
      </c>
      <c r="M5677" s="14" t="s">
        <v>410</v>
      </c>
    </row>
    <row r="5678" customFormat="false" ht="15" hidden="false" customHeight="false" outlineLevel="0" collapsed="false">
      <c r="A5678" s="4" t="s">
        <v>283</v>
      </c>
      <c r="B5678" s="5" t="s">
        <v>288</v>
      </c>
      <c r="C5678" s="5" t="s">
        <v>289</v>
      </c>
      <c r="D5678" s="4" t="s">
        <v>16</v>
      </c>
      <c r="E5678" s="4" t="s">
        <v>2483</v>
      </c>
      <c r="F5678" s="4" t="s">
        <v>470</v>
      </c>
      <c r="G5678" s="4" t="s">
        <v>2484</v>
      </c>
      <c r="H5678" s="12" t="n">
        <v>1</v>
      </c>
      <c r="I5678" s="4" t="s">
        <v>408</v>
      </c>
      <c r="J5678" s="4" t="s">
        <v>543</v>
      </c>
      <c r="K5678" s="13" t="n">
        <v>2500</v>
      </c>
      <c r="L5678" s="6" t="n">
        <f aca="false">H5678*K5678</f>
        <v>2500</v>
      </c>
      <c r="M5678" s="4" t="s">
        <v>371</v>
      </c>
    </row>
    <row r="5679" customFormat="false" ht="15" hidden="false" customHeight="false" outlineLevel="0" collapsed="false">
      <c r="A5679" s="4" t="s">
        <v>283</v>
      </c>
      <c r="B5679" s="5" t="s">
        <v>290</v>
      </c>
      <c r="C5679" s="5" t="s">
        <v>291</v>
      </c>
      <c r="D5679" s="4" t="s">
        <v>16</v>
      </c>
      <c r="E5679" s="4" t="s">
        <v>3596</v>
      </c>
      <c r="F5679" s="4" t="s">
        <v>406</v>
      </c>
      <c r="G5679" s="4" t="s">
        <v>3597</v>
      </c>
      <c r="H5679" s="12" t="n">
        <v>1</v>
      </c>
      <c r="I5679" s="4" t="s">
        <v>408</v>
      </c>
      <c r="J5679" s="4" t="s">
        <v>416</v>
      </c>
      <c r="K5679" s="13" t="n">
        <v>1200</v>
      </c>
      <c r="L5679" s="6" t="n">
        <f aca="false">H5679*K5679</f>
        <v>1200</v>
      </c>
      <c r="M5679" s="4" t="s">
        <v>371</v>
      </c>
    </row>
    <row r="5680" customFormat="false" ht="15" hidden="false" customHeight="false" outlineLevel="0" collapsed="false">
      <c r="A5680" s="4" t="s">
        <v>283</v>
      </c>
      <c r="B5680" s="5" t="s">
        <v>290</v>
      </c>
      <c r="C5680" s="5" t="s">
        <v>291</v>
      </c>
      <c r="D5680" s="4" t="s">
        <v>16</v>
      </c>
      <c r="E5680" s="4" t="s">
        <v>2225</v>
      </c>
      <c r="F5680" s="4" t="s">
        <v>406</v>
      </c>
      <c r="G5680" s="4" t="s">
        <v>2226</v>
      </c>
      <c r="H5680" s="12" t="n">
        <v>1</v>
      </c>
      <c r="I5680" s="4" t="s">
        <v>408</v>
      </c>
      <c r="J5680" s="4" t="s">
        <v>409</v>
      </c>
      <c r="K5680" s="13" t="n">
        <v>350</v>
      </c>
      <c r="L5680" s="6" t="n">
        <f aca="false">H5680*K5680</f>
        <v>350</v>
      </c>
      <c r="M5680" s="14" t="s">
        <v>410</v>
      </c>
    </row>
    <row r="5681" customFormat="false" ht="15" hidden="false" customHeight="false" outlineLevel="0" collapsed="false">
      <c r="A5681" s="4" t="s">
        <v>283</v>
      </c>
      <c r="B5681" s="5" t="s">
        <v>290</v>
      </c>
      <c r="C5681" s="5" t="s">
        <v>291</v>
      </c>
      <c r="D5681" s="4" t="s">
        <v>16</v>
      </c>
      <c r="E5681" s="4" t="s">
        <v>2217</v>
      </c>
      <c r="F5681" s="4" t="s">
        <v>406</v>
      </c>
      <c r="G5681" s="4" t="s">
        <v>2218</v>
      </c>
      <c r="H5681" s="12" t="n">
        <v>1</v>
      </c>
      <c r="I5681" s="4" t="s">
        <v>408</v>
      </c>
      <c r="J5681" s="4" t="s">
        <v>409</v>
      </c>
      <c r="K5681" s="13" t="n">
        <v>4500</v>
      </c>
      <c r="L5681" s="6" t="n">
        <f aca="false">H5681*K5681</f>
        <v>4500</v>
      </c>
      <c r="M5681" s="14" t="s">
        <v>410</v>
      </c>
    </row>
    <row r="5682" customFormat="false" ht="15" hidden="false" customHeight="false" outlineLevel="0" collapsed="false">
      <c r="A5682" s="4" t="s">
        <v>283</v>
      </c>
      <c r="B5682" s="5" t="s">
        <v>290</v>
      </c>
      <c r="C5682" s="5" t="s">
        <v>291</v>
      </c>
      <c r="D5682" s="4" t="s">
        <v>16</v>
      </c>
      <c r="E5682" s="4" t="s">
        <v>2257</v>
      </c>
      <c r="F5682" s="4" t="s">
        <v>406</v>
      </c>
      <c r="G5682" s="4" t="s">
        <v>2258</v>
      </c>
      <c r="H5682" s="12" t="n">
        <v>1</v>
      </c>
      <c r="I5682" s="4" t="s">
        <v>408</v>
      </c>
      <c r="J5682" s="4" t="s">
        <v>409</v>
      </c>
      <c r="K5682" s="13" t="n">
        <v>6500</v>
      </c>
      <c r="L5682" s="6" t="n">
        <f aca="false">H5682*K5682</f>
        <v>6500</v>
      </c>
      <c r="M5682" s="14" t="s">
        <v>410</v>
      </c>
    </row>
    <row r="5683" customFormat="false" ht="15" hidden="false" customHeight="false" outlineLevel="0" collapsed="false">
      <c r="A5683" s="4" t="s">
        <v>283</v>
      </c>
      <c r="B5683" s="5" t="s">
        <v>290</v>
      </c>
      <c r="C5683" s="5" t="s">
        <v>291</v>
      </c>
      <c r="D5683" s="4" t="s">
        <v>16</v>
      </c>
      <c r="E5683" s="4" t="s">
        <v>2259</v>
      </c>
      <c r="F5683" s="4" t="s">
        <v>406</v>
      </c>
      <c r="G5683" s="4" t="s">
        <v>2260</v>
      </c>
      <c r="H5683" s="12" t="n">
        <v>1</v>
      </c>
      <c r="I5683" s="4" t="s">
        <v>408</v>
      </c>
      <c r="J5683" s="4" t="s">
        <v>409</v>
      </c>
      <c r="K5683" s="13" t="n">
        <v>85000</v>
      </c>
      <c r="L5683" s="6" t="n">
        <f aca="false">H5683*K5683</f>
        <v>85000</v>
      </c>
      <c r="M5683" s="14" t="s">
        <v>410</v>
      </c>
    </row>
    <row r="5684" customFormat="false" ht="15" hidden="false" customHeight="false" outlineLevel="0" collapsed="false">
      <c r="A5684" s="4" t="s">
        <v>283</v>
      </c>
      <c r="B5684" s="5" t="s">
        <v>290</v>
      </c>
      <c r="C5684" s="5" t="s">
        <v>291</v>
      </c>
      <c r="D5684" s="4" t="s">
        <v>16</v>
      </c>
      <c r="E5684" s="4" t="s">
        <v>2261</v>
      </c>
      <c r="F5684" s="4" t="s">
        <v>406</v>
      </c>
      <c r="G5684" s="4" t="s">
        <v>2262</v>
      </c>
      <c r="H5684" s="12" t="n">
        <v>1</v>
      </c>
      <c r="I5684" s="4" t="s">
        <v>408</v>
      </c>
      <c r="J5684" s="4" t="s">
        <v>409</v>
      </c>
      <c r="K5684" s="13" t="n">
        <v>18000</v>
      </c>
      <c r="L5684" s="6" t="n">
        <f aca="false">H5684*K5684</f>
        <v>18000</v>
      </c>
      <c r="M5684" s="14" t="s">
        <v>410</v>
      </c>
    </row>
    <row r="5685" customFormat="false" ht="15" hidden="false" customHeight="false" outlineLevel="0" collapsed="false">
      <c r="A5685" s="4" t="s">
        <v>283</v>
      </c>
      <c r="B5685" s="5" t="s">
        <v>290</v>
      </c>
      <c r="C5685" s="5" t="s">
        <v>291</v>
      </c>
      <c r="D5685" s="4" t="s">
        <v>16</v>
      </c>
      <c r="E5685" s="4" t="s">
        <v>2263</v>
      </c>
      <c r="F5685" s="4" t="s">
        <v>406</v>
      </c>
      <c r="G5685" s="4" t="s">
        <v>2264</v>
      </c>
      <c r="H5685" s="12" t="n">
        <v>1</v>
      </c>
      <c r="I5685" s="4" t="s">
        <v>408</v>
      </c>
      <c r="J5685" s="4" t="s">
        <v>409</v>
      </c>
      <c r="K5685" s="13" t="n">
        <v>25000</v>
      </c>
      <c r="L5685" s="6" t="n">
        <f aca="false">H5685*K5685</f>
        <v>25000</v>
      </c>
      <c r="M5685" s="4" t="s">
        <v>371</v>
      </c>
    </row>
    <row r="5686" customFormat="false" ht="15" hidden="false" customHeight="false" outlineLevel="0" collapsed="false">
      <c r="A5686" s="4" t="s">
        <v>283</v>
      </c>
      <c r="B5686" s="5" t="s">
        <v>290</v>
      </c>
      <c r="C5686" s="5" t="s">
        <v>291</v>
      </c>
      <c r="D5686" s="4" t="s">
        <v>16</v>
      </c>
      <c r="E5686" s="4" t="s">
        <v>2265</v>
      </c>
      <c r="F5686" s="4" t="s">
        <v>406</v>
      </c>
      <c r="G5686" s="4" t="s">
        <v>2266</v>
      </c>
      <c r="H5686" s="12" t="n">
        <v>1</v>
      </c>
      <c r="I5686" s="4" t="s">
        <v>408</v>
      </c>
      <c r="J5686" s="4" t="s">
        <v>416</v>
      </c>
      <c r="K5686" s="13" t="n">
        <v>18000</v>
      </c>
      <c r="L5686" s="6" t="n">
        <f aca="false">H5686*K5686</f>
        <v>18000</v>
      </c>
      <c r="M5686" s="4" t="s">
        <v>371</v>
      </c>
    </row>
    <row r="5687" customFormat="false" ht="15" hidden="false" customHeight="false" outlineLevel="0" collapsed="false">
      <c r="A5687" s="4" t="s">
        <v>283</v>
      </c>
      <c r="B5687" s="5" t="s">
        <v>290</v>
      </c>
      <c r="C5687" s="5" t="s">
        <v>291</v>
      </c>
      <c r="D5687" s="4" t="s">
        <v>16</v>
      </c>
      <c r="E5687" s="4" t="s">
        <v>5911</v>
      </c>
      <c r="F5687" s="4" t="s">
        <v>406</v>
      </c>
      <c r="G5687" s="4" t="s">
        <v>5912</v>
      </c>
      <c r="H5687" s="12" t="n">
        <v>1</v>
      </c>
      <c r="I5687" s="4" t="s">
        <v>408</v>
      </c>
      <c r="J5687" s="4" t="s">
        <v>543</v>
      </c>
      <c r="K5687" s="13" t="n">
        <v>850000</v>
      </c>
      <c r="L5687" s="6" t="n">
        <f aca="false">H5687*K5687</f>
        <v>850000</v>
      </c>
      <c r="M5687" s="4" t="s">
        <v>371</v>
      </c>
    </row>
    <row r="5688" customFormat="false" ht="15" hidden="false" customHeight="false" outlineLevel="0" collapsed="false">
      <c r="A5688" s="4" t="s">
        <v>283</v>
      </c>
      <c r="B5688" s="5" t="s">
        <v>290</v>
      </c>
      <c r="C5688" s="5" t="s">
        <v>291</v>
      </c>
      <c r="D5688" s="4" t="s">
        <v>16</v>
      </c>
      <c r="E5688" s="4" t="s">
        <v>5933</v>
      </c>
      <c r="F5688" s="4" t="s">
        <v>406</v>
      </c>
      <c r="G5688" s="4" t="s">
        <v>5934</v>
      </c>
      <c r="H5688" s="12" t="n">
        <v>1</v>
      </c>
      <c r="I5688" s="4" t="s">
        <v>408</v>
      </c>
      <c r="J5688" s="4" t="s">
        <v>409</v>
      </c>
      <c r="K5688" s="13" t="n">
        <v>18000</v>
      </c>
      <c r="L5688" s="6" t="n">
        <f aca="false">H5688*K5688</f>
        <v>18000</v>
      </c>
      <c r="M5688" s="4" t="s">
        <v>371</v>
      </c>
    </row>
    <row r="5689" customFormat="false" ht="15" hidden="false" customHeight="false" outlineLevel="0" collapsed="false">
      <c r="A5689" s="4" t="s">
        <v>283</v>
      </c>
      <c r="B5689" s="5" t="s">
        <v>290</v>
      </c>
      <c r="C5689" s="5" t="s">
        <v>291</v>
      </c>
      <c r="D5689" s="4" t="s">
        <v>16</v>
      </c>
      <c r="E5689" s="4" t="s">
        <v>5937</v>
      </c>
      <c r="F5689" s="4" t="s">
        <v>406</v>
      </c>
      <c r="G5689" s="4" t="s">
        <v>5938</v>
      </c>
      <c r="H5689" s="12" t="n">
        <v>1</v>
      </c>
      <c r="I5689" s="4" t="s">
        <v>408</v>
      </c>
      <c r="J5689" s="4" t="s">
        <v>409</v>
      </c>
      <c r="K5689" s="13" t="n">
        <v>18000</v>
      </c>
      <c r="L5689" s="6" t="n">
        <f aca="false">H5689*K5689</f>
        <v>18000</v>
      </c>
      <c r="M5689" s="4" t="s">
        <v>371</v>
      </c>
    </row>
    <row r="5690" customFormat="false" ht="15" hidden="false" customHeight="false" outlineLevel="0" collapsed="false">
      <c r="A5690" s="4" t="s">
        <v>283</v>
      </c>
      <c r="B5690" s="5" t="s">
        <v>290</v>
      </c>
      <c r="C5690" s="5" t="s">
        <v>291</v>
      </c>
      <c r="D5690" s="4" t="s">
        <v>16</v>
      </c>
      <c r="E5690" s="4" t="s">
        <v>5923</v>
      </c>
      <c r="F5690" s="4" t="s">
        <v>406</v>
      </c>
      <c r="G5690" s="4" t="s">
        <v>5924</v>
      </c>
      <c r="H5690" s="12" t="n">
        <v>1</v>
      </c>
      <c r="I5690" s="4" t="s">
        <v>408</v>
      </c>
      <c r="J5690" s="4" t="s">
        <v>409</v>
      </c>
      <c r="K5690" s="13" t="n">
        <v>85000</v>
      </c>
      <c r="L5690" s="6" t="n">
        <f aca="false">H5690*K5690</f>
        <v>85000</v>
      </c>
      <c r="M5690" s="14" t="s">
        <v>410</v>
      </c>
    </row>
    <row r="5691" customFormat="false" ht="15" hidden="false" customHeight="false" outlineLevel="0" collapsed="false">
      <c r="A5691" s="4" t="s">
        <v>283</v>
      </c>
      <c r="B5691" s="5" t="s">
        <v>290</v>
      </c>
      <c r="C5691" s="5" t="s">
        <v>291</v>
      </c>
      <c r="D5691" s="4" t="s">
        <v>16</v>
      </c>
      <c r="E5691" s="4" t="s">
        <v>6281</v>
      </c>
      <c r="F5691" s="4" t="s">
        <v>406</v>
      </c>
      <c r="G5691" s="4" t="s">
        <v>3914</v>
      </c>
      <c r="H5691" s="12" t="n">
        <v>1</v>
      </c>
      <c r="I5691" s="4" t="s">
        <v>408</v>
      </c>
      <c r="J5691" s="4" t="s">
        <v>409</v>
      </c>
      <c r="K5691" s="13" t="n">
        <v>850000</v>
      </c>
      <c r="L5691" s="6" t="n">
        <f aca="false">H5691*K5691</f>
        <v>850000</v>
      </c>
      <c r="M5691" s="14" t="s">
        <v>410</v>
      </c>
    </row>
    <row r="5692" customFormat="false" ht="15" hidden="false" customHeight="false" outlineLevel="0" collapsed="false">
      <c r="A5692" s="4" t="s">
        <v>283</v>
      </c>
      <c r="B5692" s="5" t="s">
        <v>290</v>
      </c>
      <c r="C5692" s="5" t="s">
        <v>291</v>
      </c>
      <c r="D5692" s="4" t="s">
        <v>16</v>
      </c>
      <c r="E5692" s="4" t="s">
        <v>5939</v>
      </c>
      <c r="F5692" s="4" t="s">
        <v>470</v>
      </c>
      <c r="G5692" s="4" t="s">
        <v>5940</v>
      </c>
      <c r="H5692" s="12" t="n">
        <v>1</v>
      </c>
      <c r="I5692" s="4" t="s">
        <v>408</v>
      </c>
      <c r="J5692" s="4" t="s">
        <v>409</v>
      </c>
      <c r="K5692" s="13" t="n">
        <v>3500</v>
      </c>
      <c r="L5692" s="6" t="n">
        <f aca="false">H5692*K5692</f>
        <v>3500</v>
      </c>
      <c r="M5692" s="4" t="s">
        <v>371</v>
      </c>
    </row>
    <row r="5693" customFormat="false" ht="15" hidden="false" customHeight="false" outlineLevel="0" collapsed="false">
      <c r="A5693" s="4" t="s">
        <v>283</v>
      </c>
      <c r="B5693" s="5" t="s">
        <v>290</v>
      </c>
      <c r="C5693" s="5" t="s">
        <v>291</v>
      </c>
      <c r="D5693" s="4" t="s">
        <v>16</v>
      </c>
      <c r="E5693" s="4" t="s">
        <v>5929</v>
      </c>
      <c r="F5693" s="4" t="s">
        <v>470</v>
      </c>
      <c r="G5693" s="4" t="s">
        <v>5930</v>
      </c>
      <c r="H5693" s="12" t="n">
        <v>1</v>
      </c>
      <c r="I5693" s="4" t="s">
        <v>408</v>
      </c>
      <c r="J5693" s="4" t="s">
        <v>416</v>
      </c>
      <c r="K5693" s="13" t="n">
        <v>18000</v>
      </c>
      <c r="L5693" s="6" t="n">
        <f aca="false">H5693*K5693</f>
        <v>18000</v>
      </c>
      <c r="M5693" s="4" t="s">
        <v>371</v>
      </c>
    </row>
    <row r="5694" customFormat="false" ht="15" hidden="false" customHeight="false" outlineLevel="0" collapsed="false">
      <c r="A5694" s="4" t="s">
        <v>283</v>
      </c>
      <c r="B5694" s="5" t="s">
        <v>290</v>
      </c>
      <c r="C5694" s="5" t="s">
        <v>291</v>
      </c>
      <c r="D5694" s="4" t="s">
        <v>16</v>
      </c>
      <c r="E5694" s="4" t="s">
        <v>2271</v>
      </c>
      <c r="F5694" s="4" t="s">
        <v>470</v>
      </c>
      <c r="G5694" s="4" t="s">
        <v>2272</v>
      </c>
      <c r="H5694" s="12" t="n">
        <v>1</v>
      </c>
      <c r="I5694" s="4" t="s">
        <v>408</v>
      </c>
      <c r="J5694" s="4" t="s">
        <v>409</v>
      </c>
      <c r="K5694" s="13" t="n">
        <v>4500</v>
      </c>
      <c r="L5694" s="6" t="n">
        <f aca="false">H5694*K5694</f>
        <v>4500</v>
      </c>
      <c r="M5694" s="14" t="s">
        <v>410</v>
      </c>
    </row>
    <row r="5695" customFormat="false" ht="15" hidden="false" customHeight="false" outlineLevel="0" collapsed="false">
      <c r="A5695" s="4" t="s">
        <v>283</v>
      </c>
      <c r="B5695" s="5" t="s">
        <v>290</v>
      </c>
      <c r="C5695" s="5" t="s">
        <v>291</v>
      </c>
      <c r="D5695" s="4" t="s">
        <v>16</v>
      </c>
      <c r="E5695" s="4" t="s">
        <v>2273</v>
      </c>
      <c r="F5695" s="4" t="s">
        <v>470</v>
      </c>
      <c r="G5695" s="4" t="s">
        <v>2274</v>
      </c>
      <c r="H5695" s="12" t="n">
        <v>1</v>
      </c>
      <c r="I5695" s="4" t="s">
        <v>408</v>
      </c>
      <c r="J5695" s="4" t="s">
        <v>409</v>
      </c>
      <c r="K5695" s="13" t="n">
        <v>25000</v>
      </c>
      <c r="L5695" s="6" t="n">
        <f aca="false">H5695*K5695</f>
        <v>25000</v>
      </c>
      <c r="M5695" s="14" t="s">
        <v>410</v>
      </c>
    </row>
    <row r="5696" customFormat="false" ht="15" hidden="false" customHeight="false" outlineLevel="0" collapsed="false">
      <c r="A5696" s="4" t="s">
        <v>283</v>
      </c>
      <c r="B5696" s="5" t="s">
        <v>290</v>
      </c>
      <c r="C5696" s="5" t="s">
        <v>291</v>
      </c>
      <c r="D5696" s="4" t="s">
        <v>16</v>
      </c>
      <c r="E5696" s="4" t="s">
        <v>2163</v>
      </c>
      <c r="F5696" s="4" t="s">
        <v>470</v>
      </c>
      <c r="G5696" s="4" t="s">
        <v>2164</v>
      </c>
      <c r="H5696" s="12" t="n">
        <v>1</v>
      </c>
      <c r="I5696" s="4" t="s">
        <v>408</v>
      </c>
      <c r="J5696" s="4" t="s">
        <v>409</v>
      </c>
      <c r="K5696" s="13" t="n">
        <v>35000</v>
      </c>
      <c r="L5696" s="6" t="n">
        <f aca="false">H5696*K5696</f>
        <v>35000</v>
      </c>
      <c r="M5696" s="14" t="s">
        <v>410</v>
      </c>
    </row>
    <row r="5697" customFormat="false" ht="15" hidden="false" customHeight="false" outlineLevel="0" collapsed="false">
      <c r="A5697" s="4" t="s">
        <v>283</v>
      </c>
      <c r="B5697" s="5" t="s">
        <v>290</v>
      </c>
      <c r="C5697" s="5" t="s">
        <v>291</v>
      </c>
      <c r="D5697" s="4" t="s">
        <v>16</v>
      </c>
      <c r="E5697" s="4" t="s">
        <v>1058</v>
      </c>
      <c r="F5697" s="4" t="s">
        <v>470</v>
      </c>
      <c r="G5697" s="4" t="s">
        <v>1059</v>
      </c>
      <c r="H5697" s="12" t="n">
        <v>1</v>
      </c>
      <c r="I5697" s="4" t="s">
        <v>408</v>
      </c>
      <c r="J5697" s="4" t="s">
        <v>409</v>
      </c>
      <c r="K5697" s="13" t="n">
        <v>45000</v>
      </c>
      <c r="L5697" s="6" t="n">
        <f aca="false">H5697*K5697</f>
        <v>45000</v>
      </c>
      <c r="M5697" s="14" t="s">
        <v>410</v>
      </c>
    </row>
    <row r="5698" customFormat="false" ht="15" hidden="false" customHeight="false" outlineLevel="0" collapsed="false">
      <c r="A5698" s="4" t="s">
        <v>283</v>
      </c>
      <c r="B5698" s="5" t="s">
        <v>290</v>
      </c>
      <c r="C5698" s="5" t="s">
        <v>291</v>
      </c>
      <c r="D5698" s="4" t="s">
        <v>16</v>
      </c>
      <c r="E5698" s="4" t="s">
        <v>2275</v>
      </c>
      <c r="F5698" s="4" t="s">
        <v>470</v>
      </c>
      <c r="G5698" s="4" t="s">
        <v>2276</v>
      </c>
      <c r="H5698" s="12" t="n">
        <v>1</v>
      </c>
      <c r="I5698" s="4" t="s">
        <v>408</v>
      </c>
      <c r="J5698" s="4" t="s">
        <v>409</v>
      </c>
      <c r="K5698" s="13" t="n">
        <v>8500</v>
      </c>
      <c r="L5698" s="6" t="n">
        <f aca="false">H5698*K5698</f>
        <v>8500</v>
      </c>
      <c r="M5698" s="4" t="s">
        <v>371</v>
      </c>
    </row>
    <row r="5699" customFormat="false" ht="15" hidden="false" customHeight="false" outlineLevel="0" collapsed="false">
      <c r="A5699" s="4" t="s">
        <v>283</v>
      </c>
      <c r="B5699" s="5" t="s">
        <v>290</v>
      </c>
      <c r="C5699" s="5" t="s">
        <v>291</v>
      </c>
      <c r="D5699" s="4" t="s">
        <v>16</v>
      </c>
      <c r="E5699" s="4" t="s">
        <v>5913</v>
      </c>
      <c r="F5699" s="4" t="s">
        <v>470</v>
      </c>
      <c r="G5699" s="4" t="s">
        <v>5914</v>
      </c>
      <c r="H5699" s="12" t="n">
        <v>1</v>
      </c>
      <c r="I5699" s="4" t="s">
        <v>408</v>
      </c>
      <c r="J5699" s="4" t="s">
        <v>416</v>
      </c>
      <c r="K5699" s="13" t="n">
        <v>4500</v>
      </c>
      <c r="L5699" s="6" t="n">
        <f aca="false">H5699*K5699</f>
        <v>4500</v>
      </c>
      <c r="M5699" s="4" t="s">
        <v>371</v>
      </c>
    </row>
    <row r="5700" customFormat="false" ht="15" hidden="false" customHeight="false" outlineLevel="0" collapsed="false">
      <c r="A5700" s="4" t="s">
        <v>283</v>
      </c>
      <c r="B5700" s="5" t="s">
        <v>290</v>
      </c>
      <c r="C5700" s="5" t="s">
        <v>291</v>
      </c>
      <c r="D5700" s="4" t="s">
        <v>16</v>
      </c>
      <c r="E5700" s="4" t="s">
        <v>2288</v>
      </c>
      <c r="F5700" s="4" t="s">
        <v>470</v>
      </c>
      <c r="G5700" s="4" t="s">
        <v>1452</v>
      </c>
      <c r="H5700" s="12" t="n">
        <v>1</v>
      </c>
      <c r="I5700" s="4" t="s">
        <v>408</v>
      </c>
      <c r="J5700" s="4" t="s">
        <v>413</v>
      </c>
      <c r="K5700" s="13" t="n">
        <v>450</v>
      </c>
      <c r="L5700" s="6" t="n">
        <f aca="false">H5700*K5700</f>
        <v>450</v>
      </c>
      <c r="M5700" s="4" t="s">
        <v>371</v>
      </c>
    </row>
    <row r="5701" customFormat="false" ht="15" hidden="false" customHeight="false" outlineLevel="0" collapsed="false">
      <c r="A5701" s="4" t="s">
        <v>283</v>
      </c>
      <c r="B5701" s="5" t="s">
        <v>290</v>
      </c>
      <c r="C5701" s="5" t="s">
        <v>291</v>
      </c>
      <c r="D5701" s="4" t="s">
        <v>16</v>
      </c>
      <c r="E5701" s="4" t="s">
        <v>1089</v>
      </c>
      <c r="F5701" s="4" t="s">
        <v>470</v>
      </c>
      <c r="G5701" s="4" t="s">
        <v>1090</v>
      </c>
      <c r="H5701" s="12" t="n">
        <v>1</v>
      </c>
      <c r="I5701" s="4" t="s">
        <v>408</v>
      </c>
      <c r="J5701" s="4" t="s">
        <v>409</v>
      </c>
      <c r="K5701" s="13" t="n">
        <v>3500</v>
      </c>
      <c r="L5701" s="6" t="n">
        <f aca="false">H5701*K5701</f>
        <v>3500</v>
      </c>
      <c r="M5701" s="4" t="s">
        <v>371</v>
      </c>
    </row>
    <row r="5702" customFormat="false" ht="15" hidden="false" customHeight="false" outlineLevel="0" collapsed="false">
      <c r="A5702" s="4" t="s">
        <v>283</v>
      </c>
      <c r="B5702" s="5" t="s">
        <v>290</v>
      </c>
      <c r="C5702" s="5" t="s">
        <v>291</v>
      </c>
      <c r="D5702" s="4" t="s">
        <v>16</v>
      </c>
      <c r="E5702" s="4" t="s">
        <v>2289</v>
      </c>
      <c r="F5702" s="4" t="s">
        <v>470</v>
      </c>
      <c r="G5702" s="4" t="s">
        <v>2290</v>
      </c>
      <c r="H5702" s="12" t="n">
        <v>1</v>
      </c>
      <c r="I5702" s="4" t="s">
        <v>408</v>
      </c>
      <c r="J5702" s="4" t="s">
        <v>409</v>
      </c>
      <c r="K5702" s="13" t="n">
        <v>2500</v>
      </c>
      <c r="L5702" s="6" t="n">
        <f aca="false">H5702*K5702</f>
        <v>2500</v>
      </c>
      <c r="M5702" s="4" t="s">
        <v>371</v>
      </c>
    </row>
    <row r="5703" customFormat="false" ht="15" hidden="false" customHeight="false" outlineLevel="0" collapsed="false">
      <c r="A5703" s="4" t="s">
        <v>283</v>
      </c>
      <c r="B5703" s="5" t="s">
        <v>290</v>
      </c>
      <c r="C5703" s="5" t="s">
        <v>291</v>
      </c>
      <c r="D5703" s="4" t="s">
        <v>16</v>
      </c>
      <c r="E5703" s="4" t="s">
        <v>2291</v>
      </c>
      <c r="F5703" s="4" t="s">
        <v>470</v>
      </c>
      <c r="G5703" s="4" t="s">
        <v>2292</v>
      </c>
      <c r="H5703" s="12" t="n">
        <v>1</v>
      </c>
      <c r="I5703" s="4" t="s">
        <v>408</v>
      </c>
      <c r="J5703" s="4" t="s">
        <v>416</v>
      </c>
      <c r="K5703" s="13" t="n">
        <v>6500</v>
      </c>
      <c r="L5703" s="6" t="n">
        <f aca="false">H5703*K5703</f>
        <v>6500</v>
      </c>
      <c r="M5703" s="4" t="s">
        <v>371</v>
      </c>
    </row>
    <row r="5704" customFormat="false" ht="15" hidden="false" customHeight="false" outlineLevel="0" collapsed="false">
      <c r="A5704" s="4" t="s">
        <v>283</v>
      </c>
      <c r="B5704" s="5" t="s">
        <v>290</v>
      </c>
      <c r="C5704" s="5" t="s">
        <v>291</v>
      </c>
      <c r="D5704" s="4" t="s">
        <v>16</v>
      </c>
      <c r="E5704" s="4" t="s">
        <v>2373</v>
      </c>
      <c r="F5704" s="4" t="s">
        <v>470</v>
      </c>
      <c r="G5704" s="4" t="s">
        <v>2374</v>
      </c>
      <c r="H5704" s="12" t="n">
        <v>1</v>
      </c>
      <c r="I5704" s="4" t="s">
        <v>408</v>
      </c>
      <c r="J5704" s="4" t="s">
        <v>416</v>
      </c>
      <c r="K5704" s="13" t="n">
        <v>850</v>
      </c>
      <c r="L5704" s="6" t="n">
        <f aca="false">H5704*K5704</f>
        <v>850</v>
      </c>
      <c r="M5704" s="4" t="s">
        <v>371</v>
      </c>
    </row>
    <row r="5705" customFormat="false" ht="15" hidden="false" customHeight="false" outlineLevel="0" collapsed="false">
      <c r="A5705" s="4" t="s">
        <v>283</v>
      </c>
      <c r="B5705" s="5" t="s">
        <v>290</v>
      </c>
      <c r="C5705" s="5" t="s">
        <v>291</v>
      </c>
      <c r="D5705" s="4" t="s">
        <v>16</v>
      </c>
      <c r="E5705" s="4" t="s">
        <v>2375</v>
      </c>
      <c r="F5705" s="4" t="s">
        <v>470</v>
      </c>
      <c r="G5705" s="4" t="s">
        <v>2376</v>
      </c>
      <c r="H5705" s="12" t="n">
        <v>1</v>
      </c>
      <c r="I5705" s="4" t="s">
        <v>408</v>
      </c>
      <c r="J5705" s="4" t="s">
        <v>416</v>
      </c>
      <c r="K5705" s="13" t="n">
        <v>850</v>
      </c>
      <c r="L5705" s="6" t="n">
        <f aca="false">H5705*K5705</f>
        <v>850</v>
      </c>
      <c r="M5705" s="4" t="s">
        <v>371</v>
      </c>
    </row>
    <row r="5706" customFormat="false" ht="15" hidden="false" customHeight="false" outlineLevel="0" collapsed="false">
      <c r="A5706" s="4" t="s">
        <v>283</v>
      </c>
      <c r="B5706" s="5" t="s">
        <v>290</v>
      </c>
      <c r="C5706" s="5" t="s">
        <v>291</v>
      </c>
      <c r="D5706" s="4" t="s">
        <v>16</v>
      </c>
      <c r="E5706" s="4" t="s">
        <v>5915</v>
      </c>
      <c r="F5706" s="4" t="s">
        <v>470</v>
      </c>
      <c r="G5706" s="4" t="s">
        <v>5916</v>
      </c>
      <c r="H5706" s="12" t="n">
        <v>1</v>
      </c>
      <c r="I5706" s="4" t="s">
        <v>408</v>
      </c>
      <c r="J5706" s="4" t="s">
        <v>416</v>
      </c>
      <c r="K5706" s="13" t="n">
        <v>1800</v>
      </c>
      <c r="L5706" s="6" t="n">
        <f aca="false">H5706*K5706</f>
        <v>1800</v>
      </c>
      <c r="M5706" s="4" t="s">
        <v>371</v>
      </c>
    </row>
    <row r="5707" customFormat="false" ht="15" hidden="false" customHeight="false" outlineLevel="0" collapsed="false">
      <c r="A5707" s="4" t="s">
        <v>283</v>
      </c>
      <c r="B5707" s="5" t="s">
        <v>290</v>
      </c>
      <c r="C5707" s="5" t="s">
        <v>291</v>
      </c>
      <c r="D5707" s="4" t="s">
        <v>16</v>
      </c>
      <c r="E5707" s="4" t="s">
        <v>5917</v>
      </c>
      <c r="F5707" s="4" t="s">
        <v>470</v>
      </c>
      <c r="G5707" s="4" t="s">
        <v>5918</v>
      </c>
      <c r="H5707" s="12" t="n">
        <v>1</v>
      </c>
      <c r="I5707" s="4" t="s">
        <v>408</v>
      </c>
      <c r="J5707" s="4" t="s">
        <v>416</v>
      </c>
      <c r="K5707" s="13" t="n">
        <v>850</v>
      </c>
      <c r="L5707" s="6" t="n">
        <f aca="false">H5707*K5707</f>
        <v>850</v>
      </c>
      <c r="M5707" s="4" t="s">
        <v>371</v>
      </c>
    </row>
    <row r="5708" customFormat="false" ht="15" hidden="false" customHeight="false" outlineLevel="0" collapsed="false">
      <c r="A5708" s="4" t="s">
        <v>283</v>
      </c>
      <c r="B5708" s="5" t="s">
        <v>290</v>
      </c>
      <c r="C5708" s="5" t="s">
        <v>291</v>
      </c>
      <c r="D5708" s="4" t="s">
        <v>16</v>
      </c>
      <c r="E5708" s="4" t="s">
        <v>2381</v>
      </c>
      <c r="F5708" s="4" t="s">
        <v>470</v>
      </c>
      <c r="G5708" s="4" t="s">
        <v>2382</v>
      </c>
      <c r="H5708" s="12" t="n">
        <v>1</v>
      </c>
      <c r="I5708" s="4" t="s">
        <v>408</v>
      </c>
      <c r="J5708" s="4" t="s">
        <v>416</v>
      </c>
      <c r="K5708" s="13" t="n">
        <v>850</v>
      </c>
      <c r="L5708" s="6" t="n">
        <f aca="false">H5708*K5708</f>
        <v>850</v>
      </c>
      <c r="M5708" s="4" t="s">
        <v>371</v>
      </c>
    </row>
    <row r="5709" customFormat="false" ht="15" hidden="false" customHeight="false" outlineLevel="0" collapsed="false">
      <c r="A5709" s="4" t="s">
        <v>283</v>
      </c>
      <c r="B5709" s="5" t="s">
        <v>290</v>
      </c>
      <c r="C5709" s="5" t="s">
        <v>291</v>
      </c>
      <c r="D5709" s="4" t="s">
        <v>16</v>
      </c>
      <c r="E5709" s="4" t="s">
        <v>3630</v>
      </c>
      <c r="F5709" s="4" t="s">
        <v>470</v>
      </c>
      <c r="G5709" s="4" t="s">
        <v>3631</v>
      </c>
      <c r="H5709" s="12" t="n">
        <v>1</v>
      </c>
      <c r="I5709" s="4" t="s">
        <v>408</v>
      </c>
      <c r="J5709" s="4" t="s">
        <v>416</v>
      </c>
      <c r="K5709" s="13" t="n">
        <v>850</v>
      </c>
      <c r="L5709" s="6" t="n">
        <f aca="false">H5709*K5709</f>
        <v>850</v>
      </c>
      <c r="M5709" s="4" t="s">
        <v>371</v>
      </c>
    </row>
    <row r="5710" customFormat="false" ht="15" hidden="false" customHeight="false" outlineLevel="0" collapsed="false">
      <c r="A5710" s="4" t="s">
        <v>283</v>
      </c>
      <c r="B5710" s="5" t="s">
        <v>290</v>
      </c>
      <c r="C5710" s="5" t="s">
        <v>291</v>
      </c>
      <c r="D5710" s="4" t="s">
        <v>16</v>
      </c>
      <c r="E5710" s="4" t="s">
        <v>6282</v>
      </c>
      <c r="F5710" s="4" t="s">
        <v>470</v>
      </c>
      <c r="G5710" s="4" t="s">
        <v>6283</v>
      </c>
      <c r="H5710" s="12" t="n">
        <v>1</v>
      </c>
      <c r="I5710" s="4" t="s">
        <v>408</v>
      </c>
      <c r="J5710" s="4" t="s">
        <v>416</v>
      </c>
      <c r="K5710" s="13" t="n">
        <v>250</v>
      </c>
      <c r="L5710" s="6" t="n">
        <f aca="false">H5710*K5710</f>
        <v>250</v>
      </c>
      <c r="M5710" s="4" t="s">
        <v>371</v>
      </c>
    </row>
    <row r="5711" customFormat="false" ht="15" hidden="false" customHeight="false" outlineLevel="0" collapsed="false">
      <c r="A5711" s="4" t="s">
        <v>283</v>
      </c>
      <c r="B5711" s="5" t="s">
        <v>290</v>
      </c>
      <c r="C5711" s="5" t="s">
        <v>291</v>
      </c>
      <c r="D5711" s="4" t="s">
        <v>16</v>
      </c>
      <c r="E5711" s="4" t="s">
        <v>6284</v>
      </c>
      <c r="F5711" s="4" t="s">
        <v>470</v>
      </c>
      <c r="G5711" s="4" t="s">
        <v>6285</v>
      </c>
      <c r="H5711" s="12" t="n">
        <v>1</v>
      </c>
      <c r="I5711" s="4" t="s">
        <v>408</v>
      </c>
      <c r="J5711" s="4" t="s">
        <v>506</v>
      </c>
      <c r="K5711" s="13" t="n">
        <v>450</v>
      </c>
      <c r="L5711" s="6" t="n">
        <f aca="false">H5711*K5711</f>
        <v>450</v>
      </c>
      <c r="M5711" s="4" t="s">
        <v>371</v>
      </c>
    </row>
    <row r="5712" customFormat="false" ht="15" hidden="false" customHeight="false" outlineLevel="0" collapsed="false">
      <c r="A5712" s="4" t="s">
        <v>283</v>
      </c>
      <c r="B5712" s="5" t="s">
        <v>290</v>
      </c>
      <c r="C5712" s="5" t="s">
        <v>291</v>
      </c>
      <c r="D5712" s="4" t="s">
        <v>16</v>
      </c>
      <c r="E5712" s="4" t="s">
        <v>6286</v>
      </c>
      <c r="F5712" s="4" t="s">
        <v>470</v>
      </c>
      <c r="G5712" s="4" t="s">
        <v>6287</v>
      </c>
      <c r="H5712" s="12" t="n">
        <v>1</v>
      </c>
      <c r="I5712" s="4" t="s">
        <v>408</v>
      </c>
      <c r="J5712" s="4" t="s">
        <v>506</v>
      </c>
      <c r="K5712" s="13" t="n">
        <v>250</v>
      </c>
      <c r="L5712" s="6" t="n">
        <f aca="false">H5712*K5712</f>
        <v>250</v>
      </c>
      <c r="M5712" s="4" t="s">
        <v>371</v>
      </c>
    </row>
    <row r="5713" customFormat="false" ht="15" hidden="false" customHeight="false" outlineLevel="0" collapsed="false">
      <c r="A5713" s="4" t="s">
        <v>283</v>
      </c>
      <c r="B5713" s="5" t="s">
        <v>290</v>
      </c>
      <c r="C5713" s="5" t="s">
        <v>291</v>
      </c>
      <c r="D5713" s="4" t="s">
        <v>16</v>
      </c>
      <c r="E5713" s="4" t="s">
        <v>2297</v>
      </c>
      <c r="F5713" s="4" t="s">
        <v>470</v>
      </c>
      <c r="G5713" s="4" t="s">
        <v>2298</v>
      </c>
      <c r="H5713" s="12" t="n">
        <v>1</v>
      </c>
      <c r="I5713" s="4" t="s">
        <v>408</v>
      </c>
      <c r="J5713" s="4" t="s">
        <v>416</v>
      </c>
      <c r="K5713" s="13" t="n">
        <v>850</v>
      </c>
      <c r="L5713" s="6" t="n">
        <f aca="false">H5713*K5713</f>
        <v>850</v>
      </c>
      <c r="M5713" s="4" t="s">
        <v>371</v>
      </c>
    </row>
    <row r="5714" customFormat="false" ht="15" hidden="false" customHeight="false" outlineLevel="0" collapsed="false">
      <c r="A5714" s="4" t="s">
        <v>283</v>
      </c>
      <c r="B5714" s="5" t="s">
        <v>290</v>
      </c>
      <c r="C5714" s="5" t="s">
        <v>291</v>
      </c>
      <c r="D5714" s="4" t="s">
        <v>16</v>
      </c>
      <c r="E5714" s="4" t="s">
        <v>6288</v>
      </c>
      <c r="F5714" s="4" t="s">
        <v>470</v>
      </c>
      <c r="G5714" s="4" t="s">
        <v>6289</v>
      </c>
      <c r="H5714" s="12" t="n">
        <v>1</v>
      </c>
      <c r="I5714" s="4" t="s">
        <v>408</v>
      </c>
      <c r="J5714" s="4" t="s">
        <v>416</v>
      </c>
      <c r="K5714" s="13" t="n">
        <v>850</v>
      </c>
      <c r="L5714" s="6" t="n">
        <f aca="false">H5714*K5714</f>
        <v>850</v>
      </c>
      <c r="M5714" s="4" t="s">
        <v>371</v>
      </c>
    </row>
    <row r="5715" customFormat="false" ht="15" hidden="false" customHeight="false" outlineLevel="0" collapsed="false">
      <c r="A5715" s="4" t="s">
        <v>283</v>
      </c>
      <c r="B5715" s="5" t="s">
        <v>290</v>
      </c>
      <c r="C5715" s="5" t="s">
        <v>291</v>
      </c>
      <c r="D5715" s="4" t="s">
        <v>16</v>
      </c>
      <c r="E5715" s="4" t="s">
        <v>6290</v>
      </c>
      <c r="F5715" s="4" t="s">
        <v>470</v>
      </c>
      <c r="G5715" s="4" t="s">
        <v>6291</v>
      </c>
      <c r="H5715" s="12" t="n">
        <v>1</v>
      </c>
      <c r="I5715" s="4" t="s">
        <v>408</v>
      </c>
      <c r="J5715" s="4" t="s">
        <v>416</v>
      </c>
      <c r="K5715" s="13" t="n">
        <v>850</v>
      </c>
      <c r="L5715" s="6" t="n">
        <f aca="false">H5715*K5715</f>
        <v>850</v>
      </c>
      <c r="M5715" s="4" t="s">
        <v>371</v>
      </c>
    </row>
    <row r="5716" customFormat="false" ht="15" hidden="false" customHeight="false" outlineLevel="0" collapsed="false">
      <c r="A5716" s="4" t="s">
        <v>283</v>
      </c>
      <c r="B5716" s="5" t="s">
        <v>290</v>
      </c>
      <c r="C5716" s="5" t="s">
        <v>291</v>
      </c>
      <c r="D5716" s="4" t="s">
        <v>16</v>
      </c>
      <c r="E5716" s="4" t="s">
        <v>6292</v>
      </c>
      <c r="F5716" s="4" t="s">
        <v>470</v>
      </c>
      <c r="G5716" s="4" t="s">
        <v>6293</v>
      </c>
      <c r="H5716" s="12" t="n">
        <v>1</v>
      </c>
      <c r="I5716" s="4" t="s">
        <v>408</v>
      </c>
      <c r="J5716" s="4" t="s">
        <v>506</v>
      </c>
      <c r="K5716" s="13" t="n">
        <v>250</v>
      </c>
      <c r="L5716" s="6" t="n">
        <f aca="false">H5716*K5716</f>
        <v>250</v>
      </c>
      <c r="M5716" s="4" t="s">
        <v>371</v>
      </c>
    </row>
    <row r="5717" customFormat="false" ht="15" hidden="false" customHeight="false" outlineLevel="0" collapsed="false">
      <c r="A5717" s="4" t="s">
        <v>283</v>
      </c>
      <c r="B5717" s="5" t="s">
        <v>290</v>
      </c>
      <c r="C5717" s="5" t="s">
        <v>291</v>
      </c>
      <c r="D5717" s="4" t="s">
        <v>16</v>
      </c>
      <c r="E5717" s="4" t="s">
        <v>6294</v>
      </c>
      <c r="F5717" s="4" t="s">
        <v>470</v>
      </c>
      <c r="G5717" s="4" t="s">
        <v>6295</v>
      </c>
      <c r="H5717" s="12" t="n">
        <v>1</v>
      </c>
      <c r="I5717" s="4" t="s">
        <v>408</v>
      </c>
      <c r="J5717" s="4" t="s">
        <v>506</v>
      </c>
      <c r="K5717" s="13" t="n">
        <v>450</v>
      </c>
      <c r="L5717" s="6" t="n">
        <f aca="false">H5717*K5717</f>
        <v>450</v>
      </c>
      <c r="M5717" s="4" t="s">
        <v>371</v>
      </c>
    </row>
    <row r="5718" customFormat="false" ht="15" hidden="false" customHeight="false" outlineLevel="0" collapsed="false">
      <c r="A5718" s="4" t="s">
        <v>283</v>
      </c>
      <c r="B5718" s="5" t="s">
        <v>290</v>
      </c>
      <c r="C5718" s="5" t="s">
        <v>291</v>
      </c>
      <c r="D5718" s="4" t="s">
        <v>16</v>
      </c>
      <c r="E5718" s="4" t="s">
        <v>2301</v>
      </c>
      <c r="F5718" s="4" t="s">
        <v>470</v>
      </c>
      <c r="G5718" s="4" t="s">
        <v>2302</v>
      </c>
      <c r="H5718" s="12" t="n">
        <v>1</v>
      </c>
      <c r="I5718" s="4" t="s">
        <v>408</v>
      </c>
      <c r="J5718" s="4" t="s">
        <v>409</v>
      </c>
      <c r="K5718" s="13" t="n">
        <v>8500</v>
      </c>
      <c r="L5718" s="6" t="n">
        <f aca="false">H5718*K5718</f>
        <v>8500</v>
      </c>
      <c r="M5718" s="4" t="s">
        <v>371</v>
      </c>
    </row>
    <row r="5719" customFormat="false" ht="15" hidden="false" customHeight="false" outlineLevel="0" collapsed="false">
      <c r="A5719" s="4" t="s">
        <v>283</v>
      </c>
      <c r="B5719" s="5" t="s">
        <v>290</v>
      </c>
      <c r="C5719" s="5" t="s">
        <v>291</v>
      </c>
      <c r="D5719" s="4" t="s">
        <v>16</v>
      </c>
      <c r="E5719" s="4" t="s">
        <v>2303</v>
      </c>
      <c r="F5719" s="4" t="s">
        <v>470</v>
      </c>
      <c r="G5719" s="4" t="s">
        <v>2304</v>
      </c>
      <c r="H5719" s="12" t="n">
        <v>1</v>
      </c>
      <c r="I5719" s="4" t="s">
        <v>408</v>
      </c>
      <c r="J5719" s="4" t="s">
        <v>409</v>
      </c>
      <c r="K5719" s="13" t="n">
        <v>3500</v>
      </c>
      <c r="L5719" s="6" t="n">
        <f aca="false">H5719*K5719</f>
        <v>3500</v>
      </c>
      <c r="M5719" s="4" t="s">
        <v>371</v>
      </c>
    </row>
    <row r="5720" customFormat="false" ht="15" hidden="false" customHeight="false" outlineLevel="0" collapsed="false">
      <c r="A5720" s="4" t="s">
        <v>283</v>
      </c>
      <c r="B5720" s="5" t="s">
        <v>290</v>
      </c>
      <c r="C5720" s="5" t="s">
        <v>291</v>
      </c>
      <c r="D5720" s="4" t="s">
        <v>16</v>
      </c>
      <c r="E5720" s="4" t="s">
        <v>2305</v>
      </c>
      <c r="F5720" s="4" t="s">
        <v>470</v>
      </c>
      <c r="G5720" s="4" t="s">
        <v>2306</v>
      </c>
      <c r="H5720" s="12" t="n">
        <v>1</v>
      </c>
      <c r="I5720" s="4" t="s">
        <v>408</v>
      </c>
      <c r="J5720" s="4" t="s">
        <v>409</v>
      </c>
      <c r="K5720" s="13" t="n">
        <v>850</v>
      </c>
      <c r="L5720" s="6" t="n">
        <f aca="false">H5720*K5720</f>
        <v>850</v>
      </c>
      <c r="M5720" s="4" t="s">
        <v>371</v>
      </c>
    </row>
    <row r="5721" customFormat="false" ht="15" hidden="false" customHeight="false" outlineLevel="0" collapsed="false">
      <c r="A5721" s="4" t="s">
        <v>283</v>
      </c>
      <c r="B5721" s="5" t="s">
        <v>290</v>
      </c>
      <c r="C5721" s="5" t="s">
        <v>291</v>
      </c>
      <c r="D5721" s="4" t="s">
        <v>16</v>
      </c>
      <c r="E5721" s="4" t="s">
        <v>2323</v>
      </c>
      <c r="F5721" s="4" t="s">
        <v>488</v>
      </c>
      <c r="G5721" s="4" t="s">
        <v>2324</v>
      </c>
      <c r="H5721" s="12" t="n">
        <v>1</v>
      </c>
      <c r="I5721" s="4" t="s">
        <v>408</v>
      </c>
      <c r="J5721" s="4" t="s">
        <v>807</v>
      </c>
      <c r="K5721" s="13" t="n">
        <v>450</v>
      </c>
      <c r="L5721" s="6" t="n">
        <f aca="false">H5721*K5721</f>
        <v>450</v>
      </c>
      <c r="M5721" s="4" t="s">
        <v>371</v>
      </c>
    </row>
    <row r="5722" customFormat="false" ht="15" hidden="false" customHeight="false" outlineLevel="0" collapsed="false">
      <c r="A5722" s="4" t="s">
        <v>283</v>
      </c>
      <c r="B5722" s="5" t="s">
        <v>290</v>
      </c>
      <c r="C5722" s="5" t="s">
        <v>291</v>
      </c>
      <c r="D5722" s="4" t="s">
        <v>16</v>
      </c>
      <c r="E5722" s="4" t="s">
        <v>2325</v>
      </c>
      <c r="F5722" s="4" t="s">
        <v>488</v>
      </c>
      <c r="G5722" s="4" t="s">
        <v>2326</v>
      </c>
      <c r="H5722" s="12" t="n">
        <v>1</v>
      </c>
      <c r="I5722" s="4" t="s">
        <v>408</v>
      </c>
      <c r="J5722" s="4" t="s">
        <v>416</v>
      </c>
      <c r="K5722" s="13" t="n">
        <v>650</v>
      </c>
      <c r="L5722" s="6" t="n">
        <f aca="false">H5722*K5722</f>
        <v>650</v>
      </c>
      <c r="M5722" s="4" t="s">
        <v>371</v>
      </c>
    </row>
    <row r="5723" customFormat="false" ht="15" hidden="false" customHeight="false" outlineLevel="0" collapsed="false">
      <c r="A5723" s="4" t="s">
        <v>283</v>
      </c>
      <c r="B5723" s="5" t="s">
        <v>290</v>
      </c>
      <c r="C5723" s="5" t="s">
        <v>291</v>
      </c>
      <c r="D5723" s="4" t="s">
        <v>16</v>
      </c>
      <c r="E5723" s="4" t="s">
        <v>2327</v>
      </c>
      <c r="F5723" s="4" t="s">
        <v>488</v>
      </c>
      <c r="G5723" s="4" t="s">
        <v>2328</v>
      </c>
      <c r="H5723" s="12" t="n">
        <v>1</v>
      </c>
      <c r="I5723" s="4" t="s">
        <v>408</v>
      </c>
      <c r="J5723" s="4" t="s">
        <v>506</v>
      </c>
      <c r="K5723" s="13" t="n">
        <v>450</v>
      </c>
      <c r="L5723" s="6" t="n">
        <f aca="false">H5723*K5723</f>
        <v>450</v>
      </c>
      <c r="M5723" s="4" t="s">
        <v>371</v>
      </c>
    </row>
    <row r="5724" customFormat="false" ht="15" hidden="false" customHeight="false" outlineLevel="0" collapsed="false">
      <c r="A5724" s="4" t="s">
        <v>283</v>
      </c>
      <c r="B5724" s="5" t="s">
        <v>290</v>
      </c>
      <c r="C5724" s="5" t="s">
        <v>291</v>
      </c>
      <c r="D5724" s="4" t="s">
        <v>16</v>
      </c>
      <c r="E5724" s="4" t="s">
        <v>2385</v>
      </c>
      <c r="F5724" s="4" t="s">
        <v>470</v>
      </c>
      <c r="G5724" s="4" t="s">
        <v>2386</v>
      </c>
      <c r="H5724" s="12" t="n">
        <v>1</v>
      </c>
      <c r="I5724" s="4" t="s">
        <v>408</v>
      </c>
      <c r="J5724" s="4" t="s">
        <v>416</v>
      </c>
      <c r="K5724" s="13" t="n">
        <v>2500</v>
      </c>
      <c r="L5724" s="6" t="n">
        <f aca="false">H5724*K5724</f>
        <v>2500</v>
      </c>
      <c r="M5724" s="4" t="s">
        <v>371</v>
      </c>
    </row>
    <row r="5725" customFormat="false" ht="15" hidden="false" customHeight="false" outlineLevel="0" collapsed="false">
      <c r="A5725" s="4" t="s">
        <v>283</v>
      </c>
      <c r="B5725" s="5" t="s">
        <v>290</v>
      </c>
      <c r="C5725" s="5" t="s">
        <v>291</v>
      </c>
      <c r="D5725" s="4" t="s">
        <v>16</v>
      </c>
      <c r="E5725" s="4" t="s">
        <v>2337</v>
      </c>
      <c r="F5725" s="4" t="s">
        <v>470</v>
      </c>
      <c r="G5725" s="4" t="s">
        <v>2338</v>
      </c>
      <c r="H5725" s="12" t="n">
        <v>1</v>
      </c>
      <c r="I5725" s="4" t="s">
        <v>408</v>
      </c>
      <c r="J5725" s="4" t="s">
        <v>416</v>
      </c>
      <c r="K5725" s="13" t="n">
        <v>8500</v>
      </c>
      <c r="L5725" s="6" t="n">
        <f aca="false">H5725*K5725</f>
        <v>8500</v>
      </c>
      <c r="M5725" s="4" t="s">
        <v>371</v>
      </c>
    </row>
    <row r="5726" customFormat="false" ht="15" hidden="false" customHeight="false" outlineLevel="0" collapsed="false">
      <c r="A5726" s="4" t="s">
        <v>283</v>
      </c>
      <c r="B5726" s="5" t="s">
        <v>290</v>
      </c>
      <c r="C5726" s="5" t="s">
        <v>291</v>
      </c>
      <c r="D5726" s="4" t="s">
        <v>16</v>
      </c>
      <c r="E5726" s="4" t="s">
        <v>2339</v>
      </c>
      <c r="F5726" s="4" t="s">
        <v>470</v>
      </c>
      <c r="G5726" s="4" t="s">
        <v>2340</v>
      </c>
      <c r="H5726" s="12" t="n">
        <v>1</v>
      </c>
      <c r="I5726" s="4" t="s">
        <v>408</v>
      </c>
      <c r="J5726" s="4" t="s">
        <v>416</v>
      </c>
      <c r="K5726" s="13" t="n">
        <v>8500</v>
      </c>
      <c r="L5726" s="6" t="n">
        <f aca="false">H5726*K5726</f>
        <v>8500</v>
      </c>
      <c r="M5726" s="14" t="s">
        <v>410</v>
      </c>
    </row>
    <row r="5727" customFormat="false" ht="15" hidden="false" customHeight="false" outlineLevel="0" collapsed="false">
      <c r="A5727" s="4" t="s">
        <v>283</v>
      </c>
      <c r="B5727" s="5" t="s">
        <v>290</v>
      </c>
      <c r="C5727" s="5" t="s">
        <v>291</v>
      </c>
      <c r="D5727" s="4" t="s">
        <v>16</v>
      </c>
      <c r="E5727" s="4" t="s">
        <v>2341</v>
      </c>
      <c r="F5727" s="4" t="s">
        <v>470</v>
      </c>
      <c r="G5727" s="4" t="s">
        <v>2342</v>
      </c>
      <c r="H5727" s="12" t="n">
        <v>1</v>
      </c>
      <c r="I5727" s="4" t="s">
        <v>408</v>
      </c>
      <c r="J5727" s="4" t="s">
        <v>543</v>
      </c>
      <c r="K5727" s="13" t="n">
        <v>5000</v>
      </c>
      <c r="L5727" s="6" t="n">
        <f aca="false">H5727*K5727</f>
        <v>5000</v>
      </c>
      <c r="M5727" s="4" t="s">
        <v>371</v>
      </c>
    </row>
    <row r="5728" customFormat="false" ht="15" hidden="false" customHeight="false" outlineLevel="0" collapsed="false">
      <c r="A5728" s="4" t="s">
        <v>283</v>
      </c>
      <c r="B5728" s="5" t="s">
        <v>294</v>
      </c>
      <c r="C5728" s="5" t="s">
        <v>295</v>
      </c>
      <c r="D5728" s="4" t="s">
        <v>16</v>
      </c>
      <c r="E5728" s="4" t="s">
        <v>2225</v>
      </c>
      <c r="F5728" s="4" t="s">
        <v>406</v>
      </c>
      <c r="G5728" s="4" t="s">
        <v>2226</v>
      </c>
      <c r="H5728" s="12" t="n">
        <v>1</v>
      </c>
      <c r="I5728" s="4" t="s">
        <v>408</v>
      </c>
      <c r="J5728" s="4" t="s">
        <v>409</v>
      </c>
      <c r="K5728" s="13" t="n">
        <v>350</v>
      </c>
      <c r="L5728" s="6" t="n">
        <f aca="false">H5728*K5728</f>
        <v>350</v>
      </c>
      <c r="M5728" s="14" t="s">
        <v>410</v>
      </c>
    </row>
    <row r="5729" customFormat="false" ht="15" hidden="false" customHeight="false" outlineLevel="0" collapsed="false">
      <c r="A5729" s="4" t="s">
        <v>283</v>
      </c>
      <c r="B5729" s="5" t="s">
        <v>294</v>
      </c>
      <c r="C5729" s="5" t="s">
        <v>295</v>
      </c>
      <c r="D5729" s="4" t="s">
        <v>16</v>
      </c>
      <c r="E5729" s="4" t="s">
        <v>2449</v>
      </c>
      <c r="F5729" s="4" t="s">
        <v>406</v>
      </c>
      <c r="G5729" s="4" t="s">
        <v>2450</v>
      </c>
      <c r="H5729" s="12" t="n">
        <v>1</v>
      </c>
      <c r="I5729" s="4" t="s">
        <v>408</v>
      </c>
      <c r="J5729" s="4" t="s">
        <v>409</v>
      </c>
      <c r="K5729" s="13" t="n">
        <v>8500</v>
      </c>
      <c r="L5729" s="6" t="n">
        <f aca="false">H5729*K5729</f>
        <v>8500</v>
      </c>
      <c r="M5729" s="4" t="s">
        <v>371</v>
      </c>
    </row>
    <row r="5730" customFormat="false" ht="15" hidden="false" customHeight="false" outlineLevel="0" collapsed="false">
      <c r="A5730" s="4" t="s">
        <v>283</v>
      </c>
      <c r="B5730" s="5" t="s">
        <v>294</v>
      </c>
      <c r="C5730" s="5" t="s">
        <v>295</v>
      </c>
      <c r="D5730" s="4" t="s">
        <v>16</v>
      </c>
      <c r="E5730" s="4" t="s">
        <v>2257</v>
      </c>
      <c r="F5730" s="4" t="s">
        <v>406</v>
      </c>
      <c r="G5730" s="4" t="s">
        <v>2258</v>
      </c>
      <c r="H5730" s="12" t="n">
        <v>1</v>
      </c>
      <c r="I5730" s="4" t="s">
        <v>408</v>
      </c>
      <c r="J5730" s="4" t="s">
        <v>409</v>
      </c>
      <c r="K5730" s="13" t="n">
        <v>6500</v>
      </c>
      <c r="L5730" s="6" t="n">
        <f aca="false">H5730*K5730</f>
        <v>6500</v>
      </c>
      <c r="M5730" s="14" t="s">
        <v>410</v>
      </c>
    </row>
    <row r="5731" customFormat="false" ht="15" hidden="false" customHeight="false" outlineLevel="0" collapsed="false">
      <c r="A5731" s="4" t="s">
        <v>283</v>
      </c>
      <c r="B5731" s="5" t="s">
        <v>294</v>
      </c>
      <c r="C5731" s="5" t="s">
        <v>295</v>
      </c>
      <c r="D5731" s="4" t="s">
        <v>16</v>
      </c>
      <c r="E5731" s="4" t="s">
        <v>2259</v>
      </c>
      <c r="F5731" s="4" t="s">
        <v>406</v>
      </c>
      <c r="G5731" s="4" t="s">
        <v>2260</v>
      </c>
      <c r="H5731" s="12" t="n">
        <v>1</v>
      </c>
      <c r="I5731" s="4" t="s">
        <v>408</v>
      </c>
      <c r="J5731" s="4" t="s">
        <v>409</v>
      </c>
      <c r="K5731" s="13" t="n">
        <v>85000</v>
      </c>
      <c r="L5731" s="6" t="n">
        <f aca="false">H5731*K5731</f>
        <v>85000</v>
      </c>
      <c r="M5731" s="14" t="s">
        <v>410</v>
      </c>
    </row>
    <row r="5732" customFormat="false" ht="15" hidden="false" customHeight="false" outlineLevel="0" collapsed="false">
      <c r="A5732" s="4" t="s">
        <v>283</v>
      </c>
      <c r="B5732" s="5" t="s">
        <v>294</v>
      </c>
      <c r="C5732" s="5" t="s">
        <v>295</v>
      </c>
      <c r="D5732" s="4" t="s">
        <v>16</v>
      </c>
      <c r="E5732" s="4" t="s">
        <v>2261</v>
      </c>
      <c r="F5732" s="4" t="s">
        <v>406</v>
      </c>
      <c r="G5732" s="4" t="s">
        <v>2262</v>
      </c>
      <c r="H5732" s="12" t="n">
        <v>1</v>
      </c>
      <c r="I5732" s="4" t="s">
        <v>408</v>
      </c>
      <c r="J5732" s="4" t="s">
        <v>409</v>
      </c>
      <c r="K5732" s="13" t="n">
        <v>18000</v>
      </c>
      <c r="L5732" s="6" t="n">
        <f aca="false">H5732*K5732</f>
        <v>18000</v>
      </c>
      <c r="M5732" s="14" t="s">
        <v>410</v>
      </c>
    </row>
    <row r="5733" customFormat="false" ht="15" hidden="false" customHeight="false" outlineLevel="0" collapsed="false">
      <c r="A5733" s="4" t="s">
        <v>283</v>
      </c>
      <c r="B5733" s="5" t="s">
        <v>294</v>
      </c>
      <c r="C5733" s="5" t="s">
        <v>295</v>
      </c>
      <c r="D5733" s="4" t="s">
        <v>16</v>
      </c>
      <c r="E5733" s="4" t="s">
        <v>2263</v>
      </c>
      <c r="F5733" s="4" t="s">
        <v>406</v>
      </c>
      <c r="G5733" s="4" t="s">
        <v>2264</v>
      </c>
      <c r="H5733" s="12" t="n">
        <v>1</v>
      </c>
      <c r="I5733" s="4" t="s">
        <v>408</v>
      </c>
      <c r="J5733" s="4" t="s">
        <v>409</v>
      </c>
      <c r="K5733" s="13" t="n">
        <v>25000</v>
      </c>
      <c r="L5733" s="6" t="n">
        <f aca="false">H5733*K5733</f>
        <v>25000</v>
      </c>
      <c r="M5733" s="4" t="s">
        <v>371</v>
      </c>
    </row>
    <row r="5734" customFormat="false" ht="15" hidden="false" customHeight="false" outlineLevel="0" collapsed="false">
      <c r="A5734" s="4" t="s">
        <v>283</v>
      </c>
      <c r="B5734" s="5" t="s">
        <v>294</v>
      </c>
      <c r="C5734" s="5" t="s">
        <v>295</v>
      </c>
      <c r="D5734" s="4" t="s">
        <v>16</v>
      </c>
      <c r="E5734" s="4" t="s">
        <v>2271</v>
      </c>
      <c r="F5734" s="4" t="s">
        <v>470</v>
      </c>
      <c r="G5734" s="4" t="s">
        <v>2272</v>
      </c>
      <c r="H5734" s="12" t="n">
        <v>1</v>
      </c>
      <c r="I5734" s="4" t="s">
        <v>408</v>
      </c>
      <c r="J5734" s="4" t="s">
        <v>409</v>
      </c>
      <c r="K5734" s="13" t="n">
        <v>4500</v>
      </c>
      <c r="L5734" s="6" t="n">
        <f aca="false">H5734*K5734</f>
        <v>4500</v>
      </c>
      <c r="M5734" s="14" t="s">
        <v>410</v>
      </c>
    </row>
    <row r="5735" customFormat="false" ht="15" hidden="false" customHeight="false" outlineLevel="0" collapsed="false">
      <c r="A5735" s="4" t="s">
        <v>283</v>
      </c>
      <c r="B5735" s="5" t="s">
        <v>294</v>
      </c>
      <c r="C5735" s="5" t="s">
        <v>295</v>
      </c>
      <c r="D5735" s="4" t="s">
        <v>16</v>
      </c>
      <c r="E5735" s="4" t="s">
        <v>2273</v>
      </c>
      <c r="F5735" s="4" t="s">
        <v>470</v>
      </c>
      <c r="G5735" s="4" t="s">
        <v>2274</v>
      </c>
      <c r="H5735" s="12" t="n">
        <v>1</v>
      </c>
      <c r="I5735" s="4" t="s">
        <v>408</v>
      </c>
      <c r="J5735" s="4" t="s">
        <v>409</v>
      </c>
      <c r="K5735" s="13" t="n">
        <v>25000</v>
      </c>
      <c r="L5735" s="6" t="n">
        <f aca="false">H5735*K5735</f>
        <v>25000</v>
      </c>
      <c r="M5735" s="14" t="s">
        <v>410</v>
      </c>
    </row>
    <row r="5736" customFormat="false" ht="15" hidden="false" customHeight="false" outlineLevel="0" collapsed="false">
      <c r="A5736" s="4" t="s">
        <v>283</v>
      </c>
      <c r="B5736" s="5" t="s">
        <v>294</v>
      </c>
      <c r="C5736" s="5" t="s">
        <v>295</v>
      </c>
      <c r="D5736" s="4" t="s">
        <v>16</v>
      </c>
      <c r="E5736" s="4" t="s">
        <v>2163</v>
      </c>
      <c r="F5736" s="4" t="s">
        <v>470</v>
      </c>
      <c r="G5736" s="4" t="s">
        <v>2164</v>
      </c>
      <c r="H5736" s="12" t="n">
        <v>1</v>
      </c>
      <c r="I5736" s="4" t="s">
        <v>408</v>
      </c>
      <c r="J5736" s="4" t="s">
        <v>409</v>
      </c>
      <c r="K5736" s="13" t="n">
        <v>35000</v>
      </c>
      <c r="L5736" s="6" t="n">
        <f aca="false">H5736*K5736</f>
        <v>35000</v>
      </c>
      <c r="M5736" s="14" t="s">
        <v>410</v>
      </c>
    </row>
    <row r="5737" customFormat="false" ht="15" hidden="false" customHeight="false" outlineLevel="0" collapsed="false">
      <c r="A5737" s="4" t="s">
        <v>283</v>
      </c>
      <c r="B5737" s="5" t="s">
        <v>294</v>
      </c>
      <c r="C5737" s="5" t="s">
        <v>295</v>
      </c>
      <c r="D5737" s="4" t="s">
        <v>16</v>
      </c>
      <c r="E5737" s="4" t="s">
        <v>1058</v>
      </c>
      <c r="F5737" s="4" t="s">
        <v>470</v>
      </c>
      <c r="G5737" s="4" t="s">
        <v>1059</v>
      </c>
      <c r="H5737" s="12" t="n">
        <v>1</v>
      </c>
      <c r="I5737" s="4" t="s">
        <v>408</v>
      </c>
      <c r="J5737" s="4" t="s">
        <v>409</v>
      </c>
      <c r="K5737" s="13" t="n">
        <v>45000</v>
      </c>
      <c r="L5737" s="6" t="n">
        <f aca="false">H5737*K5737</f>
        <v>45000</v>
      </c>
      <c r="M5737" s="14" t="s">
        <v>410</v>
      </c>
    </row>
    <row r="5738" customFormat="false" ht="15" hidden="false" customHeight="false" outlineLevel="0" collapsed="false">
      <c r="A5738" s="4" t="s">
        <v>283</v>
      </c>
      <c r="B5738" s="5" t="s">
        <v>294</v>
      </c>
      <c r="C5738" s="5" t="s">
        <v>295</v>
      </c>
      <c r="D5738" s="4" t="s">
        <v>16</v>
      </c>
      <c r="E5738" s="4" t="s">
        <v>2451</v>
      </c>
      <c r="F5738" s="4" t="s">
        <v>470</v>
      </c>
      <c r="G5738" s="4" t="s">
        <v>2452</v>
      </c>
      <c r="H5738" s="12" t="n">
        <v>1</v>
      </c>
      <c r="I5738" s="4" t="s">
        <v>408</v>
      </c>
      <c r="J5738" s="4" t="s">
        <v>409</v>
      </c>
      <c r="K5738" s="13" t="n">
        <v>8500</v>
      </c>
      <c r="L5738" s="6" t="n">
        <f aca="false">H5738*K5738</f>
        <v>8500</v>
      </c>
      <c r="M5738" s="4" t="s">
        <v>371</v>
      </c>
    </row>
    <row r="5739" customFormat="false" ht="15" hidden="false" customHeight="false" outlineLevel="0" collapsed="false">
      <c r="A5739" s="4" t="s">
        <v>283</v>
      </c>
      <c r="B5739" s="5" t="s">
        <v>294</v>
      </c>
      <c r="C5739" s="5" t="s">
        <v>295</v>
      </c>
      <c r="D5739" s="4" t="s">
        <v>16</v>
      </c>
      <c r="E5739" s="4" t="s">
        <v>2453</v>
      </c>
      <c r="F5739" s="4" t="s">
        <v>470</v>
      </c>
      <c r="G5739" s="4" t="s">
        <v>2454</v>
      </c>
      <c r="H5739" s="12" t="n">
        <v>1</v>
      </c>
      <c r="I5739" s="4" t="s">
        <v>408</v>
      </c>
      <c r="J5739" s="4" t="s">
        <v>409</v>
      </c>
      <c r="K5739" s="13" t="n">
        <v>18000</v>
      </c>
      <c r="L5739" s="6" t="n">
        <f aca="false">H5739*K5739</f>
        <v>18000</v>
      </c>
      <c r="M5739" s="4" t="s">
        <v>371</v>
      </c>
    </row>
    <row r="5740" customFormat="false" ht="15" hidden="false" customHeight="false" outlineLevel="0" collapsed="false">
      <c r="A5740" s="4" t="s">
        <v>283</v>
      </c>
      <c r="B5740" s="5" t="s">
        <v>294</v>
      </c>
      <c r="C5740" s="5" t="s">
        <v>295</v>
      </c>
      <c r="D5740" s="4" t="s">
        <v>16</v>
      </c>
      <c r="E5740" s="4" t="s">
        <v>2455</v>
      </c>
      <c r="F5740" s="4" t="s">
        <v>470</v>
      </c>
      <c r="G5740" s="4" t="s">
        <v>2456</v>
      </c>
      <c r="H5740" s="12" t="n">
        <v>1</v>
      </c>
      <c r="I5740" s="4" t="s">
        <v>408</v>
      </c>
      <c r="J5740" s="4" t="s">
        <v>409</v>
      </c>
      <c r="K5740" s="13" t="n">
        <v>25000</v>
      </c>
      <c r="L5740" s="6" t="n">
        <f aca="false">H5740*K5740</f>
        <v>25000</v>
      </c>
      <c r="M5740" s="4" t="s">
        <v>371</v>
      </c>
    </row>
    <row r="5741" customFormat="false" ht="15" hidden="false" customHeight="false" outlineLevel="0" collapsed="false">
      <c r="A5741" s="4" t="s">
        <v>283</v>
      </c>
      <c r="B5741" s="5" t="s">
        <v>294</v>
      </c>
      <c r="C5741" s="5" t="s">
        <v>295</v>
      </c>
      <c r="D5741" s="4" t="s">
        <v>16</v>
      </c>
      <c r="E5741" s="4" t="s">
        <v>1089</v>
      </c>
      <c r="F5741" s="4" t="s">
        <v>470</v>
      </c>
      <c r="G5741" s="4" t="s">
        <v>1090</v>
      </c>
      <c r="H5741" s="12" t="n">
        <v>1</v>
      </c>
      <c r="I5741" s="4" t="s">
        <v>408</v>
      </c>
      <c r="J5741" s="4" t="s">
        <v>409</v>
      </c>
      <c r="K5741" s="13" t="n">
        <v>3500</v>
      </c>
      <c r="L5741" s="6" t="n">
        <f aca="false">H5741*K5741</f>
        <v>3500</v>
      </c>
      <c r="M5741" s="4" t="s">
        <v>371</v>
      </c>
    </row>
    <row r="5742" customFormat="false" ht="15" hidden="false" customHeight="false" outlineLevel="0" collapsed="false">
      <c r="A5742" s="4" t="s">
        <v>283</v>
      </c>
      <c r="B5742" s="5" t="s">
        <v>294</v>
      </c>
      <c r="C5742" s="5" t="s">
        <v>295</v>
      </c>
      <c r="D5742" s="4" t="s">
        <v>16</v>
      </c>
      <c r="E5742" s="4" t="s">
        <v>2289</v>
      </c>
      <c r="F5742" s="4" t="s">
        <v>470</v>
      </c>
      <c r="G5742" s="4" t="s">
        <v>2290</v>
      </c>
      <c r="H5742" s="12" t="n">
        <v>1</v>
      </c>
      <c r="I5742" s="4" t="s">
        <v>408</v>
      </c>
      <c r="J5742" s="4" t="s">
        <v>409</v>
      </c>
      <c r="K5742" s="13" t="n">
        <v>2500</v>
      </c>
      <c r="L5742" s="6" t="n">
        <f aca="false">H5742*K5742</f>
        <v>2500</v>
      </c>
      <c r="M5742" s="4" t="s">
        <v>371</v>
      </c>
    </row>
    <row r="5743" customFormat="false" ht="15" hidden="false" customHeight="false" outlineLevel="0" collapsed="false">
      <c r="A5743" s="4" t="s">
        <v>283</v>
      </c>
      <c r="B5743" s="5" t="s">
        <v>294</v>
      </c>
      <c r="C5743" s="5" t="s">
        <v>295</v>
      </c>
      <c r="D5743" s="4" t="s">
        <v>16</v>
      </c>
      <c r="E5743" s="4" t="s">
        <v>6244</v>
      </c>
      <c r="F5743" s="4" t="s">
        <v>470</v>
      </c>
      <c r="G5743" s="4" t="s">
        <v>2360</v>
      </c>
      <c r="H5743" s="12" t="n">
        <v>1</v>
      </c>
      <c r="I5743" s="4" t="s">
        <v>408</v>
      </c>
      <c r="J5743" s="4" t="s">
        <v>416</v>
      </c>
      <c r="K5743" s="13" t="n">
        <v>4500</v>
      </c>
      <c r="L5743" s="6" t="n">
        <f aca="false">H5743*K5743</f>
        <v>4500</v>
      </c>
      <c r="M5743" s="4" t="s">
        <v>371</v>
      </c>
    </row>
    <row r="5744" customFormat="false" ht="15" hidden="false" customHeight="false" outlineLevel="0" collapsed="false">
      <c r="A5744" s="4" t="s">
        <v>283</v>
      </c>
      <c r="B5744" s="5" t="s">
        <v>294</v>
      </c>
      <c r="C5744" s="5" t="s">
        <v>295</v>
      </c>
      <c r="D5744" s="4" t="s">
        <v>16</v>
      </c>
      <c r="E5744" s="4" t="s">
        <v>2473</v>
      </c>
      <c r="F5744" s="4" t="s">
        <v>470</v>
      </c>
      <c r="G5744" s="4" t="s">
        <v>2474</v>
      </c>
      <c r="H5744" s="12" t="n">
        <v>1</v>
      </c>
      <c r="I5744" s="4" t="s">
        <v>408</v>
      </c>
      <c r="J5744" s="4" t="s">
        <v>409</v>
      </c>
      <c r="K5744" s="13" t="n">
        <v>3500</v>
      </c>
      <c r="L5744" s="6" t="n">
        <f aca="false">H5744*K5744</f>
        <v>3500</v>
      </c>
      <c r="M5744" s="4" t="s">
        <v>371</v>
      </c>
    </row>
    <row r="5745" customFormat="false" ht="15" hidden="false" customHeight="false" outlineLevel="0" collapsed="false">
      <c r="A5745" s="4" t="s">
        <v>283</v>
      </c>
      <c r="B5745" s="5" t="s">
        <v>294</v>
      </c>
      <c r="C5745" s="5" t="s">
        <v>295</v>
      </c>
      <c r="D5745" s="4" t="s">
        <v>16</v>
      </c>
      <c r="E5745" s="4" t="s">
        <v>2475</v>
      </c>
      <c r="F5745" s="4" t="s">
        <v>470</v>
      </c>
      <c r="G5745" s="4" t="s">
        <v>2476</v>
      </c>
      <c r="H5745" s="12" t="n">
        <v>1</v>
      </c>
      <c r="I5745" s="4" t="s">
        <v>408</v>
      </c>
      <c r="J5745" s="4" t="s">
        <v>409</v>
      </c>
      <c r="K5745" s="13" t="n">
        <v>850</v>
      </c>
      <c r="L5745" s="6" t="n">
        <f aca="false">H5745*K5745</f>
        <v>850</v>
      </c>
      <c r="M5745" s="4" t="s">
        <v>371</v>
      </c>
    </row>
    <row r="5746" customFormat="false" ht="15" hidden="false" customHeight="false" outlineLevel="0" collapsed="false">
      <c r="A5746" s="4" t="s">
        <v>283</v>
      </c>
      <c r="B5746" s="5" t="s">
        <v>294</v>
      </c>
      <c r="C5746" s="5" t="s">
        <v>295</v>
      </c>
      <c r="D5746" s="4" t="s">
        <v>16</v>
      </c>
      <c r="E5746" s="4" t="s">
        <v>2459</v>
      </c>
      <c r="F5746" s="4" t="s">
        <v>470</v>
      </c>
      <c r="G5746" s="4" t="s">
        <v>2460</v>
      </c>
      <c r="H5746" s="12" t="n">
        <v>1</v>
      </c>
      <c r="I5746" s="4" t="s">
        <v>408</v>
      </c>
      <c r="J5746" s="4" t="s">
        <v>416</v>
      </c>
      <c r="K5746" s="13" t="n">
        <v>2500</v>
      </c>
      <c r="L5746" s="6" t="n">
        <f aca="false">H5746*K5746</f>
        <v>2500</v>
      </c>
      <c r="M5746" s="4" t="s">
        <v>371</v>
      </c>
    </row>
    <row r="5747" customFormat="false" ht="15" hidden="false" customHeight="false" outlineLevel="0" collapsed="false">
      <c r="A5747" s="4" t="s">
        <v>283</v>
      </c>
      <c r="B5747" s="5" t="s">
        <v>294</v>
      </c>
      <c r="C5747" s="5" t="s">
        <v>295</v>
      </c>
      <c r="D5747" s="4" t="s">
        <v>16</v>
      </c>
      <c r="E5747" s="4" t="s">
        <v>2301</v>
      </c>
      <c r="F5747" s="4" t="s">
        <v>470</v>
      </c>
      <c r="G5747" s="4" t="s">
        <v>2302</v>
      </c>
      <c r="H5747" s="12" t="n">
        <v>1</v>
      </c>
      <c r="I5747" s="4" t="s">
        <v>408</v>
      </c>
      <c r="J5747" s="4" t="s">
        <v>409</v>
      </c>
      <c r="K5747" s="13" t="n">
        <v>8500</v>
      </c>
      <c r="L5747" s="6" t="n">
        <f aca="false">H5747*K5747</f>
        <v>8500</v>
      </c>
      <c r="M5747" s="4" t="s">
        <v>371</v>
      </c>
    </row>
    <row r="5748" customFormat="false" ht="15" hidden="false" customHeight="false" outlineLevel="0" collapsed="false">
      <c r="A5748" s="4" t="s">
        <v>283</v>
      </c>
      <c r="B5748" s="5" t="s">
        <v>294</v>
      </c>
      <c r="C5748" s="5" t="s">
        <v>295</v>
      </c>
      <c r="D5748" s="4" t="s">
        <v>16</v>
      </c>
      <c r="E5748" s="4" t="s">
        <v>2303</v>
      </c>
      <c r="F5748" s="4" t="s">
        <v>470</v>
      </c>
      <c r="G5748" s="4" t="s">
        <v>2304</v>
      </c>
      <c r="H5748" s="12" t="n">
        <v>1</v>
      </c>
      <c r="I5748" s="4" t="s">
        <v>408</v>
      </c>
      <c r="J5748" s="4" t="s">
        <v>409</v>
      </c>
      <c r="K5748" s="13" t="n">
        <v>3500</v>
      </c>
      <c r="L5748" s="6" t="n">
        <f aca="false">H5748*K5748</f>
        <v>3500</v>
      </c>
      <c r="M5748" s="4" t="s">
        <v>371</v>
      </c>
    </row>
    <row r="5749" customFormat="false" ht="15" hidden="false" customHeight="false" outlineLevel="0" collapsed="false">
      <c r="A5749" s="4" t="s">
        <v>283</v>
      </c>
      <c r="B5749" s="5" t="s">
        <v>294</v>
      </c>
      <c r="C5749" s="5" t="s">
        <v>295</v>
      </c>
      <c r="D5749" s="4" t="s">
        <v>16</v>
      </c>
      <c r="E5749" s="4" t="s">
        <v>2305</v>
      </c>
      <c r="F5749" s="4" t="s">
        <v>470</v>
      </c>
      <c r="G5749" s="4" t="s">
        <v>2306</v>
      </c>
      <c r="H5749" s="12" t="n">
        <v>1</v>
      </c>
      <c r="I5749" s="4" t="s">
        <v>408</v>
      </c>
      <c r="J5749" s="4" t="s">
        <v>409</v>
      </c>
      <c r="K5749" s="13" t="n">
        <v>850</v>
      </c>
      <c r="L5749" s="6" t="n">
        <f aca="false">H5749*K5749</f>
        <v>850</v>
      </c>
      <c r="M5749" s="4" t="s">
        <v>371</v>
      </c>
    </row>
    <row r="5750" customFormat="false" ht="15" hidden="false" customHeight="false" outlineLevel="0" collapsed="false">
      <c r="A5750" s="4" t="s">
        <v>283</v>
      </c>
      <c r="B5750" s="5" t="s">
        <v>294</v>
      </c>
      <c r="C5750" s="5" t="s">
        <v>295</v>
      </c>
      <c r="D5750" s="4" t="s">
        <v>16</v>
      </c>
      <c r="E5750" s="4" t="s">
        <v>2461</v>
      </c>
      <c r="F5750" s="4" t="s">
        <v>488</v>
      </c>
      <c r="G5750" s="4" t="s">
        <v>2462</v>
      </c>
      <c r="H5750" s="12" t="n">
        <v>1</v>
      </c>
      <c r="I5750" s="4" t="s">
        <v>408</v>
      </c>
      <c r="J5750" s="4" t="s">
        <v>409</v>
      </c>
      <c r="K5750" s="13" t="n">
        <v>450</v>
      </c>
      <c r="L5750" s="6" t="n">
        <f aca="false">H5750*K5750</f>
        <v>450</v>
      </c>
      <c r="M5750" s="4" t="s">
        <v>371</v>
      </c>
    </row>
    <row r="5751" customFormat="false" ht="15" hidden="false" customHeight="false" outlineLevel="0" collapsed="false">
      <c r="A5751" s="4" t="s">
        <v>283</v>
      </c>
      <c r="B5751" s="5" t="s">
        <v>294</v>
      </c>
      <c r="C5751" s="5" t="s">
        <v>295</v>
      </c>
      <c r="D5751" s="4" t="s">
        <v>16</v>
      </c>
      <c r="E5751" s="4" t="s">
        <v>2463</v>
      </c>
      <c r="F5751" s="4" t="s">
        <v>488</v>
      </c>
      <c r="G5751" s="4" t="s">
        <v>2464</v>
      </c>
      <c r="H5751" s="12" t="n">
        <v>1</v>
      </c>
      <c r="I5751" s="4" t="s">
        <v>408</v>
      </c>
      <c r="J5751" s="4" t="s">
        <v>409</v>
      </c>
      <c r="K5751" s="13" t="n">
        <v>35</v>
      </c>
      <c r="L5751" s="6" t="n">
        <f aca="false">H5751*K5751</f>
        <v>35</v>
      </c>
      <c r="M5751" s="4" t="s">
        <v>371</v>
      </c>
    </row>
    <row r="5752" customFormat="false" ht="15" hidden="false" customHeight="false" outlineLevel="0" collapsed="false">
      <c r="A5752" s="4" t="s">
        <v>283</v>
      </c>
      <c r="B5752" s="5" t="s">
        <v>294</v>
      </c>
      <c r="C5752" s="5" t="s">
        <v>295</v>
      </c>
      <c r="D5752" s="4" t="s">
        <v>16</v>
      </c>
      <c r="E5752" s="4" t="s">
        <v>2465</v>
      </c>
      <c r="F5752" s="4" t="s">
        <v>488</v>
      </c>
      <c r="G5752" s="4" t="s">
        <v>2466</v>
      </c>
      <c r="H5752" s="12" t="n">
        <v>1</v>
      </c>
      <c r="I5752" s="4" t="s">
        <v>408</v>
      </c>
      <c r="J5752" s="4" t="s">
        <v>506</v>
      </c>
      <c r="K5752" s="13" t="n">
        <v>100</v>
      </c>
      <c r="L5752" s="6" t="n">
        <f aca="false">H5752*K5752</f>
        <v>100</v>
      </c>
      <c r="M5752" s="4" t="s">
        <v>371</v>
      </c>
    </row>
    <row r="5753" customFormat="false" ht="15" hidden="false" customHeight="false" outlineLevel="0" collapsed="false">
      <c r="A5753" s="4" t="s">
        <v>283</v>
      </c>
      <c r="B5753" s="5" t="s">
        <v>294</v>
      </c>
      <c r="C5753" s="5" t="s">
        <v>295</v>
      </c>
      <c r="D5753" s="4" t="s">
        <v>16</v>
      </c>
      <c r="E5753" s="4" t="s">
        <v>2467</v>
      </c>
      <c r="F5753" s="4" t="s">
        <v>488</v>
      </c>
      <c r="G5753" s="4" t="s">
        <v>2468</v>
      </c>
      <c r="H5753" s="12" t="n">
        <v>1</v>
      </c>
      <c r="I5753" s="4" t="s">
        <v>408</v>
      </c>
      <c r="J5753" s="4" t="s">
        <v>409</v>
      </c>
      <c r="K5753" s="13" t="n">
        <v>15</v>
      </c>
      <c r="L5753" s="6" t="n">
        <f aca="false">H5753*K5753</f>
        <v>15</v>
      </c>
      <c r="M5753" s="4" t="s">
        <v>371</v>
      </c>
    </row>
    <row r="5754" customFormat="false" ht="15" hidden="false" customHeight="false" outlineLevel="0" collapsed="false">
      <c r="A5754" s="4" t="s">
        <v>283</v>
      </c>
      <c r="B5754" s="5" t="s">
        <v>294</v>
      </c>
      <c r="C5754" s="5" t="s">
        <v>295</v>
      </c>
      <c r="D5754" s="4" t="s">
        <v>16</v>
      </c>
      <c r="E5754" s="4" t="s">
        <v>2469</v>
      </c>
      <c r="F5754" s="4" t="s">
        <v>488</v>
      </c>
      <c r="G5754" s="4" t="s">
        <v>2470</v>
      </c>
      <c r="H5754" s="12" t="n">
        <v>1</v>
      </c>
      <c r="I5754" s="4" t="s">
        <v>408</v>
      </c>
      <c r="J5754" s="4" t="s">
        <v>409</v>
      </c>
      <c r="K5754" s="13" t="n">
        <v>10</v>
      </c>
      <c r="L5754" s="6" t="n">
        <f aca="false">H5754*K5754</f>
        <v>10</v>
      </c>
      <c r="M5754" s="4" t="s">
        <v>371</v>
      </c>
    </row>
    <row r="5755" customFormat="false" ht="15" hidden="false" customHeight="false" outlineLevel="0" collapsed="false">
      <c r="A5755" s="4" t="s">
        <v>283</v>
      </c>
      <c r="B5755" s="5" t="s">
        <v>294</v>
      </c>
      <c r="C5755" s="5" t="s">
        <v>295</v>
      </c>
      <c r="D5755" s="4" t="s">
        <v>16</v>
      </c>
      <c r="E5755" s="4" t="s">
        <v>2471</v>
      </c>
      <c r="F5755" s="4" t="s">
        <v>488</v>
      </c>
      <c r="G5755" s="4" t="s">
        <v>2472</v>
      </c>
      <c r="H5755" s="12" t="n">
        <v>1</v>
      </c>
      <c r="I5755" s="4" t="s">
        <v>408</v>
      </c>
      <c r="J5755" s="4" t="s">
        <v>506</v>
      </c>
      <c r="K5755" s="13" t="n">
        <v>120</v>
      </c>
      <c r="L5755" s="6" t="n">
        <f aca="false">H5755*K5755</f>
        <v>120</v>
      </c>
      <c r="M5755" s="4" t="s">
        <v>371</v>
      </c>
    </row>
    <row r="5756" customFormat="false" ht="15" hidden="false" customHeight="false" outlineLevel="0" collapsed="false">
      <c r="A5756" s="4" t="s">
        <v>283</v>
      </c>
      <c r="B5756" s="5" t="s">
        <v>294</v>
      </c>
      <c r="C5756" s="5" t="s">
        <v>295</v>
      </c>
      <c r="D5756" s="4" t="s">
        <v>16</v>
      </c>
      <c r="E5756" s="4" t="s">
        <v>2325</v>
      </c>
      <c r="F5756" s="4" t="s">
        <v>488</v>
      </c>
      <c r="G5756" s="4" t="s">
        <v>2326</v>
      </c>
      <c r="H5756" s="12" t="n">
        <v>1</v>
      </c>
      <c r="I5756" s="4" t="s">
        <v>408</v>
      </c>
      <c r="J5756" s="4" t="s">
        <v>416</v>
      </c>
      <c r="K5756" s="13" t="n">
        <v>650</v>
      </c>
      <c r="L5756" s="6" t="n">
        <f aca="false">H5756*K5756</f>
        <v>650</v>
      </c>
      <c r="M5756" s="4" t="s">
        <v>371</v>
      </c>
    </row>
    <row r="5757" customFormat="false" ht="15" hidden="false" customHeight="false" outlineLevel="0" collapsed="false">
      <c r="A5757" s="4" t="s">
        <v>283</v>
      </c>
      <c r="B5757" s="5" t="s">
        <v>294</v>
      </c>
      <c r="C5757" s="5" t="s">
        <v>295</v>
      </c>
      <c r="D5757" s="4" t="s">
        <v>16</v>
      </c>
      <c r="E5757" s="4" t="s">
        <v>2327</v>
      </c>
      <c r="F5757" s="4" t="s">
        <v>488</v>
      </c>
      <c r="G5757" s="4" t="s">
        <v>2328</v>
      </c>
      <c r="H5757" s="12" t="n">
        <v>1</v>
      </c>
      <c r="I5757" s="4" t="s">
        <v>408</v>
      </c>
      <c r="J5757" s="4" t="s">
        <v>506</v>
      </c>
      <c r="K5757" s="13" t="n">
        <v>450</v>
      </c>
      <c r="L5757" s="6" t="n">
        <f aca="false">H5757*K5757</f>
        <v>450</v>
      </c>
      <c r="M5757" s="4" t="s">
        <v>371</v>
      </c>
    </row>
    <row r="5758" customFormat="false" ht="15" hidden="false" customHeight="false" outlineLevel="0" collapsed="false">
      <c r="A5758" s="4" t="s">
        <v>283</v>
      </c>
      <c r="B5758" s="5" t="s">
        <v>294</v>
      </c>
      <c r="C5758" s="5" t="s">
        <v>295</v>
      </c>
      <c r="D5758" s="4" t="s">
        <v>16</v>
      </c>
      <c r="E5758" s="4" t="s">
        <v>2339</v>
      </c>
      <c r="F5758" s="4" t="s">
        <v>470</v>
      </c>
      <c r="G5758" s="4" t="s">
        <v>2340</v>
      </c>
      <c r="H5758" s="12" t="n">
        <v>1</v>
      </c>
      <c r="I5758" s="4" t="s">
        <v>408</v>
      </c>
      <c r="J5758" s="4" t="s">
        <v>416</v>
      </c>
      <c r="K5758" s="13" t="n">
        <v>8500</v>
      </c>
      <c r="L5758" s="6" t="n">
        <f aca="false">H5758*K5758</f>
        <v>8500</v>
      </c>
      <c r="M5758" s="14" t="s">
        <v>410</v>
      </c>
    </row>
    <row r="5759" customFormat="false" ht="15" hidden="false" customHeight="false" outlineLevel="0" collapsed="false">
      <c r="A5759" s="4" t="s">
        <v>283</v>
      </c>
      <c r="B5759" s="5" t="s">
        <v>296</v>
      </c>
      <c r="C5759" s="5" t="s">
        <v>297</v>
      </c>
      <c r="D5759" s="4" t="s">
        <v>16</v>
      </c>
      <c r="E5759" s="4" t="s">
        <v>6296</v>
      </c>
      <c r="F5759" s="4" t="s">
        <v>406</v>
      </c>
      <c r="G5759" s="4" t="s">
        <v>6297</v>
      </c>
      <c r="H5759" s="12" t="n">
        <v>1</v>
      </c>
      <c r="I5759" s="4" t="s">
        <v>408</v>
      </c>
      <c r="J5759" s="4" t="s">
        <v>409</v>
      </c>
      <c r="K5759" s="13" t="n">
        <v>1800</v>
      </c>
      <c r="L5759" s="6" t="n">
        <f aca="false">H5759*K5759</f>
        <v>1800</v>
      </c>
      <c r="M5759" s="4" t="s">
        <v>371</v>
      </c>
    </row>
    <row r="5760" customFormat="false" ht="15" hidden="false" customHeight="false" outlineLevel="0" collapsed="false">
      <c r="A5760" s="4" t="s">
        <v>283</v>
      </c>
      <c r="B5760" s="5" t="s">
        <v>296</v>
      </c>
      <c r="C5760" s="5" t="s">
        <v>297</v>
      </c>
      <c r="D5760" s="4" t="s">
        <v>16</v>
      </c>
      <c r="E5760" s="4" t="s">
        <v>3077</v>
      </c>
      <c r="F5760" s="4" t="s">
        <v>406</v>
      </c>
      <c r="G5760" s="4" t="s">
        <v>3078</v>
      </c>
      <c r="H5760" s="12" t="n">
        <v>1</v>
      </c>
      <c r="I5760" s="4" t="s">
        <v>408</v>
      </c>
      <c r="J5760" s="4" t="s">
        <v>409</v>
      </c>
      <c r="K5760" s="13" t="n">
        <v>120</v>
      </c>
      <c r="L5760" s="6" t="n">
        <f aca="false">H5760*K5760</f>
        <v>120</v>
      </c>
      <c r="M5760" s="14" t="s">
        <v>410</v>
      </c>
    </row>
    <row r="5761" customFormat="false" ht="15" hidden="false" customHeight="false" outlineLevel="0" collapsed="false">
      <c r="A5761" s="4" t="s">
        <v>283</v>
      </c>
      <c r="B5761" s="5" t="s">
        <v>296</v>
      </c>
      <c r="C5761" s="5" t="s">
        <v>297</v>
      </c>
      <c r="D5761" s="4" t="s">
        <v>16</v>
      </c>
      <c r="E5761" s="4" t="s">
        <v>4014</v>
      </c>
      <c r="F5761" s="4" t="s">
        <v>406</v>
      </c>
      <c r="G5761" s="4" t="s">
        <v>4015</v>
      </c>
      <c r="H5761" s="12" t="n">
        <v>1</v>
      </c>
      <c r="I5761" s="4" t="s">
        <v>408</v>
      </c>
      <c r="J5761" s="4" t="s">
        <v>409</v>
      </c>
      <c r="K5761" s="13" t="n">
        <v>8500</v>
      </c>
      <c r="L5761" s="6" t="n">
        <f aca="false">H5761*K5761</f>
        <v>8500</v>
      </c>
      <c r="M5761" s="14" t="s">
        <v>410</v>
      </c>
    </row>
    <row r="5762" customFormat="false" ht="15" hidden="false" customHeight="false" outlineLevel="0" collapsed="false">
      <c r="A5762" s="4" t="s">
        <v>283</v>
      </c>
      <c r="B5762" s="5" t="s">
        <v>296</v>
      </c>
      <c r="C5762" s="5" t="s">
        <v>297</v>
      </c>
      <c r="D5762" s="4" t="s">
        <v>16</v>
      </c>
      <c r="E5762" s="4" t="s">
        <v>6298</v>
      </c>
      <c r="F5762" s="4" t="s">
        <v>406</v>
      </c>
      <c r="G5762" s="4" t="s">
        <v>6299</v>
      </c>
      <c r="H5762" s="12" t="n">
        <v>1</v>
      </c>
      <c r="I5762" s="4" t="s">
        <v>408</v>
      </c>
      <c r="J5762" s="4" t="s">
        <v>409</v>
      </c>
      <c r="K5762" s="13" t="n">
        <v>8500</v>
      </c>
      <c r="L5762" s="6" t="n">
        <f aca="false">H5762*K5762</f>
        <v>8500</v>
      </c>
      <c r="M5762" s="4" t="s">
        <v>371</v>
      </c>
    </row>
    <row r="5763" customFormat="false" ht="15" hidden="false" customHeight="false" outlineLevel="0" collapsed="false">
      <c r="A5763" s="4" t="s">
        <v>283</v>
      </c>
      <c r="B5763" s="5" t="s">
        <v>296</v>
      </c>
      <c r="C5763" s="5" t="s">
        <v>297</v>
      </c>
      <c r="D5763" s="4" t="s">
        <v>16</v>
      </c>
      <c r="E5763" s="4" t="s">
        <v>6300</v>
      </c>
      <c r="F5763" s="4" t="s">
        <v>406</v>
      </c>
      <c r="G5763" s="4" t="s">
        <v>6301</v>
      </c>
      <c r="H5763" s="12" t="n">
        <v>1</v>
      </c>
      <c r="I5763" s="4" t="s">
        <v>408</v>
      </c>
      <c r="J5763" s="4" t="s">
        <v>409</v>
      </c>
      <c r="K5763" s="13" t="n">
        <v>8500</v>
      </c>
      <c r="L5763" s="6" t="n">
        <f aca="false">H5763*K5763</f>
        <v>8500</v>
      </c>
      <c r="M5763" s="4" t="s">
        <v>371</v>
      </c>
    </row>
    <row r="5764" customFormat="false" ht="15" hidden="false" customHeight="false" outlineLevel="0" collapsed="false">
      <c r="A5764" s="4" t="s">
        <v>283</v>
      </c>
      <c r="B5764" s="5" t="s">
        <v>296</v>
      </c>
      <c r="C5764" s="5" t="s">
        <v>297</v>
      </c>
      <c r="D5764" s="4" t="s">
        <v>16</v>
      </c>
      <c r="E5764" s="4" t="s">
        <v>6047</v>
      </c>
      <c r="F5764" s="4" t="s">
        <v>406</v>
      </c>
      <c r="G5764" s="4" t="s">
        <v>6048</v>
      </c>
      <c r="H5764" s="12" t="n">
        <v>1</v>
      </c>
      <c r="I5764" s="4" t="s">
        <v>408</v>
      </c>
      <c r="J5764" s="4" t="s">
        <v>416</v>
      </c>
      <c r="K5764" s="13" t="n">
        <v>4500</v>
      </c>
      <c r="L5764" s="6" t="n">
        <f aca="false">H5764*K5764</f>
        <v>4500</v>
      </c>
      <c r="M5764" s="4" t="s">
        <v>371</v>
      </c>
    </row>
    <row r="5765" customFormat="false" ht="15" hidden="false" customHeight="false" outlineLevel="0" collapsed="false">
      <c r="A5765" s="4" t="s">
        <v>283</v>
      </c>
      <c r="B5765" s="5" t="s">
        <v>296</v>
      </c>
      <c r="C5765" s="5" t="s">
        <v>297</v>
      </c>
      <c r="D5765" s="4" t="s">
        <v>16</v>
      </c>
      <c r="E5765" s="4" t="s">
        <v>4016</v>
      </c>
      <c r="F5765" s="4" t="s">
        <v>470</v>
      </c>
      <c r="G5765" s="4" t="s">
        <v>4017</v>
      </c>
      <c r="H5765" s="12" t="n">
        <v>1</v>
      </c>
      <c r="I5765" s="4" t="s">
        <v>408</v>
      </c>
      <c r="J5765" s="4" t="s">
        <v>409</v>
      </c>
      <c r="K5765" s="13" t="n">
        <v>55000</v>
      </c>
      <c r="L5765" s="6" t="n">
        <f aca="false">H5765*K5765</f>
        <v>55000</v>
      </c>
      <c r="M5765" s="4" t="s">
        <v>371</v>
      </c>
    </row>
    <row r="5766" customFormat="false" ht="15" hidden="false" customHeight="false" outlineLevel="0" collapsed="false">
      <c r="A5766" s="4" t="s">
        <v>283</v>
      </c>
      <c r="B5766" s="5" t="s">
        <v>296</v>
      </c>
      <c r="C5766" s="5" t="s">
        <v>297</v>
      </c>
      <c r="D5766" s="4" t="s">
        <v>16</v>
      </c>
      <c r="E5766" s="4" t="s">
        <v>4018</v>
      </c>
      <c r="F5766" s="4" t="s">
        <v>470</v>
      </c>
      <c r="G5766" s="4" t="s">
        <v>4019</v>
      </c>
      <c r="H5766" s="12" t="n">
        <v>1</v>
      </c>
      <c r="I5766" s="4" t="s">
        <v>408</v>
      </c>
      <c r="J5766" s="4" t="s">
        <v>416</v>
      </c>
      <c r="K5766" s="13" t="n">
        <v>18000</v>
      </c>
      <c r="L5766" s="6" t="n">
        <f aca="false">H5766*K5766</f>
        <v>18000</v>
      </c>
      <c r="M5766" s="14" t="s">
        <v>410</v>
      </c>
    </row>
    <row r="5767" customFormat="false" ht="15" hidden="false" customHeight="false" outlineLevel="0" collapsed="false">
      <c r="A5767" s="4" t="s">
        <v>283</v>
      </c>
      <c r="B5767" s="5" t="s">
        <v>296</v>
      </c>
      <c r="C5767" s="5" t="s">
        <v>297</v>
      </c>
      <c r="D5767" s="4" t="s">
        <v>16</v>
      </c>
      <c r="E5767" s="4" t="s">
        <v>4020</v>
      </c>
      <c r="F5767" s="4" t="s">
        <v>470</v>
      </c>
      <c r="G5767" s="4" t="s">
        <v>4021</v>
      </c>
      <c r="H5767" s="12" t="n">
        <v>1</v>
      </c>
      <c r="I5767" s="4" t="s">
        <v>408</v>
      </c>
      <c r="J5767" s="4" t="s">
        <v>416</v>
      </c>
      <c r="K5767" s="13" t="n">
        <v>8500</v>
      </c>
      <c r="L5767" s="6" t="n">
        <f aca="false">H5767*K5767</f>
        <v>8500</v>
      </c>
      <c r="M5767" s="14" t="s">
        <v>410</v>
      </c>
    </row>
    <row r="5768" customFormat="false" ht="15" hidden="false" customHeight="false" outlineLevel="0" collapsed="false">
      <c r="A5768" s="4" t="s">
        <v>283</v>
      </c>
      <c r="B5768" s="5" t="s">
        <v>296</v>
      </c>
      <c r="C5768" s="5" t="s">
        <v>297</v>
      </c>
      <c r="D5768" s="4" t="s">
        <v>16</v>
      </c>
      <c r="E5768" s="4" t="s">
        <v>4022</v>
      </c>
      <c r="F5768" s="4" t="s">
        <v>470</v>
      </c>
      <c r="G5768" s="4" t="s">
        <v>4023</v>
      </c>
      <c r="H5768" s="12" t="n">
        <v>1</v>
      </c>
      <c r="I5768" s="4" t="s">
        <v>408</v>
      </c>
      <c r="J5768" s="4" t="s">
        <v>409</v>
      </c>
      <c r="K5768" s="13" t="n">
        <v>6500</v>
      </c>
      <c r="L5768" s="6" t="n">
        <f aca="false">H5768*K5768</f>
        <v>6500</v>
      </c>
      <c r="M5768" s="14" t="s">
        <v>410</v>
      </c>
    </row>
    <row r="5769" customFormat="false" ht="15" hidden="false" customHeight="false" outlineLevel="0" collapsed="false">
      <c r="A5769" s="4" t="s">
        <v>283</v>
      </c>
      <c r="B5769" s="5" t="s">
        <v>296</v>
      </c>
      <c r="C5769" s="5" t="s">
        <v>297</v>
      </c>
      <c r="D5769" s="4" t="s">
        <v>16</v>
      </c>
      <c r="E5769" s="4" t="s">
        <v>6302</v>
      </c>
      <c r="F5769" s="4" t="s">
        <v>470</v>
      </c>
      <c r="G5769" s="4" t="s">
        <v>6303</v>
      </c>
      <c r="H5769" s="12" t="n">
        <v>1</v>
      </c>
      <c r="I5769" s="4" t="s">
        <v>408</v>
      </c>
      <c r="J5769" s="4" t="s">
        <v>409</v>
      </c>
      <c r="K5769" s="13" t="n">
        <v>35000</v>
      </c>
      <c r="L5769" s="6" t="n">
        <f aca="false">H5769*K5769</f>
        <v>35000</v>
      </c>
      <c r="M5769" s="4" t="s">
        <v>371</v>
      </c>
    </row>
    <row r="5770" customFormat="false" ht="15" hidden="false" customHeight="false" outlineLevel="0" collapsed="false">
      <c r="A5770" s="4" t="s">
        <v>283</v>
      </c>
      <c r="B5770" s="5" t="s">
        <v>296</v>
      </c>
      <c r="C5770" s="5" t="s">
        <v>297</v>
      </c>
      <c r="D5770" s="4" t="s">
        <v>16</v>
      </c>
      <c r="E5770" s="4" t="s">
        <v>6304</v>
      </c>
      <c r="F5770" s="4" t="s">
        <v>470</v>
      </c>
      <c r="G5770" s="4" t="s">
        <v>6305</v>
      </c>
      <c r="H5770" s="12" t="n">
        <v>1</v>
      </c>
      <c r="I5770" s="4" t="s">
        <v>408</v>
      </c>
      <c r="J5770" s="4" t="s">
        <v>409</v>
      </c>
      <c r="K5770" s="13" t="n">
        <v>3500</v>
      </c>
      <c r="L5770" s="6" t="n">
        <f aca="false">H5770*K5770</f>
        <v>3500</v>
      </c>
      <c r="M5770" s="14" t="s">
        <v>410</v>
      </c>
    </row>
    <row r="5771" customFormat="false" ht="15" hidden="false" customHeight="false" outlineLevel="0" collapsed="false">
      <c r="A5771" s="4" t="s">
        <v>283</v>
      </c>
      <c r="B5771" s="5" t="s">
        <v>296</v>
      </c>
      <c r="C5771" s="5" t="s">
        <v>297</v>
      </c>
      <c r="D5771" s="4" t="s">
        <v>16</v>
      </c>
      <c r="E5771" s="4" t="s">
        <v>6053</v>
      </c>
      <c r="F5771" s="4" t="s">
        <v>470</v>
      </c>
      <c r="G5771" s="4" t="s">
        <v>6054</v>
      </c>
      <c r="H5771" s="12" t="n">
        <v>1</v>
      </c>
      <c r="I5771" s="4" t="s">
        <v>408</v>
      </c>
      <c r="J5771" s="4" t="s">
        <v>409</v>
      </c>
      <c r="K5771" s="13" t="n">
        <v>45000</v>
      </c>
      <c r="L5771" s="6" t="n">
        <f aca="false">H5771*K5771</f>
        <v>45000</v>
      </c>
      <c r="M5771" s="4" t="s">
        <v>371</v>
      </c>
    </row>
    <row r="5772" customFormat="false" ht="15" hidden="false" customHeight="false" outlineLevel="0" collapsed="false">
      <c r="A5772" s="4" t="s">
        <v>283</v>
      </c>
      <c r="B5772" s="5" t="s">
        <v>296</v>
      </c>
      <c r="C5772" s="5" t="s">
        <v>297</v>
      </c>
      <c r="D5772" s="4" t="s">
        <v>16</v>
      </c>
      <c r="E5772" s="4" t="s">
        <v>1616</v>
      </c>
      <c r="F5772" s="4" t="s">
        <v>470</v>
      </c>
      <c r="G5772" s="4" t="s">
        <v>1617</v>
      </c>
      <c r="H5772" s="12" t="n">
        <v>1</v>
      </c>
      <c r="I5772" s="4" t="s">
        <v>408</v>
      </c>
      <c r="J5772" s="4" t="s">
        <v>409</v>
      </c>
      <c r="K5772" s="13" t="n">
        <v>12000</v>
      </c>
      <c r="L5772" s="6" t="n">
        <f aca="false">H5772*K5772</f>
        <v>12000</v>
      </c>
      <c r="M5772" s="14" t="s">
        <v>410</v>
      </c>
    </row>
    <row r="5773" customFormat="false" ht="15" hidden="false" customHeight="false" outlineLevel="0" collapsed="false">
      <c r="A5773" s="4" t="s">
        <v>283</v>
      </c>
      <c r="B5773" s="5" t="s">
        <v>296</v>
      </c>
      <c r="C5773" s="5" t="s">
        <v>297</v>
      </c>
      <c r="D5773" s="4" t="s">
        <v>16</v>
      </c>
      <c r="E5773" s="4" t="s">
        <v>6055</v>
      </c>
      <c r="F5773" s="4" t="s">
        <v>470</v>
      </c>
      <c r="G5773" s="4" t="s">
        <v>6056</v>
      </c>
      <c r="H5773" s="12" t="n">
        <v>1</v>
      </c>
      <c r="I5773" s="4" t="s">
        <v>408</v>
      </c>
      <c r="J5773" s="4" t="s">
        <v>416</v>
      </c>
      <c r="K5773" s="13" t="n">
        <v>35000</v>
      </c>
      <c r="L5773" s="6" t="n">
        <f aca="false">H5773*K5773</f>
        <v>35000</v>
      </c>
      <c r="M5773" s="4" t="s">
        <v>371</v>
      </c>
    </row>
    <row r="5774" customFormat="false" ht="15" hidden="false" customHeight="false" outlineLevel="0" collapsed="false">
      <c r="A5774" s="4" t="s">
        <v>283</v>
      </c>
      <c r="B5774" s="5" t="s">
        <v>296</v>
      </c>
      <c r="C5774" s="5" t="s">
        <v>297</v>
      </c>
      <c r="D5774" s="4" t="s">
        <v>16</v>
      </c>
      <c r="E5774" s="4" t="s">
        <v>6306</v>
      </c>
      <c r="F5774" s="4" t="s">
        <v>470</v>
      </c>
      <c r="G5774" s="4" t="s">
        <v>6307</v>
      </c>
      <c r="H5774" s="12" t="n">
        <v>1</v>
      </c>
      <c r="I5774" s="4" t="s">
        <v>408</v>
      </c>
      <c r="J5774" s="4" t="s">
        <v>409</v>
      </c>
      <c r="K5774" s="13" t="n">
        <v>18000</v>
      </c>
      <c r="L5774" s="6" t="n">
        <f aca="false">H5774*K5774</f>
        <v>18000</v>
      </c>
      <c r="M5774" s="4" t="s">
        <v>371</v>
      </c>
    </row>
    <row r="5775" customFormat="false" ht="15" hidden="false" customHeight="false" outlineLevel="0" collapsed="false">
      <c r="A5775" s="4" t="s">
        <v>283</v>
      </c>
      <c r="B5775" s="5" t="s">
        <v>296</v>
      </c>
      <c r="C5775" s="5" t="s">
        <v>297</v>
      </c>
      <c r="D5775" s="4" t="s">
        <v>16</v>
      </c>
      <c r="E5775" s="4" t="s">
        <v>1697</v>
      </c>
      <c r="F5775" s="4" t="s">
        <v>470</v>
      </c>
      <c r="G5775" s="4" t="s">
        <v>1698</v>
      </c>
      <c r="H5775" s="12" t="n">
        <v>1</v>
      </c>
      <c r="I5775" s="4" t="s">
        <v>408</v>
      </c>
      <c r="J5775" s="4" t="s">
        <v>409</v>
      </c>
      <c r="K5775" s="13" t="n">
        <v>45000</v>
      </c>
      <c r="L5775" s="6" t="n">
        <f aca="false">H5775*K5775</f>
        <v>45000</v>
      </c>
      <c r="M5775" s="14" t="s">
        <v>410</v>
      </c>
    </row>
    <row r="5776" customFormat="false" ht="15" hidden="false" customHeight="false" outlineLevel="0" collapsed="false">
      <c r="A5776" s="4" t="s">
        <v>283</v>
      </c>
      <c r="B5776" s="5" t="s">
        <v>296</v>
      </c>
      <c r="C5776" s="5" t="s">
        <v>297</v>
      </c>
      <c r="D5776" s="4" t="s">
        <v>16</v>
      </c>
      <c r="E5776" s="4" t="s">
        <v>4090</v>
      </c>
      <c r="F5776" s="4" t="s">
        <v>470</v>
      </c>
      <c r="G5776" s="4" t="s">
        <v>4091</v>
      </c>
      <c r="H5776" s="12" t="n">
        <v>1</v>
      </c>
      <c r="I5776" s="4" t="s">
        <v>408</v>
      </c>
      <c r="J5776" s="4" t="s">
        <v>409</v>
      </c>
      <c r="K5776" s="13" t="n">
        <v>55000</v>
      </c>
      <c r="L5776" s="6" t="n">
        <f aca="false">H5776*K5776</f>
        <v>55000</v>
      </c>
      <c r="M5776" s="4" t="s">
        <v>371</v>
      </c>
    </row>
    <row r="5777" customFormat="false" ht="15" hidden="false" customHeight="false" outlineLevel="0" collapsed="false">
      <c r="A5777" s="4" t="s">
        <v>283</v>
      </c>
      <c r="B5777" s="5" t="s">
        <v>296</v>
      </c>
      <c r="C5777" s="5" t="s">
        <v>297</v>
      </c>
      <c r="D5777" s="4" t="s">
        <v>16</v>
      </c>
      <c r="E5777" s="4" t="s">
        <v>4092</v>
      </c>
      <c r="F5777" s="4" t="s">
        <v>470</v>
      </c>
      <c r="G5777" s="4" t="s">
        <v>4093</v>
      </c>
      <c r="H5777" s="12" t="n">
        <v>1</v>
      </c>
      <c r="I5777" s="4" t="s">
        <v>408</v>
      </c>
      <c r="J5777" s="4" t="s">
        <v>416</v>
      </c>
      <c r="K5777" s="13" t="n">
        <v>1200</v>
      </c>
      <c r="L5777" s="6" t="n">
        <f aca="false">H5777*K5777</f>
        <v>1200</v>
      </c>
      <c r="M5777" s="14" t="s">
        <v>410</v>
      </c>
    </row>
    <row r="5778" customFormat="false" ht="15" hidden="false" customHeight="false" outlineLevel="0" collapsed="false">
      <c r="A5778" s="4" t="s">
        <v>283</v>
      </c>
      <c r="B5778" s="5" t="s">
        <v>296</v>
      </c>
      <c r="C5778" s="5" t="s">
        <v>297</v>
      </c>
      <c r="D5778" s="4" t="s">
        <v>16</v>
      </c>
      <c r="E5778" s="4" t="s">
        <v>4024</v>
      </c>
      <c r="F5778" s="4" t="s">
        <v>470</v>
      </c>
      <c r="G5778" s="4" t="s">
        <v>4025</v>
      </c>
      <c r="H5778" s="12" t="n">
        <v>1</v>
      </c>
      <c r="I5778" s="4" t="s">
        <v>408</v>
      </c>
      <c r="J5778" s="4" t="s">
        <v>543</v>
      </c>
      <c r="K5778" s="13" t="n">
        <v>85000</v>
      </c>
      <c r="L5778" s="6" t="n">
        <f aca="false">H5778*K5778</f>
        <v>85000</v>
      </c>
      <c r="M5778" s="4" t="s">
        <v>371</v>
      </c>
    </row>
    <row r="5779" customFormat="false" ht="15" hidden="false" customHeight="false" outlineLevel="0" collapsed="false">
      <c r="A5779" s="4" t="s">
        <v>283</v>
      </c>
      <c r="B5779" s="5" t="s">
        <v>296</v>
      </c>
      <c r="C5779" s="5" t="s">
        <v>297</v>
      </c>
      <c r="D5779" s="4" t="s">
        <v>16</v>
      </c>
      <c r="E5779" s="4" t="s">
        <v>4028</v>
      </c>
      <c r="F5779" s="4" t="s">
        <v>470</v>
      </c>
      <c r="G5779" s="4" t="s">
        <v>4029</v>
      </c>
      <c r="H5779" s="12" t="n">
        <v>1</v>
      </c>
      <c r="I5779" s="4" t="s">
        <v>408</v>
      </c>
      <c r="J5779" s="4" t="s">
        <v>543</v>
      </c>
      <c r="K5779" s="13" t="n">
        <v>25000</v>
      </c>
      <c r="L5779" s="6" t="n">
        <f aca="false">H5779*K5779</f>
        <v>25000</v>
      </c>
      <c r="M5779" s="4" t="s">
        <v>371</v>
      </c>
    </row>
    <row r="5780" customFormat="false" ht="15" hidden="false" customHeight="false" outlineLevel="0" collapsed="false">
      <c r="A5780" s="4" t="s">
        <v>283</v>
      </c>
      <c r="B5780" s="5" t="s">
        <v>296</v>
      </c>
      <c r="C5780" s="5" t="s">
        <v>297</v>
      </c>
      <c r="D5780" s="4" t="s">
        <v>16</v>
      </c>
      <c r="E5780" s="4" t="s">
        <v>4032</v>
      </c>
      <c r="F5780" s="4" t="s">
        <v>470</v>
      </c>
      <c r="G5780" s="4" t="s">
        <v>4033</v>
      </c>
      <c r="H5780" s="12" t="n">
        <v>1</v>
      </c>
      <c r="I5780" s="4" t="s">
        <v>408</v>
      </c>
      <c r="J5780" s="4" t="s">
        <v>543</v>
      </c>
      <c r="K5780" s="13" t="n">
        <v>18000</v>
      </c>
      <c r="L5780" s="6" t="n">
        <f aca="false">H5780*K5780</f>
        <v>18000</v>
      </c>
      <c r="M5780" s="4" t="s">
        <v>371</v>
      </c>
    </row>
    <row r="5781" customFormat="false" ht="15" hidden="false" customHeight="false" outlineLevel="0" collapsed="false">
      <c r="A5781" s="4" t="s">
        <v>283</v>
      </c>
      <c r="B5781" s="5" t="s">
        <v>296</v>
      </c>
      <c r="C5781" s="5" t="s">
        <v>297</v>
      </c>
      <c r="D5781" s="4" t="s">
        <v>16</v>
      </c>
      <c r="E5781" s="4" t="s">
        <v>4034</v>
      </c>
      <c r="F5781" s="4" t="s">
        <v>470</v>
      </c>
      <c r="G5781" s="4" t="s">
        <v>4035</v>
      </c>
      <c r="H5781" s="12" t="n">
        <v>1</v>
      </c>
      <c r="I5781" s="4" t="s">
        <v>408</v>
      </c>
      <c r="J5781" s="4" t="s">
        <v>543</v>
      </c>
      <c r="K5781" s="13" t="n">
        <v>18000</v>
      </c>
      <c r="L5781" s="6" t="n">
        <f aca="false">H5781*K5781</f>
        <v>18000</v>
      </c>
      <c r="M5781" s="4" t="s">
        <v>371</v>
      </c>
    </row>
    <row r="5782" customFormat="false" ht="15" hidden="false" customHeight="false" outlineLevel="0" collapsed="false">
      <c r="A5782" s="4" t="s">
        <v>283</v>
      </c>
      <c r="B5782" s="5" t="s">
        <v>296</v>
      </c>
      <c r="C5782" s="5" t="s">
        <v>297</v>
      </c>
      <c r="D5782" s="4" t="s">
        <v>16</v>
      </c>
      <c r="E5782" s="4" t="s">
        <v>4036</v>
      </c>
      <c r="F5782" s="4" t="s">
        <v>470</v>
      </c>
      <c r="G5782" s="4" t="s">
        <v>4037</v>
      </c>
      <c r="H5782" s="12" t="n">
        <v>1</v>
      </c>
      <c r="I5782" s="4" t="s">
        <v>408</v>
      </c>
      <c r="J5782" s="4" t="s">
        <v>543</v>
      </c>
      <c r="K5782" s="13" t="n">
        <v>12000</v>
      </c>
      <c r="L5782" s="6" t="n">
        <f aca="false">H5782*K5782</f>
        <v>12000</v>
      </c>
      <c r="M5782" s="4" t="s">
        <v>371</v>
      </c>
    </row>
    <row r="5783" customFormat="false" ht="15" hidden="false" customHeight="false" outlineLevel="0" collapsed="false">
      <c r="A5783" s="4" t="s">
        <v>283</v>
      </c>
      <c r="B5783" s="5" t="s">
        <v>296</v>
      </c>
      <c r="C5783" s="5" t="s">
        <v>297</v>
      </c>
      <c r="D5783" s="4" t="s">
        <v>16</v>
      </c>
      <c r="E5783" s="4" t="s">
        <v>4038</v>
      </c>
      <c r="F5783" s="4" t="s">
        <v>470</v>
      </c>
      <c r="G5783" s="4" t="s">
        <v>4039</v>
      </c>
      <c r="H5783" s="12" t="n">
        <v>1</v>
      </c>
      <c r="I5783" s="4" t="s">
        <v>408</v>
      </c>
      <c r="J5783" s="4" t="s">
        <v>543</v>
      </c>
      <c r="K5783" s="13" t="n">
        <v>25000</v>
      </c>
      <c r="L5783" s="6" t="n">
        <f aca="false">H5783*K5783</f>
        <v>25000</v>
      </c>
      <c r="M5783" s="4" t="s">
        <v>371</v>
      </c>
    </row>
    <row r="5784" customFormat="false" ht="15" hidden="false" customHeight="false" outlineLevel="0" collapsed="false">
      <c r="A5784" s="4" t="s">
        <v>283</v>
      </c>
      <c r="B5784" s="5" t="s">
        <v>296</v>
      </c>
      <c r="C5784" s="5" t="s">
        <v>297</v>
      </c>
      <c r="D5784" s="4" t="s">
        <v>16</v>
      </c>
      <c r="E5784" s="4" t="s">
        <v>4040</v>
      </c>
      <c r="F5784" s="4" t="s">
        <v>470</v>
      </c>
      <c r="G5784" s="4" t="s">
        <v>4041</v>
      </c>
      <c r="H5784" s="12" t="n">
        <v>1</v>
      </c>
      <c r="I5784" s="4" t="s">
        <v>408</v>
      </c>
      <c r="J5784" s="4" t="s">
        <v>543</v>
      </c>
      <c r="K5784" s="13" t="n">
        <v>25000</v>
      </c>
      <c r="L5784" s="6" t="n">
        <f aca="false">H5784*K5784</f>
        <v>25000</v>
      </c>
      <c r="M5784" s="4" t="s">
        <v>371</v>
      </c>
    </row>
    <row r="5785" customFormat="false" ht="15" hidden="false" customHeight="false" outlineLevel="0" collapsed="false">
      <c r="A5785" s="4" t="s">
        <v>283</v>
      </c>
      <c r="B5785" s="5" t="s">
        <v>296</v>
      </c>
      <c r="C5785" s="5" t="s">
        <v>297</v>
      </c>
      <c r="D5785" s="4" t="s">
        <v>16</v>
      </c>
      <c r="E5785" s="4" t="s">
        <v>4046</v>
      </c>
      <c r="F5785" s="4" t="s">
        <v>470</v>
      </c>
      <c r="G5785" s="4" t="s">
        <v>4047</v>
      </c>
      <c r="H5785" s="12" t="n">
        <v>1</v>
      </c>
      <c r="I5785" s="4" t="s">
        <v>408</v>
      </c>
      <c r="J5785" s="4" t="s">
        <v>409</v>
      </c>
      <c r="K5785" s="13" t="n">
        <v>8500</v>
      </c>
      <c r="L5785" s="6" t="n">
        <f aca="false">H5785*K5785</f>
        <v>8500</v>
      </c>
      <c r="M5785" s="4" t="s">
        <v>371</v>
      </c>
    </row>
    <row r="5786" customFormat="false" ht="15" hidden="false" customHeight="false" outlineLevel="0" collapsed="false">
      <c r="A5786" s="4" t="s">
        <v>283</v>
      </c>
      <c r="B5786" s="5" t="s">
        <v>296</v>
      </c>
      <c r="C5786" s="5" t="s">
        <v>297</v>
      </c>
      <c r="D5786" s="4" t="s">
        <v>16</v>
      </c>
      <c r="E5786" s="4" t="s">
        <v>4048</v>
      </c>
      <c r="F5786" s="4" t="s">
        <v>470</v>
      </c>
      <c r="G5786" s="4" t="s">
        <v>4049</v>
      </c>
      <c r="H5786" s="12" t="n">
        <v>1</v>
      </c>
      <c r="I5786" s="4" t="s">
        <v>408</v>
      </c>
      <c r="J5786" s="4" t="s">
        <v>409</v>
      </c>
      <c r="K5786" s="13" t="n">
        <v>1200</v>
      </c>
      <c r="L5786" s="6" t="n">
        <f aca="false">H5786*K5786</f>
        <v>1200</v>
      </c>
      <c r="M5786" s="4" t="s">
        <v>371</v>
      </c>
    </row>
    <row r="5787" customFormat="false" ht="15" hidden="false" customHeight="false" outlineLevel="0" collapsed="false">
      <c r="A5787" s="4" t="s">
        <v>283</v>
      </c>
      <c r="B5787" s="5" t="s">
        <v>296</v>
      </c>
      <c r="C5787" s="5" t="s">
        <v>297</v>
      </c>
      <c r="D5787" s="4" t="s">
        <v>16</v>
      </c>
      <c r="E5787" s="4" t="s">
        <v>4052</v>
      </c>
      <c r="F5787" s="4" t="s">
        <v>470</v>
      </c>
      <c r="G5787" s="4" t="s">
        <v>4053</v>
      </c>
      <c r="H5787" s="12" t="n">
        <v>1</v>
      </c>
      <c r="I5787" s="4" t="s">
        <v>408</v>
      </c>
      <c r="J5787" s="4" t="s">
        <v>543</v>
      </c>
      <c r="K5787" s="13" t="n">
        <v>25000</v>
      </c>
      <c r="L5787" s="6" t="n">
        <f aca="false">H5787*K5787</f>
        <v>25000</v>
      </c>
      <c r="M5787" s="4" t="s">
        <v>371</v>
      </c>
    </row>
    <row r="5788" customFormat="false" ht="15" hidden="false" customHeight="false" outlineLevel="0" collapsed="false">
      <c r="A5788" s="4" t="s">
        <v>283</v>
      </c>
      <c r="B5788" s="5" t="s">
        <v>296</v>
      </c>
      <c r="C5788" s="5" t="s">
        <v>297</v>
      </c>
      <c r="D5788" s="4" t="s">
        <v>16</v>
      </c>
      <c r="E5788" s="4" t="s">
        <v>6062</v>
      </c>
      <c r="F5788" s="4" t="s">
        <v>470</v>
      </c>
      <c r="G5788" s="4" t="s">
        <v>6063</v>
      </c>
      <c r="H5788" s="12" t="n">
        <v>1</v>
      </c>
      <c r="I5788" s="4" t="s">
        <v>408</v>
      </c>
      <c r="J5788" s="4" t="s">
        <v>416</v>
      </c>
      <c r="K5788" s="13" t="n">
        <v>850</v>
      </c>
      <c r="L5788" s="6" t="n">
        <f aca="false">H5788*K5788</f>
        <v>850</v>
      </c>
      <c r="M5788" s="4" t="s">
        <v>371</v>
      </c>
    </row>
    <row r="5789" customFormat="false" ht="15" hidden="false" customHeight="false" outlineLevel="0" collapsed="false">
      <c r="A5789" s="4" t="s">
        <v>283</v>
      </c>
      <c r="B5789" s="5" t="s">
        <v>296</v>
      </c>
      <c r="C5789" s="5" t="s">
        <v>297</v>
      </c>
      <c r="D5789" s="4" t="s">
        <v>16</v>
      </c>
      <c r="E5789" s="4" t="s">
        <v>6064</v>
      </c>
      <c r="F5789" s="4" t="s">
        <v>470</v>
      </c>
      <c r="G5789" s="4" t="s">
        <v>6065</v>
      </c>
      <c r="H5789" s="12" t="n">
        <v>1</v>
      </c>
      <c r="I5789" s="4" t="s">
        <v>408</v>
      </c>
      <c r="J5789" s="4" t="s">
        <v>416</v>
      </c>
      <c r="K5789" s="13" t="n">
        <v>850</v>
      </c>
      <c r="L5789" s="6" t="n">
        <f aca="false">H5789*K5789</f>
        <v>850</v>
      </c>
      <c r="M5789" s="4" t="s">
        <v>371</v>
      </c>
    </row>
    <row r="5790" customFormat="false" ht="15" hidden="false" customHeight="false" outlineLevel="0" collapsed="false">
      <c r="A5790" s="4" t="s">
        <v>283</v>
      </c>
      <c r="B5790" s="5" t="s">
        <v>296</v>
      </c>
      <c r="C5790" s="5" t="s">
        <v>297</v>
      </c>
      <c r="D5790" s="4" t="s">
        <v>16</v>
      </c>
      <c r="E5790" s="4" t="s">
        <v>1648</v>
      </c>
      <c r="F5790" s="4" t="s">
        <v>470</v>
      </c>
      <c r="G5790" s="4" t="s">
        <v>1424</v>
      </c>
      <c r="H5790" s="12" t="n">
        <v>1</v>
      </c>
      <c r="I5790" s="4" t="s">
        <v>408</v>
      </c>
      <c r="J5790" s="4" t="s">
        <v>409</v>
      </c>
      <c r="K5790" s="13" t="n">
        <v>3500</v>
      </c>
      <c r="L5790" s="6" t="n">
        <f aca="false">H5790*K5790</f>
        <v>3500</v>
      </c>
      <c r="M5790" s="4" t="s">
        <v>371</v>
      </c>
    </row>
    <row r="5791" customFormat="false" ht="15" hidden="false" customHeight="false" outlineLevel="0" collapsed="false">
      <c r="A5791" s="4" t="s">
        <v>283</v>
      </c>
      <c r="B5791" s="5" t="s">
        <v>296</v>
      </c>
      <c r="C5791" s="5" t="s">
        <v>297</v>
      </c>
      <c r="D5791" s="4" t="s">
        <v>16</v>
      </c>
      <c r="E5791" s="4" t="s">
        <v>4108</v>
      </c>
      <c r="F5791" s="4" t="s">
        <v>470</v>
      </c>
      <c r="G5791" s="4" t="s">
        <v>4109</v>
      </c>
      <c r="H5791" s="12" t="n">
        <v>1</v>
      </c>
      <c r="I5791" s="4" t="s">
        <v>408</v>
      </c>
      <c r="J5791" s="4" t="s">
        <v>409</v>
      </c>
      <c r="K5791" s="13" t="n">
        <v>1800</v>
      </c>
      <c r="L5791" s="6" t="n">
        <f aca="false">H5791*K5791</f>
        <v>1800</v>
      </c>
      <c r="M5791" s="4" t="s">
        <v>371</v>
      </c>
    </row>
    <row r="5792" customFormat="false" ht="15" hidden="false" customHeight="false" outlineLevel="0" collapsed="false">
      <c r="A5792" s="4" t="s">
        <v>283</v>
      </c>
      <c r="B5792" s="5" t="s">
        <v>296</v>
      </c>
      <c r="C5792" s="5" t="s">
        <v>297</v>
      </c>
      <c r="D5792" s="4" t="s">
        <v>16</v>
      </c>
      <c r="E5792" s="4" t="s">
        <v>1257</v>
      </c>
      <c r="F5792" s="4" t="s">
        <v>470</v>
      </c>
      <c r="G5792" s="4" t="s">
        <v>1258</v>
      </c>
      <c r="H5792" s="12" t="n">
        <v>1</v>
      </c>
      <c r="I5792" s="4" t="s">
        <v>408</v>
      </c>
      <c r="J5792" s="4" t="s">
        <v>409</v>
      </c>
      <c r="K5792" s="13" t="n">
        <v>8500</v>
      </c>
      <c r="L5792" s="6" t="n">
        <f aca="false">H5792*K5792</f>
        <v>8500</v>
      </c>
      <c r="M5792" s="4" t="s">
        <v>371</v>
      </c>
    </row>
    <row r="5793" customFormat="false" ht="15" hidden="false" customHeight="false" outlineLevel="0" collapsed="false">
      <c r="A5793" s="4" t="s">
        <v>283</v>
      </c>
      <c r="B5793" s="5" t="s">
        <v>296</v>
      </c>
      <c r="C5793" s="5" t="s">
        <v>297</v>
      </c>
      <c r="D5793" s="4" t="s">
        <v>16</v>
      </c>
      <c r="E5793" s="4" t="s">
        <v>4110</v>
      </c>
      <c r="F5793" s="4" t="s">
        <v>470</v>
      </c>
      <c r="G5793" s="4" t="s">
        <v>4111</v>
      </c>
      <c r="H5793" s="12" t="n">
        <v>1</v>
      </c>
      <c r="I5793" s="4" t="s">
        <v>408</v>
      </c>
      <c r="J5793" s="4" t="s">
        <v>543</v>
      </c>
      <c r="K5793" s="13" t="n">
        <v>12000</v>
      </c>
      <c r="L5793" s="6" t="n">
        <f aca="false">H5793*K5793</f>
        <v>12000</v>
      </c>
      <c r="M5793" s="4" t="s">
        <v>371</v>
      </c>
    </row>
    <row r="5794" customFormat="false" ht="15" hidden="false" customHeight="false" outlineLevel="0" collapsed="false">
      <c r="A5794" s="4" t="s">
        <v>283</v>
      </c>
      <c r="B5794" s="5" t="s">
        <v>296</v>
      </c>
      <c r="C5794" s="5" t="s">
        <v>297</v>
      </c>
      <c r="D5794" s="4" t="s">
        <v>16</v>
      </c>
      <c r="E5794" s="4" t="s">
        <v>4054</v>
      </c>
      <c r="F5794" s="4" t="s">
        <v>488</v>
      </c>
      <c r="G5794" s="4" t="s">
        <v>4055</v>
      </c>
      <c r="H5794" s="12" t="n">
        <v>1</v>
      </c>
      <c r="I5794" s="4" t="s">
        <v>408</v>
      </c>
      <c r="J5794" s="4" t="s">
        <v>416</v>
      </c>
      <c r="K5794" s="13" t="n">
        <v>350</v>
      </c>
      <c r="L5794" s="6" t="n">
        <f aca="false">H5794*K5794</f>
        <v>350</v>
      </c>
      <c r="M5794" s="4" t="s">
        <v>371</v>
      </c>
    </row>
    <row r="5795" customFormat="false" ht="15" hidden="false" customHeight="false" outlineLevel="0" collapsed="false">
      <c r="A5795" s="4" t="s">
        <v>283</v>
      </c>
      <c r="B5795" s="5" t="s">
        <v>296</v>
      </c>
      <c r="C5795" s="5" t="s">
        <v>297</v>
      </c>
      <c r="D5795" s="4" t="s">
        <v>16</v>
      </c>
      <c r="E5795" s="4" t="s">
        <v>4056</v>
      </c>
      <c r="F5795" s="4" t="s">
        <v>488</v>
      </c>
      <c r="G5795" s="4" t="s">
        <v>4057</v>
      </c>
      <c r="H5795" s="12" t="n">
        <v>1</v>
      </c>
      <c r="I5795" s="4" t="s">
        <v>408</v>
      </c>
      <c r="J5795" s="4" t="s">
        <v>416</v>
      </c>
      <c r="K5795" s="13" t="n">
        <v>250</v>
      </c>
      <c r="L5795" s="6" t="n">
        <f aca="false">H5795*K5795</f>
        <v>250</v>
      </c>
      <c r="M5795" s="4" t="s">
        <v>371</v>
      </c>
    </row>
    <row r="5796" customFormat="false" ht="15" hidden="false" customHeight="false" outlineLevel="0" collapsed="false">
      <c r="A5796" s="4" t="s">
        <v>283</v>
      </c>
      <c r="B5796" s="5" t="s">
        <v>296</v>
      </c>
      <c r="C5796" s="5" t="s">
        <v>297</v>
      </c>
      <c r="D5796" s="4" t="s">
        <v>16</v>
      </c>
      <c r="E5796" s="4" t="s">
        <v>4050</v>
      </c>
      <c r="F5796" s="4" t="s">
        <v>488</v>
      </c>
      <c r="G5796" s="4" t="s">
        <v>4051</v>
      </c>
      <c r="H5796" s="12" t="n">
        <v>1</v>
      </c>
      <c r="I5796" s="4" t="s">
        <v>408</v>
      </c>
      <c r="J5796" s="4" t="s">
        <v>416</v>
      </c>
      <c r="K5796" s="13" t="n">
        <v>850</v>
      </c>
      <c r="L5796" s="6" t="n">
        <f aca="false">H5796*K5796</f>
        <v>850</v>
      </c>
      <c r="M5796" s="4" t="s">
        <v>371</v>
      </c>
    </row>
    <row r="5797" customFormat="false" ht="15" hidden="false" customHeight="false" outlineLevel="0" collapsed="false">
      <c r="A5797" s="4" t="s">
        <v>283</v>
      </c>
      <c r="B5797" s="5" t="s">
        <v>296</v>
      </c>
      <c r="C5797" s="5" t="s">
        <v>297</v>
      </c>
      <c r="D5797" s="4" t="s">
        <v>16</v>
      </c>
      <c r="E5797" s="4" t="s">
        <v>4054</v>
      </c>
      <c r="F5797" s="4" t="s">
        <v>488</v>
      </c>
      <c r="G5797" s="4" t="s">
        <v>4055</v>
      </c>
      <c r="H5797" s="12" t="n">
        <v>1</v>
      </c>
      <c r="I5797" s="4" t="s">
        <v>408</v>
      </c>
      <c r="J5797" s="4" t="s">
        <v>416</v>
      </c>
      <c r="K5797" s="13" t="n">
        <v>350</v>
      </c>
      <c r="L5797" s="6" t="n">
        <f aca="false">H5797*K5797</f>
        <v>350</v>
      </c>
      <c r="M5797" s="4" t="s">
        <v>371</v>
      </c>
    </row>
    <row r="5798" customFormat="false" ht="15" hidden="false" customHeight="false" outlineLevel="0" collapsed="false">
      <c r="A5798" s="4" t="s">
        <v>283</v>
      </c>
      <c r="B5798" s="5" t="s">
        <v>296</v>
      </c>
      <c r="C5798" s="5" t="s">
        <v>297</v>
      </c>
      <c r="D5798" s="4" t="s">
        <v>16</v>
      </c>
      <c r="E5798" s="4" t="s">
        <v>6068</v>
      </c>
      <c r="F5798" s="4" t="s">
        <v>488</v>
      </c>
      <c r="G5798" s="4" t="s">
        <v>6069</v>
      </c>
      <c r="H5798" s="12" t="n">
        <v>1</v>
      </c>
      <c r="I5798" s="4" t="s">
        <v>408</v>
      </c>
      <c r="J5798" s="4" t="s">
        <v>416</v>
      </c>
      <c r="K5798" s="13" t="n">
        <v>450</v>
      </c>
      <c r="L5798" s="6" t="n">
        <f aca="false">H5798*K5798</f>
        <v>450</v>
      </c>
      <c r="M5798" s="4" t="s">
        <v>371</v>
      </c>
    </row>
    <row r="5799" customFormat="false" ht="15" hidden="false" customHeight="false" outlineLevel="0" collapsed="false">
      <c r="A5799" s="4" t="s">
        <v>283</v>
      </c>
      <c r="B5799" s="5" t="s">
        <v>296</v>
      </c>
      <c r="C5799" s="5" t="s">
        <v>297</v>
      </c>
      <c r="D5799" s="4" t="s">
        <v>16</v>
      </c>
      <c r="E5799" s="4" t="s">
        <v>6070</v>
      </c>
      <c r="F5799" s="4" t="s">
        <v>488</v>
      </c>
      <c r="G5799" s="4" t="s">
        <v>6071</v>
      </c>
      <c r="H5799" s="12" t="n">
        <v>1</v>
      </c>
      <c r="I5799" s="4" t="s">
        <v>408</v>
      </c>
      <c r="J5799" s="4" t="s">
        <v>416</v>
      </c>
      <c r="K5799" s="13" t="n">
        <v>650</v>
      </c>
      <c r="L5799" s="6" t="n">
        <f aca="false">H5799*K5799</f>
        <v>650</v>
      </c>
      <c r="M5799" s="4" t="s">
        <v>371</v>
      </c>
    </row>
    <row r="5800" customFormat="false" ht="15" hidden="false" customHeight="false" outlineLevel="0" collapsed="false">
      <c r="A5800" s="4" t="s">
        <v>283</v>
      </c>
      <c r="B5800" s="5" t="s">
        <v>296</v>
      </c>
      <c r="C5800" s="5" t="s">
        <v>297</v>
      </c>
      <c r="D5800" s="4" t="s">
        <v>16</v>
      </c>
      <c r="E5800" s="4" t="s">
        <v>6072</v>
      </c>
      <c r="F5800" s="4" t="s">
        <v>488</v>
      </c>
      <c r="G5800" s="4" t="s">
        <v>6073</v>
      </c>
      <c r="H5800" s="12" t="n">
        <v>1</v>
      </c>
      <c r="I5800" s="4" t="s">
        <v>408</v>
      </c>
      <c r="J5800" s="4" t="s">
        <v>506</v>
      </c>
      <c r="K5800" s="13" t="n">
        <v>120</v>
      </c>
      <c r="L5800" s="6" t="n">
        <f aca="false">H5800*K5800</f>
        <v>120</v>
      </c>
      <c r="M5800" s="4" t="s">
        <v>371</v>
      </c>
    </row>
    <row r="5801" customFormat="false" ht="15" hidden="false" customHeight="false" outlineLevel="0" collapsed="false">
      <c r="A5801" s="4" t="s">
        <v>283</v>
      </c>
      <c r="B5801" s="5" t="s">
        <v>296</v>
      </c>
      <c r="C5801" s="5" t="s">
        <v>297</v>
      </c>
      <c r="D5801" s="4" t="s">
        <v>16</v>
      </c>
      <c r="E5801" s="4" t="s">
        <v>1460</v>
      </c>
      <c r="F5801" s="4" t="s">
        <v>488</v>
      </c>
      <c r="G5801" s="4" t="s">
        <v>1461</v>
      </c>
      <c r="H5801" s="12" t="n">
        <v>1</v>
      </c>
      <c r="I5801" s="4" t="s">
        <v>408</v>
      </c>
      <c r="J5801" s="4" t="s">
        <v>416</v>
      </c>
      <c r="K5801" s="13" t="n">
        <v>450</v>
      </c>
      <c r="L5801" s="6" t="n">
        <f aca="false">H5801*K5801</f>
        <v>450</v>
      </c>
      <c r="M5801" s="4" t="s">
        <v>371</v>
      </c>
    </row>
    <row r="5802" customFormat="false" ht="15" hidden="false" customHeight="false" outlineLevel="0" collapsed="false">
      <c r="A5802" s="4" t="s">
        <v>283</v>
      </c>
      <c r="B5802" s="5" t="s">
        <v>296</v>
      </c>
      <c r="C5802" s="5" t="s">
        <v>297</v>
      </c>
      <c r="D5802" s="4" t="s">
        <v>16</v>
      </c>
      <c r="E5802" s="4" t="s">
        <v>2157</v>
      </c>
      <c r="F5802" s="4" t="s">
        <v>488</v>
      </c>
      <c r="G5802" s="4" t="s">
        <v>2158</v>
      </c>
      <c r="H5802" s="12" t="n">
        <v>1</v>
      </c>
      <c r="I5802" s="4" t="s">
        <v>408</v>
      </c>
      <c r="J5802" s="4" t="s">
        <v>506</v>
      </c>
      <c r="K5802" s="13" t="n">
        <v>120</v>
      </c>
      <c r="L5802" s="6" t="n">
        <f aca="false">H5802*K5802</f>
        <v>120</v>
      </c>
      <c r="M5802" s="4" t="s">
        <v>371</v>
      </c>
    </row>
    <row r="5803" customFormat="false" ht="15" hidden="false" customHeight="false" outlineLevel="0" collapsed="false">
      <c r="A5803" s="4" t="s">
        <v>283</v>
      </c>
      <c r="B5803" s="5" t="s">
        <v>296</v>
      </c>
      <c r="C5803" s="5" t="s">
        <v>297</v>
      </c>
      <c r="D5803" s="4" t="s">
        <v>16</v>
      </c>
      <c r="E5803" s="4" t="s">
        <v>6074</v>
      </c>
      <c r="F5803" s="4" t="s">
        <v>470</v>
      </c>
      <c r="G5803" s="4" t="s">
        <v>6075</v>
      </c>
      <c r="H5803" s="12" t="n">
        <v>1</v>
      </c>
      <c r="I5803" s="4" t="s">
        <v>408</v>
      </c>
      <c r="J5803" s="4" t="s">
        <v>409</v>
      </c>
      <c r="K5803" s="13" t="n">
        <v>250</v>
      </c>
      <c r="L5803" s="6" t="n">
        <f aca="false">H5803*K5803</f>
        <v>250</v>
      </c>
      <c r="M5803" s="4" t="s">
        <v>371</v>
      </c>
    </row>
    <row r="5804" customFormat="false" ht="15" hidden="false" customHeight="false" outlineLevel="0" collapsed="false">
      <c r="A5804" s="4" t="s">
        <v>283</v>
      </c>
      <c r="B5804" s="5" t="s">
        <v>300</v>
      </c>
      <c r="C5804" s="5" t="s">
        <v>301</v>
      </c>
      <c r="D5804" s="4" t="s">
        <v>16</v>
      </c>
      <c r="E5804" s="4" t="s">
        <v>2225</v>
      </c>
      <c r="F5804" s="4" t="s">
        <v>406</v>
      </c>
      <c r="G5804" s="4" t="s">
        <v>2226</v>
      </c>
      <c r="H5804" s="12" t="n">
        <v>1</v>
      </c>
      <c r="I5804" s="4" t="s">
        <v>408</v>
      </c>
      <c r="J5804" s="4" t="s">
        <v>409</v>
      </c>
      <c r="K5804" s="13" t="n">
        <v>350</v>
      </c>
      <c r="L5804" s="6" t="n">
        <f aca="false">H5804*K5804</f>
        <v>350</v>
      </c>
      <c r="M5804" s="14" t="s">
        <v>410</v>
      </c>
    </row>
    <row r="5805" customFormat="false" ht="15" hidden="false" customHeight="false" outlineLevel="0" collapsed="false">
      <c r="A5805" s="4" t="s">
        <v>283</v>
      </c>
      <c r="B5805" s="5" t="s">
        <v>300</v>
      </c>
      <c r="C5805" s="5" t="s">
        <v>301</v>
      </c>
      <c r="D5805" s="4" t="s">
        <v>16</v>
      </c>
      <c r="E5805" s="4" t="s">
        <v>2339</v>
      </c>
      <c r="F5805" s="4" t="s">
        <v>406</v>
      </c>
      <c r="G5805" s="4" t="s">
        <v>2340</v>
      </c>
      <c r="H5805" s="12" t="n">
        <v>1</v>
      </c>
      <c r="I5805" s="4" t="s">
        <v>408</v>
      </c>
      <c r="J5805" s="4" t="s">
        <v>416</v>
      </c>
      <c r="K5805" s="13" t="n">
        <v>8500</v>
      </c>
      <c r="L5805" s="6" t="n">
        <f aca="false">H5805*K5805</f>
        <v>8500</v>
      </c>
      <c r="M5805" s="14" t="s">
        <v>410</v>
      </c>
    </row>
    <row r="5806" customFormat="false" ht="15" hidden="false" customHeight="false" outlineLevel="0" collapsed="false">
      <c r="A5806" s="4" t="s">
        <v>283</v>
      </c>
      <c r="B5806" s="5" t="s">
        <v>300</v>
      </c>
      <c r="C5806" s="5" t="s">
        <v>301</v>
      </c>
      <c r="D5806" s="4" t="s">
        <v>16</v>
      </c>
      <c r="E5806" s="4" t="s">
        <v>2257</v>
      </c>
      <c r="F5806" s="4" t="s">
        <v>406</v>
      </c>
      <c r="G5806" s="4" t="s">
        <v>2258</v>
      </c>
      <c r="H5806" s="12" t="n">
        <v>1</v>
      </c>
      <c r="I5806" s="4" t="s">
        <v>408</v>
      </c>
      <c r="J5806" s="4" t="s">
        <v>409</v>
      </c>
      <c r="K5806" s="13" t="n">
        <v>6500</v>
      </c>
      <c r="L5806" s="6" t="n">
        <f aca="false">H5806*K5806</f>
        <v>6500</v>
      </c>
      <c r="M5806" s="14" t="s">
        <v>410</v>
      </c>
    </row>
    <row r="5807" customFormat="false" ht="15" hidden="false" customHeight="false" outlineLevel="0" collapsed="false">
      <c r="A5807" s="4" t="s">
        <v>283</v>
      </c>
      <c r="B5807" s="5" t="s">
        <v>300</v>
      </c>
      <c r="C5807" s="5" t="s">
        <v>301</v>
      </c>
      <c r="D5807" s="4" t="s">
        <v>16</v>
      </c>
      <c r="E5807" s="4" t="s">
        <v>2259</v>
      </c>
      <c r="F5807" s="4" t="s">
        <v>406</v>
      </c>
      <c r="G5807" s="4" t="s">
        <v>2260</v>
      </c>
      <c r="H5807" s="12" t="n">
        <v>1</v>
      </c>
      <c r="I5807" s="4" t="s">
        <v>408</v>
      </c>
      <c r="J5807" s="4" t="s">
        <v>409</v>
      </c>
      <c r="K5807" s="13" t="n">
        <v>85000</v>
      </c>
      <c r="L5807" s="6" t="n">
        <f aca="false">H5807*K5807</f>
        <v>85000</v>
      </c>
      <c r="M5807" s="14" t="s">
        <v>410</v>
      </c>
    </row>
    <row r="5808" customFormat="false" ht="15" hidden="false" customHeight="false" outlineLevel="0" collapsed="false">
      <c r="A5808" s="4" t="s">
        <v>283</v>
      </c>
      <c r="B5808" s="5" t="s">
        <v>300</v>
      </c>
      <c r="C5808" s="5" t="s">
        <v>301</v>
      </c>
      <c r="D5808" s="4" t="s">
        <v>16</v>
      </c>
      <c r="E5808" s="4" t="s">
        <v>2261</v>
      </c>
      <c r="F5808" s="4" t="s">
        <v>406</v>
      </c>
      <c r="G5808" s="4" t="s">
        <v>2262</v>
      </c>
      <c r="H5808" s="12" t="n">
        <v>1</v>
      </c>
      <c r="I5808" s="4" t="s">
        <v>408</v>
      </c>
      <c r="J5808" s="4" t="s">
        <v>409</v>
      </c>
      <c r="K5808" s="13" t="n">
        <v>18000</v>
      </c>
      <c r="L5808" s="6" t="n">
        <f aca="false">H5808*K5808</f>
        <v>18000</v>
      </c>
      <c r="M5808" s="14" t="s">
        <v>410</v>
      </c>
    </row>
    <row r="5809" customFormat="false" ht="15" hidden="false" customHeight="false" outlineLevel="0" collapsed="false">
      <c r="A5809" s="4" t="s">
        <v>283</v>
      </c>
      <c r="B5809" s="5" t="s">
        <v>300</v>
      </c>
      <c r="C5809" s="5" t="s">
        <v>301</v>
      </c>
      <c r="D5809" s="4" t="s">
        <v>16</v>
      </c>
      <c r="E5809" s="4" t="s">
        <v>2263</v>
      </c>
      <c r="F5809" s="4" t="s">
        <v>406</v>
      </c>
      <c r="G5809" s="4" t="s">
        <v>2264</v>
      </c>
      <c r="H5809" s="12" t="n">
        <v>1</v>
      </c>
      <c r="I5809" s="4" t="s">
        <v>408</v>
      </c>
      <c r="J5809" s="4" t="s">
        <v>409</v>
      </c>
      <c r="K5809" s="13" t="n">
        <v>25000</v>
      </c>
      <c r="L5809" s="6" t="n">
        <f aca="false">H5809*K5809</f>
        <v>25000</v>
      </c>
      <c r="M5809" s="4" t="s">
        <v>371</v>
      </c>
    </row>
    <row r="5810" customFormat="false" ht="15" hidden="false" customHeight="false" outlineLevel="0" collapsed="false">
      <c r="A5810" s="4" t="s">
        <v>283</v>
      </c>
      <c r="B5810" s="5" t="s">
        <v>300</v>
      </c>
      <c r="C5810" s="5" t="s">
        <v>301</v>
      </c>
      <c r="D5810" s="4" t="s">
        <v>16</v>
      </c>
      <c r="E5810" s="4" t="s">
        <v>6242</v>
      </c>
      <c r="F5810" s="4" t="s">
        <v>406</v>
      </c>
      <c r="G5810" s="4" t="s">
        <v>6243</v>
      </c>
      <c r="H5810" s="12" t="n">
        <v>1</v>
      </c>
      <c r="I5810" s="4" t="s">
        <v>408</v>
      </c>
      <c r="J5810" s="4" t="s">
        <v>416</v>
      </c>
      <c r="K5810" s="13" t="n">
        <v>8500</v>
      </c>
      <c r="L5810" s="6" t="n">
        <f aca="false">H5810*K5810</f>
        <v>8500</v>
      </c>
      <c r="M5810" s="4" t="s">
        <v>371</v>
      </c>
    </row>
    <row r="5811" customFormat="false" ht="15" hidden="false" customHeight="false" outlineLevel="0" collapsed="false">
      <c r="A5811" s="4" t="s">
        <v>283</v>
      </c>
      <c r="B5811" s="5" t="s">
        <v>300</v>
      </c>
      <c r="C5811" s="5" t="s">
        <v>301</v>
      </c>
      <c r="D5811" s="4" t="s">
        <v>16</v>
      </c>
      <c r="E5811" s="4" t="s">
        <v>2449</v>
      </c>
      <c r="F5811" s="4" t="s">
        <v>470</v>
      </c>
      <c r="G5811" s="4" t="s">
        <v>2450</v>
      </c>
      <c r="H5811" s="12" t="n">
        <v>1</v>
      </c>
      <c r="I5811" s="4" t="s">
        <v>408</v>
      </c>
      <c r="J5811" s="4" t="s">
        <v>409</v>
      </c>
      <c r="K5811" s="13" t="n">
        <v>8500</v>
      </c>
      <c r="L5811" s="6" t="n">
        <f aca="false">H5811*K5811</f>
        <v>8500</v>
      </c>
      <c r="M5811" s="4" t="s">
        <v>371</v>
      </c>
    </row>
    <row r="5812" customFormat="false" ht="15" hidden="false" customHeight="false" outlineLevel="0" collapsed="false">
      <c r="A5812" s="4" t="s">
        <v>283</v>
      </c>
      <c r="B5812" s="5" t="s">
        <v>300</v>
      </c>
      <c r="C5812" s="5" t="s">
        <v>301</v>
      </c>
      <c r="D5812" s="4" t="s">
        <v>16</v>
      </c>
      <c r="E5812" s="4" t="s">
        <v>2271</v>
      </c>
      <c r="F5812" s="4" t="s">
        <v>470</v>
      </c>
      <c r="G5812" s="4" t="s">
        <v>2272</v>
      </c>
      <c r="H5812" s="12" t="n">
        <v>1</v>
      </c>
      <c r="I5812" s="4" t="s">
        <v>408</v>
      </c>
      <c r="J5812" s="4" t="s">
        <v>409</v>
      </c>
      <c r="K5812" s="13" t="n">
        <v>4500</v>
      </c>
      <c r="L5812" s="6" t="n">
        <f aca="false">H5812*K5812</f>
        <v>4500</v>
      </c>
      <c r="M5812" s="14" t="s">
        <v>410</v>
      </c>
    </row>
    <row r="5813" customFormat="false" ht="15" hidden="false" customHeight="false" outlineLevel="0" collapsed="false">
      <c r="A5813" s="4" t="s">
        <v>283</v>
      </c>
      <c r="B5813" s="5" t="s">
        <v>300</v>
      </c>
      <c r="C5813" s="5" t="s">
        <v>301</v>
      </c>
      <c r="D5813" s="4" t="s">
        <v>16</v>
      </c>
      <c r="E5813" s="4" t="s">
        <v>2273</v>
      </c>
      <c r="F5813" s="4" t="s">
        <v>470</v>
      </c>
      <c r="G5813" s="4" t="s">
        <v>2274</v>
      </c>
      <c r="H5813" s="12" t="n">
        <v>1</v>
      </c>
      <c r="I5813" s="4" t="s">
        <v>408</v>
      </c>
      <c r="J5813" s="4" t="s">
        <v>409</v>
      </c>
      <c r="K5813" s="13" t="n">
        <v>25000</v>
      </c>
      <c r="L5813" s="6" t="n">
        <f aca="false">H5813*K5813</f>
        <v>25000</v>
      </c>
      <c r="M5813" s="14" t="s">
        <v>410</v>
      </c>
    </row>
    <row r="5814" customFormat="false" ht="15" hidden="false" customHeight="false" outlineLevel="0" collapsed="false">
      <c r="A5814" s="4" t="s">
        <v>283</v>
      </c>
      <c r="B5814" s="5" t="s">
        <v>300</v>
      </c>
      <c r="C5814" s="5" t="s">
        <v>301</v>
      </c>
      <c r="D5814" s="4" t="s">
        <v>16</v>
      </c>
      <c r="E5814" s="4" t="s">
        <v>2163</v>
      </c>
      <c r="F5814" s="4" t="s">
        <v>470</v>
      </c>
      <c r="G5814" s="4" t="s">
        <v>2164</v>
      </c>
      <c r="H5814" s="12" t="n">
        <v>1</v>
      </c>
      <c r="I5814" s="4" t="s">
        <v>408</v>
      </c>
      <c r="J5814" s="4" t="s">
        <v>409</v>
      </c>
      <c r="K5814" s="13" t="n">
        <v>35000</v>
      </c>
      <c r="L5814" s="6" t="n">
        <f aca="false">H5814*K5814</f>
        <v>35000</v>
      </c>
      <c r="M5814" s="14" t="s">
        <v>410</v>
      </c>
    </row>
    <row r="5815" customFormat="false" ht="15" hidden="false" customHeight="false" outlineLevel="0" collapsed="false">
      <c r="A5815" s="4" t="s">
        <v>283</v>
      </c>
      <c r="B5815" s="5" t="s">
        <v>300</v>
      </c>
      <c r="C5815" s="5" t="s">
        <v>301</v>
      </c>
      <c r="D5815" s="4" t="s">
        <v>16</v>
      </c>
      <c r="E5815" s="4" t="s">
        <v>1058</v>
      </c>
      <c r="F5815" s="4" t="s">
        <v>470</v>
      </c>
      <c r="G5815" s="4" t="s">
        <v>1059</v>
      </c>
      <c r="H5815" s="12" t="n">
        <v>1</v>
      </c>
      <c r="I5815" s="4" t="s">
        <v>408</v>
      </c>
      <c r="J5815" s="4" t="s">
        <v>409</v>
      </c>
      <c r="K5815" s="13" t="n">
        <v>45000</v>
      </c>
      <c r="L5815" s="6" t="n">
        <f aca="false">H5815*K5815</f>
        <v>45000</v>
      </c>
      <c r="M5815" s="14" t="s">
        <v>410</v>
      </c>
    </row>
    <row r="5816" customFormat="false" ht="15" hidden="false" customHeight="false" outlineLevel="0" collapsed="false">
      <c r="A5816" s="4" t="s">
        <v>283</v>
      </c>
      <c r="B5816" s="5" t="s">
        <v>300</v>
      </c>
      <c r="C5816" s="5" t="s">
        <v>301</v>
      </c>
      <c r="D5816" s="4" t="s">
        <v>16</v>
      </c>
      <c r="E5816" s="4" t="s">
        <v>2451</v>
      </c>
      <c r="F5816" s="4" t="s">
        <v>470</v>
      </c>
      <c r="G5816" s="4" t="s">
        <v>2452</v>
      </c>
      <c r="H5816" s="12" t="n">
        <v>1</v>
      </c>
      <c r="I5816" s="4" t="s">
        <v>408</v>
      </c>
      <c r="J5816" s="4" t="s">
        <v>409</v>
      </c>
      <c r="K5816" s="13" t="n">
        <v>8500</v>
      </c>
      <c r="L5816" s="6" t="n">
        <f aca="false">H5816*K5816</f>
        <v>8500</v>
      </c>
      <c r="M5816" s="4" t="s">
        <v>371</v>
      </c>
    </row>
    <row r="5817" customFormat="false" ht="15" hidden="false" customHeight="false" outlineLevel="0" collapsed="false">
      <c r="A5817" s="4" t="s">
        <v>283</v>
      </c>
      <c r="B5817" s="5" t="s">
        <v>300</v>
      </c>
      <c r="C5817" s="5" t="s">
        <v>301</v>
      </c>
      <c r="D5817" s="4" t="s">
        <v>16</v>
      </c>
      <c r="E5817" s="4" t="s">
        <v>2453</v>
      </c>
      <c r="F5817" s="4" t="s">
        <v>470</v>
      </c>
      <c r="G5817" s="4" t="s">
        <v>2454</v>
      </c>
      <c r="H5817" s="12" t="n">
        <v>1</v>
      </c>
      <c r="I5817" s="4" t="s">
        <v>408</v>
      </c>
      <c r="J5817" s="4" t="s">
        <v>409</v>
      </c>
      <c r="K5817" s="13" t="n">
        <v>18000</v>
      </c>
      <c r="L5817" s="6" t="n">
        <f aca="false">H5817*K5817</f>
        <v>18000</v>
      </c>
      <c r="M5817" s="4" t="s">
        <v>371</v>
      </c>
    </row>
    <row r="5818" customFormat="false" ht="15" hidden="false" customHeight="false" outlineLevel="0" collapsed="false">
      <c r="A5818" s="4" t="s">
        <v>283</v>
      </c>
      <c r="B5818" s="5" t="s">
        <v>300</v>
      </c>
      <c r="C5818" s="5" t="s">
        <v>301</v>
      </c>
      <c r="D5818" s="4" t="s">
        <v>16</v>
      </c>
      <c r="E5818" s="4" t="s">
        <v>2455</v>
      </c>
      <c r="F5818" s="4" t="s">
        <v>470</v>
      </c>
      <c r="G5818" s="4" t="s">
        <v>2456</v>
      </c>
      <c r="H5818" s="12" t="n">
        <v>1</v>
      </c>
      <c r="I5818" s="4" t="s">
        <v>408</v>
      </c>
      <c r="J5818" s="4" t="s">
        <v>409</v>
      </c>
      <c r="K5818" s="13" t="n">
        <v>25000</v>
      </c>
      <c r="L5818" s="6" t="n">
        <f aca="false">H5818*K5818</f>
        <v>25000</v>
      </c>
      <c r="M5818" s="4" t="s">
        <v>371</v>
      </c>
    </row>
    <row r="5819" customFormat="false" ht="15" hidden="false" customHeight="false" outlineLevel="0" collapsed="false">
      <c r="A5819" s="4" t="s">
        <v>283</v>
      </c>
      <c r="B5819" s="5" t="s">
        <v>300</v>
      </c>
      <c r="C5819" s="5" t="s">
        <v>301</v>
      </c>
      <c r="D5819" s="4" t="s">
        <v>16</v>
      </c>
      <c r="E5819" s="4" t="s">
        <v>1089</v>
      </c>
      <c r="F5819" s="4" t="s">
        <v>470</v>
      </c>
      <c r="G5819" s="4" t="s">
        <v>1090</v>
      </c>
      <c r="H5819" s="12" t="n">
        <v>1</v>
      </c>
      <c r="I5819" s="4" t="s">
        <v>408</v>
      </c>
      <c r="J5819" s="4" t="s">
        <v>409</v>
      </c>
      <c r="K5819" s="13" t="n">
        <v>3500</v>
      </c>
      <c r="L5819" s="6" t="n">
        <f aca="false">H5819*K5819</f>
        <v>3500</v>
      </c>
      <c r="M5819" s="4" t="s">
        <v>371</v>
      </c>
    </row>
    <row r="5820" customFormat="false" ht="15" hidden="false" customHeight="false" outlineLevel="0" collapsed="false">
      <c r="A5820" s="4" t="s">
        <v>283</v>
      </c>
      <c r="B5820" s="5" t="s">
        <v>300</v>
      </c>
      <c r="C5820" s="5" t="s">
        <v>301</v>
      </c>
      <c r="D5820" s="4" t="s">
        <v>16</v>
      </c>
      <c r="E5820" s="4" t="s">
        <v>2289</v>
      </c>
      <c r="F5820" s="4" t="s">
        <v>470</v>
      </c>
      <c r="G5820" s="4" t="s">
        <v>2290</v>
      </c>
      <c r="H5820" s="12" t="n">
        <v>1</v>
      </c>
      <c r="I5820" s="4" t="s">
        <v>408</v>
      </c>
      <c r="J5820" s="4" t="s">
        <v>409</v>
      </c>
      <c r="K5820" s="13" t="n">
        <v>2500</v>
      </c>
      <c r="L5820" s="6" t="n">
        <f aca="false">H5820*K5820</f>
        <v>2500</v>
      </c>
      <c r="M5820" s="4" t="s">
        <v>371</v>
      </c>
    </row>
    <row r="5821" customFormat="false" ht="15" hidden="false" customHeight="false" outlineLevel="0" collapsed="false">
      <c r="A5821" s="4" t="s">
        <v>283</v>
      </c>
      <c r="B5821" s="5" t="s">
        <v>300</v>
      </c>
      <c r="C5821" s="5" t="s">
        <v>301</v>
      </c>
      <c r="D5821" s="4" t="s">
        <v>16</v>
      </c>
      <c r="E5821" s="4" t="s">
        <v>2457</v>
      </c>
      <c r="F5821" s="4" t="s">
        <v>470</v>
      </c>
      <c r="G5821" s="4" t="s">
        <v>2458</v>
      </c>
      <c r="H5821" s="12" t="n">
        <v>1</v>
      </c>
      <c r="I5821" s="4" t="s">
        <v>408</v>
      </c>
      <c r="J5821" s="4" t="s">
        <v>416</v>
      </c>
      <c r="K5821" s="13" t="n">
        <v>4500</v>
      </c>
      <c r="L5821" s="6" t="n">
        <f aca="false">H5821*K5821</f>
        <v>4500</v>
      </c>
      <c r="M5821" s="4" t="s">
        <v>371</v>
      </c>
    </row>
    <row r="5822" customFormat="false" ht="15" hidden="false" customHeight="false" outlineLevel="0" collapsed="false">
      <c r="A5822" s="4" t="s">
        <v>283</v>
      </c>
      <c r="B5822" s="5" t="s">
        <v>300</v>
      </c>
      <c r="C5822" s="5" t="s">
        <v>301</v>
      </c>
      <c r="D5822" s="4" t="s">
        <v>16</v>
      </c>
      <c r="E5822" s="4" t="s">
        <v>2459</v>
      </c>
      <c r="F5822" s="4" t="s">
        <v>470</v>
      </c>
      <c r="G5822" s="4" t="s">
        <v>2460</v>
      </c>
      <c r="H5822" s="12" t="n">
        <v>1</v>
      </c>
      <c r="I5822" s="4" t="s">
        <v>408</v>
      </c>
      <c r="J5822" s="4" t="s">
        <v>416</v>
      </c>
      <c r="K5822" s="13" t="n">
        <v>2500</v>
      </c>
      <c r="L5822" s="6" t="n">
        <f aca="false">H5822*K5822</f>
        <v>2500</v>
      </c>
      <c r="M5822" s="4" t="s">
        <v>371</v>
      </c>
    </row>
    <row r="5823" customFormat="false" ht="15" hidden="false" customHeight="false" outlineLevel="0" collapsed="false">
      <c r="A5823" s="4" t="s">
        <v>283</v>
      </c>
      <c r="B5823" s="5" t="s">
        <v>300</v>
      </c>
      <c r="C5823" s="5" t="s">
        <v>301</v>
      </c>
      <c r="D5823" s="4" t="s">
        <v>16</v>
      </c>
      <c r="E5823" s="4" t="s">
        <v>2301</v>
      </c>
      <c r="F5823" s="4" t="s">
        <v>470</v>
      </c>
      <c r="G5823" s="4" t="s">
        <v>2302</v>
      </c>
      <c r="H5823" s="12" t="n">
        <v>1</v>
      </c>
      <c r="I5823" s="4" t="s">
        <v>408</v>
      </c>
      <c r="J5823" s="4" t="s">
        <v>409</v>
      </c>
      <c r="K5823" s="13" t="n">
        <v>8500</v>
      </c>
      <c r="L5823" s="6" t="n">
        <f aca="false">H5823*K5823</f>
        <v>8500</v>
      </c>
      <c r="M5823" s="4" t="s">
        <v>371</v>
      </c>
    </row>
    <row r="5824" customFormat="false" ht="15" hidden="false" customHeight="false" outlineLevel="0" collapsed="false">
      <c r="A5824" s="4" t="s">
        <v>283</v>
      </c>
      <c r="B5824" s="5" t="s">
        <v>300</v>
      </c>
      <c r="C5824" s="5" t="s">
        <v>301</v>
      </c>
      <c r="D5824" s="4" t="s">
        <v>16</v>
      </c>
      <c r="E5824" s="4" t="s">
        <v>2303</v>
      </c>
      <c r="F5824" s="4" t="s">
        <v>470</v>
      </c>
      <c r="G5824" s="4" t="s">
        <v>2304</v>
      </c>
      <c r="H5824" s="12" t="n">
        <v>1</v>
      </c>
      <c r="I5824" s="4" t="s">
        <v>408</v>
      </c>
      <c r="J5824" s="4" t="s">
        <v>409</v>
      </c>
      <c r="K5824" s="13" t="n">
        <v>3500</v>
      </c>
      <c r="L5824" s="6" t="n">
        <f aca="false">H5824*K5824</f>
        <v>3500</v>
      </c>
      <c r="M5824" s="4" t="s">
        <v>371</v>
      </c>
    </row>
    <row r="5825" customFormat="false" ht="15" hidden="false" customHeight="false" outlineLevel="0" collapsed="false">
      <c r="A5825" s="4" t="s">
        <v>283</v>
      </c>
      <c r="B5825" s="5" t="s">
        <v>300</v>
      </c>
      <c r="C5825" s="5" t="s">
        <v>301</v>
      </c>
      <c r="D5825" s="4" t="s">
        <v>16</v>
      </c>
      <c r="E5825" s="4" t="s">
        <v>2305</v>
      </c>
      <c r="F5825" s="4" t="s">
        <v>470</v>
      </c>
      <c r="G5825" s="4" t="s">
        <v>2306</v>
      </c>
      <c r="H5825" s="12" t="n">
        <v>1</v>
      </c>
      <c r="I5825" s="4" t="s">
        <v>408</v>
      </c>
      <c r="J5825" s="4" t="s">
        <v>409</v>
      </c>
      <c r="K5825" s="13" t="n">
        <v>850</v>
      </c>
      <c r="L5825" s="6" t="n">
        <f aca="false">H5825*K5825</f>
        <v>850</v>
      </c>
      <c r="M5825" s="4" t="s">
        <v>371</v>
      </c>
    </row>
    <row r="5826" customFormat="false" ht="15" hidden="false" customHeight="false" outlineLevel="0" collapsed="false">
      <c r="A5826" s="4" t="s">
        <v>283</v>
      </c>
      <c r="B5826" s="5" t="s">
        <v>300</v>
      </c>
      <c r="C5826" s="5" t="s">
        <v>301</v>
      </c>
      <c r="D5826" s="4" t="s">
        <v>16</v>
      </c>
      <c r="E5826" s="4" t="s">
        <v>2461</v>
      </c>
      <c r="F5826" s="4" t="s">
        <v>488</v>
      </c>
      <c r="G5826" s="4" t="s">
        <v>2462</v>
      </c>
      <c r="H5826" s="12" t="n">
        <v>1</v>
      </c>
      <c r="I5826" s="4" t="s">
        <v>408</v>
      </c>
      <c r="J5826" s="4" t="s">
        <v>409</v>
      </c>
      <c r="K5826" s="13" t="n">
        <v>450</v>
      </c>
      <c r="L5826" s="6" t="n">
        <f aca="false">H5826*K5826</f>
        <v>450</v>
      </c>
      <c r="M5826" s="4" t="s">
        <v>371</v>
      </c>
    </row>
    <row r="5827" customFormat="false" ht="15" hidden="false" customHeight="false" outlineLevel="0" collapsed="false">
      <c r="A5827" s="4" t="s">
        <v>283</v>
      </c>
      <c r="B5827" s="5" t="s">
        <v>300</v>
      </c>
      <c r="C5827" s="5" t="s">
        <v>301</v>
      </c>
      <c r="D5827" s="4" t="s">
        <v>16</v>
      </c>
      <c r="E5827" s="4" t="s">
        <v>2463</v>
      </c>
      <c r="F5827" s="4" t="s">
        <v>488</v>
      </c>
      <c r="G5827" s="4" t="s">
        <v>2464</v>
      </c>
      <c r="H5827" s="12" t="n">
        <v>1</v>
      </c>
      <c r="I5827" s="4" t="s">
        <v>408</v>
      </c>
      <c r="J5827" s="4" t="s">
        <v>409</v>
      </c>
      <c r="K5827" s="13" t="n">
        <v>35</v>
      </c>
      <c r="L5827" s="6" t="n">
        <f aca="false">H5827*K5827</f>
        <v>35</v>
      </c>
      <c r="M5827" s="4" t="s">
        <v>371</v>
      </c>
    </row>
    <row r="5828" customFormat="false" ht="15" hidden="false" customHeight="false" outlineLevel="0" collapsed="false">
      <c r="A5828" s="4" t="s">
        <v>283</v>
      </c>
      <c r="B5828" s="5" t="s">
        <v>300</v>
      </c>
      <c r="C5828" s="5" t="s">
        <v>301</v>
      </c>
      <c r="D5828" s="4" t="s">
        <v>16</v>
      </c>
      <c r="E5828" s="4" t="s">
        <v>2465</v>
      </c>
      <c r="F5828" s="4" t="s">
        <v>488</v>
      </c>
      <c r="G5828" s="4" t="s">
        <v>2466</v>
      </c>
      <c r="H5828" s="12" t="n">
        <v>1</v>
      </c>
      <c r="I5828" s="4" t="s">
        <v>408</v>
      </c>
      <c r="J5828" s="4" t="s">
        <v>506</v>
      </c>
      <c r="K5828" s="13" t="n">
        <v>100</v>
      </c>
      <c r="L5828" s="6" t="n">
        <f aca="false">H5828*K5828</f>
        <v>100</v>
      </c>
      <c r="M5828" s="4" t="s">
        <v>371</v>
      </c>
    </row>
    <row r="5829" customFormat="false" ht="15" hidden="false" customHeight="false" outlineLevel="0" collapsed="false">
      <c r="A5829" s="4" t="s">
        <v>283</v>
      </c>
      <c r="B5829" s="5" t="s">
        <v>300</v>
      </c>
      <c r="C5829" s="5" t="s">
        <v>301</v>
      </c>
      <c r="D5829" s="4" t="s">
        <v>16</v>
      </c>
      <c r="E5829" s="4" t="s">
        <v>2467</v>
      </c>
      <c r="F5829" s="4" t="s">
        <v>488</v>
      </c>
      <c r="G5829" s="4" t="s">
        <v>2468</v>
      </c>
      <c r="H5829" s="12" t="n">
        <v>1</v>
      </c>
      <c r="I5829" s="4" t="s">
        <v>408</v>
      </c>
      <c r="J5829" s="4" t="s">
        <v>409</v>
      </c>
      <c r="K5829" s="13" t="n">
        <v>15</v>
      </c>
      <c r="L5829" s="6" t="n">
        <f aca="false">H5829*K5829</f>
        <v>15</v>
      </c>
      <c r="M5829" s="4" t="s">
        <v>371</v>
      </c>
    </row>
    <row r="5830" customFormat="false" ht="15" hidden="false" customHeight="false" outlineLevel="0" collapsed="false">
      <c r="A5830" s="4" t="s">
        <v>283</v>
      </c>
      <c r="B5830" s="5" t="s">
        <v>300</v>
      </c>
      <c r="C5830" s="5" t="s">
        <v>301</v>
      </c>
      <c r="D5830" s="4" t="s">
        <v>16</v>
      </c>
      <c r="E5830" s="4" t="s">
        <v>2469</v>
      </c>
      <c r="F5830" s="4" t="s">
        <v>488</v>
      </c>
      <c r="G5830" s="4" t="s">
        <v>2470</v>
      </c>
      <c r="H5830" s="12" t="n">
        <v>1</v>
      </c>
      <c r="I5830" s="4" t="s">
        <v>408</v>
      </c>
      <c r="J5830" s="4" t="s">
        <v>409</v>
      </c>
      <c r="K5830" s="13" t="n">
        <v>10</v>
      </c>
      <c r="L5830" s="6" t="n">
        <f aca="false">H5830*K5830</f>
        <v>10</v>
      </c>
      <c r="M5830" s="4" t="s">
        <v>371</v>
      </c>
    </row>
    <row r="5831" customFormat="false" ht="15" hidden="false" customHeight="false" outlineLevel="0" collapsed="false">
      <c r="A5831" s="4" t="s">
        <v>283</v>
      </c>
      <c r="B5831" s="5" t="s">
        <v>300</v>
      </c>
      <c r="C5831" s="5" t="s">
        <v>301</v>
      </c>
      <c r="D5831" s="4" t="s">
        <v>16</v>
      </c>
      <c r="E5831" s="4" t="s">
        <v>2471</v>
      </c>
      <c r="F5831" s="4" t="s">
        <v>488</v>
      </c>
      <c r="G5831" s="4" t="s">
        <v>2472</v>
      </c>
      <c r="H5831" s="12" t="n">
        <v>1</v>
      </c>
      <c r="I5831" s="4" t="s">
        <v>408</v>
      </c>
      <c r="J5831" s="4" t="s">
        <v>506</v>
      </c>
      <c r="K5831" s="13" t="n">
        <v>120</v>
      </c>
      <c r="L5831" s="6" t="n">
        <f aca="false">H5831*K5831</f>
        <v>120</v>
      </c>
      <c r="M5831" s="4" t="s">
        <v>371</v>
      </c>
    </row>
    <row r="5832" customFormat="false" ht="15" hidden="false" customHeight="false" outlineLevel="0" collapsed="false">
      <c r="A5832" s="4" t="s">
        <v>283</v>
      </c>
      <c r="B5832" s="5" t="s">
        <v>300</v>
      </c>
      <c r="C5832" s="5" t="s">
        <v>301</v>
      </c>
      <c r="D5832" s="4" t="s">
        <v>16</v>
      </c>
      <c r="E5832" s="4" t="s">
        <v>2325</v>
      </c>
      <c r="F5832" s="4" t="s">
        <v>488</v>
      </c>
      <c r="G5832" s="4" t="s">
        <v>2326</v>
      </c>
      <c r="H5832" s="12" t="n">
        <v>1</v>
      </c>
      <c r="I5832" s="4" t="s">
        <v>408</v>
      </c>
      <c r="J5832" s="4" t="s">
        <v>416</v>
      </c>
      <c r="K5832" s="13" t="n">
        <v>650</v>
      </c>
      <c r="L5832" s="6" t="n">
        <f aca="false">H5832*K5832</f>
        <v>650</v>
      </c>
      <c r="M5832" s="4" t="s">
        <v>371</v>
      </c>
    </row>
    <row r="5833" customFormat="false" ht="15" hidden="false" customHeight="false" outlineLevel="0" collapsed="false">
      <c r="A5833" s="4" t="s">
        <v>283</v>
      </c>
      <c r="B5833" s="5" t="s">
        <v>300</v>
      </c>
      <c r="C5833" s="5" t="s">
        <v>301</v>
      </c>
      <c r="D5833" s="4" t="s">
        <v>16</v>
      </c>
      <c r="E5833" s="4" t="s">
        <v>2327</v>
      </c>
      <c r="F5833" s="4" t="s">
        <v>488</v>
      </c>
      <c r="G5833" s="4" t="s">
        <v>2328</v>
      </c>
      <c r="H5833" s="12" t="n">
        <v>1</v>
      </c>
      <c r="I5833" s="4" t="s">
        <v>408</v>
      </c>
      <c r="J5833" s="4" t="s">
        <v>506</v>
      </c>
      <c r="K5833" s="13" t="n">
        <v>450</v>
      </c>
      <c r="L5833" s="6" t="n">
        <f aca="false">H5833*K5833</f>
        <v>450</v>
      </c>
      <c r="M5833" s="4" t="s">
        <v>371</v>
      </c>
    </row>
    <row r="5834" customFormat="false" ht="15" hidden="false" customHeight="false" outlineLevel="0" collapsed="false">
      <c r="A5834" s="4" t="s">
        <v>283</v>
      </c>
      <c r="B5834" s="5" t="s">
        <v>300</v>
      </c>
      <c r="C5834" s="5" t="s">
        <v>301</v>
      </c>
      <c r="D5834" s="4" t="s">
        <v>16</v>
      </c>
      <c r="E5834" s="4" t="s">
        <v>2483</v>
      </c>
      <c r="F5834" s="4" t="s">
        <v>488</v>
      </c>
      <c r="G5834" s="4" t="s">
        <v>2484</v>
      </c>
      <c r="H5834" s="12" t="n">
        <v>1</v>
      </c>
      <c r="I5834" s="4" t="s">
        <v>408</v>
      </c>
      <c r="J5834" s="4" t="s">
        <v>543</v>
      </c>
      <c r="K5834" s="13" t="n">
        <v>2500</v>
      </c>
      <c r="L5834" s="6" t="n">
        <f aca="false">H5834*K5834</f>
        <v>2500</v>
      </c>
      <c r="M5834" s="4" t="s">
        <v>371</v>
      </c>
    </row>
    <row r="5835" customFormat="false" ht="15" hidden="false" customHeight="false" outlineLevel="0" collapsed="false">
      <c r="A5835" s="4" t="s">
        <v>283</v>
      </c>
      <c r="B5835" s="5" t="s">
        <v>300</v>
      </c>
      <c r="C5835" s="5" t="s">
        <v>301</v>
      </c>
      <c r="D5835" s="4" t="s">
        <v>16</v>
      </c>
      <c r="E5835" s="4" t="s">
        <v>2473</v>
      </c>
      <c r="F5835" s="4" t="s">
        <v>470</v>
      </c>
      <c r="G5835" s="4" t="s">
        <v>2474</v>
      </c>
      <c r="H5835" s="12" t="n">
        <v>1</v>
      </c>
      <c r="I5835" s="4" t="s">
        <v>408</v>
      </c>
      <c r="J5835" s="4" t="s">
        <v>409</v>
      </c>
      <c r="K5835" s="13" t="n">
        <v>3500</v>
      </c>
      <c r="L5835" s="6" t="n">
        <f aca="false">H5835*K5835</f>
        <v>3500</v>
      </c>
      <c r="M5835" s="4" t="s">
        <v>371</v>
      </c>
    </row>
    <row r="5836" customFormat="false" ht="15" hidden="false" customHeight="false" outlineLevel="0" collapsed="false">
      <c r="A5836" s="4" t="s">
        <v>283</v>
      </c>
      <c r="B5836" s="5" t="s">
        <v>300</v>
      </c>
      <c r="C5836" s="5" t="s">
        <v>301</v>
      </c>
      <c r="D5836" s="4" t="s">
        <v>16</v>
      </c>
      <c r="E5836" s="4" t="s">
        <v>2475</v>
      </c>
      <c r="F5836" s="4" t="s">
        <v>470</v>
      </c>
      <c r="G5836" s="4" t="s">
        <v>2476</v>
      </c>
      <c r="H5836" s="12" t="n">
        <v>1</v>
      </c>
      <c r="I5836" s="4" t="s">
        <v>408</v>
      </c>
      <c r="J5836" s="4" t="s">
        <v>409</v>
      </c>
      <c r="K5836" s="13" t="n">
        <v>850</v>
      </c>
      <c r="L5836" s="6" t="n">
        <f aca="false">H5836*K5836</f>
        <v>850</v>
      </c>
      <c r="M5836" s="4" t="s">
        <v>371</v>
      </c>
    </row>
    <row r="5837" customFormat="false" ht="15" hidden="false" customHeight="false" outlineLevel="0" collapsed="false">
      <c r="A5837" s="4" t="s">
        <v>283</v>
      </c>
      <c r="B5837" s="5" t="s">
        <v>302</v>
      </c>
      <c r="C5837" s="5" t="s">
        <v>303</v>
      </c>
      <c r="D5837" s="4" t="s">
        <v>16</v>
      </c>
      <c r="E5837" s="4" t="s">
        <v>2225</v>
      </c>
      <c r="F5837" s="4" t="s">
        <v>406</v>
      </c>
      <c r="G5837" s="4" t="s">
        <v>2226</v>
      </c>
      <c r="H5837" s="12" t="n">
        <v>1</v>
      </c>
      <c r="I5837" s="4" t="s">
        <v>408</v>
      </c>
      <c r="J5837" s="4" t="s">
        <v>409</v>
      </c>
      <c r="K5837" s="13" t="n">
        <v>350</v>
      </c>
      <c r="L5837" s="6" t="n">
        <f aca="false">H5837*K5837</f>
        <v>350</v>
      </c>
      <c r="M5837" s="14" t="s">
        <v>410</v>
      </c>
    </row>
    <row r="5838" customFormat="false" ht="15" hidden="false" customHeight="false" outlineLevel="0" collapsed="false">
      <c r="A5838" s="4" t="s">
        <v>283</v>
      </c>
      <c r="B5838" s="5" t="s">
        <v>302</v>
      </c>
      <c r="C5838" s="5" t="s">
        <v>303</v>
      </c>
      <c r="D5838" s="4" t="s">
        <v>16</v>
      </c>
      <c r="E5838" s="4" t="s">
        <v>2257</v>
      </c>
      <c r="F5838" s="4" t="s">
        <v>406</v>
      </c>
      <c r="G5838" s="4" t="s">
        <v>2258</v>
      </c>
      <c r="H5838" s="12" t="n">
        <v>1</v>
      </c>
      <c r="I5838" s="4" t="s">
        <v>408</v>
      </c>
      <c r="J5838" s="4" t="s">
        <v>409</v>
      </c>
      <c r="K5838" s="13" t="n">
        <v>6500</v>
      </c>
      <c r="L5838" s="6" t="n">
        <f aca="false">H5838*K5838</f>
        <v>6500</v>
      </c>
      <c r="M5838" s="14" t="s">
        <v>410</v>
      </c>
    </row>
    <row r="5839" customFormat="false" ht="15" hidden="false" customHeight="false" outlineLevel="0" collapsed="false">
      <c r="A5839" s="4" t="s">
        <v>283</v>
      </c>
      <c r="B5839" s="5" t="s">
        <v>302</v>
      </c>
      <c r="C5839" s="5" t="s">
        <v>303</v>
      </c>
      <c r="D5839" s="4" t="s">
        <v>16</v>
      </c>
      <c r="E5839" s="4" t="s">
        <v>2259</v>
      </c>
      <c r="F5839" s="4" t="s">
        <v>406</v>
      </c>
      <c r="G5839" s="4" t="s">
        <v>2260</v>
      </c>
      <c r="H5839" s="12" t="n">
        <v>1</v>
      </c>
      <c r="I5839" s="4" t="s">
        <v>408</v>
      </c>
      <c r="J5839" s="4" t="s">
        <v>409</v>
      </c>
      <c r="K5839" s="13" t="n">
        <v>85000</v>
      </c>
      <c r="L5839" s="6" t="n">
        <f aca="false">H5839*K5839</f>
        <v>85000</v>
      </c>
      <c r="M5839" s="14" t="s">
        <v>410</v>
      </c>
    </row>
    <row r="5840" customFormat="false" ht="15" hidden="false" customHeight="false" outlineLevel="0" collapsed="false">
      <c r="A5840" s="4" t="s">
        <v>283</v>
      </c>
      <c r="B5840" s="5" t="s">
        <v>302</v>
      </c>
      <c r="C5840" s="5" t="s">
        <v>303</v>
      </c>
      <c r="D5840" s="4" t="s">
        <v>16</v>
      </c>
      <c r="E5840" s="4" t="s">
        <v>2261</v>
      </c>
      <c r="F5840" s="4" t="s">
        <v>406</v>
      </c>
      <c r="G5840" s="4" t="s">
        <v>2262</v>
      </c>
      <c r="H5840" s="12" t="n">
        <v>1</v>
      </c>
      <c r="I5840" s="4" t="s">
        <v>408</v>
      </c>
      <c r="J5840" s="4" t="s">
        <v>409</v>
      </c>
      <c r="K5840" s="13" t="n">
        <v>18000</v>
      </c>
      <c r="L5840" s="6" t="n">
        <f aca="false">H5840*K5840</f>
        <v>18000</v>
      </c>
      <c r="M5840" s="14" t="s">
        <v>410</v>
      </c>
    </row>
    <row r="5841" customFormat="false" ht="15" hidden="false" customHeight="false" outlineLevel="0" collapsed="false">
      <c r="A5841" s="4" t="s">
        <v>283</v>
      </c>
      <c r="B5841" s="5" t="s">
        <v>302</v>
      </c>
      <c r="C5841" s="5" t="s">
        <v>303</v>
      </c>
      <c r="D5841" s="4" t="s">
        <v>16</v>
      </c>
      <c r="E5841" s="4" t="s">
        <v>2263</v>
      </c>
      <c r="F5841" s="4" t="s">
        <v>406</v>
      </c>
      <c r="G5841" s="4" t="s">
        <v>2264</v>
      </c>
      <c r="H5841" s="12" t="n">
        <v>1</v>
      </c>
      <c r="I5841" s="4" t="s">
        <v>408</v>
      </c>
      <c r="J5841" s="4" t="s">
        <v>409</v>
      </c>
      <c r="K5841" s="13" t="n">
        <v>25000</v>
      </c>
      <c r="L5841" s="6" t="n">
        <f aca="false">H5841*K5841</f>
        <v>25000</v>
      </c>
      <c r="M5841" s="4" t="s">
        <v>371</v>
      </c>
    </row>
    <row r="5842" customFormat="false" ht="15" hidden="false" customHeight="false" outlineLevel="0" collapsed="false">
      <c r="A5842" s="4" t="s">
        <v>283</v>
      </c>
      <c r="B5842" s="5" t="s">
        <v>302</v>
      </c>
      <c r="C5842" s="5" t="s">
        <v>303</v>
      </c>
      <c r="D5842" s="4" t="s">
        <v>16</v>
      </c>
      <c r="E5842" s="4" t="s">
        <v>6242</v>
      </c>
      <c r="F5842" s="4" t="s">
        <v>406</v>
      </c>
      <c r="G5842" s="4" t="s">
        <v>6243</v>
      </c>
      <c r="H5842" s="12" t="n">
        <v>1</v>
      </c>
      <c r="I5842" s="4" t="s">
        <v>408</v>
      </c>
      <c r="J5842" s="4" t="s">
        <v>416</v>
      </c>
      <c r="K5842" s="13" t="n">
        <v>8500</v>
      </c>
      <c r="L5842" s="6" t="n">
        <f aca="false">H5842*K5842</f>
        <v>8500</v>
      </c>
      <c r="M5842" s="4" t="s">
        <v>371</v>
      </c>
    </row>
    <row r="5843" customFormat="false" ht="15" hidden="false" customHeight="false" outlineLevel="0" collapsed="false">
      <c r="A5843" s="4" t="s">
        <v>283</v>
      </c>
      <c r="B5843" s="5" t="s">
        <v>302</v>
      </c>
      <c r="C5843" s="5" t="s">
        <v>303</v>
      </c>
      <c r="D5843" s="4" t="s">
        <v>16</v>
      </c>
      <c r="E5843" s="4" t="s">
        <v>2449</v>
      </c>
      <c r="F5843" s="4" t="s">
        <v>470</v>
      </c>
      <c r="G5843" s="4" t="s">
        <v>2450</v>
      </c>
      <c r="H5843" s="12" t="n">
        <v>1</v>
      </c>
      <c r="I5843" s="4" t="s">
        <v>408</v>
      </c>
      <c r="J5843" s="4" t="s">
        <v>409</v>
      </c>
      <c r="K5843" s="13" t="n">
        <v>8500</v>
      </c>
      <c r="L5843" s="6" t="n">
        <f aca="false">H5843*K5843</f>
        <v>8500</v>
      </c>
      <c r="M5843" s="4" t="s">
        <v>371</v>
      </c>
    </row>
    <row r="5844" customFormat="false" ht="15" hidden="false" customHeight="false" outlineLevel="0" collapsed="false">
      <c r="A5844" s="4" t="s">
        <v>283</v>
      </c>
      <c r="B5844" s="5" t="s">
        <v>302</v>
      </c>
      <c r="C5844" s="5" t="s">
        <v>303</v>
      </c>
      <c r="D5844" s="4" t="s">
        <v>16</v>
      </c>
      <c r="E5844" s="4" t="s">
        <v>2271</v>
      </c>
      <c r="F5844" s="4" t="s">
        <v>470</v>
      </c>
      <c r="G5844" s="4" t="s">
        <v>2272</v>
      </c>
      <c r="H5844" s="12" t="n">
        <v>1</v>
      </c>
      <c r="I5844" s="4" t="s">
        <v>408</v>
      </c>
      <c r="J5844" s="4" t="s">
        <v>409</v>
      </c>
      <c r="K5844" s="13" t="n">
        <v>4500</v>
      </c>
      <c r="L5844" s="6" t="n">
        <f aca="false">H5844*K5844</f>
        <v>4500</v>
      </c>
      <c r="M5844" s="14" t="s">
        <v>410</v>
      </c>
    </row>
    <row r="5845" customFormat="false" ht="15" hidden="false" customHeight="false" outlineLevel="0" collapsed="false">
      <c r="A5845" s="4" t="s">
        <v>283</v>
      </c>
      <c r="B5845" s="5" t="s">
        <v>302</v>
      </c>
      <c r="C5845" s="5" t="s">
        <v>303</v>
      </c>
      <c r="D5845" s="4" t="s">
        <v>16</v>
      </c>
      <c r="E5845" s="4" t="s">
        <v>2273</v>
      </c>
      <c r="F5845" s="4" t="s">
        <v>470</v>
      </c>
      <c r="G5845" s="4" t="s">
        <v>2274</v>
      </c>
      <c r="H5845" s="12" t="n">
        <v>1</v>
      </c>
      <c r="I5845" s="4" t="s">
        <v>408</v>
      </c>
      <c r="J5845" s="4" t="s">
        <v>409</v>
      </c>
      <c r="K5845" s="13" t="n">
        <v>25000</v>
      </c>
      <c r="L5845" s="6" t="n">
        <f aca="false">H5845*K5845</f>
        <v>25000</v>
      </c>
      <c r="M5845" s="14" t="s">
        <v>410</v>
      </c>
    </row>
    <row r="5846" customFormat="false" ht="15" hidden="false" customHeight="false" outlineLevel="0" collapsed="false">
      <c r="A5846" s="4" t="s">
        <v>283</v>
      </c>
      <c r="B5846" s="5" t="s">
        <v>302</v>
      </c>
      <c r="C5846" s="5" t="s">
        <v>303</v>
      </c>
      <c r="D5846" s="4" t="s">
        <v>16</v>
      </c>
      <c r="E5846" s="4" t="s">
        <v>2163</v>
      </c>
      <c r="F5846" s="4" t="s">
        <v>470</v>
      </c>
      <c r="G5846" s="4" t="s">
        <v>2164</v>
      </c>
      <c r="H5846" s="12" t="n">
        <v>1</v>
      </c>
      <c r="I5846" s="4" t="s">
        <v>408</v>
      </c>
      <c r="J5846" s="4" t="s">
        <v>409</v>
      </c>
      <c r="K5846" s="13" t="n">
        <v>35000</v>
      </c>
      <c r="L5846" s="6" t="n">
        <f aca="false">H5846*K5846</f>
        <v>35000</v>
      </c>
      <c r="M5846" s="14" t="s">
        <v>410</v>
      </c>
    </row>
    <row r="5847" customFormat="false" ht="15" hidden="false" customHeight="false" outlineLevel="0" collapsed="false">
      <c r="A5847" s="4" t="s">
        <v>283</v>
      </c>
      <c r="B5847" s="5" t="s">
        <v>302</v>
      </c>
      <c r="C5847" s="5" t="s">
        <v>303</v>
      </c>
      <c r="D5847" s="4" t="s">
        <v>16</v>
      </c>
      <c r="E5847" s="4" t="s">
        <v>1058</v>
      </c>
      <c r="F5847" s="4" t="s">
        <v>470</v>
      </c>
      <c r="G5847" s="4" t="s">
        <v>1059</v>
      </c>
      <c r="H5847" s="12" t="n">
        <v>1</v>
      </c>
      <c r="I5847" s="4" t="s">
        <v>408</v>
      </c>
      <c r="J5847" s="4" t="s">
        <v>409</v>
      </c>
      <c r="K5847" s="13" t="n">
        <v>45000</v>
      </c>
      <c r="L5847" s="6" t="n">
        <f aca="false">H5847*K5847</f>
        <v>45000</v>
      </c>
      <c r="M5847" s="14" t="s">
        <v>410</v>
      </c>
    </row>
    <row r="5848" customFormat="false" ht="15" hidden="false" customHeight="false" outlineLevel="0" collapsed="false">
      <c r="A5848" s="4" t="s">
        <v>283</v>
      </c>
      <c r="B5848" s="5" t="s">
        <v>302</v>
      </c>
      <c r="C5848" s="5" t="s">
        <v>303</v>
      </c>
      <c r="D5848" s="4" t="s">
        <v>16</v>
      </c>
      <c r="E5848" s="4" t="s">
        <v>2451</v>
      </c>
      <c r="F5848" s="4" t="s">
        <v>470</v>
      </c>
      <c r="G5848" s="4" t="s">
        <v>2452</v>
      </c>
      <c r="H5848" s="12" t="n">
        <v>1</v>
      </c>
      <c r="I5848" s="4" t="s">
        <v>408</v>
      </c>
      <c r="J5848" s="4" t="s">
        <v>409</v>
      </c>
      <c r="K5848" s="13" t="n">
        <v>8500</v>
      </c>
      <c r="L5848" s="6" t="n">
        <f aca="false">H5848*K5848</f>
        <v>8500</v>
      </c>
      <c r="M5848" s="4" t="s">
        <v>371</v>
      </c>
    </row>
    <row r="5849" customFormat="false" ht="15" hidden="false" customHeight="false" outlineLevel="0" collapsed="false">
      <c r="A5849" s="4" t="s">
        <v>283</v>
      </c>
      <c r="B5849" s="5" t="s">
        <v>302</v>
      </c>
      <c r="C5849" s="5" t="s">
        <v>303</v>
      </c>
      <c r="D5849" s="4" t="s">
        <v>16</v>
      </c>
      <c r="E5849" s="4" t="s">
        <v>2453</v>
      </c>
      <c r="F5849" s="4" t="s">
        <v>470</v>
      </c>
      <c r="G5849" s="4" t="s">
        <v>2454</v>
      </c>
      <c r="H5849" s="12" t="n">
        <v>1</v>
      </c>
      <c r="I5849" s="4" t="s">
        <v>408</v>
      </c>
      <c r="J5849" s="4" t="s">
        <v>409</v>
      </c>
      <c r="K5849" s="13" t="n">
        <v>18000</v>
      </c>
      <c r="L5849" s="6" t="n">
        <f aca="false">H5849*K5849</f>
        <v>18000</v>
      </c>
      <c r="M5849" s="4" t="s">
        <v>371</v>
      </c>
    </row>
    <row r="5850" customFormat="false" ht="15" hidden="false" customHeight="false" outlineLevel="0" collapsed="false">
      <c r="A5850" s="4" t="s">
        <v>283</v>
      </c>
      <c r="B5850" s="5" t="s">
        <v>302</v>
      </c>
      <c r="C5850" s="5" t="s">
        <v>303</v>
      </c>
      <c r="D5850" s="4" t="s">
        <v>16</v>
      </c>
      <c r="E5850" s="4" t="s">
        <v>2455</v>
      </c>
      <c r="F5850" s="4" t="s">
        <v>470</v>
      </c>
      <c r="G5850" s="4" t="s">
        <v>2456</v>
      </c>
      <c r="H5850" s="12" t="n">
        <v>1</v>
      </c>
      <c r="I5850" s="4" t="s">
        <v>408</v>
      </c>
      <c r="J5850" s="4" t="s">
        <v>409</v>
      </c>
      <c r="K5850" s="13" t="n">
        <v>25000</v>
      </c>
      <c r="L5850" s="6" t="n">
        <f aca="false">H5850*K5850</f>
        <v>25000</v>
      </c>
      <c r="M5850" s="4" t="s">
        <v>371</v>
      </c>
    </row>
    <row r="5851" customFormat="false" ht="15" hidden="false" customHeight="false" outlineLevel="0" collapsed="false">
      <c r="A5851" s="4" t="s">
        <v>283</v>
      </c>
      <c r="B5851" s="5" t="s">
        <v>302</v>
      </c>
      <c r="C5851" s="5" t="s">
        <v>303</v>
      </c>
      <c r="D5851" s="4" t="s">
        <v>16</v>
      </c>
      <c r="E5851" s="4" t="s">
        <v>1089</v>
      </c>
      <c r="F5851" s="4" t="s">
        <v>470</v>
      </c>
      <c r="G5851" s="4" t="s">
        <v>1090</v>
      </c>
      <c r="H5851" s="12" t="n">
        <v>1</v>
      </c>
      <c r="I5851" s="4" t="s">
        <v>408</v>
      </c>
      <c r="J5851" s="4" t="s">
        <v>409</v>
      </c>
      <c r="K5851" s="13" t="n">
        <v>3500</v>
      </c>
      <c r="L5851" s="6" t="n">
        <f aca="false">H5851*K5851</f>
        <v>3500</v>
      </c>
      <c r="M5851" s="4" t="s">
        <v>371</v>
      </c>
    </row>
    <row r="5852" customFormat="false" ht="15" hidden="false" customHeight="false" outlineLevel="0" collapsed="false">
      <c r="A5852" s="4" t="s">
        <v>283</v>
      </c>
      <c r="B5852" s="5" t="s">
        <v>302</v>
      </c>
      <c r="C5852" s="5" t="s">
        <v>303</v>
      </c>
      <c r="D5852" s="4" t="s">
        <v>16</v>
      </c>
      <c r="E5852" s="4" t="s">
        <v>2289</v>
      </c>
      <c r="F5852" s="4" t="s">
        <v>470</v>
      </c>
      <c r="G5852" s="4" t="s">
        <v>2290</v>
      </c>
      <c r="H5852" s="12" t="n">
        <v>1</v>
      </c>
      <c r="I5852" s="4" t="s">
        <v>408</v>
      </c>
      <c r="J5852" s="4" t="s">
        <v>409</v>
      </c>
      <c r="K5852" s="13" t="n">
        <v>2500</v>
      </c>
      <c r="L5852" s="6" t="n">
        <f aca="false">H5852*K5852</f>
        <v>2500</v>
      </c>
      <c r="M5852" s="4" t="s">
        <v>371</v>
      </c>
    </row>
    <row r="5853" customFormat="false" ht="15" hidden="false" customHeight="false" outlineLevel="0" collapsed="false">
      <c r="A5853" s="4" t="s">
        <v>283</v>
      </c>
      <c r="B5853" s="5" t="s">
        <v>302</v>
      </c>
      <c r="C5853" s="5" t="s">
        <v>303</v>
      </c>
      <c r="D5853" s="4" t="s">
        <v>16</v>
      </c>
      <c r="E5853" s="4" t="s">
        <v>6244</v>
      </c>
      <c r="F5853" s="4" t="s">
        <v>470</v>
      </c>
      <c r="G5853" s="4" t="s">
        <v>2360</v>
      </c>
      <c r="H5853" s="12" t="n">
        <v>1</v>
      </c>
      <c r="I5853" s="4" t="s">
        <v>408</v>
      </c>
      <c r="J5853" s="4" t="s">
        <v>416</v>
      </c>
      <c r="K5853" s="13" t="n">
        <v>4500</v>
      </c>
      <c r="L5853" s="6" t="n">
        <f aca="false">H5853*K5853</f>
        <v>4500</v>
      </c>
      <c r="M5853" s="4" t="s">
        <v>371</v>
      </c>
    </row>
    <row r="5854" customFormat="false" ht="15" hidden="false" customHeight="false" outlineLevel="0" collapsed="false">
      <c r="A5854" s="4" t="s">
        <v>283</v>
      </c>
      <c r="B5854" s="5" t="s">
        <v>302</v>
      </c>
      <c r="C5854" s="5" t="s">
        <v>303</v>
      </c>
      <c r="D5854" s="4" t="s">
        <v>16</v>
      </c>
      <c r="E5854" s="4" t="s">
        <v>2301</v>
      </c>
      <c r="F5854" s="4" t="s">
        <v>470</v>
      </c>
      <c r="G5854" s="4" t="s">
        <v>2302</v>
      </c>
      <c r="H5854" s="12" t="n">
        <v>1</v>
      </c>
      <c r="I5854" s="4" t="s">
        <v>408</v>
      </c>
      <c r="J5854" s="4" t="s">
        <v>409</v>
      </c>
      <c r="K5854" s="13" t="n">
        <v>8500</v>
      </c>
      <c r="L5854" s="6" t="n">
        <f aca="false">H5854*K5854</f>
        <v>8500</v>
      </c>
      <c r="M5854" s="4" t="s">
        <v>371</v>
      </c>
    </row>
    <row r="5855" customFormat="false" ht="15" hidden="false" customHeight="false" outlineLevel="0" collapsed="false">
      <c r="A5855" s="4" t="s">
        <v>283</v>
      </c>
      <c r="B5855" s="5" t="s">
        <v>302</v>
      </c>
      <c r="C5855" s="5" t="s">
        <v>303</v>
      </c>
      <c r="D5855" s="4" t="s">
        <v>16</v>
      </c>
      <c r="E5855" s="4" t="s">
        <v>2303</v>
      </c>
      <c r="F5855" s="4" t="s">
        <v>470</v>
      </c>
      <c r="G5855" s="4" t="s">
        <v>2304</v>
      </c>
      <c r="H5855" s="12" t="n">
        <v>1</v>
      </c>
      <c r="I5855" s="4" t="s">
        <v>408</v>
      </c>
      <c r="J5855" s="4" t="s">
        <v>409</v>
      </c>
      <c r="K5855" s="13" t="n">
        <v>3500</v>
      </c>
      <c r="L5855" s="6" t="n">
        <f aca="false">H5855*K5855</f>
        <v>3500</v>
      </c>
      <c r="M5855" s="4" t="s">
        <v>371</v>
      </c>
    </row>
    <row r="5856" customFormat="false" ht="15" hidden="false" customHeight="false" outlineLevel="0" collapsed="false">
      <c r="A5856" s="4" t="s">
        <v>283</v>
      </c>
      <c r="B5856" s="5" t="s">
        <v>302</v>
      </c>
      <c r="C5856" s="5" t="s">
        <v>303</v>
      </c>
      <c r="D5856" s="4" t="s">
        <v>16</v>
      </c>
      <c r="E5856" s="4" t="s">
        <v>2305</v>
      </c>
      <c r="F5856" s="4" t="s">
        <v>470</v>
      </c>
      <c r="G5856" s="4" t="s">
        <v>2306</v>
      </c>
      <c r="H5856" s="12" t="n">
        <v>1</v>
      </c>
      <c r="I5856" s="4" t="s">
        <v>408</v>
      </c>
      <c r="J5856" s="4" t="s">
        <v>409</v>
      </c>
      <c r="K5856" s="13" t="n">
        <v>850</v>
      </c>
      <c r="L5856" s="6" t="n">
        <f aca="false">H5856*K5856</f>
        <v>850</v>
      </c>
      <c r="M5856" s="4" t="s">
        <v>371</v>
      </c>
    </row>
    <row r="5857" customFormat="false" ht="15" hidden="false" customHeight="false" outlineLevel="0" collapsed="false">
      <c r="A5857" s="4" t="s">
        <v>283</v>
      </c>
      <c r="B5857" s="5" t="s">
        <v>302</v>
      </c>
      <c r="C5857" s="5" t="s">
        <v>303</v>
      </c>
      <c r="D5857" s="4" t="s">
        <v>16</v>
      </c>
      <c r="E5857" s="4" t="s">
        <v>2465</v>
      </c>
      <c r="F5857" s="4" t="s">
        <v>488</v>
      </c>
      <c r="G5857" s="4" t="s">
        <v>2466</v>
      </c>
      <c r="H5857" s="12" t="n">
        <v>1</v>
      </c>
      <c r="I5857" s="4" t="s">
        <v>408</v>
      </c>
      <c r="J5857" s="4" t="s">
        <v>506</v>
      </c>
      <c r="K5857" s="13" t="n">
        <v>100</v>
      </c>
      <c r="L5857" s="6" t="n">
        <f aca="false">H5857*K5857</f>
        <v>100</v>
      </c>
      <c r="M5857" s="4" t="s">
        <v>371</v>
      </c>
    </row>
    <row r="5858" customFormat="false" ht="15" hidden="false" customHeight="false" outlineLevel="0" collapsed="false">
      <c r="A5858" s="4" t="s">
        <v>283</v>
      </c>
      <c r="B5858" s="5" t="s">
        <v>302</v>
      </c>
      <c r="C5858" s="5" t="s">
        <v>303</v>
      </c>
      <c r="D5858" s="4" t="s">
        <v>16</v>
      </c>
      <c r="E5858" s="4" t="s">
        <v>2467</v>
      </c>
      <c r="F5858" s="4" t="s">
        <v>488</v>
      </c>
      <c r="G5858" s="4" t="s">
        <v>2468</v>
      </c>
      <c r="H5858" s="12" t="n">
        <v>1</v>
      </c>
      <c r="I5858" s="4" t="s">
        <v>408</v>
      </c>
      <c r="J5858" s="4" t="s">
        <v>409</v>
      </c>
      <c r="K5858" s="13" t="n">
        <v>15</v>
      </c>
      <c r="L5858" s="6" t="n">
        <f aca="false">H5858*K5858</f>
        <v>15</v>
      </c>
      <c r="M5858" s="4" t="s">
        <v>371</v>
      </c>
    </row>
    <row r="5859" customFormat="false" ht="15" hidden="false" customHeight="false" outlineLevel="0" collapsed="false">
      <c r="A5859" s="4" t="s">
        <v>283</v>
      </c>
      <c r="B5859" s="5" t="s">
        <v>302</v>
      </c>
      <c r="C5859" s="5" t="s">
        <v>303</v>
      </c>
      <c r="D5859" s="4" t="s">
        <v>16</v>
      </c>
      <c r="E5859" s="4" t="s">
        <v>2469</v>
      </c>
      <c r="F5859" s="4" t="s">
        <v>488</v>
      </c>
      <c r="G5859" s="4" t="s">
        <v>2470</v>
      </c>
      <c r="H5859" s="12" t="n">
        <v>1</v>
      </c>
      <c r="I5859" s="4" t="s">
        <v>408</v>
      </c>
      <c r="J5859" s="4" t="s">
        <v>409</v>
      </c>
      <c r="K5859" s="13" t="n">
        <v>10</v>
      </c>
      <c r="L5859" s="6" t="n">
        <f aca="false">H5859*K5859</f>
        <v>10</v>
      </c>
      <c r="M5859" s="4" t="s">
        <v>371</v>
      </c>
    </row>
    <row r="5860" customFormat="false" ht="15" hidden="false" customHeight="false" outlineLevel="0" collapsed="false">
      <c r="A5860" s="4" t="s">
        <v>283</v>
      </c>
      <c r="B5860" s="5" t="s">
        <v>302</v>
      </c>
      <c r="C5860" s="5" t="s">
        <v>303</v>
      </c>
      <c r="D5860" s="4" t="s">
        <v>16</v>
      </c>
      <c r="E5860" s="4" t="s">
        <v>2471</v>
      </c>
      <c r="F5860" s="4" t="s">
        <v>488</v>
      </c>
      <c r="G5860" s="4" t="s">
        <v>2472</v>
      </c>
      <c r="H5860" s="12" t="n">
        <v>1</v>
      </c>
      <c r="I5860" s="4" t="s">
        <v>408</v>
      </c>
      <c r="J5860" s="4" t="s">
        <v>506</v>
      </c>
      <c r="K5860" s="13" t="n">
        <v>120</v>
      </c>
      <c r="L5860" s="6" t="n">
        <f aca="false">H5860*K5860</f>
        <v>120</v>
      </c>
      <c r="M5860" s="4" t="s">
        <v>371</v>
      </c>
    </row>
    <row r="5861" customFormat="false" ht="15" hidden="false" customHeight="false" outlineLevel="0" collapsed="false">
      <c r="A5861" s="4" t="s">
        <v>283</v>
      </c>
      <c r="B5861" s="5" t="s">
        <v>302</v>
      </c>
      <c r="C5861" s="5" t="s">
        <v>303</v>
      </c>
      <c r="D5861" s="4" t="s">
        <v>16</v>
      </c>
      <c r="E5861" s="4" t="s">
        <v>2325</v>
      </c>
      <c r="F5861" s="4" t="s">
        <v>488</v>
      </c>
      <c r="G5861" s="4" t="s">
        <v>2326</v>
      </c>
      <c r="H5861" s="12" t="n">
        <v>1</v>
      </c>
      <c r="I5861" s="4" t="s">
        <v>408</v>
      </c>
      <c r="J5861" s="4" t="s">
        <v>416</v>
      </c>
      <c r="K5861" s="13" t="n">
        <v>650</v>
      </c>
      <c r="L5861" s="6" t="n">
        <f aca="false">H5861*K5861</f>
        <v>650</v>
      </c>
      <c r="M5861" s="4" t="s">
        <v>371</v>
      </c>
    </row>
    <row r="5862" customFormat="false" ht="15" hidden="false" customHeight="false" outlineLevel="0" collapsed="false">
      <c r="A5862" s="4" t="s">
        <v>283</v>
      </c>
      <c r="B5862" s="5" t="s">
        <v>302</v>
      </c>
      <c r="C5862" s="5" t="s">
        <v>303</v>
      </c>
      <c r="D5862" s="4" t="s">
        <v>16</v>
      </c>
      <c r="E5862" s="4" t="s">
        <v>2327</v>
      </c>
      <c r="F5862" s="4" t="s">
        <v>488</v>
      </c>
      <c r="G5862" s="4" t="s">
        <v>2328</v>
      </c>
      <c r="H5862" s="12" t="n">
        <v>1</v>
      </c>
      <c r="I5862" s="4" t="s">
        <v>408</v>
      </c>
      <c r="J5862" s="4" t="s">
        <v>506</v>
      </c>
      <c r="K5862" s="13" t="n">
        <v>450</v>
      </c>
      <c r="L5862" s="6" t="n">
        <f aca="false">H5862*K5862</f>
        <v>450</v>
      </c>
      <c r="M5862" s="4" t="s">
        <v>371</v>
      </c>
    </row>
    <row r="5863" customFormat="false" ht="15" hidden="false" customHeight="false" outlineLevel="0" collapsed="false">
      <c r="A5863" s="4" t="s">
        <v>283</v>
      </c>
      <c r="B5863" s="5" t="s">
        <v>302</v>
      </c>
      <c r="C5863" s="5" t="s">
        <v>303</v>
      </c>
      <c r="D5863" s="4" t="s">
        <v>16</v>
      </c>
      <c r="E5863" s="4" t="s">
        <v>2483</v>
      </c>
      <c r="F5863" s="4" t="s">
        <v>488</v>
      </c>
      <c r="G5863" s="4" t="s">
        <v>2484</v>
      </c>
      <c r="H5863" s="12" t="n">
        <v>1</v>
      </c>
      <c r="I5863" s="4" t="s">
        <v>408</v>
      </c>
      <c r="J5863" s="4" t="s">
        <v>543</v>
      </c>
      <c r="K5863" s="13" t="n">
        <v>2500</v>
      </c>
      <c r="L5863" s="6" t="n">
        <f aca="false">H5863*K5863</f>
        <v>2500</v>
      </c>
      <c r="M5863" s="4" t="s">
        <v>371</v>
      </c>
    </row>
    <row r="5864" customFormat="false" ht="15" hidden="false" customHeight="false" outlineLevel="0" collapsed="false">
      <c r="A5864" s="4" t="s">
        <v>283</v>
      </c>
      <c r="B5864" s="5" t="s">
        <v>302</v>
      </c>
      <c r="C5864" s="5" t="s">
        <v>303</v>
      </c>
      <c r="D5864" s="4" t="s">
        <v>16</v>
      </c>
      <c r="E5864" s="4" t="s">
        <v>2473</v>
      </c>
      <c r="F5864" s="4" t="s">
        <v>470</v>
      </c>
      <c r="G5864" s="4" t="s">
        <v>2474</v>
      </c>
      <c r="H5864" s="12" t="n">
        <v>1</v>
      </c>
      <c r="I5864" s="4" t="s">
        <v>408</v>
      </c>
      <c r="J5864" s="4" t="s">
        <v>409</v>
      </c>
      <c r="K5864" s="13" t="n">
        <v>3500</v>
      </c>
      <c r="L5864" s="6" t="n">
        <f aca="false">H5864*K5864</f>
        <v>3500</v>
      </c>
      <c r="M5864" s="4" t="s">
        <v>371</v>
      </c>
    </row>
    <row r="5865" customFormat="false" ht="15" hidden="false" customHeight="false" outlineLevel="0" collapsed="false">
      <c r="A5865" s="4" t="s">
        <v>283</v>
      </c>
      <c r="B5865" s="5" t="s">
        <v>302</v>
      </c>
      <c r="C5865" s="5" t="s">
        <v>303</v>
      </c>
      <c r="D5865" s="4" t="s">
        <v>16</v>
      </c>
      <c r="E5865" s="4" t="s">
        <v>2475</v>
      </c>
      <c r="F5865" s="4" t="s">
        <v>470</v>
      </c>
      <c r="G5865" s="4" t="s">
        <v>2476</v>
      </c>
      <c r="H5865" s="12" t="n">
        <v>1</v>
      </c>
      <c r="I5865" s="4" t="s">
        <v>408</v>
      </c>
      <c r="J5865" s="4" t="s">
        <v>409</v>
      </c>
      <c r="K5865" s="13" t="n">
        <v>850</v>
      </c>
      <c r="L5865" s="6" t="n">
        <f aca="false">H5865*K5865</f>
        <v>850</v>
      </c>
      <c r="M5865" s="4" t="s">
        <v>371</v>
      </c>
    </row>
    <row r="5866" customFormat="false" ht="15" hidden="false" customHeight="false" outlineLevel="0" collapsed="false">
      <c r="A5866" s="4" t="s">
        <v>283</v>
      </c>
      <c r="B5866" s="5" t="s">
        <v>302</v>
      </c>
      <c r="C5866" s="5" t="s">
        <v>303</v>
      </c>
      <c r="D5866" s="4" t="s">
        <v>16</v>
      </c>
      <c r="E5866" s="4" t="s">
        <v>2461</v>
      </c>
      <c r="F5866" s="4" t="s">
        <v>470</v>
      </c>
      <c r="G5866" s="4" t="s">
        <v>2462</v>
      </c>
      <c r="H5866" s="12" t="n">
        <v>1</v>
      </c>
      <c r="I5866" s="4" t="s">
        <v>408</v>
      </c>
      <c r="J5866" s="4" t="s">
        <v>409</v>
      </c>
      <c r="K5866" s="13" t="n">
        <v>450</v>
      </c>
      <c r="L5866" s="6" t="n">
        <f aca="false">H5866*K5866</f>
        <v>450</v>
      </c>
      <c r="M5866" s="4" t="s">
        <v>371</v>
      </c>
    </row>
    <row r="5867" customFormat="false" ht="15" hidden="false" customHeight="false" outlineLevel="0" collapsed="false">
      <c r="A5867" s="4" t="s">
        <v>283</v>
      </c>
      <c r="B5867" s="5" t="s">
        <v>302</v>
      </c>
      <c r="C5867" s="5" t="s">
        <v>303</v>
      </c>
      <c r="D5867" s="4" t="s">
        <v>16</v>
      </c>
      <c r="E5867" s="4" t="s">
        <v>2459</v>
      </c>
      <c r="F5867" s="4" t="s">
        <v>470</v>
      </c>
      <c r="G5867" s="4" t="s">
        <v>2460</v>
      </c>
      <c r="H5867" s="12" t="n">
        <v>1</v>
      </c>
      <c r="I5867" s="4" t="s">
        <v>408</v>
      </c>
      <c r="J5867" s="4" t="s">
        <v>416</v>
      </c>
      <c r="K5867" s="13" t="n">
        <v>2500</v>
      </c>
      <c r="L5867" s="6" t="n">
        <f aca="false">H5867*K5867</f>
        <v>2500</v>
      </c>
      <c r="M5867" s="4" t="s">
        <v>371</v>
      </c>
    </row>
    <row r="5868" customFormat="false" ht="15" hidden="false" customHeight="false" outlineLevel="0" collapsed="false">
      <c r="A5868" s="4" t="s">
        <v>283</v>
      </c>
      <c r="B5868" s="5" t="s">
        <v>302</v>
      </c>
      <c r="C5868" s="5" t="s">
        <v>303</v>
      </c>
      <c r="D5868" s="4" t="s">
        <v>16</v>
      </c>
      <c r="E5868" s="4" t="s">
        <v>2463</v>
      </c>
      <c r="F5868" s="4" t="s">
        <v>470</v>
      </c>
      <c r="G5868" s="4" t="s">
        <v>2464</v>
      </c>
      <c r="H5868" s="12" t="n">
        <v>1</v>
      </c>
      <c r="I5868" s="4" t="s">
        <v>408</v>
      </c>
      <c r="J5868" s="4" t="s">
        <v>409</v>
      </c>
      <c r="K5868" s="13" t="n">
        <v>35</v>
      </c>
      <c r="L5868" s="6" t="n">
        <f aca="false">H5868*K5868</f>
        <v>35</v>
      </c>
      <c r="M5868" s="4" t="s">
        <v>371</v>
      </c>
    </row>
    <row r="5869" customFormat="false" ht="15" hidden="false" customHeight="false" outlineLevel="0" collapsed="false">
      <c r="A5869" s="4" t="s">
        <v>283</v>
      </c>
      <c r="B5869" s="5" t="s">
        <v>302</v>
      </c>
      <c r="C5869" s="5" t="s">
        <v>303</v>
      </c>
      <c r="D5869" s="4" t="s">
        <v>16</v>
      </c>
      <c r="E5869" s="4" t="s">
        <v>2339</v>
      </c>
      <c r="F5869" s="4" t="s">
        <v>470</v>
      </c>
      <c r="G5869" s="4" t="s">
        <v>2340</v>
      </c>
      <c r="H5869" s="12" t="n">
        <v>1</v>
      </c>
      <c r="I5869" s="4" t="s">
        <v>408</v>
      </c>
      <c r="J5869" s="4" t="s">
        <v>416</v>
      </c>
      <c r="K5869" s="13" t="n">
        <v>8500</v>
      </c>
      <c r="L5869" s="6" t="n">
        <f aca="false">H5869*K5869</f>
        <v>8500</v>
      </c>
      <c r="M5869" s="14" t="s">
        <v>410</v>
      </c>
    </row>
    <row r="5870" customFormat="false" ht="15" hidden="false" customHeight="false" outlineLevel="0" collapsed="false">
      <c r="A5870" s="4" t="s">
        <v>304</v>
      </c>
      <c r="B5870" s="5" t="s">
        <v>305</v>
      </c>
      <c r="C5870" s="5" t="s">
        <v>306</v>
      </c>
      <c r="D5870" s="4" t="s">
        <v>16</v>
      </c>
      <c r="E5870" s="4" t="s">
        <v>6308</v>
      </c>
      <c r="F5870" s="4" t="s">
        <v>406</v>
      </c>
      <c r="G5870" s="4" t="s">
        <v>6309</v>
      </c>
      <c r="H5870" s="12" t="n">
        <v>1</v>
      </c>
      <c r="I5870" s="4" t="s">
        <v>408</v>
      </c>
      <c r="J5870" s="4" t="s">
        <v>416</v>
      </c>
      <c r="K5870" s="13" t="n">
        <v>12000</v>
      </c>
      <c r="L5870" s="6" t="n">
        <f aca="false">H5870*K5870</f>
        <v>12000</v>
      </c>
      <c r="M5870" s="4" t="s">
        <v>371</v>
      </c>
    </row>
    <row r="5871" customFormat="false" ht="15" hidden="false" customHeight="false" outlineLevel="0" collapsed="false">
      <c r="A5871" s="4" t="s">
        <v>304</v>
      </c>
      <c r="B5871" s="5" t="s">
        <v>305</v>
      </c>
      <c r="C5871" s="5" t="s">
        <v>306</v>
      </c>
      <c r="D5871" s="4" t="s">
        <v>16</v>
      </c>
      <c r="E5871" s="4" t="s">
        <v>6310</v>
      </c>
      <c r="F5871" s="4" t="s">
        <v>406</v>
      </c>
      <c r="G5871" s="4" t="s">
        <v>6311</v>
      </c>
      <c r="H5871" s="12" t="n">
        <v>1</v>
      </c>
      <c r="I5871" s="4" t="s">
        <v>474</v>
      </c>
      <c r="J5871" s="4" t="s">
        <v>409</v>
      </c>
      <c r="K5871" s="13" t="n">
        <v>25000</v>
      </c>
      <c r="L5871" s="6" t="n">
        <f aca="false">H5871*K5871</f>
        <v>25000</v>
      </c>
      <c r="M5871" s="14" t="s">
        <v>410</v>
      </c>
    </row>
    <row r="5872" customFormat="false" ht="15" hidden="false" customHeight="false" outlineLevel="0" collapsed="false">
      <c r="A5872" s="4" t="s">
        <v>304</v>
      </c>
      <c r="B5872" s="5" t="s">
        <v>305</v>
      </c>
      <c r="C5872" s="5" t="s">
        <v>306</v>
      </c>
      <c r="D5872" s="4" t="s">
        <v>16</v>
      </c>
      <c r="E5872" s="4" t="s">
        <v>6312</v>
      </c>
      <c r="F5872" s="4" t="s">
        <v>470</v>
      </c>
      <c r="G5872" s="4" t="s">
        <v>6313</v>
      </c>
      <c r="H5872" s="12" t="n">
        <v>1</v>
      </c>
      <c r="I5872" s="4" t="s">
        <v>408</v>
      </c>
      <c r="J5872" s="4" t="s">
        <v>543</v>
      </c>
      <c r="K5872" s="13" t="n">
        <v>5000</v>
      </c>
      <c r="L5872" s="6" t="n">
        <f aca="false">H5872*K5872</f>
        <v>5000</v>
      </c>
      <c r="M5872" s="4" t="s">
        <v>371</v>
      </c>
    </row>
    <row r="5873" customFormat="false" ht="15" hidden="false" customHeight="false" outlineLevel="0" collapsed="false">
      <c r="A5873" s="4" t="s">
        <v>304</v>
      </c>
      <c r="B5873" s="5" t="s">
        <v>307</v>
      </c>
      <c r="C5873" s="5" t="s">
        <v>308</v>
      </c>
      <c r="D5873" s="4" t="s">
        <v>16</v>
      </c>
      <c r="E5873" s="4" t="s">
        <v>6314</v>
      </c>
      <c r="F5873" s="4" t="s">
        <v>406</v>
      </c>
      <c r="G5873" s="4" t="s">
        <v>6315</v>
      </c>
      <c r="H5873" s="12" t="n">
        <v>2</v>
      </c>
      <c r="I5873" s="4" t="s">
        <v>474</v>
      </c>
      <c r="J5873" s="4" t="s">
        <v>409</v>
      </c>
      <c r="K5873" s="13" t="n">
        <v>450</v>
      </c>
      <c r="L5873" s="6" t="n">
        <f aca="false">H5873*K5873</f>
        <v>900</v>
      </c>
      <c r="M5873" s="14" t="s">
        <v>410</v>
      </c>
    </row>
    <row r="5874" customFormat="false" ht="15" hidden="false" customHeight="false" outlineLevel="0" collapsed="false">
      <c r="A5874" s="4" t="s">
        <v>304</v>
      </c>
      <c r="B5874" s="5" t="s">
        <v>307</v>
      </c>
      <c r="C5874" s="5" t="s">
        <v>308</v>
      </c>
      <c r="D5874" s="4" t="s">
        <v>16</v>
      </c>
      <c r="E5874" s="4" t="s">
        <v>777</v>
      </c>
      <c r="F5874" s="4" t="s">
        <v>406</v>
      </c>
      <c r="G5874" s="4" t="s">
        <v>778</v>
      </c>
      <c r="H5874" s="12" t="n">
        <v>5</v>
      </c>
      <c r="I5874" s="4" t="s">
        <v>474</v>
      </c>
      <c r="J5874" s="4" t="s">
        <v>409</v>
      </c>
      <c r="K5874" s="13" t="n">
        <v>120</v>
      </c>
      <c r="L5874" s="6" t="n">
        <f aca="false">H5874*K5874</f>
        <v>600</v>
      </c>
      <c r="M5874" s="14" t="s">
        <v>410</v>
      </c>
    </row>
    <row r="5875" customFormat="false" ht="15" hidden="false" customHeight="false" outlineLevel="0" collapsed="false">
      <c r="A5875" s="4" t="s">
        <v>304</v>
      </c>
      <c r="B5875" s="5" t="s">
        <v>307</v>
      </c>
      <c r="C5875" s="5" t="s">
        <v>308</v>
      </c>
      <c r="D5875" s="4" t="s">
        <v>16</v>
      </c>
      <c r="E5875" s="4" t="s">
        <v>6316</v>
      </c>
      <c r="F5875" s="4" t="s">
        <v>406</v>
      </c>
      <c r="G5875" s="4" t="s">
        <v>6317</v>
      </c>
      <c r="H5875" s="12" t="n">
        <v>20</v>
      </c>
      <c r="I5875" s="4" t="s">
        <v>474</v>
      </c>
      <c r="J5875" s="4" t="s">
        <v>409</v>
      </c>
      <c r="K5875" s="13" t="n">
        <v>650</v>
      </c>
      <c r="L5875" s="6" t="n">
        <f aca="false">H5875*K5875</f>
        <v>13000</v>
      </c>
      <c r="M5875" s="14" t="s">
        <v>410</v>
      </c>
    </row>
    <row r="5876" customFormat="false" ht="15" hidden="false" customHeight="false" outlineLevel="0" collapsed="false">
      <c r="A5876" s="4" t="s">
        <v>304</v>
      </c>
      <c r="B5876" s="5" t="s">
        <v>307</v>
      </c>
      <c r="C5876" s="5" t="s">
        <v>308</v>
      </c>
      <c r="D5876" s="4" t="s">
        <v>16</v>
      </c>
      <c r="E5876" s="4" t="s">
        <v>6318</v>
      </c>
      <c r="F5876" s="4" t="s">
        <v>406</v>
      </c>
      <c r="G5876" s="4" t="s">
        <v>6319</v>
      </c>
      <c r="H5876" s="12" t="n">
        <v>10</v>
      </c>
      <c r="I5876" s="4" t="s">
        <v>474</v>
      </c>
      <c r="J5876" s="4" t="s">
        <v>475</v>
      </c>
      <c r="K5876" s="13" t="n">
        <v>2500</v>
      </c>
      <c r="L5876" s="6" t="n">
        <f aca="false">H5876*K5876</f>
        <v>25000</v>
      </c>
      <c r="M5876" s="14" t="s">
        <v>410</v>
      </c>
    </row>
    <row r="5877" customFormat="false" ht="15" hidden="false" customHeight="false" outlineLevel="0" collapsed="false">
      <c r="A5877" s="4" t="s">
        <v>304</v>
      </c>
      <c r="B5877" s="5" t="s">
        <v>307</v>
      </c>
      <c r="C5877" s="5" t="s">
        <v>308</v>
      </c>
      <c r="D5877" s="4" t="s">
        <v>16</v>
      </c>
      <c r="E5877" s="4" t="s">
        <v>6320</v>
      </c>
      <c r="F5877" s="4" t="s">
        <v>406</v>
      </c>
      <c r="G5877" s="4" t="s">
        <v>6321</v>
      </c>
      <c r="H5877" s="12" t="n">
        <v>2</v>
      </c>
      <c r="I5877" s="4" t="s">
        <v>474</v>
      </c>
      <c r="J5877" s="4" t="s">
        <v>416</v>
      </c>
      <c r="K5877" s="13" t="n">
        <v>8500</v>
      </c>
      <c r="L5877" s="6" t="n">
        <f aca="false">H5877*K5877</f>
        <v>17000</v>
      </c>
      <c r="M5877" s="14" t="s">
        <v>410</v>
      </c>
    </row>
    <row r="5878" customFormat="false" ht="15" hidden="false" customHeight="false" outlineLevel="0" collapsed="false">
      <c r="A5878" s="4" t="s">
        <v>304</v>
      </c>
      <c r="B5878" s="5" t="s">
        <v>307</v>
      </c>
      <c r="C5878" s="5" t="s">
        <v>308</v>
      </c>
      <c r="D5878" s="4" t="s">
        <v>16</v>
      </c>
      <c r="E5878" s="4" t="s">
        <v>6322</v>
      </c>
      <c r="F5878" s="4" t="s">
        <v>406</v>
      </c>
      <c r="G5878" s="4" t="s">
        <v>6323</v>
      </c>
      <c r="H5878" s="12" t="n">
        <v>6</v>
      </c>
      <c r="I5878" s="4" t="s">
        <v>474</v>
      </c>
      <c r="J5878" s="4" t="s">
        <v>475</v>
      </c>
      <c r="K5878" s="13" t="n">
        <v>2500</v>
      </c>
      <c r="L5878" s="6" t="n">
        <f aca="false">H5878*K5878</f>
        <v>15000</v>
      </c>
      <c r="M5878" s="14" t="s">
        <v>410</v>
      </c>
    </row>
    <row r="5879" customFormat="false" ht="15" hidden="false" customHeight="false" outlineLevel="0" collapsed="false">
      <c r="A5879" s="4" t="s">
        <v>304</v>
      </c>
      <c r="B5879" s="5" t="s">
        <v>307</v>
      </c>
      <c r="C5879" s="5" t="s">
        <v>308</v>
      </c>
      <c r="D5879" s="4" t="s">
        <v>16</v>
      </c>
      <c r="E5879" s="4" t="s">
        <v>6324</v>
      </c>
      <c r="F5879" s="4" t="s">
        <v>406</v>
      </c>
      <c r="G5879" s="4" t="s">
        <v>6325</v>
      </c>
      <c r="H5879" s="12" t="n">
        <v>10</v>
      </c>
      <c r="I5879" s="4" t="s">
        <v>474</v>
      </c>
      <c r="J5879" s="4" t="s">
        <v>416</v>
      </c>
      <c r="K5879" s="13" t="n">
        <v>850</v>
      </c>
      <c r="L5879" s="6" t="n">
        <f aca="false">H5879*K5879</f>
        <v>8500</v>
      </c>
      <c r="M5879" s="14" t="s">
        <v>410</v>
      </c>
    </row>
    <row r="5880" customFormat="false" ht="15" hidden="false" customHeight="false" outlineLevel="0" collapsed="false">
      <c r="A5880" s="4" t="s">
        <v>304</v>
      </c>
      <c r="B5880" s="5" t="s">
        <v>307</v>
      </c>
      <c r="C5880" s="5" t="s">
        <v>308</v>
      </c>
      <c r="D5880" s="4" t="s">
        <v>16</v>
      </c>
      <c r="E5880" s="4" t="s">
        <v>6326</v>
      </c>
      <c r="F5880" s="4" t="s">
        <v>406</v>
      </c>
      <c r="G5880" s="4" t="s">
        <v>6327</v>
      </c>
      <c r="H5880" s="12" t="n">
        <v>5</v>
      </c>
      <c r="I5880" s="4" t="s">
        <v>474</v>
      </c>
      <c r="J5880" s="4" t="s">
        <v>416</v>
      </c>
      <c r="K5880" s="13" t="n">
        <v>850</v>
      </c>
      <c r="L5880" s="6" t="n">
        <f aca="false">H5880*K5880</f>
        <v>4250</v>
      </c>
      <c r="M5880" s="14" t="s">
        <v>410</v>
      </c>
    </row>
    <row r="5881" customFormat="false" ht="15" hidden="false" customHeight="false" outlineLevel="0" collapsed="false">
      <c r="A5881" s="4" t="s">
        <v>304</v>
      </c>
      <c r="B5881" s="5" t="s">
        <v>307</v>
      </c>
      <c r="C5881" s="5" t="s">
        <v>308</v>
      </c>
      <c r="D5881" s="4" t="s">
        <v>16</v>
      </c>
      <c r="E5881" s="4" t="s">
        <v>6328</v>
      </c>
      <c r="F5881" s="4" t="s">
        <v>406</v>
      </c>
      <c r="G5881" s="4" t="s">
        <v>6329</v>
      </c>
      <c r="H5881" s="12" t="n">
        <v>5</v>
      </c>
      <c r="I5881" s="4" t="s">
        <v>474</v>
      </c>
      <c r="J5881" s="4" t="s">
        <v>409</v>
      </c>
      <c r="K5881" s="13" t="n">
        <v>850</v>
      </c>
      <c r="L5881" s="6" t="n">
        <f aca="false">H5881*K5881</f>
        <v>4250</v>
      </c>
      <c r="M5881" s="14" t="s">
        <v>410</v>
      </c>
    </row>
    <row r="5882" customFormat="false" ht="15" hidden="false" customHeight="false" outlineLevel="0" collapsed="false">
      <c r="A5882" s="4" t="s">
        <v>304</v>
      </c>
      <c r="B5882" s="5" t="s">
        <v>307</v>
      </c>
      <c r="C5882" s="5" t="s">
        <v>308</v>
      </c>
      <c r="D5882" s="4" t="s">
        <v>16</v>
      </c>
      <c r="E5882" s="4" t="s">
        <v>6330</v>
      </c>
      <c r="F5882" s="4" t="s">
        <v>406</v>
      </c>
      <c r="G5882" s="4" t="s">
        <v>6331</v>
      </c>
      <c r="H5882" s="12" t="n">
        <v>5</v>
      </c>
      <c r="I5882" s="4" t="s">
        <v>474</v>
      </c>
      <c r="J5882" s="4" t="s">
        <v>409</v>
      </c>
      <c r="K5882" s="13" t="n">
        <v>1200</v>
      </c>
      <c r="L5882" s="6" t="n">
        <f aca="false">H5882*K5882</f>
        <v>6000</v>
      </c>
      <c r="M5882" s="14" t="s">
        <v>410</v>
      </c>
    </row>
    <row r="5883" customFormat="false" ht="15" hidden="false" customHeight="false" outlineLevel="0" collapsed="false">
      <c r="A5883" s="4" t="s">
        <v>304</v>
      </c>
      <c r="B5883" s="5" t="s">
        <v>307</v>
      </c>
      <c r="C5883" s="5" t="s">
        <v>308</v>
      </c>
      <c r="D5883" s="4" t="s">
        <v>16</v>
      </c>
      <c r="E5883" s="4" t="s">
        <v>6332</v>
      </c>
      <c r="F5883" s="4" t="s">
        <v>406</v>
      </c>
      <c r="G5883" s="4" t="s">
        <v>6333</v>
      </c>
      <c r="H5883" s="12" t="n">
        <v>10</v>
      </c>
      <c r="I5883" s="4" t="s">
        <v>474</v>
      </c>
      <c r="J5883" s="4" t="s">
        <v>409</v>
      </c>
      <c r="K5883" s="13" t="n">
        <v>180</v>
      </c>
      <c r="L5883" s="6" t="n">
        <f aca="false">H5883*K5883</f>
        <v>1800</v>
      </c>
      <c r="M5883" s="14" t="s">
        <v>410</v>
      </c>
    </row>
    <row r="5884" customFormat="false" ht="15" hidden="false" customHeight="false" outlineLevel="0" collapsed="false">
      <c r="A5884" s="4" t="s">
        <v>304</v>
      </c>
      <c r="B5884" s="5" t="s">
        <v>307</v>
      </c>
      <c r="C5884" s="5" t="s">
        <v>308</v>
      </c>
      <c r="D5884" s="4" t="s">
        <v>16</v>
      </c>
      <c r="E5884" s="4" t="s">
        <v>6334</v>
      </c>
      <c r="F5884" s="4" t="s">
        <v>406</v>
      </c>
      <c r="G5884" s="4" t="s">
        <v>6335</v>
      </c>
      <c r="H5884" s="12" t="n">
        <v>2</v>
      </c>
      <c r="I5884" s="4" t="s">
        <v>474</v>
      </c>
      <c r="J5884" s="4" t="s">
        <v>416</v>
      </c>
      <c r="K5884" s="13" t="n">
        <v>850</v>
      </c>
      <c r="L5884" s="6" t="n">
        <f aca="false">H5884*K5884</f>
        <v>1700</v>
      </c>
      <c r="M5884" s="14" t="s">
        <v>410</v>
      </c>
    </row>
    <row r="5885" customFormat="false" ht="15" hidden="false" customHeight="false" outlineLevel="0" collapsed="false">
      <c r="A5885" s="4" t="s">
        <v>304</v>
      </c>
      <c r="B5885" s="5" t="s">
        <v>307</v>
      </c>
      <c r="C5885" s="5" t="s">
        <v>308</v>
      </c>
      <c r="D5885" s="4" t="s">
        <v>16</v>
      </c>
      <c r="E5885" s="4" t="s">
        <v>6336</v>
      </c>
      <c r="F5885" s="4" t="s">
        <v>406</v>
      </c>
      <c r="G5885" s="4" t="s">
        <v>6337</v>
      </c>
      <c r="H5885" s="12" t="n">
        <v>20</v>
      </c>
      <c r="I5885" s="4" t="s">
        <v>474</v>
      </c>
      <c r="J5885" s="4" t="s">
        <v>416</v>
      </c>
      <c r="K5885" s="13" t="n">
        <v>850</v>
      </c>
      <c r="L5885" s="6" t="n">
        <f aca="false">H5885*K5885</f>
        <v>17000</v>
      </c>
      <c r="M5885" s="14" t="s">
        <v>410</v>
      </c>
    </row>
    <row r="5886" customFormat="false" ht="15" hidden="false" customHeight="false" outlineLevel="0" collapsed="false">
      <c r="A5886" s="4" t="s">
        <v>304</v>
      </c>
      <c r="B5886" s="5" t="s">
        <v>307</v>
      </c>
      <c r="C5886" s="5" t="s">
        <v>308</v>
      </c>
      <c r="D5886" s="4" t="s">
        <v>16</v>
      </c>
      <c r="E5886" s="4" t="s">
        <v>6338</v>
      </c>
      <c r="F5886" s="4" t="s">
        <v>406</v>
      </c>
      <c r="G5886" s="4" t="s">
        <v>6339</v>
      </c>
      <c r="H5886" s="12" t="n">
        <v>6</v>
      </c>
      <c r="I5886" s="4" t="s">
        <v>474</v>
      </c>
      <c r="J5886" s="4" t="s">
        <v>416</v>
      </c>
      <c r="K5886" s="13" t="n">
        <v>1800</v>
      </c>
      <c r="L5886" s="6" t="n">
        <f aca="false">H5886*K5886</f>
        <v>10800</v>
      </c>
      <c r="M5886" s="14" t="s">
        <v>410</v>
      </c>
    </row>
    <row r="5887" customFormat="false" ht="15" hidden="false" customHeight="false" outlineLevel="0" collapsed="false">
      <c r="A5887" s="4" t="s">
        <v>304</v>
      </c>
      <c r="B5887" s="5" t="s">
        <v>307</v>
      </c>
      <c r="C5887" s="5" t="s">
        <v>308</v>
      </c>
      <c r="D5887" s="4" t="s">
        <v>16</v>
      </c>
      <c r="E5887" s="4" t="s">
        <v>6340</v>
      </c>
      <c r="F5887" s="4" t="s">
        <v>406</v>
      </c>
      <c r="G5887" s="4" t="s">
        <v>6341</v>
      </c>
      <c r="H5887" s="12" t="n">
        <v>4</v>
      </c>
      <c r="I5887" s="4" t="s">
        <v>474</v>
      </c>
      <c r="J5887" s="4" t="s">
        <v>409</v>
      </c>
      <c r="K5887" s="13" t="n">
        <v>2500</v>
      </c>
      <c r="L5887" s="6" t="n">
        <f aca="false">H5887*K5887</f>
        <v>10000</v>
      </c>
      <c r="M5887" s="14" t="s">
        <v>410</v>
      </c>
    </row>
    <row r="5888" customFormat="false" ht="15" hidden="false" customHeight="false" outlineLevel="0" collapsed="false">
      <c r="A5888" s="4" t="s">
        <v>304</v>
      </c>
      <c r="B5888" s="5" t="s">
        <v>307</v>
      </c>
      <c r="C5888" s="5" t="s">
        <v>308</v>
      </c>
      <c r="D5888" s="4" t="s">
        <v>16</v>
      </c>
      <c r="E5888" s="4" t="s">
        <v>6342</v>
      </c>
      <c r="F5888" s="4" t="s">
        <v>406</v>
      </c>
      <c r="G5888" s="4" t="s">
        <v>6343</v>
      </c>
      <c r="H5888" s="12" t="n">
        <v>2</v>
      </c>
      <c r="I5888" s="4" t="s">
        <v>474</v>
      </c>
      <c r="J5888" s="4" t="s">
        <v>409</v>
      </c>
      <c r="K5888" s="13" t="n">
        <v>1800</v>
      </c>
      <c r="L5888" s="6" t="n">
        <f aca="false">H5888*K5888</f>
        <v>3600</v>
      </c>
      <c r="M5888" s="14" t="s">
        <v>410</v>
      </c>
    </row>
    <row r="5889" customFormat="false" ht="15" hidden="false" customHeight="false" outlineLevel="0" collapsed="false">
      <c r="A5889" s="4" t="s">
        <v>304</v>
      </c>
      <c r="B5889" s="5" t="s">
        <v>307</v>
      </c>
      <c r="C5889" s="5" t="s">
        <v>308</v>
      </c>
      <c r="D5889" s="4" t="s">
        <v>16</v>
      </c>
      <c r="E5889" s="4" t="s">
        <v>6344</v>
      </c>
      <c r="F5889" s="4" t="s">
        <v>406</v>
      </c>
      <c r="G5889" s="4" t="s">
        <v>6345</v>
      </c>
      <c r="H5889" s="12" t="n">
        <v>5</v>
      </c>
      <c r="I5889" s="4" t="s">
        <v>474</v>
      </c>
      <c r="J5889" s="4" t="s">
        <v>409</v>
      </c>
      <c r="K5889" s="13" t="n">
        <v>850</v>
      </c>
      <c r="L5889" s="6" t="n">
        <f aca="false">H5889*K5889</f>
        <v>4250</v>
      </c>
      <c r="M5889" s="14" t="s">
        <v>410</v>
      </c>
    </row>
    <row r="5890" customFormat="false" ht="15" hidden="false" customHeight="false" outlineLevel="0" collapsed="false">
      <c r="A5890" s="4" t="s">
        <v>304</v>
      </c>
      <c r="B5890" s="5" t="s">
        <v>307</v>
      </c>
      <c r="C5890" s="5" t="s">
        <v>308</v>
      </c>
      <c r="D5890" s="4" t="s">
        <v>16</v>
      </c>
      <c r="E5890" s="4" t="s">
        <v>6346</v>
      </c>
      <c r="F5890" s="4" t="s">
        <v>406</v>
      </c>
      <c r="G5890" s="4" t="s">
        <v>6347</v>
      </c>
      <c r="H5890" s="12" t="n">
        <v>1</v>
      </c>
      <c r="I5890" s="4" t="s">
        <v>474</v>
      </c>
      <c r="J5890" s="4" t="s">
        <v>409</v>
      </c>
      <c r="K5890" s="13" t="n">
        <v>3500</v>
      </c>
      <c r="L5890" s="6" t="n">
        <f aca="false">H5890*K5890</f>
        <v>3500</v>
      </c>
      <c r="M5890" s="14" t="s">
        <v>410</v>
      </c>
    </row>
    <row r="5891" customFormat="false" ht="15" hidden="false" customHeight="false" outlineLevel="0" collapsed="false">
      <c r="A5891" s="4" t="s">
        <v>304</v>
      </c>
      <c r="B5891" s="5" t="s">
        <v>307</v>
      </c>
      <c r="C5891" s="5" t="s">
        <v>308</v>
      </c>
      <c r="D5891" s="4" t="s">
        <v>16</v>
      </c>
      <c r="E5891" s="4" t="s">
        <v>6348</v>
      </c>
      <c r="F5891" s="4" t="s">
        <v>406</v>
      </c>
      <c r="G5891" s="4" t="s">
        <v>6349</v>
      </c>
      <c r="H5891" s="12" t="n">
        <v>10</v>
      </c>
      <c r="I5891" s="4" t="s">
        <v>474</v>
      </c>
      <c r="J5891" s="4" t="s">
        <v>416</v>
      </c>
      <c r="K5891" s="13" t="n">
        <v>850</v>
      </c>
      <c r="L5891" s="6" t="n">
        <f aca="false">H5891*K5891</f>
        <v>8500</v>
      </c>
      <c r="M5891" s="14" t="s">
        <v>410</v>
      </c>
    </row>
    <row r="5892" customFormat="false" ht="15" hidden="false" customHeight="false" outlineLevel="0" collapsed="false">
      <c r="A5892" s="4" t="s">
        <v>304</v>
      </c>
      <c r="B5892" s="5" t="s">
        <v>307</v>
      </c>
      <c r="C5892" s="5" t="s">
        <v>308</v>
      </c>
      <c r="D5892" s="4" t="s">
        <v>16</v>
      </c>
      <c r="E5892" s="4" t="s">
        <v>6350</v>
      </c>
      <c r="F5892" s="4" t="s">
        <v>406</v>
      </c>
      <c r="G5892" s="4" t="s">
        <v>6351</v>
      </c>
      <c r="H5892" s="12" t="n">
        <v>5</v>
      </c>
      <c r="I5892" s="4" t="s">
        <v>474</v>
      </c>
      <c r="J5892" s="4" t="s">
        <v>475</v>
      </c>
      <c r="K5892" s="13" t="n">
        <v>850</v>
      </c>
      <c r="L5892" s="6" t="n">
        <f aca="false">H5892*K5892</f>
        <v>4250</v>
      </c>
      <c r="M5892" s="14" t="s">
        <v>410</v>
      </c>
    </row>
    <row r="5893" customFormat="false" ht="15" hidden="false" customHeight="false" outlineLevel="0" collapsed="false">
      <c r="A5893" s="4" t="s">
        <v>304</v>
      </c>
      <c r="B5893" s="5" t="s">
        <v>307</v>
      </c>
      <c r="C5893" s="5" t="s">
        <v>308</v>
      </c>
      <c r="D5893" s="4" t="s">
        <v>16</v>
      </c>
      <c r="E5893" s="4" t="s">
        <v>6352</v>
      </c>
      <c r="F5893" s="4" t="s">
        <v>406</v>
      </c>
      <c r="G5893" s="4" t="s">
        <v>6353</v>
      </c>
      <c r="H5893" s="12" t="n">
        <v>3</v>
      </c>
      <c r="I5893" s="4" t="s">
        <v>474</v>
      </c>
      <c r="J5893" s="4" t="s">
        <v>409</v>
      </c>
      <c r="K5893" s="13" t="n">
        <v>850</v>
      </c>
      <c r="L5893" s="6" t="n">
        <f aca="false">H5893*K5893</f>
        <v>2550</v>
      </c>
      <c r="M5893" s="14" t="s">
        <v>410</v>
      </c>
    </row>
    <row r="5894" customFormat="false" ht="15" hidden="false" customHeight="false" outlineLevel="0" collapsed="false">
      <c r="A5894" s="4" t="s">
        <v>304</v>
      </c>
      <c r="B5894" s="5" t="s">
        <v>307</v>
      </c>
      <c r="C5894" s="5" t="s">
        <v>308</v>
      </c>
      <c r="D5894" s="4" t="s">
        <v>16</v>
      </c>
      <c r="E5894" s="4" t="s">
        <v>6354</v>
      </c>
      <c r="F5894" s="4" t="s">
        <v>406</v>
      </c>
      <c r="G5894" s="4" t="s">
        <v>6355</v>
      </c>
      <c r="H5894" s="12" t="n">
        <v>5</v>
      </c>
      <c r="I5894" s="4" t="s">
        <v>474</v>
      </c>
      <c r="J5894" s="4" t="s">
        <v>475</v>
      </c>
      <c r="K5894" s="13" t="n">
        <v>650</v>
      </c>
      <c r="L5894" s="6" t="n">
        <f aca="false">H5894*K5894</f>
        <v>3250</v>
      </c>
      <c r="M5894" s="14" t="s">
        <v>410</v>
      </c>
    </row>
    <row r="5895" customFormat="false" ht="15" hidden="false" customHeight="false" outlineLevel="0" collapsed="false">
      <c r="A5895" s="4" t="s">
        <v>304</v>
      </c>
      <c r="B5895" s="5" t="s">
        <v>307</v>
      </c>
      <c r="C5895" s="5" t="s">
        <v>308</v>
      </c>
      <c r="D5895" s="4" t="s">
        <v>16</v>
      </c>
      <c r="E5895" s="4" t="s">
        <v>4494</v>
      </c>
      <c r="F5895" s="4" t="s">
        <v>406</v>
      </c>
      <c r="G5895" s="4" t="s">
        <v>4495</v>
      </c>
      <c r="H5895" s="12" t="n">
        <v>1</v>
      </c>
      <c r="I5895" s="4" t="s">
        <v>474</v>
      </c>
      <c r="J5895" s="4" t="s">
        <v>409</v>
      </c>
      <c r="K5895" s="13" t="n">
        <v>1800</v>
      </c>
      <c r="L5895" s="6" t="n">
        <f aca="false">H5895*K5895</f>
        <v>1800</v>
      </c>
      <c r="M5895" s="14" t="s">
        <v>410</v>
      </c>
    </row>
    <row r="5896" customFormat="false" ht="15" hidden="false" customHeight="false" outlineLevel="0" collapsed="false">
      <c r="A5896" s="4" t="s">
        <v>304</v>
      </c>
      <c r="B5896" s="5" t="s">
        <v>307</v>
      </c>
      <c r="C5896" s="5" t="s">
        <v>308</v>
      </c>
      <c r="D5896" s="4" t="s">
        <v>16</v>
      </c>
      <c r="E5896" s="4" t="s">
        <v>6356</v>
      </c>
      <c r="F5896" s="4" t="s">
        <v>406</v>
      </c>
      <c r="G5896" s="4" t="s">
        <v>6357</v>
      </c>
      <c r="H5896" s="12" t="n">
        <v>1</v>
      </c>
      <c r="I5896" s="4" t="s">
        <v>474</v>
      </c>
      <c r="J5896" s="4" t="s">
        <v>409</v>
      </c>
      <c r="K5896" s="13" t="n">
        <v>3500</v>
      </c>
      <c r="L5896" s="6" t="n">
        <f aca="false">H5896*K5896</f>
        <v>3500</v>
      </c>
      <c r="M5896" s="14" t="s">
        <v>410</v>
      </c>
    </row>
    <row r="5897" customFormat="false" ht="15" hidden="false" customHeight="false" outlineLevel="0" collapsed="false">
      <c r="A5897" s="4" t="s">
        <v>304</v>
      </c>
      <c r="B5897" s="5" t="s">
        <v>307</v>
      </c>
      <c r="C5897" s="5" t="s">
        <v>308</v>
      </c>
      <c r="D5897" s="4" t="s">
        <v>16</v>
      </c>
      <c r="E5897" s="4" t="s">
        <v>6358</v>
      </c>
      <c r="F5897" s="4" t="s">
        <v>406</v>
      </c>
      <c r="G5897" s="4" t="s">
        <v>1967</v>
      </c>
      <c r="H5897" s="12" t="n">
        <v>3</v>
      </c>
      <c r="I5897" s="4" t="s">
        <v>474</v>
      </c>
      <c r="J5897" s="4" t="s">
        <v>409</v>
      </c>
      <c r="K5897" s="13" t="n">
        <v>650</v>
      </c>
      <c r="L5897" s="6" t="n">
        <f aca="false">H5897*K5897</f>
        <v>1950</v>
      </c>
      <c r="M5897" s="14" t="s">
        <v>410</v>
      </c>
    </row>
    <row r="5898" customFormat="false" ht="15" hidden="false" customHeight="false" outlineLevel="0" collapsed="false">
      <c r="A5898" s="4" t="s">
        <v>304</v>
      </c>
      <c r="B5898" s="5" t="s">
        <v>307</v>
      </c>
      <c r="C5898" s="5" t="s">
        <v>308</v>
      </c>
      <c r="D5898" s="4" t="s">
        <v>16</v>
      </c>
      <c r="E5898" s="4" t="s">
        <v>6359</v>
      </c>
      <c r="F5898" s="4" t="s">
        <v>406</v>
      </c>
      <c r="G5898" s="4" t="s">
        <v>6360</v>
      </c>
      <c r="H5898" s="12" t="n">
        <v>3</v>
      </c>
      <c r="I5898" s="4" t="s">
        <v>474</v>
      </c>
      <c r="J5898" s="4" t="s">
        <v>409</v>
      </c>
      <c r="K5898" s="13" t="n">
        <v>4500</v>
      </c>
      <c r="L5898" s="6" t="n">
        <f aca="false">H5898*K5898</f>
        <v>13500</v>
      </c>
      <c r="M5898" s="14" t="s">
        <v>410</v>
      </c>
    </row>
    <row r="5899" customFormat="false" ht="15" hidden="false" customHeight="false" outlineLevel="0" collapsed="false">
      <c r="A5899" s="4" t="s">
        <v>304</v>
      </c>
      <c r="B5899" s="5" t="s">
        <v>307</v>
      </c>
      <c r="C5899" s="5" t="s">
        <v>308</v>
      </c>
      <c r="D5899" s="4" t="s">
        <v>16</v>
      </c>
      <c r="E5899" s="4" t="s">
        <v>6361</v>
      </c>
      <c r="F5899" s="4" t="s">
        <v>406</v>
      </c>
      <c r="G5899" s="4" t="s">
        <v>6362</v>
      </c>
      <c r="H5899" s="12" t="n">
        <v>1</v>
      </c>
      <c r="I5899" s="4" t="s">
        <v>474</v>
      </c>
      <c r="J5899" s="4" t="s">
        <v>409</v>
      </c>
      <c r="K5899" s="13" t="n">
        <v>2500</v>
      </c>
      <c r="L5899" s="6" t="n">
        <f aca="false">H5899*K5899</f>
        <v>2500</v>
      </c>
      <c r="M5899" s="14" t="s">
        <v>410</v>
      </c>
    </row>
    <row r="5900" customFormat="false" ht="15" hidden="false" customHeight="false" outlineLevel="0" collapsed="false">
      <c r="A5900" s="4" t="s">
        <v>304</v>
      </c>
      <c r="B5900" s="5" t="s">
        <v>307</v>
      </c>
      <c r="C5900" s="5" t="s">
        <v>308</v>
      </c>
      <c r="D5900" s="4" t="s">
        <v>16</v>
      </c>
      <c r="E5900" s="4" t="s">
        <v>5333</v>
      </c>
      <c r="F5900" s="4" t="s">
        <v>406</v>
      </c>
      <c r="G5900" s="4" t="s">
        <v>5334</v>
      </c>
      <c r="H5900" s="12" t="n">
        <v>2</v>
      </c>
      <c r="I5900" s="4" t="s">
        <v>474</v>
      </c>
      <c r="J5900" s="4" t="s">
        <v>409</v>
      </c>
      <c r="K5900" s="13" t="n">
        <v>1200</v>
      </c>
      <c r="L5900" s="6" t="n">
        <f aca="false">H5900*K5900</f>
        <v>2400</v>
      </c>
      <c r="M5900" s="14" t="s">
        <v>410</v>
      </c>
    </row>
    <row r="5901" customFormat="false" ht="15" hidden="false" customHeight="false" outlineLevel="0" collapsed="false">
      <c r="A5901" s="4" t="s">
        <v>304</v>
      </c>
      <c r="B5901" s="5" t="s">
        <v>307</v>
      </c>
      <c r="C5901" s="5" t="s">
        <v>308</v>
      </c>
      <c r="D5901" s="4" t="s">
        <v>16</v>
      </c>
      <c r="E5901" s="4" t="s">
        <v>6363</v>
      </c>
      <c r="F5901" s="4" t="s">
        <v>470</v>
      </c>
      <c r="G5901" s="4" t="s">
        <v>6364</v>
      </c>
      <c r="H5901" s="12" t="n">
        <v>1</v>
      </c>
      <c r="I5901" s="4" t="s">
        <v>474</v>
      </c>
      <c r="J5901" s="4" t="s">
        <v>409</v>
      </c>
      <c r="K5901" s="13" t="n">
        <v>2500</v>
      </c>
      <c r="L5901" s="6" t="n">
        <f aca="false">H5901*K5901</f>
        <v>2500</v>
      </c>
      <c r="M5901" s="14" t="s">
        <v>410</v>
      </c>
    </row>
    <row r="5902" customFormat="false" ht="15" hidden="false" customHeight="false" outlineLevel="0" collapsed="false">
      <c r="A5902" s="4" t="s">
        <v>304</v>
      </c>
      <c r="B5902" s="5" t="s">
        <v>307</v>
      </c>
      <c r="C5902" s="5" t="s">
        <v>308</v>
      </c>
      <c r="D5902" s="4" t="s">
        <v>16</v>
      </c>
      <c r="E5902" s="4" t="s">
        <v>6365</v>
      </c>
      <c r="F5902" s="4" t="s">
        <v>470</v>
      </c>
      <c r="G5902" s="4" t="s">
        <v>6366</v>
      </c>
      <c r="H5902" s="12" t="n">
        <v>2</v>
      </c>
      <c r="I5902" s="4" t="s">
        <v>474</v>
      </c>
      <c r="J5902" s="4" t="s">
        <v>409</v>
      </c>
      <c r="K5902" s="13" t="n">
        <v>8500</v>
      </c>
      <c r="L5902" s="6" t="n">
        <f aca="false">H5902*K5902</f>
        <v>17000</v>
      </c>
      <c r="M5902" s="4" t="s">
        <v>371</v>
      </c>
    </row>
    <row r="5903" customFormat="false" ht="15" hidden="false" customHeight="false" outlineLevel="0" collapsed="false">
      <c r="A5903" s="4" t="s">
        <v>304</v>
      </c>
      <c r="B5903" s="5" t="s">
        <v>307</v>
      </c>
      <c r="C5903" s="5" t="s">
        <v>308</v>
      </c>
      <c r="D5903" s="4" t="s">
        <v>16</v>
      </c>
      <c r="E5903" s="4" t="s">
        <v>6367</v>
      </c>
      <c r="F5903" s="4" t="s">
        <v>470</v>
      </c>
      <c r="G5903" s="4" t="s">
        <v>6368</v>
      </c>
      <c r="H5903" s="12" t="n">
        <v>2</v>
      </c>
      <c r="I5903" s="4" t="s">
        <v>474</v>
      </c>
      <c r="J5903" s="4" t="s">
        <v>409</v>
      </c>
      <c r="K5903" s="13" t="n">
        <v>12000</v>
      </c>
      <c r="L5903" s="6" t="n">
        <f aca="false">H5903*K5903</f>
        <v>24000</v>
      </c>
      <c r="M5903" s="4" t="s">
        <v>371</v>
      </c>
    </row>
    <row r="5904" customFormat="false" ht="15" hidden="false" customHeight="false" outlineLevel="0" collapsed="false">
      <c r="A5904" s="4" t="s">
        <v>304</v>
      </c>
      <c r="B5904" s="5" t="s">
        <v>307</v>
      </c>
      <c r="C5904" s="5" t="s">
        <v>308</v>
      </c>
      <c r="D5904" s="4" t="s">
        <v>16</v>
      </c>
      <c r="E5904" s="4" t="s">
        <v>6369</v>
      </c>
      <c r="F5904" s="4" t="s">
        <v>470</v>
      </c>
      <c r="G5904" s="4" t="s">
        <v>6370</v>
      </c>
      <c r="H5904" s="12" t="n">
        <v>2</v>
      </c>
      <c r="I5904" s="4" t="s">
        <v>474</v>
      </c>
      <c r="J5904" s="4" t="s">
        <v>409</v>
      </c>
      <c r="K5904" s="13" t="n">
        <v>4500</v>
      </c>
      <c r="L5904" s="6" t="n">
        <f aca="false">H5904*K5904</f>
        <v>9000</v>
      </c>
      <c r="M5904" s="4" t="s">
        <v>371</v>
      </c>
    </row>
    <row r="5905" customFormat="false" ht="15" hidden="false" customHeight="false" outlineLevel="0" collapsed="false">
      <c r="A5905" s="4" t="s">
        <v>304</v>
      </c>
      <c r="B5905" s="5" t="s">
        <v>307</v>
      </c>
      <c r="C5905" s="5" t="s">
        <v>308</v>
      </c>
      <c r="D5905" s="4" t="s">
        <v>16</v>
      </c>
      <c r="E5905" s="4" t="s">
        <v>2288</v>
      </c>
      <c r="F5905" s="4" t="s">
        <v>470</v>
      </c>
      <c r="G5905" s="4" t="s">
        <v>1452</v>
      </c>
      <c r="H5905" s="12" t="n">
        <v>2</v>
      </c>
      <c r="I5905" s="4" t="s">
        <v>474</v>
      </c>
      <c r="J5905" s="4" t="s">
        <v>413</v>
      </c>
      <c r="K5905" s="13" t="n">
        <v>450</v>
      </c>
      <c r="L5905" s="6" t="n">
        <f aca="false">H5905*K5905</f>
        <v>900</v>
      </c>
      <c r="M5905" s="4" t="s">
        <v>371</v>
      </c>
    </row>
    <row r="5906" customFormat="false" ht="15" hidden="false" customHeight="false" outlineLevel="0" collapsed="false">
      <c r="A5906" s="4" t="s">
        <v>304</v>
      </c>
      <c r="B5906" s="5" t="s">
        <v>307</v>
      </c>
      <c r="C5906" s="5" t="s">
        <v>308</v>
      </c>
      <c r="D5906" s="4" t="s">
        <v>16</v>
      </c>
      <c r="E5906" s="4" t="s">
        <v>6371</v>
      </c>
      <c r="F5906" s="4" t="s">
        <v>470</v>
      </c>
      <c r="G5906" s="4" t="s">
        <v>6372</v>
      </c>
      <c r="H5906" s="12" t="n">
        <v>5</v>
      </c>
      <c r="I5906" s="4" t="s">
        <v>474</v>
      </c>
      <c r="J5906" s="4" t="s">
        <v>416</v>
      </c>
      <c r="K5906" s="13" t="n">
        <v>850</v>
      </c>
      <c r="L5906" s="6" t="n">
        <f aca="false">H5906*K5906</f>
        <v>4250</v>
      </c>
      <c r="M5906" s="4" t="s">
        <v>371</v>
      </c>
    </row>
    <row r="5907" customFormat="false" ht="15" hidden="false" customHeight="false" outlineLevel="0" collapsed="false">
      <c r="A5907" s="4" t="s">
        <v>304</v>
      </c>
      <c r="B5907" s="5" t="s">
        <v>307</v>
      </c>
      <c r="C5907" s="5" t="s">
        <v>308</v>
      </c>
      <c r="D5907" s="4" t="s">
        <v>16</v>
      </c>
      <c r="E5907" s="4" t="s">
        <v>6373</v>
      </c>
      <c r="F5907" s="4" t="s">
        <v>470</v>
      </c>
      <c r="G5907" s="4" t="s">
        <v>6374</v>
      </c>
      <c r="H5907" s="12" t="n">
        <v>1</v>
      </c>
      <c r="I5907" s="4" t="s">
        <v>408</v>
      </c>
      <c r="J5907" s="4" t="s">
        <v>416</v>
      </c>
      <c r="K5907" s="13" t="n">
        <v>850</v>
      </c>
      <c r="L5907" s="6" t="n">
        <f aca="false">H5907*K5907</f>
        <v>850</v>
      </c>
      <c r="M5907" s="4" t="s">
        <v>371</v>
      </c>
    </row>
    <row r="5908" customFormat="false" ht="15" hidden="false" customHeight="false" outlineLevel="0" collapsed="false">
      <c r="A5908" s="4" t="s">
        <v>304</v>
      </c>
      <c r="B5908" s="5" t="s">
        <v>307</v>
      </c>
      <c r="C5908" s="5" t="s">
        <v>308</v>
      </c>
      <c r="D5908" s="4" t="s">
        <v>16</v>
      </c>
      <c r="E5908" s="4" t="s">
        <v>6375</v>
      </c>
      <c r="F5908" s="4" t="s">
        <v>488</v>
      </c>
      <c r="G5908" s="4" t="s">
        <v>6376</v>
      </c>
      <c r="H5908" s="12" t="n">
        <v>1</v>
      </c>
      <c r="I5908" s="4" t="s">
        <v>408</v>
      </c>
      <c r="J5908" s="4" t="s">
        <v>503</v>
      </c>
      <c r="K5908" s="13" t="n">
        <v>120</v>
      </c>
      <c r="L5908" s="6" t="n">
        <f aca="false">H5908*K5908</f>
        <v>120</v>
      </c>
      <c r="M5908" s="4" t="s">
        <v>371</v>
      </c>
    </row>
    <row r="5909" customFormat="false" ht="15" hidden="false" customHeight="false" outlineLevel="0" collapsed="false">
      <c r="A5909" s="4" t="s">
        <v>304</v>
      </c>
      <c r="B5909" s="5" t="s">
        <v>307</v>
      </c>
      <c r="C5909" s="5" t="s">
        <v>308</v>
      </c>
      <c r="D5909" s="4" t="s">
        <v>16</v>
      </c>
      <c r="E5909" s="4" t="s">
        <v>6377</v>
      </c>
      <c r="F5909" s="4" t="s">
        <v>488</v>
      </c>
      <c r="G5909" s="4" t="s">
        <v>6378</v>
      </c>
      <c r="H5909" s="12" t="n">
        <v>20</v>
      </c>
      <c r="I5909" s="4" t="s">
        <v>474</v>
      </c>
      <c r="J5909" s="4" t="s">
        <v>506</v>
      </c>
      <c r="K5909" s="13" t="n">
        <v>180</v>
      </c>
      <c r="L5909" s="6" t="n">
        <f aca="false">H5909*K5909</f>
        <v>3600</v>
      </c>
      <c r="M5909" s="4" t="s">
        <v>371</v>
      </c>
    </row>
    <row r="5910" customFormat="false" ht="15" hidden="false" customHeight="false" outlineLevel="0" collapsed="false">
      <c r="A5910" s="4" t="s">
        <v>304</v>
      </c>
      <c r="B5910" s="5" t="s">
        <v>307</v>
      </c>
      <c r="C5910" s="5" t="s">
        <v>308</v>
      </c>
      <c r="D5910" s="4" t="s">
        <v>16</v>
      </c>
      <c r="E5910" s="4" t="s">
        <v>6379</v>
      </c>
      <c r="F5910" s="4" t="s">
        <v>488</v>
      </c>
      <c r="G5910" s="4" t="s">
        <v>6380</v>
      </c>
      <c r="H5910" s="12" t="n">
        <v>1</v>
      </c>
      <c r="I5910" s="4" t="s">
        <v>408</v>
      </c>
      <c r="J5910" s="4" t="s">
        <v>506</v>
      </c>
      <c r="K5910" s="13" t="n">
        <v>120</v>
      </c>
      <c r="L5910" s="6" t="n">
        <f aca="false">H5910*K5910</f>
        <v>120</v>
      </c>
      <c r="M5910" s="4" t="s">
        <v>371</v>
      </c>
    </row>
    <row r="5911" customFormat="false" ht="15" hidden="false" customHeight="false" outlineLevel="0" collapsed="false">
      <c r="A5911" s="4" t="s">
        <v>304</v>
      </c>
      <c r="B5911" s="5" t="s">
        <v>307</v>
      </c>
      <c r="C5911" s="5" t="s">
        <v>308</v>
      </c>
      <c r="D5911" s="4" t="s">
        <v>16</v>
      </c>
      <c r="E5911" s="4" t="s">
        <v>6381</v>
      </c>
      <c r="F5911" s="4" t="s">
        <v>470</v>
      </c>
      <c r="G5911" s="4" t="s">
        <v>6382</v>
      </c>
      <c r="H5911" s="12" t="n">
        <v>10</v>
      </c>
      <c r="I5911" s="4" t="s">
        <v>474</v>
      </c>
      <c r="J5911" s="4" t="s">
        <v>409</v>
      </c>
      <c r="K5911" s="13" t="n">
        <v>450</v>
      </c>
      <c r="L5911" s="6" t="n">
        <f aca="false">H5911*K5911</f>
        <v>4500</v>
      </c>
      <c r="M5911" s="4" t="s">
        <v>371</v>
      </c>
    </row>
    <row r="5912" customFormat="false" ht="15" hidden="false" customHeight="false" outlineLevel="0" collapsed="false">
      <c r="A5912" s="4" t="s">
        <v>304</v>
      </c>
      <c r="B5912" s="5" t="s">
        <v>307</v>
      </c>
      <c r="C5912" s="5" t="s">
        <v>308</v>
      </c>
      <c r="D5912" s="4" t="s">
        <v>16</v>
      </c>
      <c r="E5912" s="4" t="s">
        <v>4137</v>
      </c>
      <c r="F5912" s="4" t="s">
        <v>470</v>
      </c>
      <c r="G5912" s="4" t="s">
        <v>4138</v>
      </c>
      <c r="H5912" s="12" t="n">
        <v>20</v>
      </c>
      <c r="I5912" s="4" t="s">
        <v>474</v>
      </c>
      <c r="J5912" s="4" t="s">
        <v>409</v>
      </c>
      <c r="K5912" s="13" t="n">
        <v>180</v>
      </c>
      <c r="L5912" s="6" t="n">
        <f aca="false">H5912*K5912</f>
        <v>3600</v>
      </c>
      <c r="M5912" s="4" t="s">
        <v>371</v>
      </c>
    </row>
    <row r="5913" customFormat="false" ht="23.85" hidden="false" customHeight="false" outlineLevel="0" collapsed="false">
      <c r="A5913" s="4" t="s">
        <v>304</v>
      </c>
      <c r="B5913" s="5" t="s">
        <v>311</v>
      </c>
      <c r="C5913" s="5" t="s">
        <v>312</v>
      </c>
      <c r="D5913" s="4" t="s">
        <v>16</v>
      </c>
      <c r="E5913" s="4" t="s">
        <v>6383</v>
      </c>
      <c r="F5913" s="4" t="s">
        <v>406</v>
      </c>
      <c r="G5913" s="4" t="s">
        <v>6384</v>
      </c>
      <c r="H5913" s="12" t="n">
        <v>4</v>
      </c>
      <c r="I5913" s="4" t="s">
        <v>474</v>
      </c>
      <c r="J5913" s="4" t="s">
        <v>409</v>
      </c>
      <c r="K5913" s="13" t="n">
        <v>150</v>
      </c>
      <c r="L5913" s="6" t="n">
        <f aca="false">H5913*K5913</f>
        <v>600</v>
      </c>
      <c r="M5913" s="14" t="s">
        <v>410</v>
      </c>
    </row>
    <row r="5914" customFormat="false" ht="23.85" hidden="false" customHeight="false" outlineLevel="0" collapsed="false">
      <c r="A5914" s="4" t="s">
        <v>304</v>
      </c>
      <c r="B5914" s="5" t="s">
        <v>311</v>
      </c>
      <c r="C5914" s="5" t="s">
        <v>312</v>
      </c>
      <c r="D5914" s="4" t="s">
        <v>16</v>
      </c>
      <c r="E5914" s="4" t="s">
        <v>6385</v>
      </c>
      <c r="F5914" s="4" t="s">
        <v>406</v>
      </c>
      <c r="G5914" s="4" t="s">
        <v>6386</v>
      </c>
      <c r="H5914" s="12" t="n">
        <v>15</v>
      </c>
      <c r="I5914" s="4" t="s">
        <v>474</v>
      </c>
      <c r="J5914" s="4" t="s">
        <v>409</v>
      </c>
      <c r="K5914" s="13" t="n">
        <v>1200</v>
      </c>
      <c r="L5914" s="6" t="n">
        <f aca="false">H5914*K5914</f>
        <v>18000</v>
      </c>
      <c r="M5914" s="14" t="s">
        <v>410</v>
      </c>
    </row>
    <row r="5915" customFormat="false" ht="23.85" hidden="false" customHeight="false" outlineLevel="0" collapsed="false">
      <c r="A5915" s="4" t="s">
        <v>304</v>
      </c>
      <c r="B5915" s="5" t="s">
        <v>311</v>
      </c>
      <c r="C5915" s="5" t="s">
        <v>312</v>
      </c>
      <c r="D5915" s="4" t="s">
        <v>16</v>
      </c>
      <c r="E5915" s="4" t="s">
        <v>6387</v>
      </c>
      <c r="F5915" s="4" t="s">
        <v>406</v>
      </c>
      <c r="G5915" s="4" t="s">
        <v>6388</v>
      </c>
      <c r="H5915" s="12" t="n">
        <v>40</v>
      </c>
      <c r="I5915" s="4" t="s">
        <v>474</v>
      </c>
      <c r="J5915" s="4" t="s">
        <v>409</v>
      </c>
      <c r="K5915" s="13" t="n">
        <v>120</v>
      </c>
      <c r="L5915" s="6" t="n">
        <f aca="false">H5915*K5915</f>
        <v>4800</v>
      </c>
      <c r="M5915" s="14" t="s">
        <v>410</v>
      </c>
    </row>
    <row r="5916" customFormat="false" ht="23.85" hidden="false" customHeight="false" outlineLevel="0" collapsed="false">
      <c r="A5916" s="4" t="s">
        <v>304</v>
      </c>
      <c r="B5916" s="5" t="s">
        <v>311</v>
      </c>
      <c r="C5916" s="5" t="s">
        <v>312</v>
      </c>
      <c r="D5916" s="4" t="s">
        <v>16</v>
      </c>
      <c r="E5916" s="4" t="s">
        <v>6389</v>
      </c>
      <c r="F5916" s="4" t="s">
        <v>406</v>
      </c>
      <c r="G5916" s="4" t="s">
        <v>6390</v>
      </c>
      <c r="H5916" s="12" t="n">
        <v>20</v>
      </c>
      <c r="I5916" s="4" t="s">
        <v>474</v>
      </c>
      <c r="J5916" s="4" t="s">
        <v>409</v>
      </c>
      <c r="K5916" s="13" t="n">
        <v>850</v>
      </c>
      <c r="L5916" s="6" t="n">
        <f aca="false">H5916*K5916</f>
        <v>17000</v>
      </c>
      <c r="M5916" s="4" t="s">
        <v>371</v>
      </c>
    </row>
    <row r="5917" customFormat="false" ht="23.85" hidden="false" customHeight="false" outlineLevel="0" collapsed="false">
      <c r="A5917" s="4" t="s">
        <v>304</v>
      </c>
      <c r="B5917" s="5" t="s">
        <v>311</v>
      </c>
      <c r="C5917" s="5" t="s">
        <v>312</v>
      </c>
      <c r="D5917" s="4" t="s">
        <v>16</v>
      </c>
      <c r="E5917" s="4" t="s">
        <v>6391</v>
      </c>
      <c r="F5917" s="4" t="s">
        <v>406</v>
      </c>
      <c r="G5917" s="4" t="s">
        <v>6392</v>
      </c>
      <c r="H5917" s="12" t="n">
        <v>4</v>
      </c>
      <c r="I5917" s="4" t="s">
        <v>474</v>
      </c>
      <c r="J5917" s="4" t="s">
        <v>416</v>
      </c>
      <c r="K5917" s="13" t="n">
        <v>850</v>
      </c>
      <c r="L5917" s="6" t="n">
        <f aca="false">H5917*K5917</f>
        <v>3400</v>
      </c>
      <c r="M5917" s="14" t="s">
        <v>410</v>
      </c>
    </row>
    <row r="5918" customFormat="false" ht="23.85" hidden="false" customHeight="false" outlineLevel="0" collapsed="false">
      <c r="A5918" s="4" t="s">
        <v>304</v>
      </c>
      <c r="B5918" s="5" t="s">
        <v>311</v>
      </c>
      <c r="C5918" s="5" t="s">
        <v>312</v>
      </c>
      <c r="D5918" s="4" t="s">
        <v>16</v>
      </c>
      <c r="E5918" s="4" t="s">
        <v>6393</v>
      </c>
      <c r="F5918" s="4" t="s">
        <v>406</v>
      </c>
      <c r="G5918" s="4" t="s">
        <v>6394</v>
      </c>
      <c r="H5918" s="12" t="n">
        <v>20</v>
      </c>
      <c r="I5918" s="4" t="s">
        <v>474</v>
      </c>
      <c r="J5918" s="4" t="s">
        <v>409</v>
      </c>
      <c r="K5918" s="13" t="n">
        <v>850</v>
      </c>
      <c r="L5918" s="6" t="n">
        <f aca="false">H5918*K5918</f>
        <v>17000</v>
      </c>
      <c r="M5918" s="4" t="s">
        <v>371</v>
      </c>
    </row>
    <row r="5919" customFormat="false" ht="23.85" hidden="false" customHeight="false" outlineLevel="0" collapsed="false">
      <c r="A5919" s="4" t="s">
        <v>304</v>
      </c>
      <c r="B5919" s="5" t="s">
        <v>311</v>
      </c>
      <c r="C5919" s="5" t="s">
        <v>312</v>
      </c>
      <c r="D5919" s="4" t="s">
        <v>16</v>
      </c>
      <c r="E5919" s="4" t="s">
        <v>6395</v>
      </c>
      <c r="F5919" s="4" t="s">
        <v>406</v>
      </c>
      <c r="G5919" s="4" t="s">
        <v>6396</v>
      </c>
      <c r="H5919" s="12" t="n">
        <v>20</v>
      </c>
      <c r="I5919" s="4" t="s">
        <v>474</v>
      </c>
      <c r="J5919" s="4" t="s">
        <v>409</v>
      </c>
      <c r="K5919" s="13" t="n">
        <v>850</v>
      </c>
      <c r="L5919" s="6" t="n">
        <f aca="false">H5919*K5919</f>
        <v>17000</v>
      </c>
      <c r="M5919" s="14" t="s">
        <v>410</v>
      </c>
    </row>
    <row r="5920" customFormat="false" ht="23.85" hidden="false" customHeight="false" outlineLevel="0" collapsed="false">
      <c r="A5920" s="4" t="s">
        <v>304</v>
      </c>
      <c r="B5920" s="5" t="s">
        <v>311</v>
      </c>
      <c r="C5920" s="5" t="s">
        <v>312</v>
      </c>
      <c r="D5920" s="4" t="s">
        <v>16</v>
      </c>
      <c r="E5920" s="4" t="s">
        <v>6397</v>
      </c>
      <c r="F5920" s="4" t="s">
        <v>406</v>
      </c>
      <c r="G5920" s="4" t="s">
        <v>6398</v>
      </c>
      <c r="H5920" s="12" t="n">
        <v>30</v>
      </c>
      <c r="I5920" s="4" t="s">
        <v>474</v>
      </c>
      <c r="J5920" s="4" t="s">
        <v>409</v>
      </c>
      <c r="K5920" s="13" t="n">
        <v>350</v>
      </c>
      <c r="L5920" s="6" t="n">
        <f aca="false">H5920*K5920</f>
        <v>10500</v>
      </c>
      <c r="M5920" s="14" t="s">
        <v>410</v>
      </c>
    </row>
    <row r="5921" customFormat="false" ht="23.85" hidden="false" customHeight="false" outlineLevel="0" collapsed="false">
      <c r="A5921" s="4" t="s">
        <v>304</v>
      </c>
      <c r="B5921" s="5" t="s">
        <v>311</v>
      </c>
      <c r="C5921" s="5" t="s">
        <v>312</v>
      </c>
      <c r="D5921" s="4" t="s">
        <v>16</v>
      </c>
      <c r="E5921" s="4" t="s">
        <v>6399</v>
      </c>
      <c r="F5921" s="4" t="s">
        <v>406</v>
      </c>
      <c r="G5921" s="4" t="s">
        <v>6400</v>
      </c>
      <c r="H5921" s="12" t="n">
        <v>2</v>
      </c>
      <c r="I5921" s="4" t="s">
        <v>474</v>
      </c>
      <c r="J5921" s="4" t="s">
        <v>409</v>
      </c>
      <c r="K5921" s="13" t="n">
        <v>650</v>
      </c>
      <c r="L5921" s="6" t="n">
        <f aca="false">H5921*K5921</f>
        <v>1300</v>
      </c>
      <c r="M5921" s="4" t="s">
        <v>371</v>
      </c>
    </row>
    <row r="5922" customFormat="false" ht="23.85" hidden="false" customHeight="false" outlineLevel="0" collapsed="false">
      <c r="A5922" s="4" t="s">
        <v>304</v>
      </c>
      <c r="B5922" s="5" t="s">
        <v>311</v>
      </c>
      <c r="C5922" s="5" t="s">
        <v>312</v>
      </c>
      <c r="D5922" s="4" t="s">
        <v>16</v>
      </c>
      <c r="E5922" s="4" t="s">
        <v>6401</v>
      </c>
      <c r="F5922" s="4" t="s">
        <v>406</v>
      </c>
      <c r="G5922" s="4" t="s">
        <v>6402</v>
      </c>
      <c r="H5922" s="12" t="n">
        <v>8</v>
      </c>
      <c r="I5922" s="4" t="s">
        <v>474</v>
      </c>
      <c r="J5922" s="4" t="s">
        <v>409</v>
      </c>
      <c r="K5922" s="13" t="n">
        <v>450</v>
      </c>
      <c r="L5922" s="6" t="n">
        <f aca="false">H5922*K5922</f>
        <v>3600</v>
      </c>
      <c r="M5922" s="14" t="s">
        <v>410</v>
      </c>
    </row>
    <row r="5923" customFormat="false" ht="23.85" hidden="false" customHeight="false" outlineLevel="0" collapsed="false">
      <c r="A5923" s="4" t="s">
        <v>304</v>
      </c>
      <c r="B5923" s="5" t="s">
        <v>311</v>
      </c>
      <c r="C5923" s="5" t="s">
        <v>312</v>
      </c>
      <c r="D5923" s="4" t="s">
        <v>16</v>
      </c>
      <c r="E5923" s="4" t="s">
        <v>6403</v>
      </c>
      <c r="F5923" s="4" t="s">
        <v>406</v>
      </c>
      <c r="G5923" s="4" t="s">
        <v>6404</v>
      </c>
      <c r="H5923" s="12" t="n">
        <v>2</v>
      </c>
      <c r="I5923" s="4" t="s">
        <v>474</v>
      </c>
      <c r="J5923" s="4" t="s">
        <v>409</v>
      </c>
      <c r="K5923" s="13" t="n">
        <v>4500</v>
      </c>
      <c r="L5923" s="6" t="n">
        <f aca="false">H5923*K5923</f>
        <v>9000</v>
      </c>
      <c r="M5923" s="14" t="s">
        <v>410</v>
      </c>
    </row>
    <row r="5924" customFormat="false" ht="23.85" hidden="false" customHeight="false" outlineLevel="0" collapsed="false">
      <c r="A5924" s="4" t="s">
        <v>304</v>
      </c>
      <c r="B5924" s="5" t="s">
        <v>311</v>
      </c>
      <c r="C5924" s="5" t="s">
        <v>312</v>
      </c>
      <c r="D5924" s="4" t="s">
        <v>16</v>
      </c>
      <c r="E5924" s="4" t="s">
        <v>6405</v>
      </c>
      <c r="F5924" s="4" t="s">
        <v>406</v>
      </c>
      <c r="G5924" s="4" t="s">
        <v>6406</v>
      </c>
      <c r="H5924" s="12" t="n">
        <v>4</v>
      </c>
      <c r="I5924" s="4" t="s">
        <v>474</v>
      </c>
      <c r="J5924" s="4" t="s">
        <v>416</v>
      </c>
      <c r="K5924" s="13" t="n">
        <v>3500</v>
      </c>
      <c r="L5924" s="6" t="n">
        <f aca="false">H5924*K5924</f>
        <v>14000</v>
      </c>
      <c r="M5924" s="14" t="s">
        <v>410</v>
      </c>
    </row>
    <row r="5925" customFormat="false" ht="23.85" hidden="false" customHeight="false" outlineLevel="0" collapsed="false">
      <c r="A5925" s="4" t="s">
        <v>304</v>
      </c>
      <c r="B5925" s="5" t="s">
        <v>311</v>
      </c>
      <c r="C5925" s="5" t="s">
        <v>312</v>
      </c>
      <c r="D5925" s="4" t="s">
        <v>16</v>
      </c>
      <c r="E5925" s="4" t="s">
        <v>6407</v>
      </c>
      <c r="F5925" s="4" t="s">
        <v>406</v>
      </c>
      <c r="G5925" s="4" t="s">
        <v>6388</v>
      </c>
      <c r="H5925" s="12" t="n">
        <v>40</v>
      </c>
      <c r="I5925" s="4" t="s">
        <v>474</v>
      </c>
      <c r="J5925" s="4" t="s">
        <v>409</v>
      </c>
      <c r="K5925" s="13" t="n">
        <v>120</v>
      </c>
      <c r="L5925" s="6" t="n">
        <f aca="false">H5925*K5925</f>
        <v>4800</v>
      </c>
      <c r="M5925" s="14" t="s">
        <v>410</v>
      </c>
    </row>
    <row r="5926" customFormat="false" ht="23.85" hidden="false" customHeight="false" outlineLevel="0" collapsed="false">
      <c r="A5926" s="4" t="s">
        <v>304</v>
      </c>
      <c r="B5926" s="5" t="s">
        <v>311</v>
      </c>
      <c r="C5926" s="5" t="s">
        <v>312</v>
      </c>
      <c r="D5926" s="4" t="s">
        <v>16</v>
      </c>
      <c r="E5926" s="4" t="s">
        <v>6408</v>
      </c>
      <c r="F5926" s="4" t="s">
        <v>406</v>
      </c>
      <c r="G5926" s="4" t="s">
        <v>6409</v>
      </c>
      <c r="H5926" s="12" t="n">
        <v>8</v>
      </c>
      <c r="I5926" s="4" t="s">
        <v>474</v>
      </c>
      <c r="J5926" s="4" t="s">
        <v>409</v>
      </c>
      <c r="K5926" s="13" t="n">
        <v>250</v>
      </c>
      <c r="L5926" s="6" t="n">
        <f aca="false">H5926*K5926</f>
        <v>2000</v>
      </c>
      <c r="M5926" s="14" t="s">
        <v>410</v>
      </c>
    </row>
    <row r="5927" customFormat="false" ht="23.85" hidden="false" customHeight="false" outlineLevel="0" collapsed="false">
      <c r="A5927" s="4" t="s">
        <v>304</v>
      </c>
      <c r="B5927" s="5" t="s">
        <v>311</v>
      </c>
      <c r="C5927" s="5" t="s">
        <v>312</v>
      </c>
      <c r="D5927" s="4" t="s">
        <v>16</v>
      </c>
      <c r="E5927" s="4" t="s">
        <v>6410</v>
      </c>
      <c r="F5927" s="4" t="s">
        <v>406</v>
      </c>
      <c r="G5927" s="4" t="s">
        <v>6411</v>
      </c>
      <c r="H5927" s="12" t="n">
        <v>8</v>
      </c>
      <c r="I5927" s="4" t="s">
        <v>474</v>
      </c>
      <c r="J5927" s="4" t="s">
        <v>416</v>
      </c>
      <c r="K5927" s="13" t="n">
        <v>2500</v>
      </c>
      <c r="L5927" s="6" t="n">
        <f aca="false">H5927*K5927</f>
        <v>20000</v>
      </c>
      <c r="M5927" s="4" t="s">
        <v>371</v>
      </c>
    </row>
    <row r="5928" customFormat="false" ht="23.85" hidden="false" customHeight="false" outlineLevel="0" collapsed="false">
      <c r="A5928" s="4" t="s">
        <v>304</v>
      </c>
      <c r="B5928" s="5" t="s">
        <v>311</v>
      </c>
      <c r="C5928" s="5" t="s">
        <v>312</v>
      </c>
      <c r="D5928" s="4" t="s">
        <v>16</v>
      </c>
      <c r="E5928" s="4" t="s">
        <v>6334</v>
      </c>
      <c r="F5928" s="4" t="s">
        <v>406</v>
      </c>
      <c r="G5928" s="4" t="s">
        <v>6335</v>
      </c>
      <c r="H5928" s="12" t="n">
        <v>4</v>
      </c>
      <c r="I5928" s="4" t="s">
        <v>474</v>
      </c>
      <c r="J5928" s="4" t="s">
        <v>416</v>
      </c>
      <c r="K5928" s="13" t="n">
        <v>850</v>
      </c>
      <c r="L5928" s="6" t="n">
        <f aca="false">H5928*K5928</f>
        <v>3400</v>
      </c>
      <c r="M5928" s="14" t="s">
        <v>410</v>
      </c>
    </row>
    <row r="5929" customFormat="false" ht="23.85" hidden="false" customHeight="false" outlineLevel="0" collapsed="false">
      <c r="A5929" s="4" t="s">
        <v>304</v>
      </c>
      <c r="B5929" s="5" t="s">
        <v>311</v>
      </c>
      <c r="C5929" s="5" t="s">
        <v>312</v>
      </c>
      <c r="D5929" s="4" t="s">
        <v>16</v>
      </c>
      <c r="E5929" s="4" t="s">
        <v>6412</v>
      </c>
      <c r="F5929" s="4" t="s">
        <v>406</v>
      </c>
      <c r="G5929" s="4" t="s">
        <v>6413</v>
      </c>
      <c r="H5929" s="12" t="n">
        <v>20</v>
      </c>
      <c r="I5929" s="4" t="s">
        <v>474</v>
      </c>
      <c r="J5929" s="4" t="s">
        <v>409</v>
      </c>
      <c r="K5929" s="13" t="n">
        <v>250</v>
      </c>
      <c r="L5929" s="6" t="n">
        <f aca="false">H5929*K5929</f>
        <v>5000</v>
      </c>
      <c r="M5929" s="14" t="s">
        <v>410</v>
      </c>
    </row>
    <row r="5930" customFormat="false" ht="23.85" hidden="false" customHeight="false" outlineLevel="0" collapsed="false">
      <c r="A5930" s="4" t="s">
        <v>304</v>
      </c>
      <c r="B5930" s="5" t="s">
        <v>311</v>
      </c>
      <c r="C5930" s="5" t="s">
        <v>312</v>
      </c>
      <c r="D5930" s="4" t="s">
        <v>16</v>
      </c>
      <c r="E5930" s="4" t="s">
        <v>6414</v>
      </c>
      <c r="F5930" s="4" t="s">
        <v>406</v>
      </c>
      <c r="G5930" s="4" t="s">
        <v>1786</v>
      </c>
      <c r="H5930" s="12" t="n">
        <v>2</v>
      </c>
      <c r="I5930" s="4" t="s">
        <v>474</v>
      </c>
      <c r="J5930" s="4" t="s">
        <v>409</v>
      </c>
      <c r="K5930" s="13" t="n">
        <v>2500</v>
      </c>
      <c r="L5930" s="6" t="n">
        <f aca="false">H5930*K5930</f>
        <v>5000</v>
      </c>
      <c r="M5930" s="14" t="s">
        <v>410</v>
      </c>
    </row>
    <row r="5931" customFormat="false" ht="23.85" hidden="false" customHeight="false" outlineLevel="0" collapsed="false">
      <c r="A5931" s="4" t="s">
        <v>304</v>
      </c>
      <c r="B5931" s="5" t="s">
        <v>311</v>
      </c>
      <c r="C5931" s="5" t="s">
        <v>312</v>
      </c>
      <c r="D5931" s="4" t="s">
        <v>16</v>
      </c>
      <c r="E5931" s="4" t="s">
        <v>6415</v>
      </c>
      <c r="F5931" s="4" t="s">
        <v>406</v>
      </c>
      <c r="G5931" s="4" t="s">
        <v>6416</v>
      </c>
      <c r="H5931" s="12" t="n">
        <v>30</v>
      </c>
      <c r="I5931" s="4" t="s">
        <v>474</v>
      </c>
      <c r="J5931" s="4" t="s">
        <v>409</v>
      </c>
      <c r="K5931" s="13" t="n">
        <v>1200</v>
      </c>
      <c r="L5931" s="6" t="n">
        <f aca="false">H5931*K5931</f>
        <v>36000</v>
      </c>
      <c r="M5931" s="4" t="s">
        <v>371</v>
      </c>
    </row>
    <row r="5932" customFormat="false" ht="23.85" hidden="false" customHeight="false" outlineLevel="0" collapsed="false">
      <c r="A5932" s="4" t="s">
        <v>304</v>
      </c>
      <c r="B5932" s="5" t="s">
        <v>311</v>
      </c>
      <c r="C5932" s="5" t="s">
        <v>312</v>
      </c>
      <c r="D5932" s="4" t="s">
        <v>16</v>
      </c>
      <c r="E5932" s="4" t="s">
        <v>6417</v>
      </c>
      <c r="F5932" s="4" t="s">
        <v>406</v>
      </c>
      <c r="G5932" s="4" t="s">
        <v>6418</v>
      </c>
      <c r="H5932" s="12" t="n">
        <v>10</v>
      </c>
      <c r="I5932" s="4" t="s">
        <v>474</v>
      </c>
      <c r="J5932" s="4" t="s">
        <v>409</v>
      </c>
      <c r="K5932" s="13" t="n">
        <v>120</v>
      </c>
      <c r="L5932" s="6" t="n">
        <f aca="false">H5932*K5932</f>
        <v>1200</v>
      </c>
      <c r="M5932" s="4" t="s">
        <v>371</v>
      </c>
    </row>
    <row r="5933" customFormat="false" ht="23.85" hidden="false" customHeight="false" outlineLevel="0" collapsed="false">
      <c r="A5933" s="4" t="s">
        <v>304</v>
      </c>
      <c r="B5933" s="5" t="s">
        <v>311</v>
      </c>
      <c r="C5933" s="5" t="s">
        <v>312</v>
      </c>
      <c r="D5933" s="4" t="s">
        <v>16</v>
      </c>
      <c r="E5933" s="4" t="s">
        <v>6419</v>
      </c>
      <c r="F5933" s="4" t="s">
        <v>406</v>
      </c>
      <c r="G5933" s="4" t="s">
        <v>6420</v>
      </c>
      <c r="H5933" s="12" t="n">
        <v>4</v>
      </c>
      <c r="I5933" s="4" t="s">
        <v>474</v>
      </c>
      <c r="J5933" s="4" t="s">
        <v>475</v>
      </c>
      <c r="K5933" s="13" t="n">
        <v>350</v>
      </c>
      <c r="L5933" s="6" t="n">
        <f aca="false">H5933*K5933</f>
        <v>1400</v>
      </c>
      <c r="M5933" s="14" t="s">
        <v>410</v>
      </c>
    </row>
    <row r="5934" customFormat="false" ht="23.85" hidden="false" customHeight="false" outlineLevel="0" collapsed="false">
      <c r="A5934" s="4" t="s">
        <v>304</v>
      </c>
      <c r="B5934" s="5" t="s">
        <v>311</v>
      </c>
      <c r="C5934" s="5" t="s">
        <v>312</v>
      </c>
      <c r="D5934" s="4" t="s">
        <v>16</v>
      </c>
      <c r="E5934" s="4" t="s">
        <v>6334</v>
      </c>
      <c r="F5934" s="4" t="s">
        <v>406</v>
      </c>
      <c r="G5934" s="4" t="s">
        <v>6335</v>
      </c>
      <c r="H5934" s="12" t="n">
        <v>4</v>
      </c>
      <c r="I5934" s="4" t="s">
        <v>474</v>
      </c>
      <c r="J5934" s="4" t="s">
        <v>416</v>
      </c>
      <c r="K5934" s="13" t="n">
        <v>850</v>
      </c>
      <c r="L5934" s="6" t="n">
        <f aca="false">H5934*K5934</f>
        <v>3400</v>
      </c>
      <c r="M5934" s="14" t="s">
        <v>410</v>
      </c>
    </row>
    <row r="5935" customFormat="false" ht="23.85" hidden="false" customHeight="false" outlineLevel="0" collapsed="false">
      <c r="A5935" s="4" t="s">
        <v>304</v>
      </c>
      <c r="B5935" s="5" t="s">
        <v>311</v>
      </c>
      <c r="C5935" s="5" t="s">
        <v>312</v>
      </c>
      <c r="D5935" s="4" t="s">
        <v>16</v>
      </c>
      <c r="E5935" s="4" t="s">
        <v>6421</v>
      </c>
      <c r="F5935" s="4" t="s">
        <v>470</v>
      </c>
      <c r="G5935" s="4" t="s">
        <v>6422</v>
      </c>
      <c r="H5935" s="12" t="n">
        <v>1</v>
      </c>
      <c r="I5935" s="4" t="s">
        <v>474</v>
      </c>
      <c r="J5935" s="4" t="s">
        <v>409</v>
      </c>
      <c r="K5935" s="13" t="n">
        <v>8500</v>
      </c>
      <c r="L5935" s="6" t="n">
        <f aca="false">H5935*K5935</f>
        <v>8500</v>
      </c>
      <c r="M5935" s="4" t="s">
        <v>371</v>
      </c>
    </row>
    <row r="5936" customFormat="false" ht="23.85" hidden="false" customHeight="false" outlineLevel="0" collapsed="false">
      <c r="A5936" s="4" t="s">
        <v>304</v>
      </c>
      <c r="B5936" s="5" t="s">
        <v>311</v>
      </c>
      <c r="C5936" s="5" t="s">
        <v>312</v>
      </c>
      <c r="D5936" s="4" t="s">
        <v>16</v>
      </c>
      <c r="E5936" s="4" t="s">
        <v>6423</v>
      </c>
      <c r="F5936" s="4" t="s">
        <v>470</v>
      </c>
      <c r="G5936" s="4" t="s">
        <v>6424</v>
      </c>
      <c r="H5936" s="12" t="n">
        <v>4</v>
      </c>
      <c r="I5936" s="4" t="s">
        <v>474</v>
      </c>
      <c r="J5936" s="4" t="s">
        <v>409</v>
      </c>
      <c r="K5936" s="13" t="n">
        <v>850</v>
      </c>
      <c r="L5936" s="6" t="n">
        <f aca="false">H5936*K5936</f>
        <v>3400</v>
      </c>
      <c r="M5936" s="4" t="s">
        <v>371</v>
      </c>
    </row>
    <row r="5937" customFormat="false" ht="15" hidden="false" customHeight="false" outlineLevel="0" collapsed="false">
      <c r="A5937" s="4" t="s">
        <v>315</v>
      </c>
      <c r="B5937" s="5" t="s">
        <v>316</v>
      </c>
      <c r="C5937" s="5" t="s">
        <v>317</v>
      </c>
      <c r="D5937" s="4" t="s">
        <v>16</v>
      </c>
      <c r="E5937" s="4" t="s">
        <v>2515</v>
      </c>
      <c r="F5937" s="4" t="s">
        <v>406</v>
      </c>
      <c r="G5937" s="4" t="s">
        <v>2516</v>
      </c>
      <c r="H5937" s="12" t="n">
        <v>1</v>
      </c>
      <c r="I5937" s="4" t="s">
        <v>408</v>
      </c>
      <c r="J5937" s="4" t="s">
        <v>409</v>
      </c>
      <c r="K5937" s="13" t="n">
        <v>1800</v>
      </c>
      <c r="L5937" s="6" t="n">
        <f aca="false">H5937*K5937</f>
        <v>1800</v>
      </c>
      <c r="M5937" s="14" t="s">
        <v>410</v>
      </c>
    </row>
    <row r="5938" customFormat="false" ht="15" hidden="false" customHeight="false" outlineLevel="0" collapsed="false">
      <c r="A5938" s="4" t="s">
        <v>315</v>
      </c>
      <c r="B5938" s="5" t="s">
        <v>316</v>
      </c>
      <c r="C5938" s="5" t="s">
        <v>317</v>
      </c>
      <c r="D5938" s="4" t="s">
        <v>16</v>
      </c>
      <c r="E5938" s="4" t="s">
        <v>2517</v>
      </c>
      <c r="F5938" s="4" t="s">
        <v>406</v>
      </c>
      <c r="G5938" s="4" t="s">
        <v>2518</v>
      </c>
      <c r="H5938" s="12" t="n">
        <v>1</v>
      </c>
      <c r="I5938" s="4" t="s">
        <v>408</v>
      </c>
      <c r="J5938" s="4" t="s">
        <v>409</v>
      </c>
      <c r="K5938" s="13" t="n">
        <v>450</v>
      </c>
      <c r="L5938" s="6" t="n">
        <f aca="false">H5938*K5938</f>
        <v>450</v>
      </c>
      <c r="M5938" s="14" t="s">
        <v>410</v>
      </c>
    </row>
    <row r="5939" customFormat="false" ht="15" hidden="false" customHeight="false" outlineLevel="0" collapsed="false">
      <c r="A5939" s="4" t="s">
        <v>315</v>
      </c>
      <c r="B5939" s="5" t="s">
        <v>316</v>
      </c>
      <c r="C5939" s="5" t="s">
        <v>317</v>
      </c>
      <c r="D5939" s="4" t="s">
        <v>16</v>
      </c>
      <c r="E5939" s="4" t="s">
        <v>2519</v>
      </c>
      <c r="F5939" s="4" t="s">
        <v>406</v>
      </c>
      <c r="G5939" s="4" t="s">
        <v>2520</v>
      </c>
      <c r="H5939" s="12" t="n">
        <v>1</v>
      </c>
      <c r="I5939" s="4" t="s">
        <v>408</v>
      </c>
      <c r="J5939" s="4" t="s">
        <v>409</v>
      </c>
      <c r="K5939" s="13" t="n">
        <v>850</v>
      </c>
      <c r="L5939" s="6" t="n">
        <f aca="false">H5939*K5939</f>
        <v>850</v>
      </c>
      <c r="M5939" s="14" t="s">
        <v>410</v>
      </c>
    </row>
    <row r="5940" customFormat="false" ht="15" hidden="false" customHeight="false" outlineLevel="0" collapsed="false">
      <c r="A5940" s="4" t="s">
        <v>315</v>
      </c>
      <c r="B5940" s="5" t="s">
        <v>316</v>
      </c>
      <c r="C5940" s="5" t="s">
        <v>317</v>
      </c>
      <c r="D5940" s="4" t="s">
        <v>16</v>
      </c>
      <c r="E5940" s="4" t="s">
        <v>2521</v>
      </c>
      <c r="F5940" s="4" t="s">
        <v>406</v>
      </c>
      <c r="G5940" s="4" t="s">
        <v>2522</v>
      </c>
      <c r="H5940" s="12" t="n">
        <v>1</v>
      </c>
      <c r="I5940" s="4" t="s">
        <v>408</v>
      </c>
      <c r="J5940" s="4" t="s">
        <v>416</v>
      </c>
      <c r="K5940" s="13" t="n">
        <v>4500</v>
      </c>
      <c r="L5940" s="6" t="n">
        <f aca="false">H5940*K5940</f>
        <v>4500</v>
      </c>
      <c r="M5940" s="14" t="s">
        <v>410</v>
      </c>
    </row>
    <row r="5941" customFormat="false" ht="15" hidden="false" customHeight="false" outlineLevel="0" collapsed="false">
      <c r="A5941" s="4" t="s">
        <v>315</v>
      </c>
      <c r="B5941" s="5" t="s">
        <v>316</v>
      </c>
      <c r="C5941" s="5" t="s">
        <v>317</v>
      </c>
      <c r="D5941" s="4" t="s">
        <v>16</v>
      </c>
      <c r="E5941" s="4" t="s">
        <v>1675</v>
      </c>
      <c r="F5941" s="4" t="s">
        <v>406</v>
      </c>
      <c r="G5941" s="4" t="s">
        <v>1676</v>
      </c>
      <c r="H5941" s="12" t="n">
        <v>1</v>
      </c>
      <c r="I5941" s="4" t="s">
        <v>408</v>
      </c>
      <c r="J5941" s="4" t="s">
        <v>409</v>
      </c>
      <c r="K5941" s="13" t="n">
        <v>450</v>
      </c>
      <c r="L5941" s="6" t="n">
        <f aca="false">H5941*K5941</f>
        <v>450</v>
      </c>
      <c r="M5941" s="14" t="s">
        <v>410</v>
      </c>
    </row>
    <row r="5942" customFormat="false" ht="15" hidden="false" customHeight="false" outlineLevel="0" collapsed="false">
      <c r="A5942" s="4" t="s">
        <v>315</v>
      </c>
      <c r="B5942" s="5" t="s">
        <v>316</v>
      </c>
      <c r="C5942" s="5" t="s">
        <v>317</v>
      </c>
      <c r="D5942" s="4" t="s">
        <v>16</v>
      </c>
      <c r="E5942" s="4" t="s">
        <v>2523</v>
      </c>
      <c r="F5942" s="4" t="s">
        <v>406</v>
      </c>
      <c r="G5942" s="4" t="s">
        <v>2524</v>
      </c>
      <c r="H5942" s="12" t="n">
        <v>1</v>
      </c>
      <c r="I5942" s="4" t="s">
        <v>408</v>
      </c>
      <c r="J5942" s="4" t="s">
        <v>409</v>
      </c>
      <c r="K5942" s="13" t="n">
        <v>3500</v>
      </c>
      <c r="L5942" s="6" t="n">
        <f aca="false">H5942*K5942</f>
        <v>3500</v>
      </c>
      <c r="M5942" s="14" t="s">
        <v>410</v>
      </c>
    </row>
    <row r="5943" customFormat="false" ht="15" hidden="false" customHeight="false" outlineLevel="0" collapsed="false">
      <c r="A5943" s="4" t="s">
        <v>315</v>
      </c>
      <c r="B5943" s="5" t="s">
        <v>316</v>
      </c>
      <c r="C5943" s="5" t="s">
        <v>317</v>
      </c>
      <c r="D5943" s="4" t="s">
        <v>16</v>
      </c>
      <c r="E5943" s="4" t="s">
        <v>2525</v>
      </c>
      <c r="F5943" s="4" t="s">
        <v>406</v>
      </c>
      <c r="G5943" s="4" t="s">
        <v>2526</v>
      </c>
      <c r="H5943" s="12" t="n">
        <v>1</v>
      </c>
      <c r="I5943" s="4" t="s">
        <v>408</v>
      </c>
      <c r="J5943" s="4" t="s">
        <v>416</v>
      </c>
      <c r="K5943" s="13" t="n">
        <v>1200</v>
      </c>
      <c r="L5943" s="6" t="n">
        <f aca="false">H5943*K5943</f>
        <v>1200</v>
      </c>
      <c r="M5943" s="14" t="s">
        <v>410</v>
      </c>
    </row>
    <row r="5944" customFormat="false" ht="15" hidden="false" customHeight="false" outlineLevel="0" collapsed="false">
      <c r="A5944" s="4" t="s">
        <v>315</v>
      </c>
      <c r="B5944" s="5" t="s">
        <v>316</v>
      </c>
      <c r="C5944" s="5" t="s">
        <v>317</v>
      </c>
      <c r="D5944" s="4" t="s">
        <v>16</v>
      </c>
      <c r="E5944" s="4" t="s">
        <v>2527</v>
      </c>
      <c r="F5944" s="4" t="s">
        <v>406</v>
      </c>
      <c r="G5944" s="4" t="s">
        <v>2528</v>
      </c>
      <c r="H5944" s="12" t="n">
        <v>1</v>
      </c>
      <c r="I5944" s="4" t="s">
        <v>408</v>
      </c>
      <c r="J5944" s="4" t="s">
        <v>416</v>
      </c>
      <c r="K5944" s="13" t="n">
        <v>1800</v>
      </c>
      <c r="L5944" s="6" t="n">
        <f aca="false">H5944*K5944</f>
        <v>1800</v>
      </c>
      <c r="M5944" s="14" t="s">
        <v>410</v>
      </c>
    </row>
    <row r="5945" customFormat="false" ht="15" hidden="false" customHeight="false" outlineLevel="0" collapsed="false">
      <c r="A5945" s="4" t="s">
        <v>315</v>
      </c>
      <c r="B5945" s="5" t="s">
        <v>316</v>
      </c>
      <c r="C5945" s="5" t="s">
        <v>317</v>
      </c>
      <c r="D5945" s="4" t="s">
        <v>16</v>
      </c>
      <c r="E5945" s="4" t="s">
        <v>2529</v>
      </c>
      <c r="F5945" s="4" t="s">
        <v>406</v>
      </c>
      <c r="G5945" s="4" t="s">
        <v>1193</v>
      </c>
      <c r="H5945" s="12" t="n">
        <v>1</v>
      </c>
      <c r="I5945" s="4" t="s">
        <v>408</v>
      </c>
      <c r="J5945" s="4" t="s">
        <v>416</v>
      </c>
      <c r="K5945" s="13" t="n">
        <v>450</v>
      </c>
      <c r="L5945" s="6" t="n">
        <f aca="false">H5945*K5945</f>
        <v>450</v>
      </c>
      <c r="M5945" s="14" t="s">
        <v>410</v>
      </c>
    </row>
    <row r="5946" customFormat="false" ht="15" hidden="false" customHeight="false" outlineLevel="0" collapsed="false">
      <c r="A5946" s="4" t="s">
        <v>315</v>
      </c>
      <c r="B5946" s="5" t="s">
        <v>316</v>
      </c>
      <c r="C5946" s="5" t="s">
        <v>317</v>
      </c>
      <c r="D5946" s="4" t="s">
        <v>16</v>
      </c>
      <c r="E5946" s="4" t="s">
        <v>2530</v>
      </c>
      <c r="F5946" s="4" t="s">
        <v>406</v>
      </c>
      <c r="G5946" s="4" t="s">
        <v>2531</v>
      </c>
      <c r="H5946" s="12" t="n">
        <v>1</v>
      </c>
      <c r="I5946" s="4" t="s">
        <v>408</v>
      </c>
      <c r="J5946" s="4" t="s">
        <v>416</v>
      </c>
      <c r="K5946" s="13" t="n">
        <v>850</v>
      </c>
      <c r="L5946" s="6" t="n">
        <f aca="false">H5946*K5946</f>
        <v>850</v>
      </c>
      <c r="M5946" s="14" t="s">
        <v>410</v>
      </c>
    </row>
    <row r="5947" customFormat="false" ht="15" hidden="false" customHeight="false" outlineLevel="0" collapsed="false">
      <c r="A5947" s="4" t="s">
        <v>315</v>
      </c>
      <c r="B5947" s="5" t="s">
        <v>316</v>
      </c>
      <c r="C5947" s="5" t="s">
        <v>317</v>
      </c>
      <c r="D5947" s="4" t="s">
        <v>16</v>
      </c>
      <c r="E5947" s="4" t="s">
        <v>2532</v>
      </c>
      <c r="F5947" s="4" t="s">
        <v>406</v>
      </c>
      <c r="G5947" s="4" t="s">
        <v>2533</v>
      </c>
      <c r="H5947" s="12" t="n">
        <v>1</v>
      </c>
      <c r="I5947" s="4" t="s">
        <v>408</v>
      </c>
      <c r="J5947" s="4" t="s">
        <v>416</v>
      </c>
      <c r="K5947" s="13" t="n">
        <v>1800</v>
      </c>
      <c r="L5947" s="6" t="n">
        <f aca="false">H5947*K5947</f>
        <v>1800</v>
      </c>
      <c r="M5947" s="14" t="s">
        <v>410</v>
      </c>
    </row>
    <row r="5948" customFormat="false" ht="15" hidden="false" customHeight="false" outlineLevel="0" collapsed="false">
      <c r="A5948" s="4" t="s">
        <v>315</v>
      </c>
      <c r="B5948" s="5" t="s">
        <v>316</v>
      </c>
      <c r="C5948" s="5" t="s">
        <v>317</v>
      </c>
      <c r="D5948" s="4" t="s">
        <v>16</v>
      </c>
      <c r="E5948" s="4" t="s">
        <v>2534</v>
      </c>
      <c r="F5948" s="4" t="s">
        <v>406</v>
      </c>
      <c r="G5948" s="4" t="s">
        <v>2535</v>
      </c>
      <c r="H5948" s="12" t="n">
        <v>1</v>
      </c>
      <c r="I5948" s="4" t="s">
        <v>408</v>
      </c>
      <c r="J5948" s="4" t="s">
        <v>409</v>
      </c>
      <c r="K5948" s="13" t="n">
        <v>450</v>
      </c>
      <c r="L5948" s="6" t="n">
        <f aca="false">H5948*K5948</f>
        <v>450</v>
      </c>
      <c r="M5948" s="14" t="s">
        <v>410</v>
      </c>
    </row>
    <row r="5949" customFormat="false" ht="15" hidden="false" customHeight="false" outlineLevel="0" collapsed="false">
      <c r="A5949" s="4" t="s">
        <v>315</v>
      </c>
      <c r="B5949" s="5" t="s">
        <v>316</v>
      </c>
      <c r="C5949" s="5" t="s">
        <v>317</v>
      </c>
      <c r="D5949" s="4" t="s">
        <v>16</v>
      </c>
      <c r="E5949" s="4" t="s">
        <v>2536</v>
      </c>
      <c r="F5949" s="4" t="s">
        <v>406</v>
      </c>
      <c r="G5949" s="4" t="s">
        <v>2537</v>
      </c>
      <c r="H5949" s="12" t="n">
        <v>1</v>
      </c>
      <c r="I5949" s="4" t="s">
        <v>408</v>
      </c>
      <c r="J5949" s="4" t="s">
        <v>416</v>
      </c>
      <c r="K5949" s="13" t="n">
        <v>350</v>
      </c>
      <c r="L5949" s="6" t="n">
        <f aca="false">H5949*K5949</f>
        <v>350</v>
      </c>
      <c r="M5949" s="4" t="s">
        <v>371</v>
      </c>
    </row>
    <row r="5950" customFormat="false" ht="15" hidden="false" customHeight="false" outlineLevel="0" collapsed="false">
      <c r="A5950" s="4" t="s">
        <v>315</v>
      </c>
      <c r="B5950" s="5" t="s">
        <v>316</v>
      </c>
      <c r="C5950" s="5" t="s">
        <v>317</v>
      </c>
      <c r="D5950" s="4" t="s">
        <v>16</v>
      </c>
      <c r="E5950" s="4" t="s">
        <v>2538</v>
      </c>
      <c r="F5950" s="4" t="s">
        <v>406</v>
      </c>
      <c r="G5950" s="4" t="s">
        <v>2539</v>
      </c>
      <c r="H5950" s="12" t="n">
        <v>1</v>
      </c>
      <c r="I5950" s="4" t="s">
        <v>408</v>
      </c>
      <c r="J5950" s="4" t="s">
        <v>409</v>
      </c>
      <c r="K5950" s="13" t="n">
        <v>450</v>
      </c>
      <c r="L5950" s="6" t="n">
        <f aca="false">H5950*K5950</f>
        <v>450</v>
      </c>
      <c r="M5950" s="14" t="s">
        <v>410</v>
      </c>
    </row>
    <row r="5951" customFormat="false" ht="15" hidden="false" customHeight="false" outlineLevel="0" collapsed="false">
      <c r="A5951" s="4" t="s">
        <v>315</v>
      </c>
      <c r="B5951" s="5" t="s">
        <v>316</v>
      </c>
      <c r="C5951" s="5" t="s">
        <v>317</v>
      </c>
      <c r="D5951" s="4" t="s">
        <v>16</v>
      </c>
      <c r="E5951" s="4" t="s">
        <v>2540</v>
      </c>
      <c r="F5951" s="4" t="s">
        <v>406</v>
      </c>
      <c r="G5951" s="4" t="s">
        <v>1547</v>
      </c>
      <c r="H5951" s="12" t="n">
        <v>1</v>
      </c>
      <c r="I5951" s="4" t="s">
        <v>408</v>
      </c>
      <c r="J5951" s="4" t="s">
        <v>409</v>
      </c>
      <c r="K5951" s="13" t="n">
        <v>650</v>
      </c>
      <c r="L5951" s="6" t="n">
        <f aca="false">H5951*K5951</f>
        <v>650</v>
      </c>
      <c r="M5951" s="14" t="s">
        <v>410</v>
      </c>
    </row>
    <row r="5952" customFormat="false" ht="15" hidden="false" customHeight="false" outlineLevel="0" collapsed="false">
      <c r="A5952" s="4" t="s">
        <v>315</v>
      </c>
      <c r="B5952" s="5" t="s">
        <v>316</v>
      </c>
      <c r="C5952" s="5" t="s">
        <v>317</v>
      </c>
      <c r="D5952" s="4" t="s">
        <v>16</v>
      </c>
      <c r="E5952" s="4" t="s">
        <v>6425</v>
      </c>
      <c r="F5952" s="4" t="s">
        <v>406</v>
      </c>
      <c r="G5952" s="4" t="s">
        <v>6426</v>
      </c>
      <c r="H5952" s="12" t="n">
        <v>1</v>
      </c>
      <c r="I5952" s="4" t="s">
        <v>408</v>
      </c>
      <c r="J5952" s="4" t="s">
        <v>409</v>
      </c>
      <c r="K5952" s="13" t="n">
        <v>1800</v>
      </c>
      <c r="L5952" s="6" t="n">
        <f aca="false">H5952*K5952</f>
        <v>1800</v>
      </c>
      <c r="M5952" s="14" t="s">
        <v>410</v>
      </c>
    </row>
    <row r="5953" customFormat="false" ht="15" hidden="false" customHeight="false" outlineLevel="0" collapsed="false">
      <c r="A5953" s="4" t="s">
        <v>315</v>
      </c>
      <c r="B5953" s="5" t="s">
        <v>316</v>
      </c>
      <c r="C5953" s="5" t="s">
        <v>317</v>
      </c>
      <c r="D5953" s="4" t="s">
        <v>16</v>
      </c>
      <c r="E5953" s="4" t="s">
        <v>2574</v>
      </c>
      <c r="F5953" s="4" t="s">
        <v>406</v>
      </c>
      <c r="G5953" s="4" t="s">
        <v>2575</v>
      </c>
      <c r="H5953" s="12" t="n">
        <v>1</v>
      </c>
      <c r="I5953" s="4" t="s">
        <v>408</v>
      </c>
      <c r="J5953" s="4" t="s">
        <v>416</v>
      </c>
      <c r="K5953" s="13" t="n">
        <v>8500</v>
      </c>
      <c r="L5953" s="6" t="n">
        <f aca="false">H5953*K5953</f>
        <v>8500</v>
      </c>
      <c r="M5953" s="4" t="s">
        <v>371</v>
      </c>
    </row>
    <row r="5954" customFormat="false" ht="15" hidden="false" customHeight="false" outlineLevel="0" collapsed="false">
      <c r="A5954" s="4" t="s">
        <v>315</v>
      </c>
      <c r="B5954" s="5" t="s">
        <v>316</v>
      </c>
      <c r="C5954" s="5" t="s">
        <v>317</v>
      </c>
      <c r="D5954" s="4" t="s">
        <v>16</v>
      </c>
      <c r="E5954" s="4" t="s">
        <v>2541</v>
      </c>
      <c r="F5954" s="4" t="s">
        <v>406</v>
      </c>
      <c r="G5954" s="4" t="s">
        <v>2542</v>
      </c>
      <c r="H5954" s="12" t="n">
        <v>1</v>
      </c>
      <c r="I5954" s="4" t="s">
        <v>408</v>
      </c>
      <c r="J5954" s="4" t="s">
        <v>409</v>
      </c>
      <c r="K5954" s="13" t="n">
        <v>8500</v>
      </c>
      <c r="L5954" s="6" t="n">
        <f aca="false">H5954*K5954</f>
        <v>8500</v>
      </c>
      <c r="M5954" s="14" t="s">
        <v>410</v>
      </c>
    </row>
    <row r="5955" customFormat="false" ht="15" hidden="false" customHeight="false" outlineLevel="0" collapsed="false">
      <c r="A5955" s="4" t="s">
        <v>315</v>
      </c>
      <c r="B5955" s="5" t="s">
        <v>316</v>
      </c>
      <c r="C5955" s="5" t="s">
        <v>317</v>
      </c>
      <c r="D5955" s="4" t="s">
        <v>16</v>
      </c>
      <c r="E5955" s="4" t="s">
        <v>6427</v>
      </c>
      <c r="F5955" s="4" t="s">
        <v>406</v>
      </c>
      <c r="G5955" s="4" t="s">
        <v>6428</v>
      </c>
      <c r="H5955" s="12" t="n">
        <v>1</v>
      </c>
      <c r="I5955" s="4" t="s">
        <v>408</v>
      </c>
      <c r="J5955" s="4" t="s">
        <v>409</v>
      </c>
      <c r="K5955" s="13" t="n">
        <v>45000</v>
      </c>
      <c r="L5955" s="6" t="n">
        <f aca="false">H5955*K5955</f>
        <v>45000</v>
      </c>
      <c r="M5955" s="4" t="s">
        <v>371</v>
      </c>
    </row>
    <row r="5956" customFormat="false" ht="15" hidden="false" customHeight="false" outlineLevel="0" collapsed="false">
      <c r="A5956" s="4" t="s">
        <v>315</v>
      </c>
      <c r="B5956" s="5" t="s">
        <v>316</v>
      </c>
      <c r="C5956" s="5" t="s">
        <v>317</v>
      </c>
      <c r="D5956" s="4" t="s">
        <v>16</v>
      </c>
      <c r="E5956" s="4" t="s">
        <v>2545</v>
      </c>
      <c r="F5956" s="4" t="s">
        <v>406</v>
      </c>
      <c r="G5956" s="4" t="s">
        <v>2546</v>
      </c>
      <c r="H5956" s="12" t="n">
        <v>1</v>
      </c>
      <c r="I5956" s="4" t="s">
        <v>408</v>
      </c>
      <c r="J5956" s="4" t="s">
        <v>409</v>
      </c>
      <c r="K5956" s="13" t="n">
        <v>18000</v>
      </c>
      <c r="L5956" s="6" t="n">
        <f aca="false">H5956*K5956</f>
        <v>18000</v>
      </c>
      <c r="M5956" s="4" t="s">
        <v>371</v>
      </c>
    </row>
    <row r="5957" customFormat="false" ht="15" hidden="false" customHeight="false" outlineLevel="0" collapsed="false">
      <c r="A5957" s="4" t="s">
        <v>315</v>
      </c>
      <c r="B5957" s="5" t="s">
        <v>316</v>
      </c>
      <c r="C5957" s="5" t="s">
        <v>317</v>
      </c>
      <c r="D5957" s="4" t="s">
        <v>16</v>
      </c>
      <c r="E5957" s="4" t="s">
        <v>2547</v>
      </c>
      <c r="F5957" s="4" t="s">
        <v>406</v>
      </c>
      <c r="G5957" s="4" t="s">
        <v>2548</v>
      </c>
      <c r="H5957" s="12" t="n">
        <v>1</v>
      </c>
      <c r="I5957" s="4" t="s">
        <v>408</v>
      </c>
      <c r="J5957" s="4" t="s">
        <v>409</v>
      </c>
      <c r="K5957" s="13" t="n">
        <v>1800</v>
      </c>
      <c r="L5957" s="6" t="n">
        <f aca="false">H5957*K5957</f>
        <v>1800</v>
      </c>
      <c r="M5957" s="14" t="s">
        <v>410</v>
      </c>
    </row>
    <row r="5958" customFormat="false" ht="15" hidden="false" customHeight="false" outlineLevel="0" collapsed="false">
      <c r="A5958" s="4" t="s">
        <v>315</v>
      </c>
      <c r="B5958" s="5" t="s">
        <v>316</v>
      </c>
      <c r="C5958" s="5" t="s">
        <v>317</v>
      </c>
      <c r="D5958" s="4" t="s">
        <v>16</v>
      </c>
      <c r="E5958" s="4" t="s">
        <v>6429</v>
      </c>
      <c r="F5958" s="4" t="s">
        <v>406</v>
      </c>
      <c r="G5958" s="4" t="s">
        <v>6430</v>
      </c>
      <c r="H5958" s="12" t="n">
        <v>1</v>
      </c>
      <c r="I5958" s="4" t="s">
        <v>408</v>
      </c>
      <c r="J5958" s="4" t="s">
        <v>409</v>
      </c>
      <c r="K5958" s="13" t="n">
        <v>12000</v>
      </c>
      <c r="L5958" s="6" t="n">
        <f aca="false">H5958*K5958</f>
        <v>12000</v>
      </c>
      <c r="M5958" s="14" t="s">
        <v>410</v>
      </c>
    </row>
    <row r="5959" customFormat="false" ht="15" hidden="false" customHeight="false" outlineLevel="0" collapsed="false">
      <c r="A5959" s="4" t="s">
        <v>315</v>
      </c>
      <c r="B5959" s="5" t="s">
        <v>316</v>
      </c>
      <c r="C5959" s="5" t="s">
        <v>317</v>
      </c>
      <c r="D5959" s="4" t="s">
        <v>16</v>
      </c>
      <c r="E5959" s="4" t="s">
        <v>2551</v>
      </c>
      <c r="F5959" s="4" t="s">
        <v>406</v>
      </c>
      <c r="G5959" s="4" t="s">
        <v>2552</v>
      </c>
      <c r="H5959" s="12" t="n">
        <v>1</v>
      </c>
      <c r="I5959" s="4" t="s">
        <v>408</v>
      </c>
      <c r="J5959" s="4" t="s">
        <v>409</v>
      </c>
      <c r="K5959" s="13" t="n">
        <v>85000</v>
      </c>
      <c r="L5959" s="6" t="n">
        <f aca="false">H5959*K5959</f>
        <v>85000</v>
      </c>
      <c r="M5959" s="14" t="s">
        <v>410</v>
      </c>
    </row>
    <row r="5960" customFormat="false" ht="15" hidden="false" customHeight="false" outlineLevel="0" collapsed="false">
      <c r="A5960" s="4" t="s">
        <v>315</v>
      </c>
      <c r="B5960" s="5" t="s">
        <v>316</v>
      </c>
      <c r="C5960" s="5" t="s">
        <v>317</v>
      </c>
      <c r="D5960" s="4" t="s">
        <v>16</v>
      </c>
      <c r="E5960" s="4" t="s">
        <v>2559</v>
      </c>
      <c r="F5960" s="4" t="s">
        <v>488</v>
      </c>
      <c r="G5960" s="4" t="s">
        <v>2560</v>
      </c>
      <c r="H5960" s="12" t="n">
        <v>1</v>
      </c>
      <c r="I5960" s="4" t="s">
        <v>408</v>
      </c>
      <c r="J5960" s="4" t="s">
        <v>409</v>
      </c>
      <c r="K5960" s="13" t="n">
        <v>850</v>
      </c>
      <c r="L5960" s="6" t="n">
        <f aca="false">H5960*K5960</f>
        <v>850</v>
      </c>
      <c r="M5960" s="4" t="s">
        <v>371</v>
      </c>
    </row>
    <row r="5961" customFormat="false" ht="15" hidden="false" customHeight="false" outlineLevel="0" collapsed="false">
      <c r="A5961" s="4" t="s">
        <v>315</v>
      </c>
      <c r="B5961" s="5" t="s">
        <v>316</v>
      </c>
      <c r="C5961" s="5" t="s">
        <v>317</v>
      </c>
      <c r="D5961" s="4" t="s">
        <v>16</v>
      </c>
      <c r="E5961" s="4" t="s">
        <v>2561</v>
      </c>
      <c r="F5961" s="4" t="s">
        <v>488</v>
      </c>
      <c r="G5961" s="4" t="s">
        <v>2562</v>
      </c>
      <c r="H5961" s="12" t="n">
        <v>1</v>
      </c>
      <c r="I5961" s="4" t="s">
        <v>408</v>
      </c>
      <c r="J5961" s="4" t="s">
        <v>409</v>
      </c>
      <c r="K5961" s="13" t="n">
        <v>850</v>
      </c>
      <c r="L5961" s="6" t="n">
        <f aca="false">H5961*K5961</f>
        <v>850</v>
      </c>
      <c r="M5961" s="4" t="s">
        <v>371</v>
      </c>
    </row>
    <row r="5962" customFormat="false" ht="15" hidden="false" customHeight="false" outlineLevel="0" collapsed="false">
      <c r="A5962" s="4" t="s">
        <v>315</v>
      </c>
      <c r="B5962" s="5" t="s">
        <v>316</v>
      </c>
      <c r="C5962" s="5" t="s">
        <v>317</v>
      </c>
      <c r="D5962" s="4" t="s">
        <v>16</v>
      </c>
      <c r="E5962" s="4" t="s">
        <v>2563</v>
      </c>
      <c r="F5962" s="4" t="s">
        <v>488</v>
      </c>
      <c r="G5962" s="4" t="s">
        <v>2564</v>
      </c>
      <c r="H5962" s="12" t="n">
        <v>1</v>
      </c>
      <c r="I5962" s="4" t="s">
        <v>408</v>
      </c>
      <c r="J5962" s="4" t="s">
        <v>409</v>
      </c>
      <c r="K5962" s="13" t="n">
        <v>8500</v>
      </c>
      <c r="L5962" s="6" t="n">
        <f aca="false">H5962*K5962</f>
        <v>8500</v>
      </c>
      <c r="M5962" s="4" t="s">
        <v>371</v>
      </c>
    </row>
    <row r="5963" customFormat="false" ht="15" hidden="false" customHeight="false" outlineLevel="0" collapsed="false">
      <c r="A5963" s="4" t="s">
        <v>315</v>
      </c>
      <c r="B5963" s="5" t="s">
        <v>316</v>
      </c>
      <c r="C5963" s="5" t="s">
        <v>317</v>
      </c>
      <c r="D5963" s="4" t="s">
        <v>16</v>
      </c>
      <c r="E5963" s="4" t="s">
        <v>2565</v>
      </c>
      <c r="F5963" s="4" t="s">
        <v>488</v>
      </c>
      <c r="G5963" s="4" t="s">
        <v>2566</v>
      </c>
      <c r="H5963" s="12" t="n">
        <v>1</v>
      </c>
      <c r="I5963" s="4" t="s">
        <v>408</v>
      </c>
      <c r="J5963" s="4" t="s">
        <v>409</v>
      </c>
      <c r="K5963" s="13" t="n">
        <v>4500</v>
      </c>
      <c r="L5963" s="6" t="n">
        <f aca="false">H5963*K5963</f>
        <v>4500</v>
      </c>
      <c r="M5963" s="4" t="s">
        <v>371</v>
      </c>
    </row>
    <row r="5964" customFormat="false" ht="15" hidden="false" customHeight="false" outlineLevel="0" collapsed="false">
      <c r="A5964" s="4" t="s">
        <v>315</v>
      </c>
      <c r="B5964" s="5" t="s">
        <v>316</v>
      </c>
      <c r="C5964" s="5" t="s">
        <v>317</v>
      </c>
      <c r="D5964" s="4" t="s">
        <v>16</v>
      </c>
      <c r="E5964" s="4" t="s">
        <v>2567</v>
      </c>
      <c r="F5964" s="4" t="s">
        <v>488</v>
      </c>
      <c r="G5964" s="4" t="s">
        <v>2568</v>
      </c>
      <c r="H5964" s="12" t="n">
        <v>1</v>
      </c>
      <c r="I5964" s="4" t="s">
        <v>408</v>
      </c>
      <c r="J5964" s="4" t="s">
        <v>409</v>
      </c>
      <c r="K5964" s="13" t="n">
        <v>4500</v>
      </c>
      <c r="L5964" s="6" t="n">
        <f aca="false">H5964*K5964</f>
        <v>4500</v>
      </c>
      <c r="M5964" s="4" t="s">
        <v>371</v>
      </c>
    </row>
    <row r="5965" customFormat="false" ht="15" hidden="false" customHeight="false" outlineLevel="0" collapsed="false">
      <c r="A5965" s="4" t="s">
        <v>315</v>
      </c>
      <c r="B5965" s="5" t="s">
        <v>316</v>
      </c>
      <c r="C5965" s="5" t="s">
        <v>317</v>
      </c>
      <c r="D5965" s="4" t="s">
        <v>16</v>
      </c>
      <c r="E5965" s="4" t="s">
        <v>2569</v>
      </c>
      <c r="F5965" s="4" t="s">
        <v>488</v>
      </c>
      <c r="G5965" s="4" t="s">
        <v>2570</v>
      </c>
      <c r="H5965" s="12" t="n">
        <v>1</v>
      </c>
      <c r="I5965" s="4" t="s">
        <v>408</v>
      </c>
      <c r="J5965" s="4" t="s">
        <v>409</v>
      </c>
      <c r="K5965" s="13" t="n">
        <v>850</v>
      </c>
      <c r="L5965" s="6" t="n">
        <f aca="false">H5965*K5965</f>
        <v>850</v>
      </c>
      <c r="M5965" s="4" t="s">
        <v>371</v>
      </c>
    </row>
    <row r="5966" customFormat="false" ht="15" hidden="false" customHeight="false" outlineLevel="0" collapsed="false">
      <c r="A5966" s="4" t="s">
        <v>315</v>
      </c>
      <c r="B5966" s="5" t="s">
        <v>316</v>
      </c>
      <c r="C5966" s="5" t="s">
        <v>317</v>
      </c>
      <c r="D5966" s="4" t="s">
        <v>16</v>
      </c>
      <c r="E5966" s="4" t="s">
        <v>2571</v>
      </c>
      <c r="F5966" s="4" t="s">
        <v>488</v>
      </c>
      <c r="G5966" s="4" t="s">
        <v>2572</v>
      </c>
      <c r="H5966" s="12" t="n">
        <v>1</v>
      </c>
      <c r="I5966" s="4" t="s">
        <v>408</v>
      </c>
      <c r="J5966" s="4" t="s">
        <v>409</v>
      </c>
      <c r="K5966" s="13" t="n">
        <v>8500</v>
      </c>
      <c r="L5966" s="6" t="n">
        <f aca="false">H5966*K5966</f>
        <v>8500</v>
      </c>
      <c r="M5966" s="4" t="s">
        <v>371</v>
      </c>
    </row>
    <row r="5967" customFormat="false" ht="15" hidden="false" customHeight="false" outlineLevel="0" collapsed="false">
      <c r="A5967" s="4" t="s">
        <v>315</v>
      </c>
      <c r="B5967" s="5" t="s">
        <v>316</v>
      </c>
      <c r="C5967" s="5" t="s">
        <v>317</v>
      </c>
      <c r="D5967" s="4" t="s">
        <v>16</v>
      </c>
      <c r="E5967" s="4" t="s">
        <v>2573</v>
      </c>
      <c r="F5967" s="4" t="s">
        <v>488</v>
      </c>
      <c r="G5967" s="4" t="s">
        <v>2114</v>
      </c>
      <c r="H5967" s="12" t="n">
        <v>1</v>
      </c>
      <c r="I5967" s="4" t="s">
        <v>408</v>
      </c>
      <c r="J5967" s="4" t="s">
        <v>409</v>
      </c>
      <c r="K5967" s="13" t="n">
        <v>18000</v>
      </c>
      <c r="L5967" s="6" t="n">
        <f aca="false">H5967*K5967</f>
        <v>18000</v>
      </c>
      <c r="M5967" s="14" t="s">
        <v>410</v>
      </c>
    </row>
    <row r="5968" customFormat="false" ht="15" hidden="false" customHeight="false" outlineLevel="0" collapsed="false">
      <c r="A5968" s="4" t="s">
        <v>315</v>
      </c>
      <c r="B5968" s="5" t="s">
        <v>316</v>
      </c>
      <c r="C5968" s="5" t="s">
        <v>317</v>
      </c>
      <c r="D5968" s="4" t="s">
        <v>16</v>
      </c>
      <c r="E5968" s="4" t="s">
        <v>2553</v>
      </c>
      <c r="F5968" s="4" t="s">
        <v>488</v>
      </c>
      <c r="G5968" s="4" t="s">
        <v>2554</v>
      </c>
      <c r="H5968" s="12" t="n">
        <v>1</v>
      </c>
      <c r="I5968" s="4" t="s">
        <v>408</v>
      </c>
      <c r="J5968" s="4" t="s">
        <v>416</v>
      </c>
      <c r="K5968" s="13" t="n">
        <v>450</v>
      </c>
      <c r="L5968" s="6" t="n">
        <f aca="false">H5968*K5968</f>
        <v>450</v>
      </c>
      <c r="M5968" s="4" t="s">
        <v>371</v>
      </c>
    </row>
    <row r="5969" customFormat="false" ht="15" hidden="false" customHeight="false" outlineLevel="0" collapsed="false">
      <c r="A5969" s="4" t="s">
        <v>315</v>
      </c>
      <c r="B5969" s="5" t="s">
        <v>316</v>
      </c>
      <c r="C5969" s="5" t="s">
        <v>317</v>
      </c>
      <c r="D5969" s="4" t="s">
        <v>16</v>
      </c>
      <c r="E5969" s="4" t="s">
        <v>6431</v>
      </c>
      <c r="F5969" s="4" t="s">
        <v>488</v>
      </c>
      <c r="G5969" s="4" t="s">
        <v>6432</v>
      </c>
      <c r="H5969" s="12" t="n">
        <v>1</v>
      </c>
      <c r="I5969" s="4" t="s">
        <v>408</v>
      </c>
      <c r="J5969" s="4" t="s">
        <v>416</v>
      </c>
      <c r="K5969" s="13" t="n">
        <v>3500</v>
      </c>
      <c r="L5969" s="6" t="n">
        <f aca="false">H5969*K5969</f>
        <v>3500</v>
      </c>
      <c r="M5969" s="4" t="s">
        <v>371</v>
      </c>
    </row>
    <row r="5970" customFormat="false" ht="15" hidden="false" customHeight="false" outlineLevel="0" collapsed="false">
      <c r="A5970" s="4" t="s">
        <v>315</v>
      </c>
      <c r="B5970" s="5" t="s">
        <v>316</v>
      </c>
      <c r="C5970" s="5" t="s">
        <v>317</v>
      </c>
      <c r="D5970" s="4" t="s">
        <v>16</v>
      </c>
      <c r="E5970" s="4" t="s">
        <v>2557</v>
      </c>
      <c r="F5970" s="4" t="s">
        <v>488</v>
      </c>
      <c r="G5970" s="4" t="s">
        <v>2558</v>
      </c>
      <c r="H5970" s="12" t="n">
        <v>1</v>
      </c>
      <c r="I5970" s="4" t="s">
        <v>408</v>
      </c>
      <c r="J5970" s="4" t="s">
        <v>416</v>
      </c>
      <c r="K5970" s="13" t="n">
        <v>850</v>
      </c>
      <c r="L5970" s="6" t="n">
        <f aca="false">H5970*K5970</f>
        <v>850</v>
      </c>
      <c r="M5970" s="4" t="s">
        <v>371</v>
      </c>
    </row>
    <row r="5971" customFormat="false" ht="15" hidden="false" customHeight="false" outlineLevel="0" collapsed="false">
      <c r="A5971" s="4" t="s">
        <v>315</v>
      </c>
      <c r="B5971" s="5" t="s">
        <v>316</v>
      </c>
      <c r="C5971" s="5" t="s">
        <v>317</v>
      </c>
      <c r="D5971" s="4" t="s">
        <v>16</v>
      </c>
      <c r="E5971" s="4" t="s">
        <v>6433</v>
      </c>
      <c r="F5971" s="4" t="s">
        <v>488</v>
      </c>
      <c r="G5971" s="4" t="s">
        <v>6434</v>
      </c>
      <c r="H5971" s="12" t="n">
        <v>1</v>
      </c>
      <c r="I5971" s="4" t="s">
        <v>408</v>
      </c>
      <c r="J5971" s="4" t="s">
        <v>416</v>
      </c>
      <c r="K5971" s="13" t="n">
        <v>2500</v>
      </c>
      <c r="L5971" s="6" t="n">
        <f aca="false">H5971*K5971</f>
        <v>2500</v>
      </c>
      <c r="M5971" s="4" t="s">
        <v>371</v>
      </c>
    </row>
    <row r="5972" customFormat="false" ht="15" hidden="false" customHeight="false" outlineLevel="0" collapsed="false">
      <c r="A5972" s="4" t="s">
        <v>315</v>
      </c>
      <c r="B5972" s="5" t="s">
        <v>320</v>
      </c>
      <c r="C5972" s="5" t="s">
        <v>321</v>
      </c>
      <c r="D5972" s="4" t="s">
        <v>16</v>
      </c>
      <c r="E5972" s="4" t="s">
        <v>2515</v>
      </c>
      <c r="F5972" s="4" t="s">
        <v>406</v>
      </c>
      <c r="G5972" s="4" t="s">
        <v>2516</v>
      </c>
      <c r="H5972" s="12" t="n">
        <v>1</v>
      </c>
      <c r="I5972" s="4" t="s">
        <v>408</v>
      </c>
      <c r="J5972" s="4" t="s">
        <v>409</v>
      </c>
      <c r="K5972" s="13" t="n">
        <v>1800</v>
      </c>
      <c r="L5972" s="6" t="n">
        <f aca="false">H5972*K5972</f>
        <v>1800</v>
      </c>
      <c r="M5972" s="14" t="s">
        <v>410</v>
      </c>
    </row>
    <row r="5973" customFormat="false" ht="15" hidden="false" customHeight="false" outlineLevel="0" collapsed="false">
      <c r="A5973" s="4" t="s">
        <v>315</v>
      </c>
      <c r="B5973" s="5" t="s">
        <v>320</v>
      </c>
      <c r="C5973" s="5" t="s">
        <v>321</v>
      </c>
      <c r="D5973" s="4" t="s">
        <v>16</v>
      </c>
      <c r="E5973" s="4" t="s">
        <v>2517</v>
      </c>
      <c r="F5973" s="4" t="s">
        <v>406</v>
      </c>
      <c r="G5973" s="4" t="s">
        <v>2518</v>
      </c>
      <c r="H5973" s="12" t="n">
        <v>1</v>
      </c>
      <c r="I5973" s="4" t="s">
        <v>408</v>
      </c>
      <c r="J5973" s="4" t="s">
        <v>409</v>
      </c>
      <c r="K5973" s="13" t="n">
        <v>450</v>
      </c>
      <c r="L5973" s="6" t="n">
        <f aca="false">H5973*K5973</f>
        <v>450</v>
      </c>
      <c r="M5973" s="14" t="s">
        <v>410</v>
      </c>
    </row>
    <row r="5974" customFormat="false" ht="15" hidden="false" customHeight="false" outlineLevel="0" collapsed="false">
      <c r="A5974" s="4" t="s">
        <v>315</v>
      </c>
      <c r="B5974" s="5" t="s">
        <v>320</v>
      </c>
      <c r="C5974" s="5" t="s">
        <v>321</v>
      </c>
      <c r="D5974" s="4" t="s">
        <v>16</v>
      </c>
      <c r="E5974" s="4" t="s">
        <v>2519</v>
      </c>
      <c r="F5974" s="4" t="s">
        <v>406</v>
      </c>
      <c r="G5974" s="4" t="s">
        <v>2520</v>
      </c>
      <c r="H5974" s="12" t="n">
        <v>1</v>
      </c>
      <c r="I5974" s="4" t="s">
        <v>408</v>
      </c>
      <c r="J5974" s="4" t="s">
        <v>409</v>
      </c>
      <c r="K5974" s="13" t="n">
        <v>850</v>
      </c>
      <c r="L5974" s="6" t="n">
        <f aca="false">H5974*K5974</f>
        <v>850</v>
      </c>
      <c r="M5974" s="14" t="s">
        <v>410</v>
      </c>
    </row>
    <row r="5975" customFormat="false" ht="15" hidden="false" customHeight="false" outlineLevel="0" collapsed="false">
      <c r="A5975" s="4" t="s">
        <v>315</v>
      </c>
      <c r="B5975" s="5" t="s">
        <v>320</v>
      </c>
      <c r="C5975" s="5" t="s">
        <v>321</v>
      </c>
      <c r="D5975" s="4" t="s">
        <v>16</v>
      </c>
      <c r="E5975" s="4" t="s">
        <v>2521</v>
      </c>
      <c r="F5975" s="4" t="s">
        <v>406</v>
      </c>
      <c r="G5975" s="4" t="s">
        <v>2522</v>
      </c>
      <c r="H5975" s="12" t="n">
        <v>1</v>
      </c>
      <c r="I5975" s="4" t="s">
        <v>408</v>
      </c>
      <c r="J5975" s="4" t="s">
        <v>416</v>
      </c>
      <c r="K5975" s="13" t="n">
        <v>4500</v>
      </c>
      <c r="L5975" s="6" t="n">
        <f aca="false">H5975*K5975</f>
        <v>4500</v>
      </c>
      <c r="M5975" s="14" t="s">
        <v>410</v>
      </c>
    </row>
    <row r="5976" customFormat="false" ht="15" hidden="false" customHeight="false" outlineLevel="0" collapsed="false">
      <c r="A5976" s="4" t="s">
        <v>315</v>
      </c>
      <c r="B5976" s="5" t="s">
        <v>320</v>
      </c>
      <c r="C5976" s="5" t="s">
        <v>321</v>
      </c>
      <c r="D5976" s="4" t="s">
        <v>16</v>
      </c>
      <c r="E5976" s="4" t="s">
        <v>1675</v>
      </c>
      <c r="F5976" s="4" t="s">
        <v>406</v>
      </c>
      <c r="G5976" s="4" t="s">
        <v>1676</v>
      </c>
      <c r="H5976" s="12" t="n">
        <v>1</v>
      </c>
      <c r="I5976" s="4" t="s">
        <v>408</v>
      </c>
      <c r="J5976" s="4" t="s">
        <v>409</v>
      </c>
      <c r="K5976" s="13" t="n">
        <v>450</v>
      </c>
      <c r="L5976" s="6" t="n">
        <f aca="false">H5976*K5976</f>
        <v>450</v>
      </c>
      <c r="M5976" s="14" t="s">
        <v>410</v>
      </c>
    </row>
    <row r="5977" customFormat="false" ht="15" hidden="false" customHeight="false" outlineLevel="0" collapsed="false">
      <c r="A5977" s="4" t="s">
        <v>315</v>
      </c>
      <c r="B5977" s="5" t="s">
        <v>320</v>
      </c>
      <c r="C5977" s="5" t="s">
        <v>321</v>
      </c>
      <c r="D5977" s="4" t="s">
        <v>16</v>
      </c>
      <c r="E5977" s="4" t="s">
        <v>2523</v>
      </c>
      <c r="F5977" s="4" t="s">
        <v>406</v>
      </c>
      <c r="G5977" s="4" t="s">
        <v>2524</v>
      </c>
      <c r="H5977" s="12" t="n">
        <v>1</v>
      </c>
      <c r="I5977" s="4" t="s">
        <v>408</v>
      </c>
      <c r="J5977" s="4" t="s">
        <v>409</v>
      </c>
      <c r="K5977" s="13" t="n">
        <v>3500</v>
      </c>
      <c r="L5977" s="6" t="n">
        <f aca="false">H5977*K5977</f>
        <v>3500</v>
      </c>
      <c r="M5977" s="14" t="s">
        <v>410</v>
      </c>
    </row>
    <row r="5978" customFormat="false" ht="15" hidden="false" customHeight="false" outlineLevel="0" collapsed="false">
      <c r="A5978" s="4" t="s">
        <v>315</v>
      </c>
      <c r="B5978" s="5" t="s">
        <v>320</v>
      </c>
      <c r="C5978" s="5" t="s">
        <v>321</v>
      </c>
      <c r="D5978" s="4" t="s">
        <v>16</v>
      </c>
      <c r="E5978" s="4" t="s">
        <v>2525</v>
      </c>
      <c r="F5978" s="4" t="s">
        <v>406</v>
      </c>
      <c r="G5978" s="4" t="s">
        <v>2526</v>
      </c>
      <c r="H5978" s="12" t="n">
        <v>1</v>
      </c>
      <c r="I5978" s="4" t="s">
        <v>408</v>
      </c>
      <c r="J5978" s="4" t="s">
        <v>416</v>
      </c>
      <c r="K5978" s="13" t="n">
        <v>1200</v>
      </c>
      <c r="L5978" s="6" t="n">
        <f aca="false">H5978*K5978</f>
        <v>1200</v>
      </c>
      <c r="M5978" s="14" t="s">
        <v>410</v>
      </c>
    </row>
    <row r="5979" customFormat="false" ht="15" hidden="false" customHeight="false" outlineLevel="0" collapsed="false">
      <c r="A5979" s="4" t="s">
        <v>315</v>
      </c>
      <c r="B5979" s="5" t="s">
        <v>320</v>
      </c>
      <c r="C5979" s="5" t="s">
        <v>321</v>
      </c>
      <c r="D5979" s="4" t="s">
        <v>16</v>
      </c>
      <c r="E5979" s="4" t="s">
        <v>2527</v>
      </c>
      <c r="F5979" s="4" t="s">
        <v>406</v>
      </c>
      <c r="G5979" s="4" t="s">
        <v>2528</v>
      </c>
      <c r="H5979" s="12" t="n">
        <v>1</v>
      </c>
      <c r="I5979" s="4" t="s">
        <v>408</v>
      </c>
      <c r="J5979" s="4" t="s">
        <v>416</v>
      </c>
      <c r="K5979" s="13" t="n">
        <v>1800</v>
      </c>
      <c r="L5979" s="6" t="n">
        <f aca="false">H5979*K5979</f>
        <v>1800</v>
      </c>
      <c r="M5979" s="14" t="s">
        <v>410</v>
      </c>
    </row>
    <row r="5980" customFormat="false" ht="15" hidden="false" customHeight="false" outlineLevel="0" collapsed="false">
      <c r="A5980" s="4" t="s">
        <v>315</v>
      </c>
      <c r="B5980" s="5" t="s">
        <v>320</v>
      </c>
      <c r="C5980" s="5" t="s">
        <v>321</v>
      </c>
      <c r="D5980" s="4" t="s">
        <v>16</v>
      </c>
      <c r="E5980" s="4" t="s">
        <v>2529</v>
      </c>
      <c r="F5980" s="4" t="s">
        <v>406</v>
      </c>
      <c r="G5980" s="4" t="s">
        <v>1193</v>
      </c>
      <c r="H5980" s="12" t="n">
        <v>1</v>
      </c>
      <c r="I5980" s="4" t="s">
        <v>408</v>
      </c>
      <c r="J5980" s="4" t="s">
        <v>416</v>
      </c>
      <c r="K5980" s="13" t="n">
        <v>450</v>
      </c>
      <c r="L5980" s="6" t="n">
        <f aca="false">H5980*K5980</f>
        <v>450</v>
      </c>
      <c r="M5980" s="14" t="s">
        <v>410</v>
      </c>
    </row>
    <row r="5981" customFormat="false" ht="15" hidden="false" customHeight="false" outlineLevel="0" collapsed="false">
      <c r="A5981" s="4" t="s">
        <v>315</v>
      </c>
      <c r="B5981" s="5" t="s">
        <v>320</v>
      </c>
      <c r="C5981" s="5" t="s">
        <v>321</v>
      </c>
      <c r="D5981" s="4" t="s">
        <v>16</v>
      </c>
      <c r="E5981" s="4" t="s">
        <v>2530</v>
      </c>
      <c r="F5981" s="4" t="s">
        <v>406</v>
      </c>
      <c r="G5981" s="4" t="s">
        <v>2531</v>
      </c>
      <c r="H5981" s="12" t="n">
        <v>1</v>
      </c>
      <c r="I5981" s="4" t="s">
        <v>408</v>
      </c>
      <c r="J5981" s="4" t="s">
        <v>416</v>
      </c>
      <c r="K5981" s="13" t="n">
        <v>850</v>
      </c>
      <c r="L5981" s="6" t="n">
        <f aca="false">H5981*K5981</f>
        <v>850</v>
      </c>
      <c r="M5981" s="14" t="s">
        <v>410</v>
      </c>
    </row>
    <row r="5982" customFormat="false" ht="15" hidden="false" customHeight="false" outlineLevel="0" collapsed="false">
      <c r="A5982" s="4" t="s">
        <v>315</v>
      </c>
      <c r="B5982" s="5" t="s">
        <v>320</v>
      </c>
      <c r="C5982" s="5" t="s">
        <v>321</v>
      </c>
      <c r="D5982" s="4" t="s">
        <v>16</v>
      </c>
      <c r="E5982" s="4" t="s">
        <v>2532</v>
      </c>
      <c r="F5982" s="4" t="s">
        <v>406</v>
      </c>
      <c r="G5982" s="4" t="s">
        <v>2533</v>
      </c>
      <c r="H5982" s="12" t="n">
        <v>1</v>
      </c>
      <c r="I5982" s="4" t="s">
        <v>408</v>
      </c>
      <c r="J5982" s="4" t="s">
        <v>416</v>
      </c>
      <c r="K5982" s="13" t="n">
        <v>1800</v>
      </c>
      <c r="L5982" s="6" t="n">
        <f aca="false">H5982*K5982</f>
        <v>1800</v>
      </c>
      <c r="M5982" s="14" t="s">
        <v>410</v>
      </c>
    </row>
    <row r="5983" customFormat="false" ht="15" hidden="false" customHeight="false" outlineLevel="0" collapsed="false">
      <c r="A5983" s="4" t="s">
        <v>315</v>
      </c>
      <c r="B5983" s="5" t="s">
        <v>320</v>
      </c>
      <c r="C5983" s="5" t="s">
        <v>321</v>
      </c>
      <c r="D5983" s="4" t="s">
        <v>16</v>
      </c>
      <c r="E5983" s="4" t="s">
        <v>2534</v>
      </c>
      <c r="F5983" s="4" t="s">
        <v>406</v>
      </c>
      <c r="G5983" s="4" t="s">
        <v>2535</v>
      </c>
      <c r="H5983" s="12" t="n">
        <v>1</v>
      </c>
      <c r="I5983" s="4" t="s">
        <v>408</v>
      </c>
      <c r="J5983" s="4" t="s">
        <v>409</v>
      </c>
      <c r="K5983" s="13" t="n">
        <v>450</v>
      </c>
      <c r="L5983" s="6" t="n">
        <f aca="false">H5983*K5983</f>
        <v>450</v>
      </c>
      <c r="M5983" s="14" t="s">
        <v>410</v>
      </c>
    </row>
    <row r="5984" customFormat="false" ht="15" hidden="false" customHeight="false" outlineLevel="0" collapsed="false">
      <c r="A5984" s="4" t="s">
        <v>315</v>
      </c>
      <c r="B5984" s="5" t="s">
        <v>320</v>
      </c>
      <c r="C5984" s="5" t="s">
        <v>321</v>
      </c>
      <c r="D5984" s="4" t="s">
        <v>16</v>
      </c>
      <c r="E5984" s="4" t="s">
        <v>2536</v>
      </c>
      <c r="F5984" s="4" t="s">
        <v>406</v>
      </c>
      <c r="G5984" s="4" t="s">
        <v>2537</v>
      </c>
      <c r="H5984" s="12" t="n">
        <v>1</v>
      </c>
      <c r="I5984" s="4" t="s">
        <v>408</v>
      </c>
      <c r="J5984" s="4" t="s">
        <v>416</v>
      </c>
      <c r="K5984" s="13" t="n">
        <v>350</v>
      </c>
      <c r="L5984" s="6" t="n">
        <f aca="false">H5984*K5984</f>
        <v>350</v>
      </c>
      <c r="M5984" s="4" t="s">
        <v>371</v>
      </c>
    </row>
    <row r="5985" customFormat="false" ht="15" hidden="false" customHeight="false" outlineLevel="0" collapsed="false">
      <c r="A5985" s="4" t="s">
        <v>315</v>
      </c>
      <c r="B5985" s="5" t="s">
        <v>320</v>
      </c>
      <c r="C5985" s="5" t="s">
        <v>321</v>
      </c>
      <c r="D5985" s="4" t="s">
        <v>16</v>
      </c>
      <c r="E5985" s="4" t="s">
        <v>2538</v>
      </c>
      <c r="F5985" s="4" t="s">
        <v>406</v>
      </c>
      <c r="G5985" s="4" t="s">
        <v>2539</v>
      </c>
      <c r="H5985" s="12" t="n">
        <v>1</v>
      </c>
      <c r="I5985" s="4" t="s">
        <v>408</v>
      </c>
      <c r="J5985" s="4" t="s">
        <v>409</v>
      </c>
      <c r="K5985" s="13" t="n">
        <v>450</v>
      </c>
      <c r="L5985" s="6" t="n">
        <f aca="false">H5985*K5985</f>
        <v>450</v>
      </c>
      <c r="M5985" s="14" t="s">
        <v>410</v>
      </c>
    </row>
    <row r="5986" customFormat="false" ht="15" hidden="false" customHeight="false" outlineLevel="0" collapsed="false">
      <c r="A5986" s="4" t="s">
        <v>315</v>
      </c>
      <c r="B5986" s="5" t="s">
        <v>320</v>
      </c>
      <c r="C5986" s="5" t="s">
        <v>321</v>
      </c>
      <c r="D5986" s="4" t="s">
        <v>16</v>
      </c>
      <c r="E5986" s="4" t="s">
        <v>2540</v>
      </c>
      <c r="F5986" s="4" t="s">
        <v>406</v>
      </c>
      <c r="G5986" s="4" t="s">
        <v>1547</v>
      </c>
      <c r="H5986" s="12" t="n">
        <v>1</v>
      </c>
      <c r="I5986" s="4" t="s">
        <v>408</v>
      </c>
      <c r="J5986" s="4" t="s">
        <v>409</v>
      </c>
      <c r="K5986" s="13" t="n">
        <v>650</v>
      </c>
      <c r="L5986" s="6" t="n">
        <f aca="false">H5986*K5986</f>
        <v>650</v>
      </c>
      <c r="M5986" s="14" t="s">
        <v>410</v>
      </c>
    </row>
    <row r="5987" customFormat="false" ht="15" hidden="false" customHeight="false" outlineLevel="0" collapsed="false">
      <c r="A5987" s="4" t="s">
        <v>315</v>
      </c>
      <c r="B5987" s="5" t="s">
        <v>320</v>
      </c>
      <c r="C5987" s="5" t="s">
        <v>321</v>
      </c>
      <c r="D5987" s="4" t="s">
        <v>16</v>
      </c>
      <c r="E5987" s="4" t="s">
        <v>2574</v>
      </c>
      <c r="F5987" s="4" t="s">
        <v>406</v>
      </c>
      <c r="G5987" s="4" t="s">
        <v>2575</v>
      </c>
      <c r="H5987" s="12" t="n">
        <v>1</v>
      </c>
      <c r="I5987" s="4" t="s">
        <v>408</v>
      </c>
      <c r="J5987" s="4" t="s">
        <v>416</v>
      </c>
      <c r="K5987" s="13" t="n">
        <v>8500</v>
      </c>
      <c r="L5987" s="6" t="n">
        <f aca="false">H5987*K5987</f>
        <v>8500</v>
      </c>
      <c r="M5987" s="4" t="s">
        <v>371</v>
      </c>
    </row>
    <row r="5988" customFormat="false" ht="15" hidden="false" customHeight="false" outlineLevel="0" collapsed="false">
      <c r="A5988" s="4" t="s">
        <v>315</v>
      </c>
      <c r="B5988" s="5" t="s">
        <v>320</v>
      </c>
      <c r="C5988" s="5" t="s">
        <v>321</v>
      </c>
      <c r="D5988" s="4" t="s">
        <v>16</v>
      </c>
      <c r="E5988" s="4" t="s">
        <v>2541</v>
      </c>
      <c r="F5988" s="4" t="s">
        <v>406</v>
      </c>
      <c r="G5988" s="4" t="s">
        <v>2542</v>
      </c>
      <c r="H5988" s="12" t="n">
        <v>1</v>
      </c>
      <c r="I5988" s="4" t="s">
        <v>408</v>
      </c>
      <c r="J5988" s="4" t="s">
        <v>409</v>
      </c>
      <c r="K5988" s="13" t="n">
        <v>8500</v>
      </c>
      <c r="L5988" s="6" t="n">
        <f aca="false">H5988*K5988</f>
        <v>8500</v>
      </c>
      <c r="M5988" s="14" t="s">
        <v>410</v>
      </c>
    </row>
    <row r="5989" customFormat="false" ht="15" hidden="false" customHeight="false" outlineLevel="0" collapsed="false">
      <c r="A5989" s="4" t="s">
        <v>315</v>
      </c>
      <c r="B5989" s="5" t="s">
        <v>320</v>
      </c>
      <c r="C5989" s="5" t="s">
        <v>321</v>
      </c>
      <c r="D5989" s="4" t="s">
        <v>16</v>
      </c>
      <c r="E5989" s="4" t="s">
        <v>2543</v>
      </c>
      <c r="F5989" s="4" t="s">
        <v>406</v>
      </c>
      <c r="G5989" s="4" t="s">
        <v>2544</v>
      </c>
      <c r="H5989" s="12" t="n">
        <v>1</v>
      </c>
      <c r="I5989" s="4" t="s">
        <v>408</v>
      </c>
      <c r="J5989" s="4" t="s">
        <v>409</v>
      </c>
      <c r="K5989" s="13" t="n">
        <v>85000</v>
      </c>
      <c r="L5989" s="6" t="n">
        <f aca="false">H5989*K5989</f>
        <v>85000</v>
      </c>
      <c r="M5989" s="4" t="s">
        <v>371</v>
      </c>
    </row>
    <row r="5990" customFormat="false" ht="15" hidden="false" customHeight="false" outlineLevel="0" collapsed="false">
      <c r="A5990" s="4" t="s">
        <v>315</v>
      </c>
      <c r="B5990" s="5" t="s">
        <v>320</v>
      </c>
      <c r="C5990" s="5" t="s">
        <v>321</v>
      </c>
      <c r="D5990" s="4" t="s">
        <v>16</v>
      </c>
      <c r="E5990" s="4" t="s">
        <v>2545</v>
      </c>
      <c r="F5990" s="4" t="s">
        <v>406</v>
      </c>
      <c r="G5990" s="4" t="s">
        <v>2546</v>
      </c>
      <c r="H5990" s="12" t="n">
        <v>1</v>
      </c>
      <c r="I5990" s="4" t="s">
        <v>408</v>
      </c>
      <c r="J5990" s="4" t="s">
        <v>409</v>
      </c>
      <c r="K5990" s="13" t="n">
        <v>18000</v>
      </c>
      <c r="L5990" s="6" t="n">
        <f aca="false">H5990*K5990</f>
        <v>18000</v>
      </c>
      <c r="M5990" s="4" t="s">
        <v>371</v>
      </c>
    </row>
    <row r="5991" customFormat="false" ht="15" hidden="false" customHeight="false" outlineLevel="0" collapsed="false">
      <c r="A5991" s="4" t="s">
        <v>315</v>
      </c>
      <c r="B5991" s="5" t="s">
        <v>320</v>
      </c>
      <c r="C5991" s="5" t="s">
        <v>321</v>
      </c>
      <c r="D5991" s="4" t="s">
        <v>16</v>
      </c>
      <c r="E5991" s="4" t="s">
        <v>2547</v>
      </c>
      <c r="F5991" s="4" t="s">
        <v>406</v>
      </c>
      <c r="G5991" s="4" t="s">
        <v>2548</v>
      </c>
      <c r="H5991" s="12" t="n">
        <v>1</v>
      </c>
      <c r="I5991" s="4" t="s">
        <v>408</v>
      </c>
      <c r="J5991" s="4" t="s">
        <v>409</v>
      </c>
      <c r="K5991" s="13" t="n">
        <v>1800</v>
      </c>
      <c r="L5991" s="6" t="n">
        <f aca="false">H5991*K5991</f>
        <v>1800</v>
      </c>
      <c r="M5991" s="14" t="s">
        <v>410</v>
      </c>
    </row>
    <row r="5992" customFormat="false" ht="15" hidden="false" customHeight="false" outlineLevel="0" collapsed="false">
      <c r="A5992" s="4" t="s">
        <v>315</v>
      </c>
      <c r="B5992" s="5" t="s">
        <v>320</v>
      </c>
      <c r="C5992" s="5" t="s">
        <v>321</v>
      </c>
      <c r="D5992" s="4" t="s">
        <v>16</v>
      </c>
      <c r="E5992" s="4" t="s">
        <v>2549</v>
      </c>
      <c r="F5992" s="4" t="s">
        <v>406</v>
      </c>
      <c r="G5992" s="4" t="s">
        <v>2550</v>
      </c>
      <c r="H5992" s="12" t="n">
        <v>1</v>
      </c>
      <c r="I5992" s="4" t="s">
        <v>408</v>
      </c>
      <c r="J5992" s="4" t="s">
        <v>409</v>
      </c>
      <c r="K5992" s="13" t="n">
        <v>8500</v>
      </c>
      <c r="L5992" s="6" t="n">
        <f aca="false">H5992*K5992</f>
        <v>8500</v>
      </c>
      <c r="M5992" s="4" t="s">
        <v>371</v>
      </c>
    </row>
    <row r="5993" customFormat="false" ht="15" hidden="false" customHeight="false" outlineLevel="0" collapsed="false">
      <c r="A5993" s="4" t="s">
        <v>315</v>
      </c>
      <c r="B5993" s="5" t="s">
        <v>320</v>
      </c>
      <c r="C5993" s="5" t="s">
        <v>321</v>
      </c>
      <c r="D5993" s="4" t="s">
        <v>16</v>
      </c>
      <c r="E5993" s="4" t="s">
        <v>2551</v>
      </c>
      <c r="F5993" s="4" t="s">
        <v>406</v>
      </c>
      <c r="G5993" s="4" t="s">
        <v>2552</v>
      </c>
      <c r="H5993" s="12" t="n">
        <v>1</v>
      </c>
      <c r="I5993" s="4" t="s">
        <v>408</v>
      </c>
      <c r="J5993" s="4" t="s">
        <v>409</v>
      </c>
      <c r="K5993" s="13" t="n">
        <v>85000</v>
      </c>
      <c r="L5993" s="6" t="n">
        <f aca="false">H5993*K5993</f>
        <v>85000</v>
      </c>
      <c r="M5993" s="14" t="s">
        <v>410</v>
      </c>
    </row>
    <row r="5994" customFormat="false" ht="15" hidden="false" customHeight="false" outlineLevel="0" collapsed="false">
      <c r="A5994" s="4" t="s">
        <v>315</v>
      </c>
      <c r="B5994" s="5" t="s">
        <v>320</v>
      </c>
      <c r="C5994" s="5" t="s">
        <v>321</v>
      </c>
      <c r="D5994" s="4" t="s">
        <v>16</v>
      </c>
      <c r="E5994" s="4" t="s">
        <v>2553</v>
      </c>
      <c r="F5994" s="4" t="s">
        <v>488</v>
      </c>
      <c r="G5994" s="4" t="s">
        <v>2554</v>
      </c>
      <c r="H5994" s="12" t="n">
        <v>1</v>
      </c>
      <c r="I5994" s="4" t="s">
        <v>408</v>
      </c>
      <c r="J5994" s="4" t="s">
        <v>416</v>
      </c>
      <c r="K5994" s="13" t="n">
        <v>450</v>
      </c>
      <c r="L5994" s="6" t="n">
        <f aca="false">H5994*K5994</f>
        <v>450</v>
      </c>
      <c r="M5994" s="4" t="s">
        <v>371</v>
      </c>
    </row>
    <row r="5995" customFormat="false" ht="15" hidden="false" customHeight="false" outlineLevel="0" collapsed="false">
      <c r="A5995" s="4" t="s">
        <v>315</v>
      </c>
      <c r="B5995" s="5" t="s">
        <v>320</v>
      </c>
      <c r="C5995" s="5" t="s">
        <v>321</v>
      </c>
      <c r="D5995" s="4" t="s">
        <v>16</v>
      </c>
      <c r="E5995" s="4" t="s">
        <v>2555</v>
      </c>
      <c r="F5995" s="4" t="s">
        <v>488</v>
      </c>
      <c r="G5995" s="4" t="s">
        <v>2556</v>
      </c>
      <c r="H5995" s="12" t="n">
        <v>1</v>
      </c>
      <c r="I5995" s="4" t="s">
        <v>408</v>
      </c>
      <c r="J5995" s="4" t="s">
        <v>429</v>
      </c>
      <c r="K5995" s="13" t="n">
        <v>180</v>
      </c>
      <c r="L5995" s="6" t="n">
        <f aca="false">H5995*K5995</f>
        <v>180</v>
      </c>
      <c r="M5995" s="4" t="s">
        <v>371</v>
      </c>
    </row>
    <row r="5996" customFormat="false" ht="15" hidden="false" customHeight="false" outlineLevel="0" collapsed="false">
      <c r="A5996" s="4" t="s">
        <v>315</v>
      </c>
      <c r="B5996" s="5" t="s">
        <v>320</v>
      </c>
      <c r="C5996" s="5" t="s">
        <v>321</v>
      </c>
      <c r="D5996" s="4" t="s">
        <v>16</v>
      </c>
      <c r="E5996" s="4" t="s">
        <v>2557</v>
      </c>
      <c r="F5996" s="4" t="s">
        <v>488</v>
      </c>
      <c r="G5996" s="4" t="s">
        <v>2558</v>
      </c>
      <c r="H5996" s="12" t="n">
        <v>1</v>
      </c>
      <c r="I5996" s="4" t="s">
        <v>408</v>
      </c>
      <c r="J5996" s="4" t="s">
        <v>416</v>
      </c>
      <c r="K5996" s="13" t="n">
        <v>850</v>
      </c>
      <c r="L5996" s="6" t="n">
        <f aca="false">H5996*K5996</f>
        <v>850</v>
      </c>
      <c r="M5996" s="4" t="s">
        <v>371</v>
      </c>
    </row>
    <row r="5997" customFormat="false" ht="15" hidden="false" customHeight="false" outlineLevel="0" collapsed="false">
      <c r="A5997" s="4" t="s">
        <v>315</v>
      </c>
      <c r="B5997" s="5" t="s">
        <v>320</v>
      </c>
      <c r="C5997" s="5" t="s">
        <v>321</v>
      </c>
      <c r="D5997" s="4" t="s">
        <v>16</v>
      </c>
      <c r="E5997" s="4" t="s">
        <v>2559</v>
      </c>
      <c r="F5997" s="4" t="s">
        <v>470</v>
      </c>
      <c r="G5997" s="4" t="s">
        <v>2560</v>
      </c>
      <c r="H5997" s="12" t="n">
        <v>1</v>
      </c>
      <c r="I5997" s="4" t="s">
        <v>408</v>
      </c>
      <c r="J5997" s="4" t="s">
        <v>409</v>
      </c>
      <c r="K5997" s="13" t="n">
        <v>850</v>
      </c>
      <c r="L5997" s="6" t="n">
        <f aca="false">H5997*K5997</f>
        <v>850</v>
      </c>
      <c r="M5997" s="4" t="s">
        <v>371</v>
      </c>
    </row>
    <row r="5998" customFormat="false" ht="15" hidden="false" customHeight="false" outlineLevel="0" collapsed="false">
      <c r="A5998" s="4" t="s">
        <v>315</v>
      </c>
      <c r="B5998" s="5" t="s">
        <v>320</v>
      </c>
      <c r="C5998" s="5" t="s">
        <v>321</v>
      </c>
      <c r="D5998" s="4" t="s">
        <v>16</v>
      </c>
      <c r="E5998" s="4" t="s">
        <v>2561</v>
      </c>
      <c r="F5998" s="4" t="s">
        <v>470</v>
      </c>
      <c r="G5998" s="4" t="s">
        <v>2562</v>
      </c>
      <c r="H5998" s="12" t="n">
        <v>1</v>
      </c>
      <c r="I5998" s="4" t="s">
        <v>408</v>
      </c>
      <c r="J5998" s="4" t="s">
        <v>409</v>
      </c>
      <c r="K5998" s="13" t="n">
        <v>850</v>
      </c>
      <c r="L5998" s="6" t="n">
        <f aca="false">H5998*K5998</f>
        <v>850</v>
      </c>
      <c r="M5998" s="4" t="s">
        <v>371</v>
      </c>
    </row>
    <row r="5999" customFormat="false" ht="15" hidden="false" customHeight="false" outlineLevel="0" collapsed="false">
      <c r="A5999" s="4" t="s">
        <v>315</v>
      </c>
      <c r="B5999" s="5" t="s">
        <v>320</v>
      </c>
      <c r="C5999" s="5" t="s">
        <v>321</v>
      </c>
      <c r="D5999" s="4" t="s">
        <v>16</v>
      </c>
      <c r="E5999" s="4" t="s">
        <v>2563</v>
      </c>
      <c r="F5999" s="4" t="s">
        <v>470</v>
      </c>
      <c r="G5999" s="4" t="s">
        <v>2564</v>
      </c>
      <c r="H5999" s="12" t="n">
        <v>1</v>
      </c>
      <c r="I5999" s="4" t="s">
        <v>408</v>
      </c>
      <c r="J5999" s="4" t="s">
        <v>409</v>
      </c>
      <c r="K5999" s="13" t="n">
        <v>8500</v>
      </c>
      <c r="L5999" s="6" t="n">
        <f aca="false">H5999*K5999</f>
        <v>8500</v>
      </c>
      <c r="M5999" s="4" t="s">
        <v>371</v>
      </c>
    </row>
    <row r="6000" customFormat="false" ht="15" hidden="false" customHeight="false" outlineLevel="0" collapsed="false">
      <c r="A6000" s="4" t="s">
        <v>315</v>
      </c>
      <c r="B6000" s="5" t="s">
        <v>320</v>
      </c>
      <c r="C6000" s="5" t="s">
        <v>321</v>
      </c>
      <c r="D6000" s="4" t="s">
        <v>16</v>
      </c>
      <c r="E6000" s="4" t="s">
        <v>2565</v>
      </c>
      <c r="F6000" s="4" t="s">
        <v>470</v>
      </c>
      <c r="G6000" s="4" t="s">
        <v>2566</v>
      </c>
      <c r="H6000" s="12" t="n">
        <v>1</v>
      </c>
      <c r="I6000" s="4" t="s">
        <v>408</v>
      </c>
      <c r="J6000" s="4" t="s">
        <v>409</v>
      </c>
      <c r="K6000" s="13" t="n">
        <v>4500</v>
      </c>
      <c r="L6000" s="6" t="n">
        <f aca="false">H6000*K6000</f>
        <v>4500</v>
      </c>
      <c r="M6000" s="4" t="s">
        <v>371</v>
      </c>
    </row>
    <row r="6001" customFormat="false" ht="15" hidden="false" customHeight="false" outlineLevel="0" collapsed="false">
      <c r="A6001" s="4" t="s">
        <v>315</v>
      </c>
      <c r="B6001" s="5" t="s">
        <v>320</v>
      </c>
      <c r="C6001" s="5" t="s">
        <v>321</v>
      </c>
      <c r="D6001" s="4" t="s">
        <v>16</v>
      </c>
      <c r="E6001" s="4" t="s">
        <v>2567</v>
      </c>
      <c r="F6001" s="4" t="s">
        <v>470</v>
      </c>
      <c r="G6001" s="4" t="s">
        <v>2568</v>
      </c>
      <c r="H6001" s="12" t="n">
        <v>1</v>
      </c>
      <c r="I6001" s="4" t="s">
        <v>408</v>
      </c>
      <c r="J6001" s="4" t="s">
        <v>409</v>
      </c>
      <c r="K6001" s="13" t="n">
        <v>4500</v>
      </c>
      <c r="L6001" s="6" t="n">
        <f aca="false">H6001*K6001</f>
        <v>4500</v>
      </c>
      <c r="M6001" s="4" t="s">
        <v>371</v>
      </c>
    </row>
    <row r="6002" customFormat="false" ht="15" hidden="false" customHeight="false" outlineLevel="0" collapsed="false">
      <c r="A6002" s="4" t="s">
        <v>315</v>
      </c>
      <c r="B6002" s="5" t="s">
        <v>320</v>
      </c>
      <c r="C6002" s="5" t="s">
        <v>321</v>
      </c>
      <c r="D6002" s="4" t="s">
        <v>16</v>
      </c>
      <c r="E6002" s="4" t="s">
        <v>2569</v>
      </c>
      <c r="F6002" s="4" t="s">
        <v>470</v>
      </c>
      <c r="G6002" s="4" t="s">
        <v>2570</v>
      </c>
      <c r="H6002" s="12" t="n">
        <v>1</v>
      </c>
      <c r="I6002" s="4" t="s">
        <v>408</v>
      </c>
      <c r="J6002" s="4" t="s">
        <v>409</v>
      </c>
      <c r="K6002" s="13" t="n">
        <v>850</v>
      </c>
      <c r="L6002" s="6" t="n">
        <f aca="false">H6002*K6002</f>
        <v>850</v>
      </c>
      <c r="M6002" s="4" t="s">
        <v>371</v>
      </c>
    </row>
    <row r="6003" customFormat="false" ht="15" hidden="false" customHeight="false" outlineLevel="0" collapsed="false">
      <c r="A6003" s="4" t="s">
        <v>315</v>
      </c>
      <c r="B6003" s="5" t="s">
        <v>320</v>
      </c>
      <c r="C6003" s="5" t="s">
        <v>321</v>
      </c>
      <c r="D6003" s="4" t="s">
        <v>16</v>
      </c>
      <c r="E6003" s="4" t="s">
        <v>2571</v>
      </c>
      <c r="F6003" s="4" t="s">
        <v>470</v>
      </c>
      <c r="G6003" s="4" t="s">
        <v>2572</v>
      </c>
      <c r="H6003" s="12" t="n">
        <v>1</v>
      </c>
      <c r="I6003" s="4" t="s">
        <v>408</v>
      </c>
      <c r="J6003" s="4" t="s">
        <v>409</v>
      </c>
      <c r="K6003" s="13" t="n">
        <v>8500</v>
      </c>
      <c r="L6003" s="6" t="n">
        <f aca="false">H6003*K6003</f>
        <v>8500</v>
      </c>
      <c r="M6003" s="4" t="s">
        <v>371</v>
      </c>
    </row>
    <row r="6004" customFormat="false" ht="15" hidden="false" customHeight="false" outlineLevel="0" collapsed="false">
      <c r="A6004" s="4" t="s">
        <v>315</v>
      </c>
      <c r="B6004" s="5" t="s">
        <v>320</v>
      </c>
      <c r="C6004" s="5" t="s">
        <v>321</v>
      </c>
      <c r="D6004" s="4" t="s">
        <v>16</v>
      </c>
      <c r="E6004" s="4" t="s">
        <v>2573</v>
      </c>
      <c r="F6004" s="4" t="s">
        <v>470</v>
      </c>
      <c r="G6004" s="4" t="s">
        <v>2114</v>
      </c>
      <c r="H6004" s="12" t="n">
        <v>1</v>
      </c>
      <c r="I6004" s="4" t="s">
        <v>408</v>
      </c>
      <c r="J6004" s="4" t="s">
        <v>409</v>
      </c>
      <c r="K6004" s="13" t="n">
        <v>18000</v>
      </c>
      <c r="L6004" s="6" t="n">
        <f aca="false">H6004*K6004</f>
        <v>18000</v>
      </c>
      <c r="M6004" s="14" t="s">
        <v>410</v>
      </c>
    </row>
    <row r="6005" customFormat="false" ht="15" hidden="false" customHeight="false" outlineLevel="0" collapsed="false">
      <c r="A6005" s="4" t="s">
        <v>315</v>
      </c>
      <c r="B6005" s="5" t="s">
        <v>320</v>
      </c>
      <c r="C6005" s="5" t="s">
        <v>321</v>
      </c>
      <c r="D6005" s="4" t="s">
        <v>16</v>
      </c>
      <c r="E6005" s="4" t="s">
        <v>2576</v>
      </c>
      <c r="F6005" s="4" t="s">
        <v>470</v>
      </c>
      <c r="G6005" s="4" t="s">
        <v>2577</v>
      </c>
      <c r="H6005" s="12" t="n">
        <v>1</v>
      </c>
      <c r="I6005" s="4" t="s">
        <v>408</v>
      </c>
      <c r="J6005" s="4" t="s">
        <v>416</v>
      </c>
      <c r="K6005" s="13" t="n">
        <v>4500</v>
      </c>
      <c r="L6005" s="6" t="n">
        <f aca="false">H6005*K6005</f>
        <v>4500</v>
      </c>
      <c r="M6005" s="4" t="s">
        <v>371</v>
      </c>
    </row>
    <row r="6006" customFormat="false" ht="15" hidden="false" customHeight="false" outlineLevel="0" collapsed="false">
      <c r="A6006" s="4" t="s">
        <v>322</v>
      </c>
      <c r="B6006" s="5" t="s">
        <v>325</v>
      </c>
      <c r="C6006" s="5" t="s">
        <v>326</v>
      </c>
      <c r="D6006" s="4" t="s">
        <v>16</v>
      </c>
      <c r="E6006" s="4" t="s">
        <v>2578</v>
      </c>
      <c r="F6006" s="4" t="s">
        <v>406</v>
      </c>
      <c r="G6006" s="4" t="s">
        <v>2579</v>
      </c>
      <c r="H6006" s="12" t="n">
        <v>1</v>
      </c>
      <c r="I6006" s="4" t="s">
        <v>408</v>
      </c>
      <c r="J6006" s="4" t="s">
        <v>409</v>
      </c>
      <c r="K6006" s="13" t="n">
        <v>350</v>
      </c>
      <c r="L6006" s="6" t="n">
        <f aca="false">H6006*K6006</f>
        <v>350</v>
      </c>
      <c r="M6006" s="14" t="s">
        <v>410</v>
      </c>
    </row>
    <row r="6007" customFormat="false" ht="15" hidden="false" customHeight="false" outlineLevel="0" collapsed="false">
      <c r="A6007" s="4" t="s">
        <v>322</v>
      </c>
      <c r="B6007" s="5" t="s">
        <v>325</v>
      </c>
      <c r="C6007" s="5" t="s">
        <v>326</v>
      </c>
      <c r="D6007" s="4" t="s">
        <v>16</v>
      </c>
      <c r="E6007" s="4" t="s">
        <v>2580</v>
      </c>
      <c r="F6007" s="4" t="s">
        <v>406</v>
      </c>
      <c r="G6007" s="4" t="s">
        <v>2581</v>
      </c>
      <c r="H6007" s="12" t="n">
        <v>1</v>
      </c>
      <c r="I6007" s="4" t="s">
        <v>408</v>
      </c>
      <c r="J6007" s="4" t="s">
        <v>416</v>
      </c>
      <c r="K6007" s="13" t="n">
        <v>1800</v>
      </c>
      <c r="L6007" s="6" t="n">
        <f aca="false">H6007*K6007</f>
        <v>1800</v>
      </c>
      <c r="M6007" s="14" t="s">
        <v>410</v>
      </c>
    </row>
    <row r="6008" customFormat="false" ht="15" hidden="false" customHeight="false" outlineLevel="0" collapsed="false">
      <c r="A6008" s="4" t="s">
        <v>322</v>
      </c>
      <c r="B6008" s="5" t="s">
        <v>325</v>
      </c>
      <c r="C6008" s="5" t="s">
        <v>326</v>
      </c>
      <c r="D6008" s="4" t="s">
        <v>16</v>
      </c>
      <c r="E6008" s="4" t="s">
        <v>2582</v>
      </c>
      <c r="F6008" s="4" t="s">
        <v>406</v>
      </c>
      <c r="G6008" s="4" t="s">
        <v>2583</v>
      </c>
      <c r="H6008" s="12" t="n">
        <v>1</v>
      </c>
      <c r="I6008" s="4" t="s">
        <v>408</v>
      </c>
      <c r="J6008" s="4" t="s">
        <v>409</v>
      </c>
      <c r="K6008" s="13" t="n">
        <v>650</v>
      </c>
      <c r="L6008" s="6" t="n">
        <f aca="false">H6008*K6008</f>
        <v>650</v>
      </c>
      <c r="M6008" s="14" t="s">
        <v>410</v>
      </c>
    </row>
    <row r="6009" customFormat="false" ht="15" hidden="false" customHeight="false" outlineLevel="0" collapsed="false">
      <c r="A6009" s="4" t="s">
        <v>322</v>
      </c>
      <c r="B6009" s="5" t="s">
        <v>325</v>
      </c>
      <c r="C6009" s="5" t="s">
        <v>326</v>
      </c>
      <c r="D6009" s="4" t="s">
        <v>16</v>
      </c>
      <c r="E6009" s="4" t="s">
        <v>2584</v>
      </c>
      <c r="F6009" s="4" t="s">
        <v>406</v>
      </c>
      <c r="G6009" s="4" t="s">
        <v>2585</v>
      </c>
      <c r="H6009" s="12" t="n">
        <v>1</v>
      </c>
      <c r="I6009" s="4" t="s">
        <v>408</v>
      </c>
      <c r="J6009" s="4" t="s">
        <v>416</v>
      </c>
      <c r="K6009" s="13" t="n">
        <v>2500</v>
      </c>
      <c r="L6009" s="6" t="n">
        <f aca="false">H6009*K6009</f>
        <v>2500</v>
      </c>
      <c r="M6009" s="14" t="s">
        <v>410</v>
      </c>
    </row>
    <row r="6010" customFormat="false" ht="15" hidden="false" customHeight="false" outlineLevel="0" collapsed="false">
      <c r="A6010" s="4" t="s">
        <v>322</v>
      </c>
      <c r="B6010" s="5" t="s">
        <v>325</v>
      </c>
      <c r="C6010" s="5" t="s">
        <v>326</v>
      </c>
      <c r="D6010" s="4" t="s">
        <v>16</v>
      </c>
      <c r="E6010" s="4" t="s">
        <v>2586</v>
      </c>
      <c r="F6010" s="4" t="s">
        <v>406</v>
      </c>
      <c r="G6010" s="4" t="s">
        <v>2587</v>
      </c>
      <c r="H6010" s="12" t="n">
        <v>1</v>
      </c>
      <c r="I6010" s="4" t="s">
        <v>408</v>
      </c>
      <c r="J6010" s="4" t="s">
        <v>416</v>
      </c>
      <c r="K6010" s="13" t="n">
        <v>4500</v>
      </c>
      <c r="L6010" s="6" t="n">
        <f aca="false">H6010*K6010</f>
        <v>4500</v>
      </c>
      <c r="M6010" s="14" t="s">
        <v>410</v>
      </c>
    </row>
    <row r="6011" customFormat="false" ht="15" hidden="false" customHeight="false" outlineLevel="0" collapsed="false">
      <c r="A6011" s="4" t="s">
        <v>322</v>
      </c>
      <c r="B6011" s="5" t="s">
        <v>325</v>
      </c>
      <c r="C6011" s="5" t="s">
        <v>326</v>
      </c>
      <c r="D6011" s="4" t="s">
        <v>16</v>
      </c>
      <c r="E6011" s="4" t="s">
        <v>2590</v>
      </c>
      <c r="F6011" s="4" t="s">
        <v>406</v>
      </c>
      <c r="G6011" s="4" t="s">
        <v>2591</v>
      </c>
      <c r="H6011" s="12" t="n">
        <v>1</v>
      </c>
      <c r="I6011" s="4" t="s">
        <v>408</v>
      </c>
      <c r="J6011" s="4" t="s">
        <v>409</v>
      </c>
      <c r="K6011" s="13" t="n">
        <v>250</v>
      </c>
      <c r="L6011" s="6" t="n">
        <f aca="false">H6011*K6011</f>
        <v>250</v>
      </c>
      <c r="M6011" s="4" t="s">
        <v>371</v>
      </c>
    </row>
    <row r="6012" customFormat="false" ht="15" hidden="false" customHeight="false" outlineLevel="0" collapsed="false">
      <c r="A6012" s="4" t="s">
        <v>322</v>
      </c>
      <c r="B6012" s="5" t="s">
        <v>325</v>
      </c>
      <c r="C6012" s="5" t="s">
        <v>326</v>
      </c>
      <c r="D6012" s="4" t="s">
        <v>16</v>
      </c>
      <c r="E6012" s="4" t="s">
        <v>2592</v>
      </c>
      <c r="F6012" s="4" t="s">
        <v>406</v>
      </c>
      <c r="G6012" s="4" t="s">
        <v>2593</v>
      </c>
      <c r="H6012" s="12" t="n">
        <v>1</v>
      </c>
      <c r="I6012" s="4" t="s">
        <v>408</v>
      </c>
      <c r="J6012" s="4" t="s">
        <v>409</v>
      </c>
      <c r="K6012" s="13" t="n">
        <v>450</v>
      </c>
      <c r="L6012" s="6" t="n">
        <f aca="false">H6012*K6012</f>
        <v>450</v>
      </c>
      <c r="M6012" s="14" t="s">
        <v>410</v>
      </c>
    </row>
    <row r="6013" customFormat="false" ht="15" hidden="false" customHeight="false" outlineLevel="0" collapsed="false">
      <c r="A6013" s="4" t="s">
        <v>322</v>
      </c>
      <c r="B6013" s="5" t="s">
        <v>325</v>
      </c>
      <c r="C6013" s="5" t="s">
        <v>326</v>
      </c>
      <c r="D6013" s="4" t="s">
        <v>16</v>
      </c>
      <c r="E6013" s="4" t="s">
        <v>2594</v>
      </c>
      <c r="F6013" s="4" t="s">
        <v>406</v>
      </c>
      <c r="G6013" s="4" t="s">
        <v>2595</v>
      </c>
      <c r="H6013" s="12" t="n">
        <v>1</v>
      </c>
      <c r="I6013" s="4" t="s">
        <v>408</v>
      </c>
      <c r="J6013" s="4" t="s">
        <v>416</v>
      </c>
      <c r="K6013" s="13" t="n">
        <v>4500</v>
      </c>
      <c r="L6013" s="6" t="n">
        <f aca="false">H6013*K6013</f>
        <v>4500</v>
      </c>
      <c r="M6013" s="14" t="s">
        <v>410</v>
      </c>
    </row>
    <row r="6014" customFormat="false" ht="15" hidden="false" customHeight="false" outlineLevel="0" collapsed="false">
      <c r="A6014" s="4" t="s">
        <v>322</v>
      </c>
      <c r="B6014" s="5" t="s">
        <v>325</v>
      </c>
      <c r="C6014" s="5" t="s">
        <v>326</v>
      </c>
      <c r="D6014" s="4" t="s">
        <v>16</v>
      </c>
      <c r="E6014" s="4" t="s">
        <v>2596</v>
      </c>
      <c r="F6014" s="4" t="s">
        <v>406</v>
      </c>
      <c r="G6014" s="4" t="s">
        <v>2597</v>
      </c>
      <c r="H6014" s="12" t="n">
        <v>1</v>
      </c>
      <c r="I6014" s="4" t="s">
        <v>408</v>
      </c>
      <c r="J6014" s="4" t="s">
        <v>416</v>
      </c>
      <c r="K6014" s="13" t="n">
        <v>850</v>
      </c>
      <c r="L6014" s="6" t="n">
        <f aca="false">H6014*K6014</f>
        <v>850</v>
      </c>
      <c r="M6014" s="14" t="s">
        <v>410</v>
      </c>
    </row>
    <row r="6015" customFormat="false" ht="15" hidden="false" customHeight="false" outlineLevel="0" collapsed="false">
      <c r="A6015" s="4" t="s">
        <v>322</v>
      </c>
      <c r="B6015" s="5" t="s">
        <v>325</v>
      </c>
      <c r="C6015" s="5" t="s">
        <v>326</v>
      </c>
      <c r="D6015" s="4" t="s">
        <v>16</v>
      </c>
      <c r="E6015" s="4" t="s">
        <v>2598</v>
      </c>
      <c r="F6015" s="4" t="s">
        <v>406</v>
      </c>
      <c r="G6015" s="4" t="s">
        <v>2599</v>
      </c>
      <c r="H6015" s="12" t="n">
        <v>1</v>
      </c>
      <c r="I6015" s="4" t="s">
        <v>408</v>
      </c>
      <c r="J6015" s="4" t="s">
        <v>409</v>
      </c>
      <c r="K6015" s="13" t="n">
        <v>850</v>
      </c>
      <c r="L6015" s="6" t="n">
        <f aca="false">H6015*K6015</f>
        <v>850</v>
      </c>
      <c r="M6015" s="14" t="s">
        <v>410</v>
      </c>
    </row>
    <row r="6016" customFormat="false" ht="15" hidden="false" customHeight="false" outlineLevel="0" collapsed="false">
      <c r="A6016" s="4" t="s">
        <v>322</v>
      </c>
      <c r="B6016" s="5" t="s">
        <v>325</v>
      </c>
      <c r="C6016" s="5" t="s">
        <v>326</v>
      </c>
      <c r="D6016" s="4" t="s">
        <v>16</v>
      </c>
      <c r="E6016" s="4" t="s">
        <v>2600</v>
      </c>
      <c r="F6016" s="4" t="s">
        <v>406</v>
      </c>
      <c r="G6016" s="4" t="s">
        <v>2601</v>
      </c>
      <c r="H6016" s="12" t="n">
        <v>1</v>
      </c>
      <c r="I6016" s="4" t="s">
        <v>408</v>
      </c>
      <c r="J6016" s="4" t="s">
        <v>409</v>
      </c>
      <c r="K6016" s="13" t="n">
        <v>350</v>
      </c>
      <c r="L6016" s="6" t="n">
        <f aca="false">H6016*K6016</f>
        <v>350</v>
      </c>
      <c r="M6016" s="4" t="s">
        <v>371</v>
      </c>
    </row>
    <row r="6017" customFormat="false" ht="15" hidden="false" customHeight="false" outlineLevel="0" collapsed="false">
      <c r="A6017" s="4" t="s">
        <v>322</v>
      </c>
      <c r="B6017" s="5" t="s">
        <v>325</v>
      </c>
      <c r="C6017" s="5" t="s">
        <v>326</v>
      </c>
      <c r="D6017" s="4" t="s">
        <v>16</v>
      </c>
      <c r="E6017" s="4" t="s">
        <v>2602</v>
      </c>
      <c r="F6017" s="4" t="s">
        <v>406</v>
      </c>
      <c r="G6017" s="4" t="s">
        <v>2603</v>
      </c>
      <c r="H6017" s="12" t="n">
        <v>1</v>
      </c>
      <c r="I6017" s="4" t="s">
        <v>408</v>
      </c>
      <c r="J6017" s="4" t="s">
        <v>409</v>
      </c>
      <c r="K6017" s="13" t="n">
        <v>650</v>
      </c>
      <c r="L6017" s="6" t="n">
        <f aca="false">H6017*K6017</f>
        <v>650</v>
      </c>
      <c r="M6017" s="14" t="s">
        <v>410</v>
      </c>
    </row>
    <row r="6018" customFormat="false" ht="15" hidden="false" customHeight="false" outlineLevel="0" collapsed="false">
      <c r="A6018" s="4" t="s">
        <v>322</v>
      </c>
      <c r="B6018" s="5" t="s">
        <v>325</v>
      </c>
      <c r="C6018" s="5" t="s">
        <v>326</v>
      </c>
      <c r="D6018" s="4" t="s">
        <v>16</v>
      </c>
      <c r="E6018" s="4" t="s">
        <v>2604</v>
      </c>
      <c r="F6018" s="4" t="s">
        <v>406</v>
      </c>
      <c r="G6018" s="4" t="s">
        <v>2605</v>
      </c>
      <c r="H6018" s="12" t="n">
        <v>1</v>
      </c>
      <c r="I6018" s="4" t="s">
        <v>408</v>
      </c>
      <c r="J6018" s="4" t="s">
        <v>409</v>
      </c>
      <c r="K6018" s="13" t="n">
        <v>1800</v>
      </c>
      <c r="L6018" s="6" t="n">
        <f aca="false">H6018*K6018</f>
        <v>1800</v>
      </c>
      <c r="M6018" s="14" t="s">
        <v>410</v>
      </c>
    </row>
    <row r="6019" customFormat="false" ht="15" hidden="false" customHeight="false" outlineLevel="0" collapsed="false">
      <c r="A6019" s="4" t="s">
        <v>322</v>
      </c>
      <c r="B6019" s="5" t="s">
        <v>325</v>
      </c>
      <c r="C6019" s="5" t="s">
        <v>326</v>
      </c>
      <c r="D6019" s="4" t="s">
        <v>16</v>
      </c>
      <c r="E6019" s="4" t="s">
        <v>2606</v>
      </c>
      <c r="F6019" s="4" t="s">
        <v>406</v>
      </c>
      <c r="G6019" s="4" t="s">
        <v>2607</v>
      </c>
      <c r="H6019" s="12" t="n">
        <v>1</v>
      </c>
      <c r="I6019" s="4" t="s">
        <v>408</v>
      </c>
      <c r="J6019" s="4" t="s">
        <v>409</v>
      </c>
      <c r="K6019" s="13" t="n">
        <v>25000</v>
      </c>
      <c r="L6019" s="6" t="n">
        <f aca="false">H6019*K6019</f>
        <v>25000</v>
      </c>
      <c r="M6019" s="14" t="s">
        <v>410</v>
      </c>
    </row>
    <row r="6020" customFormat="false" ht="15" hidden="false" customHeight="false" outlineLevel="0" collapsed="false">
      <c r="A6020" s="4" t="s">
        <v>322</v>
      </c>
      <c r="B6020" s="5" t="s">
        <v>325</v>
      </c>
      <c r="C6020" s="5" t="s">
        <v>326</v>
      </c>
      <c r="D6020" s="4" t="s">
        <v>16</v>
      </c>
      <c r="E6020" s="4" t="s">
        <v>2608</v>
      </c>
      <c r="F6020" s="4" t="s">
        <v>406</v>
      </c>
      <c r="G6020" s="4" t="s">
        <v>2609</v>
      </c>
      <c r="H6020" s="12" t="n">
        <v>1</v>
      </c>
      <c r="I6020" s="4" t="s">
        <v>408</v>
      </c>
      <c r="J6020" s="4" t="s">
        <v>416</v>
      </c>
      <c r="K6020" s="13" t="n">
        <v>6500</v>
      </c>
      <c r="L6020" s="6" t="n">
        <f aca="false">H6020*K6020</f>
        <v>6500</v>
      </c>
      <c r="M6020" s="14" t="s">
        <v>410</v>
      </c>
    </row>
    <row r="6021" customFormat="false" ht="15" hidden="false" customHeight="false" outlineLevel="0" collapsed="false">
      <c r="A6021" s="4" t="s">
        <v>322</v>
      </c>
      <c r="B6021" s="5" t="s">
        <v>325</v>
      </c>
      <c r="C6021" s="5" t="s">
        <v>326</v>
      </c>
      <c r="D6021" s="4" t="s">
        <v>16</v>
      </c>
      <c r="E6021" s="4" t="s">
        <v>2588</v>
      </c>
      <c r="F6021" s="4" t="s">
        <v>406</v>
      </c>
      <c r="G6021" s="4" t="s">
        <v>2589</v>
      </c>
      <c r="H6021" s="12" t="n">
        <v>1</v>
      </c>
      <c r="I6021" s="4" t="s">
        <v>408</v>
      </c>
      <c r="J6021" s="4" t="s">
        <v>409</v>
      </c>
      <c r="K6021" s="13" t="n">
        <v>850</v>
      </c>
      <c r="L6021" s="6" t="n">
        <f aca="false">H6021*K6021</f>
        <v>850</v>
      </c>
      <c r="M6021" s="14" t="s">
        <v>410</v>
      </c>
    </row>
    <row r="6022" customFormat="false" ht="15" hidden="false" customHeight="false" outlineLevel="0" collapsed="false">
      <c r="A6022" s="4" t="s">
        <v>322</v>
      </c>
      <c r="B6022" s="5" t="s">
        <v>325</v>
      </c>
      <c r="C6022" s="5" t="s">
        <v>326</v>
      </c>
      <c r="D6022" s="4" t="s">
        <v>16</v>
      </c>
      <c r="E6022" s="4" t="s">
        <v>2610</v>
      </c>
      <c r="F6022" s="4" t="s">
        <v>406</v>
      </c>
      <c r="G6022" s="4" t="s">
        <v>2611</v>
      </c>
      <c r="H6022" s="12" t="n">
        <v>1</v>
      </c>
      <c r="I6022" s="4" t="s">
        <v>408</v>
      </c>
      <c r="J6022" s="4" t="s">
        <v>409</v>
      </c>
      <c r="K6022" s="13" t="n">
        <v>650</v>
      </c>
      <c r="L6022" s="6" t="n">
        <f aca="false">H6022*K6022</f>
        <v>650</v>
      </c>
      <c r="M6022" s="14" t="s">
        <v>410</v>
      </c>
    </row>
    <row r="6023" customFormat="false" ht="15" hidden="false" customHeight="false" outlineLevel="0" collapsed="false">
      <c r="A6023" s="4" t="s">
        <v>322</v>
      </c>
      <c r="B6023" s="5" t="s">
        <v>325</v>
      </c>
      <c r="C6023" s="5" t="s">
        <v>326</v>
      </c>
      <c r="D6023" s="4" t="s">
        <v>16</v>
      </c>
      <c r="E6023" s="4" t="s">
        <v>2612</v>
      </c>
      <c r="F6023" s="4" t="s">
        <v>488</v>
      </c>
      <c r="G6023" s="4" t="s">
        <v>1716</v>
      </c>
      <c r="H6023" s="12" t="n">
        <v>1</v>
      </c>
      <c r="I6023" s="4" t="s">
        <v>408</v>
      </c>
      <c r="J6023" s="4" t="s">
        <v>807</v>
      </c>
      <c r="K6023" s="13" t="n">
        <v>45</v>
      </c>
      <c r="L6023" s="6" t="n">
        <f aca="false">H6023*K6023</f>
        <v>45</v>
      </c>
      <c r="M6023" s="4" t="s">
        <v>371</v>
      </c>
    </row>
    <row r="6024" customFormat="false" ht="15" hidden="false" customHeight="false" outlineLevel="0" collapsed="false">
      <c r="A6024" s="4" t="s">
        <v>322</v>
      </c>
      <c r="B6024" s="5" t="s">
        <v>325</v>
      </c>
      <c r="C6024" s="5" t="s">
        <v>326</v>
      </c>
      <c r="D6024" s="4" t="s">
        <v>16</v>
      </c>
      <c r="E6024" s="4" t="s">
        <v>2613</v>
      </c>
      <c r="F6024" s="4" t="s">
        <v>488</v>
      </c>
      <c r="G6024" s="4" t="s">
        <v>2614</v>
      </c>
      <c r="H6024" s="12" t="n">
        <v>1</v>
      </c>
      <c r="I6024" s="4" t="s">
        <v>408</v>
      </c>
      <c r="J6024" s="4" t="s">
        <v>807</v>
      </c>
      <c r="K6024" s="13" t="n">
        <v>150</v>
      </c>
      <c r="L6024" s="6" t="n">
        <f aca="false">H6024*K6024</f>
        <v>150</v>
      </c>
      <c r="M6024" s="4" t="s">
        <v>371</v>
      </c>
    </row>
    <row r="6025" customFormat="false" ht="15" hidden="false" customHeight="false" outlineLevel="0" collapsed="false">
      <c r="A6025" s="4" t="s">
        <v>327</v>
      </c>
      <c r="B6025" s="5" t="s">
        <v>328</v>
      </c>
      <c r="C6025" s="5" t="s">
        <v>329</v>
      </c>
      <c r="D6025" s="4" t="s">
        <v>16</v>
      </c>
      <c r="E6025" s="4" t="s">
        <v>6234</v>
      </c>
      <c r="F6025" s="4" t="s">
        <v>470</v>
      </c>
      <c r="G6025" s="4" t="s">
        <v>6235</v>
      </c>
      <c r="H6025" s="12" t="n">
        <v>1</v>
      </c>
      <c r="I6025" s="4" t="s">
        <v>408</v>
      </c>
      <c r="J6025" s="4" t="s">
        <v>409</v>
      </c>
      <c r="K6025" s="13" t="n">
        <v>45000</v>
      </c>
      <c r="L6025" s="6" t="n">
        <f aca="false">H6025*K6025</f>
        <v>45000</v>
      </c>
      <c r="M6025" s="4" t="s">
        <v>371</v>
      </c>
    </row>
    <row r="6026" customFormat="false" ht="15" hidden="false" customHeight="false" outlineLevel="0" collapsed="false">
      <c r="A6026" s="4" t="s">
        <v>327</v>
      </c>
      <c r="B6026" s="5" t="s">
        <v>328</v>
      </c>
      <c r="C6026" s="5" t="s">
        <v>329</v>
      </c>
      <c r="D6026" s="4" t="s">
        <v>16</v>
      </c>
      <c r="E6026" s="4" t="s">
        <v>2639</v>
      </c>
      <c r="F6026" s="4" t="s">
        <v>470</v>
      </c>
      <c r="G6026" s="4" t="s">
        <v>2640</v>
      </c>
      <c r="H6026" s="12" t="n">
        <v>1</v>
      </c>
      <c r="I6026" s="4" t="s">
        <v>408</v>
      </c>
      <c r="J6026" s="4" t="s">
        <v>409</v>
      </c>
      <c r="K6026" s="13" t="n">
        <v>3500</v>
      </c>
      <c r="L6026" s="6" t="n">
        <f aca="false">H6026*K6026</f>
        <v>3500</v>
      </c>
      <c r="M6026" s="14" t="s">
        <v>410</v>
      </c>
    </row>
    <row r="6027" customFormat="false" ht="15" hidden="false" customHeight="false" outlineLevel="0" collapsed="false">
      <c r="A6027" s="4" t="s">
        <v>327</v>
      </c>
      <c r="B6027" s="5" t="s">
        <v>328</v>
      </c>
      <c r="C6027" s="5" t="s">
        <v>329</v>
      </c>
      <c r="D6027" s="4" t="s">
        <v>16</v>
      </c>
      <c r="E6027" s="4" t="s">
        <v>6236</v>
      </c>
      <c r="F6027" s="4" t="s">
        <v>470</v>
      </c>
      <c r="G6027" s="4" t="s">
        <v>6237</v>
      </c>
      <c r="H6027" s="12" t="n">
        <v>1</v>
      </c>
      <c r="I6027" s="4" t="s">
        <v>408</v>
      </c>
      <c r="J6027" s="4" t="s">
        <v>543</v>
      </c>
      <c r="K6027" s="13" t="n">
        <v>18000</v>
      </c>
      <c r="L6027" s="6" t="n">
        <f aca="false">H6027*K6027</f>
        <v>18000</v>
      </c>
      <c r="M6027" s="4" t="s">
        <v>371</v>
      </c>
    </row>
    <row r="6028" customFormat="false" ht="15" hidden="false" customHeight="false" outlineLevel="0" collapsed="false">
      <c r="A6028" s="4" t="s">
        <v>334</v>
      </c>
      <c r="B6028" s="5" t="s">
        <v>335</v>
      </c>
      <c r="C6028" s="5" t="s">
        <v>336</v>
      </c>
      <c r="D6028" s="4" t="s">
        <v>16</v>
      </c>
      <c r="E6028" s="4" t="s">
        <v>6435</v>
      </c>
      <c r="F6028" s="4" t="s">
        <v>406</v>
      </c>
      <c r="G6028" s="4" t="s">
        <v>6436</v>
      </c>
      <c r="H6028" s="12" t="n">
        <v>1</v>
      </c>
      <c r="I6028" s="4" t="s">
        <v>408</v>
      </c>
      <c r="J6028" s="4" t="s">
        <v>416</v>
      </c>
      <c r="K6028" s="13" t="n">
        <v>4500</v>
      </c>
      <c r="L6028" s="6" t="n">
        <f aca="false">H6028*K6028</f>
        <v>4500</v>
      </c>
      <c r="M6028" s="14" t="s">
        <v>410</v>
      </c>
    </row>
    <row r="6029" customFormat="false" ht="15" hidden="false" customHeight="false" outlineLevel="0" collapsed="false">
      <c r="A6029" s="4" t="s">
        <v>334</v>
      </c>
      <c r="B6029" s="5" t="s">
        <v>335</v>
      </c>
      <c r="C6029" s="5" t="s">
        <v>336</v>
      </c>
      <c r="D6029" s="4" t="s">
        <v>16</v>
      </c>
      <c r="E6029" s="4" t="s">
        <v>6437</v>
      </c>
      <c r="F6029" s="4" t="s">
        <v>406</v>
      </c>
      <c r="G6029" s="4" t="s">
        <v>6438</v>
      </c>
      <c r="H6029" s="12" t="n">
        <v>1</v>
      </c>
      <c r="I6029" s="4" t="s">
        <v>408</v>
      </c>
      <c r="J6029" s="4" t="s">
        <v>416</v>
      </c>
      <c r="K6029" s="13" t="n">
        <v>2500</v>
      </c>
      <c r="L6029" s="6" t="n">
        <f aca="false">H6029*K6029</f>
        <v>2500</v>
      </c>
      <c r="M6029" s="14" t="s">
        <v>410</v>
      </c>
    </row>
    <row r="6030" customFormat="false" ht="15" hidden="false" customHeight="false" outlineLevel="0" collapsed="false">
      <c r="A6030" s="4" t="s">
        <v>334</v>
      </c>
      <c r="B6030" s="5" t="s">
        <v>335</v>
      </c>
      <c r="C6030" s="5" t="s">
        <v>336</v>
      </c>
      <c r="D6030" s="4" t="s">
        <v>16</v>
      </c>
      <c r="E6030" s="4" t="s">
        <v>6439</v>
      </c>
      <c r="F6030" s="4" t="s">
        <v>406</v>
      </c>
      <c r="G6030" s="4" t="s">
        <v>6440</v>
      </c>
      <c r="H6030" s="12" t="n">
        <v>1</v>
      </c>
      <c r="I6030" s="4" t="s">
        <v>408</v>
      </c>
      <c r="J6030" s="4" t="s">
        <v>416</v>
      </c>
      <c r="K6030" s="13" t="n">
        <v>8500</v>
      </c>
      <c r="L6030" s="6" t="n">
        <f aca="false">H6030*K6030</f>
        <v>8500</v>
      </c>
      <c r="M6030" s="4" t="s">
        <v>371</v>
      </c>
    </row>
    <row r="6031" customFormat="false" ht="15" hidden="false" customHeight="false" outlineLevel="0" collapsed="false">
      <c r="A6031" s="4" t="s">
        <v>334</v>
      </c>
      <c r="B6031" s="5" t="s">
        <v>335</v>
      </c>
      <c r="C6031" s="5" t="s">
        <v>336</v>
      </c>
      <c r="D6031" s="4" t="s">
        <v>16</v>
      </c>
      <c r="E6031" s="4" t="s">
        <v>6441</v>
      </c>
      <c r="F6031" s="4" t="s">
        <v>406</v>
      </c>
      <c r="G6031" s="4" t="s">
        <v>6442</v>
      </c>
      <c r="H6031" s="12" t="n">
        <v>1</v>
      </c>
      <c r="I6031" s="4" t="s">
        <v>408</v>
      </c>
      <c r="J6031" s="4" t="s">
        <v>409</v>
      </c>
      <c r="K6031" s="13" t="n">
        <v>1800</v>
      </c>
      <c r="L6031" s="6" t="n">
        <f aca="false">H6031*K6031</f>
        <v>1800</v>
      </c>
      <c r="M6031" s="14" t="s">
        <v>410</v>
      </c>
    </row>
    <row r="6032" customFormat="false" ht="15" hidden="false" customHeight="false" outlineLevel="0" collapsed="false">
      <c r="A6032" s="4" t="s">
        <v>334</v>
      </c>
      <c r="B6032" s="5" t="s">
        <v>335</v>
      </c>
      <c r="C6032" s="5" t="s">
        <v>336</v>
      </c>
      <c r="D6032" s="4" t="s">
        <v>16</v>
      </c>
      <c r="E6032" s="4" t="s">
        <v>6443</v>
      </c>
      <c r="F6032" s="4" t="s">
        <v>406</v>
      </c>
      <c r="G6032" s="4" t="s">
        <v>6444</v>
      </c>
      <c r="H6032" s="12" t="n">
        <v>1</v>
      </c>
      <c r="I6032" s="4" t="s">
        <v>408</v>
      </c>
      <c r="J6032" s="4" t="s">
        <v>409</v>
      </c>
      <c r="K6032" s="13" t="n">
        <v>35000</v>
      </c>
      <c r="L6032" s="6" t="n">
        <f aca="false">H6032*K6032</f>
        <v>35000</v>
      </c>
      <c r="M6032" s="14" t="s">
        <v>410</v>
      </c>
    </row>
    <row r="6033" customFormat="false" ht="15" hidden="false" customHeight="false" outlineLevel="0" collapsed="false">
      <c r="A6033" s="4" t="s">
        <v>334</v>
      </c>
      <c r="B6033" s="5" t="s">
        <v>335</v>
      </c>
      <c r="C6033" s="5" t="s">
        <v>336</v>
      </c>
      <c r="D6033" s="4" t="s">
        <v>16</v>
      </c>
      <c r="E6033" s="4" t="s">
        <v>6445</v>
      </c>
      <c r="F6033" s="4" t="s">
        <v>406</v>
      </c>
      <c r="G6033" s="4" t="s">
        <v>6446</v>
      </c>
      <c r="H6033" s="12" t="n">
        <v>1</v>
      </c>
      <c r="I6033" s="4" t="s">
        <v>408</v>
      </c>
      <c r="J6033" s="4" t="s">
        <v>409</v>
      </c>
      <c r="K6033" s="13" t="n">
        <v>1800</v>
      </c>
      <c r="L6033" s="6" t="n">
        <f aca="false">H6033*K6033</f>
        <v>1800</v>
      </c>
      <c r="M6033" s="14" t="s">
        <v>410</v>
      </c>
    </row>
    <row r="6034" customFormat="false" ht="15" hidden="false" customHeight="false" outlineLevel="0" collapsed="false">
      <c r="A6034" s="4" t="s">
        <v>334</v>
      </c>
      <c r="B6034" s="5" t="s">
        <v>335</v>
      </c>
      <c r="C6034" s="5" t="s">
        <v>336</v>
      </c>
      <c r="D6034" s="4" t="s">
        <v>16</v>
      </c>
      <c r="E6034" s="4" t="s">
        <v>6447</v>
      </c>
      <c r="F6034" s="4" t="s">
        <v>406</v>
      </c>
      <c r="G6034" s="4" t="s">
        <v>6448</v>
      </c>
      <c r="H6034" s="12" t="n">
        <v>1</v>
      </c>
      <c r="I6034" s="4" t="s">
        <v>408</v>
      </c>
      <c r="J6034" s="4" t="s">
        <v>409</v>
      </c>
      <c r="K6034" s="13" t="n">
        <v>85000</v>
      </c>
      <c r="L6034" s="6" t="n">
        <f aca="false">H6034*K6034</f>
        <v>85000</v>
      </c>
      <c r="M6034" s="14" t="s">
        <v>410</v>
      </c>
    </row>
    <row r="6035" customFormat="false" ht="15" hidden="false" customHeight="false" outlineLevel="0" collapsed="false">
      <c r="A6035" s="4" t="s">
        <v>334</v>
      </c>
      <c r="B6035" s="5" t="s">
        <v>335</v>
      </c>
      <c r="C6035" s="5" t="s">
        <v>336</v>
      </c>
      <c r="D6035" s="4" t="s">
        <v>16</v>
      </c>
      <c r="E6035" s="4" t="s">
        <v>6449</v>
      </c>
      <c r="F6035" s="4" t="s">
        <v>406</v>
      </c>
      <c r="G6035" s="4" t="s">
        <v>6450</v>
      </c>
      <c r="H6035" s="12" t="n">
        <v>1</v>
      </c>
      <c r="I6035" s="4" t="s">
        <v>408</v>
      </c>
      <c r="J6035" s="4" t="s">
        <v>409</v>
      </c>
      <c r="K6035" s="13" t="n">
        <v>180000</v>
      </c>
      <c r="L6035" s="6" t="n">
        <f aca="false">H6035*K6035</f>
        <v>180000</v>
      </c>
      <c r="M6035" s="4" t="s">
        <v>371</v>
      </c>
    </row>
    <row r="6036" customFormat="false" ht="15" hidden="false" customHeight="false" outlineLevel="0" collapsed="false">
      <c r="A6036" s="4" t="s">
        <v>334</v>
      </c>
      <c r="B6036" s="5" t="s">
        <v>335</v>
      </c>
      <c r="C6036" s="5" t="s">
        <v>336</v>
      </c>
      <c r="D6036" s="4" t="s">
        <v>16</v>
      </c>
      <c r="E6036" s="4" t="s">
        <v>6451</v>
      </c>
      <c r="F6036" s="4" t="s">
        <v>406</v>
      </c>
      <c r="G6036" s="4" t="s">
        <v>6452</v>
      </c>
      <c r="H6036" s="12" t="n">
        <v>1</v>
      </c>
      <c r="I6036" s="4" t="s">
        <v>408</v>
      </c>
      <c r="J6036" s="4" t="s">
        <v>543</v>
      </c>
      <c r="K6036" s="13" t="n">
        <v>12000</v>
      </c>
      <c r="L6036" s="6" t="n">
        <f aca="false">H6036*K6036</f>
        <v>12000</v>
      </c>
      <c r="M6036" s="4" t="s">
        <v>371</v>
      </c>
    </row>
    <row r="6037" customFormat="false" ht="15" hidden="false" customHeight="false" outlineLevel="0" collapsed="false">
      <c r="A6037" s="4" t="s">
        <v>334</v>
      </c>
      <c r="B6037" s="5" t="s">
        <v>335</v>
      </c>
      <c r="C6037" s="5" t="s">
        <v>336</v>
      </c>
      <c r="D6037" s="4" t="s">
        <v>16</v>
      </c>
      <c r="E6037" s="4" t="s">
        <v>6453</v>
      </c>
      <c r="F6037" s="4" t="s">
        <v>406</v>
      </c>
      <c r="G6037" s="4" t="s">
        <v>6454</v>
      </c>
      <c r="H6037" s="12" t="n">
        <v>1</v>
      </c>
      <c r="I6037" s="4" t="s">
        <v>408</v>
      </c>
      <c r="J6037" s="4" t="s">
        <v>409</v>
      </c>
      <c r="K6037" s="13" t="n">
        <v>8500</v>
      </c>
      <c r="L6037" s="6" t="n">
        <f aca="false">H6037*K6037</f>
        <v>8500</v>
      </c>
      <c r="M6037" s="14" t="s">
        <v>410</v>
      </c>
    </row>
    <row r="6038" customFormat="false" ht="15" hidden="false" customHeight="false" outlineLevel="0" collapsed="false">
      <c r="A6038" s="4" t="s">
        <v>334</v>
      </c>
      <c r="B6038" s="5" t="s">
        <v>335</v>
      </c>
      <c r="C6038" s="5" t="s">
        <v>336</v>
      </c>
      <c r="D6038" s="4" t="s">
        <v>16</v>
      </c>
      <c r="E6038" s="4" t="s">
        <v>6455</v>
      </c>
      <c r="F6038" s="4" t="s">
        <v>470</v>
      </c>
      <c r="G6038" s="4" t="s">
        <v>6456</v>
      </c>
      <c r="H6038" s="12" t="n">
        <v>1</v>
      </c>
      <c r="I6038" s="4" t="s">
        <v>408</v>
      </c>
      <c r="J6038" s="4" t="s">
        <v>409</v>
      </c>
      <c r="K6038" s="13" t="n">
        <v>65000</v>
      </c>
      <c r="L6038" s="6" t="n">
        <f aca="false">H6038*K6038</f>
        <v>65000</v>
      </c>
      <c r="M6038" s="14" t="s">
        <v>410</v>
      </c>
    </row>
    <row r="6039" customFormat="false" ht="15" hidden="false" customHeight="false" outlineLevel="0" collapsed="false">
      <c r="A6039" s="4" t="s">
        <v>334</v>
      </c>
      <c r="B6039" s="5" t="s">
        <v>335</v>
      </c>
      <c r="C6039" s="5" t="s">
        <v>336</v>
      </c>
      <c r="D6039" s="4" t="s">
        <v>16</v>
      </c>
      <c r="E6039" s="4" t="s">
        <v>6457</v>
      </c>
      <c r="F6039" s="4" t="s">
        <v>470</v>
      </c>
      <c r="G6039" s="4" t="s">
        <v>6458</v>
      </c>
      <c r="H6039" s="12" t="n">
        <v>1</v>
      </c>
      <c r="I6039" s="4" t="s">
        <v>408</v>
      </c>
      <c r="J6039" s="4" t="s">
        <v>2810</v>
      </c>
      <c r="K6039" s="13" t="n">
        <v>0</v>
      </c>
      <c r="L6039" s="6" t="n">
        <f aca="false">H6039*K6039</f>
        <v>0</v>
      </c>
      <c r="M6039" s="4" t="s">
        <v>371</v>
      </c>
    </row>
    <row r="6040" customFormat="false" ht="15" hidden="false" customHeight="false" outlineLevel="0" collapsed="false">
      <c r="A6040" s="4" t="s">
        <v>334</v>
      </c>
      <c r="B6040" s="5" t="s">
        <v>335</v>
      </c>
      <c r="C6040" s="5" t="s">
        <v>336</v>
      </c>
      <c r="D6040" s="4" t="s">
        <v>16</v>
      </c>
      <c r="E6040" s="4" t="s">
        <v>6459</v>
      </c>
      <c r="F6040" s="4" t="s">
        <v>470</v>
      </c>
      <c r="G6040" s="4" t="s">
        <v>6460</v>
      </c>
      <c r="H6040" s="12" t="n">
        <v>1</v>
      </c>
      <c r="I6040" s="4" t="s">
        <v>408</v>
      </c>
      <c r="J6040" s="4" t="s">
        <v>543</v>
      </c>
      <c r="K6040" s="13" t="n">
        <v>25000</v>
      </c>
      <c r="L6040" s="6" t="n">
        <f aca="false">H6040*K6040</f>
        <v>25000</v>
      </c>
      <c r="M6040" s="4" t="s">
        <v>371</v>
      </c>
    </row>
    <row r="6041" customFormat="false" ht="15" hidden="false" customHeight="false" outlineLevel="0" collapsed="false">
      <c r="A6041" s="4" t="s">
        <v>334</v>
      </c>
      <c r="B6041" s="5" t="s">
        <v>335</v>
      </c>
      <c r="C6041" s="5" t="s">
        <v>336</v>
      </c>
      <c r="D6041" s="4" t="s">
        <v>16</v>
      </c>
      <c r="E6041" s="4" t="s">
        <v>6461</v>
      </c>
      <c r="F6041" s="4" t="s">
        <v>470</v>
      </c>
      <c r="G6041" s="4" t="s">
        <v>6462</v>
      </c>
      <c r="H6041" s="12" t="n">
        <v>1</v>
      </c>
      <c r="I6041" s="4" t="s">
        <v>408</v>
      </c>
      <c r="J6041" s="4" t="s">
        <v>416</v>
      </c>
      <c r="K6041" s="13" t="n">
        <v>4500</v>
      </c>
      <c r="L6041" s="6" t="n">
        <f aca="false">H6041*K6041</f>
        <v>4500</v>
      </c>
      <c r="M6041" s="4" t="s">
        <v>371</v>
      </c>
    </row>
    <row r="6042" customFormat="false" ht="15" hidden="false" customHeight="false" outlineLevel="0" collapsed="false">
      <c r="A6042" s="4" t="s">
        <v>334</v>
      </c>
      <c r="B6042" s="5" t="s">
        <v>335</v>
      </c>
      <c r="C6042" s="5" t="s">
        <v>336</v>
      </c>
      <c r="D6042" s="4" t="s">
        <v>16</v>
      </c>
      <c r="E6042" s="4" t="s">
        <v>6463</v>
      </c>
      <c r="F6042" s="4" t="s">
        <v>470</v>
      </c>
      <c r="G6042" s="4" t="s">
        <v>6464</v>
      </c>
      <c r="H6042" s="12" t="n">
        <v>1</v>
      </c>
      <c r="I6042" s="4" t="s">
        <v>408</v>
      </c>
      <c r="J6042" s="4" t="s">
        <v>409</v>
      </c>
      <c r="K6042" s="13" t="n">
        <v>18000</v>
      </c>
      <c r="L6042" s="6" t="n">
        <f aca="false">H6042*K6042</f>
        <v>18000</v>
      </c>
      <c r="M6042" s="4" t="s">
        <v>371</v>
      </c>
    </row>
    <row r="6043" customFormat="false" ht="15" hidden="false" customHeight="false" outlineLevel="0" collapsed="false">
      <c r="A6043" s="4" t="s">
        <v>334</v>
      </c>
      <c r="B6043" s="5" t="s">
        <v>335</v>
      </c>
      <c r="C6043" s="5" t="s">
        <v>336</v>
      </c>
      <c r="D6043" s="4" t="s">
        <v>16</v>
      </c>
      <c r="E6043" s="4" t="s">
        <v>6465</v>
      </c>
      <c r="F6043" s="4" t="s">
        <v>470</v>
      </c>
      <c r="G6043" s="4" t="s">
        <v>6466</v>
      </c>
      <c r="H6043" s="12" t="n">
        <v>1</v>
      </c>
      <c r="I6043" s="4" t="s">
        <v>408</v>
      </c>
      <c r="J6043" s="4" t="s">
        <v>416</v>
      </c>
      <c r="K6043" s="13" t="n">
        <v>4500</v>
      </c>
      <c r="L6043" s="6" t="n">
        <f aca="false">H6043*K6043</f>
        <v>4500</v>
      </c>
      <c r="M6043" s="4" t="s">
        <v>371</v>
      </c>
    </row>
    <row r="6044" customFormat="false" ht="15" hidden="false" customHeight="false" outlineLevel="0" collapsed="false">
      <c r="A6044" s="4" t="s">
        <v>334</v>
      </c>
      <c r="B6044" s="5" t="s">
        <v>335</v>
      </c>
      <c r="C6044" s="5" t="s">
        <v>336</v>
      </c>
      <c r="D6044" s="4" t="s">
        <v>16</v>
      </c>
      <c r="E6044" s="4" t="s">
        <v>6467</v>
      </c>
      <c r="F6044" s="4" t="s">
        <v>470</v>
      </c>
      <c r="G6044" s="4" t="s">
        <v>6468</v>
      </c>
      <c r="H6044" s="12" t="n">
        <v>1</v>
      </c>
      <c r="I6044" s="4" t="s">
        <v>408</v>
      </c>
      <c r="J6044" s="4" t="s">
        <v>416</v>
      </c>
      <c r="K6044" s="13" t="n">
        <v>65000</v>
      </c>
      <c r="L6044" s="6" t="n">
        <f aca="false">H6044*K6044</f>
        <v>65000</v>
      </c>
      <c r="M6044" s="4" t="s">
        <v>371</v>
      </c>
    </row>
    <row r="6045" customFormat="false" ht="15" hidden="false" customHeight="false" outlineLevel="0" collapsed="false">
      <c r="A6045" s="4" t="s">
        <v>334</v>
      </c>
      <c r="B6045" s="5" t="s">
        <v>335</v>
      </c>
      <c r="C6045" s="5" t="s">
        <v>336</v>
      </c>
      <c r="D6045" s="4" t="s">
        <v>16</v>
      </c>
      <c r="E6045" s="4" t="s">
        <v>6469</v>
      </c>
      <c r="F6045" s="4" t="s">
        <v>488</v>
      </c>
      <c r="G6045" s="4" t="s">
        <v>6470</v>
      </c>
      <c r="H6045" s="12" t="n">
        <v>1</v>
      </c>
      <c r="I6045" s="4" t="s">
        <v>408</v>
      </c>
      <c r="J6045" s="4" t="s">
        <v>791</v>
      </c>
      <c r="K6045" s="13" t="n">
        <v>1200</v>
      </c>
      <c r="L6045" s="6" t="n">
        <f aca="false">H6045*K6045</f>
        <v>1200</v>
      </c>
      <c r="M6045" s="4" t="s">
        <v>371</v>
      </c>
    </row>
    <row r="6046" customFormat="false" ht="15" hidden="false" customHeight="false" outlineLevel="0" collapsed="false">
      <c r="A6046" s="4" t="s">
        <v>334</v>
      </c>
      <c r="B6046" s="5" t="s">
        <v>335</v>
      </c>
      <c r="C6046" s="5" t="s">
        <v>336</v>
      </c>
      <c r="D6046" s="4" t="s">
        <v>16</v>
      </c>
      <c r="E6046" s="4" t="s">
        <v>6471</v>
      </c>
      <c r="F6046" s="4" t="s">
        <v>488</v>
      </c>
      <c r="G6046" s="4" t="s">
        <v>6472</v>
      </c>
      <c r="H6046" s="12" t="n">
        <v>1</v>
      </c>
      <c r="I6046" s="4" t="s">
        <v>408</v>
      </c>
      <c r="J6046" s="4" t="s">
        <v>490</v>
      </c>
      <c r="K6046" s="13" t="n">
        <v>2500</v>
      </c>
      <c r="L6046" s="6" t="n">
        <f aca="false">H6046*K6046</f>
        <v>2500</v>
      </c>
      <c r="M6046" s="4" t="s">
        <v>371</v>
      </c>
    </row>
    <row r="6047" customFormat="false" ht="15" hidden="false" customHeight="false" outlineLevel="0" collapsed="false">
      <c r="A6047" s="4" t="s">
        <v>334</v>
      </c>
      <c r="B6047" s="5" t="s">
        <v>335</v>
      </c>
      <c r="C6047" s="5" t="s">
        <v>336</v>
      </c>
      <c r="D6047" s="4" t="s">
        <v>16</v>
      </c>
      <c r="E6047" s="4" t="s">
        <v>6473</v>
      </c>
      <c r="F6047" s="4" t="s">
        <v>488</v>
      </c>
      <c r="G6047" s="4" t="s">
        <v>6474</v>
      </c>
      <c r="H6047" s="12" t="n">
        <v>1</v>
      </c>
      <c r="I6047" s="4" t="s">
        <v>408</v>
      </c>
      <c r="J6047" s="4" t="s">
        <v>409</v>
      </c>
      <c r="K6047" s="13" t="n">
        <v>250</v>
      </c>
      <c r="L6047" s="6" t="n">
        <f aca="false">H6047*K6047</f>
        <v>250</v>
      </c>
      <c r="M6047" s="4" t="s">
        <v>371</v>
      </c>
    </row>
    <row r="6048" customFormat="false" ht="15" hidden="false" customHeight="false" outlineLevel="0" collapsed="false">
      <c r="A6048" s="4" t="s">
        <v>334</v>
      </c>
      <c r="B6048" s="5" t="s">
        <v>335</v>
      </c>
      <c r="C6048" s="5" t="s">
        <v>336</v>
      </c>
      <c r="D6048" s="4" t="s">
        <v>16</v>
      </c>
      <c r="E6048" s="4" t="s">
        <v>6475</v>
      </c>
      <c r="F6048" s="4" t="s">
        <v>488</v>
      </c>
      <c r="G6048" s="4" t="s">
        <v>6476</v>
      </c>
      <c r="H6048" s="12" t="n">
        <v>1</v>
      </c>
      <c r="I6048" s="4" t="s">
        <v>408</v>
      </c>
      <c r="J6048" s="4" t="s">
        <v>416</v>
      </c>
      <c r="K6048" s="13" t="n">
        <v>450</v>
      </c>
      <c r="L6048" s="6" t="n">
        <f aca="false">H6048*K6048</f>
        <v>450</v>
      </c>
      <c r="M6048" s="4" t="s">
        <v>371</v>
      </c>
    </row>
    <row r="6049" customFormat="false" ht="15" hidden="false" customHeight="false" outlineLevel="0" collapsed="false">
      <c r="A6049" s="4" t="s">
        <v>304</v>
      </c>
      <c r="B6049" s="5" t="s">
        <v>313</v>
      </c>
      <c r="C6049" s="5" t="s">
        <v>314</v>
      </c>
      <c r="D6049" s="4" t="s">
        <v>16</v>
      </c>
      <c r="E6049" s="4" t="s">
        <v>6477</v>
      </c>
      <c r="F6049" s="4" t="s">
        <v>406</v>
      </c>
      <c r="G6049" s="4" t="s">
        <v>6478</v>
      </c>
      <c r="H6049" s="12" t="n">
        <v>1</v>
      </c>
      <c r="I6049" s="4" t="s">
        <v>408</v>
      </c>
      <c r="J6049" s="4" t="s">
        <v>416</v>
      </c>
      <c r="K6049" s="13" t="n">
        <v>6500</v>
      </c>
      <c r="L6049" s="6" t="n">
        <f aca="false">H6049*K6049</f>
        <v>6500</v>
      </c>
      <c r="M6049" s="4" t="s">
        <v>371</v>
      </c>
    </row>
    <row r="6050" customFormat="false" ht="15" hidden="false" customHeight="false" outlineLevel="0" collapsed="false">
      <c r="A6050" s="4" t="s">
        <v>304</v>
      </c>
      <c r="B6050" s="5" t="s">
        <v>313</v>
      </c>
      <c r="C6050" s="5" t="s">
        <v>314</v>
      </c>
      <c r="D6050" s="4" t="s">
        <v>16</v>
      </c>
      <c r="E6050" s="4" t="s">
        <v>6479</v>
      </c>
      <c r="F6050" s="4" t="s">
        <v>406</v>
      </c>
      <c r="G6050" s="4" t="s">
        <v>6480</v>
      </c>
      <c r="H6050" s="12" t="n">
        <v>1</v>
      </c>
      <c r="I6050" s="4" t="s">
        <v>408</v>
      </c>
      <c r="J6050" s="4" t="s">
        <v>416</v>
      </c>
      <c r="K6050" s="13" t="n">
        <v>4500</v>
      </c>
      <c r="L6050" s="6" t="n">
        <f aca="false">H6050*K6050</f>
        <v>4500</v>
      </c>
      <c r="M6050" s="4" t="s">
        <v>371</v>
      </c>
    </row>
    <row r="6051" customFormat="false" ht="15" hidden="false" customHeight="false" outlineLevel="0" collapsed="false">
      <c r="A6051" s="4" t="s">
        <v>304</v>
      </c>
      <c r="B6051" s="5" t="s">
        <v>313</v>
      </c>
      <c r="C6051" s="5" t="s">
        <v>314</v>
      </c>
      <c r="D6051" s="4" t="s">
        <v>16</v>
      </c>
      <c r="E6051" s="4" t="s">
        <v>6481</v>
      </c>
      <c r="F6051" s="4" t="s">
        <v>406</v>
      </c>
      <c r="G6051" s="4" t="s">
        <v>6482</v>
      </c>
      <c r="H6051" s="12" t="n">
        <v>1</v>
      </c>
      <c r="I6051" s="4" t="s">
        <v>408</v>
      </c>
      <c r="J6051" s="4" t="s">
        <v>1080</v>
      </c>
      <c r="K6051" s="13" t="n">
        <v>1800</v>
      </c>
      <c r="L6051" s="6" t="n">
        <f aca="false">H6051*K6051</f>
        <v>1800</v>
      </c>
      <c r="M6051" s="4" t="s">
        <v>371</v>
      </c>
    </row>
    <row r="6052" customFormat="false" ht="15" hidden="false" customHeight="false" outlineLevel="0" collapsed="false">
      <c r="A6052" s="4" t="s">
        <v>304</v>
      </c>
      <c r="B6052" s="5" t="s">
        <v>313</v>
      </c>
      <c r="C6052" s="5" t="s">
        <v>314</v>
      </c>
      <c r="D6052" s="4" t="s">
        <v>16</v>
      </c>
      <c r="E6052" s="4" t="s">
        <v>6483</v>
      </c>
      <c r="F6052" s="4" t="s">
        <v>406</v>
      </c>
      <c r="G6052" s="4" t="s">
        <v>6484</v>
      </c>
      <c r="H6052" s="12" t="n">
        <v>1</v>
      </c>
      <c r="I6052" s="4" t="s">
        <v>408</v>
      </c>
      <c r="J6052" s="4" t="s">
        <v>416</v>
      </c>
      <c r="K6052" s="13" t="n">
        <v>8500</v>
      </c>
      <c r="L6052" s="6" t="n">
        <f aca="false">H6052*K6052</f>
        <v>8500</v>
      </c>
      <c r="M6052" s="14" t="s">
        <v>410</v>
      </c>
    </row>
    <row r="6053" customFormat="false" ht="15" hidden="false" customHeight="false" outlineLevel="0" collapsed="false">
      <c r="A6053" s="4" t="s">
        <v>304</v>
      </c>
      <c r="B6053" s="5" t="s">
        <v>313</v>
      </c>
      <c r="C6053" s="5" t="s">
        <v>314</v>
      </c>
      <c r="D6053" s="4" t="s">
        <v>16</v>
      </c>
      <c r="E6053" s="4" t="s">
        <v>6485</v>
      </c>
      <c r="F6053" s="4" t="s">
        <v>406</v>
      </c>
      <c r="G6053" s="4" t="s">
        <v>6486</v>
      </c>
      <c r="H6053" s="12" t="n">
        <v>1</v>
      </c>
      <c r="I6053" s="4" t="s">
        <v>408</v>
      </c>
      <c r="J6053" s="4" t="s">
        <v>416</v>
      </c>
      <c r="K6053" s="13" t="n">
        <v>125000</v>
      </c>
      <c r="L6053" s="6" t="n">
        <f aca="false">H6053*K6053</f>
        <v>125000</v>
      </c>
      <c r="M6053" s="4" t="s">
        <v>371</v>
      </c>
    </row>
    <row r="6054" customFormat="false" ht="15" hidden="false" customHeight="false" outlineLevel="0" collapsed="false">
      <c r="A6054" s="4" t="s">
        <v>304</v>
      </c>
      <c r="B6054" s="5" t="s">
        <v>313</v>
      </c>
      <c r="C6054" s="5" t="s">
        <v>314</v>
      </c>
      <c r="D6054" s="4" t="s">
        <v>16</v>
      </c>
      <c r="E6054" s="4" t="s">
        <v>6487</v>
      </c>
      <c r="F6054" s="4" t="s">
        <v>406</v>
      </c>
      <c r="G6054" s="4" t="s">
        <v>6488</v>
      </c>
      <c r="H6054" s="12" t="n">
        <v>1</v>
      </c>
      <c r="I6054" s="4" t="s">
        <v>408</v>
      </c>
      <c r="J6054" s="4" t="s">
        <v>416</v>
      </c>
      <c r="K6054" s="13" t="n">
        <v>4500</v>
      </c>
      <c r="L6054" s="6" t="n">
        <f aca="false">H6054*K6054</f>
        <v>4500</v>
      </c>
      <c r="M6054" s="4" t="s">
        <v>371</v>
      </c>
    </row>
    <row r="6055" customFormat="false" ht="15" hidden="false" customHeight="false" outlineLevel="0" collapsed="false">
      <c r="A6055" s="4" t="s">
        <v>304</v>
      </c>
      <c r="B6055" s="5" t="s">
        <v>313</v>
      </c>
      <c r="C6055" s="5" t="s">
        <v>314</v>
      </c>
      <c r="D6055" s="4" t="s">
        <v>16</v>
      </c>
      <c r="E6055" s="4" t="s">
        <v>6234</v>
      </c>
      <c r="F6055" s="4" t="s">
        <v>470</v>
      </c>
      <c r="G6055" s="4" t="s">
        <v>6235</v>
      </c>
      <c r="H6055" s="12" t="n">
        <v>1</v>
      </c>
      <c r="I6055" s="4" t="s">
        <v>408</v>
      </c>
      <c r="J6055" s="4" t="s">
        <v>409</v>
      </c>
      <c r="K6055" s="13" t="n">
        <v>45000</v>
      </c>
      <c r="L6055" s="6" t="n">
        <f aca="false">H6055*K6055</f>
        <v>45000</v>
      </c>
      <c r="M6055" s="4" t="s">
        <v>371</v>
      </c>
    </row>
    <row r="6056" customFormat="false" ht="15" hidden="false" customHeight="false" outlineLevel="0" collapsed="false">
      <c r="A6056" s="4" t="s">
        <v>304</v>
      </c>
      <c r="B6056" s="5" t="s">
        <v>313</v>
      </c>
      <c r="C6056" s="5" t="s">
        <v>314</v>
      </c>
      <c r="D6056" s="4" t="s">
        <v>16</v>
      </c>
      <c r="E6056" s="4" t="s">
        <v>1697</v>
      </c>
      <c r="F6056" s="4" t="s">
        <v>470</v>
      </c>
      <c r="G6056" s="4" t="s">
        <v>1698</v>
      </c>
      <c r="H6056" s="12" t="n">
        <v>1</v>
      </c>
      <c r="I6056" s="4" t="s">
        <v>408</v>
      </c>
      <c r="J6056" s="4" t="s">
        <v>409</v>
      </c>
      <c r="K6056" s="13" t="n">
        <v>45000</v>
      </c>
      <c r="L6056" s="6" t="n">
        <f aca="false">H6056*K6056</f>
        <v>45000</v>
      </c>
      <c r="M6056" s="14" t="s">
        <v>410</v>
      </c>
    </row>
    <row r="6057" customFormat="false" ht="15" hidden="false" customHeight="false" outlineLevel="0" collapsed="false">
      <c r="A6057" s="4" t="s">
        <v>304</v>
      </c>
      <c r="B6057" s="5" t="s">
        <v>313</v>
      </c>
      <c r="C6057" s="5" t="s">
        <v>314</v>
      </c>
      <c r="D6057" s="4" t="s">
        <v>16</v>
      </c>
      <c r="E6057" s="4" t="s">
        <v>1626</v>
      </c>
      <c r="F6057" s="4" t="s">
        <v>470</v>
      </c>
      <c r="G6057" s="4" t="s">
        <v>1627</v>
      </c>
      <c r="H6057" s="12" t="n">
        <v>1</v>
      </c>
      <c r="I6057" s="4" t="s">
        <v>408</v>
      </c>
      <c r="J6057" s="4" t="s">
        <v>475</v>
      </c>
      <c r="K6057" s="13" t="n">
        <v>2500</v>
      </c>
      <c r="L6057" s="6" t="n">
        <f aca="false">H6057*K6057</f>
        <v>2500</v>
      </c>
      <c r="M6057" s="14" t="s">
        <v>410</v>
      </c>
    </row>
    <row r="6058" customFormat="false" ht="15" hidden="false" customHeight="false" outlineLevel="0" collapsed="false">
      <c r="A6058" s="4" t="s">
        <v>304</v>
      </c>
      <c r="B6058" s="5" t="s">
        <v>313</v>
      </c>
      <c r="C6058" s="5" t="s">
        <v>314</v>
      </c>
      <c r="D6058" s="4" t="s">
        <v>16</v>
      </c>
      <c r="E6058" s="4" t="s">
        <v>6489</v>
      </c>
      <c r="F6058" s="4" t="s">
        <v>470</v>
      </c>
      <c r="G6058" s="4" t="s">
        <v>6490</v>
      </c>
      <c r="H6058" s="12" t="n">
        <v>1</v>
      </c>
      <c r="I6058" s="4" t="s">
        <v>408</v>
      </c>
      <c r="J6058" s="4" t="s">
        <v>416</v>
      </c>
      <c r="K6058" s="13" t="n">
        <v>18000</v>
      </c>
      <c r="L6058" s="6" t="n">
        <f aca="false">H6058*K6058</f>
        <v>18000</v>
      </c>
      <c r="M6058" s="4" t="s">
        <v>371</v>
      </c>
    </row>
    <row r="6059" customFormat="false" ht="15" hidden="false" customHeight="false" outlineLevel="0" collapsed="false">
      <c r="A6059" s="4" t="s">
        <v>304</v>
      </c>
      <c r="B6059" s="5" t="s">
        <v>313</v>
      </c>
      <c r="C6059" s="5" t="s">
        <v>314</v>
      </c>
      <c r="D6059" s="4" t="s">
        <v>16</v>
      </c>
      <c r="E6059" s="4" t="s">
        <v>6491</v>
      </c>
      <c r="F6059" s="4" t="s">
        <v>470</v>
      </c>
      <c r="G6059" s="4" t="s">
        <v>6492</v>
      </c>
      <c r="H6059" s="12" t="n">
        <v>1</v>
      </c>
      <c r="I6059" s="4" t="s">
        <v>408</v>
      </c>
      <c r="J6059" s="4" t="s">
        <v>416</v>
      </c>
      <c r="K6059" s="13" t="n">
        <v>1800</v>
      </c>
      <c r="L6059" s="6" t="n">
        <f aca="false">H6059*K6059</f>
        <v>1800</v>
      </c>
      <c r="M6059" s="4" t="s">
        <v>371</v>
      </c>
    </row>
    <row r="6060" customFormat="false" ht="15" hidden="false" customHeight="false" outlineLevel="0" collapsed="false">
      <c r="A6060" s="4" t="s">
        <v>304</v>
      </c>
      <c r="B6060" s="5" t="s">
        <v>313</v>
      </c>
      <c r="C6060" s="5" t="s">
        <v>314</v>
      </c>
      <c r="D6060" s="4" t="s">
        <v>16</v>
      </c>
      <c r="E6060" s="4" t="s">
        <v>2288</v>
      </c>
      <c r="F6060" s="4" t="s">
        <v>470</v>
      </c>
      <c r="G6060" s="4" t="s">
        <v>1452</v>
      </c>
      <c r="H6060" s="12" t="n">
        <v>1</v>
      </c>
      <c r="I6060" s="4" t="s">
        <v>408</v>
      </c>
      <c r="J6060" s="4" t="s">
        <v>413</v>
      </c>
      <c r="K6060" s="13" t="n">
        <v>450</v>
      </c>
      <c r="L6060" s="6" t="n">
        <f aca="false">H6060*K6060</f>
        <v>450</v>
      </c>
      <c r="M6060" s="4" t="s">
        <v>371</v>
      </c>
    </row>
    <row r="6061" customFormat="false" ht="15" hidden="false" customHeight="false" outlineLevel="0" collapsed="false">
      <c r="A6061" s="4" t="s">
        <v>304</v>
      </c>
      <c r="B6061" s="5" t="s">
        <v>313</v>
      </c>
      <c r="C6061" s="5" t="s">
        <v>314</v>
      </c>
      <c r="D6061" s="4" t="s">
        <v>16</v>
      </c>
      <c r="E6061" s="4" t="s">
        <v>6493</v>
      </c>
      <c r="F6061" s="4" t="s">
        <v>470</v>
      </c>
      <c r="G6061" s="4" t="s">
        <v>5880</v>
      </c>
      <c r="H6061" s="12" t="n">
        <v>1</v>
      </c>
      <c r="I6061" s="4" t="s">
        <v>408</v>
      </c>
      <c r="J6061" s="4" t="s">
        <v>416</v>
      </c>
      <c r="K6061" s="13" t="n">
        <v>8500</v>
      </c>
      <c r="L6061" s="6" t="n">
        <f aca="false">H6061*K6061</f>
        <v>8500</v>
      </c>
      <c r="M6061" s="4" t="s">
        <v>371</v>
      </c>
    </row>
    <row r="6062" customFormat="false" ht="15" hidden="false" customHeight="false" outlineLevel="0" collapsed="false">
      <c r="A6062" s="4" t="s">
        <v>304</v>
      </c>
      <c r="B6062" s="5" t="s">
        <v>313</v>
      </c>
      <c r="C6062" s="5" t="s">
        <v>314</v>
      </c>
      <c r="D6062" s="4" t="s">
        <v>16</v>
      </c>
      <c r="E6062" s="4" t="s">
        <v>6494</v>
      </c>
      <c r="F6062" s="4" t="s">
        <v>470</v>
      </c>
      <c r="G6062" s="4" t="s">
        <v>6495</v>
      </c>
      <c r="H6062" s="12" t="n">
        <v>1</v>
      </c>
      <c r="I6062" s="4" t="s">
        <v>408</v>
      </c>
      <c r="J6062" s="4" t="s">
        <v>416</v>
      </c>
      <c r="K6062" s="13" t="n">
        <v>18000</v>
      </c>
      <c r="L6062" s="6" t="n">
        <f aca="false">H6062*K6062</f>
        <v>18000</v>
      </c>
      <c r="M6062" s="4" t="s">
        <v>371</v>
      </c>
    </row>
    <row r="6063" customFormat="false" ht="15" hidden="false" customHeight="false" outlineLevel="0" collapsed="false">
      <c r="A6063" s="4" t="s">
        <v>304</v>
      </c>
      <c r="B6063" s="5" t="s">
        <v>313</v>
      </c>
      <c r="C6063" s="5" t="s">
        <v>314</v>
      </c>
      <c r="D6063" s="4" t="s">
        <v>16</v>
      </c>
      <c r="E6063" s="4" t="s">
        <v>6496</v>
      </c>
      <c r="F6063" s="4" t="s">
        <v>470</v>
      </c>
      <c r="G6063" s="4" t="s">
        <v>6497</v>
      </c>
      <c r="H6063" s="12" t="n">
        <v>1</v>
      </c>
      <c r="I6063" s="4" t="s">
        <v>408</v>
      </c>
      <c r="J6063" s="4" t="s">
        <v>416</v>
      </c>
      <c r="K6063" s="13" t="n">
        <v>1200</v>
      </c>
      <c r="L6063" s="6" t="n">
        <f aca="false">H6063*K6063</f>
        <v>1200</v>
      </c>
      <c r="M6063" s="4" t="s">
        <v>371</v>
      </c>
    </row>
    <row r="6064" customFormat="false" ht="15" hidden="false" customHeight="false" outlineLevel="0" collapsed="false">
      <c r="A6064" s="4" t="s">
        <v>337</v>
      </c>
      <c r="B6064" s="5" t="s">
        <v>342</v>
      </c>
      <c r="C6064" s="5" t="s">
        <v>343</v>
      </c>
      <c r="D6064" s="4" t="s">
        <v>16</v>
      </c>
      <c r="E6064" s="4" t="s">
        <v>6498</v>
      </c>
      <c r="F6064" s="4" t="s">
        <v>406</v>
      </c>
      <c r="G6064" s="4" t="s">
        <v>6499</v>
      </c>
      <c r="H6064" s="12" t="n">
        <v>1</v>
      </c>
      <c r="I6064" s="4" t="s">
        <v>408</v>
      </c>
      <c r="J6064" s="4" t="s">
        <v>416</v>
      </c>
      <c r="K6064" s="13" t="n">
        <v>850</v>
      </c>
      <c r="L6064" s="6" t="n">
        <f aca="false">H6064*K6064</f>
        <v>850</v>
      </c>
      <c r="M6064" s="4" t="s">
        <v>371</v>
      </c>
    </row>
    <row r="6065" customFormat="false" ht="15" hidden="false" customHeight="false" outlineLevel="0" collapsed="false">
      <c r="A6065" s="4" t="s">
        <v>337</v>
      </c>
      <c r="B6065" s="5" t="s">
        <v>342</v>
      </c>
      <c r="C6065" s="5" t="s">
        <v>343</v>
      </c>
      <c r="D6065" s="4" t="s">
        <v>16</v>
      </c>
      <c r="E6065" s="4" t="s">
        <v>3539</v>
      </c>
      <c r="F6065" s="4" t="s">
        <v>406</v>
      </c>
      <c r="G6065" s="4" t="s">
        <v>3540</v>
      </c>
      <c r="H6065" s="12" t="n">
        <v>1</v>
      </c>
      <c r="I6065" s="4" t="s">
        <v>408</v>
      </c>
      <c r="J6065" s="4" t="s">
        <v>409</v>
      </c>
      <c r="K6065" s="13" t="n">
        <v>120</v>
      </c>
      <c r="L6065" s="6" t="n">
        <f aca="false">H6065*K6065</f>
        <v>120</v>
      </c>
      <c r="M6065" s="14" t="s">
        <v>410</v>
      </c>
    </row>
    <row r="6066" customFormat="false" ht="15" hidden="false" customHeight="false" outlineLevel="0" collapsed="false">
      <c r="A6066" s="4" t="s">
        <v>337</v>
      </c>
      <c r="B6066" s="5" t="s">
        <v>342</v>
      </c>
      <c r="C6066" s="5" t="s">
        <v>343</v>
      </c>
      <c r="D6066" s="4" t="s">
        <v>16</v>
      </c>
      <c r="E6066" s="4" t="s">
        <v>4187</v>
      </c>
      <c r="F6066" s="4" t="s">
        <v>406</v>
      </c>
      <c r="G6066" s="4" t="s">
        <v>4188</v>
      </c>
      <c r="H6066" s="12" t="n">
        <v>1</v>
      </c>
      <c r="I6066" s="4" t="s">
        <v>408</v>
      </c>
      <c r="J6066" s="4" t="s">
        <v>409</v>
      </c>
      <c r="K6066" s="13" t="n">
        <v>350</v>
      </c>
      <c r="L6066" s="6" t="n">
        <f aca="false">H6066*K6066</f>
        <v>350</v>
      </c>
      <c r="M6066" s="14" t="s">
        <v>410</v>
      </c>
    </row>
    <row r="6067" customFormat="false" ht="15" hidden="false" customHeight="false" outlineLevel="0" collapsed="false">
      <c r="A6067" s="4" t="s">
        <v>337</v>
      </c>
      <c r="B6067" s="5" t="s">
        <v>342</v>
      </c>
      <c r="C6067" s="5" t="s">
        <v>343</v>
      </c>
      <c r="D6067" s="4" t="s">
        <v>16</v>
      </c>
      <c r="E6067" s="4" t="s">
        <v>2578</v>
      </c>
      <c r="F6067" s="4" t="s">
        <v>406</v>
      </c>
      <c r="G6067" s="4" t="s">
        <v>2579</v>
      </c>
      <c r="H6067" s="12" t="n">
        <v>1</v>
      </c>
      <c r="I6067" s="4" t="s">
        <v>408</v>
      </c>
      <c r="J6067" s="4" t="s">
        <v>409</v>
      </c>
      <c r="K6067" s="13" t="n">
        <v>350</v>
      </c>
      <c r="L6067" s="6" t="n">
        <f aca="false">H6067*K6067</f>
        <v>350</v>
      </c>
      <c r="M6067" s="14" t="s">
        <v>410</v>
      </c>
    </row>
    <row r="6068" customFormat="false" ht="15" hidden="false" customHeight="false" outlineLevel="0" collapsed="false">
      <c r="A6068" s="4" t="s">
        <v>337</v>
      </c>
      <c r="B6068" s="5" t="s">
        <v>342</v>
      </c>
      <c r="C6068" s="5" t="s">
        <v>343</v>
      </c>
      <c r="D6068" s="4" t="s">
        <v>16</v>
      </c>
      <c r="E6068" s="4" t="s">
        <v>4564</v>
      </c>
      <c r="F6068" s="4" t="s">
        <v>406</v>
      </c>
      <c r="G6068" s="4" t="s">
        <v>4565</v>
      </c>
      <c r="H6068" s="12" t="n">
        <v>1</v>
      </c>
      <c r="I6068" s="4" t="s">
        <v>408</v>
      </c>
      <c r="J6068" s="4" t="s">
        <v>409</v>
      </c>
      <c r="K6068" s="13" t="n">
        <v>350</v>
      </c>
      <c r="L6068" s="6" t="n">
        <f aca="false">H6068*K6068</f>
        <v>350</v>
      </c>
      <c r="M6068" s="14" t="s">
        <v>410</v>
      </c>
    </row>
    <row r="6069" customFormat="false" ht="15" hidden="false" customHeight="false" outlineLevel="0" collapsed="false">
      <c r="A6069" s="4" t="s">
        <v>337</v>
      </c>
      <c r="B6069" s="5" t="s">
        <v>342</v>
      </c>
      <c r="C6069" s="5" t="s">
        <v>343</v>
      </c>
      <c r="D6069" s="4" t="s">
        <v>16</v>
      </c>
      <c r="E6069" s="4" t="s">
        <v>4566</v>
      </c>
      <c r="F6069" s="4" t="s">
        <v>406</v>
      </c>
      <c r="G6069" s="4" t="s">
        <v>927</v>
      </c>
      <c r="H6069" s="12" t="n">
        <v>1</v>
      </c>
      <c r="I6069" s="4" t="s">
        <v>408</v>
      </c>
      <c r="J6069" s="4" t="s">
        <v>416</v>
      </c>
      <c r="K6069" s="13" t="n">
        <v>1800</v>
      </c>
      <c r="L6069" s="6" t="n">
        <f aca="false">H6069*K6069</f>
        <v>1800</v>
      </c>
      <c r="M6069" s="14" t="s">
        <v>410</v>
      </c>
    </row>
    <row r="6070" customFormat="false" ht="15" hidden="false" customHeight="false" outlineLevel="0" collapsed="false">
      <c r="A6070" s="4" t="s">
        <v>337</v>
      </c>
      <c r="B6070" s="5" t="s">
        <v>342</v>
      </c>
      <c r="C6070" s="5" t="s">
        <v>343</v>
      </c>
      <c r="D6070" s="4" t="s">
        <v>16</v>
      </c>
      <c r="E6070" s="4" t="s">
        <v>4193</v>
      </c>
      <c r="F6070" s="4" t="s">
        <v>406</v>
      </c>
      <c r="G6070" s="4" t="s">
        <v>4194</v>
      </c>
      <c r="H6070" s="12" t="n">
        <v>1</v>
      </c>
      <c r="I6070" s="4" t="s">
        <v>408</v>
      </c>
      <c r="J6070" s="4" t="s">
        <v>409</v>
      </c>
      <c r="K6070" s="13" t="n">
        <v>120</v>
      </c>
      <c r="L6070" s="6" t="n">
        <f aca="false">H6070*K6070</f>
        <v>120</v>
      </c>
      <c r="M6070" s="14" t="s">
        <v>410</v>
      </c>
    </row>
    <row r="6071" customFormat="false" ht="15" hidden="false" customHeight="false" outlineLevel="0" collapsed="false">
      <c r="A6071" s="4" t="s">
        <v>337</v>
      </c>
      <c r="B6071" s="5" t="s">
        <v>342</v>
      </c>
      <c r="C6071" s="5" t="s">
        <v>343</v>
      </c>
      <c r="D6071" s="4" t="s">
        <v>16</v>
      </c>
      <c r="E6071" s="4" t="s">
        <v>6500</v>
      </c>
      <c r="F6071" s="4" t="s">
        <v>406</v>
      </c>
      <c r="G6071" s="4" t="s">
        <v>6501</v>
      </c>
      <c r="H6071" s="12" t="n">
        <v>1</v>
      </c>
      <c r="I6071" s="4" t="s">
        <v>408</v>
      </c>
      <c r="J6071" s="4" t="s">
        <v>409</v>
      </c>
      <c r="K6071" s="13" t="n">
        <v>180</v>
      </c>
      <c r="L6071" s="6" t="n">
        <f aca="false">H6071*K6071</f>
        <v>180</v>
      </c>
      <c r="M6071" s="14" t="s">
        <v>410</v>
      </c>
    </row>
    <row r="6072" customFormat="false" ht="15" hidden="false" customHeight="false" outlineLevel="0" collapsed="false">
      <c r="A6072" s="4" t="s">
        <v>337</v>
      </c>
      <c r="B6072" s="5" t="s">
        <v>342</v>
      </c>
      <c r="C6072" s="5" t="s">
        <v>343</v>
      </c>
      <c r="D6072" s="4" t="s">
        <v>16</v>
      </c>
      <c r="E6072" s="4" t="s">
        <v>5811</v>
      </c>
      <c r="F6072" s="4" t="s">
        <v>406</v>
      </c>
      <c r="G6072" s="4" t="s">
        <v>1607</v>
      </c>
      <c r="H6072" s="12" t="n">
        <v>1</v>
      </c>
      <c r="I6072" s="4" t="s">
        <v>408</v>
      </c>
      <c r="J6072" s="4" t="s">
        <v>409</v>
      </c>
      <c r="K6072" s="13" t="n">
        <v>1200</v>
      </c>
      <c r="L6072" s="6" t="n">
        <f aca="false">H6072*K6072</f>
        <v>1200</v>
      </c>
      <c r="M6072" s="14" t="s">
        <v>410</v>
      </c>
    </row>
    <row r="6073" customFormat="false" ht="15" hidden="false" customHeight="false" outlineLevel="0" collapsed="false">
      <c r="A6073" s="4" t="s">
        <v>337</v>
      </c>
      <c r="B6073" s="5" t="s">
        <v>342</v>
      </c>
      <c r="C6073" s="5" t="s">
        <v>343</v>
      </c>
      <c r="D6073" s="4" t="s">
        <v>16</v>
      </c>
      <c r="E6073" s="4" t="s">
        <v>4433</v>
      </c>
      <c r="F6073" s="4" t="s">
        <v>406</v>
      </c>
      <c r="G6073" s="4" t="s">
        <v>4434</v>
      </c>
      <c r="H6073" s="12" t="n">
        <v>1</v>
      </c>
      <c r="I6073" s="4" t="s">
        <v>408</v>
      </c>
      <c r="J6073" s="4" t="s">
        <v>416</v>
      </c>
      <c r="K6073" s="13" t="n">
        <v>1800</v>
      </c>
      <c r="L6073" s="6" t="n">
        <f aca="false">H6073*K6073</f>
        <v>1800</v>
      </c>
      <c r="M6073" s="14" t="s">
        <v>410</v>
      </c>
    </row>
    <row r="6074" customFormat="false" ht="15" hidden="false" customHeight="false" outlineLevel="0" collapsed="false">
      <c r="A6074" s="4" t="s">
        <v>337</v>
      </c>
      <c r="B6074" s="5" t="s">
        <v>342</v>
      </c>
      <c r="C6074" s="5" t="s">
        <v>343</v>
      </c>
      <c r="D6074" s="4" t="s">
        <v>16</v>
      </c>
      <c r="E6074" s="4" t="s">
        <v>4567</v>
      </c>
      <c r="F6074" s="4" t="s">
        <v>406</v>
      </c>
      <c r="G6074" s="4" t="s">
        <v>4568</v>
      </c>
      <c r="H6074" s="12" t="n">
        <v>1</v>
      </c>
      <c r="I6074" s="4" t="s">
        <v>408</v>
      </c>
      <c r="J6074" s="4" t="s">
        <v>409</v>
      </c>
      <c r="K6074" s="13" t="n">
        <v>450</v>
      </c>
      <c r="L6074" s="6" t="n">
        <f aca="false">H6074*K6074</f>
        <v>450</v>
      </c>
      <c r="M6074" s="14" t="s">
        <v>410</v>
      </c>
    </row>
    <row r="6075" customFormat="false" ht="15" hidden="false" customHeight="false" outlineLevel="0" collapsed="false">
      <c r="A6075" s="4" t="s">
        <v>337</v>
      </c>
      <c r="B6075" s="5" t="s">
        <v>342</v>
      </c>
      <c r="C6075" s="5" t="s">
        <v>343</v>
      </c>
      <c r="D6075" s="4" t="s">
        <v>16</v>
      </c>
      <c r="E6075" s="4" t="s">
        <v>4569</v>
      </c>
      <c r="F6075" s="4" t="s">
        <v>406</v>
      </c>
      <c r="G6075" s="4" t="s">
        <v>4570</v>
      </c>
      <c r="H6075" s="12" t="n">
        <v>1</v>
      </c>
      <c r="I6075" s="4" t="s">
        <v>408</v>
      </c>
      <c r="J6075" s="4" t="s">
        <v>409</v>
      </c>
      <c r="K6075" s="13" t="n">
        <v>250</v>
      </c>
      <c r="L6075" s="6" t="n">
        <f aca="false">H6075*K6075</f>
        <v>250</v>
      </c>
      <c r="M6075" s="14" t="s">
        <v>410</v>
      </c>
    </row>
    <row r="6076" customFormat="false" ht="15" hidden="false" customHeight="false" outlineLevel="0" collapsed="false">
      <c r="A6076" s="4" t="s">
        <v>337</v>
      </c>
      <c r="B6076" s="5" t="s">
        <v>342</v>
      </c>
      <c r="C6076" s="5" t="s">
        <v>343</v>
      </c>
      <c r="D6076" s="4" t="s">
        <v>16</v>
      </c>
      <c r="E6076" s="4" t="s">
        <v>4571</v>
      </c>
      <c r="F6076" s="4" t="s">
        <v>406</v>
      </c>
      <c r="G6076" s="4" t="s">
        <v>4572</v>
      </c>
      <c r="H6076" s="12" t="n">
        <v>1</v>
      </c>
      <c r="I6076" s="4" t="s">
        <v>408</v>
      </c>
      <c r="J6076" s="4" t="s">
        <v>409</v>
      </c>
      <c r="K6076" s="13" t="n">
        <v>350</v>
      </c>
      <c r="L6076" s="6" t="n">
        <f aca="false">H6076*K6076</f>
        <v>350</v>
      </c>
      <c r="M6076" s="14" t="s">
        <v>410</v>
      </c>
    </row>
    <row r="6077" customFormat="false" ht="15" hidden="false" customHeight="false" outlineLevel="0" collapsed="false">
      <c r="A6077" s="4" t="s">
        <v>337</v>
      </c>
      <c r="B6077" s="5" t="s">
        <v>342</v>
      </c>
      <c r="C6077" s="5" t="s">
        <v>343</v>
      </c>
      <c r="D6077" s="4" t="s">
        <v>16</v>
      </c>
      <c r="E6077" s="4" t="s">
        <v>6502</v>
      </c>
      <c r="F6077" s="4" t="s">
        <v>406</v>
      </c>
      <c r="G6077" s="4" t="s">
        <v>6503</v>
      </c>
      <c r="H6077" s="12" t="n">
        <v>1</v>
      </c>
      <c r="I6077" s="4" t="s">
        <v>408</v>
      </c>
      <c r="J6077" s="4" t="s">
        <v>409</v>
      </c>
      <c r="K6077" s="13" t="n">
        <v>450</v>
      </c>
      <c r="L6077" s="6" t="n">
        <f aca="false">H6077*K6077</f>
        <v>450</v>
      </c>
      <c r="M6077" s="14" t="s">
        <v>410</v>
      </c>
    </row>
    <row r="6078" customFormat="false" ht="15" hidden="false" customHeight="false" outlineLevel="0" collapsed="false">
      <c r="A6078" s="4" t="s">
        <v>337</v>
      </c>
      <c r="B6078" s="5" t="s">
        <v>342</v>
      </c>
      <c r="C6078" s="5" t="s">
        <v>343</v>
      </c>
      <c r="D6078" s="4" t="s">
        <v>16</v>
      </c>
      <c r="E6078" s="4" t="s">
        <v>6504</v>
      </c>
      <c r="F6078" s="4" t="s">
        <v>406</v>
      </c>
      <c r="G6078" s="4" t="s">
        <v>6505</v>
      </c>
      <c r="H6078" s="12" t="n">
        <v>1</v>
      </c>
      <c r="I6078" s="4" t="s">
        <v>408</v>
      </c>
      <c r="J6078" s="4" t="s">
        <v>409</v>
      </c>
      <c r="K6078" s="13" t="n">
        <v>45000</v>
      </c>
      <c r="L6078" s="6" t="n">
        <f aca="false">H6078*K6078</f>
        <v>45000</v>
      </c>
      <c r="M6078" s="14" t="s">
        <v>410</v>
      </c>
    </row>
    <row r="6079" customFormat="false" ht="15" hidden="false" customHeight="false" outlineLevel="0" collapsed="false">
      <c r="A6079" s="4" t="s">
        <v>337</v>
      </c>
      <c r="B6079" s="5" t="s">
        <v>342</v>
      </c>
      <c r="C6079" s="5" t="s">
        <v>343</v>
      </c>
      <c r="D6079" s="4" t="s">
        <v>16</v>
      </c>
      <c r="E6079" s="4" t="s">
        <v>4576</v>
      </c>
      <c r="F6079" s="4" t="s">
        <v>406</v>
      </c>
      <c r="G6079" s="4" t="s">
        <v>4577</v>
      </c>
      <c r="H6079" s="12" t="n">
        <v>1</v>
      </c>
      <c r="I6079" s="4" t="s">
        <v>408</v>
      </c>
      <c r="J6079" s="4" t="s">
        <v>409</v>
      </c>
      <c r="K6079" s="13" t="n">
        <v>650</v>
      </c>
      <c r="L6079" s="6" t="n">
        <f aca="false">H6079*K6079</f>
        <v>650</v>
      </c>
      <c r="M6079" s="14" t="s">
        <v>410</v>
      </c>
    </row>
    <row r="6080" customFormat="false" ht="15" hidden="false" customHeight="false" outlineLevel="0" collapsed="false">
      <c r="A6080" s="4" t="s">
        <v>337</v>
      </c>
      <c r="B6080" s="5" t="s">
        <v>342</v>
      </c>
      <c r="C6080" s="5" t="s">
        <v>343</v>
      </c>
      <c r="D6080" s="4" t="s">
        <v>16</v>
      </c>
      <c r="E6080" s="4" t="s">
        <v>6506</v>
      </c>
      <c r="F6080" s="4" t="s">
        <v>406</v>
      </c>
      <c r="G6080" s="4" t="s">
        <v>6507</v>
      </c>
      <c r="H6080" s="12" t="n">
        <v>1</v>
      </c>
      <c r="I6080" s="4" t="s">
        <v>408</v>
      </c>
      <c r="J6080" s="4" t="s">
        <v>409</v>
      </c>
      <c r="K6080" s="13" t="n">
        <v>850</v>
      </c>
      <c r="L6080" s="6" t="n">
        <f aca="false">H6080*K6080</f>
        <v>850</v>
      </c>
      <c r="M6080" s="14" t="s">
        <v>410</v>
      </c>
    </row>
    <row r="6081" customFormat="false" ht="15" hidden="false" customHeight="false" outlineLevel="0" collapsed="false">
      <c r="A6081" s="4" t="s">
        <v>337</v>
      </c>
      <c r="B6081" s="5" t="s">
        <v>342</v>
      </c>
      <c r="C6081" s="5" t="s">
        <v>343</v>
      </c>
      <c r="D6081" s="4" t="s">
        <v>16</v>
      </c>
      <c r="E6081" s="4" t="s">
        <v>6508</v>
      </c>
      <c r="F6081" s="4" t="s">
        <v>470</v>
      </c>
      <c r="G6081" s="4" t="s">
        <v>6509</v>
      </c>
      <c r="H6081" s="12" t="n">
        <v>1</v>
      </c>
      <c r="I6081" s="4" t="s">
        <v>408</v>
      </c>
      <c r="J6081" s="4" t="s">
        <v>416</v>
      </c>
      <c r="K6081" s="13" t="n">
        <v>3500</v>
      </c>
      <c r="L6081" s="6" t="n">
        <f aca="false">H6081*K6081</f>
        <v>3500</v>
      </c>
      <c r="M6081" s="4" t="s">
        <v>371</v>
      </c>
    </row>
    <row r="6082" customFormat="false" ht="15" hidden="false" customHeight="false" outlineLevel="0" collapsed="false">
      <c r="A6082" s="4" t="s">
        <v>337</v>
      </c>
      <c r="B6082" s="5" t="s">
        <v>342</v>
      </c>
      <c r="C6082" s="5" t="s">
        <v>343</v>
      </c>
      <c r="D6082" s="4" t="s">
        <v>16</v>
      </c>
      <c r="E6082" s="4" t="s">
        <v>6510</v>
      </c>
      <c r="F6082" s="4" t="s">
        <v>470</v>
      </c>
      <c r="G6082" s="4" t="s">
        <v>4594</v>
      </c>
      <c r="H6082" s="12" t="n">
        <v>1</v>
      </c>
      <c r="I6082" s="4" t="s">
        <v>408</v>
      </c>
      <c r="J6082" s="4" t="s">
        <v>409</v>
      </c>
      <c r="K6082" s="13" t="n">
        <v>2500</v>
      </c>
      <c r="L6082" s="6" t="n">
        <f aca="false">H6082*K6082</f>
        <v>2500</v>
      </c>
      <c r="M6082" s="14" t="s">
        <v>410</v>
      </c>
    </row>
    <row r="6083" customFormat="false" ht="15" hidden="false" customHeight="false" outlineLevel="0" collapsed="false">
      <c r="A6083" s="4" t="s">
        <v>337</v>
      </c>
      <c r="B6083" s="5" t="s">
        <v>342</v>
      </c>
      <c r="C6083" s="5" t="s">
        <v>343</v>
      </c>
      <c r="D6083" s="4" t="s">
        <v>16</v>
      </c>
      <c r="E6083" s="4" t="s">
        <v>5823</v>
      </c>
      <c r="F6083" s="4" t="s">
        <v>470</v>
      </c>
      <c r="G6083" s="4" t="s">
        <v>5824</v>
      </c>
      <c r="H6083" s="12" t="n">
        <v>1</v>
      </c>
      <c r="I6083" s="4" t="s">
        <v>408</v>
      </c>
      <c r="J6083" s="4" t="s">
        <v>409</v>
      </c>
      <c r="K6083" s="13" t="n">
        <v>12000</v>
      </c>
      <c r="L6083" s="6" t="n">
        <f aca="false">H6083*K6083</f>
        <v>12000</v>
      </c>
      <c r="M6083" s="4" t="s">
        <v>371</v>
      </c>
    </row>
    <row r="6084" customFormat="false" ht="15" hidden="false" customHeight="false" outlineLevel="0" collapsed="false">
      <c r="A6084" s="4" t="s">
        <v>337</v>
      </c>
      <c r="B6084" s="5" t="s">
        <v>342</v>
      </c>
      <c r="C6084" s="5" t="s">
        <v>343</v>
      </c>
      <c r="D6084" s="4" t="s">
        <v>16</v>
      </c>
      <c r="E6084" s="4" t="s">
        <v>4589</v>
      </c>
      <c r="F6084" s="4" t="s">
        <v>470</v>
      </c>
      <c r="G6084" s="4" t="s">
        <v>4590</v>
      </c>
      <c r="H6084" s="12" t="n">
        <v>1</v>
      </c>
      <c r="I6084" s="4" t="s">
        <v>408</v>
      </c>
      <c r="J6084" s="4" t="s">
        <v>409</v>
      </c>
      <c r="K6084" s="13" t="n">
        <v>850</v>
      </c>
      <c r="L6084" s="6" t="n">
        <f aca="false">H6084*K6084</f>
        <v>850</v>
      </c>
      <c r="M6084" s="14" t="s">
        <v>410</v>
      </c>
    </row>
    <row r="6085" customFormat="false" ht="15" hidden="false" customHeight="false" outlineLevel="0" collapsed="false">
      <c r="A6085" s="4" t="s">
        <v>337</v>
      </c>
      <c r="B6085" s="5" t="s">
        <v>342</v>
      </c>
      <c r="C6085" s="5" t="s">
        <v>343</v>
      </c>
      <c r="D6085" s="4" t="s">
        <v>16</v>
      </c>
      <c r="E6085" s="4" t="s">
        <v>6511</v>
      </c>
      <c r="F6085" s="4" t="s">
        <v>470</v>
      </c>
      <c r="G6085" s="4" t="s">
        <v>6512</v>
      </c>
      <c r="H6085" s="12" t="n">
        <v>1</v>
      </c>
      <c r="I6085" s="4" t="s">
        <v>408</v>
      </c>
      <c r="J6085" s="4" t="s">
        <v>409</v>
      </c>
      <c r="K6085" s="13" t="n">
        <v>85000</v>
      </c>
      <c r="L6085" s="6" t="n">
        <f aca="false">H6085*K6085</f>
        <v>85000</v>
      </c>
      <c r="M6085" s="14" t="s">
        <v>410</v>
      </c>
    </row>
    <row r="6086" customFormat="false" ht="15" hidden="false" customHeight="false" outlineLevel="0" collapsed="false">
      <c r="A6086" s="4" t="s">
        <v>337</v>
      </c>
      <c r="B6086" s="5" t="s">
        <v>342</v>
      </c>
      <c r="C6086" s="5" t="s">
        <v>343</v>
      </c>
      <c r="D6086" s="4" t="s">
        <v>16</v>
      </c>
      <c r="E6086" s="4" t="s">
        <v>5813</v>
      </c>
      <c r="F6086" s="4" t="s">
        <v>470</v>
      </c>
      <c r="G6086" s="4" t="s">
        <v>5814</v>
      </c>
      <c r="H6086" s="12" t="n">
        <v>1</v>
      </c>
      <c r="I6086" s="4" t="s">
        <v>408</v>
      </c>
      <c r="J6086" s="4" t="s">
        <v>416</v>
      </c>
      <c r="K6086" s="13" t="n">
        <v>8500</v>
      </c>
      <c r="L6086" s="6" t="n">
        <f aca="false">H6086*K6086</f>
        <v>8500</v>
      </c>
      <c r="M6086" s="4" t="s">
        <v>371</v>
      </c>
    </row>
    <row r="6087" customFormat="false" ht="15" hidden="false" customHeight="false" outlineLevel="0" collapsed="false">
      <c r="A6087" s="4" t="s">
        <v>337</v>
      </c>
      <c r="B6087" s="5" t="s">
        <v>342</v>
      </c>
      <c r="C6087" s="5" t="s">
        <v>343</v>
      </c>
      <c r="D6087" s="4" t="s">
        <v>16</v>
      </c>
      <c r="E6087" s="4" t="s">
        <v>5812</v>
      </c>
      <c r="F6087" s="4" t="s">
        <v>470</v>
      </c>
      <c r="G6087" s="4" t="s">
        <v>2134</v>
      </c>
      <c r="H6087" s="12" t="n">
        <v>1</v>
      </c>
      <c r="I6087" s="4" t="s">
        <v>408</v>
      </c>
      <c r="J6087" s="4" t="s">
        <v>409</v>
      </c>
      <c r="K6087" s="13" t="n">
        <v>55000</v>
      </c>
      <c r="L6087" s="6" t="n">
        <f aca="false">H6087*K6087</f>
        <v>55000</v>
      </c>
      <c r="M6087" s="14" t="s">
        <v>410</v>
      </c>
    </row>
    <row r="6088" customFormat="false" ht="15" hidden="false" customHeight="false" outlineLevel="0" collapsed="false">
      <c r="A6088" s="4" t="s">
        <v>337</v>
      </c>
      <c r="B6088" s="5" t="s">
        <v>342</v>
      </c>
      <c r="C6088" s="5" t="s">
        <v>343</v>
      </c>
      <c r="D6088" s="4" t="s">
        <v>16</v>
      </c>
      <c r="E6088" s="4" t="s">
        <v>4597</v>
      </c>
      <c r="F6088" s="4" t="s">
        <v>470</v>
      </c>
      <c r="G6088" s="4" t="s">
        <v>4598</v>
      </c>
      <c r="H6088" s="12" t="n">
        <v>1</v>
      </c>
      <c r="I6088" s="4" t="s">
        <v>408</v>
      </c>
      <c r="J6088" s="4" t="s">
        <v>409</v>
      </c>
      <c r="K6088" s="13" t="n">
        <v>55000</v>
      </c>
      <c r="L6088" s="6" t="n">
        <f aca="false">H6088*K6088</f>
        <v>55000</v>
      </c>
      <c r="M6088" s="14" t="s">
        <v>410</v>
      </c>
    </row>
    <row r="6089" customFormat="false" ht="15" hidden="false" customHeight="false" outlineLevel="0" collapsed="false">
      <c r="A6089" s="4" t="s">
        <v>337</v>
      </c>
      <c r="B6089" s="5" t="s">
        <v>342</v>
      </c>
      <c r="C6089" s="5" t="s">
        <v>343</v>
      </c>
      <c r="D6089" s="4" t="s">
        <v>16</v>
      </c>
      <c r="E6089" s="4" t="s">
        <v>4599</v>
      </c>
      <c r="F6089" s="4" t="s">
        <v>470</v>
      </c>
      <c r="G6089" s="4" t="s">
        <v>4600</v>
      </c>
      <c r="H6089" s="12" t="n">
        <v>1</v>
      </c>
      <c r="I6089" s="4" t="s">
        <v>408</v>
      </c>
      <c r="J6089" s="4" t="s">
        <v>409</v>
      </c>
      <c r="K6089" s="13" t="n">
        <v>18000</v>
      </c>
      <c r="L6089" s="6" t="n">
        <f aca="false">H6089*K6089</f>
        <v>18000</v>
      </c>
      <c r="M6089" s="14" t="s">
        <v>410</v>
      </c>
    </row>
    <row r="6090" customFormat="false" ht="15" hidden="false" customHeight="false" outlineLevel="0" collapsed="false">
      <c r="A6090" s="4" t="s">
        <v>337</v>
      </c>
      <c r="B6090" s="5" t="s">
        <v>342</v>
      </c>
      <c r="C6090" s="5" t="s">
        <v>343</v>
      </c>
      <c r="D6090" s="4" t="s">
        <v>16</v>
      </c>
      <c r="E6090" s="4" t="s">
        <v>4601</v>
      </c>
      <c r="F6090" s="4" t="s">
        <v>470</v>
      </c>
      <c r="G6090" s="4" t="s">
        <v>4602</v>
      </c>
      <c r="H6090" s="12" t="n">
        <v>1</v>
      </c>
      <c r="I6090" s="4" t="s">
        <v>408</v>
      </c>
      <c r="J6090" s="4" t="s">
        <v>409</v>
      </c>
      <c r="K6090" s="13" t="n">
        <v>8500</v>
      </c>
      <c r="L6090" s="6" t="n">
        <f aca="false">H6090*K6090</f>
        <v>8500</v>
      </c>
      <c r="M6090" s="14" t="s">
        <v>410</v>
      </c>
    </row>
    <row r="6091" customFormat="false" ht="15" hidden="false" customHeight="false" outlineLevel="0" collapsed="false">
      <c r="A6091" s="4" t="s">
        <v>337</v>
      </c>
      <c r="B6091" s="5" t="s">
        <v>342</v>
      </c>
      <c r="C6091" s="5" t="s">
        <v>343</v>
      </c>
      <c r="D6091" s="4" t="s">
        <v>16</v>
      </c>
      <c r="E6091" s="4" t="s">
        <v>4603</v>
      </c>
      <c r="F6091" s="4" t="s">
        <v>470</v>
      </c>
      <c r="G6091" s="4" t="s">
        <v>4604</v>
      </c>
      <c r="H6091" s="12" t="n">
        <v>1</v>
      </c>
      <c r="I6091" s="4" t="s">
        <v>408</v>
      </c>
      <c r="J6091" s="4" t="s">
        <v>409</v>
      </c>
      <c r="K6091" s="13" t="n">
        <v>25000</v>
      </c>
      <c r="L6091" s="6" t="n">
        <f aca="false">H6091*K6091</f>
        <v>25000</v>
      </c>
      <c r="M6091" s="14" t="s">
        <v>410</v>
      </c>
    </row>
    <row r="6092" customFormat="false" ht="15" hidden="false" customHeight="false" outlineLevel="0" collapsed="false">
      <c r="A6092" s="4" t="s">
        <v>337</v>
      </c>
      <c r="B6092" s="5" t="s">
        <v>342</v>
      </c>
      <c r="C6092" s="5" t="s">
        <v>343</v>
      </c>
      <c r="D6092" s="4" t="s">
        <v>16</v>
      </c>
      <c r="E6092" s="4" t="s">
        <v>4605</v>
      </c>
      <c r="F6092" s="4" t="s">
        <v>470</v>
      </c>
      <c r="G6092" s="4" t="s">
        <v>4606</v>
      </c>
      <c r="H6092" s="12" t="n">
        <v>1</v>
      </c>
      <c r="I6092" s="4" t="s">
        <v>408</v>
      </c>
      <c r="J6092" s="4" t="s">
        <v>409</v>
      </c>
      <c r="K6092" s="13" t="n">
        <v>8500</v>
      </c>
      <c r="L6092" s="6" t="n">
        <f aca="false">H6092*K6092</f>
        <v>8500</v>
      </c>
      <c r="M6092" s="14" t="s">
        <v>410</v>
      </c>
    </row>
    <row r="6093" customFormat="false" ht="15" hidden="false" customHeight="false" outlineLevel="0" collapsed="false">
      <c r="A6093" s="4" t="s">
        <v>337</v>
      </c>
      <c r="B6093" s="5" t="s">
        <v>342</v>
      </c>
      <c r="C6093" s="5" t="s">
        <v>343</v>
      </c>
      <c r="D6093" s="4" t="s">
        <v>16</v>
      </c>
      <c r="E6093" s="4" t="s">
        <v>4607</v>
      </c>
      <c r="F6093" s="4" t="s">
        <v>470</v>
      </c>
      <c r="G6093" s="4" t="s">
        <v>1629</v>
      </c>
      <c r="H6093" s="12" t="n">
        <v>1</v>
      </c>
      <c r="I6093" s="4" t="s">
        <v>408</v>
      </c>
      <c r="J6093" s="4" t="s">
        <v>409</v>
      </c>
      <c r="K6093" s="13" t="n">
        <v>8500</v>
      </c>
      <c r="L6093" s="6" t="n">
        <f aca="false">H6093*K6093</f>
        <v>8500</v>
      </c>
      <c r="M6093" s="14" t="s">
        <v>410</v>
      </c>
    </row>
    <row r="6094" customFormat="false" ht="15" hidden="false" customHeight="false" outlineLevel="0" collapsed="false">
      <c r="A6094" s="4" t="s">
        <v>337</v>
      </c>
      <c r="B6094" s="5" t="s">
        <v>342</v>
      </c>
      <c r="C6094" s="5" t="s">
        <v>343</v>
      </c>
      <c r="D6094" s="4" t="s">
        <v>16</v>
      </c>
      <c r="E6094" s="4" t="s">
        <v>6513</v>
      </c>
      <c r="F6094" s="4" t="s">
        <v>470</v>
      </c>
      <c r="G6094" s="4" t="s">
        <v>6514</v>
      </c>
      <c r="H6094" s="12" t="n">
        <v>1</v>
      </c>
      <c r="I6094" s="4" t="s">
        <v>408</v>
      </c>
      <c r="J6094" s="4" t="s">
        <v>543</v>
      </c>
      <c r="K6094" s="13" t="n">
        <v>3000</v>
      </c>
      <c r="L6094" s="6" t="n">
        <f aca="false">H6094*K6094</f>
        <v>3000</v>
      </c>
      <c r="M6094" s="4" t="s">
        <v>371</v>
      </c>
    </row>
    <row r="6095" customFormat="false" ht="15" hidden="false" customHeight="false" outlineLevel="0" collapsed="false">
      <c r="A6095" s="4" t="s">
        <v>337</v>
      </c>
      <c r="B6095" s="5" t="s">
        <v>342</v>
      </c>
      <c r="C6095" s="5" t="s">
        <v>343</v>
      </c>
      <c r="D6095" s="4" t="s">
        <v>16</v>
      </c>
      <c r="E6095" s="4" t="s">
        <v>1096</v>
      </c>
      <c r="F6095" s="4" t="s">
        <v>470</v>
      </c>
      <c r="G6095" s="4" t="s">
        <v>1097</v>
      </c>
      <c r="H6095" s="12" t="n">
        <v>1</v>
      </c>
      <c r="I6095" s="4" t="s">
        <v>408</v>
      </c>
      <c r="J6095" s="4" t="s">
        <v>475</v>
      </c>
      <c r="K6095" s="13" t="n">
        <v>350</v>
      </c>
      <c r="L6095" s="6" t="n">
        <f aca="false">H6095*K6095</f>
        <v>350</v>
      </c>
      <c r="M6095" s="4" t="s">
        <v>371</v>
      </c>
    </row>
    <row r="6096" customFormat="false" ht="15" hidden="false" customHeight="false" outlineLevel="0" collapsed="false">
      <c r="A6096" s="4" t="s">
        <v>337</v>
      </c>
      <c r="B6096" s="5" t="s">
        <v>342</v>
      </c>
      <c r="C6096" s="5" t="s">
        <v>343</v>
      </c>
      <c r="D6096" s="4" t="s">
        <v>16</v>
      </c>
      <c r="E6096" s="4" t="s">
        <v>472</v>
      </c>
      <c r="F6096" s="4" t="s">
        <v>470</v>
      </c>
      <c r="G6096" s="4" t="s">
        <v>473</v>
      </c>
      <c r="H6096" s="12" t="n">
        <v>1</v>
      </c>
      <c r="I6096" s="4" t="s">
        <v>408</v>
      </c>
      <c r="J6096" s="4" t="s">
        <v>475</v>
      </c>
      <c r="K6096" s="13" t="n">
        <v>180</v>
      </c>
      <c r="L6096" s="6" t="n">
        <f aca="false">H6096*K6096</f>
        <v>180</v>
      </c>
      <c r="M6096" s="4" t="s">
        <v>371</v>
      </c>
    </row>
    <row r="6097" customFormat="false" ht="15" hidden="false" customHeight="false" outlineLevel="0" collapsed="false">
      <c r="A6097" s="4" t="s">
        <v>337</v>
      </c>
      <c r="B6097" s="5" t="s">
        <v>342</v>
      </c>
      <c r="C6097" s="5" t="s">
        <v>343</v>
      </c>
      <c r="D6097" s="4" t="s">
        <v>16</v>
      </c>
      <c r="E6097" s="4" t="s">
        <v>5829</v>
      </c>
      <c r="F6097" s="4" t="s">
        <v>470</v>
      </c>
      <c r="G6097" s="4" t="s">
        <v>4615</v>
      </c>
      <c r="H6097" s="12" t="n">
        <v>1</v>
      </c>
      <c r="I6097" s="4" t="s">
        <v>408</v>
      </c>
      <c r="J6097" s="4" t="s">
        <v>409</v>
      </c>
      <c r="K6097" s="13" t="n">
        <v>180</v>
      </c>
      <c r="L6097" s="6" t="n">
        <f aca="false">H6097*K6097</f>
        <v>180</v>
      </c>
      <c r="M6097" s="4" t="s">
        <v>371</v>
      </c>
    </row>
    <row r="6098" customFormat="false" ht="15" hidden="false" customHeight="false" outlineLevel="0" collapsed="false">
      <c r="A6098" s="4" t="s">
        <v>337</v>
      </c>
      <c r="B6098" s="5" t="s">
        <v>342</v>
      </c>
      <c r="C6098" s="5" t="s">
        <v>343</v>
      </c>
      <c r="D6098" s="4" t="s">
        <v>16</v>
      </c>
      <c r="E6098" s="4" t="s">
        <v>478</v>
      </c>
      <c r="F6098" s="4" t="s">
        <v>470</v>
      </c>
      <c r="G6098" s="4" t="s">
        <v>479</v>
      </c>
      <c r="H6098" s="12" t="n">
        <v>1</v>
      </c>
      <c r="I6098" s="4" t="s">
        <v>408</v>
      </c>
      <c r="J6098" s="4" t="s">
        <v>480</v>
      </c>
      <c r="K6098" s="13" t="n">
        <v>180</v>
      </c>
      <c r="L6098" s="6" t="n">
        <f aca="false">H6098*K6098</f>
        <v>180</v>
      </c>
      <c r="M6098" s="4" t="s">
        <v>371</v>
      </c>
    </row>
    <row r="6099" customFormat="false" ht="15" hidden="false" customHeight="false" outlineLevel="0" collapsed="false">
      <c r="A6099" s="4" t="s">
        <v>337</v>
      </c>
      <c r="B6099" s="5" t="s">
        <v>342</v>
      </c>
      <c r="C6099" s="5" t="s">
        <v>343</v>
      </c>
      <c r="D6099" s="4" t="s">
        <v>16</v>
      </c>
      <c r="E6099" s="4" t="s">
        <v>6515</v>
      </c>
      <c r="F6099" s="4" t="s">
        <v>470</v>
      </c>
      <c r="G6099" s="4" t="s">
        <v>6516</v>
      </c>
      <c r="H6099" s="12" t="n">
        <v>1</v>
      </c>
      <c r="I6099" s="4" t="s">
        <v>408</v>
      </c>
      <c r="J6099" s="4" t="s">
        <v>416</v>
      </c>
      <c r="K6099" s="13" t="n">
        <v>850</v>
      </c>
      <c r="L6099" s="6" t="n">
        <f aca="false">H6099*K6099</f>
        <v>850</v>
      </c>
      <c r="M6099" s="4" t="s">
        <v>371</v>
      </c>
    </row>
    <row r="6100" customFormat="false" ht="15" hidden="false" customHeight="false" outlineLevel="0" collapsed="false">
      <c r="A6100" s="4" t="s">
        <v>337</v>
      </c>
      <c r="B6100" s="5" t="s">
        <v>342</v>
      </c>
      <c r="C6100" s="5" t="s">
        <v>343</v>
      </c>
      <c r="D6100" s="4" t="s">
        <v>16</v>
      </c>
      <c r="E6100" s="4" t="s">
        <v>6517</v>
      </c>
      <c r="F6100" s="4" t="s">
        <v>470</v>
      </c>
      <c r="G6100" s="4" t="s">
        <v>6518</v>
      </c>
      <c r="H6100" s="12" t="n">
        <v>1</v>
      </c>
      <c r="I6100" s="4" t="s">
        <v>408</v>
      </c>
      <c r="J6100" s="4" t="s">
        <v>409</v>
      </c>
      <c r="K6100" s="13" t="n">
        <v>350</v>
      </c>
      <c r="L6100" s="6" t="n">
        <f aca="false">H6100*K6100</f>
        <v>350</v>
      </c>
      <c r="M6100" s="4" t="s">
        <v>371</v>
      </c>
    </row>
    <row r="6101" customFormat="false" ht="15" hidden="false" customHeight="false" outlineLevel="0" collapsed="false">
      <c r="A6101" s="4" t="s">
        <v>337</v>
      </c>
      <c r="B6101" s="5" t="s">
        <v>342</v>
      </c>
      <c r="C6101" s="5" t="s">
        <v>343</v>
      </c>
      <c r="D6101" s="4" t="s">
        <v>16</v>
      </c>
      <c r="E6101" s="4" t="s">
        <v>6519</v>
      </c>
      <c r="F6101" s="4" t="s">
        <v>470</v>
      </c>
      <c r="G6101" s="4" t="s">
        <v>6520</v>
      </c>
      <c r="H6101" s="12" t="n">
        <v>1</v>
      </c>
      <c r="I6101" s="4" t="s">
        <v>408</v>
      </c>
      <c r="J6101" s="4" t="s">
        <v>416</v>
      </c>
      <c r="K6101" s="13" t="n">
        <v>350</v>
      </c>
      <c r="L6101" s="6" t="n">
        <f aca="false">H6101*K6101</f>
        <v>350</v>
      </c>
      <c r="M6101" s="4" t="s">
        <v>371</v>
      </c>
    </row>
    <row r="6102" customFormat="false" ht="15" hidden="false" customHeight="false" outlineLevel="0" collapsed="false">
      <c r="A6102" s="4" t="s">
        <v>337</v>
      </c>
      <c r="B6102" s="5" t="s">
        <v>342</v>
      </c>
      <c r="C6102" s="5" t="s">
        <v>343</v>
      </c>
      <c r="D6102" s="4" t="s">
        <v>16</v>
      </c>
      <c r="E6102" s="4" t="s">
        <v>6061</v>
      </c>
      <c r="F6102" s="4" t="s">
        <v>470</v>
      </c>
      <c r="G6102" s="4" t="s">
        <v>1424</v>
      </c>
      <c r="H6102" s="12" t="n">
        <v>1</v>
      </c>
      <c r="I6102" s="4" t="s">
        <v>408</v>
      </c>
      <c r="J6102" s="4" t="s">
        <v>409</v>
      </c>
      <c r="K6102" s="13" t="n">
        <v>3500</v>
      </c>
      <c r="L6102" s="6" t="n">
        <f aca="false">H6102*K6102</f>
        <v>3500</v>
      </c>
      <c r="M6102" s="4" t="s">
        <v>371</v>
      </c>
    </row>
    <row r="6103" customFormat="false" ht="15" hidden="false" customHeight="false" outlineLevel="0" collapsed="false">
      <c r="A6103" s="4" t="s">
        <v>337</v>
      </c>
      <c r="B6103" s="5" t="s">
        <v>342</v>
      </c>
      <c r="C6103" s="5" t="s">
        <v>343</v>
      </c>
      <c r="D6103" s="4" t="s">
        <v>16</v>
      </c>
      <c r="E6103" s="4" t="s">
        <v>4620</v>
      </c>
      <c r="F6103" s="4" t="s">
        <v>470</v>
      </c>
      <c r="G6103" s="4" t="s">
        <v>4621</v>
      </c>
      <c r="H6103" s="12" t="n">
        <v>1</v>
      </c>
      <c r="I6103" s="4" t="s">
        <v>408</v>
      </c>
      <c r="J6103" s="4" t="s">
        <v>416</v>
      </c>
      <c r="K6103" s="13" t="n">
        <v>850</v>
      </c>
      <c r="L6103" s="6" t="n">
        <f aca="false">H6103*K6103</f>
        <v>850</v>
      </c>
      <c r="M6103" s="4" t="s">
        <v>371</v>
      </c>
    </row>
    <row r="6104" customFormat="false" ht="15" hidden="false" customHeight="false" outlineLevel="0" collapsed="false">
      <c r="A6104" s="4" t="s">
        <v>337</v>
      </c>
      <c r="B6104" s="5" t="s">
        <v>342</v>
      </c>
      <c r="C6104" s="5" t="s">
        <v>343</v>
      </c>
      <c r="D6104" s="4" t="s">
        <v>16</v>
      </c>
      <c r="E6104" s="4" t="s">
        <v>1136</v>
      </c>
      <c r="F6104" s="4" t="s">
        <v>470</v>
      </c>
      <c r="G6104" s="4" t="s">
        <v>1137</v>
      </c>
      <c r="H6104" s="12" t="n">
        <v>1</v>
      </c>
      <c r="I6104" s="4" t="s">
        <v>408</v>
      </c>
      <c r="J6104" s="4" t="s">
        <v>416</v>
      </c>
      <c r="K6104" s="13" t="n">
        <v>850</v>
      </c>
      <c r="L6104" s="6" t="n">
        <f aca="false">H6104*K6104</f>
        <v>850</v>
      </c>
      <c r="M6104" s="4" t="s">
        <v>371</v>
      </c>
    </row>
    <row r="6105" customFormat="false" ht="15" hidden="false" customHeight="false" outlineLevel="0" collapsed="false">
      <c r="A6105" s="4" t="s">
        <v>337</v>
      </c>
      <c r="B6105" s="5" t="s">
        <v>342</v>
      </c>
      <c r="C6105" s="5" t="s">
        <v>343</v>
      </c>
      <c r="D6105" s="4" t="s">
        <v>16</v>
      </c>
      <c r="E6105" s="4" t="s">
        <v>4622</v>
      </c>
      <c r="F6105" s="4" t="s">
        <v>470</v>
      </c>
      <c r="G6105" s="4" t="s">
        <v>4623</v>
      </c>
      <c r="H6105" s="12" t="n">
        <v>1</v>
      </c>
      <c r="I6105" s="4" t="s">
        <v>408</v>
      </c>
      <c r="J6105" s="4" t="s">
        <v>416</v>
      </c>
      <c r="K6105" s="13" t="n">
        <v>850</v>
      </c>
      <c r="L6105" s="6" t="n">
        <f aca="false">H6105*K6105</f>
        <v>850</v>
      </c>
      <c r="M6105" s="4" t="s">
        <v>371</v>
      </c>
    </row>
    <row r="6106" customFormat="false" ht="15" hidden="false" customHeight="false" outlineLevel="0" collapsed="false">
      <c r="A6106" s="4" t="s">
        <v>337</v>
      </c>
      <c r="B6106" s="5" t="s">
        <v>342</v>
      </c>
      <c r="C6106" s="5" t="s">
        <v>343</v>
      </c>
      <c r="D6106" s="4" t="s">
        <v>16</v>
      </c>
      <c r="E6106" s="4" t="s">
        <v>4624</v>
      </c>
      <c r="F6106" s="4" t="s">
        <v>470</v>
      </c>
      <c r="G6106" s="4" t="s">
        <v>4625</v>
      </c>
      <c r="H6106" s="12" t="n">
        <v>1</v>
      </c>
      <c r="I6106" s="4" t="s">
        <v>408</v>
      </c>
      <c r="J6106" s="4" t="s">
        <v>416</v>
      </c>
      <c r="K6106" s="13" t="n">
        <v>850</v>
      </c>
      <c r="L6106" s="6" t="n">
        <f aca="false">H6106*K6106</f>
        <v>850</v>
      </c>
      <c r="M6106" s="4" t="s">
        <v>371</v>
      </c>
    </row>
    <row r="6107" customFormat="false" ht="15" hidden="false" customHeight="false" outlineLevel="0" collapsed="false">
      <c r="A6107" s="4" t="s">
        <v>337</v>
      </c>
      <c r="B6107" s="5" t="s">
        <v>342</v>
      </c>
      <c r="C6107" s="5" t="s">
        <v>343</v>
      </c>
      <c r="D6107" s="4" t="s">
        <v>16</v>
      </c>
      <c r="E6107" s="4" t="s">
        <v>4626</v>
      </c>
      <c r="F6107" s="4" t="s">
        <v>470</v>
      </c>
      <c r="G6107" s="4" t="s">
        <v>4627</v>
      </c>
      <c r="H6107" s="12" t="n">
        <v>1</v>
      </c>
      <c r="I6107" s="4" t="s">
        <v>408</v>
      </c>
      <c r="J6107" s="4" t="s">
        <v>416</v>
      </c>
      <c r="K6107" s="13" t="n">
        <v>850</v>
      </c>
      <c r="L6107" s="6" t="n">
        <f aca="false">H6107*K6107</f>
        <v>850</v>
      </c>
      <c r="M6107" s="4" t="s">
        <v>371</v>
      </c>
    </row>
    <row r="6108" customFormat="false" ht="15" hidden="false" customHeight="false" outlineLevel="0" collapsed="false">
      <c r="A6108" s="4" t="s">
        <v>337</v>
      </c>
      <c r="B6108" s="5" t="s">
        <v>342</v>
      </c>
      <c r="C6108" s="5" t="s">
        <v>343</v>
      </c>
      <c r="D6108" s="4" t="s">
        <v>16</v>
      </c>
      <c r="E6108" s="4" t="s">
        <v>4628</v>
      </c>
      <c r="F6108" s="4" t="s">
        <v>470</v>
      </c>
      <c r="G6108" s="4" t="s">
        <v>4629</v>
      </c>
      <c r="H6108" s="12" t="n">
        <v>1</v>
      </c>
      <c r="I6108" s="4" t="s">
        <v>408</v>
      </c>
      <c r="J6108" s="4" t="s">
        <v>416</v>
      </c>
      <c r="K6108" s="13" t="n">
        <v>850</v>
      </c>
      <c r="L6108" s="6" t="n">
        <f aca="false">H6108*K6108</f>
        <v>850</v>
      </c>
      <c r="M6108" s="4" t="s">
        <v>371</v>
      </c>
    </row>
    <row r="6109" customFormat="false" ht="15" hidden="false" customHeight="false" outlineLevel="0" collapsed="false">
      <c r="A6109" s="4" t="s">
        <v>337</v>
      </c>
      <c r="B6109" s="5" t="s">
        <v>342</v>
      </c>
      <c r="C6109" s="5" t="s">
        <v>343</v>
      </c>
      <c r="D6109" s="4" t="s">
        <v>16</v>
      </c>
      <c r="E6109" s="4" t="s">
        <v>4630</v>
      </c>
      <c r="F6109" s="4" t="s">
        <v>470</v>
      </c>
      <c r="G6109" s="4" t="s">
        <v>4631</v>
      </c>
      <c r="H6109" s="12" t="n">
        <v>1</v>
      </c>
      <c r="I6109" s="4" t="s">
        <v>408</v>
      </c>
      <c r="J6109" s="4" t="s">
        <v>416</v>
      </c>
      <c r="K6109" s="13" t="n">
        <v>850</v>
      </c>
      <c r="L6109" s="6" t="n">
        <f aca="false">H6109*K6109</f>
        <v>850</v>
      </c>
      <c r="M6109" s="4" t="s">
        <v>371</v>
      </c>
    </row>
    <row r="6110" customFormat="false" ht="15" hidden="false" customHeight="false" outlineLevel="0" collapsed="false">
      <c r="A6110" s="4" t="s">
        <v>337</v>
      </c>
      <c r="B6110" s="5" t="s">
        <v>342</v>
      </c>
      <c r="C6110" s="5" t="s">
        <v>343</v>
      </c>
      <c r="D6110" s="4" t="s">
        <v>16</v>
      </c>
      <c r="E6110" s="4" t="s">
        <v>4632</v>
      </c>
      <c r="F6110" s="4" t="s">
        <v>470</v>
      </c>
      <c r="G6110" s="4" t="s">
        <v>4633</v>
      </c>
      <c r="H6110" s="12" t="n">
        <v>1</v>
      </c>
      <c r="I6110" s="4" t="s">
        <v>408</v>
      </c>
      <c r="J6110" s="4" t="s">
        <v>409</v>
      </c>
      <c r="K6110" s="13" t="n">
        <v>450</v>
      </c>
      <c r="L6110" s="6" t="n">
        <f aca="false">H6110*K6110</f>
        <v>450</v>
      </c>
      <c r="M6110" s="4" t="s">
        <v>371</v>
      </c>
    </row>
    <row r="6111" customFormat="false" ht="15" hidden="false" customHeight="false" outlineLevel="0" collapsed="false">
      <c r="A6111" s="4" t="s">
        <v>337</v>
      </c>
      <c r="B6111" s="5" t="s">
        <v>342</v>
      </c>
      <c r="C6111" s="5" t="s">
        <v>343</v>
      </c>
      <c r="D6111" s="4" t="s">
        <v>16</v>
      </c>
      <c r="E6111" s="4" t="s">
        <v>6521</v>
      </c>
      <c r="F6111" s="4" t="s">
        <v>470</v>
      </c>
      <c r="G6111" s="4" t="s">
        <v>6522</v>
      </c>
      <c r="H6111" s="12" t="n">
        <v>1</v>
      </c>
      <c r="I6111" s="4" t="s">
        <v>408</v>
      </c>
      <c r="J6111" s="4" t="s">
        <v>409</v>
      </c>
      <c r="K6111" s="13" t="n">
        <v>4500</v>
      </c>
      <c r="L6111" s="6" t="n">
        <f aca="false">H6111*K6111</f>
        <v>4500</v>
      </c>
      <c r="M6111" s="4" t="s">
        <v>371</v>
      </c>
    </row>
    <row r="6112" customFormat="false" ht="15" hidden="false" customHeight="false" outlineLevel="0" collapsed="false">
      <c r="A6112" s="4" t="s">
        <v>337</v>
      </c>
      <c r="B6112" s="5" t="s">
        <v>342</v>
      </c>
      <c r="C6112" s="5" t="s">
        <v>343</v>
      </c>
      <c r="D6112" s="4" t="s">
        <v>16</v>
      </c>
      <c r="E6112" s="4" t="s">
        <v>6523</v>
      </c>
      <c r="F6112" s="4" t="s">
        <v>488</v>
      </c>
      <c r="G6112" s="4" t="s">
        <v>6524</v>
      </c>
      <c r="H6112" s="12" t="n">
        <v>1</v>
      </c>
      <c r="I6112" s="4" t="s">
        <v>408</v>
      </c>
      <c r="J6112" s="4" t="s">
        <v>409</v>
      </c>
      <c r="K6112" s="13" t="n">
        <v>30</v>
      </c>
      <c r="L6112" s="6" t="n">
        <f aca="false">H6112*K6112</f>
        <v>30</v>
      </c>
      <c r="M6112" s="4" t="s">
        <v>371</v>
      </c>
    </row>
    <row r="6113" customFormat="false" ht="15" hidden="false" customHeight="false" outlineLevel="0" collapsed="false">
      <c r="A6113" s="4" t="s">
        <v>337</v>
      </c>
      <c r="B6113" s="5" t="s">
        <v>342</v>
      </c>
      <c r="C6113" s="5" t="s">
        <v>343</v>
      </c>
      <c r="D6113" s="4" t="s">
        <v>16</v>
      </c>
      <c r="E6113" s="4" t="s">
        <v>4640</v>
      </c>
      <c r="F6113" s="4" t="s">
        <v>488</v>
      </c>
      <c r="G6113" s="4" t="s">
        <v>4641</v>
      </c>
      <c r="H6113" s="12" t="n">
        <v>1</v>
      </c>
      <c r="I6113" s="4" t="s">
        <v>408</v>
      </c>
      <c r="J6113" s="4" t="s">
        <v>429</v>
      </c>
      <c r="K6113" s="13" t="n">
        <v>60</v>
      </c>
      <c r="L6113" s="6" t="n">
        <f aca="false">H6113*K6113</f>
        <v>60</v>
      </c>
      <c r="M6113" s="4" t="s">
        <v>371</v>
      </c>
    </row>
    <row r="6114" customFormat="false" ht="15" hidden="false" customHeight="false" outlineLevel="0" collapsed="false">
      <c r="A6114" s="4" t="s">
        <v>337</v>
      </c>
      <c r="B6114" s="5" t="s">
        <v>342</v>
      </c>
      <c r="C6114" s="5" t="s">
        <v>343</v>
      </c>
      <c r="D6114" s="4" t="s">
        <v>16</v>
      </c>
      <c r="E6114" s="4" t="s">
        <v>6525</v>
      </c>
      <c r="F6114" s="4" t="s">
        <v>488</v>
      </c>
      <c r="G6114" s="4" t="s">
        <v>6526</v>
      </c>
      <c r="H6114" s="12" t="n">
        <v>1</v>
      </c>
      <c r="I6114" s="4" t="s">
        <v>408</v>
      </c>
      <c r="J6114" s="4" t="s">
        <v>429</v>
      </c>
      <c r="K6114" s="13" t="n">
        <v>25</v>
      </c>
      <c r="L6114" s="6" t="n">
        <f aca="false">H6114*K6114</f>
        <v>25</v>
      </c>
      <c r="M6114" s="4" t="s">
        <v>371</v>
      </c>
    </row>
    <row r="6115" customFormat="false" ht="15" hidden="false" customHeight="false" outlineLevel="0" collapsed="false">
      <c r="A6115" s="4" t="s">
        <v>337</v>
      </c>
      <c r="B6115" s="5" t="s">
        <v>342</v>
      </c>
      <c r="C6115" s="5" t="s">
        <v>343</v>
      </c>
      <c r="D6115" s="4" t="s">
        <v>16</v>
      </c>
      <c r="E6115" s="4" t="s">
        <v>6527</v>
      </c>
      <c r="F6115" s="4" t="s">
        <v>488</v>
      </c>
      <c r="G6115" s="4" t="s">
        <v>6528</v>
      </c>
      <c r="H6115" s="12" t="n">
        <v>1</v>
      </c>
      <c r="I6115" s="4" t="s">
        <v>408</v>
      </c>
      <c r="J6115" s="4" t="s">
        <v>429</v>
      </c>
      <c r="K6115" s="13" t="n">
        <v>45</v>
      </c>
      <c r="L6115" s="6" t="n">
        <f aca="false">H6115*K6115</f>
        <v>45</v>
      </c>
      <c r="M6115" s="4" t="s">
        <v>371</v>
      </c>
    </row>
    <row r="6116" customFormat="false" ht="15" hidden="false" customHeight="false" outlineLevel="0" collapsed="false">
      <c r="A6116" s="4" t="s">
        <v>337</v>
      </c>
      <c r="B6116" s="5" t="s">
        <v>342</v>
      </c>
      <c r="C6116" s="5" t="s">
        <v>343</v>
      </c>
      <c r="D6116" s="4" t="s">
        <v>16</v>
      </c>
      <c r="E6116" s="4" t="s">
        <v>4652</v>
      </c>
      <c r="F6116" s="4" t="s">
        <v>488</v>
      </c>
      <c r="G6116" s="4" t="s">
        <v>4653</v>
      </c>
      <c r="H6116" s="12" t="n">
        <v>1</v>
      </c>
      <c r="I6116" s="4" t="s">
        <v>408</v>
      </c>
      <c r="J6116" s="4" t="s">
        <v>506</v>
      </c>
      <c r="K6116" s="13" t="n">
        <v>120</v>
      </c>
      <c r="L6116" s="6" t="n">
        <f aca="false">H6116*K6116</f>
        <v>120</v>
      </c>
      <c r="M6116" s="4" t="s">
        <v>371</v>
      </c>
    </row>
    <row r="6117" customFormat="false" ht="15" hidden="false" customHeight="false" outlineLevel="0" collapsed="false">
      <c r="A6117" s="4" t="s">
        <v>337</v>
      </c>
      <c r="B6117" s="5" t="s">
        <v>342</v>
      </c>
      <c r="C6117" s="5" t="s">
        <v>343</v>
      </c>
      <c r="D6117" s="4" t="s">
        <v>16</v>
      </c>
      <c r="E6117" s="4" t="s">
        <v>4654</v>
      </c>
      <c r="F6117" s="4" t="s">
        <v>488</v>
      </c>
      <c r="G6117" s="4" t="s">
        <v>4655</v>
      </c>
      <c r="H6117" s="12" t="n">
        <v>1</v>
      </c>
      <c r="I6117" s="4" t="s">
        <v>408</v>
      </c>
      <c r="J6117" s="4" t="s">
        <v>409</v>
      </c>
      <c r="K6117" s="13" t="n">
        <v>25</v>
      </c>
      <c r="L6117" s="6" t="n">
        <f aca="false">H6117*K6117</f>
        <v>25</v>
      </c>
      <c r="M6117" s="4" t="s">
        <v>371</v>
      </c>
    </row>
    <row r="6118" customFormat="false" ht="23.85" hidden="false" customHeight="false" outlineLevel="0" collapsed="false">
      <c r="A6118" s="4" t="s">
        <v>337</v>
      </c>
      <c r="B6118" s="5" t="s">
        <v>344</v>
      </c>
      <c r="C6118" s="5" t="s">
        <v>345</v>
      </c>
      <c r="D6118" s="4" t="s">
        <v>16</v>
      </c>
      <c r="E6118" s="4" t="s">
        <v>6529</v>
      </c>
      <c r="F6118" s="4" t="s">
        <v>406</v>
      </c>
      <c r="G6118" s="4" t="s">
        <v>6530</v>
      </c>
      <c r="H6118" s="12" t="n">
        <v>1</v>
      </c>
      <c r="I6118" s="4" t="s">
        <v>408</v>
      </c>
      <c r="J6118" s="4" t="s">
        <v>413</v>
      </c>
      <c r="K6118" s="13" t="n">
        <v>2500</v>
      </c>
      <c r="L6118" s="6" t="n">
        <f aca="false">H6118*K6118</f>
        <v>2500</v>
      </c>
      <c r="M6118" s="4" t="s">
        <v>371</v>
      </c>
    </row>
    <row r="6119" customFormat="false" ht="23.85" hidden="false" customHeight="false" outlineLevel="0" collapsed="false">
      <c r="A6119" s="4" t="s">
        <v>337</v>
      </c>
      <c r="B6119" s="5" t="s">
        <v>344</v>
      </c>
      <c r="C6119" s="5" t="s">
        <v>345</v>
      </c>
      <c r="D6119" s="4" t="s">
        <v>16</v>
      </c>
      <c r="E6119" s="4" t="s">
        <v>6531</v>
      </c>
      <c r="F6119" s="4" t="s">
        <v>406</v>
      </c>
      <c r="G6119" s="4" t="s">
        <v>6532</v>
      </c>
      <c r="H6119" s="12" t="n">
        <v>1</v>
      </c>
      <c r="I6119" s="4" t="s">
        <v>408</v>
      </c>
      <c r="J6119" s="4" t="s">
        <v>413</v>
      </c>
      <c r="K6119" s="13" t="n">
        <v>8500</v>
      </c>
      <c r="L6119" s="6" t="n">
        <f aca="false">H6119*K6119</f>
        <v>8500</v>
      </c>
      <c r="M6119" s="4" t="s">
        <v>371</v>
      </c>
    </row>
    <row r="6120" customFormat="false" ht="23.85" hidden="false" customHeight="false" outlineLevel="0" collapsed="false">
      <c r="A6120" s="4" t="s">
        <v>337</v>
      </c>
      <c r="B6120" s="5" t="s">
        <v>344</v>
      </c>
      <c r="C6120" s="5" t="s">
        <v>345</v>
      </c>
      <c r="D6120" s="4" t="s">
        <v>16</v>
      </c>
      <c r="E6120" s="4" t="s">
        <v>6533</v>
      </c>
      <c r="F6120" s="4" t="s">
        <v>406</v>
      </c>
      <c r="G6120" s="4" t="s">
        <v>6534</v>
      </c>
      <c r="H6120" s="12" t="n">
        <v>1</v>
      </c>
      <c r="I6120" s="4" t="s">
        <v>408</v>
      </c>
      <c r="J6120" s="4" t="s">
        <v>413</v>
      </c>
      <c r="K6120" s="13" t="n">
        <v>2500</v>
      </c>
      <c r="L6120" s="6" t="n">
        <f aca="false">H6120*K6120</f>
        <v>2500</v>
      </c>
      <c r="M6120" s="4" t="s">
        <v>371</v>
      </c>
    </row>
    <row r="6121" customFormat="false" ht="23.85" hidden="false" customHeight="false" outlineLevel="0" collapsed="false">
      <c r="A6121" s="4" t="s">
        <v>337</v>
      </c>
      <c r="B6121" s="5" t="s">
        <v>344</v>
      </c>
      <c r="C6121" s="5" t="s">
        <v>345</v>
      </c>
      <c r="D6121" s="4" t="s">
        <v>16</v>
      </c>
      <c r="E6121" s="4" t="s">
        <v>6535</v>
      </c>
      <c r="F6121" s="4" t="s">
        <v>406</v>
      </c>
      <c r="G6121" s="4" t="s">
        <v>6536</v>
      </c>
      <c r="H6121" s="12" t="n">
        <v>1</v>
      </c>
      <c r="I6121" s="4" t="s">
        <v>408</v>
      </c>
      <c r="J6121" s="4" t="s">
        <v>413</v>
      </c>
      <c r="K6121" s="13" t="n">
        <v>2500</v>
      </c>
      <c r="L6121" s="6" t="n">
        <f aca="false">H6121*K6121</f>
        <v>2500</v>
      </c>
      <c r="M6121" s="4" t="s">
        <v>371</v>
      </c>
    </row>
    <row r="6122" customFormat="false" ht="23.85" hidden="false" customHeight="false" outlineLevel="0" collapsed="false">
      <c r="A6122" s="4" t="s">
        <v>337</v>
      </c>
      <c r="B6122" s="5" t="s">
        <v>344</v>
      </c>
      <c r="C6122" s="5" t="s">
        <v>345</v>
      </c>
      <c r="D6122" s="4" t="s">
        <v>16</v>
      </c>
      <c r="E6122" s="4" t="s">
        <v>6537</v>
      </c>
      <c r="F6122" s="4" t="s">
        <v>406</v>
      </c>
      <c r="G6122" s="4" t="s">
        <v>6538</v>
      </c>
      <c r="H6122" s="12" t="n">
        <v>1</v>
      </c>
      <c r="I6122" s="4" t="s">
        <v>408</v>
      </c>
      <c r="J6122" s="4" t="s">
        <v>413</v>
      </c>
      <c r="K6122" s="13" t="n">
        <v>2500</v>
      </c>
      <c r="L6122" s="6" t="n">
        <f aca="false">H6122*K6122</f>
        <v>2500</v>
      </c>
      <c r="M6122" s="4" t="s">
        <v>371</v>
      </c>
    </row>
    <row r="6123" customFormat="false" ht="23.85" hidden="false" customHeight="false" outlineLevel="0" collapsed="false">
      <c r="A6123" s="4" t="s">
        <v>337</v>
      </c>
      <c r="B6123" s="5" t="s">
        <v>344</v>
      </c>
      <c r="C6123" s="5" t="s">
        <v>345</v>
      </c>
      <c r="D6123" s="4" t="s">
        <v>16</v>
      </c>
      <c r="E6123" s="4" t="s">
        <v>6539</v>
      </c>
      <c r="F6123" s="4" t="s">
        <v>406</v>
      </c>
      <c r="G6123" s="4" t="s">
        <v>6540</v>
      </c>
      <c r="H6123" s="12" t="n">
        <v>1</v>
      </c>
      <c r="I6123" s="4" t="s">
        <v>408</v>
      </c>
      <c r="J6123" s="4" t="s">
        <v>413</v>
      </c>
      <c r="K6123" s="13" t="n">
        <v>2500</v>
      </c>
      <c r="L6123" s="6" t="n">
        <f aca="false">H6123*K6123</f>
        <v>2500</v>
      </c>
      <c r="M6123" s="4" t="s">
        <v>371</v>
      </c>
    </row>
    <row r="6124" customFormat="false" ht="23.85" hidden="false" customHeight="false" outlineLevel="0" collapsed="false">
      <c r="A6124" s="4" t="s">
        <v>337</v>
      </c>
      <c r="B6124" s="5" t="s">
        <v>344</v>
      </c>
      <c r="C6124" s="5" t="s">
        <v>345</v>
      </c>
      <c r="D6124" s="4" t="s">
        <v>16</v>
      </c>
      <c r="E6124" s="4" t="s">
        <v>6541</v>
      </c>
      <c r="F6124" s="4" t="s">
        <v>406</v>
      </c>
      <c r="G6124" s="4" t="s">
        <v>6542</v>
      </c>
      <c r="H6124" s="12" t="n">
        <v>1</v>
      </c>
      <c r="I6124" s="4" t="s">
        <v>408</v>
      </c>
      <c r="J6124" s="4" t="s">
        <v>409</v>
      </c>
      <c r="K6124" s="13" t="n">
        <v>4500</v>
      </c>
      <c r="L6124" s="6" t="n">
        <f aca="false">H6124*K6124</f>
        <v>4500</v>
      </c>
      <c r="M6124" s="4" t="s">
        <v>371</v>
      </c>
    </row>
    <row r="6125" customFormat="false" ht="23.85" hidden="false" customHeight="false" outlineLevel="0" collapsed="false">
      <c r="A6125" s="4" t="s">
        <v>337</v>
      </c>
      <c r="B6125" s="5" t="s">
        <v>344</v>
      </c>
      <c r="C6125" s="5" t="s">
        <v>345</v>
      </c>
      <c r="D6125" s="4" t="s">
        <v>16</v>
      </c>
      <c r="E6125" s="4" t="s">
        <v>6543</v>
      </c>
      <c r="F6125" s="4" t="s">
        <v>406</v>
      </c>
      <c r="G6125" s="4" t="s">
        <v>6544</v>
      </c>
      <c r="H6125" s="12" t="n">
        <v>1</v>
      </c>
      <c r="I6125" s="4" t="s">
        <v>408</v>
      </c>
      <c r="J6125" s="4" t="s">
        <v>409</v>
      </c>
      <c r="K6125" s="13" t="n">
        <v>2500</v>
      </c>
      <c r="L6125" s="6" t="n">
        <f aca="false">H6125*K6125</f>
        <v>2500</v>
      </c>
      <c r="M6125" s="4" t="s">
        <v>371</v>
      </c>
    </row>
    <row r="6126" customFormat="false" ht="23.85" hidden="false" customHeight="false" outlineLevel="0" collapsed="false">
      <c r="A6126" s="4" t="s">
        <v>337</v>
      </c>
      <c r="B6126" s="5" t="s">
        <v>344</v>
      </c>
      <c r="C6126" s="5" t="s">
        <v>345</v>
      </c>
      <c r="D6126" s="4" t="s">
        <v>16</v>
      </c>
      <c r="E6126" s="4" t="s">
        <v>6545</v>
      </c>
      <c r="F6126" s="4" t="s">
        <v>406</v>
      </c>
      <c r="G6126" s="4" t="s">
        <v>6546</v>
      </c>
      <c r="H6126" s="12" t="n">
        <v>1</v>
      </c>
      <c r="I6126" s="4" t="s">
        <v>408</v>
      </c>
      <c r="J6126" s="4" t="s">
        <v>409</v>
      </c>
      <c r="K6126" s="13" t="n">
        <v>8500</v>
      </c>
      <c r="L6126" s="6" t="n">
        <f aca="false">H6126*K6126</f>
        <v>8500</v>
      </c>
      <c r="M6126" s="4" t="s">
        <v>371</v>
      </c>
    </row>
    <row r="6127" customFormat="false" ht="23.85" hidden="false" customHeight="false" outlineLevel="0" collapsed="false">
      <c r="A6127" s="4" t="s">
        <v>337</v>
      </c>
      <c r="B6127" s="5" t="s">
        <v>344</v>
      </c>
      <c r="C6127" s="5" t="s">
        <v>345</v>
      </c>
      <c r="D6127" s="4" t="s">
        <v>16</v>
      </c>
      <c r="E6127" s="4" t="s">
        <v>6547</v>
      </c>
      <c r="F6127" s="4" t="s">
        <v>406</v>
      </c>
      <c r="G6127" s="4" t="s">
        <v>6548</v>
      </c>
      <c r="H6127" s="12" t="n">
        <v>1</v>
      </c>
      <c r="I6127" s="4" t="s">
        <v>408</v>
      </c>
      <c r="J6127" s="4" t="s">
        <v>409</v>
      </c>
      <c r="K6127" s="13" t="n">
        <v>4500</v>
      </c>
      <c r="L6127" s="6" t="n">
        <f aca="false">H6127*K6127</f>
        <v>4500</v>
      </c>
      <c r="M6127" s="4" t="s">
        <v>371</v>
      </c>
    </row>
    <row r="6128" customFormat="false" ht="23.85" hidden="false" customHeight="false" outlineLevel="0" collapsed="false">
      <c r="A6128" s="4" t="s">
        <v>337</v>
      </c>
      <c r="B6128" s="5" t="s">
        <v>344</v>
      </c>
      <c r="C6128" s="5" t="s">
        <v>345</v>
      </c>
      <c r="D6128" s="4" t="s">
        <v>16</v>
      </c>
      <c r="E6128" s="4" t="s">
        <v>6549</v>
      </c>
      <c r="F6128" s="4" t="s">
        <v>406</v>
      </c>
      <c r="G6128" s="4" t="s">
        <v>6550</v>
      </c>
      <c r="H6128" s="12" t="n">
        <v>1</v>
      </c>
      <c r="I6128" s="4" t="s">
        <v>408</v>
      </c>
      <c r="J6128" s="4" t="s">
        <v>409</v>
      </c>
      <c r="K6128" s="13" t="n">
        <v>850</v>
      </c>
      <c r="L6128" s="6" t="n">
        <f aca="false">H6128*K6128</f>
        <v>850</v>
      </c>
      <c r="M6128" s="14" t="s">
        <v>410</v>
      </c>
    </row>
    <row r="6129" customFormat="false" ht="23.85" hidden="false" customHeight="false" outlineLevel="0" collapsed="false">
      <c r="A6129" s="4" t="s">
        <v>337</v>
      </c>
      <c r="B6129" s="5" t="s">
        <v>344</v>
      </c>
      <c r="C6129" s="5" t="s">
        <v>345</v>
      </c>
      <c r="D6129" s="4" t="s">
        <v>16</v>
      </c>
      <c r="E6129" s="4" t="s">
        <v>6551</v>
      </c>
      <c r="F6129" s="4" t="s">
        <v>406</v>
      </c>
      <c r="G6129" s="4" t="s">
        <v>6552</v>
      </c>
      <c r="H6129" s="12" t="n">
        <v>1</v>
      </c>
      <c r="I6129" s="4" t="s">
        <v>408</v>
      </c>
      <c r="J6129" s="4" t="s">
        <v>413</v>
      </c>
      <c r="K6129" s="13" t="n">
        <v>2500</v>
      </c>
      <c r="L6129" s="6" t="n">
        <f aca="false">H6129*K6129</f>
        <v>2500</v>
      </c>
      <c r="M6129" s="4" t="s">
        <v>371</v>
      </c>
    </row>
    <row r="6130" customFormat="false" ht="23.85" hidden="false" customHeight="false" outlineLevel="0" collapsed="false">
      <c r="A6130" s="4" t="s">
        <v>337</v>
      </c>
      <c r="B6130" s="5" t="s">
        <v>344</v>
      </c>
      <c r="C6130" s="5" t="s">
        <v>345</v>
      </c>
      <c r="D6130" s="4" t="s">
        <v>16</v>
      </c>
      <c r="E6130" s="4" t="s">
        <v>5897</v>
      </c>
      <c r="F6130" s="4" t="s">
        <v>470</v>
      </c>
      <c r="G6130" s="4" t="s">
        <v>5898</v>
      </c>
      <c r="H6130" s="12" t="n">
        <v>1</v>
      </c>
      <c r="I6130" s="4" t="s">
        <v>408</v>
      </c>
      <c r="J6130" s="4" t="s">
        <v>416</v>
      </c>
      <c r="K6130" s="13" t="n">
        <v>85000</v>
      </c>
      <c r="L6130" s="6" t="n">
        <f aca="false">H6130*K6130</f>
        <v>85000</v>
      </c>
      <c r="M6130" s="4" t="s">
        <v>371</v>
      </c>
    </row>
    <row r="6131" customFormat="false" ht="23.85" hidden="false" customHeight="false" outlineLevel="0" collapsed="false">
      <c r="A6131" s="4" t="s">
        <v>337</v>
      </c>
      <c r="B6131" s="5" t="s">
        <v>344</v>
      </c>
      <c r="C6131" s="5" t="s">
        <v>345</v>
      </c>
      <c r="D6131" s="4" t="s">
        <v>16</v>
      </c>
      <c r="E6131" s="4" t="s">
        <v>6553</v>
      </c>
      <c r="F6131" s="4" t="s">
        <v>470</v>
      </c>
      <c r="G6131" s="4" t="s">
        <v>6554</v>
      </c>
      <c r="H6131" s="12" t="n">
        <v>1</v>
      </c>
      <c r="I6131" s="4" t="s">
        <v>408</v>
      </c>
      <c r="J6131" s="4" t="s">
        <v>2810</v>
      </c>
      <c r="K6131" s="13" t="n">
        <v>0</v>
      </c>
      <c r="L6131" s="6" t="n">
        <f aca="false">H6131*K6131</f>
        <v>0</v>
      </c>
      <c r="M6131" s="4" t="s">
        <v>371</v>
      </c>
    </row>
    <row r="6132" customFormat="false" ht="23.85" hidden="false" customHeight="false" outlineLevel="0" collapsed="false">
      <c r="A6132" s="4" t="s">
        <v>337</v>
      </c>
      <c r="B6132" s="5" t="s">
        <v>344</v>
      </c>
      <c r="C6132" s="5" t="s">
        <v>345</v>
      </c>
      <c r="D6132" s="4" t="s">
        <v>16</v>
      </c>
      <c r="E6132" s="4" t="s">
        <v>6555</v>
      </c>
      <c r="F6132" s="4" t="s">
        <v>470</v>
      </c>
      <c r="G6132" s="4" t="s">
        <v>6556</v>
      </c>
      <c r="H6132" s="12" t="n">
        <v>1</v>
      </c>
      <c r="I6132" s="4" t="s">
        <v>408</v>
      </c>
      <c r="J6132" s="4" t="s">
        <v>2810</v>
      </c>
      <c r="K6132" s="13" t="n">
        <v>0</v>
      </c>
      <c r="L6132" s="6" t="n">
        <f aca="false">H6132*K6132</f>
        <v>0</v>
      </c>
      <c r="M6132" s="4" t="s">
        <v>371</v>
      </c>
    </row>
    <row r="6133" customFormat="false" ht="23.85" hidden="false" customHeight="false" outlineLevel="0" collapsed="false">
      <c r="A6133" s="4" t="s">
        <v>337</v>
      </c>
      <c r="B6133" s="5" t="s">
        <v>344</v>
      </c>
      <c r="C6133" s="5" t="s">
        <v>345</v>
      </c>
      <c r="D6133" s="4" t="s">
        <v>16</v>
      </c>
      <c r="E6133" s="4" t="s">
        <v>6557</v>
      </c>
      <c r="F6133" s="4" t="s">
        <v>470</v>
      </c>
      <c r="G6133" s="4" t="s">
        <v>6558</v>
      </c>
      <c r="H6133" s="12" t="n">
        <v>1</v>
      </c>
      <c r="I6133" s="4" t="s">
        <v>408</v>
      </c>
      <c r="J6133" s="4" t="s">
        <v>543</v>
      </c>
      <c r="K6133" s="13" t="n">
        <v>25000</v>
      </c>
      <c r="L6133" s="6" t="n">
        <f aca="false">H6133*K6133</f>
        <v>25000</v>
      </c>
      <c r="M6133" s="4" t="s">
        <v>371</v>
      </c>
    </row>
    <row r="6134" customFormat="false" ht="23.85" hidden="false" customHeight="false" outlineLevel="0" collapsed="false">
      <c r="A6134" s="4" t="s">
        <v>337</v>
      </c>
      <c r="B6134" s="5" t="s">
        <v>344</v>
      </c>
      <c r="C6134" s="5" t="s">
        <v>345</v>
      </c>
      <c r="D6134" s="4" t="s">
        <v>16</v>
      </c>
      <c r="E6134" s="4" t="s">
        <v>6559</v>
      </c>
      <c r="F6134" s="4" t="s">
        <v>470</v>
      </c>
      <c r="G6134" s="4" t="s">
        <v>6560</v>
      </c>
      <c r="H6134" s="12" t="n">
        <v>1</v>
      </c>
      <c r="I6134" s="4" t="s">
        <v>408</v>
      </c>
      <c r="J6134" s="4" t="s">
        <v>543</v>
      </c>
      <c r="K6134" s="13" t="n">
        <v>25000</v>
      </c>
      <c r="L6134" s="6" t="n">
        <f aca="false">H6134*K6134</f>
        <v>25000</v>
      </c>
      <c r="M6134" s="4" t="s">
        <v>371</v>
      </c>
    </row>
    <row r="6135" customFormat="false" ht="23.85" hidden="false" customHeight="false" outlineLevel="0" collapsed="false">
      <c r="A6135" s="4" t="s">
        <v>337</v>
      </c>
      <c r="B6135" s="5" t="s">
        <v>344</v>
      </c>
      <c r="C6135" s="5" t="s">
        <v>345</v>
      </c>
      <c r="D6135" s="4" t="s">
        <v>16</v>
      </c>
      <c r="E6135" s="4" t="s">
        <v>6561</v>
      </c>
      <c r="F6135" s="4" t="s">
        <v>470</v>
      </c>
      <c r="G6135" s="4" t="s">
        <v>6562</v>
      </c>
      <c r="H6135" s="12" t="n">
        <v>1</v>
      </c>
      <c r="I6135" s="4" t="s">
        <v>408</v>
      </c>
      <c r="J6135" s="4" t="s">
        <v>543</v>
      </c>
      <c r="K6135" s="13" t="n">
        <v>25000</v>
      </c>
      <c r="L6135" s="6" t="n">
        <f aca="false">H6135*K6135</f>
        <v>25000</v>
      </c>
      <c r="M6135" s="4" t="s">
        <v>371</v>
      </c>
    </row>
    <row r="6136" customFormat="false" ht="23.85" hidden="false" customHeight="false" outlineLevel="0" collapsed="false">
      <c r="A6136" s="4" t="s">
        <v>337</v>
      </c>
      <c r="B6136" s="5" t="s">
        <v>344</v>
      </c>
      <c r="C6136" s="5" t="s">
        <v>345</v>
      </c>
      <c r="D6136" s="4" t="s">
        <v>16</v>
      </c>
      <c r="E6136" s="4" t="s">
        <v>6563</v>
      </c>
      <c r="F6136" s="4" t="s">
        <v>470</v>
      </c>
      <c r="G6136" s="4" t="s">
        <v>6564</v>
      </c>
      <c r="H6136" s="12" t="n">
        <v>1</v>
      </c>
      <c r="I6136" s="4" t="s">
        <v>408</v>
      </c>
      <c r="J6136" s="4" t="s">
        <v>409</v>
      </c>
      <c r="K6136" s="13" t="n">
        <v>850</v>
      </c>
      <c r="L6136" s="6" t="n">
        <f aca="false">H6136*K6136</f>
        <v>850</v>
      </c>
      <c r="M6136" s="4" t="s">
        <v>371</v>
      </c>
    </row>
    <row r="6137" customFormat="false" ht="23.85" hidden="false" customHeight="false" outlineLevel="0" collapsed="false">
      <c r="A6137" s="4" t="s">
        <v>337</v>
      </c>
      <c r="B6137" s="5" t="s">
        <v>344</v>
      </c>
      <c r="C6137" s="5" t="s">
        <v>345</v>
      </c>
      <c r="D6137" s="4" t="s">
        <v>16</v>
      </c>
      <c r="E6137" s="4" t="s">
        <v>1072</v>
      </c>
      <c r="F6137" s="4" t="s">
        <v>470</v>
      </c>
      <c r="G6137" s="4" t="s">
        <v>1073</v>
      </c>
      <c r="H6137" s="12" t="n">
        <v>1</v>
      </c>
      <c r="I6137" s="4" t="s">
        <v>408</v>
      </c>
      <c r="J6137" s="4" t="s">
        <v>475</v>
      </c>
      <c r="K6137" s="13" t="n">
        <v>450</v>
      </c>
      <c r="L6137" s="6" t="n">
        <f aca="false">H6137*K6137</f>
        <v>450</v>
      </c>
      <c r="M6137" s="4" t="s">
        <v>371</v>
      </c>
    </row>
    <row r="6138" customFormat="false" ht="23.85" hidden="false" customHeight="false" outlineLevel="0" collapsed="false">
      <c r="A6138" s="4" t="s">
        <v>337</v>
      </c>
      <c r="B6138" s="5" t="s">
        <v>344</v>
      </c>
      <c r="C6138" s="5" t="s">
        <v>345</v>
      </c>
      <c r="D6138" s="4" t="s">
        <v>16</v>
      </c>
      <c r="E6138" s="4" t="s">
        <v>1074</v>
      </c>
      <c r="F6138" s="4" t="s">
        <v>470</v>
      </c>
      <c r="G6138" s="4" t="s">
        <v>1075</v>
      </c>
      <c r="H6138" s="12" t="n">
        <v>1</v>
      </c>
      <c r="I6138" s="4" t="s">
        <v>408</v>
      </c>
      <c r="J6138" s="4" t="s">
        <v>409</v>
      </c>
      <c r="K6138" s="13" t="n">
        <v>850</v>
      </c>
      <c r="L6138" s="6" t="n">
        <f aca="false">H6138*K6138</f>
        <v>850</v>
      </c>
      <c r="M6138" s="4" t="s">
        <v>371</v>
      </c>
    </row>
    <row r="6139" customFormat="false" ht="23.85" hidden="false" customHeight="false" outlineLevel="0" collapsed="false">
      <c r="A6139" s="4" t="s">
        <v>337</v>
      </c>
      <c r="B6139" s="5" t="s">
        <v>344</v>
      </c>
      <c r="C6139" s="5" t="s">
        <v>345</v>
      </c>
      <c r="D6139" s="4" t="s">
        <v>16</v>
      </c>
      <c r="E6139" s="4" t="s">
        <v>1636</v>
      </c>
      <c r="F6139" s="4" t="s">
        <v>470</v>
      </c>
      <c r="G6139" s="4" t="s">
        <v>1637</v>
      </c>
      <c r="H6139" s="12" t="n">
        <v>1</v>
      </c>
      <c r="I6139" s="4" t="s">
        <v>408</v>
      </c>
      <c r="J6139" s="4" t="s">
        <v>475</v>
      </c>
      <c r="K6139" s="13" t="n">
        <v>180</v>
      </c>
      <c r="L6139" s="6" t="n">
        <f aca="false">H6139*K6139</f>
        <v>180</v>
      </c>
      <c r="M6139" s="4" t="s">
        <v>371</v>
      </c>
    </row>
    <row r="6140" customFormat="false" ht="23.85" hidden="false" customHeight="false" outlineLevel="0" collapsed="false">
      <c r="A6140" s="4" t="s">
        <v>337</v>
      </c>
      <c r="B6140" s="5" t="s">
        <v>344</v>
      </c>
      <c r="C6140" s="5" t="s">
        <v>345</v>
      </c>
      <c r="D6140" s="4" t="s">
        <v>16</v>
      </c>
      <c r="E6140" s="4" t="s">
        <v>1638</v>
      </c>
      <c r="F6140" s="4" t="s">
        <v>470</v>
      </c>
      <c r="G6140" s="4" t="s">
        <v>1639</v>
      </c>
      <c r="H6140" s="12" t="n">
        <v>1</v>
      </c>
      <c r="I6140" s="4" t="s">
        <v>408</v>
      </c>
      <c r="J6140" s="4" t="s">
        <v>475</v>
      </c>
      <c r="K6140" s="13" t="n">
        <v>2500</v>
      </c>
      <c r="L6140" s="6" t="n">
        <f aca="false">H6140*K6140</f>
        <v>2500</v>
      </c>
      <c r="M6140" s="4" t="s">
        <v>371</v>
      </c>
    </row>
    <row r="6141" customFormat="false" ht="23.85" hidden="false" customHeight="false" outlineLevel="0" collapsed="false">
      <c r="A6141" s="4" t="s">
        <v>337</v>
      </c>
      <c r="B6141" s="5" t="s">
        <v>344</v>
      </c>
      <c r="C6141" s="5" t="s">
        <v>345</v>
      </c>
      <c r="D6141" s="4" t="s">
        <v>16</v>
      </c>
      <c r="E6141" s="4" t="s">
        <v>1640</v>
      </c>
      <c r="F6141" s="4" t="s">
        <v>470</v>
      </c>
      <c r="G6141" s="4" t="s">
        <v>1641</v>
      </c>
      <c r="H6141" s="12" t="n">
        <v>1</v>
      </c>
      <c r="I6141" s="4" t="s">
        <v>408</v>
      </c>
      <c r="J6141" s="4" t="s">
        <v>416</v>
      </c>
      <c r="K6141" s="13" t="n">
        <v>450</v>
      </c>
      <c r="L6141" s="6" t="n">
        <f aca="false">H6141*K6141</f>
        <v>450</v>
      </c>
      <c r="M6141" s="4" t="s">
        <v>371</v>
      </c>
    </row>
    <row r="6142" customFormat="false" ht="23.85" hidden="false" customHeight="false" outlineLevel="0" collapsed="false">
      <c r="A6142" s="4" t="s">
        <v>337</v>
      </c>
      <c r="B6142" s="5" t="s">
        <v>344</v>
      </c>
      <c r="C6142" s="5" t="s">
        <v>345</v>
      </c>
      <c r="D6142" s="4" t="s">
        <v>16</v>
      </c>
      <c r="E6142" s="4" t="s">
        <v>1089</v>
      </c>
      <c r="F6142" s="4" t="s">
        <v>470</v>
      </c>
      <c r="G6142" s="4" t="s">
        <v>1090</v>
      </c>
      <c r="H6142" s="12" t="n">
        <v>1</v>
      </c>
      <c r="I6142" s="4" t="s">
        <v>408</v>
      </c>
      <c r="J6142" s="4" t="s">
        <v>409</v>
      </c>
      <c r="K6142" s="13" t="n">
        <v>3500</v>
      </c>
      <c r="L6142" s="6" t="n">
        <f aca="false">H6142*K6142</f>
        <v>3500</v>
      </c>
      <c r="M6142" s="4" t="s">
        <v>371</v>
      </c>
    </row>
    <row r="6143" customFormat="false" ht="23.85" hidden="false" customHeight="false" outlineLevel="0" collapsed="false">
      <c r="A6143" s="4" t="s">
        <v>337</v>
      </c>
      <c r="B6143" s="5" t="s">
        <v>344</v>
      </c>
      <c r="C6143" s="5" t="s">
        <v>345</v>
      </c>
      <c r="D6143" s="4" t="s">
        <v>16</v>
      </c>
      <c r="E6143" s="4" t="s">
        <v>1451</v>
      </c>
      <c r="F6143" s="4" t="s">
        <v>470</v>
      </c>
      <c r="G6143" s="4" t="s">
        <v>1452</v>
      </c>
      <c r="H6143" s="12" t="n">
        <v>1</v>
      </c>
      <c r="I6143" s="4" t="s">
        <v>408</v>
      </c>
      <c r="J6143" s="4" t="s">
        <v>413</v>
      </c>
      <c r="K6143" s="13" t="n">
        <v>450</v>
      </c>
      <c r="L6143" s="6" t="n">
        <f aca="false">H6143*K6143</f>
        <v>450</v>
      </c>
      <c r="M6143" s="4" t="s">
        <v>371</v>
      </c>
    </row>
    <row r="6144" customFormat="false" ht="23.85" hidden="false" customHeight="false" outlineLevel="0" collapsed="false">
      <c r="A6144" s="4" t="s">
        <v>337</v>
      </c>
      <c r="B6144" s="5" t="s">
        <v>344</v>
      </c>
      <c r="C6144" s="5" t="s">
        <v>345</v>
      </c>
      <c r="D6144" s="4" t="s">
        <v>16</v>
      </c>
      <c r="E6144" s="4" t="s">
        <v>1648</v>
      </c>
      <c r="F6144" s="4" t="s">
        <v>470</v>
      </c>
      <c r="G6144" s="4" t="s">
        <v>1424</v>
      </c>
      <c r="H6144" s="12" t="n">
        <v>1</v>
      </c>
      <c r="I6144" s="4" t="s">
        <v>408</v>
      </c>
      <c r="J6144" s="4" t="s">
        <v>409</v>
      </c>
      <c r="K6144" s="13" t="n">
        <v>3500</v>
      </c>
      <c r="L6144" s="6" t="n">
        <f aca="false">H6144*K6144</f>
        <v>3500</v>
      </c>
      <c r="M6144" s="4" t="s">
        <v>371</v>
      </c>
    </row>
    <row r="6145" customFormat="false" ht="23.85" hidden="false" customHeight="false" outlineLevel="0" collapsed="false">
      <c r="A6145" s="4" t="s">
        <v>337</v>
      </c>
      <c r="B6145" s="5" t="s">
        <v>344</v>
      </c>
      <c r="C6145" s="5" t="s">
        <v>345</v>
      </c>
      <c r="D6145" s="4" t="s">
        <v>16</v>
      </c>
      <c r="E6145" s="4" t="s">
        <v>6565</v>
      </c>
      <c r="F6145" s="4" t="s">
        <v>470</v>
      </c>
      <c r="G6145" s="4" t="s">
        <v>6566</v>
      </c>
      <c r="H6145" s="12" t="n">
        <v>1</v>
      </c>
      <c r="I6145" s="4" t="s">
        <v>408</v>
      </c>
      <c r="J6145" s="4" t="s">
        <v>416</v>
      </c>
      <c r="K6145" s="13" t="n">
        <v>2500</v>
      </c>
      <c r="L6145" s="6" t="n">
        <f aca="false">H6145*K6145</f>
        <v>2500</v>
      </c>
      <c r="M6145" s="4" t="s">
        <v>371</v>
      </c>
    </row>
    <row r="6146" customFormat="false" ht="23.85" hidden="false" customHeight="false" outlineLevel="0" collapsed="false">
      <c r="A6146" s="4" t="s">
        <v>337</v>
      </c>
      <c r="B6146" s="5" t="s">
        <v>344</v>
      </c>
      <c r="C6146" s="5" t="s">
        <v>345</v>
      </c>
      <c r="D6146" s="4" t="s">
        <v>16</v>
      </c>
      <c r="E6146" s="4" t="s">
        <v>2157</v>
      </c>
      <c r="F6146" s="4" t="s">
        <v>488</v>
      </c>
      <c r="G6146" s="4" t="s">
        <v>2158</v>
      </c>
      <c r="H6146" s="12" t="n">
        <v>1</v>
      </c>
      <c r="I6146" s="4" t="s">
        <v>408</v>
      </c>
      <c r="J6146" s="4" t="s">
        <v>506</v>
      </c>
      <c r="K6146" s="13" t="n">
        <v>120</v>
      </c>
      <c r="L6146" s="6" t="n">
        <f aca="false">H6146*K6146</f>
        <v>120</v>
      </c>
      <c r="M6146" s="4" t="s">
        <v>371</v>
      </c>
    </row>
    <row r="6147" customFormat="false" ht="23.85" hidden="false" customHeight="false" outlineLevel="0" collapsed="false">
      <c r="A6147" s="4" t="s">
        <v>337</v>
      </c>
      <c r="B6147" s="5" t="s">
        <v>344</v>
      </c>
      <c r="C6147" s="5" t="s">
        <v>345</v>
      </c>
      <c r="D6147" s="4" t="s">
        <v>16</v>
      </c>
      <c r="E6147" s="4" t="s">
        <v>2159</v>
      </c>
      <c r="F6147" s="4" t="s">
        <v>488</v>
      </c>
      <c r="G6147" s="4" t="s">
        <v>2160</v>
      </c>
      <c r="H6147" s="12" t="n">
        <v>1</v>
      </c>
      <c r="I6147" s="4" t="s">
        <v>408</v>
      </c>
      <c r="J6147" s="4" t="s">
        <v>416</v>
      </c>
      <c r="K6147" s="13" t="n">
        <v>120</v>
      </c>
      <c r="L6147" s="6" t="n">
        <f aca="false">H6147*K6147</f>
        <v>120</v>
      </c>
      <c r="M6147" s="4" t="s">
        <v>371</v>
      </c>
    </row>
    <row r="6148" customFormat="false" ht="23.85" hidden="false" customHeight="false" outlineLevel="0" collapsed="false">
      <c r="A6148" s="4" t="s">
        <v>337</v>
      </c>
      <c r="B6148" s="5" t="s">
        <v>344</v>
      </c>
      <c r="C6148" s="5" t="s">
        <v>345</v>
      </c>
      <c r="D6148" s="4" t="s">
        <v>16</v>
      </c>
      <c r="E6148" s="4" t="s">
        <v>6567</v>
      </c>
      <c r="F6148" s="4" t="s">
        <v>488</v>
      </c>
      <c r="G6148" s="4" t="s">
        <v>6568</v>
      </c>
      <c r="H6148" s="12" t="n">
        <v>1</v>
      </c>
      <c r="I6148" s="4" t="s">
        <v>408</v>
      </c>
      <c r="J6148" s="4" t="s">
        <v>506</v>
      </c>
      <c r="K6148" s="13" t="n">
        <v>150</v>
      </c>
      <c r="L6148" s="6" t="n">
        <f aca="false">H6148*K6148</f>
        <v>150</v>
      </c>
      <c r="M6148" s="4" t="s">
        <v>371</v>
      </c>
    </row>
    <row r="6149" customFormat="false" ht="23.85" hidden="false" customHeight="false" outlineLevel="0" collapsed="false">
      <c r="A6149" s="4" t="s">
        <v>337</v>
      </c>
      <c r="B6149" s="5" t="s">
        <v>344</v>
      </c>
      <c r="C6149" s="5" t="s">
        <v>345</v>
      </c>
      <c r="D6149" s="4" t="s">
        <v>16</v>
      </c>
      <c r="E6149" s="4" t="s">
        <v>6569</v>
      </c>
      <c r="F6149" s="4" t="s">
        <v>488</v>
      </c>
      <c r="G6149" s="4" t="s">
        <v>2472</v>
      </c>
      <c r="H6149" s="12" t="n">
        <v>1</v>
      </c>
      <c r="I6149" s="4" t="s">
        <v>408</v>
      </c>
      <c r="J6149" s="4" t="s">
        <v>506</v>
      </c>
      <c r="K6149" s="13" t="n">
        <v>120</v>
      </c>
      <c r="L6149" s="6" t="n">
        <f aca="false">H6149*K6149</f>
        <v>120</v>
      </c>
      <c r="M6149" s="4" t="s">
        <v>371</v>
      </c>
    </row>
    <row r="6150" customFormat="false" ht="15" hidden="false" customHeight="false" outlineLevel="0" collapsed="false">
      <c r="A6150" s="4" t="s">
        <v>346</v>
      </c>
      <c r="B6150" s="5" t="s">
        <v>347</v>
      </c>
      <c r="C6150" s="5" t="s">
        <v>348</v>
      </c>
      <c r="D6150" s="4" t="s">
        <v>16</v>
      </c>
      <c r="E6150" s="4" t="s">
        <v>2706</v>
      </c>
      <c r="F6150" s="4" t="s">
        <v>406</v>
      </c>
      <c r="G6150" s="4" t="s">
        <v>2707</v>
      </c>
      <c r="H6150" s="12" t="n">
        <v>1</v>
      </c>
      <c r="I6150" s="4" t="s">
        <v>474</v>
      </c>
      <c r="J6150" s="4" t="s">
        <v>416</v>
      </c>
      <c r="K6150" s="13" t="n">
        <v>4500</v>
      </c>
      <c r="L6150" s="6" t="n">
        <f aca="false">H6150*K6150</f>
        <v>4500</v>
      </c>
      <c r="M6150" s="14" t="s">
        <v>410</v>
      </c>
    </row>
    <row r="6151" customFormat="false" ht="15" hidden="false" customHeight="false" outlineLevel="0" collapsed="false">
      <c r="A6151" s="4" t="s">
        <v>346</v>
      </c>
      <c r="B6151" s="5" t="s">
        <v>347</v>
      </c>
      <c r="C6151" s="5" t="s">
        <v>348</v>
      </c>
      <c r="D6151" s="4" t="s">
        <v>16</v>
      </c>
      <c r="E6151" s="4" t="s">
        <v>2710</v>
      </c>
      <c r="F6151" s="4" t="s">
        <v>406</v>
      </c>
      <c r="G6151" s="4" t="s">
        <v>2711</v>
      </c>
      <c r="H6151" s="12" t="n">
        <v>12</v>
      </c>
      <c r="I6151" s="4" t="s">
        <v>474</v>
      </c>
      <c r="J6151" s="4" t="s">
        <v>409</v>
      </c>
      <c r="K6151" s="13" t="n">
        <v>350</v>
      </c>
      <c r="L6151" s="6" t="n">
        <f aca="false">H6151*K6151</f>
        <v>4200</v>
      </c>
      <c r="M6151" s="14" t="s">
        <v>410</v>
      </c>
    </row>
    <row r="6152" customFormat="false" ht="15" hidden="false" customHeight="false" outlineLevel="0" collapsed="false">
      <c r="A6152" s="4" t="s">
        <v>346</v>
      </c>
      <c r="B6152" s="5" t="s">
        <v>347</v>
      </c>
      <c r="C6152" s="5" t="s">
        <v>348</v>
      </c>
      <c r="D6152" s="4" t="s">
        <v>16</v>
      </c>
      <c r="E6152" s="4" t="s">
        <v>2712</v>
      </c>
      <c r="F6152" s="4" t="s">
        <v>406</v>
      </c>
      <c r="G6152" s="4" t="s">
        <v>2713</v>
      </c>
      <c r="H6152" s="12" t="n">
        <v>12</v>
      </c>
      <c r="I6152" s="4" t="s">
        <v>474</v>
      </c>
      <c r="J6152" s="4" t="s">
        <v>409</v>
      </c>
      <c r="K6152" s="13" t="n">
        <v>250</v>
      </c>
      <c r="L6152" s="6" t="n">
        <f aca="false">H6152*K6152</f>
        <v>3000</v>
      </c>
      <c r="M6152" s="14" t="s">
        <v>410</v>
      </c>
    </row>
    <row r="6153" customFormat="false" ht="15" hidden="false" customHeight="false" outlineLevel="0" collapsed="false">
      <c r="A6153" s="4" t="s">
        <v>346</v>
      </c>
      <c r="B6153" s="5" t="s">
        <v>347</v>
      </c>
      <c r="C6153" s="5" t="s">
        <v>348</v>
      </c>
      <c r="D6153" s="4" t="s">
        <v>16</v>
      </c>
      <c r="E6153" s="4" t="s">
        <v>2714</v>
      </c>
      <c r="F6153" s="4" t="s">
        <v>406</v>
      </c>
      <c r="G6153" s="4" t="s">
        <v>2715</v>
      </c>
      <c r="H6153" s="12" t="n">
        <v>12</v>
      </c>
      <c r="I6153" s="4" t="s">
        <v>474</v>
      </c>
      <c r="J6153" s="4" t="s">
        <v>416</v>
      </c>
      <c r="K6153" s="13" t="n">
        <v>1800</v>
      </c>
      <c r="L6153" s="6" t="n">
        <f aca="false">H6153*K6153</f>
        <v>21600</v>
      </c>
      <c r="M6153" s="14" t="s">
        <v>410</v>
      </c>
    </row>
    <row r="6154" customFormat="false" ht="15" hidden="false" customHeight="false" outlineLevel="0" collapsed="false">
      <c r="A6154" s="4" t="s">
        <v>346</v>
      </c>
      <c r="B6154" s="5" t="s">
        <v>347</v>
      </c>
      <c r="C6154" s="5" t="s">
        <v>348</v>
      </c>
      <c r="D6154" s="4" t="s">
        <v>16</v>
      </c>
      <c r="E6154" s="4" t="s">
        <v>2716</v>
      </c>
      <c r="F6154" s="4" t="s">
        <v>406</v>
      </c>
      <c r="G6154" s="4" t="s">
        <v>2717</v>
      </c>
      <c r="H6154" s="12" t="n">
        <v>12</v>
      </c>
      <c r="I6154" s="4" t="s">
        <v>474</v>
      </c>
      <c r="J6154" s="4" t="s">
        <v>409</v>
      </c>
      <c r="K6154" s="13" t="n">
        <v>180</v>
      </c>
      <c r="L6154" s="6" t="n">
        <f aca="false">H6154*K6154</f>
        <v>2160</v>
      </c>
      <c r="M6154" s="14" t="s">
        <v>410</v>
      </c>
    </row>
    <row r="6155" customFormat="false" ht="15" hidden="false" customHeight="false" outlineLevel="0" collapsed="false">
      <c r="A6155" s="4" t="s">
        <v>346</v>
      </c>
      <c r="B6155" s="5" t="s">
        <v>347</v>
      </c>
      <c r="C6155" s="5" t="s">
        <v>348</v>
      </c>
      <c r="D6155" s="4" t="s">
        <v>16</v>
      </c>
      <c r="E6155" s="4" t="s">
        <v>2718</v>
      </c>
      <c r="F6155" s="4" t="s">
        <v>406</v>
      </c>
      <c r="G6155" s="4" t="s">
        <v>2719</v>
      </c>
      <c r="H6155" s="12" t="n">
        <v>12</v>
      </c>
      <c r="I6155" s="4" t="s">
        <v>474</v>
      </c>
      <c r="J6155" s="4" t="s">
        <v>409</v>
      </c>
      <c r="K6155" s="13" t="n">
        <v>150</v>
      </c>
      <c r="L6155" s="6" t="n">
        <f aca="false">H6155*K6155</f>
        <v>1800</v>
      </c>
      <c r="M6155" s="14" t="s">
        <v>410</v>
      </c>
    </row>
    <row r="6156" customFormat="false" ht="15" hidden="false" customHeight="false" outlineLevel="0" collapsed="false">
      <c r="A6156" s="4" t="s">
        <v>346</v>
      </c>
      <c r="B6156" s="5" t="s">
        <v>347</v>
      </c>
      <c r="C6156" s="5" t="s">
        <v>348</v>
      </c>
      <c r="D6156" s="4" t="s">
        <v>16</v>
      </c>
      <c r="E6156" s="4" t="s">
        <v>2720</v>
      </c>
      <c r="F6156" s="4" t="s">
        <v>406</v>
      </c>
      <c r="G6156" s="4" t="s">
        <v>2721</v>
      </c>
      <c r="H6156" s="12" t="n">
        <v>12</v>
      </c>
      <c r="I6156" s="4" t="s">
        <v>474</v>
      </c>
      <c r="J6156" s="4" t="s">
        <v>409</v>
      </c>
      <c r="K6156" s="13" t="n">
        <v>250</v>
      </c>
      <c r="L6156" s="6" t="n">
        <f aca="false">H6156*K6156</f>
        <v>3000</v>
      </c>
      <c r="M6156" s="14" t="s">
        <v>410</v>
      </c>
    </row>
    <row r="6157" customFormat="false" ht="15" hidden="false" customHeight="false" outlineLevel="0" collapsed="false">
      <c r="A6157" s="4" t="s">
        <v>346</v>
      </c>
      <c r="B6157" s="5" t="s">
        <v>347</v>
      </c>
      <c r="C6157" s="5" t="s">
        <v>348</v>
      </c>
      <c r="D6157" s="4" t="s">
        <v>16</v>
      </c>
      <c r="E6157" s="4" t="s">
        <v>2722</v>
      </c>
      <c r="F6157" s="4" t="s">
        <v>406</v>
      </c>
      <c r="G6157" s="4" t="s">
        <v>2723</v>
      </c>
      <c r="H6157" s="12" t="n">
        <v>12</v>
      </c>
      <c r="I6157" s="4" t="s">
        <v>474</v>
      </c>
      <c r="J6157" s="4" t="s">
        <v>409</v>
      </c>
      <c r="K6157" s="13" t="n">
        <v>350</v>
      </c>
      <c r="L6157" s="6" t="n">
        <f aca="false">H6157*K6157</f>
        <v>4200</v>
      </c>
      <c r="M6157" s="4" t="s">
        <v>371</v>
      </c>
    </row>
    <row r="6158" customFormat="false" ht="15" hidden="false" customHeight="false" outlineLevel="0" collapsed="false">
      <c r="A6158" s="4" t="s">
        <v>346</v>
      </c>
      <c r="B6158" s="5" t="s">
        <v>347</v>
      </c>
      <c r="C6158" s="5" t="s">
        <v>348</v>
      </c>
      <c r="D6158" s="4" t="s">
        <v>16</v>
      </c>
      <c r="E6158" s="4" t="s">
        <v>2724</v>
      </c>
      <c r="F6158" s="4" t="s">
        <v>406</v>
      </c>
      <c r="G6158" s="4" t="s">
        <v>2725</v>
      </c>
      <c r="H6158" s="12" t="n">
        <v>12</v>
      </c>
      <c r="I6158" s="4" t="s">
        <v>474</v>
      </c>
      <c r="J6158" s="4" t="s">
        <v>409</v>
      </c>
      <c r="K6158" s="13" t="n">
        <v>180</v>
      </c>
      <c r="L6158" s="6" t="n">
        <f aca="false">H6158*K6158</f>
        <v>2160</v>
      </c>
      <c r="M6158" s="4" t="s">
        <v>371</v>
      </c>
    </row>
    <row r="6159" customFormat="false" ht="15" hidden="false" customHeight="false" outlineLevel="0" collapsed="false">
      <c r="A6159" s="4" t="s">
        <v>346</v>
      </c>
      <c r="B6159" s="5" t="s">
        <v>347</v>
      </c>
      <c r="C6159" s="5" t="s">
        <v>348</v>
      </c>
      <c r="D6159" s="4" t="s">
        <v>16</v>
      </c>
      <c r="E6159" s="4" t="s">
        <v>2726</v>
      </c>
      <c r="F6159" s="4" t="s">
        <v>406</v>
      </c>
      <c r="G6159" s="4" t="s">
        <v>2727</v>
      </c>
      <c r="H6159" s="12" t="n">
        <v>6</v>
      </c>
      <c r="I6159" s="4" t="s">
        <v>474</v>
      </c>
      <c r="J6159" s="4" t="s">
        <v>409</v>
      </c>
      <c r="K6159" s="13" t="n">
        <v>450</v>
      </c>
      <c r="L6159" s="6" t="n">
        <f aca="false">H6159*K6159</f>
        <v>2700</v>
      </c>
      <c r="M6159" s="4" t="s">
        <v>371</v>
      </c>
    </row>
    <row r="6160" customFormat="false" ht="15" hidden="false" customHeight="false" outlineLevel="0" collapsed="false">
      <c r="A6160" s="4" t="s">
        <v>346</v>
      </c>
      <c r="B6160" s="5" t="s">
        <v>347</v>
      </c>
      <c r="C6160" s="5" t="s">
        <v>348</v>
      </c>
      <c r="D6160" s="4" t="s">
        <v>16</v>
      </c>
      <c r="E6160" s="4" t="s">
        <v>2728</v>
      </c>
      <c r="F6160" s="4" t="s">
        <v>406</v>
      </c>
      <c r="G6160" s="4" t="s">
        <v>2729</v>
      </c>
      <c r="H6160" s="12" t="n">
        <v>6</v>
      </c>
      <c r="I6160" s="4" t="s">
        <v>474</v>
      </c>
      <c r="J6160" s="4" t="s">
        <v>409</v>
      </c>
      <c r="K6160" s="13" t="n">
        <v>550</v>
      </c>
      <c r="L6160" s="6" t="n">
        <f aca="false">H6160*K6160</f>
        <v>3300</v>
      </c>
      <c r="M6160" s="4" t="s">
        <v>371</v>
      </c>
    </row>
    <row r="6161" customFormat="false" ht="15" hidden="false" customHeight="false" outlineLevel="0" collapsed="false">
      <c r="A6161" s="4" t="s">
        <v>346</v>
      </c>
      <c r="B6161" s="5" t="s">
        <v>347</v>
      </c>
      <c r="C6161" s="5" t="s">
        <v>348</v>
      </c>
      <c r="D6161" s="4" t="s">
        <v>16</v>
      </c>
      <c r="E6161" s="4" t="s">
        <v>2730</v>
      </c>
      <c r="F6161" s="4" t="s">
        <v>406</v>
      </c>
      <c r="G6161" s="4" t="s">
        <v>2731</v>
      </c>
      <c r="H6161" s="12" t="n">
        <v>6</v>
      </c>
      <c r="I6161" s="4" t="s">
        <v>474</v>
      </c>
      <c r="J6161" s="4" t="s">
        <v>409</v>
      </c>
      <c r="K6161" s="13" t="n">
        <v>650</v>
      </c>
      <c r="L6161" s="6" t="n">
        <f aca="false">H6161*K6161</f>
        <v>3900</v>
      </c>
      <c r="M6161" s="4" t="s">
        <v>371</v>
      </c>
    </row>
    <row r="6162" customFormat="false" ht="15" hidden="false" customHeight="false" outlineLevel="0" collapsed="false">
      <c r="A6162" s="4" t="s">
        <v>346</v>
      </c>
      <c r="B6162" s="5" t="s">
        <v>347</v>
      </c>
      <c r="C6162" s="5" t="s">
        <v>348</v>
      </c>
      <c r="D6162" s="4" t="s">
        <v>16</v>
      </c>
      <c r="E6162" s="4" t="s">
        <v>2732</v>
      </c>
      <c r="F6162" s="4" t="s">
        <v>406</v>
      </c>
      <c r="G6162" s="4" t="s">
        <v>2733</v>
      </c>
      <c r="H6162" s="12" t="n">
        <v>6</v>
      </c>
      <c r="I6162" s="4" t="s">
        <v>474</v>
      </c>
      <c r="J6162" s="4" t="s">
        <v>409</v>
      </c>
      <c r="K6162" s="13" t="n">
        <v>650</v>
      </c>
      <c r="L6162" s="6" t="n">
        <f aca="false">H6162*K6162</f>
        <v>3900</v>
      </c>
      <c r="M6162" s="4" t="s">
        <v>371</v>
      </c>
    </row>
    <row r="6163" customFormat="false" ht="15" hidden="false" customHeight="false" outlineLevel="0" collapsed="false">
      <c r="A6163" s="4" t="s">
        <v>346</v>
      </c>
      <c r="B6163" s="5" t="s">
        <v>347</v>
      </c>
      <c r="C6163" s="5" t="s">
        <v>348</v>
      </c>
      <c r="D6163" s="4" t="s">
        <v>16</v>
      </c>
      <c r="E6163" s="4" t="s">
        <v>2734</v>
      </c>
      <c r="F6163" s="4" t="s">
        <v>406</v>
      </c>
      <c r="G6163" s="4" t="s">
        <v>2735</v>
      </c>
      <c r="H6163" s="12" t="n">
        <v>6</v>
      </c>
      <c r="I6163" s="4" t="s">
        <v>474</v>
      </c>
      <c r="J6163" s="4" t="s">
        <v>409</v>
      </c>
      <c r="K6163" s="13" t="n">
        <v>350</v>
      </c>
      <c r="L6163" s="6" t="n">
        <f aca="false">H6163*K6163</f>
        <v>2100</v>
      </c>
      <c r="M6163" s="14" t="s">
        <v>410</v>
      </c>
    </row>
    <row r="6164" customFormat="false" ht="15" hidden="false" customHeight="false" outlineLevel="0" collapsed="false">
      <c r="A6164" s="4" t="s">
        <v>346</v>
      </c>
      <c r="B6164" s="5" t="s">
        <v>347</v>
      </c>
      <c r="C6164" s="5" t="s">
        <v>348</v>
      </c>
      <c r="D6164" s="4" t="s">
        <v>16</v>
      </c>
      <c r="E6164" s="4" t="s">
        <v>2736</v>
      </c>
      <c r="F6164" s="4" t="s">
        <v>406</v>
      </c>
      <c r="G6164" s="4" t="s">
        <v>2737</v>
      </c>
      <c r="H6164" s="12" t="n">
        <v>6</v>
      </c>
      <c r="I6164" s="4" t="s">
        <v>474</v>
      </c>
      <c r="J6164" s="4" t="s">
        <v>409</v>
      </c>
      <c r="K6164" s="13" t="n">
        <v>250</v>
      </c>
      <c r="L6164" s="6" t="n">
        <f aca="false">H6164*K6164</f>
        <v>1500</v>
      </c>
      <c r="M6164" s="14" t="s">
        <v>410</v>
      </c>
    </row>
    <row r="6165" customFormat="false" ht="15" hidden="false" customHeight="false" outlineLevel="0" collapsed="false">
      <c r="A6165" s="4" t="s">
        <v>346</v>
      </c>
      <c r="B6165" s="5" t="s">
        <v>347</v>
      </c>
      <c r="C6165" s="5" t="s">
        <v>348</v>
      </c>
      <c r="D6165" s="4" t="s">
        <v>16</v>
      </c>
      <c r="E6165" s="4" t="s">
        <v>2738</v>
      </c>
      <c r="F6165" s="4" t="s">
        <v>406</v>
      </c>
      <c r="G6165" s="4" t="s">
        <v>2739</v>
      </c>
      <c r="H6165" s="12" t="n">
        <v>12</v>
      </c>
      <c r="I6165" s="4" t="s">
        <v>474</v>
      </c>
      <c r="J6165" s="4" t="s">
        <v>409</v>
      </c>
      <c r="K6165" s="13" t="n">
        <v>180</v>
      </c>
      <c r="L6165" s="6" t="n">
        <f aca="false">H6165*K6165</f>
        <v>2160</v>
      </c>
      <c r="M6165" s="14" t="s">
        <v>410</v>
      </c>
    </row>
    <row r="6166" customFormat="false" ht="15" hidden="false" customHeight="false" outlineLevel="0" collapsed="false">
      <c r="A6166" s="4" t="s">
        <v>346</v>
      </c>
      <c r="B6166" s="5" t="s">
        <v>347</v>
      </c>
      <c r="C6166" s="5" t="s">
        <v>348</v>
      </c>
      <c r="D6166" s="4" t="s">
        <v>16</v>
      </c>
      <c r="E6166" s="4" t="s">
        <v>2740</v>
      </c>
      <c r="F6166" s="4" t="s">
        <v>406</v>
      </c>
      <c r="G6166" s="4" t="s">
        <v>2741</v>
      </c>
      <c r="H6166" s="12" t="n">
        <v>12</v>
      </c>
      <c r="I6166" s="4" t="s">
        <v>474</v>
      </c>
      <c r="J6166" s="4" t="s">
        <v>409</v>
      </c>
      <c r="K6166" s="13" t="n">
        <v>80</v>
      </c>
      <c r="L6166" s="6" t="n">
        <f aca="false">H6166*K6166</f>
        <v>960</v>
      </c>
      <c r="M6166" s="14" t="s">
        <v>410</v>
      </c>
    </row>
    <row r="6167" customFormat="false" ht="15" hidden="false" customHeight="false" outlineLevel="0" collapsed="false">
      <c r="A6167" s="4" t="s">
        <v>346</v>
      </c>
      <c r="B6167" s="5" t="s">
        <v>347</v>
      </c>
      <c r="C6167" s="5" t="s">
        <v>348</v>
      </c>
      <c r="D6167" s="4" t="s">
        <v>16</v>
      </c>
      <c r="E6167" s="4" t="s">
        <v>2742</v>
      </c>
      <c r="F6167" s="4" t="s">
        <v>406</v>
      </c>
      <c r="G6167" s="4" t="s">
        <v>2743</v>
      </c>
      <c r="H6167" s="12" t="n">
        <v>12</v>
      </c>
      <c r="I6167" s="4" t="s">
        <v>474</v>
      </c>
      <c r="J6167" s="4" t="s">
        <v>409</v>
      </c>
      <c r="K6167" s="13" t="n">
        <v>150</v>
      </c>
      <c r="L6167" s="6" t="n">
        <f aca="false">H6167*K6167</f>
        <v>1800</v>
      </c>
      <c r="M6167" s="14" t="s">
        <v>410</v>
      </c>
    </row>
    <row r="6168" customFormat="false" ht="15" hidden="false" customHeight="false" outlineLevel="0" collapsed="false">
      <c r="A6168" s="4" t="s">
        <v>346</v>
      </c>
      <c r="B6168" s="5" t="s">
        <v>347</v>
      </c>
      <c r="C6168" s="5" t="s">
        <v>348</v>
      </c>
      <c r="D6168" s="4" t="s">
        <v>16</v>
      </c>
      <c r="E6168" s="4" t="s">
        <v>2744</v>
      </c>
      <c r="F6168" s="4" t="s">
        <v>406</v>
      </c>
      <c r="G6168" s="4" t="s">
        <v>2745</v>
      </c>
      <c r="H6168" s="12" t="n">
        <v>12</v>
      </c>
      <c r="I6168" s="4" t="s">
        <v>474</v>
      </c>
      <c r="J6168" s="4" t="s">
        <v>409</v>
      </c>
      <c r="K6168" s="13" t="n">
        <v>180</v>
      </c>
      <c r="L6168" s="6" t="n">
        <f aca="false">H6168*K6168</f>
        <v>2160</v>
      </c>
      <c r="M6168" s="14" t="s">
        <v>410</v>
      </c>
    </row>
    <row r="6169" customFormat="false" ht="15" hidden="false" customHeight="false" outlineLevel="0" collapsed="false">
      <c r="A6169" s="4" t="s">
        <v>346</v>
      </c>
      <c r="B6169" s="5" t="s">
        <v>347</v>
      </c>
      <c r="C6169" s="5" t="s">
        <v>348</v>
      </c>
      <c r="D6169" s="4" t="s">
        <v>16</v>
      </c>
      <c r="E6169" s="4" t="s">
        <v>2746</v>
      </c>
      <c r="F6169" s="4" t="s">
        <v>406</v>
      </c>
      <c r="G6169" s="4" t="s">
        <v>2747</v>
      </c>
      <c r="H6169" s="12" t="n">
        <v>12</v>
      </c>
      <c r="I6169" s="4" t="s">
        <v>474</v>
      </c>
      <c r="J6169" s="4" t="s">
        <v>409</v>
      </c>
      <c r="K6169" s="13" t="n">
        <v>120</v>
      </c>
      <c r="L6169" s="6" t="n">
        <f aca="false">H6169*K6169</f>
        <v>1440</v>
      </c>
      <c r="M6169" s="14" t="s">
        <v>410</v>
      </c>
    </row>
    <row r="6170" customFormat="false" ht="15" hidden="false" customHeight="false" outlineLevel="0" collapsed="false">
      <c r="A6170" s="4" t="s">
        <v>346</v>
      </c>
      <c r="B6170" s="5" t="s">
        <v>347</v>
      </c>
      <c r="C6170" s="5" t="s">
        <v>348</v>
      </c>
      <c r="D6170" s="4" t="s">
        <v>16</v>
      </c>
      <c r="E6170" s="4" t="s">
        <v>2748</v>
      </c>
      <c r="F6170" s="4" t="s">
        <v>406</v>
      </c>
      <c r="G6170" s="4" t="s">
        <v>2749</v>
      </c>
      <c r="H6170" s="12" t="n">
        <v>12</v>
      </c>
      <c r="I6170" s="4" t="s">
        <v>474</v>
      </c>
      <c r="J6170" s="4" t="s">
        <v>409</v>
      </c>
      <c r="K6170" s="13" t="n">
        <v>180</v>
      </c>
      <c r="L6170" s="6" t="n">
        <f aca="false">H6170*K6170</f>
        <v>2160</v>
      </c>
      <c r="M6170" s="14" t="s">
        <v>410</v>
      </c>
    </row>
    <row r="6171" customFormat="false" ht="15" hidden="false" customHeight="false" outlineLevel="0" collapsed="false">
      <c r="A6171" s="4" t="s">
        <v>346</v>
      </c>
      <c r="B6171" s="5" t="s">
        <v>347</v>
      </c>
      <c r="C6171" s="5" t="s">
        <v>348</v>
      </c>
      <c r="D6171" s="4" t="s">
        <v>16</v>
      </c>
      <c r="E6171" s="4" t="s">
        <v>2750</v>
      </c>
      <c r="F6171" s="4" t="s">
        <v>406</v>
      </c>
      <c r="G6171" s="4" t="s">
        <v>2751</v>
      </c>
      <c r="H6171" s="12" t="n">
        <v>6</v>
      </c>
      <c r="I6171" s="4" t="s">
        <v>474</v>
      </c>
      <c r="J6171" s="4" t="s">
        <v>409</v>
      </c>
      <c r="K6171" s="13" t="n">
        <v>180</v>
      </c>
      <c r="L6171" s="6" t="n">
        <f aca="false">H6171*K6171</f>
        <v>1080</v>
      </c>
      <c r="M6171" s="14" t="s">
        <v>410</v>
      </c>
    </row>
    <row r="6172" customFormat="false" ht="15" hidden="false" customHeight="false" outlineLevel="0" collapsed="false">
      <c r="A6172" s="4" t="s">
        <v>346</v>
      </c>
      <c r="B6172" s="5" t="s">
        <v>347</v>
      </c>
      <c r="C6172" s="5" t="s">
        <v>348</v>
      </c>
      <c r="D6172" s="4" t="s">
        <v>16</v>
      </c>
      <c r="E6172" s="4" t="s">
        <v>2752</v>
      </c>
      <c r="F6172" s="4" t="s">
        <v>406</v>
      </c>
      <c r="G6172" s="4" t="s">
        <v>2753</v>
      </c>
      <c r="H6172" s="12" t="n">
        <v>6</v>
      </c>
      <c r="I6172" s="4" t="s">
        <v>474</v>
      </c>
      <c r="J6172" s="4" t="s">
        <v>409</v>
      </c>
      <c r="K6172" s="13" t="n">
        <v>180</v>
      </c>
      <c r="L6172" s="6" t="n">
        <f aca="false">H6172*K6172</f>
        <v>1080</v>
      </c>
      <c r="M6172" s="14" t="s">
        <v>410</v>
      </c>
    </row>
    <row r="6173" customFormat="false" ht="15" hidden="false" customHeight="false" outlineLevel="0" collapsed="false">
      <c r="A6173" s="4" t="s">
        <v>346</v>
      </c>
      <c r="B6173" s="5" t="s">
        <v>347</v>
      </c>
      <c r="C6173" s="5" t="s">
        <v>348</v>
      </c>
      <c r="D6173" s="4" t="s">
        <v>16</v>
      </c>
      <c r="E6173" s="4" t="s">
        <v>2704</v>
      </c>
      <c r="F6173" s="4" t="s">
        <v>406</v>
      </c>
      <c r="G6173" s="4" t="s">
        <v>2705</v>
      </c>
      <c r="H6173" s="12" t="n">
        <v>3</v>
      </c>
      <c r="I6173" s="4" t="s">
        <v>474</v>
      </c>
      <c r="J6173" s="4" t="s">
        <v>409</v>
      </c>
      <c r="K6173" s="13" t="n">
        <v>120</v>
      </c>
      <c r="L6173" s="6" t="n">
        <f aca="false">H6173*K6173</f>
        <v>360</v>
      </c>
      <c r="M6173" s="14" t="s">
        <v>410</v>
      </c>
    </row>
    <row r="6174" customFormat="false" ht="15" hidden="false" customHeight="false" outlineLevel="0" collapsed="false">
      <c r="A6174" s="4" t="s">
        <v>346</v>
      </c>
      <c r="B6174" s="5" t="s">
        <v>347</v>
      </c>
      <c r="C6174" s="5" t="s">
        <v>348</v>
      </c>
      <c r="D6174" s="4" t="s">
        <v>16</v>
      </c>
      <c r="E6174" s="4" t="s">
        <v>2754</v>
      </c>
      <c r="F6174" s="4" t="s">
        <v>406</v>
      </c>
      <c r="G6174" s="4" t="s">
        <v>2755</v>
      </c>
      <c r="H6174" s="12" t="n">
        <v>1</v>
      </c>
      <c r="I6174" s="4" t="s">
        <v>474</v>
      </c>
      <c r="J6174" s="4" t="s">
        <v>416</v>
      </c>
      <c r="K6174" s="13" t="n">
        <v>1800</v>
      </c>
      <c r="L6174" s="6" t="n">
        <f aca="false">H6174*K6174</f>
        <v>1800</v>
      </c>
      <c r="M6174" s="14" t="s">
        <v>410</v>
      </c>
    </row>
    <row r="6175" customFormat="false" ht="15" hidden="false" customHeight="false" outlineLevel="0" collapsed="false">
      <c r="A6175" s="4" t="s">
        <v>346</v>
      </c>
      <c r="B6175" s="5" t="s">
        <v>347</v>
      </c>
      <c r="C6175" s="5" t="s">
        <v>348</v>
      </c>
      <c r="D6175" s="4" t="s">
        <v>16</v>
      </c>
      <c r="E6175" s="4" t="s">
        <v>2756</v>
      </c>
      <c r="F6175" s="4" t="s">
        <v>406</v>
      </c>
      <c r="G6175" s="4" t="s">
        <v>2757</v>
      </c>
      <c r="H6175" s="12" t="n">
        <v>6</v>
      </c>
      <c r="I6175" s="4" t="s">
        <v>474</v>
      </c>
      <c r="J6175" s="4" t="s">
        <v>409</v>
      </c>
      <c r="K6175" s="13" t="n">
        <v>350</v>
      </c>
      <c r="L6175" s="6" t="n">
        <f aca="false">H6175*K6175</f>
        <v>2100</v>
      </c>
      <c r="M6175" s="14" t="s">
        <v>410</v>
      </c>
    </row>
    <row r="6176" customFormat="false" ht="15" hidden="false" customHeight="false" outlineLevel="0" collapsed="false">
      <c r="A6176" s="4" t="s">
        <v>346</v>
      </c>
      <c r="B6176" s="5" t="s">
        <v>347</v>
      </c>
      <c r="C6176" s="5" t="s">
        <v>348</v>
      </c>
      <c r="D6176" s="4" t="s">
        <v>16</v>
      </c>
      <c r="E6176" s="4" t="s">
        <v>2758</v>
      </c>
      <c r="F6176" s="4" t="s">
        <v>406</v>
      </c>
      <c r="G6176" s="4" t="s">
        <v>2759</v>
      </c>
      <c r="H6176" s="12" t="n">
        <v>4</v>
      </c>
      <c r="I6176" s="4" t="s">
        <v>474</v>
      </c>
      <c r="J6176" s="4" t="s">
        <v>416</v>
      </c>
      <c r="K6176" s="13" t="n">
        <v>450</v>
      </c>
      <c r="L6176" s="6" t="n">
        <f aca="false">H6176*K6176</f>
        <v>1800</v>
      </c>
      <c r="M6176" s="14" t="s">
        <v>410</v>
      </c>
    </row>
    <row r="6177" customFormat="false" ht="15" hidden="false" customHeight="false" outlineLevel="0" collapsed="false">
      <c r="A6177" s="4" t="s">
        <v>346</v>
      </c>
      <c r="B6177" s="5" t="s">
        <v>347</v>
      </c>
      <c r="C6177" s="5" t="s">
        <v>348</v>
      </c>
      <c r="D6177" s="4" t="s">
        <v>16</v>
      </c>
      <c r="E6177" s="4" t="s">
        <v>2760</v>
      </c>
      <c r="F6177" s="4" t="s">
        <v>406</v>
      </c>
      <c r="G6177" s="4" t="s">
        <v>2761</v>
      </c>
      <c r="H6177" s="12" t="n">
        <v>2</v>
      </c>
      <c r="I6177" s="4" t="s">
        <v>474</v>
      </c>
      <c r="J6177" s="4" t="s">
        <v>409</v>
      </c>
      <c r="K6177" s="13" t="n">
        <v>150</v>
      </c>
      <c r="L6177" s="6" t="n">
        <f aca="false">H6177*K6177</f>
        <v>300</v>
      </c>
      <c r="M6177" s="14" t="s">
        <v>410</v>
      </c>
    </row>
    <row r="6178" customFormat="false" ht="15" hidden="false" customHeight="false" outlineLevel="0" collapsed="false">
      <c r="A6178" s="4" t="s">
        <v>346</v>
      </c>
      <c r="B6178" s="5" t="s">
        <v>347</v>
      </c>
      <c r="C6178" s="5" t="s">
        <v>348</v>
      </c>
      <c r="D6178" s="4" t="s">
        <v>16</v>
      </c>
      <c r="E6178" s="4" t="s">
        <v>2762</v>
      </c>
      <c r="F6178" s="4" t="s">
        <v>406</v>
      </c>
      <c r="G6178" s="4" t="s">
        <v>2763</v>
      </c>
      <c r="H6178" s="12" t="n">
        <v>2</v>
      </c>
      <c r="I6178" s="4" t="s">
        <v>474</v>
      </c>
      <c r="J6178" s="4" t="s">
        <v>409</v>
      </c>
      <c r="K6178" s="13" t="n">
        <v>120</v>
      </c>
      <c r="L6178" s="6" t="n">
        <f aca="false">H6178*K6178</f>
        <v>240</v>
      </c>
      <c r="M6178" s="14" t="s">
        <v>410</v>
      </c>
    </row>
    <row r="6179" customFormat="false" ht="15" hidden="false" customHeight="false" outlineLevel="0" collapsed="false">
      <c r="A6179" s="4" t="s">
        <v>346</v>
      </c>
      <c r="B6179" s="5" t="s">
        <v>347</v>
      </c>
      <c r="C6179" s="5" t="s">
        <v>348</v>
      </c>
      <c r="D6179" s="4" t="s">
        <v>16</v>
      </c>
      <c r="E6179" s="4" t="s">
        <v>2764</v>
      </c>
      <c r="F6179" s="4" t="s">
        <v>406</v>
      </c>
      <c r="G6179" s="4" t="s">
        <v>2765</v>
      </c>
      <c r="H6179" s="12" t="n">
        <v>2</v>
      </c>
      <c r="I6179" s="4" t="s">
        <v>474</v>
      </c>
      <c r="J6179" s="4" t="s">
        <v>409</v>
      </c>
      <c r="K6179" s="13" t="n">
        <v>250</v>
      </c>
      <c r="L6179" s="6" t="n">
        <f aca="false">H6179*K6179</f>
        <v>500</v>
      </c>
      <c r="M6179" s="14" t="s">
        <v>410</v>
      </c>
    </row>
    <row r="6180" customFormat="false" ht="15" hidden="false" customHeight="false" outlineLevel="0" collapsed="false">
      <c r="A6180" s="4" t="s">
        <v>346</v>
      </c>
      <c r="B6180" s="5" t="s">
        <v>347</v>
      </c>
      <c r="C6180" s="5" t="s">
        <v>348</v>
      </c>
      <c r="D6180" s="4" t="s">
        <v>16</v>
      </c>
      <c r="E6180" s="4" t="s">
        <v>2766</v>
      </c>
      <c r="F6180" s="4" t="s">
        <v>406</v>
      </c>
      <c r="G6180" s="4" t="s">
        <v>2767</v>
      </c>
      <c r="H6180" s="12" t="n">
        <v>2</v>
      </c>
      <c r="I6180" s="4" t="s">
        <v>474</v>
      </c>
      <c r="J6180" s="4" t="s">
        <v>409</v>
      </c>
      <c r="K6180" s="13" t="n">
        <v>350</v>
      </c>
      <c r="L6180" s="6" t="n">
        <f aca="false">H6180*K6180</f>
        <v>700</v>
      </c>
      <c r="M6180" s="14" t="s">
        <v>410</v>
      </c>
    </row>
    <row r="6181" customFormat="false" ht="15" hidden="false" customHeight="false" outlineLevel="0" collapsed="false">
      <c r="A6181" s="4" t="s">
        <v>346</v>
      </c>
      <c r="B6181" s="5" t="s">
        <v>347</v>
      </c>
      <c r="C6181" s="5" t="s">
        <v>348</v>
      </c>
      <c r="D6181" s="4" t="s">
        <v>16</v>
      </c>
      <c r="E6181" s="4" t="s">
        <v>2768</v>
      </c>
      <c r="F6181" s="4" t="s">
        <v>406</v>
      </c>
      <c r="G6181" s="4" t="s">
        <v>2769</v>
      </c>
      <c r="H6181" s="12" t="n">
        <v>6</v>
      </c>
      <c r="I6181" s="4" t="s">
        <v>474</v>
      </c>
      <c r="J6181" s="4" t="s">
        <v>409</v>
      </c>
      <c r="K6181" s="13" t="n">
        <v>450</v>
      </c>
      <c r="L6181" s="6" t="n">
        <f aca="false">H6181*K6181</f>
        <v>2700</v>
      </c>
      <c r="M6181" s="4" t="s">
        <v>371</v>
      </c>
    </row>
    <row r="6182" customFormat="false" ht="15" hidden="false" customHeight="false" outlineLevel="0" collapsed="false">
      <c r="A6182" s="4" t="s">
        <v>346</v>
      </c>
      <c r="B6182" s="5" t="s">
        <v>347</v>
      </c>
      <c r="C6182" s="5" t="s">
        <v>348</v>
      </c>
      <c r="D6182" s="4" t="s">
        <v>16</v>
      </c>
      <c r="E6182" s="4" t="s">
        <v>2770</v>
      </c>
      <c r="F6182" s="4" t="s">
        <v>406</v>
      </c>
      <c r="G6182" s="4" t="s">
        <v>2771</v>
      </c>
      <c r="H6182" s="12" t="n">
        <v>2</v>
      </c>
      <c r="I6182" s="4" t="s">
        <v>474</v>
      </c>
      <c r="J6182" s="4" t="s">
        <v>409</v>
      </c>
      <c r="K6182" s="13" t="n">
        <v>850</v>
      </c>
      <c r="L6182" s="6" t="n">
        <f aca="false">H6182*K6182</f>
        <v>1700</v>
      </c>
      <c r="M6182" s="4" t="s">
        <v>371</v>
      </c>
    </row>
    <row r="6183" customFormat="false" ht="15" hidden="false" customHeight="false" outlineLevel="0" collapsed="false">
      <c r="A6183" s="4" t="s">
        <v>346</v>
      </c>
      <c r="B6183" s="5" t="s">
        <v>347</v>
      </c>
      <c r="C6183" s="5" t="s">
        <v>348</v>
      </c>
      <c r="D6183" s="4" t="s">
        <v>16</v>
      </c>
      <c r="E6183" s="4" t="s">
        <v>2772</v>
      </c>
      <c r="F6183" s="4" t="s">
        <v>406</v>
      </c>
      <c r="G6183" s="4" t="s">
        <v>2773</v>
      </c>
      <c r="H6183" s="12" t="n">
        <v>1</v>
      </c>
      <c r="I6183" s="4" t="s">
        <v>474</v>
      </c>
      <c r="J6183" s="4" t="s">
        <v>409</v>
      </c>
      <c r="K6183" s="13" t="n">
        <v>1200</v>
      </c>
      <c r="L6183" s="6" t="n">
        <f aca="false">H6183*K6183</f>
        <v>1200</v>
      </c>
      <c r="M6183" s="4" t="s">
        <v>371</v>
      </c>
    </row>
    <row r="6184" customFormat="false" ht="15" hidden="false" customHeight="false" outlineLevel="0" collapsed="false">
      <c r="A6184" s="4" t="s">
        <v>346</v>
      </c>
      <c r="B6184" s="5" t="s">
        <v>347</v>
      </c>
      <c r="C6184" s="5" t="s">
        <v>348</v>
      </c>
      <c r="D6184" s="4" t="s">
        <v>16</v>
      </c>
      <c r="E6184" s="4" t="s">
        <v>2774</v>
      </c>
      <c r="F6184" s="4" t="s">
        <v>406</v>
      </c>
      <c r="G6184" s="4" t="s">
        <v>2775</v>
      </c>
      <c r="H6184" s="12" t="n">
        <v>1</v>
      </c>
      <c r="I6184" s="4" t="s">
        <v>474</v>
      </c>
      <c r="J6184" s="4" t="s">
        <v>409</v>
      </c>
      <c r="K6184" s="13" t="n">
        <v>450</v>
      </c>
      <c r="L6184" s="6" t="n">
        <f aca="false">H6184*K6184</f>
        <v>450</v>
      </c>
      <c r="M6184" s="14" t="s">
        <v>410</v>
      </c>
    </row>
    <row r="6185" customFormat="false" ht="15" hidden="false" customHeight="false" outlineLevel="0" collapsed="false">
      <c r="A6185" s="4" t="s">
        <v>346</v>
      </c>
      <c r="B6185" s="5" t="s">
        <v>347</v>
      </c>
      <c r="C6185" s="5" t="s">
        <v>348</v>
      </c>
      <c r="D6185" s="4" t="s">
        <v>16</v>
      </c>
      <c r="E6185" s="4" t="s">
        <v>2776</v>
      </c>
      <c r="F6185" s="4" t="s">
        <v>406</v>
      </c>
      <c r="G6185" s="4" t="s">
        <v>2777</v>
      </c>
      <c r="H6185" s="12" t="n">
        <v>10</v>
      </c>
      <c r="I6185" s="4" t="s">
        <v>474</v>
      </c>
      <c r="J6185" s="4" t="s">
        <v>409</v>
      </c>
      <c r="K6185" s="13" t="n">
        <v>450</v>
      </c>
      <c r="L6185" s="6" t="n">
        <f aca="false">H6185*K6185</f>
        <v>4500</v>
      </c>
      <c r="M6185" s="14" t="s">
        <v>410</v>
      </c>
    </row>
    <row r="6186" customFormat="false" ht="15" hidden="false" customHeight="false" outlineLevel="0" collapsed="false">
      <c r="A6186" s="4" t="s">
        <v>346</v>
      </c>
      <c r="B6186" s="5" t="s">
        <v>347</v>
      </c>
      <c r="C6186" s="5" t="s">
        <v>348</v>
      </c>
      <c r="D6186" s="4" t="s">
        <v>16</v>
      </c>
      <c r="E6186" s="4" t="s">
        <v>2778</v>
      </c>
      <c r="F6186" s="4" t="s">
        <v>406</v>
      </c>
      <c r="G6186" s="4" t="s">
        <v>2779</v>
      </c>
      <c r="H6186" s="12" t="n">
        <v>10</v>
      </c>
      <c r="I6186" s="4" t="s">
        <v>474</v>
      </c>
      <c r="J6186" s="4" t="s">
        <v>409</v>
      </c>
      <c r="K6186" s="13" t="n">
        <v>450</v>
      </c>
      <c r="L6186" s="6" t="n">
        <f aca="false">H6186*K6186</f>
        <v>4500</v>
      </c>
      <c r="M6186" s="14" t="s">
        <v>410</v>
      </c>
    </row>
    <row r="6187" customFormat="false" ht="15" hidden="false" customHeight="false" outlineLevel="0" collapsed="false">
      <c r="A6187" s="4" t="s">
        <v>346</v>
      </c>
      <c r="B6187" s="5" t="s">
        <v>347</v>
      </c>
      <c r="C6187" s="5" t="s">
        <v>348</v>
      </c>
      <c r="D6187" s="4" t="s">
        <v>16</v>
      </c>
      <c r="E6187" s="4" t="s">
        <v>2780</v>
      </c>
      <c r="F6187" s="4" t="s">
        <v>406</v>
      </c>
      <c r="G6187" s="4" t="s">
        <v>2781</v>
      </c>
      <c r="H6187" s="12" t="n">
        <v>4</v>
      </c>
      <c r="I6187" s="4" t="s">
        <v>474</v>
      </c>
      <c r="J6187" s="4" t="s">
        <v>409</v>
      </c>
      <c r="K6187" s="13" t="n">
        <v>250</v>
      </c>
      <c r="L6187" s="6" t="n">
        <f aca="false">H6187*K6187</f>
        <v>1000</v>
      </c>
      <c r="M6187" s="14" t="s">
        <v>410</v>
      </c>
    </row>
    <row r="6188" customFormat="false" ht="15" hidden="false" customHeight="false" outlineLevel="0" collapsed="false">
      <c r="A6188" s="4" t="s">
        <v>346</v>
      </c>
      <c r="B6188" s="5" t="s">
        <v>347</v>
      </c>
      <c r="C6188" s="5" t="s">
        <v>348</v>
      </c>
      <c r="D6188" s="4" t="s">
        <v>16</v>
      </c>
      <c r="E6188" s="4" t="s">
        <v>2782</v>
      </c>
      <c r="F6188" s="4" t="s">
        <v>406</v>
      </c>
      <c r="G6188" s="4" t="s">
        <v>2783</v>
      </c>
      <c r="H6188" s="12" t="n">
        <v>12</v>
      </c>
      <c r="I6188" s="4" t="s">
        <v>474</v>
      </c>
      <c r="J6188" s="4" t="s">
        <v>409</v>
      </c>
      <c r="K6188" s="13" t="n">
        <v>450</v>
      </c>
      <c r="L6188" s="6" t="n">
        <f aca="false">H6188*K6188</f>
        <v>5400</v>
      </c>
      <c r="M6188" s="4" t="s">
        <v>371</v>
      </c>
    </row>
    <row r="6189" customFormat="false" ht="15" hidden="false" customHeight="false" outlineLevel="0" collapsed="false">
      <c r="A6189" s="4" t="s">
        <v>346</v>
      </c>
      <c r="B6189" s="5" t="s">
        <v>347</v>
      </c>
      <c r="C6189" s="5" t="s">
        <v>348</v>
      </c>
      <c r="D6189" s="4" t="s">
        <v>16</v>
      </c>
      <c r="E6189" s="4" t="s">
        <v>2784</v>
      </c>
      <c r="F6189" s="4" t="s">
        <v>406</v>
      </c>
      <c r="G6189" s="4" t="s">
        <v>2785</v>
      </c>
      <c r="H6189" s="12" t="n">
        <v>12</v>
      </c>
      <c r="I6189" s="4" t="s">
        <v>474</v>
      </c>
      <c r="J6189" s="4" t="s">
        <v>409</v>
      </c>
      <c r="K6189" s="13" t="n">
        <v>350</v>
      </c>
      <c r="L6189" s="6" t="n">
        <f aca="false">H6189*K6189</f>
        <v>4200</v>
      </c>
      <c r="M6189" s="4" t="s">
        <v>371</v>
      </c>
    </row>
    <row r="6190" customFormat="false" ht="15" hidden="false" customHeight="false" outlineLevel="0" collapsed="false">
      <c r="A6190" s="4" t="s">
        <v>346</v>
      </c>
      <c r="B6190" s="5" t="s">
        <v>347</v>
      </c>
      <c r="C6190" s="5" t="s">
        <v>348</v>
      </c>
      <c r="D6190" s="4" t="s">
        <v>16</v>
      </c>
      <c r="E6190" s="4" t="s">
        <v>2786</v>
      </c>
      <c r="F6190" s="4" t="s">
        <v>406</v>
      </c>
      <c r="G6190" s="4" t="s">
        <v>2787</v>
      </c>
      <c r="H6190" s="12" t="n">
        <v>6</v>
      </c>
      <c r="I6190" s="4" t="s">
        <v>474</v>
      </c>
      <c r="J6190" s="4" t="s">
        <v>409</v>
      </c>
      <c r="K6190" s="13" t="n">
        <v>450</v>
      </c>
      <c r="L6190" s="6" t="n">
        <f aca="false">H6190*K6190</f>
        <v>2700</v>
      </c>
      <c r="M6190" s="4" t="s">
        <v>371</v>
      </c>
    </row>
    <row r="6191" customFormat="false" ht="15" hidden="false" customHeight="false" outlineLevel="0" collapsed="false">
      <c r="A6191" s="4" t="s">
        <v>346</v>
      </c>
      <c r="B6191" s="5" t="s">
        <v>347</v>
      </c>
      <c r="C6191" s="5" t="s">
        <v>348</v>
      </c>
      <c r="D6191" s="4" t="s">
        <v>16</v>
      </c>
      <c r="E6191" s="4" t="s">
        <v>2788</v>
      </c>
      <c r="F6191" s="4" t="s">
        <v>406</v>
      </c>
      <c r="G6191" s="4" t="s">
        <v>2789</v>
      </c>
      <c r="H6191" s="12" t="n">
        <v>6</v>
      </c>
      <c r="I6191" s="4" t="s">
        <v>474</v>
      </c>
      <c r="J6191" s="4" t="s">
        <v>409</v>
      </c>
      <c r="K6191" s="13" t="n">
        <v>450</v>
      </c>
      <c r="L6191" s="6" t="n">
        <f aca="false">H6191*K6191</f>
        <v>2700</v>
      </c>
      <c r="M6191" s="14" t="s">
        <v>410</v>
      </c>
    </row>
    <row r="6192" customFormat="false" ht="15" hidden="false" customHeight="false" outlineLevel="0" collapsed="false">
      <c r="A6192" s="4" t="s">
        <v>346</v>
      </c>
      <c r="B6192" s="5" t="s">
        <v>347</v>
      </c>
      <c r="C6192" s="5" t="s">
        <v>348</v>
      </c>
      <c r="D6192" s="4" t="s">
        <v>16</v>
      </c>
      <c r="E6192" s="4" t="s">
        <v>2790</v>
      </c>
      <c r="F6192" s="4" t="s">
        <v>406</v>
      </c>
      <c r="G6192" s="4" t="s">
        <v>2791</v>
      </c>
      <c r="H6192" s="12" t="n">
        <v>6</v>
      </c>
      <c r="I6192" s="4" t="s">
        <v>474</v>
      </c>
      <c r="J6192" s="4" t="s">
        <v>409</v>
      </c>
      <c r="K6192" s="13" t="n">
        <v>850</v>
      </c>
      <c r="L6192" s="6" t="n">
        <f aca="false">H6192*K6192</f>
        <v>5100</v>
      </c>
      <c r="M6192" s="14" t="s">
        <v>410</v>
      </c>
    </row>
    <row r="6193" customFormat="false" ht="15" hidden="false" customHeight="false" outlineLevel="0" collapsed="false">
      <c r="A6193" s="4" t="s">
        <v>346</v>
      </c>
      <c r="B6193" s="5" t="s">
        <v>347</v>
      </c>
      <c r="C6193" s="5" t="s">
        <v>348</v>
      </c>
      <c r="D6193" s="4" t="s">
        <v>16</v>
      </c>
      <c r="E6193" s="4" t="s">
        <v>2792</v>
      </c>
      <c r="F6193" s="4" t="s">
        <v>406</v>
      </c>
      <c r="G6193" s="4" t="s">
        <v>2793</v>
      </c>
      <c r="H6193" s="12" t="n">
        <v>12</v>
      </c>
      <c r="I6193" s="4" t="s">
        <v>474</v>
      </c>
      <c r="J6193" s="4" t="s">
        <v>409</v>
      </c>
      <c r="K6193" s="13" t="n">
        <v>350</v>
      </c>
      <c r="L6193" s="6" t="n">
        <f aca="false">H6193*K6193</f>
        <v>4200</v>
      </c>
      <c r="M6193" s="14" t="s">
        <v>410</v>
      </c>
    </row>
    <row r="6194" customFormat="false" ht="15" hidden="false" customHeight="false" outlineLevel="0" collapsed="false">
      <c r="A6194" s="4" t="s">
        <v>346</v>
      </c>
      <c r="B6194" s="5" t="s">
        <v>347</v>
      </c>
      <c r="C6194" s="5" t="s">
        <v>348</v>
      </c>
      <c r="D6194" s="4" t="s">
        <v>16</v>
      </c>
      <c r="E6194" s="4" t="s">
        <v>2708</v>
      </c>
      <c r="F6194" s="4" t="s">
        <v>406</v>
      </c>
      <c r="G6194" s="4" t="s">
        <v>2709</v>
      </c>
      <c r="H6194" s="12" t="n">
        <v>2</v>
      </c>
      <c r="I6194" s="4" t="s">
        <v>474</v>
      </c>
      <c r="J6194" s="4" t="s">
        <v>409</v>
      </c>
      <c r="K6194" s="13" t="n">
        <v>850</v>
      </c>
      <c r="L6194" s="6" t="n">
        <f aca="false">H6194*K6194</f>
        <v>1700</v>
      </c>
      <c r="M6194" s="14" t="s">
        <v>410</v>
      </c>
    </row>
    <row r="6195" customFormat="false" ht="15" hidden="false" customHeight="false" outlineLevel="0" collapsed="false">
      <c r="A6195" s="4" t="s">
        <v>346</v>
      </c>
      <c r="B6195" s="5" t="s">
        <v>347</v>
      </c>
      <c r="C6195" s="5" t="s">
        <v>348</v>
      </c>
      <c r="D6195" s="4" t="s">
        <v>16</v>
      </c>
      <c r="E6195" s="4" t="s">
        <v>2794</v>
      </c>
      <c r="F6195" s="4" t="s">
        <v>470</v>
      </c>
      <c r="G6195" s="4" t="s">
        <v>2795</v>
      </c>
      <c r="H6195" s="12" t="n">
        <v>1</v>
      </c>
      <c r="I6195" s="4" t="s">
        <v>474</v>
      </c>
      <c r="J6195" s="4" t="s">
        <v>416</v>
      </c>
      <c r="K6195" s="13" t="n">
        <v>65000</v>
      </c>
      <c r="L6195" s="6" t="n">
        <f aca="false">H6195*K6195</f>
        <v>65000</v>
      </c>
      <c r="M6195" s="4" t="s">
        <v>371</v>
      </c>
    </row>
    <row r="6196" customFormat="false" ht="15" hidden="false" customHeight="false" outlineLevel="0" collapsed="false">
      <c r="A6196" s="4" t="s">
        <v>346</v>
      </c>
      <c r="B6196" s="5" t="s">
        <v>347</v>
      </c>
      <c r="C6196" s="5" t="s">
        <v>348</v>
      </c>
      <c r="D6196" s="4" t="s">
        <v>16</v>
      </c>
      <c r="E6196" s="4" t="s">
        <v>2796</v>
      </c>
      <c r="F6196" s="4" t="s">
        <v>470</v>
      </c>
      <c r="G6196" s="4" t="s">
        <v>2797</v>
      </c>
      <c r="H6196" s="12" t="n">
        <v>3</v>
      </c>
      <c r="I6196" s="4" t="s">
        <v>474</v>
      </c>
      <c r="J6196" s="4" t="s">
        <v>409</v>
      </c>
      <c r="K6196" s="13" t="n">
        <v>8500</v>
      </c>
      <c r="L6196" s="6" t="n">
        <f aca="false">H6196*K6196</f>
        <v>25500</v>
      </c>
      <c r="M6196" s="4" t="s">
        <v>371</v>
      </c>
    </row>
    <row r="6197" customFormat="false" ht="15" hidden="false" customHeight="false" outlineLevel="0" collapsed="false">
      <c r="A6197" s="4" t="s">
        <v>346</v>
      </c>
      <c r="B6197" s="5" t="s">
        <v>347</v>
      </c>
      <c r="C6197" s="5" t="s">
        <v>348</v>
      </c>
      <c r="D6197" s="4" t="s">
        <v>16</v>
      </c>
      <c r="E6197" s="4" t="s">
        <v>2798</v>
      </c>
      <c r="F6197" s="4" t="s">
        <v>470</v>
      </c>
      <c r="G6197" s="4" t="s">
        <v>2799</v>
      </c>
      <c r="H6197" s="12" t="n">
        <v>12</v>
      </c>
      <c r="I6197" s="4" t="s">
        <v>474</v>
      </c>
      <c r="J6197" s="4" t="s">
        <v>409</v>
      </c>
      <c r="K6197" s="13" t="n">
        <v>2500</v>
      </c>
      <c r="L6197" s="6" t="n">
        <f aca="false">H6197*K6197</f>
        <v>30000</v>
      </c>
      <c r="M6197" s="4" t="s">
        <v>371</v>
      </c>
    </row>
    <row r="6198" customFormat="false" ht="15" hidden="false" customHeight="false" outlineLevel="0" collapsed="false">
      <c r="A6198" s="4" t="s">
        <v>346</v>
      </c>
      <c r="B6198" s="5" t="s">
        <v>347</v>
      </c>
      <c r="C6198" s="5" t="s">
        <v>348</v>
      </c>
      <c r="D6198" s="4" t="s">
        <v>16</v>
      </c>
      <c r="E6198" s="4" t="s">
        <v>2800</v>
      </c>
      <c r="F6198" s="4" t="s">
        <v>470</v>
      </c>
      <c r="G6198" s="4" t="s">
        <v>2801</v>
      </c>
      <c r="H6198" s="12" t="n">
        <v>1</v>
      </c>
      <c r="I6198" s="4" t="s">
        <v>474</v>
      </c>
      <c r="J6198" s="4" t="s">
        <v>409</v>
      </c>
      <c r="K6198" s="13" t="n">
        <v>8500</v>
      </c>
      <c r="L6198" s="6" t="n">
        <f aca="false">H6198*K6198</f>
        <v>8500</v>
      </c>
      <c r="M6198" s="4" t="s">
        <v>371</v>
      </c>
    </row>
    <row r="6199" customFormat="false" ht="15" hidden="false" customHeight="false" outlineLevel="0" collapsed="false">
      <c r="A6199" s="4" t="s">
        <v>346</v>
      </c>
      <c r="B6199" s="5" t="s">
        <v>347</v>
      </c>
      <c r="C6199" s="5" t="s">
        <v>348</v>
      </c>
      <c r="D6199" s="4" t="s">
        <v>16</v>
      </c>
      <c r="E6199" s="4" t="s">
        <v>2802</v>
      </c>
      <c r="F6199" s="4" t="s">
        <v>470</v>
      </c>
      <c r="G6199" s="4" t="s">
        <v>2803</v>
      </c>
      <c r="H6199" s="12" t="n">
        <v>1</v>
      </c>
      <c r="I6199" s="4" t="s">
        <v>474</v>
      </c>
      <c r="J6199" s="4" t="s">
        <v>409</v>
      </c>
      <c r="K6199" s="13" t="n">
        <v>35000</v>
      </c>
      <c r="L6199" s="6" t="n">
        <f aca="false">H6199*K6199</f>
        <v>35000</v>
      </c>
      <c r="M6199" s="4" t="s">
        <v>371</v>
      </c>
    </row>
    <row r="6200" customFormat="false" ht="15" hidden="false" customHeight="false" outlineLevel="0" collapsed="false">
      <c r="A6200" s="4" t="s">
        <v>346</v>
      </c>
      <c r="B6200" s="5" t="s">
        <v>347</v>
      </c>
      <c r="C6200" s="5" t="s">
        <v>348</v>
      </c>
      <c r="D6200" s="4" t="s">
        <v>16</v>
      </c>
      <c r="E6200" s="4" t="s">
        <v>2804</v>
      </c>
      <c r="F6200" s="4" t="s">
        <v>470</v>
      </c>
      <c r="G6200" s="4" t="s">
        <v>2805</v>
      </c>
      <c r="H6200" s="12" t="n">
        <v>1</v>
      </c>
      <c r="I6200" s="4" t="s">
        <v>474</v>
      </c>
      <c r="J6200" s="4" t="s">
        <v>409</v>
      </c>
      <c r="K6200" s="13" t="n">
        <v>25000</v>
      </c>
      <c r="L6200" s="6" t="n">
        <f aca="false">H6200*K6200</f>
        <v>25000</v>
      </c>
      <c r="M6200" s="4" t="s">
        <v>371</v>
      </c>
    </row>
    <row r="6201" customFormat="false" ht="15" hidden="false" customHeight="false" outlineLevel="0" collapsed="false">
      <c r="A6201" s="4" t="s">
        <v>346</v>
      </c>
      <c r="B6201" s="5" t="s">
        <v>347</v>
      </c>
      <c r="C6201" s="5" t="s">
        <v>348</v>
      </c>
      <c r="D6201" s="4" t="s">
        <v>16</v>
      </c>
      <c r="E6201" s="4" t="s">
        <v>2806</v>
      </c>
      <c r="F6201" s="4" t="s">
        <v>470</v>
      </c>
      <c r="G6201" s="4" t="s">
        <v>2807</v>
      </c>
      <c r="H6201" s="12" t="n">
        <v>1</v>
      </c>
      <c r="I6201" s="4" t="s">
        <v>474</v>
      </c>
      <c r="J6201" s="4" t="s">
        <v>409</v>
      </c>
      <c r="K6201" s="13" t="n">
        <v>12000</v>
      </c>
      <c r="L6201" s="6" t="n">
        <f aca="false">H6201*K6201</f>
        <v>12000</v>
      </c>
      <c r="M6201" s="4" t="s">
        <v>371</v>
      </c>
    </row>
    <row r="6202" customFormat="false" ht="15" hidden="false" customHeight="false" outlineLevel="0" collapsed="false">
      <c r="A6202" s="4" t="s">
        <v>346</v>
      </c>
      <c r="B6202" s="5" t="s">
        <v>347</v>
      </c>
      <c r="C6202" s="5" t="s">
        <v>348</v>
      </c>
      <c r="D6202" s="4" t="s">
        <v>16</v>
      </c>
      <c r="E6202" s="4" t="s">
        <v>2811</v>
      </c>
      <c r="F6202" s="4" t="s">
        <v>488</v>
      </c>
      <c r="G6202" s="4" t="s">
        <v>2812</v>
      </c>
      <c r="H6202" s="12" t="n">
        <v>6</v>
      </c>
      <c r="I6202" s="4" t="s">
        <v>474</v>
      </c>
      <c r="J6202" s="4" t="s">
        <v>409</v>
      </c>
      <c r="K6202" s="13" t="n">
        <v>450</v>
      </c>
      <c r="L6202" s="6" t="n">
        <f aca="false">H6202*K6202</f>
        <v>2700</v>
      </c>
      <c r="M6202" s="4" t="s">
        <v>371</v>
      </c>
    </row>
    <row r="6203" customFormat="false" ht="15" hidden="false" customHeight="false" outlineLevel="0" collapsed="false">
      <c r="A6203" s="4" t="s">
        <v>346</v>
      </c>
      <c r="B6203" s="5" t="s">
        <v>347</v>
      </c>
      <c r="C6203" s="5" t="s">
        <v>348</v>
      </c>
      <c r="D6203" s="4" t="s">
        <v>16</v>
      </c>
      <c r="E6203" s="4" t="s">
        <v>2813</v>
      </c>
      <c r="F6203" s="4" t="s">
        <v>488</v>
      </c>
      <c r="G6203" s="4" t="s">
        <v>2814</v>
      </c>
      <c r="H6203" s="12" t="n">
        <v>36</v>
      </c>
      <c r="I6203" s="4" t="s">
        <v>474</v>
      </c>
      <c r="J6203" s="4" t="s">
        <v>2815</v>
      </c>
      <c r="K6203" s="13" t="n">
        <v>350</v>
      </c>
      <c r="L6203" s="6" t="n">
        <f aca="false">H6203*K6203</f>
        <v>12600</v>
      </c>
      <c r="M6203" s="4" t="s">
        <v>371</v>
      </c>
    </row>
    <row r="6204" customFormat="false" ht="15" hidden="false" customHeight="false" outlineLevel="0" collapsed="false">
      <c r="A6204" s="4" t="s">
        <v>346</v>
      </c>
      <c r="B6204" s="5" t="s">
        <v>347</v>
      </c>
      <c r="C6204" s="5" t="s">
        <v>348</v>
      </c>
      <c r="D6204" s="4" t="s">
        <v>16</v>
      </c>
      <c r="E6204" s="4" t="s">
        <v>2808</v>
      </c>
      <c r="F6204" s="4" t="s">
        <v>470</v>
      </c>
      <c r="G6204" s="4" t="s">
        <v>2809</v>
      </c>
      <c r="H6204" s="12" t="n">
        <v>1</v>
      </c>
      <c r="I6204" s="4" t="s">
        <v>474</v>
      </c>
      <c r="J6204" s="4" t="s">
        <v>2810</v>
      </c>
      <c r="K6204" s="13" t="n">
        <v>0</v>
      </c>
      <c r="L6204" s="6" t="n">
        <f aca="false">H6204*K6204</f>
        <v>0</v>
      </c>
      <c r="M6204" s="4" t="s">
        <v>371</v>
      </c>
    </row>
    <row r="6205" customFormat="false" ht="23.85" hidden="false" customHeight="false" outlineLevel="0" collapsed="false">
      <c r="A6205" s="4" t="s">
        <v>346</v>
      </c>
      <c r="B6205" s="5" t="s">
        <v>349</v>
      </c>
      <c r="C6205" s="5" t="s">
        <v>350</v>
      </c>
      <c r="D6205" s="4" t="s">
        <v>16</v>
      </c>
      <c r="E6205" s="4" t="s">
        <v>6570</v>
      </c>
      <c r="F6205" s="4" t="s">
        <v>470</v>
      </c>
      <c r="G6205" s="4" t="s">
        <v>6571</v>
      </c>
      <c r="H6205" s="12" t="n">
        <v>1</v>
      </c>
      <c r="I6205" s="4" t="s">
        <v>408</v>
      </c>
      <c r="J6205" s="4" t="s">
        <v>409</v>
      </c>
      <c r="K6205" s="13" t="n">
        <v>45000</v>
      </c>
      <c r="L6205" s="6" t="n">
        <f aca="false">H6205*K6205</f>
        <v>45000</v>
      </c>
      <c r="M6205" s="4" t="s">
        <v>371</v>
      </c>
    </row>
    <row r="6206" customFormat="false" ht="23.85" hidden="false" customHeight="false" outlineLevel="0" collapsed="false">
      <c r="A6206" s="4" t="s">
        <v>346</v>
      </c>
      <c r="B6206" s="5" t="s">
        <v>349</v>
      </c>
      <c r="C6206" s="5" t="s">
        <v>350</v>
      </c>
      <c r="D6206" s="4" t="s">
        <v>16</v>
      </c>
      <c r="E6206" s="4" t="s">
        <v>5879</v>
      </c>
      <c r="F6206" s="4" t="s">
        <v>470</v>
      </c>
      <c r="G6206" s="4" t="s">
        <v>5880</v>
      </c>
      <c r="H6206" s="12" t="n">
        <v>1</v>
      </c>
      <c r="I6206" s="4" t="s">
        <v>408</v>
      </c>
      <c r="J6206" s="4" t="s">
        <v>416</v>
      </c>
      <c r="K6206" s="13" t="n">
        <v>8500</v>
      </c>
      <c r="L6206" s="6" t="n">
        <f aca="false">H6206*K6206</f>
        <v>8500</v>
      </c>
      <c r="M6206" s="4" t="s">
        <v>371</v>
      </c>
    </row>
    <row r="6207" customFormat="false" ht="23.85" hidden="false" customHeight="false" outlineLevel="0" collapsed="false">
      <c r="A6207" s="4" t="s">
        <v>346</v>
      </c>
      <c r="B6207" s="5" t="s">
        <v>349</v>
      </c>
      <c r="C6207" s="5" t="s">
        <v>350</v>
      </c>
      <c r="D6207" s="4" t="s">
        <v>16</v>
      </c>
      <c r="E6207" s="4" t="s">
        <v>6572</v>
      </c>
      <c r="F6207" s="4" t="s">
        <v>470</v>
      </c>
      <c r="G6207" s="4" t="s">
        <v>6573</v>
      </c>
      <c r="H6207" s="12" t="n">
        <v>1</v>
      </c>
      <c r="I6207" s="4" t="s">
        <v>408</v>
      </c>
      <c r="J6207" s="4" t="s">
        <v>416</v>
      </c>
      <c r="K6207" s="13" t="n">
        <v>850</v>
      </c>
      <c r="L6207" s="6" t="n">
        <f aca="false">H6207*K6207</f>
        <v>850</v>
      </c>
      <c r="M6207" s="4" t="s">
        <v>371</v>
      </c>
    </row>
    <row r="6208" customFormat="false" ht="23.85" hidden="false" customHeight="false" outlineLevel="0" collapsed="false">
      <c r="A6208" s="4" t="s">
        <v>346</v>
      </c>
      <c r="B6208" s="5" t="s">
        <v>349</v>
      </c>
      <c r="C6208" s="5" t="s">
        <v>350</v>
      </c>
      <c r="D6208" s="4" t="s">
        <v>16</v>
      </c>
      <c r="E6208" s="4" t="s">
        <v>6574</v>
      </c>
      <c r="F6208" s="4" t="s">
        <v>470</v>
      </c>
      <c r="G6208" s="4" t="s">
        <v>6575</v>
      </c>
      <c r="H6208" s="12" t="n">
        <v>1</v>
      </c>
      <c r="I6208" s="4" t="s">
        <v>408</v>
      </c>
      <c r="J6208" s="4" t="s">
        <v>409</v>
      </c>
      <c r="K6208" s="13" t="n">
        <v>350</v>
      </c>
      <c r="L6208" s="6" t="n">
        <f aca="false">H6208*K6208</f>
        <v>350</v>
      </c>
      <c r="M6208" s="4" t="s">
        <v>371</v>
      </c>
    </row>
    <row r="6209" customFormat="false" ht="23.85" hidden="false" customHeight="false" outlineLevel="0" collapsed="false">
      <c r="A6209" s="4" t="s">
        <v>346</v>
      </c>
      <c r="B6209" s="5" t="s">
        <v>349</v>
      </c>
      <c r="C6209" s="5" t="s">
        <v>350</v>
      </c>
      <c r="D6209" s="4" t="s">
        <v>16</v>
      </c>
      <c r="E6209" s="4" t="s">
        <v>6576</v>
      </c>
      <c r="F6209" s="4" t="s">
        <v>470</v>
      </c>
      <c r="G6209" s="4" t="s">
        <v>6577</v>
      </c>
      <c r="H6209" s="12" t="n">
        <v>1</v>
      </c>
      <c r="I6209" s="4" t="s">
        <v>408</v>
      </c>
      <c r="J6209" s="4" t="s">
        <v>409</v>
      </c>
      <c r="K6209" s="13" t="n">
        <v>15000</v>
      </c>
      <c r="L6209" s="6" t="n">
        <f aca="false">H6209*K6209</f>
        <v>15000</v>
      </c>
      <c r="M6209" s="4" t="s">
        <v>371</v>
      </c>
    </row>
    <row r="6210" customFormat="false" ht="23.85" hidden="false" customHeight="false" outlineLevel="0" collapsed="false">
      <c r="A6210" s="4" t="s">
        <v>346</v>
      </c>
      <c r="B6210" s="5" t="s">
        <v>349</v>
      </c>
      <c r="C6210" s="5" t="s">
        <v>350</v>
      </c>
      <c r="D6210" s="4" t="s">
        <v>16</v>
      </c>
      <c r="E6210" s="4" t="s">
        <v>6578</v>
      </c>
      <c r="F6210" s="4" t="s">
        <v>470</v>
      </c>
      <c r="G6210" s="4" t="s">
        <v>6579</v>
      </c>
      <c r="H6210" s="12" t="n">
        <v>1</v>
      </c>
      <c r="I6210" s="4" t="s">
        <v>408</v>
      </c>
      <c r="J6210" s="4" t="s">
        <v>416</v>
      </c>
      <c r="K6210" s="13" t="n">
        <v>850</v>
      </c>
      <c r="L6210" s="6" t="n">
        <f aca="false">H6210*K6210</f>
        <v>850</v>
      </c>
      <c r="M6210" s="4" t="s">
        <v>371</v>
      </c>
    </row>
    <row r="6211" customFormat="false" ht="23.85" hidden="false" customHeight="false" outlineLevel="0" collapsed="false">
      <c r="A6211" s="4" t="s">
        <v>346</v>
      </c>
      <c r="B6211" s="5" t="s">
        <v>349</v>
      </c>
      <c r="C6211" s="5" t="s">
        <v>350</v>
      </c>
      <c r="D6211" s="4" t="s">
        <v>16</v>
      </c>
      <c r="E6211" s="4" t="s">
        <v>6580</v>
      </c>
      <c r="F6211" s="4" t="s">
        <v>470</v>
      </c>
      <c r="G6211" s="4" t="s">
        <v>6581</v>
      </c>
      <c r="H6211" s="12" t="n">
        <v>1</v>
      </c>
      <c r="I6211" s="4" t="s">
        <v>408</v>
      </c>
      <c r="J6211" s="4" t="s">
        <v>416</v>
      </c>
      <c r="K6211" s="13" t="n">
        <v>850</v>
      </c>
      <c r="L6211" s="6" t="n">
        <f aca="false">H6211*K6211</f>
        <v>850</v>
      </c>
      <c r="M6211" s="4" t="s">
        <v>371</v>
      </c>
    </row>
    <row r="6212" customFormat="false" ht="23.85" hidden="false" customHeight="false" outlineLevel="0" collapsed="false">
      <c r="A6212" s="4" t="s">
        <v>346</v>
      </c>
      <c r="B6212" s="5" t="s">
        <v>349</v>
      </c>
      <c r="C6212" s="5" t="s">
        <v>350</v>
      </c>
      <c r="D6212" s="4" t="s">
        <v>16</v>
      </c>
      <c r="E6212" s="4" t="s">
        <v>6582</v>
      </c>
      <c r="F6212" s="4" t="s">
        <v>470</v>
      </c>
      <c r="G6212" s="4" t="s">
        <v>6583</v>
      </c>
      <c r="H6212" s="12" t="n">
        <v>1</v>
      </c>
      <c r="I6212" s="4" t="s">
        <v>408</v>
      </c>
      <c r="J6212" s="4" t="s">
        <v>506</v>
      </c>
      <c r="K6212" s="13" t="n">
        <v>450</v>
      </c>
      <c r="L6212" s="6" t="n">
        <f aca="false">H6212*K6212</f>
        <v>450</v>
      </c>
      <c r="M6212" s="4" t="s">
        <v>371</v>
      </c>
    </row>
    <row r="6213" customFormat="false" ht="23.85" hidden="false" customHeight="false" outlineLevel="0" collapsed="false">
      <c r="A6213" s="4" t="s">
        <v>346</v>
      </c>
      <c r="B6213" s="5" t="s">
        <v>349</v>
      </c>
      <c r="C6213" s="5" t="s">
        <v>350</v>
      </c>
      <c r="D6213" s="4" t="s">
        <v>16</v>
      </c>
      <c r="E6213" s="4" t="s">
        <v>6584</v>
      </c>
      <c r="F6213" s="4" t="s">
        <v>470</v>
      </c>
      <c r="G6213" s="4" t="s">
        <v>6585</v>
      </c>
      <c r="H6213" s="12" t="n">
        <v>1</v>
      </c>
      <c r="I6213" s="4" t="s">
        <v>408</v>
      </c>
      <c r="J6213" s="4" t="s">
        <v>416</v>
      </c>
      <c r="K6213" s="13" t="n">
        <v>850</v>
      </c>
      <c r="L6213" s="6" t="n">
        <f aca="false">H6213*K6213</f>
        <v>850</v>
      </c>
      <c r="M6213" s="4" t="s">
        <v>371</v>
      </c>
    </row>
    <row r="6214" customFormat="false" ht="23.85" hidden="false" customHeight="false" outlineLevel="0" collapsed="false">
      <c r="A6214" s="4" t="s">
        <v>346</v>
      </c>
      <c r="B6214" s="5" t="s">
        <v>349</v>
      </c>
      <c r="C6214" s="5" t="s">
        <v>350</v>
      </c>
      <c r="D6214" s="4" t="s">
        <v>16</v>
      </c>
      <c r="E6214" s="4" t="s">
        <v>6586</v>
      </c>
      <c r="F6214" s="4" t="s">
        <v>470</v>
      </c>
      <c r="G6214" s="4" t="s">
        <v>6587</v>
      </c>
      <c r="H6214" s="12" t="n">
        <v>1</v>
      </c>
      <c r="I6214" s="4" t="s">
        <v>408</v>
      </c>
      <c r="J6214" s="4" t="s">
        <v>409</v>
      </c>
      <c r="K6214" s="13" t="n">
        <v>120</v>
      </c>
      <c r="L6214" s="6" t="n">
        <f aca="false">H6214*K6214</f>
        <v>120</v>
      </c>
      <c r="M6214" s="4" t="s">
        <v>371</v>
      </c>
    </row>
    <row r="6215" customFormat="false" ht="23.85" hidden="false" customHeight="false" outlineLevel="0" collapsed="false">
      <c r="A6215" s="4" t="s">
        <v>346</v>
      </c>
      <c r="B6215" s="5" t="s">
        <v>349</v>
      </c>
      <c r="C6215" s="5" t="s">
        <v>350</v>
      </c>
      <c r="D6215" s="4" t="s">
        <v>16</v>
      </c>
      <c r="E6215" s="4" t="s">
        <v>6588</v>
      </c>
      <c r="F6215" s="4" t="s">
        <v>470</v>
      </c>
      <c r="G6215" s="4" t="s">
        <v>6589</v>
      </c>
      <c r="H6215" s="12" t="n">
        <v>1</v>
      </c>
      <c r="I6215" s="4" t="s">
        <v>408</v>
      </c>
      <c r="J6215" s="4" t="s">
        <v>416</v>
      </c>
      <c r="K6215" s="13" t="n">
        <v>850</v>
      </c>
      <c r="L6215" s="6" t="n">
        <f aca="false">H6215*K6215</f>
        <v>850</v>
      </c>
      <c r="M6215" s="4" t="s">
        <v>371</v>
      </c>
    </row>
    <row r="6216" customFormat="false" ht="23.85" hidden="false" customHeight="false" outlineLevel="0" collapsed="false">
      <c r="A6216" s="4" t="s">
        <v>346</v>
      </c>
      <c r="B6216" s="5" t="s">
        <v>349</v>
      </c>
      <c r="C6216" s="5" t="s">
        <v>350</v>
      </c>
      <c r="D6216" s="4" t="s">
        <v>16</v>
      </c>
      <c r="E6216" s="4" t="s">
        <v>6590</v>
      </c>
      <c r="F6216" s="4" t="s">
        <v>470</v>
      </c>
      <c r="G6216" s="4" t="s">
        <v>6591</v>
      </c>
      <c r="H6216" s="12" t="n">
        <v>1</v>
      </c>
      <c r="I6216" s="4" t="s">
        <v>408</v>
      </c>
      <c r="J6216" s="4" t="s">
        <v>409</v>
      </c>
      <c r="K6216" s="13" t="n">
        <v>250</v>
      </c>
      <c r="L6216" s="6" t="n">
        <f aca="false">H6216*K6216</f>
        <v>250</v>
      </c>
      <c r="M6216" s="4" t="s">
        <v>371</v>
      </c>
    </row>
    <row r="6217" customFormat="false" ht="23.85" hidden="false" customHeight="false" outlineLevel="0" collapsed="false">
      <c r="A6217" s="4" t="s">
        <v>346</v>
      </c>
      <c r="B6217" s="5" t="s">
        <v>349</v>
      </c>
      <c r="C6217" s="5" t="s">
        <v>350</v>
      </c>
      <c r="D6217" s="4" t="s">
        <v>16</v>
      </c>
      <c r="E6217" s="4" t="s">
        <v>6592</v>
      </c>
      <c r="F6217" s="4" t="s">
        <v>470</v>
      </c>
      <c r="G6217" s="4" t="s">
        <v>6593</v>
      </c>
      <c r="H6217" s="12" t="n">
        <v>1</v>
      </c>
      <c r="I6217" s="4" t="s">
        <v>408</v>
      </c>
      <c r="J6217" s="4" t="s">
        <v>409</v>
      </c>
      <c r="K6217" s="13" t="n">
        <v>650</v>
      </c>
      <c r="L6217" s="6" t="n">
        <f aca="false">H6217*K6217</f>
        <v>650</v>
      </c>
      <c r="M6217" s="4" t="s">
        <v>371</v>
      </c>
    </row>
    <row r="6218" customFormat="false" ht="23.85" hidden="false" customHeight="false" outlineLevel="0" collapsed="false">
      <c r="A6218" s="4" t="s">
        <v>346</v>
      </c>
      <c r="B6218" s="5" t="s">
        <v>349</v>
      </c>
      <c r="C6218" s="5" t="s">
        <v>350</v>
      </c>
      <c r="D6218" s="4" t="s">
        <v>16</v>
      </c>
      <c r="E6218" s="4" t="s">
        <v>6594</v>
      </c>
      <c r="F6218" s="4" t="s">
        <v>470</v>
      </c>
      <c r="G6218" s="4" t="s">
        <v>6595</v>
      </c>
      <c r="H6218" s="12" t="n">
        <v>1</v>
      </c>
      <c r="I6218" s="4" t="s">
        <v>408</v>
      </c>
      <c r="J6218" s="4" t="s">
        <v>416</v>
      </c>
      <c r="K6218" s="13" t="n">
        <v>850</v>
      </c>
      <c r="L6218" s="6" t="n">
        <f aca="false">H6218*K6218</f>
        <v>850</v>
      </c>
      <c r="M6218" s="4" t="s">
        <v>371</v>
      </c>
    </row>
    <row r="6219" customFormat="false" ht="23.85" hidden="false" customHeight="false" outlineLevel="0" collapsed="false">
      <c r="A6219" s="4" t="s">
        <v>346</v>
      </c>
      <c r="B6219" s="5" t="s">
        <v>351</v>
      </c>
      <c r="C6219" s="5" t="s">
        <v>352</v>
      </c>
      <c r="D6219" s="4" t="s">
        <v>16</v>
      </c>
      <c r="E6219" s="4" t="s">
        <v>2706</v>
      </c>
      <c r="F6219" s="4" t="s">
        <v>406</v>
      </c>
      <c r="G6219" s="4" t="s">
        <v>2707</v>
      </c>
      <c r="H6219" s="12" t="n">
        <v>1</v>
      </c>
      <c r="I6219" s="4" t="s">
        <v>474</v>
      </c>
      <c r="J6219" s="4" t="s">
        <v>416</v>
      </c>
      <c r="K6219" s="13" t="n">
        <v>4500</v>
      </c>
      <c r="L6219" s="6" t="n">
        <f aca="false">H6219*K6219</f>
        <v>4500</v>
      </c>
      <c r="M6219" s="14" t="s">
        <v>410</v>
      </c>
    </row>
    <row r="6220" customFormat="false" ht="23.85" hidden="false" customHeight="false" outlineLevel="0" collapsed="false">
      <c r="A6220" s="4" t="s">
        <v>346</v>
      </c>
      <c r="B6220" s="5" t="s">
        <v>351</v>
      </c>
      <c r="C6220" s="5" t="s">
        <v>352</v>
      </c>
      <c r="D6220" s="4" t="s">
        <v>16</v>
      </c>
      <c r="E6220" s="4" t="s">
        <v>2708</v>
      </c>
      <c r="F6220" s="4" t="s">
        <v>406</v>
      </c>
      <c r="G6220" s="4" t="s">
        <v>2709</v>
      </c>
      <c r="H6220" s="12" t="n">
        <v>2</v>
      </c>
      <c r="I6220" s="4" t="s">
        <v>474</v>
      </c>
      <c r="J6220" s="4" t="s">
        <v>409</v>
      </c>
      <c r="K6220" s="13" t="n">
        <v>850</v>
      </c>
      <c r="L6220" s="6" t="n">
        <f aca="false">H6220*K6220</f>
        <v>1700</v>
      </c>
      <c r="M6220" s="14" t="s">
        <v>410</v>
      </c>
    </row>
    <row r="6221" customFormat="false" ht="23.85" hidden="false" customHeight="false" outlineLevel="0" collapsed="false">
      <c r="A6221" s="4" t="s">
        <v>346</v>
      </c>
      <c r="B6221" s="5" t="s">
        <v>351</v>
      </c>
      <c r="C6221" s="5" t="s">
        <v>352</v>
      </c>
      <c r="D6221" s="4" t="s">
        <v>16</v>
      </c>
      <c r="E6221" s="4" t="s">
        <v>2710</v>
      </c>
      <c r="F6221" s="4" t="s">
        <v>406</v>
      </c>
      <c r="G6221" s="4" t="s">
        <v>2711</v>
      </c>
      <c r="H6221" s="12" t="n">
        <v>12</v>
      </c>
      <c r="I6221" s="4" t="s">
        <v>474</v>
      </c>
      <c r="J6221" s="4" t="s">
        <v>409</v>
      </c>
      <c r="K6221" s="13" t="n">
        <v>350</v>
      </c>
      <c r="L6221" s="6" t="n">
        <f aca="false">H6221*K6221</f>
        <v>4200</v>
      </c>
      <c r="M6221" s="14" t="s">
        <v>410</v>
      </c>
    </row>
    <row r="6222" customFormat="false" ht="23.85" hidden="false" customHeight="false" outlineLevel="0" collapsed="false">
      <c r="A6222" s="4" t="s">
        <v>346</v>
      </c>
      <c r="B6222" s="5" t="s">
        <v>351</v>
      </c>
      <c r="C6222" s="5" t="s">
        <v>352</v>
      </c>
      <c r="D6222" s="4" t="s">
        <v>16</v>
      </c>
      <c r="E6222" s="4" t="s">
        <v>2712</v>
      </c>
      <c r="F6222" s="4" t="s">
        <v>406</v>
      </c>
      <c r="G6222" s="4" t="s">
        <v>2713</v>
      </c>
      <c r="H6222" s="12" t="n">
        <v>12</v>
      </c>
      <c r="I6222" s="4" t="s">
        <v>474</v>
      </c>
      <c r="J6222" s="4" t="s">
        <v>409</v>
      </c>
      <c r="K6222" s="13" t="n">
        <v>250</v>
      </c>
      <c r="L6222" s="6" t="n">
        <f aca="false">H6222*K6222</f>
        <v>3000</v>
      </c>
      <c r="M6222" s="14" t="s">
        <v>410</v>
      </c>
    </row>
    <row r="6223" customFormat="false" ht="23.85" hidden="false" customHeight="false" outlineLevel="0" collapsed="false">
      <c r="A6223" s="4" t="s">
        <v>346</v>
      </c>
      <c r="B6223" s="5" t="s">
        <v>351</v>
      </c>
      <c r="C6223" s="5" t="s">
        <v>352</v>
      </c>
      <c r="D6223" s="4" t="s">
        <v>16</v>
      </c>
      <c r="E6223" s="4" t="s">
        <v>2714</v>
      </c>
      <c r="F6223" s="4" t="s">
        <v>406</v>
      </c>
      <c r="G6223" s="4" t="s">
        <v>2715</v>
      </c>
      <c r="H6223" s="12" t="n">
        <v>12</v>
      </c>
      <c r="I6223" s="4" t="s">
        <v>474</v>
      </c>
      <c r="J6223" s="4" t="s">
        <v>416</v>
      </c>
      <c r="K6223" s="13" t="n">
        <v>1800</v>
      </c>
      <c r="L6223" s="6" t="n">
        <f aca="false">H6223*K6223</f>
        <v>21600</v>
      </c>
      <c r="M6223" s="14" t="s">
        <v>410</v>
      </c>
    </row>
    <row r="6224" customFormat="false" ht="23.85" hidden="false" customHeight="false" outlineLevel="0" collapsed="false">
      <c r="A6224" s="4" t="s">
        <v>346</v>
      </c>
      <c r="B6224" s="5" t="s">
        <v>351</v>
      </c>
      <c r="C6224" s="5" t="s">
        <v>352</v>
      </c>
      <c r="D6224" s="4" t="s">
        <v>16</v>
      </c>
      <c r="E6224" s="4" t="s">
        <v>2716</v>
      </c>
      <c r="F6224" s="4" t="s">
        <v>406</v>
      </c>
      <c r="G6224" s="4" t="s">
        <v>2717</v>
      </c>
      <c r="H6224" s="12" t="n">
        <v>12</v>
      </c>
      <c r="I6224" s="4" t="s">
        <v>474</v>
      </c>
      <c r="J6224" s="4" t="s">
        <v>409</v>
      </c>
      <c r="K6224" s="13" t="n">
        <v>180</v>
      </c>
      <c r="L6224" s="6" t="n">
        <f aca="false">H6224*K6224</f>
        <v>2160</v>
      </c>
      <c r="M6224" s="14" t="s">
        <v>410</v>
      </c>
    </row>
    <row r="6225" customFormat="false" ht="23.85" hidden="false" customHeight="false" outlineLevel="0" collapsed="false">
      <c r="A6225" s="4" t="s">
        <v>346</v>
      </c>
      <c r="B6225" s="5" t="s">
        <v>351</v>
      </c>
      <c r="C6225" s="5" t="s">
        <v>352</v>
      </c>
      <c r="D6225" s="4" t="s">
        <v>16</v>
      </c>
      <c r="E6225" s="4" t="s">
        <v>2718</v>
      </c>
      <c r="F6225" s="4" t="s">
        <v>406</v>
      </c>
      <c r="G6225" s="4" t="s">
        <v>2719</v>
      </c>
      <c r="H6225" s="12" t="n">
        <v>12</v>
      </c>
      <c r="I6225" s="4" t="s">
        <v>474</v>
      </c>
      <c r="J6225" s="4" t="s">
        <v>409</v>
      </c>
      <c r="K6225" s="13" t="n">
        <v>150</v>
      </c>
      <c r="L6225" s="6" t="n">
        <f aca="false">H6225*K6225</f>
        <v>1800</v>
      </c>
      <c r="M6225" s="14" t="s">
        <v>410</v>
      </c>
    </row>
    <row r="6226" customFormat="false" ht="23.85" hidden="false" customHeight="false" outlineLevel="0" collapsed="false">
      <c r="A6226" s="4" t="s">
        <v>346</v>
      </c>
      <c r="B6226" s="5" t="s">
        <v>351</v>
      </c>
      <c r="C6226" s="5" t="s">
        <v>352</v>
      </c>
      <c r="D6226" s="4" t="s">
        <v>16</v>
      </c>
      <c r="E6226" s="4" t="s">
        <v>2720</v>
      </c>
      <c r="F6226" s="4" t="s">
        <v>406</v>
      </c>
      <c r="G6226" s="4" t="s">
        <v>2721</v>
      </c>
      <c r="H6226" s="12" t="n">
        <v>12</v>
      </c>
      <c r="I6226" s="4" t="s">
        <v>474</v>
      </c>
      <c r="J6226" s="4" t="s">
        <v>409</v>
      </c>
      <c r="K6226" s="13" t="n">
        <v>250</v>
      </c>
      <c r="L6226" s="6" t="n">
        <f aca="false">H6226*K6226</f>
        <v>3000</v>
      </c>
      <c r="M6226" s="14" t="s">
        <v>410</v>
      </c>
    </row>
    <row r="6227" customFormat="false" ht="23.85" hidden="false" customHeight="false" outlineLevel="0" collapsed="false">
      <c r="A6227" s="4" t="s">
        <v>346</v>
      </c>
      <c r="B6227" s="5" t="s">
        <v>351</v>
      </c>
      <c r="C6227" s="5" t="s">
        <v>352</v>
      </c>
      <c r="D6227" s="4" t="s">
        <v>16</v>
      </c>
      <c r="E6227" s="4" t="s">
        <v>2722</v>
      </c>
      <c r="F6227" s="4" t="s">
        <v>406</v>
      </c>
      <c r="G6227" s="4" t="s">
        <v>2723</v>
      </c>
      <c r="H6227" s="12" t="n">
        <v>12</v>
      </c>
      <c r="I6227" s="4" t="s">
        <v>474</v>
      </c>
      <c r="J6227" s="4" t="s">
        <v>409</v>
      </c>
      <c r="K6227" s="13" t="n">
        <v>350</v>
      </c>
      <c r="L6227" s="6" t="n">
        <f aca="false">H6227*K6227</f>
        <v>4200</v>
      </c>
      <c r="M6227" s="4" t="s">
        <v>371</v>
      </c>
    </row>
    <row r="6228" customFormat="false" ht="23.85" hidden="false" customHeight="false" outlineLevel="0" collapsed="false">
      <c r="A6228" s="4" t="s">
        <v>346</v>
      </c>
      <c r="B6228" s="5" t="s">
        <v>351</v>
      </c>
      <c r="C6228" s="5" t="s">
        <v>352</v>
      </c>
      <c r="D6228" s="4" t="s">
        <v>16</v>
      </c>
      <c r="E6228" s="4" t="s">
        <v>2724</v>
      </c>
      <c r="F6228" s="4" t="s">
        <v>406</v>
      </c>
      <c r="G6228" s="4" t="s">
        <v>2725</v>
      </c>
      <c r="H6228" s="12" t="n">
        <v>12</v>
      </c>
      <c r="I6228" s="4" t="s">
        <v>474</v>
      </c>
      <c r="J6228" s="4" t="s">
        <v>409</v>
      </c>
      <c r="K6228" s="13" t="n">
        <v>180</v>
      </c>
      <c r="L6228" s="6" t="n">
        <f aca="false">H6228*K6228</f>
        <v>2160</v>
      </c>
      <c r="M6228" s="4" t="s">
        <v>371</v>
      </c>
    </row>
    <row r="6229" customFormat="false" ht="23.85" hidden="false" customHeight="false" outlineLevel="0" collapsed="false">
      <c r="A6229" s="4" t="s">
        <v>346</v>
      </c>
      <c r="B6229" s="5" t="s">
        <v>351</v>
      </c>
      <c r="C6229" s="5" t="s">
        <v>352</v>
      </c>
      <c r="D6229" s="4" t="s">
        <v>16</v>
      </c>
      <c r="E6229" s="4" t="s">
        <v>2726</v>
      </c>
      <c r="F6229" s="4" t="s">
        <v>406</v>
      </c>
      <c r="G6229" s="4" t="s">
        <v>2727</v>
      </c>
      <c r="H6229" s="12" t="n">
        <v>6</v>
      </c>
      <c r="I6229" s="4" t="s">
        <v>474</v>
      </c>
      <c r="J6229" s="4" t="s">
        <v>409</v>
      </c>
      <c r="K6229" s="13" t="n">
        <v>450</v>
      </c>
      <c r="L6229" s="6" t="n">
        <f aca="false">H6229*K6229</f>
        <v>2700</v>
      </c>
      <c r="M6229" s="4" t="s">
        <v>371</v>
      </c>
    </row>
    <row r="6230" customFormat="false" ht="23.85" hidden="false" customHeight="false" outlineLevel="0" collapsed="false">
      <c r="A6230" s="4" t="s">
        <v>346</v>
      </c>
      <c r="B6230" s="5" t="s">
        <v>351</v>
      </c>
      <c r="C6230" s="5" t="s">
        <v>352</v>
      </c>
      <c r="D6230" s="4" t="s">
        <v>16</v>
      </c>
      <c r="E6230" s="4" t="s">
        <v>2728</v>
      </c>
      <c r="F6230" s="4" t="s">
        <v>406</v>
      </c>
      <c r="G6230" s="4" t="s">
        <v>2729</v>
      </c>
      <c r="H6230" s="12" t="n">
        <v>6</v>
      </c>
      <c r="I6230" s="4" t="s">
        <v>474</v>
      </c>
      <c r="J6230" s="4" t="s">
        <v>409</v>
      </c>
      <c r="K6230" s="13" t="n">
        <v>550</v>
      </c>
      <c r="L6230" s="6" t="n">
        <f aca="false">H6230*K6230</f>
        <v>3300</v>
      </c>
      <c r="M6230" s="4" t="s">
        <v>371</v>
      </c>
    </row>
    <row r="6231" customFormat="false" ht="23.85" hidden="false" customHeight="false" outlineLevel="0" collapsed="false">
      <c r="A6231" s="4" t="s">
        <v>346</v>
      </c>
      <c r="B6231" s="5" t="s">
        <v>351</v>
      </c>
      <c r="C6231" s="5" t="s">
        <v>352</v>
      </c>
      <c r="D6231" s="4" t="s">
        <v>16</v>
      </c>
      <c r="E6231" s="4" t="s">
        <v>2730</v>
      </c>
      <c r="F6231" s="4" t="s">
        <v>406</v>
      </c>
      <c r="G6231" s="4" t="s">
        <v>2731</v>
      </c>
      <c r="H6231" s="12" t="n">
        <v>6</v>
      </c>
      <c r="I6231" s="4" t="s">
        <v>474</v>
      </c>
      <c r="J6231" s="4" t="s">
        <v>409</v>
      </c>
      <c r="K6231" s="13" t="n">
        <v>650</v>
      </c>
      <c r="L6231" s="6" t="n">
        <f aca="false">H6231*K6231</f>
        <v>3900</v>
      </c>
      <c r="M6231" s="4" t="s">
        <v>371</v>
      </c>
    </row>
    <row r="6232" customFormat="false" ht="23.85" hidden="false" customHeight="false" outlineLevel="0" collapsed="false">
      <c r="A6232" s="4" t="s">
        <v>346</v>
      </c>
      <c r="B6232" s="5" t="s">
        <v>351</v>
      </c>
      <c r="C6232" s="5" t="s">
        <v>352</v>
      </c>
      <c r="D6232" s="4" t="s">
        <v>16</v>
      </c>
      <c r="E6232" s="4" t="s">
        <v>2732</v>
      </c>
      <c r="F6232" s="4" t="s">
        <v>406</v>
      </c>
      <c r="G6232" s="4" t="s">
        <v>2733</v>
      </c>
      <c r="H6232" s="12" t="n">
        <v>6</v>
      </c>
      <c r="I6232" s="4" t="s">
        <v>474</v>
      </c>
      <c r="J6232" s="4" t="s">
        <v>409</v>
      </c>
      <c r="K6232" s="13" t="n">
        <v>650</v>
      </c>
      <c r="L6232" s="6" t="n">
        <f aca="false">H6232*K6232</f>
        <v>3900</v>
      </c>
      <c r="M6232" s="4" t="s">
        <v>371</v>
      </c>
    </row>
    <row r="6233" customFormat="false" ht="23.85" hidden="false" customHeight="false" outlineLevel="0" collapsed="false">
      <c r="A6233" s="4" t="s">
        <v>346</v>
      </c>
      <c r="B6233" s="5" t="s">
        <v>351</v>
      </c>
      <c r="C6233" s="5" t="s">
        <v>352</v>
      </c>
      <c r="D6233" s="4" t="s">
        <v>16</v>
      </c>
      <c r="E6233" s="4" t="s">
        <v>2734</v>
      </c>
      <c r="F6233" s="4" t="s">
        <v>406</v>
      </c>
      <c r="G6233" s="4" t="s">
        <v>2735</v>
      </c>
      <c r="H6233" s="12" t="n">
        <v>6</v>
      </c>
      <c r="I6233" s="4" t="s">
        <v>474</v>
      </c>
      <c r="J6233" s="4" t="s">
        <v>409</v>
      </c>
      <c r="K6233" s="13" t="n">
        <v>350</v>
      </c>
      <c r="L6233" s="6" t="n">
        <f aca="false">H6233*K6233</f>
        <v>2100</v>
      </c>
      <c r="M6233" s="14" t="s">
        <v>410</v>
      </c>
    </row>
    <row r="6234" customFormat="false" ht="23.85" hidden="false" customHeight="false" outlineLevel="0" collapsed="false">
      <c r="A6234" s="4" t="s">
        <v>346</v>
      </c>
      <c r="B6234" s="5" t="s">
        <v>351</v>
      </c>
      <c r="C6234" s="5" t="s">
        <v>352</v>
      </c>
      <c r="D6234" s="4" t="s">
        <v>16</v>
      </c>
      <c r="E6234" s="4" t="s">
        <v>2736</v>
      </c>
      <c r="F6234" s="4" t="s">
        <v>406</v>
      </c>
      <c r="G6234" s="4" t="s">
        <v>2737</v>
      </c>
      <c r="H6234" s="12" t="n">
        <v>6</v>
      </c>
      <c r="I6234" s="4" t="s">
        <v>474</v>
      </c>
      <c r="J6234" s="4" t="s">
        <v>409</v>
      </c>
      <c r="K6234" s="13" t="n">
        <v>250</v>
      </c>
      <c r="L6234" s="6" t="n">
        <f aca="false">H6234*K6234</f>
        <v>1500</v>
      </c>
      <c r="M6234" s="14" t="s">
        <v>410</v>
      </c>
    </row>
    <row r="6235" customFormat="false" ht="23.85" hidden="false" customHeight="false" outlineLevel="0" collapsed="false">
      <c r="A6235" s="4" t="s">
        <v>346</v>
      </c>
      <c r="B6235" s="5" t="s">
        <v>351</v>
      </c>
      <c r="C6235" s="5" t="s">
        <v>352</v>
      </c>
      <c r="D6235" s="4" t="s">
        <v>16</v>
      </c>
      <c r="E6235" s="4" t="s">
        <v>2738</v>
      </c>
      <c r="F6235" s="4" t="s">
        <v>406</v>
      </c>
      <c r="G6235" s="4" t="s">
        <v>2739</v>
      </c>
      <c r="H6235" s="12" t="n">
        <v>12</v>
      </c>
      <c r="I6235" s="4" t="s">
        <v>474</v>
      </c>
      <c r="J6235" s="4" t="s">
        <v>409</v>
      </c>
      <c r="K6235" s="13" t="n">
        <v>180</v>
      </c>
      <c r="L6235" s="6" t="n">
        <f aca="false">H6235*K6235</f>
        <v>2160</v>
      </c>
      <c r="M6235" s="14" t="s">
        <v>410</v>
      </c>
    </row>
    <row r="6236" customFormat="false" ht="23.85" hidden="false" customHeight="false" outlineLevel="0" collapsed="false">
      <c r="A6236" s="4" t="s">
        <v>346</v>
      </c>
      <c r="B6236" s="5" t="s">
        <v>351</v>
      </c>
      <c r="C6236" s="5" t="s">
        <v>352</v>
      </c>
      <c r="D6236" s="4" t="s">
        <v>16</v>
      </c>
      <c r="E6236" s="4" t="s">
        <v>2740</v>
      </c>
      <c r="F6236" s="4" t="s">
        <v>406</v>
      </c>
      <c r="G6236" s="4" t="s">
        <v>2741</v>
      </c>
      <c r="H6236" s="12" t="n">
        <v>12</v>
      </c>
      <c r="I6236" s="4" t="s">
        <v>474</v>
      </c>
      <c r="J6236" s="4" t="s">
        <v>409</v>
      </c>
      <c r="K6236" s="13" t="n">
        <v>80</v>
      </c>
      <c r="L6236" s="6" t="n">
        <f aca="false">H6236*K6236</f>
        <v>960</v>
      </c>
      <c r="M6236" s="14" t="s">
        <v>410</v>
      </c>
    </row>
    <row r="6237" customFormat="false" ht="23.85" hidden="false" customHeight="false" outlineLevel="0" collapsed="false">
      <c r="A6237" s="4" t="s">
        <v>346</v>
      </c>
      <c r="B6237" s="5" t="s">
        <v>351</v>
      </c>
      <c r="C6237" s="5" t="s">
        <v>352</v>
      </c>
      <c r="D6237" s="4" t="s">
        <v>16</v>
      </c>
      <c r="E6237" s="4" t="s">
        <v>2742</v>
      </c>
      <c r="F6237" s="4" t="s">
        <v>406</v>
      </c>
      <c r="G6237" s="4" t="s">
        <v>2743</v>
      </c>
      <c r="H6237" s="12" t="n">
        <v>12</v>
      </c>
      <c r="I6237" s="4" t="s">
        <v>474</v>
      </c>
      <c r="J6237" s="4" t="s">
        <v>409</v>
      </c>
      <c r="K6237" s="13" t="n">
        <v>150</v>
      </c>
      <c r="L6237" s="6" t="n">
        <f aca="false">H6237*K6237</f>
        <v>1800</v>
      </c>
      <c r="M6237" s="14" t="s">
        <v>410</v>
      </c>
    </row>
    <row r="6238" customFormat="false" ht="23.85" hidden="false" customHeight="false" outlineLevel="0" collapsed="false">
      <c r="A6238" s="4" t="s">
        <v>346</v>
      </c>
      <c r="B6238" s="5" t="s">
        <v>351</v>
      </c>
      <c r="C6238" s="5" t="s">
        <v>352</v>
      </c>
      <c r="D6238" s="4" t="s">
        <v>16</v>
      </c>
      <c r="E6238" s="4" t="s">
        <v>2744</v>
      </c>
      <c r="F6238" s="4" t="s">
        <v>406</v>
      </c>
      <c r="G6238" s="4" t="s">
        <v>2745</v>
      </c>
      <c r="H6238" s="12" t="n">
        <v>12</v>
      </c>
      <c r="I6238" s="4" t="s">
        <v>474</v>
      </c>
      <c r="J6238" s="4" t="s">
        <v>409</v>
      </c>
      <c r="K6238" s="13" t="n">
        <v>180</v>
      </c>
      <c r="L6238" s="6" t="n">
        <f aca="false">H6238*K6238</f>
        <v>2160</v>
      </c>
      <c r="M6238" s="14" t="s">
        <v>410</v>
      </c>
    </row>
    <row r="6239" customFormat="false" ht="23.85" hidden="false" customHeight="false" outlineLevel="0" collapsed="false">
      <c r="A6239" s="4" t="s">
        <v>346</v>
      </c>
      <c r="B6239" s="5" t="s">
        <v>351</v>
      </c>
      <c r="C6239" s="5" t="s">
        <v>352</v>
      </c>
      <c r="D6239" s="4" t="s">
        <v>16</v>
      </c>
      <c r="E6239" s="4" t="s">
        <v>2746</v>
      </c>
      <c r="F6239" s="4" t="s">
        <v>406</v>
      </c>
      <c r="G6239" s="4" t="s">
        <v>2747</v>
      </c>
      <c r="H6239" s="12" t="n">
        <v>12</v>
      </c>
      <c r="I6239" s="4" t="s">
        <v>474</v>
      </c>
      <c r="J6239" s="4" t="s">
        <v>409</v>
      </c>
      <c r="K6239" s="13" t="n">
        <v>120</v>
      </c>
      <c r="L6239" s="6" t="n">
        <f aca="false">H6239*K6239</f>
        <v>1440</v>
      </c>
      <c r="M6239" s="14" t="s">
        <v>410</v>
      </c>
    </row>
    <row r="6240" customFormat="false" ht="23.85" hidden="false" customHeight="false" outlineLevel="0" collapsed="false">
      <c r="A6240" s="4" t="s">
        <v>346</v>
      </c>
      <c r="B6240" s="5" t="s">
        <v>351</v>
      </c>
      <c r="C6240" s="5" t="s">
        <v>352</v>
      </c>
      <c r="D6240" s="4" t="s">
        <v>16</v>
      </c>
      <c r="E6240" s="4" t="s">
        <v>2748</v>
      </c>
      <c r="F6240" s="4" t="s">
        <v>406</v>
      </c>
      <c r="G6240" s="4" t="s">
        <v>2749</v>
      </c>
      <c r="H6240" s="12" t="n">
        <v>12</v>
      </c>
      <c r="I6240" s="4" t="s">
        <v>474</v>
      </c>
      <c r="J6240" s="4" t="s">
        <v>409</v>
      </c>
      <c r="K6240" s="13" t="n">
        <v>180</v>
      </c>
      <c r="L6240" s="6" t="n">
        <f aca="false">H6240*K6240</f>
        <v>2160</v>
      </c>
      <c r="M6240" s="14" t="s">
        <v>410</v>
      </c>
    </row>
    <row r="6241" customFormat="false" ht="23.85" hidden="false" customHeight="false" outlineLevel="0" collapsed="false">
      <c r="A6241" s="4" t="s">
        <v>346</v>
      </c>
      <c r="B6241" s="5" t="s">
        <v>351</v>
      </c>
      <c r="C6241" s="5" t="s">
        <v>352</v>
      </c>
      <c r="D6241" s="4" t="s">
        <v>16</v>
      </c>
      <c r="E6241" s="4" t="s">
        <v>2750</v>
      </c>
      <c r="F6241" s="4" t="s">
        <v>406</v>
      </c>
      <c r="G6241" s="4" t="s">
        <v>2751</v>
      </c>
      <c r="H6241" s="12" t="n">
        <v>6</v>
      </c>
      <c r="I6241" s="4" t="s">
        <v>474</v>
      </c>
      <c r="J6241" s="4" t="s">
        <v>409</v>
      </c>
      <c r="K6241" s="13" t="n">
        <v>180</v>
      </c>
      <c r="L6241" s="6" t="n">
        <f aca="false">H6241*K6241</f>
        <v>1080</v>
      </c>
      <c r="M6241" s="14" t="s">
        <v>410</v>
      </c>
    </row>
    <row r="6242" customFormat="false" ht="23.85" hidden="false" customHeight="false" outlineLevel="0" collapsed="false">
      <c r="A6242" s="4" t="s">
        <v>346</v>
      </c>
      <c r="B6242" s="5" t="s">
        <v>351</v>
      </c>
      <c r="C6242" s="5" t="s">
        <v>352</v>
      </c>
      <c r="D6242" s="4" t="s">
        <v>16</v>
      </c>
      <c r="E6242" s="4" t="s">
        <v>2752</v>
      </c>
      <c r="F6242" s="4" t="s">
        <v>406</v>
      </c>
      <c r="G6242" s="4" t="s">
        <v>2753</v>
      </c>
      <c r="H6242" s="12" t="n">
        <v>6</v>
      </c>
      <c r="I6242" s="4" t="s">
        <v>474</v>
      </c>
      <c r="J6242" s="4" t="s">
        <v>409</v>
      </c>
      <c r="K6242" s="13" t="n">
        <v>180</v>
      </c>
      <c r="L6242" s="6" t="n">
        <f aca="false">H6242*K6242</f>
        <v>1080</v>
      </c>
      <c r="M6242" s="14" t="s">
        <v>410</v>
      </c>
    </row>
    <row r="6243" customFormat="false" ht="23.85" hidden="false" customHeight="false" outlineLevel="0" collapsed="false">
      <c r="A6243" s="4" t="s">
        <v>346</v>
      </c>
      <c r="B6243" s="5" t="s">
        <v>351</v>
      </c>
      <c r="C6243" s="5" t="s">
        <v>352</v>
      </c>
      <c r="D6243" s="4" t="s">
        <v>16</v>
      </c>
      <c r="E6243" s="4" t="s">
        <v>2704</v>
      </c>
      <c r="F6243" s="4" t="s">
        <v>406</v>
      </c>
      <c r="G6243" s="4" t="s">
        <v>2705</v>
      </c>
      <c r="H6243" s="12" t="n">
        <v>3</v>
      </c>
      <c r="I6243" s="4" t="s">
        <v>474</v>
      </c>
      <c r="J6243" s="4" t="s">
        <v>409</v>
      </c>
      <c r="K6243" s="13" t="n">
        <v>120</v>
      </c>
      <c r="L6243" s="6" t="n">
        <f aca="false">H6243*K6243</f>
        <v>360</v>
      </c>
      <c r="M6243" s="14" t="s">
        <v>410</v>
      </c>
    </row>
    <row r="6244" customFormat="false" ht="23.85" hidden="false" customHeight="false" outlineLevel="0" collapsed="false">
      <c r="A6244" s="4" t="s">
        <v>346</v>
      </c>
      <c r="B6244" s="5" t="s">
        <v>351</v>
      </c>
      <c r="C6244" s="5" t="s">
        <v>352</v>
      </c>
      <c r="D6244" s="4" t="s">
        <v>16</v>
      </c>
      <c r="E6244" s="4" t="s">
        <v>2754</v>
      </c>
      <c r="F6244" s="4" t="s">
        <v>406</v>
      </c>
      <c r="G6244" s="4" t="s">
        <v>2755</v>
      </c>
      <c r="H6244" s="12" t="n">
        <v>1</v>
      </c>
      <c r="I6244" s="4" t="s">
        <v>474</v>
      </c>
      <c r="J6244" s="4" t="s">
        <v>416</v>
      </c>
      <c r="K6244" s="13" t="n">
        <v>1800</v>
      </c>
      <c r="L6244" s="6" t="n">
        <f aca="false">H6244*K6244</f>
        <v>1800</v>
      </c>
      <c r="M6244" s="14" t="s">
        <v>410</v>
      </c>
    </row>
    <row r="6245" customFormat="false" ht="23.85" hidden="false" customHeight="false" outlineLevel="0" collapsed="false">
      <c r="A6245" s="4" t="s">
        <v>346</v>
      </c>
      <c r="B6245" s="5" t="s">
        <v>351</v>
      </c>
      <c r="C6245" s="5" t="s">
        <v>352</v>
      </c>
      <c r="D6245" s="4" t="s">
        <v>16</v>
      </c>
      <c r="E6245" s="4" t="s">
        <v>2756</v>
      </c>
      <c r="F6245" s="4" t="s">
        <v>406</v>
      </c>
      <c r="G6245" s="4" t="s">
        <v>2757</v>
      </c>
      <c r="H6245" s="12" t="n">
        <v>6</v>
      </c>
      <c r="I6245" s="4" t="s">
        <v>474</v>
      </c>
      <c r="J6245" s="4" t="s">
        <v>409</v>
      </c>
      <c r="K6245" s="13" t="n">
        <v>350</v>
      </c>
      <c r="L6245" s="6" t="n">
        <f aca="false">H6245*K6245</f>
        <v>2100</v>
      </c>
      <c r="M6245" s="14" t="s">
        <v>410</v>
      </c>
    </row>
    <row r="6246" customFormat="false" ht="23.85" hidden="false" customHeight="false" outlineLevel="0" collapsed="false">
      <c r="A6246" s="4" t="s">
        <v>346</v>
      </c>
      <c r="B6246" s="5" t="s">
        <v>351</v>
      </c>
      <c r="C6246" s="5" t="s">
        <v>352</v>
      </c>
      <c r="D6246" s="4" t="s">
        <v>16</v>
      </c>
      <c r="E6246" s="4" t="s">
        <v>6596</v>
      </c>
      <c r="F6246" s="4" t="s">
        <v>406</v>
      </c>
      <c r="G6246" s="4" t="s">
        <v>2759</v>
      </c>
      <c r="H6246" s="12" t="n">
        <v>4</v>
      </c>
      <c r="I6246" s="4" t="s">
        <v>474</v>
      </c>
      <c r="J6246" s="4" t="s">
        <v>416</v>
      </c>
      <c r="K6246" s="13" t="n">
        <v>450</v>
      </c>
      <c r="L6246" s="6" t="n">
        <f aca="false">H6246*K6246</f>
        <v>1800</v>
      </c>
      <c r="M6246" s="14" t="s">
        <v>410</v>
      </c>
    </row>
    <row r="6247" customFormat="false" ht="23.85" hidden="false" customHeight="false" outlineLevel="0" collapsed="false">
      <c r="A6247" s="4" t="s">
        <v>346</v>
      </c>
      <c r="B6247" s="5" t="s">
        <v>351</v>
      </c>
      <c r="C6247" s="5" t="s">
        <v>352</v>
      </c>
      <c r="D6247" s="4" t="s">
        <v>16</v>
      </c>
      <c r="E6247" s="4" t="s">
        <v>2760</v>
      </c>
      <c r="F6247" s="4" t="s">
        <v>406</v>
      </c>
      <c r="G6247" s="4" t="s">
        <v>2761</v>
      </c>
      <c r="H6247" s="12" t="n">
        <v>2</v>
      </c>
      <c r="I6247" s="4" t="s">
        <v>474</v>
      </c>
      <c r="J6247" s="4" t="s">
        <v>409</v>
      </c>
      <c r="K6247" s="13" t="n">
        <v>150</v>
      </c>
      <c r="L6247" s="6" t="n">
        <f aca="false">H6247*K6247</f>
        <v>300</v>
      </c>
      <c r="M6247" s="14" t="s">
        <v>410</v>
      </c>
    </row>
    <row r="6248" customFormat="false" ht="23.85" hidden="false" customHeight="false" outlineLevel="0" collapsed="false">
      <c r="A6248" s="4" t="s">
        <v>346</v>
      </c>
      <c r="B6248" s="5" t="s">
        <v>351</v>
      </c>
      <c r="C6248" s="5" t="s">
        <v>352</v>
      </c>
      <c r="D6248" s="4" t="s">
        <v>16</v>
      </c>
      <c r="E6248" s="4" t="s">
        <v>2762</v>
      </c>
      <c r="F6248" s="4" t="s">
        <v>406</v>
      </c>
      <c r="G6248" s="4" t="s">
        <v>2763</v>
      </c>
      <c r="H6248" s="12" t="n">
        <v>2</v>
      </c>
      <c r="I6248" s="4" t="s">
        <v>474</v>
      </c>
      <c r="J6248" s="4" t="s">
        <v>409</v>
      </c>
      <c r="K6248" s="13" t="n">
        <v>120</v>
      </c>
      <c r="L6248" s="6" t="n">
        <f aca="false">H6248*K6248</f>
        <v>240</v>
      </c>
      <c r="M6248" s="14" t="s">
        <v>410</v>
      </c>
    </row>
    <row r="6249" customFormat="false" ht="23.85" hidden="false" customHeight="false" outlineLevel="0" collapsed="false">
      <c r="A6249" s="4" t="s">
        <v>346</v>
      </c>
      <c r="B6249" s="5" t="s">
        <v>351</v>
      </c>
      <c r="C6249" s="5" t="s">
        <v>352</v>
      </c>
      <c r="D6249" s="4" t="s">
        <v>16</v>
      </c>
      <c r="E6249" s="4" t="s">
        <v>2764</v>
      </c>
      <c r="F6249" s="4" t="s">
        <v>406</v>
      </c>
      <c r="G6249" s="4" t="s">
        <v>2765</v>
      </c>
      <c r="H6249" s="12" t="n">
        <v>2</v>
      </c>
      <c r="I6249" s="4" t="s">
        <v>474</v>
      </c>
      <c r="J6249" s="4" t="s">
        <v>409</v>
      </c>
      <c r="K6249" s="13" t="n">
        <v>250</v>
      </c>
      <c r="L6249" s="6" t="n">
        <f aca="false">H6249*K6249</f>
        <v>500</v>
      </c>
      <c r="M6249" s="14" t="s">
        <v>410</v>
      </c>
    </row>
    <row r="6250" customFormat="false" ht="23.85" hidden="false" customHeight="false" outlineLevel="0" collapsed="false">
      <c r="A6250" s="4" t="s">
        <v>346</v>
      </c>
      <c r="B6250" s="5" t="s">
        <v>351</v>
      </c>
      <c r="C6250" s="5" t="s">
        <v>352</v>
      </c>
      <c r="D6250" s="4" t="s">
        <v>16</v>
      </c>
      <c r="E6250" s="4" t="s">
        <v>2766</v>
      </c>
      <c r="F6250" s="4" t="s">
        <v>406</v>
      </c>
      <c r="G6250" s="4" t="s">
        <v>2767</v>
      </c>
      <c r="H6250" s="12" t="n">
        <v>2</v>
      </c>
      <c r="I6250" s="4" t="s">
        <v>474</v>
      </c>
      <c r="J6250" s="4" t="s">
        <v>409</v>
      </c>
      <c r="K6250" s="13" t="n">
        <v>350</v>
      </c>
      <c r="L6250" s="6" t="n">
        <f aca="false">H6250*K6250</f>
        <v>700</v>
      </c>
      <c r="M6250" s="14" t="s">
        <v>410</v>
      </c>
    </row>
    <row r="6251" customFormat="false" ht="23.85" hidden="false" customHeight="false" outlineLevel="0" collapsed="false">
      <c r="A6251" s="4" t="s">
        <v>346</v>
      </c>
      <c r="B6251" s="5" t="s">
        <v>351</v>
      </c>
      <c r="C6251" s="5" t="s">
        <v>352</v>
      </c>
      <c r="D6251" s="4" t="s">
        <v>16</v>
      </c>
      <c r="E6251" s="4" t="s">
        <v>6597</v>
      </c>
      <c r="F6251" s="4" t="s">
        <v>406</v>
      </c>
      <c r="G6251" s="4" t="s">
        <v>2769</v>
      </c>
      <c r="H6251" s="12" t="n">
        <v>6</v>
      </c>
      <c r="I6251" s="4" t="s">
        <v>474</v>
      </c>
      <c r="J6251" s="4" t="s">
        <v>409</v>
      </c>
      <c r="K6251" s="13" t="n">
        <v>450</v>
      </c>
      <c r="L6251" s="6" t="n">
        <f aca="false">H6251*K6251</f>
        <v>2700</v>
      </c>
      <c r="M6251" s="4" t="s">
        <v>371</v>
      </c>
    </row>
    <row r="6252" customFormat="false" ht="23.85" hidden="false" customHeight="false" outlineLevel="0" collapsed="false">
      <c r="A6252" s="4" t="s">
        <v>346</v>
      </c>
      <c r="B6252" s="5" t="s">
        <v>351</v>
      </c>
      <c r="C6252" s="5" t="s">
        <v>352</v>
      </c>
      <c r="D6252" s="4" t="s">
        <v>16</v>
      </c>
      <c r="E6252" s="4" t="s">
        <v>6598</v>
      </c>
      <c r="F6252" s="4" t="s">
        <v>406</v>
      </c>
      <c r="G6252" s="4" t="s">
        <v>2771</v>
      </c>
      <c r="H6252" s="12" t="n">
        <v>2</v>
      </c>
      <c r="I6252" s="4" t="s">
        <v>474</v>
      </c>
      <c r="J6252" s="4" t="s">
        <v>409</v>
      </c>
      <c r="K6252" s="13" t="n">
        <v>850</v>
      </c>
      <c r="L6252" s="6" t="n">
        <f aca="false">H6252*K6252</f>
        <v>1700</v>
      </c>
      <c r="M6252" s="4" t="s">
        <v>371</v>
      </c>
    </row>
    <row r="6253" customFormat="false" ht="23.85" hidden="false" customHeight="false" outlineLevel="0" collapsed="false">
      <c r="A6253" s="4" t="s">
        <v>346</v>
      </c>
      <c r="B6253" s="5" t="s">
        <v>351</v>
      </c>
      <c r="C6253" s="5" t="s">
        <v>352</v>
      </c>
      <c r="D6253" s="4" t="s">
        <v>16</v>
      </c>
      <c r="E6253" s="4" t="s">
        <v>6599</v>
      </c>
      <c r="F6253" s="4" t="s">
        <v>406</v>
      </c>
      <c r="G6253" s="4" t="s">
        <v>2773</v>
      </c>
      <c r="H6253" s="12" t="n">
        <v>1</v>
      </c>
      <c r="I6253" s="4" t="s">
        <v>474</v>
      </c>
      <c r="J6253" s="4" t="s">
        <v>409</v>
      </c>
      <c r="K6253" s="13" t="n">
        <v>1200</v>
      </c>
      <c r="L6253" s="6" t="n">
        <f aca="false">H6253*K6253</f>
        <v>1200</v>
      </c>
      <c r="M6253" s="4" t="s">
        <v>371</v>
      </c>
    </row>
    <row r="6254" customFormat="false" ht="23.85" hidden="false" customHeight="false" outlineLevel="0" collapsed="false">
      <c r="A6254" s="4" t="s">
        <v>346</v>
      </c>
      <c r="B6254" s="5" t="s">
        <v>351</v>
      </c>
      <c r="C6254" s="5" t="s">
        <v>352</v>
      </c>
      <c r="D6254" s="4" t="s">
        <v>16</v>
      </c>
      <c r="E6254" s="4" t="s">
        <v>2774</v>
      </c>
      <c r="F6254" s="4" t="s">
        <v>406</v>
      </c>
      <c r="G6254" s="4" t="s">
        <v>2775</v>
      </c>
      <c r="H6254" s="12" t="n">
        <v>1</v>
      </c>
      <c r="I6254" s="4" t="s">
        <v>474</v>
      </c>
      <c r="J6254" s="4" t="s">
        <v>409</v>
      </c>
      <c r="K6254" s="13" t="n">
        <v>450</v>
      </c>
      <c r="L6254" s="6" t="n">
        <f aca="false">H6254*K6254</f>
        <v>450</v>
      </c>
      <c r="M6254" s="14" t="s">
        <v>410</v>
      </c>
    </row>
    <row r="6255" customFormat="false" ht="23.85" hidden="false" customHeight="false" outlineLevel="0" collapsed="false">
      <c r="A6255" s="4" t="s">
        <v>346</v>
      </c>
      <c r="B6255" s="5" t="s">
        <v>351</v>
      </c>
      <c r="C6255" s="5" t="s">
        <v>352</v>
      </c>
      <c r="D6255" s="4" t="s">
        <v>16</v>
      </c>
      <c r="E6255" s="4" t="s">
        <v>2776</v>
      </c>
      <c r="F6255" s="4" t="s">
        <v>406</v>
      </c>
      <c r="G6255" s="4" t="s">
        <v>2777</v>
      </c>
      <c r="H6255" s="12" t="n">
        <v>10</v>
      </c>
      <c r="I6255" s="4" t="s">
        <v>474</v>
      </c>
      <c r="J6255" s="4" t="s">
        <v>409</v>
      </c>
      <c r="K6255" s="13" t="n">
        <v>450</v>
      </c>
      <c r="L6255" s="6" t="n">
        <f aca="false">H6255*K6255</f>
        <v>4500</v>
      </c>
      <c r="M6255" s="14" t="s">
        <v>410</v>
      </c>
    </row>
    <row r="6256" customFormat="false" ht="23.85" hidden="false" customHeight="false" outlineLevel="0" collapsed="false">
      <c r="A6256" s="4" t="s">
        <v>346</v>
      </c>
      <c r="B6256" s="5" t="s">
        <v>351</v>
      </c>
      <c r="C6256" s="5" t="s">
        <v>352</v>
      </c>
      <c r="D6256" s="4" t="s">
        <v>16</v>
      </c>
      <c r="E6256" s="4" t="s">
        <v>2778</v>
      </c>
      <c r="F6256" s="4" t="s">
        <v>406</v>
      </c>
      <c r="G6256" s="4" t="s">
        <v>2779</v>
      </c>
      <c r="H6256" s="12" t="n">
        <v>10</v>
      </c>
      <c r="I6256" s="4" t="s">
        <v>474</v>
      </c>
      <c r="J6256" s="4" t="s">
        <v>409</v>
      </c>
      <c r="K6256" s="13" t="n">
        <v>450</v>
      </c>
      <c r="L6256" s="6" t="n">
        <f aca="false">H6256*K6256</f>
        <v>4500</v>
      </c>
      <c r="M6256" s="14" t="s">
        <v>410</v>
      </c>
    </row>
    <row r="6257" customFormat="false" ht="23.85" hidden="false" customHeight="false" outlineLevel="0" collapsed="false">
      <c r="A6257" s="4" t="s">
        <v>346</v>
      </c>
      <c r="B6257" s="5" t="s">
        <v>351</v>
      </c>
      <c r="C6257" s="5" t="s">
        <v>352</v>
      </c>
      <c r="D6257" s="4" t="s">
        <v>16</v>
      </c>
      <c r="E6257" s="4" t="s">
        <v>2780</v>
      </c>
      <c r="F6257" s="4" t="s">
        <v>406</v>
      </c>
      <c r="G6257" s="4" t="s">
        <v>2781</v>
      </c>
      <c r="H6257" s="12" t="n">
        <v>4</v>
      </c>
      <c r="I6257" s="4" t="s">
        <v>474</v>
      </c>
      <c r="J6257" s="4" t="s">
        <v>409</v>
      </c>
      <c r="K6257" s="13" t="n">
        <v>250</v>
      </c>
      <c r="L6257" s="6" t="n">
        <f aca="false">H6257*K6257</f>
        <v>1000</v>
      </c>
      <c r="M6257" s="14" t="s">
        <v>410</v>
      </c>
    </row>
    <row r="6258" customFormat="false" ht="23.85" hidden="false" customHeight="false" outlineLevel="0" collapsed="false">
      <c r="A6258" s="4" t="s">
        <v>346</v>
      </c>
      <c r="B6258" s="5" t="s">
        <v>351</v>
      </c>
      <c r="C6258" s="5" t="s">
        <v>352</v>
      </c>
      <c r="D6258" s="4" t="s">
        <v>16</v>
      </c>
      <c r="E6258" s="4" t="s">
        <v>2782</v>
      </c>
      <c r="F6258" s="4" t="s">
        <v>406</v>
      </c>
      <c r="G6258" s="4" t="s">
        <v>2783</v>
      </c>
      <c r="H6258" s="12" t="n">
        <v>12</v>
      </c>
      <c r="I6258" s="4" t="s">
        <v>474</v>
      </c>
      <c r="J6258" s="4" t="s">
        <v>409</v>
      </c>
      <c r="K6258" s="13" t="n">
        <v>450</v>
      </c>
      <c r="L6258" s="6" t="n">
        <f aca="false">H6258*K6258</f>
        <v>5400</v>
      </c>
      <c r="M6258" s="4" t="s">
        <v>371</v>
      </c>
    </row>
    <row r="6259" customFormat="false" ht="23.85" hidden="false" customHeight="false" outlineLevel="0" collapsed="false">
      <c r="A6259" s="4" t="s">
        <v>346</v>
      </c>
      <c r="B6259" s="5" t="s">
        <v>351</v>
      </c>
      <c r="C6259" s="5" t="s">
        <v>352</v>
      </c>
      <c r="D6259" s="4" t="s">
        <v>16</v>
      </c>
      <c r="E6259" s="4" t="s">
        <v>2784</v>
      </c>
      <c r="F6259" s="4" t="s">
        <v>406</v>
      </c>
      <c r="G6259" s="4" t="s">
        <v>2785</v>
      </c>
      <c r="H6259" s="12" t="n">
        <v>12</v>
      </c>
      <c r="I6259" s="4" t="s">
        <v>474</v>
      </c>
      <c r="J6259" s="4" t="s">
        <v>409</v>
      </c>
      <c r="K6259" s="13" t="n">
        <v>350</v>
      </c>
      <c r="L6259" s="6" t="n">
        <f aca="false">H6259*K6259</f>
        <v>4200</v>
      </c>
      <c r="M6259" s="4" t="s">
        <v>371</v>
      </c>
    </row>
    <row r="6260" customFormat="false" ht="23.85" hidden="false" customHeight="false" outlineLevel="0" collapsed="false">
      <c r="A6260" s="4" t="s">
        <v>346</v>
      </c>
      <c r="B6260" s="5" t="s">
        <v>351</v>
      </c>
      <c r="C6260" s="5" t="s">
        <v>352</v>
      </c>
      <c r="D6260" s="4" t="s">
        <v>16</v>
      </c>
      <c r="E6260" s="4" t="s">
        <v>2786</v>
      </c>
      <c r="F6260" s="4" t="s">
        <v>406</v>
      </c>
      <c r="G6260" s="4" t="s">
        <v>2787</v>
      </c>
      <c r="H6260" s="12" t="n">
        <v>6</v>
      </c>
      <c r="I6260" s="4" t="s">
        <v>474</v>
      </c>
      <c r="J6260" s="4" t="s">
        <v>409</v>
      </c>
      <c r="K6260" s="13" t="n">
        <v>450</v>
      </c>
      <c r="L6260" s="6" t="n">
        <f aca="false">H6260*K6260</f>
        <v>2700</v>
      </c>
      <c r="M6260" s="4" t="s">
        <v>371</v>
      </c>
    </row>
    <row r="6261" customFormat="false" ht="23.85" hidden="false" customHeight="false" outlineLevel="0" collapsed="false">
      <c r="A6261" s="4" t="s">
        <v>346</v>
      </c>
      <c r="B6261" s="5" t="s">
        <v>351</v>
      </c>
      <c r="C6261" s="5" t="s">
        <v>352</v>
      </c>
      <c r="D6261" s="4" t="s">
        <v>16</v>
      </c>
      <c r="E6261" s="4" t="s">
        <v>2788</v>
      </c>
      <c r="F6261" s="4" t="s">
        <v>406</v>
      </c>
      <c r="G6261" s="4" t="s">
        <v>2789</v>
      </c>
      <c r="H6261" s="12" t="n">
        <v>6</v>
      </c>
      <c r="I6261" s="4" t="s">
        <v>474</v>
      </c>
      <c r="J6261" s="4" t="s">
        <v>409</v>
      </c>
      <c r="K6261" s="13" t="n">
        <v>450</v>
      </c>
      <c r="L6261" s="6" t="n">
        <f aca="false">H6261*K6261</f>
        <v>2700</v>
      </c>
      <c r="M6261" s="14" t="s">
        <v>410</v>
      </c>
    </row>
    <row r="6262" customFormat="false" ht="23.85" hidden="false" customHeight="false" outlineLevel="0" collapsed="false">
      <c r="A6262" s="4" t="s">
        <v>346</v>
      </c>
      <c r="B6262" s="5" t="s">
        <v>351</v>
      </c>
      <c r="C6262" s="5" t="s">
        <v>352</v>
      </c>
      <c r="D6262" s="4" t="s">
        <v>16</v>
      </c>
      <c r="E6262" s="4" t="s">
        <v>2790</v>
      </c>
      <c r="F6262" s="4" t="s">
        <v>406</v>
      </c>
      <c r="G6262" s="4" t="s">
        <v>2791</v>
      </c>
      <c r="H6262" s="12" t="n">
        <v>6</v>
      </c>
      <c r="I6262" s="4" t="s">
        <v>474</v>
      </c>
      <c r="J6262" s="4" t="s">
        <v>409</v>
      </c>
      <c r="K6262" s="13" t="n">
        <v>850</v>
      </c>
      <c r="L6262" s="6" t="n">
        <f aca="false">H6262*K6262</f>
        <v>5100</v>
      </c>
      <c r="M6262" s="14" t="s">
        <v>410</v>
      </c>
    </row>
    <row r="6263" customFormat="false" ht="23.85" hidden="false" customHeight="false" outlineLevel="0" collapsed="false">
      <c r="A6263" s="4" t="s">
        <v>346</v>
      </c>
      <c r="B6263" s="5" t="s">
        <v>351</v>
      </c>
      <c r="C6263" s="5" t="s">
        <v>352</v>
      </c>
      <c r="D6263" s="4" t="s">
        <v>16</v>
      </c>
      <c r="E6263" s="4" t="s">
        <v>2792</v>
      </c>
      <c r="F6263" s="4" t="s">
        <v>406</v>
      </c>
      <c r="G6263" s="4" t="s">
        <v>2793</v>
      </c>
      <c r="H6263" s="12" t="n">
        <v>12</v>
      </c>
      <c r="I6263" s="4" t="s">
        <v>474</v>
      </c>
      <c r="J6263" s="4" t="s">
        <v>409</v>
      </c>
      <c r="K6263" s="13" t="n">
        <v>350</v>
      </c>
      <c r="L6263" s="6" t="n">
        <f aca="false">H6263*K6263</f>
        <v>4200</v>
      </c>
      <c r="M6263" s="14" t="s">
        <v>410</v>
      </c>
    </row>
    <row r="6264" customFormat="false" ht="23.85" hidden="false" customHeight="false" outlineLevel="0" collapsed="false">
      <c r="A6264" s="4" t="s">
        <v>346</v>
      </c>
      <c r="B6264" s="5" t="s">
        <v>351</v>
      </c>
      <c r="C6264" s="5" t="s">
        <v>352</v>
      </c>
      <c r="D6264" s="4" t="s">
        <v>16</v>
      </c>
      <c r="E6264" s="4" t="s">
        <v>2794</v>
      </c>
      <c r="F6264" s="4" t="s">
        <v>470</v>
      </c>
      <c r="G6264" s="4" t="s">
        <v>2795</v>
      </c>
      <c r="H6264" s="12" t="n">
        <v>1</v>
      </c>
      <c r="I6264" s="4" t="s">
        <v>474</v>
      </c>
      <c r="J6264" s="4" t="s">
        <v>416</v>
      </c>
      <c r="K6264" s="13" t="n">
        <v>65000</v>
      </c>
      <c r="L6264" s="6" t="n">
        <f aca="false">H6264*K6264</f>
        <v>65000</v>
      </c>
      <c r="M6264" s="4" t="s">
        <v>371</v>
      </c>
    </row>
    <row r="6265" customFormat="false" ht="23.85" hidden="false" customHeight="false" outlineLevel="0" collapsed="false">
      <c r="A6265" s="4" t="s">
        <v>346</v>
      </c>
      <c r="B6265" s="5" t="s">
        <v>351</v>
      </c>
      <c r="C6265" s="5" t="s">
        <v>352</v>
      </c>
      <c r="D6265" s="4" t="s">
        <v>16</v>
      </c>
      <c r="E6265" s="4" t="s">
        <v>2796</v>
      </c>
      <c r="F6265" s="4" t="s">
        <v>470</v>
      </c>
      <c r="G6265" s="4" t="s">
        <v>2797</v>
      </c>
      <c r="H6265" s="12" t="n">
        <v>3</v>
      </c>
      <c r="I6265" s="4" t="s">
        <v>474</v>
      </c>
      <c r="J6265" s="4" t="s">
        <v>409</v>
      </c>
      <c r="K6265" s="13" t="n">
        <v>8500</v>
      </c>
      <c r="L6265" s="6" t="n">
        <f aca="false">H6265*K6265</f>
        <v>25500</v>
      </c>
      <c r="M6265" s="4" t="s">
        <v>371</v>
      </c>
    </row>
    <row r="6266" customFormat="false" ht="23.85" hidden="false" customHeight="false" outlineLevel="0" collapsed="false">
      <c r="A6266" s="4" t="s">
        <v>346</v>
      </c>
      <c r="B6266" s="5" t="s">
        <v>351</v>
      </c>
      <c r="C6266" s="5" t="s">
        <v>352</v>
      </c>
      <c r="D6266" s="4" t="s">
        <v>16</v>
      </c>
      <c r="E6266" s="4" t="s">
        <v>2798</v>
      </c>
      <c r="F6266" s="4" t="s">
        <v>470</v>
      </c>
      <c r="G6266" s="4" t="s">
        <v>2799</v>
      </c>
      <c r="H6266" s="12" t="n">
        <v>12</v>
      </c>
      <c r="I6266" s="4" t="s">
        <v>474</v>
      </c>
      <c r="J6266" s="4" t="s">
        <v>409</v>
      </c>
      <c r="K6266" s="13" t="n">
        <v>2500</v>
      </c>
      <c r="L6266" s="6" t="n">
        <f aca="false">H6266*K6266</f>
        <v>30000</v>
      </c>
      <c r="M6266" s="4" t="s">
        <v>371</v>
      </c>
    </row>
    <row r="6267" customFormat="false" ht="23.85" hidden="false" customHeight="false" outlineLevel="0" collapsed="false">
      <c r="A6267" s="4" t="s">
        <v>346</v>
      </c>
      <c r="B6267" s="5" t="s">
        <v>351</v>
      </c>
      <c r="C6267" s="5" t="s">
        <v>352</v>
      </c>
      <c r="D6267" s="4" t="s">
        <v>16</v>
      </c>
      <c r="E6267" s="4" t="s">
        <v>2800</v>
      </c>
      <c r="F6267" s="4" t="s">
        <v>470</v>
      </c>
      <c r="G6267" s="4" t="s">
        <v>2801</v>
      </c>
      <c r="H6267" s="12" t="n">
        <v>1</v>
      </c>
      <c r="I6267" s="4" t="s">
        <v>474</v>
      </c>
      <c r="J6267" s="4" t="s">
        <v>409</v>
      </c>
      <c r="K6267" s="13" t="n">
        <v>8500</v>
      </c>
      <c r="L6267" s="6" t="n">
        <f aca="false">H6267*K6267</f>
        <v>8500</v>
      </c>
      <c r="M6267" s="4" t="s">
        <v>371</v>
      </c>
    </row>
    <row r="6268" customFormat="false" ht="23.85" hidden="false" customHeight="false" outlineLevel="0" collapsed="false">
      <c r="A6268" s="4" t="s">
        <v>346</v>
      </c>
      <c r="B6268" s="5" t="s">
        <v>351</v>
      </c>
      <c r="C6268" s="5" t="s">
        <v>352</v>
      </c>
      <c r="D6268" s="4" t="s">
        <v>16</v>
      </c>
      <c r="E6268" s="4" t="s">
        <v>2802</v>
      </c>
      <c r="F6268" s="4" t="s">
        <v>470</v>
      </c>
      <c r="G6268" s="4" t="s">
        <v>2803</v>
      </c>
      <c r="H6268" s="12" t="n">
        <v>1</v>
      </c>
      <c r="I6268" s="4" t="s">
        <v>474</v>
      </c>
      <c r="J6268" s="4" t="s">
        <v>409</v>
      </c>
      <c r="K6268" s="13" t="n">
        <v>35000</v>
      </c>
      <c r="L6268" s="6" t="n">
        <f aca="false">H6268*K6268</f>
        <v>35000</v>
      </c>
      <c r="M6268" s="4" t="s">
        <v>371</v>
      </c>
    </row>
    <row r="6269" customFormat="false" ht="23.85" hidden="false" customHeight="false" outlineLevel="0" collapsed="false">
      <c r="A6269" s="4" t="s">
        <v>346</v>
      </c>
      <c r="B6269" s="5" t="s">
        <v>351</v>
      </c>
      <c r="C6269" s="5" t="s">
        <v>352</v>
      </c>
      <c r="D6269" s="4" t="s">
        <v>16</v>
      </c>
      <c r="E6269" s="4" t="s">
        <v>2804</v>
      </c>
      <c r="F6269" s="4" t="s">
        <v>470</v>
      </c>
      <c r="G6269" s="4" t="s">
        <v>2805</v>
      </c>
      <c r="H6269" s="12" t="n">
        <v>1</v>
      </c>
      <c r="I6269" s="4" t="s">
        <v>474</v>
      </c>
      <c r="J6269" s="4" t="s">
        <v>409</v>
      </c>
      <c r="K6269" s="13" t="n">
        <v>25000</v>
      </c>
      <c r="L6269" s="6" t="n">
        <f aca="false">H6269*K6269</f>
        <v>25000</v>
      </c>
      <c r="M6269" s="4" t="s">
        <v>371</v>
      </c>
    </row>
    <row r="6270" customFormat="false" ht="23.85" hidden="false" customHeight="false" outlineLevel="0" collapsed="false">
      <c r="A6270" s="4" t="s">
        <v>346</v>
      </c>
      <c r="B6270" s="5" t="s">
        <v>351</v>
      </c>
      <c r="C6270" s="5" t="s">
        <v>352</v>
      </c>
      <c r="D6270" s="4" t="s">
        <v>16</v>
      </c>
      <c r="E6270" s="4" t="s">
        <v>2806</v>
      </c>
      <c r="F6270" s="4" t="s">
        <v>470</v>
      </c>
      <c r="G6270" s="4" t="s">
        <v>2807</v>
      </c>
      <c r="H6270" s="12" t="n">
        <v>1</v>
      </c>
      <c r="I6270" s="4" t="s">
        <v>474</v>
      </c>
      <c r="J6270" s="4" t="s">
        <v>409</v>
      </c>
      <c r="K6270" s="13" t="n">
        <v>12000</v>
      </c>
      <c r="L6270" s="6" t="n">
        <f aca="false">H6270*K6270</f>
        <v>12000</v>
      </c>
      <c r="M6270" s="4" t="s">
        <v>371</v>
      </c>
    </row>
    <row r="6271" customFormat="false" ht="23.85" hidden="false" customHeight="false" outlineLevel="0" collapsed="false">
      <c r="A6271" s="4" t="s">
        <v>346</v>
      </c>
      <c r="B6271" s="5" t="s">
        <v>351</v>
      </c>
      <c r="C6271" s="5" t="s">
        <v>352</v>
      </c>
      <c r="D6271" s="4" t="s">
        <v>16</v>
      </c>
      <c r="E6271" s="4" t="s">
        <v>2811</v>
      </c>
      <c r="F6271" s="4" t="s">
        <v>488</v>
      </c>
      <c r="G6271" s="4" t="s">
        <v>2812</v>
      </c>
      <c r="H6271" s="12" t="n">
        <v>6</v>
      </c>
      <c r="I6271" s="4" t="s">
        <v>474</v>
      </c>
      <c r="J6271" s="4" t="s">
        <v>409</v>
      </c>
      <c r="K6271" s="13" t="n">
        <v>450</v>
      </c>
      <c r="L6271" s="6" t="n">
        <f aca="false">H6271*K6271</f>
        <v>2700</v>
      </c>
      <c r="M6271" s="4" t="s">
        <v>371</v>
      </c>
    </row>
    <row r="6272" customFormat="false" ht="23.85" hidden="false" customHeight="false" outlineLevel="0" collapsed="false">
      <c r="A6272" s="4" t="s">
        <v>346</v>
      </c>
      <c r="B6272" s="5" t="s">
        <v>351</v>
      </c>
      <c r="C6272" s="5" t="s">
        <v>352</v>
      </c>
      <c r="D6272" s="4" t="s">
        <v>16</v>
      </c>
      <c r="E6272" s="4" t="s">
        <v>2813</v>
      </c>
      <c r="F6272" s="4" t="s">
        <v>488</v>
      </c>
      <c r="G6272" s="4" t="s">
        <v>2814</v>
      </c>
      <c r="H6272" s="12" t="n">
        <v>36</v>
      </c>
      <c r="I6272" s="4" t="s">
        <v>474</v>
      </c>
      <c r="J6272" s="4" t="s">
        <v>2815</v>
      </c>
      <c r="K6272" s="13" t="n">
        <v>350</v>
      </c>
      <c r="L6272" s="6" t="n">
        <f aca="false">H6272*K6272</f>
        <v>12600</v>
      </c>
      <c r="M6272" s="4" t="s">
        <v>371</v>
      </c>
    </row>
    <row r="6273" customFormat="false" ht="23.85" hidden="false" customHeight="false" outlineLevel="0" collapsed="false">
      <c r="A6273" s="4" t="s">
        <v>346</v>
      </c>
      <c r="B6273" s="5" t="s">
        <v>351</v>
      </c>
      <c r="C6273" s="5" t="s">
        <v>352</v>
      </c>
      <c r="D6273" s="4" t="s">
        <v>16</v>
      </c>
      <c r="E6273" s="4" t="s">
        <v>2808</v>
      </c>
      <c r="F6273" s="4" t="s">
        <v>470</v>
      </c>
      <c r="G6273" s="4" t="s">
        <v>2809</v>
      </c>
      <c r="H6273" s="12" t="n">
        <v>1</v>
      </c>
      <c r="I6273" s="4" t="s">
        <v>474</v>
      </c>
      <c r="J6273" s="4" t="s">
        <v>2810</v>
      </c>
      <c r="K6273" s="13" t="n">
        <v>0</v>
      </c>
      <c r="L6273" s="6" t="n">
        <f aca="false">H6273*K6273</f>
        <v>0</v>
      </c>
      <c r="M6273" s="4" t="s">
        <v>371</v>
      </c>
    </row>
    <row r="6274" customFormat="false" ht="23.85" hidden="false" customHeight="false" outlineLevel="0" collapsed="false">
      <c r="A6274" s="4" t="s">
        <v>346</v>
      </c>
      <c r="B6274" s="5" t="s">
        <v>355</v>
      </c>
      <c r="C6274" s="5" t="s">
        <v>356</v>
      </c>
      <c r="D6274" s="4" t="s">
        <v>16</v>
      </c>
      <c r="E6274" s="4" t="s">
        <v>6600</v>
      </c>
      <c r="F6274" s="4" t="s">
        <v>406</v>
      </c>
      <c r="G6274" s="4" t="s">
        <v>6601</v>
      </c>
      <c r="H6274" s="12" t="n">
        <v>1</v>
      </c>
      <c r="I6274" s="4" t="s">
        <v>408</v>
      </c>
      <c r="J6274" s="4" t="s">
        <v>416</v>
      </c>
      <c r="K6274" s="13" t="n">
        <v>1800</v>
      </c>
      <c r="L6274" s="6" t="n">
        <f aca="false">H6274*K6274</f>
        <v>1800</v>
      </c>
      <c r="M6274" s="4" t="s">
        <v>371</v>
      </c>
    </row>
    <row r="6275" customFormat="false" ht="23.85" hidden="false" customHeight="false" outlineLevel="0" collapsed="false">
      <c r="A6275" s="4" t="s">
        <v>346</v>
      </c>
      <c r="B6275" s="5" t="s">
        <v>355</v>
      </c>
      <c r="C6275" s="5" t="s">
        <v>356</v>
      </c>
      <c r="D6275" s="4" t="s">
        <v>16</v>
      </c>
      <c r="E6275" s="4" t="s">
        <v>2225</v>
      </c>
      <c r="F6275" s="4" t="s">
        <v>406</v>
      </c>
      <c r="G6275" s="4" t="s">
        <v>2226</v>
      </c>
      <c r="H6275" s="12" t="n">
        <v>1</v>
      </c>
      <c r="I6275" s="4" t="s">
        <v>408</v>
      </c>
      <c r="J6275" s="4" t="s">
        <v>409</v>
      </c>
      <c r="K6275" s="13" t="n">
        <v>350</v>
      </c>
      <c r="L6275" s="6" t="n">
        <f aca="false">H6275*K6275</f>
        <v>350</v>
      </c>
      <c r="M6275" s="14" t="s">
        <v>410</v>
      </c>
    </row>
    <row r="6276" customFormat="false" ht="23.85" hidden="false" customHeight="false" outlineLevel="0" collapsed="false">
      <c r="A6276" s="4" t="s">
        <v>346</v>
      </c>
      <c r="B6276" s="5" t="s">
        <v>355</v>
      </c>
      <c r="C6276" s="5" t="s">
        <v>356</v>
      </c>
      <c r="D6276" s="4" t="s">
        <v>16</v>
      </c>
      <c r="E6276" s="4" t="s">
        <v>6602</v>
      </c>
      <c r="F6276" s="4" t="s">
        <v>406</v>
      </c>
      <c r="G6276" s="4" t="s">
        <v>6603</v>
      </c>
      <c r="H6276" s="12" t="n">
        <v>1</v>
      </c>
      <c r="I6276" s="4" t="s">
        <v>408</v>
      </c>
      <c r="J6276" s="4" t="s">
        <v>416</v>
      </c>
      <c r="K6276" s="13" t="n">
        <v>12000</v>
      </c>
      <c r="L6276" s="6" t="n">
        <f aca="false">H6276*K6276</f>
        <v>12000</v>
      </c>
      <c r="M6276" s="4" t="s">
        <v>371</v>
      </c>
    </row>
    <row r="6277" customFormat="false" ht="23.85" hidden="false" customHeight="false" outlineLevel="0" collapsed="false">
      <c r="A6277" s="4" t="s">
        <v>346</v>
      </c>
      <c r="B6277" s="5" t="s">
        <v>355</v>
      </c>
      <c r="C6277" s="5" t="s">
        <v>356</v>
      </c>
      <c r="D6277" s="4" t="s">
        <v>16</v>
      </c>
      <c r="E6277" s="4" t="s">
        <v>6604</v>
      </c>
      <c r="F6277" s="4" t="s">
        <v>406</v>
      </c>
      <c r="G6277" s="4" t="s">
        <v>6605</v>
      </c>
      <c r="H6277" s="12" t="n">
        <v>1</v>
      </c>
      <c r="I6277" s="4" t="s">
        <v>408</v>
      </c>
      <c r="J6277" s="4" t="s">
        <v>416</v>
      </c>
      <c r="K6277" s="13" t="n">
        <v>8500</v>
      </c>
      <c r="L6277" s="6" t="n">
        <f aca="false">H6277*K6277</f>
        <v>8500</v>
      </c>
      <c r="M6277" s="4" t="s">
        <v>371</v>
      </c>
    </row>
    <row r="6278" customFormat="false" ht="23.85" hidden="false" customHeight="false" outlineLevel="0" collapsed="false">
      <c r="A6278" s="4" t="s">
        <v>346</v>
      </c>
      <c r="B6278" s="5" t="s">
        <v>355</v>
      </c>
      <c r="C6278" s="5" t="s">
        <v>356</v>
      </c>
      <c r="D6278" s="4" t="s">
        <v>16</v>
      </c>
      <c r="E6278" s="4" t="s">
        <v>6606</v>
      </c>
      <c r="F6278" s="4" t="s">
        <v>406</v>
      </c>
      <c r="G6278" s="4" t="s">
        <v>6607</v>
      </c>
      <c r="H6278" s="12" t="n">
        <v>1</v>
      </c>
      <c r="I6278" s="4" t="s">
        <v>408</v>
      </c>
      <c r="J6278" s="4" t="s">
        <v>409</v>
      </c>
      <c r="K6278" s="13" t="n">
        <v>8500</v>
      </c>
      <c r="L6278" s="6" t="n">
        <f aca="false">H6278*K6278</f>
        <v>8500</v>
      </c>
      <c r="M6278" s="14" t="s">
        <v>410</v>
      </c>
    </row>
    <row r="6279" customFormat="false" ht="23.85" hidden="false" customHeight="false" outlineLevel="0" collapsed="false">
      <c r="A6279" s="4" t="s">
        <v>346</v>
      </c>
      <c r="B6279" s="5" t="s">
        <v>355</v>
      </c>
      <c r="C6279" s="5" t="s">
        <v>356</v>
      </c>
      <c r="D6279" s="4" t="s">
        <v>16</v>
      </c>
      <c r="E6279" s="4" t="s">
        <v>2261</v>
      </c>
      <c r="F6279" s="4" t="s">
        <v>406</v>
      </c>
      <c r="G6279" s="4" t="s">
        <v>2262</v>
      </c>
      <c r="H6279" s="12" t="n">
        <v>1</v>
      </c>
      <c r="I6279" s="4" t="s">
        <v>408</v>
      </c>
      <c r="J6279" s="4" t="s">
        <v>409</v>
      </c>
      <c r="K6279" s="13" t="n">
        <v>18000</v>
      </c>
      <c r="L6279" s="6" t="n">
        <f aca="false">H6279*K6279</f>
        <v>18000</v>
      </c>
      <c r="M6279" s="14" t="s">
        <v>410</v>
      </c>
    </row>
    <row r="6280" customFormat="false" ht="23.85" hidden="false" customHeight="false" outlineLevel="0" collapsed="false">
      <c r="A6280" s="4" t="s">
        <v>346</v>
      </c>
      <c r="B6280" s="5" t="s">
        <v>355</v>
      </c>
      <c r="C6280" s="5" t="s">
        <v>356</v>
      </c>
      <c r="D6280" s="4" t="s">
        <v>16</v>
      </c>
      <c r="E6280" s="4" t="s">
        <v>4595</v>
      </c>
      <c r="F6280" s="4" t="s">
        <v>470</v>
      </c>
      <c r="G6280" s="4" t="s">
        <v>4596</v>
      </c>
      <c r="H6280" s="12" t="n">
        <v>1</v>
      </c>
      <c r="I6280" s="4" t="s">
        <v>408</v>
      </c>
      <c r="J6280" s="4" t="s">
        <v>409</v>
      </c>
      <c r="K6280" s="13" t="n">
        <v>45000</v>
      </c>
      <c r="L6280" s="6" t="n">
        <f aca="false">H6280*K6280</f>
        <v>45000</v>
      </c>
      <c r="M6280" s="4" t="s">
        <v>371</v>
      </c>
    </row>
    <row r="6281" customFormat="false" ht="23.85" hidden="false" customHeight="false" outlineLevel="0" collapsed="false">
      <c r="A6281" s="4" t="s">
        <v>346</v>
      </c>
      <c r="B6281" s="5" t="s">
        <v>355</v>
      </c>
      <c r="C6281" s="5" t="s">
        <v>356</v>
      </c>
      <c r="D6281" s="4" t="s">
        <v>16</v>
      </c>
      <c r="E6281" s="4" t="s">
        <v>6608</v>
      </c>
      <c r="F6281" s="4" t="s">
        <v>470</v>
      </c>
      <c r="G6281" s="4" t="s">
        <v>6609</v>
      </c>
      <c r="H6281" s="12" t="n">
        <v>1</v>
      </c>
      <c r="I6281" s="4" t="s">
        <v>408</v>
      </c>
      <c r="J6281" s="4" t="s">
        <v>416</v>
      </c>
      <c r="K6281" s="13" t="n">
        <v>85000</v>
      </c>
      <c r="L6281" s="6" t="n">
        <f aca="false">H6281*K6281</f>
        <v>85000</v>
      </c>
      <c r="M6281" s="4" t="s">
        <v>371</v>
      </c>
    </row>
    <row r="6282" customFormat="false" ht="23.85" hidden="false" customHeight="false" outlineLevel="0" collapsed="false">
      <c r="A6282" s="4" t="s">
        <v>346</v>
      </c>
      <c r="B6282" s="5" t="s">
        <v>355</v>
      </c>
      <c r="C6282" s="5" t="s">
        <v>356</v>
      </c>
      <c r="D6282" s="4" t="s">
        <v>16</v>
      </c>
      <c r="E6282" s="4" t="s">
        <v>6610</v>
      </c>
      <c r="F6282" s="4" t="s">
        <v>470</v>
      </c>
      <c r="G6282" s="4" t="s">
        <v>6611</v>
      </c>
      <c r="H6282" s="12" t="n">
        <v>1</v>
      </c>
      <c r="I6282" s="4" t="s">
        <v>408</v>
      </c>
      <c r="J6282" s="4" t="s">
        <v>416</v>
      </c>
      <c r="K6282" s="13" t="n">
        <v>4500</v>
      </c>
      <c r="L6282" s="6" t="n">
        <f aca="false">H6282*K6282</f>
        <v>4500</v>
      </c>
      <c r="M6282" s="4" t="s">
        <v>371</v>
      </c>
    </row>
    <row r="6283" customFormat="false" ht="23.85" hidden="false" customHeight="false" outlineLevel="0" collapsed="false">
      <c r="A6283" s="4" t="s">
        <v>346</v>
      </c>
      <c r="B6283" s="5" t="s">
        <v>355</v>
      </c>
      <c r="C6283" s="5" t="s">
        <v>356</v>
      </c>
      <c r="D6283" s="4" t="s">
        <v>16</v>
      </c>
      <c r="E6283" s="4" t="s">
        <v>6612</v>
      </c>
      <c r="F6283" s="4" t="s">
        <v>470</v>
      </c>
      <c r="G6283" s="4" t="s">
        <v>6613</v>
      </c>
      <c r="H6283" s="12" t="n">
        <v>1</v>
      </c>
      <c r="I6283" s="4" t="s">
        <v>408</v>
      </c>
      <c r="J6283" s="4" t="s">
        <v>409</v>
      </c>
      <c r="K6283" s="13" t="n">
        <v>35000</v>
      </c>
      <c r="L6283" s="6" t="n">
        <f aca="false">H6283*K6283</f>
        <v>35000</v>
      </c>
      <c r="M6283" s="4" t="s">
        <v>371</v>
      </c>
    </row>
    <row r="6284" customFormat="false" ht="23.85" hidden="false" customHeight="false" outlineLevel="0" collapsed="false">
      <c r="A6284" s="4" t="s">
        <v>346</v>
      </c>
      <c r="B6284" s="5" t="s">
        <v>355</v>
      </c>
      <c r="C6284" s="5" t="s">
        <v>356</v>
      </c>
      <c r="D6284" s="4" t="s">
        <v>16</v>
      </c>
      <c r="E6284" s="4" t="s">
        <v>6614</v>
      </c>
      <c r="F6284" s="4" t="s">
        <v>470</v>
      </c>
      <c r="G6284" s="4" t="s">
        <v>6615</v>
      </c>
      <c r="H6284" s="12" t="n">
        <v>1</v>
      </c>
      <c r="I6284" s="4" t="s">
        <v>408</v>
      </c>
      <c r="J6284" s="4" t="s">
        <v>409</v>
      </c>
      <c r="K6284" s="13" t="n">
        <v>250000</v>
      </c>
      <c r="L6284" s="6" t="n">
        <f aca="false">H6284*K6284</f>
        <v>250000</v>
      </c>
      <c r="M6284" s="4" t="s">
        <v>371</v>
      </c>
    </row>
    <row r="6285" customFormat="false" ht="23.85" hidden="false" customHeight="false" outlineLevel="0" collapsed="false">
      <c r="A6285" s="4" t="s">
        <v>346</v>
      </c>
      <c r="B6285" s="5" t="s">
        <v>355</v>
      </c>
      <c r="C6285" s="5" t="s">
        <v>356</v>
      </c>
      <c r="D6285" s="4" t="s">
        <v>16</v>
      </c>
      <c r="E6285" s="4" t="s">
        <v>6616</v>
      </c>
      <c r="F6285" s="4" t="s">
        <v>470</v>
      </c>
      <c r="G6285" s="4" t="s">
        <v>6617</v>
      </c>
      <c r="H6285" s="12" t="n">
        <v>1</v>
      </c>
      <c r="I6285" s="4" t="s">
        <v>408</v>
      </c>
      <c r="J6285" s="4" t="s">
        <v>416</v>
      </c>
      <c r="K6285" s="13" t="n">
        <v>35000</v>
      </c>
      <c r="L6285" s="6" t="n">
        <f aca="false">H6285*K6285</f>
        <v>35000</v>
      </c>
      <c r="M6285" s="4" t="s">
        <v>371</v>
      </c>
    </row>
    <row r="6286" customFormat="false" ht="23.85" hidden="false" customHeight="false" outlineLevel="0" collapsed="false">
      <c r="A6286" s="4" t="s">
        <v>346</v>
      </c>
      <c r="B6286" s="5" t="s">
        <v>355</v>
      </c>
      <c r="C6286" s="5" t="s">
        <v>356</v>
      </c>
      <c r="D6286" s="4" t="s">
        <v>16</v>
      </c>
      <c r="E6286" s="4" t="s">
        <v>6618</v>
      </c>
      <c r="F6286" s="4" t="s">
        <v>470</v>
      </c>
      <c r="G6286" s="4" t="s">
        <v>6619</v>
      </c>
      <c r="H6286" s="12" t="n">
        <v>1</v>
      </c>
      <c r="I6286" s="4" t="s">
        <v>408</v>
      </c>
      <c r="J6286" s="4" t="s">
        <v>543</v>
      </c>
      <c r="K6286" s="13" t="n">
        <v>85000</v>
      </c>
      <c r="L6286" s="6" t="n">
        <f aca="false">H6286*K6286</f>
        <v>85000</v>
      </c>
      <c r="M6286" s="4" t="s">
        <v>371</v>
      </c>
    </row>
    <row r="6287" customFormat="false" ht="23.85" hidden="false" customHeight="false" outlineLevel="0" collapsed="false">
      <c r="A6287" s="4" t="s">
        <v>346</v>
      </c>
      <c r="B6287" s="5" t="s">
        <v>355</v>
      </c>
      <c r="C6287" s="5" t="s">
        <v>356</v>
      </c>
      <c r="D6287" s="4" t="s">
        <v>16</v>
      </c>
      <c r="E6287" s="4" t="s">
        <v>6620</v>
      </c>
      <c r="F6287" s="4" t="s">
        <v>470</v>
      </c>
      <c r="G6287" s="4" t="s">
        <v>2640</v>
      </c>
      <c r="H6287" s="12" t="n">
        <v>1</v>
      </c>
      <c r="I6287" s="4" t="s">
        <v>408</v>
      </c>
      <c r="J6287" s="4" t="s">
        <v>409</v>
      </c>
      <c r="K6287" s="13" t="n">
        <v>3500</v>
      </c>
      <c r="L6287" s="6" t="n">
        <f aca="false">H6287*K6287</f>
        <v>3500</v>
      </c>
      <c r="M6287" s="14" t="s">
        <v>410</v>
      </c>
    </row>
    <row r="6288" customFormat="false" ht="23.85" hidden="false" customHeight="false" outlineLevel="0" collapsed="false">
      <c r="A6288" s="4" t="s">
        <v>346</v>
      </c>
      <c r="B6288" s="5" t="s">
        <v>355</v>
      </c>
      <c r="C6288" s="5" t="s">
        <v>356</v>
      </c>
      <c r="D6288" s="4" t="s">
        <v>16</v>
      </c>
      <c r="E6288" s="4" t="s">
        <v>2163</v>
      </c>
      <c r="F6288" s="4" t="s">
        <v>470</v>
      </c>
      <c r="G6288" s="4" t="s">
        <v>2164</v>
      </c>
      <c r="H6288" s="12" t="n">
        <v>1</v>
      </c>
      <c r="I6288" s="4" t="s">
        <v>408</v>
      </c>
      <c r="J6288" s="4" t="s">
        <v>409</v>
      </c>
      <c r="K6288" s="13" t="n">
        <v>35000</v>
      </c>
      <c r="L6288" s="6" t="n">
        <f aca="false">H6288*K6288</f>
        <v>35000</v>
      </c>
      <c r="M6288" s="14" t="s">
        <v>410</v>
      </c>
    </row>
    <row r="6289" customFormat="false" ht="23.85" hidden="false" customHeight="false" outlineLevel="0" collapsed="false">
      <c r="A6289" s="4" t="s">
        <v>346</v>
      </c>
      <c r="B6289" s="5" t="s">
        <v>355</v>
      </c>
      <c r="C6289" s="5" t="s">
        <v>356</v>
      </c>
      <c r="D6289" s="4" t="s">
        <v>16</v>
      </c>
      <c r="E6289" s="4" t="s">
        <v>1058</v>
      </c>
      <c r="F6289" s="4" t="s">
        <v>470</v>
      </c>
      <c r="G6289" s="4" t="s">
        <v>1059</v>
      </c>
      <c r="H6289" s="12" t="n">
        <v>1</v>
      </c>
      <c r="I6289" s="4" t="s">
        <v>408</v>
      </c>
      <c r="J6289" s="4" t="s">
        <v>409</v>
      </c>
      <c r="K6289" s="13" t="n">
        <v>45000</v>
      </c>
      <c r="L6289" s="6" t="n">
        <f aca="false">H6289*K6289</f>
        <v>45000</v>
      </c>
      <c r="M6289" s="14" t="s">
        <v>410</v>
      </c>
    </row>
    <row r="6290" customFormat="false" ht="23.85" hidden="false" customHeight="false" outlineLevel="0" collapsed="false">
      <c r="A6290" s="4" t="s">
        <v>346</v>
      </c>
      <c r="B6290" s="5" t="s">
        <v>355</v>
      </c>
      <c r="C6290" s="5" t="s">
        <v>356</v>
      </c>
      <c r="D6290" s="4" t="s">
        <v>16</v>
      </c>
      <c r="E6290" s="4" t="s">
        <v>6621</v>
      </c>
      <c r="F6290" s="4" t="s">
        <v>470</v>
      </c>
      <c r="G6290" s="4" t="s">
        <v>6622</v>
      </c>
      <c r="H6290" s="12" t="n">
        <v>1</v>
      </c>
      <c r="I6290" s="4" t="s">
        <v>408</v>
      </c>
      <c r="J6290" s="4" t="s">
        <v>543</v>
      </c>
      <c r="K6290" s="13" t="n">
        <v>85000</v>
      </c>
      <c r="L6290" s="6" t="n">
        <f aca="false">H6290*K6290</f>
        <v>85000</v>
      </c>
      <c r="M6290" s="4" t="s">
        <v>371</v>
      </c>
    </row>
    <row r="6291" customFormat="false" ht="23.85" hidden="false" customHeight="false" outlineLevel="0" collapsed="false">
      <c r="A6291" s="4" t="s">
        <v>346</v>
      </c>
      <c r="B6291" s="5" t="s">
        <v>355</v>
      </c>
      <c r="C6291" s="5" t="s">
        <v>356</v>
      </c>
      <c r="D6291" s="4" t="s">
        <v>16</v>
      </c>
      <c r="E6291" s="4" t="s">
        <v>6623</v>
      </c>
      <c r="F6291" s="4" t="s">
        <v>470</v>
      </c>
      <c r="G6291" s="4" t="s">
        <v>6624</v>
      </c>
      <c r="H6291" s="12" t="n">
        <v>1</v>
      </c>
      <c r="I6291" s="4" t="s">
        <v>408</v>
      </c>
      <c r="J6291" s="4" t="s">
        <v>2810</v>
      </c>
      <c r="K6291" s="13" t="n">
        <v>0</v>
      </c>
      <c r="L6291" s="6" t="n">
        <f aca="false">H6291*K6291</f>
        <v>0</v>
      </c>
      <c r="M6291" s="4" t="s">
        <v>371</v>
      </c>
    </row>
    <row r="6292" customFormat="false" ht="23.85" hidden="false" customHeight="false" outlineLevel="0" collapsed="false">
      <c r="A6292" s="4" t="s">
        <v>346</v>
      </c>
      <c r="B6292" s="5" t="s">
        <v>355</v>
      </c>
      <c r="C6292" s="5" t="s">
        <v>356</v>
      </c>
      <c r="D6292" s="4" t="s">
        <v>16</v>
      </c>
      <c r="E6292" s="4" t="s">
        <v>6625</v>
      </c>
      <c r="F6292" s="4" t="s">
        <v>470</v>
      </c>
      <c r="G6292" s="4" t="s">
        <v>6626</v>
      </c>
      <c r="H6292" s="12" t="n">
        <v>1</v>
      </c>
      <c r="I6292" s="4" t="s">
        <v>408</v>
      </c>
      <c r="J6292" s="4" t="s">
        <v>409</v>
      </c>
      <c r="K6292" s="13" t="n">
        <v>8500</v>
      </c>
      <c r="L6292" s="6" t="n">
        <f aca="false">H6292*K6292</f>
        <v>8500</v>
      </c>
      <c r="M6292" s="4" t="s">
        <v>371</v>
      </c>
    </row>
    <row r="6293" customFormat="false" ht="23.85" hidden="false" customHeight="false" outlineLevel="0" collapsed="false">
      <c r="A6293" s="4" t="s">
        <v>346</v>
      </c>
      <c r="B6293" s="5" t="s">
        <v>355</v>
      </c>
      <c r="C6293" s="5" t="s">
        <v>356</v>
      </c>
      <c r="D6293" s="4" t="s">
        <v>16</v>
      </c>
      <c r="E6293" s="4" t="s">
        <v>6627</v>
      </c>
      <c r="F6293" s="4" t="s">
        <v>470</v>
      </c>
      <c r="G6293" s="4" t="s">
        <v>6628</v>
      </c>
      <c r="H6293" s="12" t="n">
        <v>1</v>
      </c>
      <c r="I6293" s="4" t="s">
        <v>408</v>
      </c>
      <c r="J6293" s="4" t="s">
        <v>416</v>
      </c>
      <c r="K6293" s="13" t="n">
        <v>85000</v>
      </c>
      <c r="L6293" s="6" t="n">
        <f aca="false">H6293*K6293</f>
        <v>85000</v>
      </c>
      <c r="M6293" s="4" t="s">
        <v>371</v>
      </c>
    </row>
    <row r="6294" customFormat="false" ht="23.85" hidden="false" customHeight="false" outlineLevel="0" collapsed="false">
      <c r="A6294" s="4" t="s">
        <v>346</v>
      </c>
      <c r="B6294" s="5" t="s">
        <v>355</v>
      </c>
      <c r="C6294" s="5" t="s">
        <v>356</v>
      </c>
      <c r="D6294" s="4" t="s">
        <v>16</v>
      </c>
      <c r="E6294" s="4" t="s">
        <v>6629</v>
      </c>
      <c r="F6294" s="4" t="s">
        <v>470</v>
      </c>
      <c r="G6294" s="4" t="s">
        <v>6630</v>
      </c>
      <c r="H6294" s="12" t="n">
        <v>1</v>
      </c>
      <c r="I6294" s="4" t="s">
        <v>408</v>
      </c>
      <c r="J6294" s="4" t="s">
        <v>409</v>
      </c>
      <c r="K6294" s="13" t="n">
        <v>8500</v>
      </c>
      <c r="L6294" s="6" t="n">
        <f aca="false">H6294*K6294</f>
        <v>8500</v>
      </c>
      <c r="M6294" s="4" t="s">
        <v>371</v>
      </c>
    </row>
    <row r="6295" customFormat="false" ht="23.85" hidden="false" customHeight="false" outlineLevel="0" collapsed="false">
      <c r="A6295" s="4" t="s">
        <v>346</v>
      </c>
      <c r="B6295" s="5" t="s">
        <v>355</v>
      </c>
      <c r="C6295" s="5" t="s">
        <v>356</v>
      </c>
      <c r="D6295" s="4" t="s">
        <v>16</v>
      </c>
      <c r="E6295" s="4" t="s">
        <v>6631</v>
      </c>
      <c r="F6295" s="4" t="s">
        <v>470</v>
      </c>
      <c r="G6295" s="4" t="s">
        <v>6632</v>
      </c>
      <c r="H6295" s="12" t="n">
        <v>1</v>
      </c>
      <c r="I6295" s="4" t="s">
        <v>408</v>
      </c>
      <c r="J6295" s="4" t="s">
        <v>413</v>
      </c>
      <c r="K6295" s="13" t="n">
        <v>450</v>
      </c>
      <c r="L6295" s="6" t="n">
        <f aca="false">H6295*K6295</f>
        <v>450</v>
      </c>
      <c r="M6295" s="4" t="s">
        <v>371</v>
      </c>
    </row>
    <row r="6296" customFormat="false" ht="23.85" hidden="false" customHeight="false" outlineLevel="0" collapsed="false">
      <c r="A6296" s="4" t="s">
        <v>346</v>
      </c>
      <c r="B6296" s="5" t="s">
        <v>355</v>
      </c>
      <c r="C6296" s="5" t="s">
        <v>356</v>
      </c>
      <c r="D6296" s="4" t="s">
        <v>16</v>
      </c>
      <c r="E6296" s="4" t="s">
        <v>6633</v>
      </c>
      <c r="F6296" s="4" t="s">
        <v>470</v>
      </c>
      <c r="G6296" s="4" t="s">
        <v>6634</v>
      </c>
      <c r="H6296" s="12" t="n">
        <v>1</v>
      </c>
      <c r="I6296" s="4" t="s">
        <v>408</v>
      </c>
      <c r="J6296" s="4" t="s">
        <v>416</v>
      </c>
      <c r="K6296" s="13" t="n">
        <v>4500</v>
      </c>
      <c r="L6296" s="6" t="n">
        <f aca="false">H6296*K6296</f>
        <v>4500</v>
      </c>
      <c r="M6296" s="4" t="s">
        <v>371</v>
      </c>
    </row>
    <row r="6297" customFormat="false" ht="23.85" hidden="false" customHeight="false" outlineLevel="0" collapsed="false">
      <c r="A6297" s="4" t="s">
        <v>346</v>
      </c>
      <c r="B6297" s="5" t="s">
        <v>355</v>
      </c>
      <c r="C6297" s="5" t="s">
        <v>356</v>
      </c>
      <c r="D6297" s="4" t="s">
        <v>16</v>
      </c>
      <c r="E6297" s="4" t="s">
        <v>6635</v>
      </c>
      <c r="F6297" s="4" t="s">
        <v>470</v>
      </c>
      <c r="G6297" s="4" t="s">
        <v>6636</v>
      </c>
      <c r="H6297" s="12" t="n">
        <v>1</v>
      </c>
      <c r="I6297" s="4" t="s">
        <v>408</v>
      </c>
      <c r="J6297" s="4" t="s">
        <v>416</v>
      </c>
      <c r="K6297" s="13" t="n">
        <v>18000</v>
      </c>
      <c r="L6297" s="6" t="n">
        <f aca="false">H6297*K6297</f>
        <v>18000</v>
      </c>
      <c r="M6297" s="4" t="s">
        <v>371</v>
      </c>
    </row>
    <row r="6298" customFormat="false" ht="23.85" hidden="false" customHeight="false" outlineLevel="0" collapsed="false">
      <c r="A6298" s="4" t="s">
        <v>346</v>
      </c>
      <c r="B6298" s="5" t="s">
        <v>355</v>
      </c>
      <c r="C6298" s="5" t="s">
        <v>356</v>
      </c>
      <c r="D6298" s="4" t="s">
        <v>16</v>
      </c>
      <c r="E6298" s="4" t="s">
        <v>6637</v>
      </c>
      <c r="F6298" s="4" t="s">
        <v>470</v>
      </c>
      <c r="G6298" s="4" t="s">
        <v>6638</v>
      </c>
      <c r="H6298" s="12" t="n">
        <v>1</v>
      </c>
      <c r="I6298" s="4" t="s">
        <v>408</v>
      </c>
      <c r="J6298" s="4" t="s">
        <v>416</v>
      </c>
      <c r="K6298" s="13" t="n">
        <v>1200</v>
      </c>
      <c r="L6298" s="6" t="n">
        <f aca="false">H6298*K6298</f>
        <v>1200</v>
      </c>
      <c r="M6298" s="4" t="s">
        <v>371</v>
      </c>
    </row>
    <row r="6299" customFormat="false" ht="23.85" hidden="false" customHeight="false" outlineLevel="0" collapsed="false">
      <c r="A6299" s="4" t="s">
        <v>346</v>
      </c>
      <c r="B6299" s="5" t="s">
        <v>355</v>
      </c>
      <c r="C6299" s="5" t="s">
        <v>356</v>
      </c>
      <c r="D6299" s="4" t="s">
        <v>16</v>
      </c>
      <c r="E6299" s="4" t="s">
        <v>6639</v>
      </c>
      <c r="F6299" s="4" t="s">
        <v>470</v>
      </c>
      <c r="G6299" s="4" t="s">
        <v>6640</v>
      </c>
      <c r="H6299" s="12" t="n">
        <v>1</v>
      </c>
      <c r="I6299" s="4" t="s">
        <v>408</v>
      </c>
      <c r="J6299" s="4" t="s">
        <v>416</v>
      </c>
      <c r="K6299" s="13" t="n">
        <v>1200</v>
      </c>
      <c r="L6299" s="6" t="n">
        <f aca="false">H6299*K6299</f>
        <v>1200</v>
      </c>
      <c r="M6299" s="4" t="s">
        <v>371</v>
      </c>
    </row>
    <row r="6300" customFormat="false" ht="23.85" hidden="false" customHeight="false" outlineLevel="0" collapsed="false">
      <c r="A6300" s="4" t="s">
        <v>346</v>
      </c>
      <c r="B6300" s="5" t="s">
        <v>355</v>
      </c>
      <c r="C6300" s="5" t="s">
        <v>356</v>
      </c>
      <c r="D6300" s="4" t="s">
        <v>16</v>
      </c>
      <c r="E6300" s="4" t="s">
        <v>6641</v>
      </c>
      <c r="F6300" s="4" t="s">
        <v>470</v>
      </c>
      <c r="G6300" s="4" t="s">
        <v>6642</v>
      </c>
      <c r="H6300" s="12" t="n">
        <v>1</v>
      </c>
      <c r="I6300" s="4" t="s">
        <v>408</v>
      </c>
      <c r="J6300" s="4" t="s">
        <v>416</v>
      </c>
      <c r="K6300" s="13" t="n">
        <v>850</v>
      </c>
      <c r="L6300" s="6" t="n">
        <f aca="false">H6300*K6300</f>
        <v>850</v>
      </c>
      <c r="M6300" s="4" t="s">
        <v>371</v>
      </c>
    </row>
    <row r="6301" customFormat="false" ht="23.85" hidden="false" customHeight="false" outlineLevel="0" collapsed="false">
      <c r="A6301" s="4" t="s">
        <v>346</v>
      </c>
      <c r="B6301" s="5" t="s">
        <v>355</v>
      </c>
      <c r="C6301" s="5" t="s">
        <v>356</v>
      </c>
      <c r="D6301" s="4" t="s">
        <v>16</v>
      </c>
      <c r="E6301" s="4" t="s">
        <v>6643</v>
      </c>
      <c r="F6301" s="4" t="s">
        <v>470</v>
      </c>
      <c r="G6301" s="4" t="s">
        <v>6644</v>
      </c>
      <c r="H6301" s="12" t="n">
        <v>1</v>
      </c>
      <c r="I6301" s="4" t="s">
        <v>408</v>
      </c>
      <c r="J6301" s="4" t="s">
        <v>416</v>
      </c>
      <c r="K6301" s="13" t="n">
        <v>850</v>
      </c>
      <c r="L6301" s="6" t="n">
        <f aca="false">H6301*K6301</f>
        <v>850</v>
      </c>
      <c r="M6301" s="4" t="s">
        <v>371</v>
      </c>
    </row>
    <row r="6302" customFormat="false" ht="23.85" hidden="false" customHeight="false" outlineLevel="0" collapsed="false">
      <c r="A6302" s="4" t="s">
        <v>346</v>
      </c>
      <c r="B6302" s="5" t="s">
        <v>355</v>
      </c>
      <c r="C6302" s="5" t="s">
        <v>356</v>
      </c>
      <c r="D6302" s="4" t="s">
        <v>16</v>
      </c>
      <c r="E6302" s="4" t="s">
        <v>6645</v>
      </c>
      <c r="F6302" s="4" t="s">
        <v>470</v>
      </c>
      <c r="G6302" s="4" t="s">
        <v>6646</v>
      </c>
      <c r="H6302" s="12" t="n">
        <v>1</v>
      </c>
      <c r="I6302" s="4" t="s">
        <v>408</v>
      </c>
      <c r="J6302" s="4" t="s">
        <v>416</v>
      </c>
      <c r="K6302" s="13" t="n">
        <v>450</v>
      </c>
      <c r="L6302" s="6" t="n">
        <f aca="false">H6302*K6302</f>
        <v>450</v>
      </c>
      <c r="M6302" s="4" t="s">
        <v>371</v>
      </c>
    </row>
    <row r="6303" customFormat="false" ht="23.85" hidden="false" customHeight="false" outlineLevel="0" collapsed="false">
      <c r="A6303" s="4" t="s">
        <v>346</v>
      </c>
      <c r="B6303" s="5" t="s">
        <v>355</v>
      </c>
      <c r="C6303" s="5" t="s">
        <v>356</v>
      </c>
      <c r="D6303" s="4" t="s">
        <v>16</v>
      </c>
      <c r="E6303" s="4" t="s">
        <v>6647</v>
      </c>
      <c r="F6303" s="4" t="s">
        <v>470</v>
      </c>
      <c r="G6303" s="4" t="s">
        <v>6648</v>
      </c>
      <c r="H6303" s="12" t="n">
        <v>1</v>
      </c>
      <c r="I6303" s="4" t="s">
        <v>408</v>
      </c>
      <c r="J6303" s="4" t="s">
        <v>416</v>
      </c>
      <c r="K6303" s="13" t="n">
        <v>450</v>
      </c>
      <c r="L6303" s="6" t="n">
        <f aca="false">H6303*K6303</f>
        <v>450</v>
      </c>
      <c r="M6303" s="4" t="s">
        <v>371</v>
      </c>
    </row>
    <row r="6304" customFormat="false" ht="23.85" hidden="false" customHeight="false" outlineLevel="0" collapsed="false">
      <c r="A6304" s="4" t="s">
        <v>346</v>
      </c>
      <c r="B6304" s="5" t="s">
        <v>355</v>
      </c>
      <c r="C6304" s="5" t="s">
        <v>356</v>
      </c>
      <c r="D6304" s="4" t="s">
        <v>16</v>
      </c>
      <c r="E6304" s="4" t="s">
        <v>6649</v>
      </c>
      <c r="F6304" s="4" t="s">
        <v>470</v>
      </c>
      <c r="G6304" s="4" t="s">
        <v>6650</v>
      </c>
      <c r="H6304" s="12" t="n">
        <v>1</v>
      </c>
      <c r="I6304" s="4" t="s">
        <v>408</v>
      </c>
      <c r="J6304" s="4" t="s">
        <v>506</v>
      </c>
      <c r="K6304" s="13" t="n">
        <v>250</v>
      </c>
      <c r="L6304" s="6" t="n">
        <f aca="false">H6304*K6304</f>
        <v>250</v>
      </c>
      <c r="M6304" s="4" t="s">
        <v>371</v>
      </c>
    </row>
    <row r="6305" customFormat="false" ht="23.85" hidden="false" customHeight="false" outlineLevel="0" collapsed="false">
      <c r="A6305" s="4" t="s">
        <v>346</v>
      </c>
      <c r="B6305" s="5" t="s">
        <v>355</v>
      </c>
      <c r="C6305" s="5" t="s">
        <v>356</v>
      </c>
      <c r="D6305" s="4" t="s">
        <v>16</v>
      </c>
      <c r="E6305" s="4" t="s">
        <v>6651</v>
      </c>
      <c r="F6305" s="4" t="s">
        <v>470</v>
      </c>
      <c r="G6305" s="4" t="s">
        <v>6652</v>
      </c>
      <c r="H6305" s="12" t="n">
        <v>1</v>
      </c>
      <c r="I6305" s="4" t="s">
        <v>408</v>
      </c>
      <c r="J6305" s="4" t="s">
        <v>543</v>
      </c>
      <c r="K6305" s="13" t="n">
        <v>25000</v>
      </c>
      <c r="L6305" s="6" t="n">
        <f aca="false">H6305*K6305</f>
        <v>25000</v>
      </c>
      <c r="M6305" s="4" t="s">
        <v>371</v>
      </c>
    </row>
    <row r="6306" customFormat="false" ht="23.85" hidden="false" customHeight="false" outlineLevel="0" collapsed="false">
      <c r="A6306" s="4" t="s">
        <v>346</v>
      </c>
      <c r="B6306" s="5" t="s">
        <v>355</v>
      </c>
      <c r="C6306" s="5" t="s">
        <v>356</v>
      </c>
      <c r="D6306" s="4" t="s">
        <v>16</v>
      </c>
      <c r="E6306" s="4" t="s">
        <v>6653</v>
      </c>
      <c r="F6306" s="4" t="s">
        <v>470</v>
      </c>
      <c r="G6306" s="4" t="s">
        <v>6654</v>
      </c>
      <c r="H6306" s="12" t="n">
        <v>1</v>
      </c>
      <c r="I6306" s="4" t="s">
        <v>408</v>
      </c>
      <c r="J6306" s="4" t="s">
        <v>416</v>
      </c>
      <c r="K6306" s="13" t="n">
        <v>850</v>
      </c>
      <c r="L6306" s="6" t="n">
        <f aca="false">H6306*K6306</f>
        <v>850</v>
      </c>
      <c r="M6306" s="4" t="s">
        <v>371</v>
      </c>
    </row>
    <row r="6307" customFormat="false" ht="23.85" hidden="false" customHeight="false" outlineLevel="0" collapsed="false">
      <c r="A6307" s="4" t="s">
        <v>346</v>
      </c>
      <c r="B6307" s="5" t="s">
        <v>355</v>
      </c>
      <c r="C6307" s="5" t="s">
        <v>356</v>
      </c>
      <c r="D6307" s="4" t="s">
        <v>16</v>
      </c>
      <c r="E6307" s="4" t="s">
        <v>6655</v>
      </c>
      <c r="F6307" s="4" t="s">
        <v>470</v>
      </c>
      <c r="G6307" s="4" t="s">
        <v>6656</v>
      </c>
      <c r="H6307" s="12" t="n">
        <v>1</v>
      </c>
      <c r="I6307" s="4" t="s">
        <v>408</v>
      </c>
      <c r="J6307" s="4" t="s">
        <v>416</v>
      </c>
      <c r="K6307" s="13" t="n">
        <v>850</v>
      </c>
      <c r="L6307" s="6" t="n">
        <f aca="false">H6307*K6307</f>
        <v>850</v>
      </c>
      <c r="M6307" s="4" t="s">
        <v>371</v>
      </c>
    </row>
    <row r="6308" customFormat="false" ht="23.85" hidden="false" customHeight="false" outlineLevel="0" collapsed="false">
      <c r="A6308" s="4" t="s">
        <v>346</v>
      </c>
      <c r="B6308" s="5" t="s">
        <v>355</v>
      </c>
      <c r="C6308" s="5" t="s">
        <v>356</v>
      </c>
      <c r="D6308" s="4" t="s">
        <v>16</v>
      </c>
      <c r="E6308" s="4" t="s">
        <v>6657</v>
      </c>
      <c r="F6308" s="4" t="s">
        <v>470</v>
      </c>
      <c r="G6308" s="4" t="s">
        <v>6658</v>
      </c>
      <c r="H6308" s="12" t="n">
        <v>1</v>
      </c>
      <c r="I6308" s="4" t="s">
        <v>408</v>
      </c>
      <c r="J6308" s="4" t="s">
        <v>416</v>
      </c>
      <c r="K6308" s="13" t="n">
        <v>850</v>
      </c>
      <c r="L6308" s="6" t="n">
        <f aca="false">H6308*K6308</f>
        <v>850</v>
      </c>
      <c r="M6308" s="4" t="s">
        <v>371</v>
      </c>
    </row>
    <row r="6309" customFormat="false" ht="23.85" hidden="false" customHeight="false" outlineLevel="0" collapsed="false">
      <c r="A6309" s="4" t="s">
        <v>346</v>
      </c>
      <c r="B6309" s="5" t="s">
        <v>355</v>
      </c>
      <c r="C6309" s="5" t="s">
        <v>356</v>
      </c>
      <c r="D6309" s="4" t="s">
        <v>16</v>
      </c>
      <c r="E6309" s="4" t="s">
        <v>6659</v>
      </c>
      <c r="F6309" s="4" t="s">
        <v>470</v>
      </c>
      <c r="G6309" s="4" t="s">
        <v>6660</v>
      </c>
      <c r="H6309" s="12" t="n">
        <v>1</v>
      </c>
      <c r="I6309" s="4" t="s">
        <v>408</v>
      </c>
      <c r="J6309" s="4" t="s">
        <v>416</v>
      </c>
      <c r="K6309" s="13" t="n">
        <v>850</v>
      </c>
      <c r="L6309" s="6" t="n">
        <f aca="false">H6309*K6309</f>
        <v>850</v>
      </c>
      <c r="M6309" s="4" t="s">
        <v>371</v>
      </c>
    </row>
    <row r="6310" customFormat="false" ht="23.85" hidden="false" customHeight="false" outlineLevel="0" collapsed="false">
      <c r="A6310" s="4" t="s">
        <v>346</v>
      </c>
      <c r="B6310" s="5" t="s">
        <v>355</v>
      </c>
      <c r="C6310" s="5" t="s">
        <v>356</v>
      </c>
      <c r="D6310" s="4" t="s">
        <v>16</v>
      </c>
      <c r="E6310" s="4" t="s">
        <v>6661</v>
      </c>
      <c r="F6310" s="4" t="s">
        <v>470</v>
      </c>
      <c r="G6310" s="4" t="s">
        <v>6662</v>
      </c>
      <c r="H6310" s="12" t="n">
        <v>1</v>
      </c>
      <c r="I6310" s="4" t="s">
        <v>408</v>
      </c>
      <c r="J6310" s="4" t="s">
        <v>416</v>
      </c>
      <c r="K6310" s="13" t="n">
        <v>850</v>
      </c>
      <c r="L6310" s="6" t="n">
        <f aca="false">H6310*K6310</f>
        <v>850</v>
      </c>
      <c r="M6310" s="4" t="s">
        <v>371</v>
      </c>
    </row>
    <row r="6311" customFormat="false" ht="23.85" hidden="false" customHeight="false" outlineLevel="0" collapsed="false">
      <c r="A6311" s="4" t="s">
        <v>346</v>
      </c>
      <c r="B6311" s="5" t="s">
        <v>355</v>
      </c>
      <c r="C6311" s="5" t="s">
        <v>356</v>
      </c>
      <c r="D6311" s="4" t="s">
        <v>16</v>
      </c>
      <c r="E6311" s="4" t="s">
        <v>6663</v>
      </c>
      <c r="F6311" s="4" t="s">
        <v>470</v>
      </c>
      <c r="G6311" s="4" t="s">
        <v>6664</v>
      </c>
      <c r="H6311" s="12" t="n">
        <v>1</v>
      </c>
      <c r="I6311" s="4" t="s">
        <v>408</v>
      </c>
      <c r="J6311" s="4" t="s">
        <v>416</v>
      </c>
      <c r="K6311" s="13" t="n">
        <v>850</v>
      </c>
      <c r="L6311" s="6" t="n">
        <f aca="false">H6311*K6311</f>
        <v>850</v>
      </c>
      <c r="M6311" s="4" t="s">
        <v>371</v>
      </c>
    </row>
    <row r="6312" customFormat="false" ht="23.85" hidden="false" customHeight="false" outlineLevel="0" collapsed="false">
      <c r="A6312" s="4" t="s">
        <v>346</v>
      </c>
      <c r="B6312" s="5" t="s">
        <v>355</v>
      </c>
      <c r="C6312" s="5" t="s">
        <v>356</v>
      </c>
      <c r="D6312" s="4" t="s">
        <v>16</v>
      </c>
      <c r="E6312" s="4" t="s">
        <v>6665</v>
      </c>
      <c r="F6312" s="4" t="s">
        <v>470</v>
      </c>
      <c r="G6312" s="4" t="s">
        <v>6666</v>
      </c>
      <c r="H6312" s="12" t="n">
        <v>1</v>
      </c>
      <c r="I6312" s="4" t="s">
        <v>408</v>
      </c>
      <c r="J6312" s="4" t="s">
        <v>416</v>
      </c>
      <c r="K6312" s="13" t="n">
        <v>850</v>
      </c>
      <c r="L6312" s="6" t="n">
        <f aca="false">H6312*K6312</f>
        <v>850</v>
      </c>
      <c r="M6312" s="4" t="s">
        <v>371</v>
      </c>
    </row>
    <row r="6313" customFormat="false" ht="23.85" hidden="false" customHeight="false" outlineLevel="0" collapsed="false">
      <c r="A6313" s="4" t="s">
        <v>346</v>
      </c>
      <c r="B6313" s="5" t="s">
        <v>355</v>
      </c>
      <c r="C6313" s="5" t="s">
        <v>356</v>
      </c>
      <c r="D6313" s="4" t="s">
        <v>16</v>
      </c>
      <c r="E6313" s="4" t="s">
        <v>2301</v>
      </c>
      <c r="F6313" s="4" t="s">
        <v>470</v>
      </c>
      <c r="G6313" s="4" t="s">
        <v>2302</v>
      </c>
      <c r="H6313" s="12" t="n">
        <v>1</v>
      </c>
      <c r="I6313" s="4" t="s">
        <v>408</v>
      </c>
      <c r="J6313" s="4" t="s">
        <v>409</v>
      </c>
      <c r="K6313" s="13" t="n">
        <v>8500</v>
      </c>
      <c r="L6313" s="6" t="n">
        <f aca="false">H6313*K6313</f>
        <v>8500</v>
      </c>
      <c r="M6313" s="4" t="s">
        <v>371</v>
      </c>
    </row>
    <row r="6314" customFormat="false" ht="23.85" hidden="false" customHeight="false" outlineLevel="0" collapsed="false">
      <c r="A6314" s="4" t="s">
        <v>346</v>
      </c>
      <c r="B6314" s="5" t="s">
        <v>355</v>
      </c>
      <c r="C6314" s="5" t="s">
        <v>356</v>
      </c>
      <c r="D6314" s="4" t="s">
        <v>16</v>
      </c>
      <c r="E6314" s="4" t="s">
        <v>2303</v>
      </c>
      <c r="F6314" s="4" t="s">
        <v>470</v>
      </c>
      <c r="G6314" s="4" t="s">
        <v>2304</v>
      </c>
      <c r="H6314" s="12" t="n">
        <v>1</v>
      </c>
      <c r="I6314" s="4" t="s">
        <v>408</v>
      </c>
      <c r="J6314" s="4" t="s">
        <v>409</v>
      </c>
      <c r="K6314" s="13" t="n">
        <v>3500</v>
      </c>
      <c r="L6314" s="6" t="n">
        <f aca="false">H6314*K6314</f>
        <v>3500</v>
      </c>
      <c r="M6314" s="4" t="s">
        <v>371</v>
      </c>
    </row>
    <row r="6315" customFormat="false" ht="23.85" hidden="false" customHeight="false" outlineLevel="0" collapsed="false">
      <c r="A6315" s="4" t="s">
        <v>346</v>
      </c>
      <c r="B6315" s="5" t="s">
        <v>355</v>
      </c>
      <c r="C6315" s="5" t="s">
        <v>356</v>
      </c>
      <c r="D6315" s="4" t="s">
        <v>16</v>
      </c>
      <c r="E6315" s="4" t="s">
        <v>2305</v>
      </c>
      <c r="F6315" s="4" t="s">
        <v>470</v>
      </c>
      <c r="G6315" s="4" t="s">
        <v>2306</v>
      </c>
      <c r="H6315" s="12" t="n">
        <v>1</v>
      </c>
      <c r="I6315" s="4" t="s">
        <v>408</v>
      </c>
      <c r="J6315" s="4" t="s">
        <v>409</v>
      </c>
      <c r="K6315" s="13" t="n">
        <v>850</v>
      </c>
      <c r="L6315" s="6" t="n">
        <f aca="false">H6315*K6315</f>
        <v>850</v>
      </c>
      <c r="M6315" s="4" t="s">
        <v>371</v>
      </c>
    </row>
    <row r="6316" customFormat="false" ht="23.85" hidden="false" customHeight="false" outlineLevel="0" collapsed="false">
      <c r="A6316" s="4" t="s">
        <v>346</v>
      </c>
      <c r="B6316" s="5" t="s">
        <v>355</v>
      </c>
      <c r="C6316" s="5" t="s">
        <v>356</v>
      </c>
      <c r="D6316" s="4" t="s">
        <v>16</v>
      </c>
      <c r="E6316" s="4" t="s">
        <v>6667</v>
      </c>
      <c r="F6316" s="4" t="s">
        <v>488</v>
      </c>
      <c r="G6316" s="4" t="s">
        <v>6668</v>
      </c>
      <c r="H6316" s="12" t="n">
        <v>1</v>
      </c>
      <c r="I6316" s="4" t="s">
        <v>408</v>
      </c>
      <c r="J6316" s="4" t="s">
        <v>416</v>
      </c>
      <c r="K6316" s="13" t="n">
        <v>350</v>
      </c>
      <c r="L6316" s="6" t="n">
        <f aca="false">H6316*K6316</f>
        <v>350</v>
      </c>
      <c r="M6316" s="4" t="s">
        <v>371</v>
      </c>
    </row>
    <row r="6317" customFormat="false" ht="23.85" hidden="false" customHeight="false" outlineLevel="0" collapsed="false">
      <c r="A6317" s="4" t="s">
        <v>346</v>
      </c>
      <c r="B6317" s="5" t="s">
        <v>355</v>
      </c>
      <c r="C6317" s="5" t="s">
        <v>356</v>
      </c>
      <c r="D6317" s="4" t="s">
        <v>16</v>
      </c>
      <c r="E6317" s="4" t="s">
        <v>6669</v>
      </c>
      <c r="F6317" s="4" t="s">
        <v>488</v>
      </c>
      <c r="G6317" s="4" t="s">
        <v>6670</v>
      </c>
      <c r="H6317" s="12" t="n">
        <v>1</v>
      </c>
      <c r="I6317" s="4" t="s">
        <v>408</v>
      </c>
      <c r="J6317" s="4" t="s">
        <v>416</v>
      </c>
      <c r="K6317" s="13" t="n">
        <v>450</v>
      </c>
      <c r="L6317" s="6" t="n">
        <f aca="false">H6317*K6317</f>
        <v>450</v>
      </c>
      <c r="M6317" s="4" t="s">
        <v>371</v>
      </c>
    </row>
    <row r="6318" customFormat="false" ht="23.85" hidden="false" customHeight="false" outlineLevel="0" collapsed="false">
      <c r="A6318" s="4" t="s">
        <v>346</v>
      </c>
      <c r="B6318" s="5" t="s">
        <v>355</v>
      </c>
      <c r="C6318" s="5" t="s">
        <v>356</v>
      </c>
      <c r="D6318" s="4" t="s">
        <v>16</v>
      </c>
      <c r="E6318" s="4" t="s">
        <v>6671</v>
      </c>
      <c r="F6318" s="4" t="s">
        <v>488</v>
      </c>
      <c r="G6318" s="4" t="s">
        <v>2328</v>
      </c>
      <c r="H6318" s="12" t="n">
        <v>1</v>
      </c>
      <c r="I6318" s="4" t="s">
        <v>408</v>
      </c>
      <c r="J6318" s="4" t="s">
        <v>506</v>
      </c>
      <c r="K6318" s="13" t="n">
        <v>450</v>
      </c>
      <c r="L6318" s="6" t="n">
        <f aca="false">H6318*K6318</f>
        <v>450</v>
      </c>
      <c r="M6318" s="4" t="s">
        <v>371</v>
      </c>
    </row>
    <row r="6319" customFormat="false" ht="23.85" hidden="false" customHeight="false" outlineLevel="0" collapsed="false">
      <c r="A6319" s="4" t="s">
        <v>346</v>
      </c>
      <c r="B6319" s="5" t="s">
        <v>355</v>
      </c>
      <c r="C6319" s="5" t="s">
        <v>356</v>
      </c>
      <c r="D6319" s="4" t="s">
        <v>16</v>
      </c>
      <c r="E6319" s="4" t="s">
        <v>6672</v>
      </c>
      <c r="F6319" s="4" t="s">
        <v>488</v>
      </c>
      <c r="G6319" s="4" t="s">
        <v>6673</v>
      </c>
      <c r="H6319" s="12" t="n">
        <v>1</v>
      </c>
      <c r="I6319" s="4" t="s">
        <v>408</v>
      </c>
      <c r="J6319" s="4" t="s">
        <v>416</v>
      </c>
      <c r="K6319" s="13" t="n">
        <v>450</v>
      </c>
      <c r="L6319" s="6" t="n">
        <f aca="false">H6319*K6319</f>
        <v>450</v>
      </c>
      <c r="M6319" s="4" t="s">
        <v>371</v>
      </c>
    </row>
    <row r="6320" customFormat="false" ht="23.85" hidden="false" customHeight="false" outlineLevel="0" collapsed="false">
      <c r="A6320" s="4" t="s">
        <v>346</v>
      </c>
      <c r="B6320" s="5" t="s">
        <v>355</v>
      </c>
      <c r="C6320" s="5" t="s">
        <v>356</v>
      </c>
      <c r="D6320" s="4" t="s">
        <v>16</v>
      </c>
      <c r="E6320" s="4" t="s">
        <v>6674</v>
      </c>
      <c r="F6320" s="4" t="s">
        <v>488</v>
      </c>
      <c r="G6320" s="4" t="s">
        <v>6675</v>
      </c>
      <c r="H6320" s="12" t="n">
        <v>1</v>
      </c>
      <c r="I6320" s="4" t="s">
        <v>408</v>
      </c>
      <c r="J6320" s="4" t="s">
        <v>416</v>
      </c>
      <c r="K6320" s="13" t="n">
        <v>450</v>
      </c>
      <c r="L6320" s="6" t="n">
        <f aca="false">H6320*K6320</f>
        <v>450</v>
      </c>
      <c r="M6320" s="4" t="s">
        <v>371</v>
      </c>
    </row>
    <row r="6321" customFormat="false" ht="23.85" hidden="false" customHeight="false" outlineLevel="0" collapsed="false">
      <c r="A6321" s="4" t="s">
        <v>346</v>
      </c>
      <c r="B6321" s="5" t="s">
        <v>355</v>
      </c>
      <c r="C6321" s="5" t="s">
        <v>356</v>
      </c>
      <c r="D6321" s="4" t="s">
        <v>16</v>
      </c>
      <c r="E6321" s="4" t="s">
        <v>6676</v>
      </c>
      <c r="F6321" s="4" t="s">
        <v>470</v>
      </c>
      <c r="G6321" s="4" t="s">
        <v>6677</v>
      </c>
      <c r="H6321" s="12" t="n">
        <v>1</v>
      </c>
      <c r="I6321" s="4" t="s">
        <v>408</v>
      </c>
      <c r="J6321" s="4" t="s">
        <v>416</v>
      </c>
      <c r="K6321" s="13" t="n">
        <v>8500</v>
      </c>
      <c r="L6321" s="6" t="n">
        <f aca="false">H6321*K6321</f>
        <v>8500</v>
      </c>
      <c r="M6321" s="4" t="s">
        <v>371</v>
      </c>
    </row>
    <row r="6322" customFormat="false" ht="23.85" hidden="false" customHeight="false" outlineLevel="0" collapsed="false">
      <c r="A6322" s="4" t="s">
        <v>346</v>
      </c>
      <c r="B6322" s="5" t="s">
        <v>355</v>
      </c>
      <c r="C6322" s="5" t="s">
        <v>356</v>
      </c>
      <c r="D6322" s="4" t="s">
        <v>16</v>
      </c>
      <c r="E6322" s="4" t="s">
        <v>6678</v>
      </c>
      <c r="F6322" s="4" t="s">
        <v>470</v>
      </c>
      <c r="G6322" s="4" t="s">
        <v>6679</v>
      </c>
      <c r="H6322" s="12" t="n">
        <v>1</v>
      </c>
      <c r="I6322" s="4" t="s">
        <v>408</v>
      </c>
      <c r="J6322" s="4" t="s">
        <v>416</v>
      </c>
      <c r="K6322" s="13" t="n">
        <v>2500</v>
      </c>
      <c r="L6322" s="6" t="n">
        <f aca="false">H6322*K6322</f>
        <v>2500</v>
      </c>
      <c r="M6322" s="4" t="s">
        <v>371</v>
      </c>
    </row>
    <row r="6323" customFormat="false" ht="23.85" hidden="false" customHeight="false" outlineLevel="0" collapsed="false">
      <c r="A6323" s="4" t="s">
        <v>346</v>
      </c>
      <c r="B6323" s="5" t="s">
        <v>355</v>
      </c>
      <c r="C6323" s="5" t="s">
        <v>356</v>
      </c>
      <c r="D6323" s="4" t="s">
        <v>16</v>
      </c>
      <c r="E6323" s="4" t="s">
        <v>6680</v>
      </c>
      <c r="F6323" s="4" t="s">
        <v>470</v>
      </c>
      <c r="G6323" s="4" t="s">
        <v>6681</v>
      </c>
      <c r="H6323" s="12" t="n">
        <v>1</v>
      </c>
      <c r="I6323" s="4" t="s">
        <v>408</v>
      </c>
      <c r="J6323" s="4" t="s">
        <v>416</v>
      </c>
      <c r="K6323" s="13" t="n">
        <v>2500</v>
      </c>
      <c r="L6323" s="6" t="n">
        <f aca="false">H6323*K6323</f>
        <v>2500</v>
      </c>
      <c r="M6323" s="4" t="s">
        <v>371</v>
      </c>
    </row>
    <row r="6324" customFormat="false" ht="15" hidden="false" customHeight="false" outlineLevel="0" collapsed="false">
      <c r="A6324" s="4" t="s">
        <v>346</v>
      </c>
      <c r="B6324" s="5" t="s">
        <v>357</v>
      </c>
      <c r="C6324" s="5" t="s">
        <v>358</v>
      </c>
      <c r="D6324" s="4" t="s">
        <v>16</v>
      </c>
      <c r="E6324" s="4" t="s">
        <v>6682</v>
      </c>
      <c r="F6324" s="4" t="s">
        <v>470</v>
      </c>
      <c r="G6324" s="4" t="s">
        <v>6683</v>
      </c>
      <c r="H6324" s="12" t="n">
        <v>1</v>
      </c>
      <c r="I6324" s="4" t="s">
        <v>408</v>
      </c>
      <c r="J6324" s="4" t="s">
        <v>506</v>
      </c>
      <c r="K6324" s="13" t="n">
        <v>450</v>
      </c>
      <c r="L6324" s="6" t="n">
        <f aca="false">H6324*K6324</f>
        <v>450</v>
      </c>
      <c r="M6324" s="4" t="s">
        <v>371</v>
      </c>
    </row>
    <row r="6325" customFormat="false" ht="15" hidden="false" customHeight="false" outlineLevel="0" collapsed="false">
      <c r="A6325" s="4" t="s">
        <v>346</v>
      </c>
      <c r="B6325" s="5" t="s">
        <v>357</v>
      </c>
      <c r="C6325" s="5" t="s">
        <v>358</v>
      </c>
      <c r="D6325" s="4" t="s">
        <v>16</v>
      </c>
      <c r="E6325" s="4" t="s">
        <v>6684</v>
      </c>
      <c r="F6325" s="4" t="s">
        <v>470</v>
      </c>
      <c r="G6325" s="4" t="s">
        <v>6685</v>
      </c>
      <c r="H6325" s="12" t="n">
        <v>1</v>
      </c>
      <c r="I6325" s="4" t="s">
        <v>408</v>
      </c>
      <c r="J6325" s="4" t="s">
        <v>416</v>
      </c>
      <c r="K6325" s="13" t="n">
        <v>3500</v>
      </c>
      <c r="L6325" s="6" t="n">
        <f aca="false">H6325*K6325</f>
        <v>3500</v>
      </c>
      <c r="M6325" s="4" t="s">
        <v>371</v>
      </c>
    </row>
    <row r="6326" customFormat="false" ht="15" hidden="false" customHeight="false" outlineLevel="0" collapsed="false">
      <c r="A6326" s="4" t="s">
        <v>346</v>
      </c>
      <c r="B6326" s="5" t="s">
        <v>357</v>
      </c>
      <c r="C6326" s="5" t="s">
        <v>358</v>
      </c>
      <c r="D6326" s="4" t="s">
        <v>16</v>
      </c>
      <c r="E6326" s="4" t="s">
        <v>6686</v>
      </c>
      <c r="F6326" s="4" t="s">
        <v>470</v>
      </c>
      <c r="G6326" s="4" t="s">
        <v>6687</v>
      </c>
      <c r="H6326" s="12" t="n">
        <v>1</v>
      </c>
      <c r="I6326" s="4" t="s">
        <v>408</v>
      </c>
      <c r="J6326" s="4" t="s">
        <v>416</v>
      </c>
      <c r="K6326" s="13" t="n">
        <v>850</v>
      </c>
      <c r="L6326" s="6" t="n">
        <f aca="false">H6326*K6326</f>
        <v>850</v>
      </c>
      <c r="M6326" s="4" t="s">
        <v>371</v>
      </c>
    </row>
    <row r="6327" customFormat="false" ht="15" hidden="false" customHeight="false" outlineLevel="0" collapsed="false">
      <c r="A6327" s="4" t="s">
        <v>346</v>
      </c>
      <c r="B6327" s="5" t="s">
        <v>357</v>
      </c>
      <c r="C6327" s="5" t="s">
        <v>358</v>
      </c>
      <c r="D6327" s="4" t="s">
        <v>16</v>
      </c>
      <c r="E6327" s="4" t="s">
        <v>6688</v>
      </c>
      <c r="F6327" s="4" t="s">
        <v>470</v>
      </c>
      <c r="G6327" s="4" t="s">
        <v>6689</v>
      </c>
      <c r="H6327" s="12" t="n">
        <v>1</v>
      </c>
      <c r="I6327" s="4" t="s">
        <v>408</v>
      </c>
      <c r="J6327" s="4" t="s">
        <v>416</v>
      </c>
      <c r="K6327" s="13" t="n">
        <v>850</v>
      </c>
      <c r="L6327" s="6" t="n">
        <f aca="false">H6327*K6327</f>
        <v>850</v>
      </c>
      <c r="M6327" s="4" t="s">
        <v>371</v>
      </c>
    </row>
    <row r="6328" customFormat="false" ht="15" hidden="false" customHeight="false" outlineLevel="0" collapsed="false">
      <c r="A6328" s="4" t="s">
        <v>346</v>
      </c>
      <c r="B6328" s="5" t="s">
        <v>357</v>
      </c>
      <c r="C6328" s="5" t="s">
        <v>358</v>
      </c>
      <c r="D6328" s="4" t="s">
        <v>16</v>
      </c>
      <c r="E6328" s="4" t="s">
        <v>6690</v>
      </c>
      <c r="F6328" s="4" t="s">
        <v>470</v>
      </c>
      <c r="G6328" s="4" t="s">
        <v>6691</v>
      </c>
      <c r="H6328" s="12" t="n">
        <v>1</v>
      </c>
      <c r="I6328" s="4" t="s">
        <v>408</v>
      </c>
      <c r="J6328" s="4" t="s">
        <v>506</v>
      </c>
      <c r="K6328" s="13" t="n">
        <v>350</v>
      </c>
      <c r="L6328" s="6" t="n">
        <f aca="false">H6328*K6328</f>
        <v>350</v>
      </c>
      <c r="M6328" s="4" t="s">
        <v>371</v>
      </c>
    </row>
    <row r="6329" customFormat="false" ht="15" hidden="false" customHeight="false" outlineLevel="0" collapsed="false">
      <c r="A6329" s="4" t="s">
        <v>346</v>
      </c>
      <c r="B6329" s="5" t="s">
        <v>357</v>
      </c>
      <c r="C6329" s="5" t="s">
        <v>358</v>
      </c>
      <c r="D6329" s="4" t="s">
        <v>16</v>
      </c>
      <c r="E6329" s="4" t="s">
        <v>6692</v>
      </c>
      <c r="F6329" s="4" t="s">
        <v>470</v>
      </c>
      <c r="G6329" s="4" t="s">
        <v>6693</v>
      </c>
      <c r="H6329" s="12" t="n">
        <v>1</v>
      </c>
      <c r="I6329" s="4" t="s">
        <v>408</v>
      </c>
      <c r="J6329" s="4" t="s">
        <v>409</v>
      </c>
      <c r="K6329" s="13" t="n">
        <v>450</v>
      </c>
      <c r="L6329" s="6" t="n">
        <f aca="false">H6329*K6329</f>
        <v>450</v>
      </c>
      <c r="M6329" s="4" t="s">
        <v>371</v>
      </c>
    </row>
    <row r="6330" customFormat="false" ht="15" hidden="false" customHeight="false" outlineLevel="0" collapsed="false">
      <c r="A6330" s="4" t="s">
        <v>346</v>
      </c>
      <c r="B6330" s="5" t="s">
        <v>357</v>
      </c>
      <c r="C6330" s="5" t="s">
        <v>358</v>
      </c>
      <c r="D6330" s="4" t="s">
        <v>16</v>
      </c>
      <c r="E6330" s="4" t="s">
        <v>6694</v>
      </c>
      <c r="F6330" s="4" t="s">
        <v>488</v>
      </c>
      <c r="G6330" s="4" t="s">
        <v>6695</v>
      </c>
      <c r="H6330" s="12" t="n">
        <v>1</v>
      </c>
      <c r="I6330" s="4" t="s">
        <v>408</v>
      </c>
      <c r="J6330" s="4" t="s">
        <v>409</v>
      </c>
      <c r="K6330" s="13" t="n">
        <v>120</v>
      </c>
      <c r="L6330" s="6" t="n">
        <f aca="false">H6330*K6330</f>
        <v>120</v>
      </c>
      <c r="M6330" s="4" t="s">
        <v>371</v>
      </c>
    </row>
    <row r="6331" customFormat="false" ht="15" hidden="false" customHeight="false" outlineLevel="0" collapsed="false">
      <c r="A6331" s="4" t="s">
        <v>346</v>
      </c>
      <c r="B6331" s="5" t="s">
        <v>357</v>
      </c>
      <c r="C6331" s="5" t="s">
        <v>358</v>
      </c>
      <c r="D6331" s="4" t="s">
        <v>16</v>
      </c>
      <c r="E6331" s="4" t="s">
        <v>6696</v>
      </c>
      <c r="F6331" s="4" t="s">
        <v>488</v>
      </c>
      <c r="G6331" s="4" t="s">
        <v>6697</v>
      </c>
      <c r="H6331" s="12" t="n">
        <v>1</v>
      </c>
      <c r="I6331" s="4" t="s">
        <v>408</v>
      </c>
      <c r="J6331" s="4" t="s">
        <v>506</v>
      </c>
      <c r="K6331" s="13" t="n">
        <v>180</v>
      </c>
      <c r="L6331" s="6" t="n">
        <f aca="false">H6331*K6331</f>
        <v>180</v>
      </c>
      <c r="M6331" s="4" t="s">
        <v>371</v>
      </c>
    </row>
    <row r="6332" customFormat="false" ht="15" hidden="false" customHeight="false" outlineLevel="0" collapsed="false">
      <c r="A6332" s="4" t="s">
        <v>346</v>
      </c>
      <c r="B6332" s="5" t="s">
        <v>359</v>
      </c>
      <c r="C6332" s="5" t="s">
        <v>360</v>
      </c>
      <c r="D6332" s="4" t="s">
        <v>16</v>
      </c>
      <c r="E6332" s="4" t="s">
        <v>6698</v>
      </c>
      <c r="F6332" s="4" t="s">
        <v>406</v>
      </c>
      <c r="G6332" s="4" t="s">
        <v>6699</v>
      </c>
      <c r="H6332" s="12" t="n">
        <v>1</v>
      </c>
      <c r="I6332" s="4" t="s">
        <v>408</v>
      </c>
      <c r="J6332" s="4" t="s">
        <v>416</v>
      </c>
      <c r="K6332" s="13" t="n">
        <v>350</v>
      </c>
      <c r="L6332" s="6" t="n">
        <f aca="false">H6332*K6332</f>
        <v>350</v>
      </c>
      <c r="M6332" s="4" t="s">
        <v>371</v>
      </c>
    </row>
    <row r="6333" customFormat="false" ht="15" hidden="false" customHeight="false" outlineLevel="0" collapsed="false">
      <c r="A6333" s="4" t="s">
        <v>346</v>
      </c>
      <c r="B6333" s="5" t="s">
        <v>359</v>
      </c>
      <c r="C6333" s="5" t="s">
        <v>360</v>
      </c>
      <c r="D6333" s="4" t="s">
        <v>16</v>
      </c>
      <c r="E6333" s="4" t="s">
        <v>6700</v>
      </c>
      <c r="F6333" s="4" t="s">
        <v>406</v>
      </c>
      <c r="G6333" s="4" t="s">
        <v>6701</v>
      </c>
      <c r="H6333" s="12" t="n">
        <v>1</v>
      </c>
      <c r="I6333" s="4" t="s">
        <v>408</v>
      </c>
      <c r="J6333" s="4" t="s">
        <v>416</v>
      </c>
      <c r="K6333" s="13" t="n">
        <v>1800</v>
      </c>
      <c r="L6333" s="6" t="n">
        <f aca="false">H6333*K6333</f>
        <v>1800</v>
      </c>
      <c r="M6333" s="4" t="s">
        <v>371</v>
      </c>
    </row>
    <row r="6334" customFormat="false" ht="15" hidden="false" customHeight="false" outlineLevel="0" collapsed="false">
      <c r="A6334" s="4" t="s">
        <v>346</v>
      </c>
      <c r="B6334" s="5" t="s">
        <v>359</v>
      </c>
      <c r="C6334" s="5" t="s">
        <v>360</v>
      </c>
      <c r="D6334" s="4" t="s">
        <v>16</v>
      </c>
      <c r="E6334" s="4" t="s">
        <v>6702</v>
      </c>
      <c r="F6334" s="4" t="s">
        <v>406</v>
      </c>
      <c r="G6334" s="4" t="s">
        <v>6703</v>
      </c>
      <c r="H6334" s="12" t="n">
        <v>1</v>
      </c>
      <c r="I6334" s="4" t="s">
        <v>408</v>
      </c>
      <c r="J6334" s="4" t="s">
        <v>409</v>
      </c>
      <c r="K6334" s="13" t="n">
        <v>8500</v>
      </c>
      <c r="L6334" s="6" t="n">
        <f aca="false">H6334*K6334</f>
        <v>8500</v>
      </c>
      <c r="M6334" s="4" t="s">
        <v>371</v>
      </c>
    </row>
    <row r="6335" customFormat="false" ht="15" hidden="false" customHeight="false" outlineLevel="0" collapsed="false">
      <c r="A6335" s="4" t="s">
        <v>346</v>
      </c>
      <c r="B6335" s="5" t="s">
        <v>359</v>
      </c>
      <c r="C6335" s="5" t="s">
        <v>360</v>
      </c>
      <c r="D6335" s="4" t="s">
        <v>16</v>
      </c>
      <c r="E6335" s="4" t="s">
        <v>6704</v>
      </c>
      <c r="F6335" s="4" t="s">
        <v>406</v>
      </c>
      <c r="G6335" s="4" t="s">
        <v>6705</v>
      </c>
      <c r="H6335" s="12" t="n">
        <v>1</v>
      </c>
      <c r="I6335" s="4" t="s">
        <v>408</v>
      </c>
      <c r="J6335" s="4" t="s">
        <v>416</v>
      </c>
      <c r="K6335" s="13" t="n">
        <v>25000</v>
      </c>
      <c r="L6335" s="6" t="n">
        <f aca="false">H6335*K6335</f>
        <v>25000</v>
      </c>
      <c r="M6335" s="4" t="s">
        <v>371</v>
      </c>
    </row>
    <row r="6336" customFormat="false" ht="15" hidden="false" customHeight="false" outlineLevel="0" collapsed="false">
      <c r="A6336" s="4" t="s">
        <v>346</v>
      </c>
      <c r="B6336" s="5" t="s">
        <v>359</v>
      </c>
      <c r="C6336" s="5" t="s">
        <v>360</v>
      </c>
      <c r="D6336" s="4" t="s">
        <v>16</v>
      </c>
      <c r="E6336" s="4" t="s">
        <v>6706</v>
      </c>
      <c r="F6336" s="4" t="s">
        <v>406</v>
      </c>
      <c r="G6336" s="4" t="s">
        <v>6707</v>
      </c>
      <c r="H6336" s="12" t="n">
        <v>1</v>
      </c>
      <c r="I6336" s="4" t="s">
        <v>408</v>
      </c>
      <c r="J6336" s="4" t="s">
        <v>416</v>
      </c>
      <c r="K6336" s="13" t="n">
        <v>8500</v>
      </c>
      <c r="L6336" s="6" t="n">
        <f aca="false">H6336*K6336</f>
        <v>8500</v>
      </c>
      <c r="M6336" s="4" t="s">
        <v>371</v>
      </c>
    </row>
    <row r="6337" customFormat="false" ht="15" hidden="false" customHeight="false" outlineLevel="0" collapsed="false">
      <c r="A6337" s="4" t="s">
        <v>346</v>
      </c>
      <c r="B6337" s="5" t="s">
        <v>359</v>
      </c>
      <c r="C6337" s="5" t="s">
        <v>360</v>
      </c>
      <c r="D6337" s="4" t="s">
        <v>16</v>
      </c>
      <c r="E6337" s="4" t="s">
        <v>6708</v>
      </c>
      <c r="F6337" s="4" t="s">
        <v>406</v>
      </c>
      <c r="G6337" s="4" t="s">
        <v>6709</v>
      </c>
      <c r="H6337" s="12" t="n">
        <v>1</v>
      </c>
      <c r="I6337" s="4" t="s">
        <v>408</v>
      </c>
      <c r="J6337" s="4" t="s">
        <v>416</v>
      </c>
      <c r="K6337" s="13" t="n">
        <v>6500</v>
      </c>
      <c r="L6337" s="6" t="n">
        <f aca="false">H6337*K6337</f>
        <v>6500</v>
      </c>
      <c r="M6337" s="4" t="s">
        <v>371</v>
      </c>
    </row>
    <row r="6338" customFormat="false" ht="15" hidden="false" customHeight="false" outlineLevel="0" collapsed="false">
      <c r="A6338" s="4" t="s">
        <v>346</v>
      </c>
      <c r="B6338" s="5" t="s">
        <v>359</v>
      </c>
      <c r="C6338" s="5" t="s">
        <v>360</v>
      </c>
      <c r="D6338" s="4" t="s">
        <v>16</v>
      </c>
      <c r="E6338" s="4" t="s">
        <v>6710</v>
      </c>
      <c r="F6338" s="4" t="s">
        <v>406</v>
      </c>
      <c r="G6338" s="4" t="s">
        <v>6711</v>
      </c>
      <c r="H6338" s="12" t="n">
        <v>1</v>
      </c>
      <c r="I6338" s="4" t="s">
        <v>408</v>
      </c>
      <c r="J6338" s="4" t="s">
        <v>409</v>
      </c>
      <c r="K6338" s="13" t="n">
        <v>25000</v>
      </c>
      <c r="L6338" s="6" t="n">
        <f aca="false">H6338*K6338</f>
        <v>25000</v>
      </c>
      <c r="M6338" s="4" t="s">
        <v>371</v>
      </c>
    </row>
    <row r="6339" customFormat="false" ht="15" hidden="false" customHeight="false" outlineLevel="0" collapsed="false">
      <c r="A6339" s="4" t="s">
        <v>346</v>
      </c>
      <c r="B6339" s="5" t="s">
        <v>359</v>
      </c>
      <c r="C6339" s="5" t="s">
        <v>360</v>
      </c>
      <c r="D6339" s="4" t="s">
        <v>16</v>
      </c>
      <c r="E6339" s="4" t="s">
        <v>6712</v>
      </c>
      <c r="F6339" s="4" t="s">
        <v>406</v>
      </c>
      <c r="G6339" s="4" t="s">
        <v>6713</v>
      </c>
      <c r="H6339" s="12" t="n">
        <v>1</v>
      </c>
      <c r="I6339" s="4" t="s">
        <v>408</v>
      </c>
      <c r="J6339" s="4" t="s">
        <v>416</v>
      </c>
      <c r="K6339" s="13" t="n">
        <v>25000</v>
      </c>
      <c r="L6339" s="6" t="n">
        <f aca="false">H6339*K6339</f>
        <v>25000</v>
      </c>
      <c r="M6339" s="4" t="s">
        <v>371</v>
      </c>
    </row>
    <row r="6340" customFormat="false" ht="15" hidden="false" customHeight="false" outlineLevel="0" collapsed="false">
      <c r="A6340" s="4" t="s">
        <v>346</v>
      </c>
      <c r="B6340" s="5" t="s">
        <v>359</v>
      </c>
      <c r="C6340" s="5" t="s">
        <v>360</v>
      </c>
      <c r="D6340" s="4" t="s">
        <v>16</v>
      </c>
      <c r="E6340" s="4" t="s">
        <v>6714</v>
      </c>
      <c r="F6340" s="4" t="s">
        <v>406</v>
      </c>
      <c r="G6340" s="4" t="s">
        <v>6715</v>
      </c>
      <c r="H6340" s="12" t="n">
        <v>1</v>
      </c>
      <c r="I6340" s="4" t="s">
        <v>408</v>
      </c>
      <c r="J6340" s="4" t="s">
        <v>416</v>
      </c>
      <c r="K6340" s="13" t="n">
        <v>18000</v>
      </c>
      <c r="L6340" s="6" t="n">
        <f aca="false">H6340*K6340</f>
        <v>18000</v>
      </c>
      <c r="M6340" s="4" t="s">
        <v>371</v>
      </c>
    </row>
    <row r="6341" customFormat="false" ht="15" hidden="false" customHeight="false" outlineLevel="0" collapsed="false">
      <c r="A6341" s="4" t="s">
        <v>346</v>
      </c>
      <c r="B6341" s="5" t="s">
        <v>359</v>
      </c>
      <c r="C6341" s="5" t="s">
        <v>360</v>
      </c>
      <c r="D6341" s="4" t="s">
        <v>16</v>
      </c>
      <c r="E6341" s="4" t="s">
        <v>6716</v>
      </c>
      <c r="F6341" s="4" t="s">
        <v>406</v>
      </c>
      <c r="G6341" s="4" t="s">
        <v>6717</v>
      </c>
      <c r="H6341" s="12" t="n">
        <v>1</v>
      </c>
      <c r="I6341" s="4" t="s">
        <v>408</v>
      </c>
      <c r="J6341" s="4" t="s">
        <v>409</v>
      </c>
      <c r="K6341" s="13" t="n">
        <v>85000</v>
      </c>
      <c r="L6341" s="6" t="n">
        <f aca="false">H6341*K6341</f>
        <v>85000</v>
      </c>
      <c r="M6341" s="4" t="s">
        <v>371</v>
      </c>
    </row>
    <row r="6342" customFormat="false" ht="15" hidden="false" customHeight="false" outlineLevel="0" collapsed="false">
      <c r="A6342" s="4" t="s">
        <v>346</v>
      </c>
      <c r="B6342" s="5" t="s">
        <v>359</v>
      </c>
      <c r="C6342" s="5" t="s">
        <v>360</v>
      </c>
      <c r="D6342" s="4" t="s">
        <v>16</v>
      </c>
      <c r="E6342" s="4" t="s">
        <v>6718</v>
      </c>
      <c r="F6342" s="4" t="s">
        <v>406</v>
      </c>
      <c r="G6342" s="4" t="s">
        <v>6719</v>
      </c>
      <c r="H6342" s="12" t="n">
        <v>1</v>
      </c>
      <c r="I6342" s="4" t="s">
        <v>408</v>
      </c>
      <c r="J6342" s="4" t="s">
        <v>416</v>
      </c>
      <c r="K6342" s="13" t="n">
        <v>85000</v>
      </c>
      <c r="L6342" s="6" t="n">
        <f aca="false">H6342*K6342</f>
        <v>85000</v>
      </c>
      <c r="M6342" s="4" t="s">
        <v>371</v>
      </c>
    </row>
    <row r="6343" customFormat="false" ht="15" hidden="false" customHeight="false" outlineLevel="0" collapsed="false">
      <c r="A6343" s="4" t="s">
        <v>346</v>
      </c>
      <c r="B6343" s="5" t="s">
        <v>359</v>
      </c>
      <c r="C6343" s="5" t="s">
        <v>360</v>
      </c>
      <c r="D6343" s="4" t="s">
        <v>16</v>
      </c>
      <c r="E6343" s="4" t="s">
        <v>6720</v>
      </c>
      <c r="F6343" s="4" t="s">
        <v>406</v>
      </c>
      <c r="G6343" s="4" t="s">
        <v>6721</v>
      </c>
      <c r="H6343" s="12" t="n">
        <v>1</v>
      </c>
      <c r="I6343" s="4" t="s">
        <v>408</v>
      </c>
      <c r="J6343" s="4" t="s">
        <v>409</v>
      </c>
      <c r="K6343" s="13" t="n">
        <v>18000</v>
      </c>
      <c r="L6343" s="6" t="n">
        <f aca="false">H6343*K6343</f>
        <v>18000</v>
      </c>
      <c r="M6343" s="4" t="s">
        <v>371</v>
      </c>
    </row>
    <row r="6344" customFormat="false" ht="15" hidden="false" customHeight="false" outlineLevel="0" collapsed="false">
      <c r="A6344" s="4" t="s">
        <v>346</v>
      </c>
      <c r="B6344" s="5" t="s">
        <v>359</v>
      </c>
      <c r="C6344" s="5" t="s">
        <v>360</v>
      </c>
      <c r="D6344" s="4" t="s">
        <v>16</v>
      </c>
      <c r="E6344" s="4" t="s">
        <v>6722</v>
      </c>
      <c r="F6344" s="4" t="s">
        <v>406</v>
      </c>
      <c r="G6344" s="4" t="s">
        <v>6723</v>
      </c>
      <c r="H6344" s="12" t="n">
        <v>1</v>
      </c>
      <c r="I6344" s="4" t="s">
        <v>408</v>
      </c>
      <c r="J6344" s="4" t="s">
        <v>416</v>
      </c>
      <c r="K6344" s="13" t="n">
        <v>18000</v>
      </c>
      <c r="L6344" s="6" t="n">
        <f aca="false">H6344*K6344</f>
        <v>18000</v>
      </c>
      <c r="M6344" s="4" t="s">
        <v>371</v>
      </c>
    </row>
    <row r="6345" customFormat="false" ht="15" hidden="false" customHeight="false" outlineLevel="0" collapsed="false">
      <c r="A6345" s="4" t="s">
        <v>346</v>
      </c>
      <c r="B6345" s="5" t="s">
        <v>359</v>
      </c>
      <c r="C6345" s="5" t="s">
        <v>360</v>
      </c>
      <c r="D6345" s="4" t="s">
        <v>16</v>
      </c>
      <c r="E6345" s="4" t="s">
        <v>6724</v>
      </c>
      <c r="F6345" s="4" t="s">
        <v>406</v>
      </c>
      <c r="G6345" s="4" t="s">
        <v>6725</v>
      </c>
      <c r="H6345" s="12" t="n">
        <v>1</v>
      </c>
      <c r="I6345" s="4" t="s">
        <v>408</v>
      </c>
      <c r="J6345" s="4" t="s">
        <v>409</v>
      </c>
      <c r="K6345" s="13" t="n">
        <v>8500</v>
      </c>
      <c r="L6345" s="6" t="n">
        <f aca="false">H6345*K6345</f>
        <v>8500</v>
      </c>
      <c r="M6345" s="4" t="s">
        <v>371</v>
      </c>
    </row>
    <row r="6346" customFormat="false" ht="15" hidden="false" customHeight="false" outlineLevel="0" collapsed="false">
      <c r="A6346" s="4" t="s">
        <v>346</v>
      </c>
      <c r="B6346" s="5" t="s">
        <v>359</v>
      </c>
      <c r="C6346" s="5" t="s">
        <v>360</v>
      </c>
      <c r="D6346" s="4" t="s">
        <v>16</v>
      </c>
      <c r="E6346" s="4" t="s">
        <v>6726</v>
      </c>
      <c r="F6346" s="4" t="s">
        <v>406</v>
      </c>
      <c r="G6346" s="4" t="s">
        <v>6727</v>
      </c>
      <c r="H6346" s="12" t="n">
        <v>1</v>
      </c>
      <c r="I6346" s="4" t="s">
        <v>408</v>
      </c>
      <c r="J6346" s="4" t="s">
        <v>1080</v>
      </c>
      <c r="K6346" s="13" t="n">
        <v>180</v>
      </c>
      <c r="L6346" s="6" t="n">
        <f aca="false">H6346*K6346</f>
        <v>180</v>
      </c>
      <c r="M6346" s="4" t="s">
        <v>371</v>
      </c>
    </row>
    <row r="6347" customFormat="false" ht="15" hidden="false" customHeight="false" outlineLevel="0" collapsed="false">
      <c r="A6347" s="4" t="s">
        <v>346</v>
      </c>
      <c r="B6347" s="5" t="s">
        <v>359</v>
      </c>
      <c r="C6347" s="5" t="s">
        <v>360</v>
      </c>
      <c r="D6347" s="4" t="s">
        <v>16</v>
      </c>
      <c r="E6347" s="4" t="s">
        <v>6728</v>
      </c>
      <c r="F6347" s="4" t="s">
        <v>406</v>
      </c>
      <c r="G6347" s="4" t="s">
        <v>6729</v>
      </c>
      <c r="H6347" s="12" t="n">
        <v>1</v>
      </c>
      <c r="I6347" s="4" t="s">
        <v>408</v>
      </c>
      <c r="J6347" s="4" t="s">
        <v>416</v>
      </c>
      <c r="K6347" s="13" t="n">
        <v>18000</v>
      </c>
      <c r="L6347" s="6" t="n">
        <f aca="false">H6347*K6347</f>
        <v>18000</v>
      </c>
      <c r="M6347" s="4" t="s">
        <v>371</v>
      </c>
    </row>
    <row r="6348" customFormat="false" ht="15" hidden="false" customHeight="false" outlineLevel="0" collapsed="false">
      <c r="A6348" s="4" t="s">
        <v>346</v>
      </c>
      <c r="B6348" s="5" t="s">
        <v>359</v>
      </c>
      <c r="C6348" s="5" t="s">
        <v>360</v>
      </c>
      <c r="D6348" s="4" t="s">
        <v>16</v>
      </c>
      <c r="E6348" s="4" t="s">
        <v>6730</v>
      </c>
      <c r="F6348" s="4" t="s">
        <v>406</v>
      </c>
      <c r="G6348" s="4" t="s">
        <v>6731</v>
      </c>
      <c r="H6348" s="12" t="n">
        <v>1</v>
      </c>
      <c r="I6348" s="4" t="s">
        <v>408</v>
      </c>
      <c r="J6348" s="4" t="s">
        <v>416</v>
      </c>
      <c r="K6348" s="13" t="n">
        <v>2500</v>
      </c>
      <c r="L6348" s="6" t="n">
        <f aca="false">H6348*K6348</f>
        <v>2500</v>
      </c>
      <c r="M6348" s="4" t="s">
        <v>371</v>
      </c>
    </row>
    <row r="6349" customFormat="false" ht="15" hidden="false" customHeight="false" outlineLevel="0" collapsed="false">
      <c r="A6349" s="4" t="s">
        <v>346</v>
      </c>
      <c r="B6349" s="5" t="s">
        <v>359</v>
      </c>
      <c r="C6349" s="5" t="s">
        <v>360</v>
      </c>
      <c r="D6349" s="4" t="s">
        <v>16</v>
      </c>
      <c r="E6349" s="4" t="s">
        <v>6732</v>
      </c>
      <c r="F6349" s="4" t="s">
        <v>470</v>
      </c>
      <c r="G6349" s="4" t="s">
        <v>6733</v>
      </c>
      <c r="H6349" s="12" t="n">
        <v>1</v>
      </c>
      <c r="I6349" s="4" t="s">
        <v>408</v>
      </c>
      <c r="J6349" s="4" t="s">
        <v>409</v>
      </c>
      <c r="K6349" s="13" t="n">
        <v>35000</v>
      </c>
      <c r="L6349" s="6" t="n">
        <f aca="false">H6349*K6349</f>
        <v>35000</v>
      </c>
      <c r="M6349" s="4" t="s">
        <v>371</v>
      </c>
    </row>
    <row r="6350" customFormat="false" ht="15" hidden="false" customHeight="false" outlineLevel="0" collapsed="false">
      <c r="A6350" s="4" t="s">
        <v>346</v>
      </c>
      <c r="B6350" s="5" t="s">
        <v>359</v>
      </c>
      <c r="C6350" s="5" t="s">
        <v>360</v>
      </c>
      <c r="D6350" s="4" t="s">
        <v>16</v>
      </c>
      <c r="E6350" s="4" t="s">
        <v>2163</v>
      </c>
      <c r="F6350" s="4" t="s">
        <v>470</v>
      </c>
      <c r="G6350" s="4" t="s">
        <v>2164</v>
      </c>
      <c r="H6350" s="12" t="n">
        <v>1</v>
      </c>
      <c r="I6350" s="4" t="s">
        <v>408</v>
      </c>
      <c r="J6350" s="4" t="s">
        <v>409</v>
      </c>
      <c r="K6350" s="13" t="n">
        <v>35000</v>
      </c>
      <c r="L6350" s="6" t="n">
        <f aca="false">H6350*K6350</f>
        <v>35000</v>
      </c>
      <c r="M6350" s="14" t="s">
        <v>410</v>
      </c>
    </row>
    <row r="6351" customFormat="false" ht="15" hidden="false" customHeight="false" outlineLevel="0" collapsed="false">
      <c r="A6351" s="4" t="s">
        <v>346</v>
      </c>
      <c r="B6351" s="5" t="s">
        <v>359</v>
      </c>
      <c r="C6351" s="5" t="s">
        <v>360</v>
      </c>
      <c r="D6351" s="4" t="s">
        <v>16</v>
      </c>
      <c r="E6351" s="4" t="s">
        <v>1058</v>
      </c>
      <c r="F6351" s="4" t="s">
        <v>470</v>
      </c>
      <c r="G6351" s="4" t="s">
        <v>1059</v>
      </c>
      <c r="H6351" s="12" t="n">
        <v>1</v>
      </c>
      <c r="I6351" s="4" t="s">
        <v>408</v>
      </c>
      <c r="J6351" s="4" t="s">
        <v>409</v>
      </c>
      <c r="K6351" s="13" t="n">
        <v>45000</v>
      </c>
      <c r="L6351" s="6" t="n">
        <f aca="false">H6351*K6351</f>
        <v>45000</v>
      </c>
      <c r="M6351" s="14" t="s">
        <v>410</v>
      </c>
    </row>
    <row r="6352" customFormat="false" ht="15" hidden="false" customHeight="false" outlineLevel="0" collapsed="false">
      <c r="A6352" s="4" t="s">
        <v>346</v>
      </c>
      <c r="B6352" s="5" t="s">
        <v>359</v>
      </c>
      <c r="C6352" s="5" t="s">
        <v>360</v>
      </c>
      <c r="D6352" s="4" t="s">
        <v>16</v>
      </c>
      <c r="E6352" s="4" t="s">
        <v>6734</v>
      </c>
      <c r="F6352" s="4" t="s">
        <v>470</v>
      </c>
      <c r="G6352" s="4" t="s">
        <v>6735</v>
      </c>
      <c r="H6352" s="12" t="n">
        <v>1</v>
      </c>
      <c r="I6352" s="4" t="s">
        <v>408</v>
      </c>
      <c r="J6352" s="4" t="s">
        <v>409</v>
      </c>
      <c r="K6352" s="13" t="n">
        <v>2500</v>
      </c>
      <c r="L6352" s="6" t="n">
        <f aca="false">H6352*K6352</f>
        <v>2500</v>
      </c>
      <c r="M6352" s="4" t="s">
        <v>371</v>
      </c>
    </row>
    <row r="6353" customFormat="false" ht="15" hidden="false" customHeight="false" outlineLevel="0" collapsed="false">
      <c r="A6353" s="4" t="s">
        <v>346</v>
      </c>
      <c r="B6353" s="5" t="s">
        <v>359</v>
      </c>
      <c r="C6353" s="5" t="s">
        <v>360</v>
      </c>
      <c r="D6353" s="4" t="s">
        <v>16</v>
      </c>
      <c r="E6353" s="4" t="s">
        <v>6736</v>
      </c>
      <c r="F6353" s="4" t="s">
        <v>470</v>
      </c>
      <c r="G6353" s="4" t="s">
        <v>6737</v>
      </c>
      <c r="H6353" s="12" t="n">
        <v>1</v>
      </c>
      <c r="I6353" s="4" t="s">
        <v>408</v>
      </c>
      <c r="J6353" s="4" t="s">
        <v>413</v>
      </c>
      <c r="K6353" s="13" t="n">
        <v>450</v>
      </c>
      <c r="L6353" s="6" t="n">
        <f aca="false">H6353*K6353</f>
        <v>450</v>
      </c>
      <c r="M6353" s="4" t="s">
        <v>371</v>
      </c>
    </row>
    <row r="6354" customFormat="false" ht="15" hidden="false" customHeight="false" outlineLevel="0" collapsed="false">
      <c r="A6354" s="4" t="s">
        <v>346</v>
      </c>
      <c r="B6354" s="5" t="s">
        <v>359</v>
      </c>
      <c r="C6354" s="5" t="s">
        <v>360</v>
      </c>
      <c r="D6354" s="4" t="s">
        <v>16</v>
      </c>
      <c r="E6354" s="4" t="s">
        <v>6738</v>
      </c>
      <c r="F6354" s="4" t="s">
        <v>470</v>
      </c>
      <c r="G6354" s="4" t="s">
        <v>6739</v>
      </c>
      <c r="H6354" s="12" t="n">
        <v>1</v>
      </c>
      <c r="I6354" s="4" t="s">
        <v>408</v>
      </c>
      <c r="J6354" s="4" t="s">
        <v>416</v>
      </c>
      <c r="K6354" s="13" t="n">
        <v>1200</v>
      </c>
      <c r="L6354" s="6" t="n">
        <f aca="false">H6354*K6354</f>
        <v>1200</v>
      </c>
      <c r="M6354" s="4" t="s">
        <v>371</v>
      </c>
    </row>
    <row r="6355" customFormat="false" ht="15" hidden="false" customHeight="false" outlineLevel="0" collapsed="false">
      <c r="A6355" s="4" t="s">
        <v>346</v>
      </c>
      <c r="B6355" s="5" t="s">
        <v>359</v>
      </c>
      <c r="C6355" s="5" t="s">
        <v>360</v>
      </c>
      <c r="D6355" s="4" t="s">
        <v>16</v>
      </c>
      <c r="E6355" s="4" t="s">
        <v>6740</v>
      </c>
      <c r="F6355" s="4" t="s">
        <v>470</v>
      </c>
      <c r="G6355" s="4" t="s">
        <v>6741</v>
      </c>
      <c r="H6355" s="12" t="n">
        <v>1</v>
      </c>
      <c r="I6355" s="4" t="s">
        <v>408</v>
      </c>
      <c r="J6355" s="4" t="s">
        <v>416</v>
      </c>
      <c r="K6355" s="13" t="n">
        <v>1200</v>
      </c>
      <c r="L6355" s="6" t="n">
        <f aca="false">H6355*K6355</f>
        <v>1200</v>
      </c>
      <c r="M6355" s="4" t="s">
        <v>371</v>
      </c>
    </row>
    <row r="6356" customFormat="false" ht="15" hidden="false" customHeight="false" outlineLevel="0" collapsed="false">
      <c r="A6356" s="4" t="s">
        <v>346</v>
      </c>
      <c r="B6356" s="5" t="s">
        <v>359</v>
      </c>
      <c r="C6356" s="5" t="s">
        <v>360</v>
      </c>
      <c r="D6356" s="4" t="s">
        <v>16</v>
      </c>
      <c r="E6356" s="4" t="s">
        <v>6742</v>
      </c>
      <c r="F6356" s="4" t="s">
        <v>470</v>
      </c>
      <c r="G6356" s="4" t="s">
        <v>6743</v>
      </c>
      <c r="H6356" s="12" t="n">
        <v>1</v>
      </c>
      <c r="I6356" s="4" t="s">
        <v>408</v>
      </c>
      <c r="J6356" s="4" t="s">
        <v>416</v>
      </c>
      <c r="K6356" s="13" t="n">
        <v>8500</v>
      </c>
      <c r="L6356" s="6" t="n">
        <f aca="false">H6356*K6356</f>
        <v>8500</v>
      </c>
      <c r="M6356" s="4" t="s">
        <v>371</v>
      </c>
    </row>
    <row r="6357" customFormat="false" ht="15" hidden="false" customHeight="false" outlineLevel="0" collapsed="false">
      <c r="A6357" s="4" t="s">
        <v>346</v>
      </c>
      <c r="B6357" s="5" t="s">
        <v>359</v>
      </c>
      <c r="C6357" s="5" t="s">
        <v>360</v>
      </c>
      <c r="D6357" s="4" t="s">
        <v>16</v>
      </c>
      <c r="E6357" s="4" t="s">
        <v>6744</v>
      </c>
      <c r="F6357" s="4" t="s">
        <v>470</v>
      </c>
      <c r="G6357" s="4" t="s">
        <v>6745</v>
      </c>
      <c r="H6357" s="12" t="n">
        <v>1</v>
      </c>
      <c r="I6357" s="4" t="s">
        <v>408</v>
      </c>
      <c r="J6357" s="4" t="s">
        <v>416</v>
      </c>
      <c r="K6357" s="13" t="n">
        <v>15000</v>
      </c>
      <c r="L6357" s="6" t="n">
        <f aca="false">H6357*K6357</f>
        <v>15000</v>
      </c>
      <c r="M6357" s="4" t="s">
        <v>371</v>
      </c>
    </row>
    <row r="6358" customFormat="false" ht="15" hidden="false" customHeight="false" outlineLevel="0" collapsed="false">
      <c r="A6358" s="4" t="s">
        <v>346</v>
      </c>
      <c r="B6358" s="5" t="s">
        <v>359</v>
      </c>
      <c r="C6358" s="5" t="s">
        <v>360</v>
      </c>
      <c r="D6358" s="4" t="s">
        <v>16</v>
      </c>
      <c r="E6358" s="4" t="s">
        <v>6746</v>
      </c>
      <c r="F6358" s="4" t="s">
        <v>470</v>
      </c>
      <c r="G6358" s="4" t="s">
        <v>6747</v>
      </c>
      <c r="H6358" s="12" t="n">
        <v>1</v>
      </c>
      <c r="I6358" s="4" t="s">
        <v>408</v>
      </c>
      <c r="J6358" s="4" t="s">
        <v>416</v>
      </c>
      <c r="K6358" s="13" t="n">
        <v>1200</v>
      </c>
      <c r="L6358" s="6" t="n">
        <f aca="false">H6358*K6358</f>
        <v>1200</v>
      </c>
      <c r="M6358" s="4" t="s">
        <v>371</v>
      </c>
    </row>
    <row r="6359" customFormat="false" ht="15" hidden="false" customHeight="false" outlineLevel="0" collapsed="false">
      <c r="A6359" s="4" t="s">
        <v>346</v>
      </c>
      <c r="B6359" s="5" t="s">
        <v>359</v>
      </c>
      <c r="C6359" s="5" t="s">
        <v>360</v>
      </c>
      <c r="D6359" s="4" t="s">
        <v>16</v>
      </c>
      <c r="E6359" s="4" t="s">
        <v>6748</v>
      </c>
      <c r="F6359" s="4" t="s">
        <v>470</v>
      </c>
      <c r="G6359" s="4" t="s">
        <v>6749</v>
      </c>
      <c r="H6359" s="12" t="n">
        <v>1</v>
      </c>
      <c r="I6359" s="4" t="s">
        <v>408</v>
      </c>
      <c r="J6359" s="4" t="s">
        <v>416</v>
      </c>
      <c r="K6359" s="13" t="n">
        <v>4500</v>
      </c>
      <c r="L6359" s="6" t="n">
        <f aca="false">H6359*K6359</f>
        <v>4500</v>
      </c>
      <c r="M6359" s="4" t="s">
        <v>371</v>
      </c>
    </row>
    <row r="6360" customFormat="false" ht="15" hidden="false" customHeight="false" outlineLevel="0" collapsed="false">
      <c r="A6360" s="4" t="s">
        <v>346</v>
      </c>
      <c r="B6360" s="5" t="s">
        <v>359</v>
      </c>
      <c r="C6360" s="5" t="s">
        <v>360</v>
      </c>
      <c r="D6360" s="4" t="s">
        <v>16</v>
      </c>
      <c r="E6360" s="4" t="s">
        <v>6750</v>
      </c>
      <c r="F6360" s="4" t="s">
        <v>470</v>
      </c>
      <c r="G6360" s="4" t="s">
        <v>6751</v>
      </c>
      <c r="H6360" s="12" t="n">
        <v>1</v>
      </c>
      <c r="I6360" s="4" t="s">
        <v>408</v>
      </c>
      <c r="J6360" s="4" t="s">
        <v>416</v>
      </c>
      <c r="K6360" s="13" t="n">
        <v>1800</v>
      </c>
      <c r="L6360" s="6" t="n">
        <f aca="false">H6360*K6360</f>
        <v>1800</v>
      </c>
      <c r="M6360" s="4" t="s">
        <v>371</v>
      </c>
    </row>
    <row r="6361" customFormat="false" ht="15" hidden="false" customHeight="false" outlineLevel="0" collapsed="false">
      <c r="A6361" s="4" t="s">
        <v>346</v>
      </c>
      <c r="B6361" s="5" t="s">
        <v>359</v>
      </c>
      <c r="C6361" s="5" t="s">
        <v>360</v>
      </c>
      <c r="D6361" s="4" t="s">
        <v>16</v>
      </c>
      <c r="E6361" s="4" t="s">
        <v>6752</v>
      </c>
      <c r="F6361" s="4" t="s">
        <v>470</v>
      </c>
      <c r="G6361" s="4" t="s">
        <v>6753</v>
      </c>
      <c r="H6361" s="12" t="n">
        <v>1</v>
      </c>
      <c r="I6361" s="4" t="s">
        <v>408</v>
      </c>
      <c r="J6361" s="4" t="s">
        <v>416</v>
      </c>
      <c r="K6361" s="13" t="n">
        <v>1800</v>
      </c>
      <c r="L6361" s="6" t="n">
        <f aca="false">H6361*K6361</f>
        <v>1800</v>
      </c>
      <c r="M6361" s="4" t="s">
        <v>371</v>
      </c>
    </row>
    <row r="6362" customFormat="false" ht="15" hidden="false" customHeight="false" outlineLevel="0" collapsed="false">
      <c r="A6362" s="4" t="s">
        <v>346</v>
      </c>
      <c r="B6362" s="5" t="s">
        <v>359</v>
      </c>
      <c r="C6362" s="5" t="s">
        <v>360</v>
      </c>
      <c r="D6362" s="4" t="s">
        <v>16</v>
      </c>
      <c r="E6362" s="4" t="s">
        <v>6754</v>
      </c>
      <c r="F6362" s="4" t="s">
        <v>470</v>
      </c>
      <c r="G6362" s="4" t="s">
        <v>6755</v>
      </c>
      <c r="H6362" s="12" t="n">
        <v>1</v>
      </c>
      <c r="I6362" s="4" t="s">
        <v>408</v>
      </c>
      <c r="J6362" s="4" t="s">
        <v>416</v>
      </c>
      <c r="K6362" s="13" t="n">
        <v>850</v>
      </c>
      <c r="L6362" s="6" t="n">
        <f aca="false">H6362*K6362</f>
        <v>850</v>
      </c>
      <c r="M6362" s="4" t="s">
        <v>371</v>
      </c>
    </row>
    <row r="6363" customFormat="false" ht="15" hidden="false" customHeight="false" outlineLevel="0" collapsed="false">
      <c r="A6363" s="4" t="s">
        <v>346</v>
      </c>
      <c r="B6363" s="5" t="s">
        <v>359</v>
      </c>
      <c r="C6363" s="5" t="s">
        <v>360</v>
      </c>
      <c r="D6363" s="4" t="s">
        <v>16</v>
      </c>
      <c r="E6363" s="4" t="s">
        <v>6756</v>
      </c>
      <c r="F6363" s="4" t="s">
        <v>470</v>
      </c>
      <c r="G6363" s="4" t="s">
        <v>6757</v>
      </c>
      <c r="H6363" s="12" t="n">
        <v>1</v>
      </c>
      <c r="I6363" s="4" t="s">
        <v>408</v>
      </c>
      <c r="J6363" s="4" t="s">
        <v>416</v>
      </c>
      <c r="K6363" s="13" t="n">
        <v>850</v>
      </c>
      <c r="L6363" s="6" t="n">
        <f aca="false">H6363*K6363</f>
        <v>850</v>
      </c>
      <c r="M6363" s="4" t="s">
        <v>371</v>
      </c>
    </row>
    <row r="6364" customFormat="false" ht="15" hidden="false" customHeight="false" outlineLevel="0" collapsed="false">
      <c r="A6364" s="4" t="s">
        <v>346</v>
      </c>
      <c r="B6364" s="5" t="s">
        <v>359</v>
      </c>
      <c r="C6364" s="5" t="s">
        <v>360</v>
      </c>
      <c r="D6364" s="4" t="s">
        <v>16</v>
      </c>
      <c r="E6364" s="4" t="s">
        <v>6758</v>
      </c>
      <c r="F6364" s="4" t="s">
        <v>470</v>
      </c>
      <c r="G6364" s="4" t="s">
        <v>6759</v>
      </c>
      <c r="H6364" s="12" t="n">
        <v>1</v>
      </c>
      <c r="I6364" s="4" t="s">
        <v>408</v>
      </c>
      <c r="J6364" s="4" t="s">
        <v>416</v>
      </c>
      <c r="K6364" s="13" t="n">
        <v>850</v>
      </c>
      <c r="L6364" s="6" t="n">
        <f aca="false">H6364*K6364</f>
        <v>850</v>
      </c>
      <c r="M6364" s="4" t="s">
        <v>371</v>
      </c>
    </row>
    <row r="6365" customFormat="false" ht="15" hidden="false" customHeight="false" outlineLevel="0" collapsed="false">
      <c r="A6365" s="4" t="s">
        <v>346</v>
      </c>
      <c r="B6365" s="5" t="s">
        <v>359</v>
      </c>
      <c r="C6365" s="5" t="s">
        <v>360</v>
      </c>
      <c r="D6365" s="4" t="s">
        <v>16</v>
      </c>
      <c r="E6365" s="4" t="s">
        <v>6760</v>
      </c>
      <c r="F6365" s="4" t="s">
        <v>470</v>
      </c>
      <c r="G6365" s="4" t="s">
        <v>6761</v>
      </c>
      <c r="H6365" s="12" t="n">
        <v>1</v>
      </c>
      <c r="I6365" s="4" t="s">
        <v>408</v>
      </c>
      <c r="J6365" s="4" t="s">
        <v>416</v>
      </c>
      <c r="K6365" s="13" t="n">
        <v>850</v>
      </c>
      <c r="L6365" s="6" t="n">
        <f aca="false">H6365*K6365</f>
        <v>850</v>
      </c>
      <c r="M6365" s="4" t="s">
        <v>371</v>
      </c>
    </row>
    <row r="6366" customFormat="false" ht="15" hidden="false" customHeight="false" outlineLevel="0" collapsed="false">
      <c r="A6366" s="4" t="s">
        <v>346</v>
      </c>
      <c r="B6366" s="5" t="s">
        <v>359</v>
      </c>
      <c r="C6366" s="5" t="s">
        <v>360</v>
      </c>
      <c r="D6366" s="4" t="s">
        <v>16</v>
      </c>
      <c r="E6366" s="4" t="s">
        <v>6762</v>
      </c>
      <c r="F6366" s="4" t="s">
        <v>470</v>
      </c>
      <c r="G6366" s="4" t="s">
        <v>6763</v>
      </c>
      <c r="H6366" s="12" t="n">
        <v>1</v>
      </c>
      <c r="I6366" s="4" t="s">
        <v>408</v>
      </c>
      <c r="J6366" s="4" t="s">
        <v>416</v>
      </c>
      <c r="K6366" s="13" t="n">
        <v>850</v>
      </c>
      <c r="L6366" s="6" t="n">
        <f aca="false">H6366*K6366</f>
        <v>850</v>
      </c>
      <c r="M6366" s="4" t="s">
        <v>371</v>
      </c>
    </row>
    <row r="6367" customFormat="false" ht="15" hidden="false" customHeight="false" outlineLevel="0" collapsed="false">
      <c r="A6367" s="4" t="s">
        <v>346</v>
      </c>
      <c r="B6367" s="5" t="s">
        <v>359</v>
      </c>
      <c r="C6367" s="5" t="s">
        <v>360</v>
      </c>
      <c r="D6367" s="4" t="s">
        <v>16</v>
      </c>
      <c r="E6367" s="4" t="s">
        <v>6764</v>
      </c>
      <c r="F6367" s="4" t="s">
        <v>470</v>
      </c>
      <c r="G6367" s="4" t="s">
        <v>6765</v>
      </c>
      <c r="H6367" s="12" t="n">
        <v>1</v>
      </c>
      <c r="I6367" s="4" t="s">
        <v>408</v>
      </c>
      <c r="J6367" s="4" t="s">
        <v>506</v>
      </c>
      <c r="K6367" s="13" t="n">
        <v>250</v>
      </c>
      <c r="L6367" s="6" t="n">
        <f aca="false">H6367*K6367</f>
        <v>250</v>
      </c>
      <c r="M6367" s="4" t="s">
        <v>371</v>
      </c>
    </row>
    <row r="6368" customFormat="false" ht="15" hidden="false" customHeight="false" outlineLevel="0" collapsed="false">
      <c r="A6368" s="4" t="s">
        <v>346</v>
      </c>
      <c r="B6368" s="5" t="s">
        <v>359</v>
      </c>
      <c r="C6368" s="5" t="s">
        <v>360</v>
      </c>
      <c r="D6368" s="4" t="s">
        <v>16</v>
      </c>
      <c r="E6368" s="4" t="s">
        <v>6766</v>
      </c>
      <c r="F6368" s="4" t="s">
        <v>470</v>
      </c>
      <c r="G6368" s="4" t="s">
        <v>6767</v>
      </c>
      <c r="H6368" s="12" t="n">
        <v>1</v>
      </c>
      <c r="I6368" s="4" t="s">
        <v>408</v>
      </c>
      <c r="J6368" s="4" t="s">
        <v>506</v>
      </c>
      <c r="K6368" s="13" t="n">
        <v>450</v>
      </c>
      <c r="L6368" s="6" t="n">
        <f aca="false">H6368*K6368</f>
        <v>450</v>
      </c>
      <c r="M6368" s="4" t="s">
        <v>371</v>
      </c>
    </row>
    <row r="6369" customFormat="false" ht="15" hidden="false" customHeight="false" outlineLevel="0" collapsed="false">
      <c r="A6369" s="4" t="s">
        <v>346</v>
      </c>
      <c r="B6369" s="5" t="s">
        <v>359</v>
      </c>
      <c r="C6369" s="5" t="s">
        <v>360</v>
      </c>
      <c r="D6369" s="4" t="s">
        <v>16</v>
      </c>
      <c r="E6369" s="4" t="s">
        <v>6768</v>
      </c>
      <c r="F6369" s="4" t="s">
        <v>470</v>
      </c>
      <c r="G6369" s="4" t="s">
        <v>6769</v>
      </c>
      <c r="H6369" s="12" t="n">
        <v>1</v>
      </c>
      <c r="I6369" s="4" t="s">
        <v>408</v>
      </c>
      <c r="J6369" s="4" t="s">
        <v>416</v>
      </c>
      <c r="K6369" s="13" t="n">
        <v>850</v>
      </c>
      <c r="L6369" s="6" t="n">
        <f aca="false">H6369*K6369</f>
        <v>850</v>
      </c>
      <c r="M6369" s="4" t="s">
        <v>371</v>
      </c>
    </row>
    <row r="6370" customFormat="false" ht="15" hidden="false" customHeight="false" outlineLevel="0" collapsed="false">
      <c r="A6370" s="4" t="s">
        <v>346</v>
      </c>
      <c r="B6370" s="5" t="s">
        <v>359</v>
      </c>
      <c r="C6370" s="5" t="s">
        <v>360</v>
      </c>
      <c r="D6370" s="4" t="s">
        <v>16</v>
      </c>
      <c r="E6370" s="4" t="s">
        <v>6770</v>
      </c>
      <c r="F6370" s="4" t="s">
        <v>470</v>
      </c>
      <c r="G6370" s="4" t="s">
        <v>6771</v>
      </c>
      <c r="H6370" s="12" t="n">
        <v>1</v>
      </c>
      <c r="I6370" s="4" t="s">
        <v>408</v>
      </c>
      <c r="J6370" s="4" t="s">
        <v>409</v>
      </c>
      <c r="K6370" s="13" t="n">
        <v>450</v>
      </c>
      <c r="L6370" s="6" t="n">
        <f aca="false">H6370*K6370</f>
        <v>450</v>
      </c>
      <c r="M6370" s="4" t="s">
        <v>371</v>
      </c>
    </row>
    <row r="6371" customFormat="false" ht="15" hidden="false" customHeight="false" outlineLevel="0" collapsed="false">
      <c r="A6371" s="4" t="s">
        <v>346</v>
      </c>
      <c r="B6371" s="5" t="s">
        <v>359</v>
      </c>
      <c r="C6371" s="5" t="s">
        <v>360</v>
      </c>
      <c r="D6371" s="4" t="s">
        <v>16</v>
      </c>
      <c r="E6371" s="4" t="s">
        <v>6772</v>
      </c>
      <c r="F6371" s="4" t="s">
        <v>470</v>
      </c>
      <c r="G6371" s="4" t="s">
        <v>6773</v>
      </c>
      <c r="H6371" s="12" t="n">
        <v>1</v>
      </c>
      <c r="I6371" s="4" t="s">
        <v>408</v>
      </c>
      <c r="J6371" s="4" t="s">
        <v>416</v>
      </c>
      <c r="K6371" s="13" t="n">
        <v>850</v>
      </c>
      <c r="L6371" s="6" t="n">
        <f aca="false">H6371*K6371</f>
        <v>850</v>
      </c>
      <c r="M6371" s="4" t="s">
        <v>371</v>
      </c>
    </row>
    <row r="6372" customFormat="false" ht="15" hidden="false" customHeight="false" outlineLevel="0" collapsed="false">
      <c r="A6372" s="4" t="s">
        <v>346</v>
      </c>
      <c r="B6372" s="5" t="s">
        <v>359</v>
      </c>
      <c r="C6372" s="5" t="s">
        <v>360</v>
      </c>
      <c r="D6372" s="4" t="s">
        <v>16</v>
      </c>
      <c r="E6372" s="4" t="s">
        <v>6774</v>
      </c>
      <c r="F6372" s="4" t="s">
        <v>470</v>
      </c>
      <c r="G6372" s="4" t="s">
        <v>6775</v>
      </c>
      <c r="H6372" s="12" t="n">
        <v>1</v>
      </c>
      <c r="I6372" s="4" t="s">
        <v>408</v>
      </c>
      <c r="J6372" s="4" t="s">
        <v>416</v>
      </c>
      <c r="K6372" s="13" t="n">
        <v>350</v>
      </c>
      <c r="L6372" s="6" t="n">
        <f aca="false">H6372*K6372</f>
        <v>350</v>
      </c>
      <c r="M6372" s="4" t="s">
        <v>371</v>
      </c>
    </row>
    <row r="6373" customFormat="false" ht="15" hidden="false" customHeight="false" outlineLevel="0" collapsed="false">
      <c r="A6373" s="4" t="s">
        <v>346</v>
      </c>
      <c r="B6373" s="5" t="s">
        <v>359</v>
      </c>
      <c r="C6373" s="5" t="s">
        <v>360</v>
      </c>
      <c r="D6373" s="4" t="s">
        <v>16</v>
      </c>
      <c r="E6373" s="4" t="s">
        <v>6776</v>
      </c>
      <c r="F6373" s="4" t="s">
        <v>470</v>
      </c>
      <c r="G6373" s="4" t="s">
        <v>6777</v>
      </c>
      <c r="H6373" s="12" t="n">
        <v>1</v>
      </c>
      <c r="I6373" s="4" t="s">
        <v>408</v>
      </c>
      <c r="J6373" s="4" t="s">
        <v>416</v>
      </c>
      <c r="K6373" s="13" t="n">
        <v>4500</v>
      </c>
      <c r="L6373" s="6" t="n">
        <f aca="false">H6373*K6373</f>
        <v>4500</v>
      </c>
      <c r="M6373" s="4" t="s">
        <v>371</v>
      </c>
    </row>
    <row r="6374" customFormat="false" ht="15" hidden="false" customHeight="false" outlineLevel="0" collapsed="false">
      <c r="A6374" s="4" t="s">
        <v>346</v>
      </c>
      <c r="B6374" s="5" t="s">
        <v>359</v>
      </c>
      <c r="C6374" s="5" t="s">
        <v>360</v>
      </c>
      <c r="D6374" s="4" t="s">
        <v>16</v>
      </c>
      <c r="E6374" s="4" t="s">
        <v>6778</v>
      </c>
      <c r="F6374" s="4" t="s">
        <v>470</v>
      </c>
      <c r="G6374" s="4" t="s">
        <v>6779</v>
      </c>
      <c r="H6374" s="12" t="n">
        <v>1</v>
      </c>
      <c r="I6374" s="4" t="s">
        <v>408</v>
      </c>
      <c r="J6374" s="4" t="s">
        <v>416</v>
      </c>
      <c r="K6374" s="13" t="n">
        <v>850</v>
      </c>
      <c r="L6374" s="6" t="n">
        <f aca="false">H6374*K6374</f>
        <v>850</v>
      </c>
      <c r="M6374" s="4" t="s">
        <v>371</v>
      </c>
    </row>
    <row r="6375" customFormat="false" ht="15" hidden="false" customHeight="false" outlineLevel="0" collapsed="false">
      <c r="A6375" s="4" t="s">
        <v>346</v>
      </c>
      <c r="B6375" s="5" t="s">
        <v>359</v>
      </c>
      <c r="C6375" s="5" t="s">
        <v>360</v>
      </c>
      <c r="D6375" s="4" t="s">
        <v>16</v>
      </c>
      <c r="E6375" s="4" t="s">
        <v>6780</v>
      </c>
      <c r="F6375" s="4" t="s">
        <v>470</v>
      </c>
      <c r="G6375" s="4" t="s">
        <v>6781</v>
      </c>
      <c r="H6375" s="12" t="n">
        <v>1</v>
      </c>
      <c r="I6375" s="4" t="s">
        <v>408</v>
      </c>
      <c r="J6375" s="4" t="s">
        <v>416</v>
      </c>
      <c r="K6375" s="13" t="n">
        <v>850</v>
      </c>
      <c r="L6375" s="6" t="n">
        <f aca="false">H6375*K6375</f>
        <v>850</v>
      </c>
      <c r="M6375" s="4" t="s">
        <v>371</v>
      </c>
    </row>
    <row r="6376" customFormat="false" ht="15" hidden="false" customHeight="false" outlineLevel="0" collapsed="false">
      <c r="A6376" s="4" t="s">
        <v>346</v>
      </c>
      <c r="B6376" s="5" t="s">
        <v>359</v>
      </c>
      <c r="C6376" s="5" t="s">
        <v>360</v>
      </c>
      <c r="D6376" s="4" t="s">
        <v>16</v>
      </c>
      <c r="E6376" s="4" t="s">
        <v>6782</v>
      </c>
      <c r="F6376" s="4" t="s">
        <v>470</v>
      </c>
      <c r="G6376" s="4" t="s">
        <v>6783</v>
      </c>
      <c r="H6376" s="12" t="n">
        <v>1</v>
      </c>
      <c r="I6376" s="4" t="s">
        <v>408</v>
      </c>
      <c r="J6376" s="4" t="s">
        <v>416</v>
      </c>
      <c r="K6376" s="13" t="n">
        <v>850</v>
      </c>
      <c r="L6376" s="6" t="n">
        <f aca="false">H6376*K6376</f>
        <v>850</v>
      </c>
      <c r="M6376" s="4" t="s">
        <v>371</v>
      </c>
    </row>
    <row r="6377" customFormat="false" ht="15" hidden="false" customHeight="false" outlineLevel="0" collapsed="false">
      <c r="A6377" s="4" t="s">
        <v>346</v>
      </c>
      <c r="B6377" s="5" t="s">
        <v>359</v>
      </c>
      <c r="C6377" s="5" t="s">
        <v>360</v>
      </c>
      <c r="D6377" s="4" t="s">
        <v>16</v>
      </c>
      <c r="E6377" s="4" t="s">
        <v>6784</v>
      </c>
      <c r="F6377" s="4" t="s">
        <v>470</v>
      </c>
      <c r="G6377" s="4" t="s">
        <v>6785</v>
      </c>
      <c r="H6377" s="12" t="n">
        <v>1</v>
      </c>
      <c r="I6377" s="4" t="s">
        <v>408</v>
      </c>
      <c r="J6377" s="4" t="s">
        <v>416</v>
      </c>
      <c r="K6377" s="13" t="n">
        <v>850</v>
      </c>
      <c r="L6377" s="6" t="n">
        <f aca="false">H6377*K6377</f>
        <v>850</v>
      </c>
      <c r="M6377" s="4" t="s">
        <v>371</v>
      </c>
    </row>
    <row r="6378" customFormat="false" ht="15" hidden="false" customHeight="false" outlineLevel="0" collapsed="false">
      <c r="A6378" s="4" t="s">
        <v>346</v>
      </c>
      <c r="B6378" s="5" t="s">
        <v>359</v>
      </c>
      <c r="C6378" s="5" t="s">
        <v>360</v>
      </c>
      <c r="D6378" s="4" t="s">
        <v>16</v>
      </c>
      <c r="E6378" s="4" t="s">
        <v>6786</v>
      </c>
      <c r="F6378" s="4" t="s">
        <v>470</v>
      </c>
      <c r="G6378" s="4" t="s">
        <v>6787</v>
      </c>
      <c r="H6378" s="12" t="n">
        <v>1</v>
      </c>
      <c r="I6378" s="4" t="s">
        <v>408</v>
      </c>
      <c r="J6378" s="4" t="s">
        <v>416</v>
      </c>
      <c r="K6378" s="13" t="n">
        <v>850</v>
      </c>
      <c r="L6378" s="6" t="n">
        <f aca="false">H6378*K6378</f>
        <v>850</v>
      </c>
      <c r="M6378" s="4" t="s">
        <v>371</v>
      </c>
    </row>
    <row r="6379" customFormat="false" ht="15" hidden="false" customHeight="false" outlineLevel="0" collapsed="false">
      <c r="A6379" s="4" t="s">
        <v>346</v>
      </c>
      <c r="B6379" s="5" t="s">
        <v>359</v>
      </c>
      <c r="C6379" s="5" t="s">
        <v>360</v>
      </c>
      <c r="D6379" s="4" t="s">
        <v>16</v>
      </c>
      <c r="E6379" s="4" t="s">
        <v>6788</v>
      </c>
      <c r="F6379" s="4" t="s">
        <v>470</v>
      </c>
      <c r="G6379" s="4" t="s">
        <v>6789</v>
      </c>
      <c r="H6379" s="12" t="n">
        <v>1</v>
      </c>
      <c r="I6379" s="4" t="s">
        <v>408</v>
      </c>
      <c r="J6379" s="4" t="s">
        <v>416</v>
      </c>
      <c r="K6379" s="13" t="n">
        <v>850</v>
      </c>
      <c r="L6379" s="6" t="n">
        <f aca="false">H6379*K6379</f>
        <v>850</v>
      </c>
      <c r="M6379" s="4" t="s">
        <v>371</v>
      </c>
    </row>
    <row r="6380" customFormat="false" ht="15" hidden="false" customHeight="false" outlineLevel="0" collapsed="false">
      <c r="A6380" s="4" t="s">
        <v>346</v>
      </c>
      <c r="B6380" s="5" t="s">
        <v>359</v>
      </c>
      <c r="C6380" s="5" t="s">
        <v>360</v>
      </c>
      <c r="D6380" s="4" t="s">
        <v>16</v>
      </c>
      <c r="E6380" s="4" t="s">
        <v>6790</v>
      </c>
      <c r="F6380" s="4" t="s">
        <v>470</v>
      </c>
      <c r="G6380" s="4" t="s">
        <v>6791</v>
      </c>
      <c r="H6380" s="12" t="n">
        <v>1</v>
      </c>
      <c r="I6380" s="4" t="s">
        <v>408</v>
      </c>
      <c r="J6380" s="4" t="s">
        <v>416</v>
      </c>
      <c r="K6380" s="13" t="n">
        <v>1800</v>
      </c>
      <c r="L6380" s="6" t="n">
        <f aca="false">H6380*K6380</f>
        <v>1800</v>
      </c>
      <c r="M6380" s="4" t="s">
        <v>371</v>
      </c>
    </row>
    <row r="6381" customFormat="false" ht="15" hidden="false" customHeight="false" outlineLevel="0" collapsed="false">
      <c r="A6381" s="4" t="s">
        <v>346</v>
      </c>
      <c r="B6381" s="5" t="s">
        <v>359</v>
      </c>
      <c r="C6381" s="5" t="s">
        <v>360</v>
      </c>
      <c r="D6381" s="4" t="s">
        <v>16</v>
      </c>
      <c r="E6381" s="4" t="s">
        <v>6792</v>
      </c>
      <c r="F6381" s="4" t="s">
        <v>470</v>
      </c>
      <c r="G6381" s="4" t="s">
        <v>6793</v>
      </c>
      <c r="H6381" s="12" t="n">
        <v>1</v>
      </c>
      <c r="I6381" s="4" t="s">
        <v>408</v>
      </c>
      <c r="J6381" s="4" t="s">
        <v>416</v>
      </c>
      <c r="K6381" s="13" t="n">
        <v>1800</v>
      </c>
      <c r="L6381" s="6" t="n">
        <f aca="false">H6381*K6381</f>
        <v>1800</v>
      </c>
      <c r="M6381" s="4" t="s">
        <v>371</v>
      </c>
    </row>
    <row r="6382" customFormat="false" ht="15" hidden="false" customHeight="false" outlineLevel="0" collapsed="false">
      <c r="A6382" s="4" t="s">
        <v>346</v>
      </c>
      <c r="B6382" s="5" t="s">
        <v>359</v>
      </c>
      <c r="C6382" s="5" t="s">
        <v>360</v>
      </c>
      <c r="D6382" s="4" t="s">
        <v>16</v>
      </c>
      <c r="E6382" s="4" t="s">
        <v>2301</v>
      </c>
      <c r="F6382" s="4" t="s">
        <v>470</v>
      </c>
      <c r="G6382" s="4" t="s">
        <v>2302</v>
      </c>
      <c r="H6382" s="12" t="n">
        <v>1</v>
      </c>
      <c r="I6382" s="4" t="s">
        <v>408</v>
      </c>
      <c r="J6382" s="4" t="s">
        <v>409</v>
      </c>
      <c r="K6382" s="13" t="n">
        <v>8500</v>
      </c>
      <c r="L6382" s="6" t="n">
        <f aca="false">H6382*K6382</f>
        <v>8500</v>
      </c>
      <c r="M6382" s="4" t="s">
        <v>371</v>
      </c>
    </row>
    <row r="6383" customFormat="false" ht="15" hidden="false" customHeight="false" outlineLevel="0" collapsed="false">
      <c r="A6383" s="4" t="s">
        <v>346</v>
      </c>
      <c r="B6383" s="5" t="s">
        <v>359</v>
      </c>
      <c r="C6383" s="5" t="s">
        <v>360</v>
      </c>
      <c r="D6383" s="4" t="s">
        <v>16</v>
      </c>
      <c r="E6383" s="4" t="s">
        <v>2303</v>
      </c>
      <c r="F6383" s="4" t="s">
        <v>470</v>
      </c>
      <c r="G6383" s="4" t="s">
        <v>2304</v>
      </c>
      <c r="H6383" s="12" t="n">
        <v>1</v>
      </c>
      <c r="I6383" s="4" t="s">
        <v>408</v>
      </c>
      <c r="J6383" s="4" t="s">
        <v>409</v>
      </c>
      <c r="K6383" s="13" t="n">
        <v>3500</v>
      </c>
      <c r="L6383" s="6" t="n">
        <f aca="false">H6383*K6383</f>
        <v>3500</v>
      </c>
      <c r="M6383" s="4" t="s">
        <v>371</v>
      </c>
    </row>
    <row r="6384" customFormat="false" ht="15" hidden="false" customHeight="false" outlineLevel="0" collapsed="false">
      <c r="A6384" s="4" t="s">
        <v>346</v>
      </c>
      <c r="B6384" s="5" t="s">
        <v>359</v>
      </c>
      <c r="C6384" s="5" t="s">
        <v>360</v>
      </c>
      <c r="D6384" s="4" t="s">
        <v>16</v>
      </c>
      <c r="E6384" s="4" t="s">
        <v>2305</v>
      </c>
      <c r="F6384" s="4" t="s">
        <v>470</v>
      </c>
      <c r="G6384" s="4" t="s">
        <v>2306</v>
      </c>
      <c r="H6384" s="12" t="n">
        <v>1</v>
      </c>
      <c r="I6384" s="4" t="s">
        <v>408</v>
      </c>
      <c r="J6384" s="4" t="s">
        <v>409</v>
      </c>
      <c r="K6384" s="13" t="n">
        <v>850</v>
      </c>
      <c r="L6384" s="6" t="n">
        <f aca="false">H6384*K6384</f>
        <v>850</v>
      </c>
      <c r="M6384" s="4" t="s">
        <v>371</v>
      </c>
    </row>
    <row r="6385" customFormat="false" ht="15" hidden="false" customHeight="false" outlineLevel="0" collapsed="false">
      <c r="A6385" s="4" t="s">
        <v>346</v>
      </c>
      <c r="B6385" s="5" t="s">
        <v>359</v>
      </c>
      <c r="C6385" s="5" t="s">
        <v>360</v>
      </c>
      <c r="D6385" s="4" t="s">
        <v>16</v>
      </c>
      <c r="E6385" s="4" t="s">
        <v>6794</v>
      </c>
      <c r="F6385" s="4" t="s">
        <v>488</v>
      </c>
      <c r="G6385" s="4" t="s">
        <v>6795</v>
      </c>
      <c r="H6385" s="12" t="n">
        <v>1</v>
      </c>
      <c r="I6385" s="4" t="s">
        <v>408</v>
      </c>
      <c r="J6385" s="4" t="s">
        <v>506</v>
      </c>
      <c r="K6385" s="13" t="n">
        <v>250</v>
      </c>
      <c r="L6385" s="6" t="n">
        <f aca="false">H6385*K6385</f>
        <v>250</v>
      </c>
      <c r="M6385" s="4" t="s">
        <v>371</v>
      </c>
    </row>
    <row r="6386" customFormat="false" ht="15" hidden="false" customHeight="false" outlineLevel="0" collapsed="false">
      <c r="A6386" s="4" t="s">
        <v>346</v>
      </c>
      <c r="B6386" s="5" t="s">
        <v>359</v>
      </c>
      <c r="C6386" s="5" t="s">
        <v>360</v>
      </c>
      <c r="D6386" s="4" t="s">
        <v>16</v>
      </c>
      <c r="E6386" s="4" t="s">
        <v>6796</v>
      </c>
      <c r="F6386" s="4" t="s">
        <v>488</v>
      </c>
      <c r="G6386" s="4" t="s">
        <v>6797</v>
      </c>
      <c r="H6386" s="12" t="n">
        <v>1</v>
      </c>
      <c r="I6386" s="4" t="s">
        <v>408</v>
      </c>
      <c r="J6386" s="4" t="s">
        <v>416</v>
      </c>
      <c r="K6386" s="13" t="n">
        <v>850</v>
      </c>
      <c r="L6386" s="6" t="n">
        <f aca="false">H6386*K6386</f>
        <v>850</v>
      </c>
      <c r="M6386" s="4" t="s">
        <v>371</v>
      </c>
    </row>
    <row r="6387" customFormat="false" ht="15" hidden="false" customHeight="false" outlineLevel="0" collapsed="false">
      <c r="A6387" s="4" t="s">
        <v>346</v>
      </c>
      <c r="B6387" s="5" t="s">
        <v>359</v>
      </c>
      <c r="C6387" s="5" t="s">
        <v>360</v>
      </c>
      <c r="D6387" s="4" t="s">
        <v>16</v>
      </c>
      <c r="E6387" s="4" t="s">
        <v>6798</v>
      </c>
      <c r="F6387" s="4" t="s">
        <v>488</v>
      </c>
      <c r="G6387" s="4" t="s">
        <v>6799</v>
      </c>
      <c r="H6387" s="12" t="n">
        <v>1</v>
      </c>
      <c r="I6387" s="4" t="s">
        <v>408</v>
      </c>
      <c r="J6387" s="4" t="s">
        <v>506</v>
      </c>
      <c r="K6387" s="13" t="n">
        <v>180</v>
      </c>
      <c r="L6387" s="6" t="n">
        <f aca="false">H6387*K6387</f>
        <v>180</v>
      </c>
      <c r="M6387" s="4" t="s">
        <v>371</v>
      </c>
    </row>
    <row r="6388" customFormat="false" ht="15" hidden="false" customHeight="false" outlineLevel="0" collapsed="false">
      <c r="A6388" s="4" t="s">
        <v>346</v>
      </c>
      <c r="B6388" s="5" t="s">
        <v>359</v>
      </c>
      <c r="C6388" s="5" t="s">
        <v>360</v>
      </c>
      <c r="D6388" s="4" t="s">
        <v>16</v>
      </c>
      <c r="E6388" s="4" t="s">
        <v>6800</v>
      </c>
      <c r="F6388" s="4" t="s">
        <v>488</v>
      </c>
      <c r="G6388" s="4" t="s">
        <v>6801</v>
      </c>
      <c r="H6388" s="12" t="n">
        <v>1</v>
      </c>
      <c r="I6388" s="4" t="s">
        <v>408</v>
      </c>
      <c r="J6388" s="4" t="s">
        <v>416</v>
      </c>
      <c r="K6388" s="13" t="n">
        <v>450</v>
      </c>
      <c r="L6388" s="6" t="n">
        <f aca="false">H6388*K6388</f>
        <v>450</v>
      </c>
      <c r="M6388" s="4" t="s">
        <v>371</v>
      </c>
    </row>
    <row r="6389" customFormat="false" ht="15" hidden="false" customHeight="false" outlineLevel="0" collapsed="false">
      <c r="A6389" s="4" t="s">
        <v>346</v>
      </c>
      <c r="B6389" s="5" t="s">
        <v>359</v>
      </c>
      <c r="C6389" s="5" t="s">
        <v>360</v>
      </c>
      <c r="D6389" s="4" t="s">
        <v>16</v>
      </c>
      <c r="E6389" s="4" t="s">
        <v>6802</v>
      </c>
      <c r="F6389" s="4" t="s">
        <v>488</v>
      </c>
      <c r="G6389" s="4" t="s">
        <v>6803</v>
      </c>
      <c r="H6389" s="12" t="n">
        <v>1</v>
      </c>
      <c r="I6389" s="4" t="s">
        <v>408</v>
      </c>
      <c r="J6389" s="4" t="s">
        <v>416</v>
      </c>
      <c r="K6389" s="13" t="n">
        <v>250</v>
      </c>
      <c r="L6389" s="6" t="n">
        <f aca="false">H6389*K6389</f>
        <v>250</v>
      </c>
      <c r="M6389" s="4" t="s">
        <v>371</v>
      </c>
    </row>
    <row r="6390" customFormat="false" ht="15" hidden="false" customHeight="false" outlineLevel="0" collapsed="false">
      <c r="A6390" s="4" t="s">
        <v>346</v>
      </c>
      <c r="B6390" s="5" t="s">
        <v>359</v>
      </c>
      <c r="C6390" s="5" t="s">
        <v>360</v>
      </c>
      <c r="D6390" s="4" t="s">
        <v>16</v>
      </c>
      <c r="E6390" s="4" t="s">
        <v>6804</v>
      </c>
      <c r="F6390" s="4" t="s">
        <v>488</v>
      </c>
      <c r="G6390" s="4" t="s">
        <v>6805</v>
      </c>
      <c r="H6390" s="12" t="n">
        <v>1</v>
      </c>
      <c r="I6390" s="4" t="s">
        <v>408</v>
      </c>
      <c r="J6390" s="4" t="s">
        <v>506</v>
      </c>
      <c r="K6390" s="13" t="n">
        <v>120</v>
      </c>
      <c r="L6390" s="6" t="n">
        <f aca="false">H6390*K6390</f>
        <v>120</v>
      </c>
      <c r="M6390" s="4" t="s">
        <v>371</v>
      </c>
    </row>
    <row r="6391" customFormat="false" ht="15" hidden="false" customHeight="false" outlineLevel="0" collapsed="false">
      <c r="A6391" s="4" t="s">
        <v>346</v>
      </c>
      <c r="B6391" s="5" t="s">
        <v>359</v>
      </c>
      <c r="C6391" s="5" t="s">
        <v>360</v>
      </c>
      <c r="D6391" s="4" t="s">
        <v>16</v>
      </c>
      <c r="E6391" s="4" t="s">
        <v>6806</v>
      </c>
      <c r="F6391" s="4" t="s">
        <v>470</v>
      </c>
      <c r="G6391" s="4" t="s">
        <v>6807</v>
      </c>
      <c r="H6391" s="12" t="n">
        <v>1</v>
      </c>
      <c r="I6391" s="4" t="s">
        <v>408</v>
      </c>
      <c r="J6391" s="4" t="s">
        <v>416</v>
      </c>
      <c r="K6391" s="13" t="n">
        <v>850</v>
      </c>
      <c r="L6391" s="6" t="n">
        <f aca="false">H6391*K6391</f>
        <v>850</v>
      </c>
      <c r="M6391" s="4" t="s">
        <v>371</v>
      </c>
    </row>
    <row r="6392" customFormat="false" ht="15" hidden="false" customHeight="false" outlineLevel="0" collapsed="false">
      <c r="A6392" s="4" t="s">
        <v>346</v>
      </c>
      <c r="B6392" s="5" t="s">
        <v>359</v>
      </c>
      <c r="C6392" s="5" t="s">
        <v>360</v>
      </c>
      <c r="D6392" s="4" t="s">
        <v>16</v>
      </c>
      <c r="E6392" s="4" t="s">
        <v>6808</v>
      </c>
      <c r="F6392" s="4" t="s">
        <v>470</v>
      </c>
      <c r="G6392" s="4" t="s">
        <v>6809</v>
      </c>
      <c r="H6392" s="12" t="n">
        <v>1</v>
      </c>
      <c r="I6392" s="4" t="s">
        <v>408</v>
      </c>
      <c r="J6392" s="4" t="s">
        <v>416</v>
      </c>
      <c r="K6392" s="13" t="n">
        <v>25000</v>
      </c>
      <c r="L6392" s="6" t="n">
        <f aca="false">H6392*K6392</f>
        <v>25000</v>
      </c>
      <c r="M6392" s="4" t="s">
        <v>371</v>
      </c>
    </row>
    <row r="6393" customFormat="false" ht="15" hidden="false" customHeight="false" outlineLevel="0" collapsed="false">
      <c r="A6393" s="4" t="s">
        <v>346</v>
      </c>
      <c r="B6393" s="5" t="s">
        <v>359</v>
      </c>
      <c r="C6393" s="5" t="s">
        <v>360</v>
      </c>
      <c r="D6393" s="4" t="s">
        <v>16</v>
      </c>
      <c r="E6393" s="4" t="s">
        <v>6810</v>
      </c>
      <c r="F6393" s="4" t="s">
        <v>470</v>
      </c>
      <c r="G6393" s="4" t="s">
        <v>6811</v>
      </c>
      <c r="H6393" s="12" t="n">
        <v>1</v>
      </c>
      <c r="I6393" s="4" t="s">
        <v>408</v>
      </c>
      <c r="J6393" s="4" t="s">
        <v>409</v>
      </c>
      <c r="K6393" s="13" t="n">
        <v>250</v>
      </c>
      <c r="L6393" s="6" t="n">
        <f aca="false">H6393*K6393</f>
        <v>250</v>
      </c>
      <c r="M6393" s="4" t="s">
        <v>371</v>
      </c>
    </row>
    <row r="6394" customFormat="false" ht="15" hidden="false" customHeight="false" outlineLevel="0" collapsed="false">
      <c r="A6394" s="4" t="s">
        <v>346</v>
      </c>
      <c r="B6394" s="5" t="s">
        <v>359</v>
      </c>
      <c r="C6394" s="5" t="s">
        <v>360</v>
      </c>
      <c r="D6394" s="4" t="s">
        <v>16</v>
      </c>
      <c r="E6394" s="4" t="s">
        <v>6812</v>
      </c>
      <c r="F6394" s="4" t="s">
        <v>470</v>
      </c>
      <c r="G6394" s="4" t="s">
        <v>6813</v>
      </c>
      <c r="H6394" s="12" t="n">
        <v>1</v>
      </c>
      <c r="I6394" s="4" t="s">
        <v>408</v>
      </c>
      <c r="J6394" s="4" t="s">
        <v>416</v>
      </c>
      <c r="K6394" s="13" t="n">
        <v>1200</v>
      </c>
      <c r="L6394" s="6" t="n">
        <f aca="false">H6394*K6394</f>
        <v>1200</v>
      </c>
      <c r="M6394" s="4" t="s">
        <v>371</v>
      </c>
    </row>
    <row r="6395" customFormat="false" ht="15" hidden="false" customHeight="false" outlineLevel="0" collapsed="false">
      <c r="A6395" s="4" t="s">
        <v>346</v>
      </c>
      <c r="B6395" s="5" t="s">
        <v>361</v>
      </c>
      <c r="C6395" s="5" t="s">
        <v>362</v>
      </c>
      <c r="D6395" s="4" t="s">
        <v>16</v>
      </c>
      <c r="E6395" s="4" t="s">
        <v>6814</v>
      </c>
      <c r="F6395" s="4" t="s">
        <v>470</v>
      </c>
      <c r="G6395" s="4" t="s">
        <v>6815</v>
      </c>
      <c r="H6395" s="12" t="n">
        <v>1</v>
      </c>
      <c r="I6395" s="4" t="s">
        <v>408</v>
      </c>
      <c r="J6395" s="4" t="s">
        <v>416</v>
      </c>
      <c r="K6395" s="13" t="n">
        <v>3500</v>
      </c>
      <c r="L6395" s="6" t="n">
        <f aca="false">H6395*K6395</f>
        <v>3500</v>
      </c>
      <c r="M6395" s="4" t="s">
        <v>371</v>
      </c>
    </row>
    <row r="6396" customFormat="false" ht="15" hidden="false" customHeight="false" outlineLevel="0" collapsed="false">
      <c r="A6396" s="4" t="s">
        <v>346</v>
      </c>
      <c r="B6396" s="5" t="s">
        <v>361</v>
      </c>
      <c r="C6396" s="5" t="s">
        <v>362</v>
      </c>
      <c r="D6396" s="4" t="s">
        <v>16</v>
      </c>
      <c r="E6396" s="4" t="s">
        <v>6686</v>
      </c>
      <c r="F6396" s="4" t="s">
        <v>470</v>
      </c>
      <c r="G6396" s="4" t="s">
        <v>6687</v>
      </c>
      <c r="H6396" s="12" t="n">
        <v>1</v>
      </c>
      <c r="I6396" s="4" t="s">
        <v>408</v>
      </c>
      <c r="J6396" s="4" t="s">
        <v>416</v>
      </c>
      <c r="K6396" s="13" t="n">
        <v>850</v>
      </c>
      <c r="L6396" s="6" t="n">
        <f aca="false">H6396*K6396</f>
        <v>850</v>
      </c>
      <c r="M6396" s="4" t="s">
        <v>371</v>
      </c>
    </row>
    <row r="6397" customFormat="false" ht="15" hidden="false" customHeight="false" outlineLevel="0" collapsed="false">
      <c r="A6397" s="4" t="s">
        <v>346</v>
      </c>
      <c r="B6397" s="5" t="s">
        <v>361</v>
      </c>
      <c r="C6397" s="5" t="s">
        <v>362</v>
      </c>
      <c r="D6397" s="4" t="s">
        <v>16</v>
      </c>
      <c r="E6397" s="4" t="s">
        <v>6688</v>
      </c>
      <c r="F6397" s="4" t="s">
        <v>470</v>
      </c>
      <c r="G6397" s="4" t="s">
        <v>6689</v>
      </c>
      <c r="H6397" s="12" t="n">
        <v>1</v>
      </c>
      <c r="I6397" s="4" t="s">
        <v>408</v>
      </c>
      <c r="J6397" s="4" t="s">
        <v>416</v>
      </c>
      <c r="K6397" s="13" t="n">
        <v>850</v>
      </c>
      <c r="L6397" s="6" t="n">
        <f aca="false">H6397*K6397</f>
        <v>850</v>
      </c>
      <c r="M6397" s="4" t="s">
        <v>371</v>
      </c>
    </row>
    <row r="6398" customFormat="false" ht="15" hidden="false" customHeight="false" outlineLevel="0" collapsed="false">
      <c r="A6398" s="4" t="s">
        <v>346</v>
      </c>
      <c r="B6398" s="5" t="s">
        <v>361</v>
      </c>
      <c r="C6398" s="5" t="s">
        <v>362</v>
      </c>
      <c r="D6398" s="4" t="s">
        <v>16</v>
      </c>
      <c r="E6398" s="4" t="s">
        <v>6690</v>
      </c>
      <c r="F6398" s="4" t="s">
        <v>470</v>
      </c>
      <c r="G6398" s="4" t="s">
        <v>6691</v>
      </c>
      <c r="H6398" s="12" t="n">
        <v>1</v>
      </c>
      <c r="I6398" s="4" t="s">
        <v>408</v>
      </c>
      <c r="J6398" s="4" t="s">
        <v>506</v>
      </c>
      <c r="K6398" s="13" t="n">
        <v>350</v>
      </c>
      <c r="L6398" s="6" t="n">
        <f aca="false">H6398*K6398</f>
        <v>350</v>
      </c>
      <c r="M6398" s="4" t="s">
        <v>371</v>
      </c>
    </row>
    <row r="6399" customFormat="false" ht="15" hidden="false" customHeight="false" outlineLevel="0" collapsed="false">
      <c r="A6399" s="4" t="s">
        <v>346</v>
      </c>
      <c r="B6399" s="5" t="s">
        <v>361</v>
      </c>
      <c r="C6399" s="5" t="s">
        <v>362</v>
      </c>
      <c r="D6399" s="4" t="s">
        <v>16</v>
      </c>
      <c r="E6399" s="4" t="s">
        <v>6692</v>
      </c>
      <c r="F6399" s="4" t="s">
        <v>470</v>
      </c>
      <c r="G6399" s="4" t="s">
        <v>6693</v>
      </c>
      <c r="H6399" s="12" t="n">
        <v>1</v>
      </c>
      <c r="I6399" s="4" t="s">
        <v>408</v>
      </c>
      <c r="J6399" s="4" t="s">
        <v>409</v>
      </c>
      <c r="K6399" s="13" t="n">
        <v>450</v>
      </c>
      <c r="L6399" s="6" t="n">
        <f aca="false">H6399*K6399</f>
        <v>450</v>
      </c>
      <c r="M6399" s="4" t="s">
        <v>371</v>
      </c>
    </row>
    <row r="6400" customFormat="false" ht="15" hidden="false" customHeight="false" outlineLevel="0" collapsed="false">
      <c r="A6400" s="4" t="s">
        <v>346</v>
      </c>
      <c r="B6400" s="5" t="s">
        <v>361</v>
      </c>
      <c r="C6400" s="5" t="s">
        <v>362</v>
      </c>
      <c r="D6400" s="4" t="s">
        <v>16</v>
      </c>
      <c r="E6400" s="4" t="s">
        <v>6816</v>
      </c>
      <c r="F6400" s="4" t="s">
        <v>488</v>
      </c>
      <c r="G6400" s="4" t="s">
        <v>6817</v>
      </c>
      <c r="H6400" s="12" t="n">
        <v>1</v>
      </c>
      <c r="I6400" s="4" t="s">
        <v>408</v>
      </c>
      <c r="J6400" s="4" t="s">
        <v>506</v>
      </c>
      <c r="K6400" s="13" t="n">
        <v>100</v>
      </c>
      <c r="L6400" s="6" t="n">
        <f aca="false">H6400*K6400</f>
        <v>100</v>
      </c>
      <c r="M6400" s="4" t="s">
        <v>371</v>
      </c>
    </row>
    <row r="6401" customFormat="false" ht="15" hidden="false" customHeight="false" outlineLevel="0" collapsed="false">
      <c r="A6401" s="4" t="s">
        <v>346</v>
      </c>
      <c r="B6401" s="5" t="s">
        <v>361</v>
      </c>
      <c r="C6401" s="5" t="s">
        <v>362</v>
      </c>
      <c r="D6401" s="4" t="s">
        <v>16</v>
      </c>
      <c r="E6401" s="4" t="s">
        <v>6818</v>
      </c>
      <c r="F6401" s="4" t="s">
        <v>488</v>
      </c>
      <c r="G6401" s="4" t="s">
        <v>6819</v>
      </c>
      <c r="H6401" s="12" t="n">
        <v>1</v>
      </c>
      <c r="I6401" s="4" t="s">
        <v>408</v>
      </c>
      <c r="J6401" s="4" t="s">
        <v>409</v>
      </c>
      <c r="K6401" s="13" t="n">
        <v>45</v>
      </c>
      <c r="L6401" s="6" t="n">
        <f aca="false">H6401*K6401</f>
        <v>45</v>
      </c>
      <c r="M6401" s="4" t="s">
        <v>371</v>
      </c>
    </row>
    <row r="6402" customFormat="false" ht="15" hidden="false" customHeight="false" outlineLevel="0" collapsed="false">
      <c r="A6402" s="4" t="s">
        <v>346</v>
      </c>
      <c r="B6402" s="5" t="s">
        <v>361</v>
      </c>
      <c r="C6402" s="5" t="s">
        <v>362</v>
      </c>
      <c r="D6402" s="4" t="s">
        <v>16</v>
      </c>
      <c r="E6402" s="4" t="s">
        <v>6820</v>
      </c>
      <c r="F6402" s="4" t="s">
        <v>488</v>
      </c>
      <c r="G6402" s="4" t="s">
        <v>6821</v>
      </c>
      <c r="H6402" s="12" t="n">
        <v>1</v>
      </c>
      <c r="I6402" s="4" t="s">
        <v>408</v>
      </c>
      <c r="J6402" s="4" t="s">
        <v>506</v>
      </c>
      <c r="K6402" s="13" t="n">
        <v>120</v>
      </c>
      <c r="L6402" s="6" t="n">
        <f aca="false">H6402*K6402</f>
        <v>120</v>
      </c>
      <c r="M6402" s="4" t="s">
        <v>371</v>
      </c>
    </row>
    <row r="6403" customFormat="false" ht="15" hidden="false" customHeight="false" outlineLevel="0" collapsed="false">
      <c r="A6403" s="4" t="s">
        <v>346</v>
      </c>
      <c r="B6403" s="5" t="s">
        <v>361</v>
      </c>
      <c r="C6403" s="5" t="s">
        <v>362</v>
      </c>
      <c r="D6403" s="4" t="s">
        <v>16</v>
      </c>
      <c r="E6403" s="4" t="s">
        <v>6822</v>
      </c>
      <c r="F6403" s="4" t="s">
        <v>488</v>
      </c>
      <c r="G6403" s="4" t="s">
        <v>6823</v>
      </c>
      <c r="H6403" s="12" t="n">
        <v>1</v>
      </c>
      <c r="I6403" s="4" t="s">
        <v>408</v>
      </c>
      <c r="J6403" s="4" t="s">
        <v>409</v>
      </c>
      <c r="K6403" s="13" t="n">
        <v>100</v>
      </c>
      <c r="L6403" s="6" t="n">
        <f aca="false">H6403*K6403</f>
        <v>100</v>
      </c>
      <c r="M6403" s="4" t="s">
        <v>371</v>
      </c>
    </row>
    <row r="6404" customFormat="false" ht="15" hidden="false" customHeight="false" outlineLevel="0" collapsed="false">
      <c r="A6404" s="4" t="s">
        <v>346</v>
      </c>
      <c r="B6404" s="5" t="s">
        <v>361</v>
      </c>
      <c r="C6404" s="5" t="s">
        <v>362</v>
      </c>
      <c r="D6404" s="4" t="s">
        <v>16</v>
      </c>
      <c r="E6404" s="4" t="s">
        <v>6824</v>
      </c>
      <c r="F6404" s="4" t="s">
        <v>488</v>
      </c>
      <c r="G6404" s="4" t="s">
        <v>6825</v>
      </c>
      <c r="H6404" s="12" t="n">
        <v>1</v>
      </c>
      <c r="I6404" s="4" t="s">
        <v>408</v>
      </c>
      <c r="J6404" s="4" t="s">
        <v>506</v>
      </c>
      <c r="K6404" s="13" t="n">
        <v>120</v>
      </c>
      <c r="L6404" s="6" t="n">
        <f aca="false">H6404*K6404</f>
        <v>120</v>
      </c>
      <c r="M6404" s="4" t="s">
        <v>371</v>
      </c>
    </row>
    <row r="6405" customFormat="false" ht="15" hidden="false" customHeight="false" outlineLevel="0" collapsed="false">
      <c r="A6405" s="4" t="s">
        <v>346</v>
      </c>
      <c r="B6405" s="5" t="s">
        <v>361</v>
      </c>
      <c r="C6405" s="5" t="s">
        <v>362</v>
      </c>
      <c r="D6405" s="4" t="s">
        <v>16</v>
      </c>
      <c r="E6405" s="4" t="s">
        <v>6696</v>
      </c>
      <c r="F6405" s="4" t="s">
        <v>470</v>
      </c>
      <c r="G6405" s="4" t="s">
        <v>6697</v>
      </c>
      <c r="H6405" s="12" t="n">
        <v>1</v>
      </c>
      <c r="I6405" s="4" t="s">
        <v>408</v>
      </c>
      <c r="J6405" s="4" t="s">
        <v>506</v>
      </c>
      <c r="K6405" s="13" t="n">
        <v>180</v>
      </c>
      <c r="L6405" s="6" t="n">
        <f aca="false">H6405*K6405</f>
        <v>180</v>
      </c>
      <c r="M6405" s="4" t="s">
        <v>371</v>
      </c>
    </row>
    <row r="6406" customFormat="false" ht="15" hidden="false" customHeight="false" outlineLevel="0" collapsed="false">
      <c r="A6406" s="4" t="s">
        <v>346</v>
      </c>
      <c r="B6406" s="5" t="s">
        <v>363</v>
      </c>
      <c r="C6406" s="5" t="s">
        <v>364</v>
      </c>
      <c r="D6406" s="4" t="s">
        <v>16</v>
      </c>
      <c r="E6406" s="4" t="s">
        <v>6826</v>
      </c>
      <c r="F6406" s="4" t="s">
        <v>406</v>
      </c>
      <c r="G6406" s="4" t="s">
        <v>6827</v>
      </c>
      <c r="H6406" s="12" t="n">
        <v>1</v>
      </c>
      <c r="I6406" s="4" t="s">
        <v>408</v>
      </c>
      <c r="J6406" s="4" t="s">
        <v>416</v>
      </c>
      <c r="K6406" s="13" t="n">
        <v>25000</v>
      </c>
      <c r="L6406" s="6" t="n">
        <f aca="false">H6406*K6406</f>
        <v>25000</v>
      </c>
      <c r="M6406" s="4" t="s">
        <v>371</v>
      </c>
    </row>
    <row r="6407" customFormat="false" ht="15" hidden="false" customHeight="false" outlineLevel="0" collapsed="false">
      <c r="A6407" s="4" t="s">
        <v>346</v>
      </c>
      <c r="B6407" s="5" t="s">
        <v>363</v>
      </c>
      <c r="C6407" s="5" t="s">
        <v>364</v>
      </c>
      <c r="D6407" s="4" t="s">
        <v>16</v>
      </c>
      <c r="E6407" s="4" t="s">
        <v>6828</v>
      </c>
      <c r="F6407" s="4" t="s">
        <v>470</v>
      </c>
      <c r="G6407" s="4" t="s">
        <v>6829</v>
      </c>
      <c r="H6407" s="12" t="n">
        <v>1</v>
      </c>
      <c r="I6407" s="4" t="s">
        <v>408</v>
      </c>
      <c r="J6407" s="4" t="s">
        <v>409</v>
      </c>
      <c r="K6407" s="13" t="n">
        <v>45000</v>
      </c>
      <c r="L6407" s="6" t="n">
        <f aca="false">H6407*K6407</f>
        <v>45000</v>
      </c>
      <c r="M6407" s="4" t="s">
        <v>371</v>
      </c>
    </row>
    <row r="6408" customFormat="false" ht="15" hidden="false" customHeight="false" outlineLevel="0" collapsed="false">
      <c r="A6408" s="4" t="s">
        <v>346</v>
      </c>
      <c r="B6408" s="5" t="s">
        <v>363</v>
      </c>
      <c r="C6408" s="5" t="s">
        <v>364</v>
      </c>
      <c r="D6408" s="4" t="s">
        <v>16</v>
      </c>
      <c r="E6408" s="4" t="s">
        <v>6830</v>
      </c>
      <c r="F6408" s="4" t="s">
        <v>470</v>
      </c>
      <c r="G6408" s="4" t="s">
        <v>6831</v>
      </c>
      <c r="H6408" s="12" t="n">
        <v>1</v>
      </c>
      <c r="I6408" s="4" t="s">
        <v>408</v>
      </c>
      <c r="J6408" s="4" t="s">
        <v>409</v>
      </c>
      <c r="K6408" s="13" t="n">
        <v>15000</v>
      </c>
      <c r="L6408" s="6" t="n">
        <f aca="false">H6408*K6408</f>
        <v>15000</v>
      </c>
      <c r="M6408" s="4" t="s">
        <v>371</v>
      </c>
    </row>
    <row r="6409" customFormat="false" ht="15" hidden="false" customHeight="false" outlineLevel="0" collapsed="false">
      <c r="A6409" s="4" t="s">
        <v>346</v>
      </c>
      <c r="B6409" s="5" t="s">
        <v>363</v>
      </c>
      <c r="C6409" s="5" t="s">
        <v>364</v>
      </c>
      <c r="D6409" s="4" t="s">
        <v>16</v>
      </c>
      <c r="E6409" s="4" t="s">
        <v>6832</v>
      </c>
      <c r="F6409" s="4" t="s">
        <v>470</v>
      </c>
      <c r="G6409" s="4" t="s">
        <v>6833</v>
      </c>
      <c r="H6409" s="12" t="n">
        <v>1</v>
      </c>
      <c r="I6409" s="4" t="s">
        <v>408</v>
      </c>
      <c r="J6409" s="4" t="s">
        <v>543</v>
      </c>
      <c r="K6409" s="13" t="n">
        <v>85000</v>
      </c>
      <c r="L6409" s="6" t="n">
        <f aca="false">H6409*K6409</f>
        <v>85000</v>
      </c>
      <c r="M6409" s="4" t="s">
        <v>371</v>
      </c>
    </row>
    <row r="6410" customFormat="false" ht="15" hidden="false" customHeight="false" outlineLevel="0" collapsed="false">
      <c r="A6410" s="4" t="s">
        <v>346</v>
      </c>
      <c r="B6410" s="5" t="s">
        <v>363</v>
      </c>
      <c r="C6410" s="5" t="s">
        <v>364</v>
      </c>
      <c r="D6410" s="4" t="s">
        <v>16</v>
      </c>
      <c r="E6410" s="4" t="s">
        <v>6834</v>
      </c>
      <c r="F6410" s="4" t="s">
        <v>470</v>
      </c>
      <c r="G6410" s="4" t="s">
        <v>6835</v>
      </c>
      <c r="H6410" s="12" t="n">
        <v>1</v>
      </c>
      <c r="I6410" s="4" t="s">
        <v>408</v>
      </c>
      <c r="J6410" s="4" t="s">
        <v>416</v>
      </c>
      <c r="K6410" s="13" t="n">
        <v>25000</v>
      </c>
      <c r="L6410" s="6" t="n">
        <f aca="false">H6410*K6410</f>
        <v>25000</v>
      </c>
      <c r="M6410" s="4" t="s">
        <v>371</v>
      </c>
    </row>
    <row r="6411" customFormat="false" ht="15" hidden="false" customHeight="false" outlineLevel="0" collapsed="false">
      <c r="A6411" s="4" t="s">
        <v>346</v>
      </c>
      <c r="B6411" s="5" t="s">
        <v>363</v>
      </c>
      <c r="C6411" s="5" t="s">
        <v>364</v>
      </c>
      <c r="D6411" s="4" t="s">
        <v>16</v>
      </c>
      <c r="E6411" s="4" t="s">
        <v>6836</v>
      </c>
      <c r="F6411" s="4" t="s">
        <v>470</v>
      </c>
      <c r="G6411" s="4" t="s">
        <v>6837</v>
      </c>
      <c r="H6411" s="12" t="n">
        <v>1</v>
      </c>
      <c r="I6411" s="4" t="s">
        <v>408</v>
      </c>
      <c r="J6411" s="4" t="s">
        <v>416</v>
      </c>
      <c r="K6411" s="13" t="n">
        <v>85000</v>
      </c>
      <c r="L6411" s="6" t="n">
        <f aca="false">H6411*K6411</f>
        <v>85000</v>
      </c>
      <c r="M6411" s="4" t="s">
        <v>371</v>
      </c>
    </row>
    <row r="6412" customFormat="false" ht="15" hidden="false" customHeight="false" outlineLevel="0" collapsed="false">
      <c r="A6412" s="4" t="s">
        <v>346</v>
      </c>
      <c r="B6412" s="5" t="s">
        <v>363</v>
      </c>
      <c r="C6412" s="5" t="s">
        <v>364</v>
      </c>
      <c r="D6412" s="4" t="s">
        <v>16</v>
      </c>
      <c r="E6412" s="4" t="s">
        <v>6838</v>
      </c>
      <c r="F6412" s="4" t="s">
        <v>470</v>
      </c>
      <c r="G6412" s="4" t="s">
        <v>6839</v>
      </c>
      <c r="H6412" s="12" t="n">
        <v>1</v>
      </c>
      <c r="I6412" s="4" t="s">
        <v>408</v>
      </c>
      <c r="J6412" s="4" t="s">
        <v>416</v>
      </c>
      <c r="K6412" s="13" t="n">
        <v>45000</v>
      </c>
      <c r="L6412" s="6" t="n">
        <f aca="false">H6412*K6412</f>
        <v>45000</v>
      </c>
      <c r="M6412" s="4" t="s">
        <v>371</v>
      </c>
    </row>
    <row r="6413" customFormat="false" ht="15" hidden="false" customHeight="false" outlineLevel="0" collapsed="false">
      <c r="A6413" s="4" t="s">
        <v>346</v>
      </c>
      <c r="B6413" s="5" t="s">
        <v>363</v>
      </c>
      <c r="C6413" s="5" t="s">
        <v>364</v>
      </c>
      <c r="D6413" s="4" t="s">
        <v>16</v>
      </c>
      <c r="E6413" s="4" t="s">
        <v>6840</v>
      </c>
      <c r="F6413" s="4" t="s">
        <v>470</v>
      </c>
      <c r="G6413" s="4" t="s">
        <v>6841</v>
      </c>
      <c r="H6413" s="12" t="n">
        <v>1</v>
      </c>
      <c r="I6413" s="4" t="s">
        <v>408</v>
      </c>
      <c r="J6413" s="4" t="s">
        <v>409</v>
      </c>
      <c r="K6413" s="13" t="n">
        <v>85000</v>
      </c>
      <c r="L6413" s="6" t="n">
        <f aca="false">H6413*K6413</f>
        <v>85000</v>
      </c>
      <c r="M6413" s="4" t="s">
        <v>371</v>
      </c>
    </row>
    <row r="6414" customFormat="false" ht="15" hidden="false" customHeight="false" outlineLevel="0" collapsed="false">
      <c r="A6414" s="4" t="s">
        <v>346</v>
      </c>
      <c r="B6414" s="5" t="s">
        <v>363</v>
      </c>
      <c r="C6414" s="5" t="s">
        <v>364</v>
      </c>
      <c r="D6414" s="4" t="s">
        <v>16</v>
      </c>
      <c r="E6414" s="4" t="s">
        <v>6842</v>
      </c>
      <c r="F6414" s="4" t="s">
        <v>470</v>
      </c>
      <c r="G6414" s="4" t="s">
        <v>6843</v>
      </c>
      <c r="H6414" s="12" t="n">
        <v>1</v>
      </c>
      <c r="I6414" s="4" t="s">
        <v>408</v>
      </c>
      <c r="J6414" s="4" t="s">
        <v>409</v>
      </c>
      <c r="K6414" s="13" t="n">
        <v>45000</v>
      </c>
      <c r="L6414" s="6" t="n">
        <f aca="false">H6414*K6414</f>
        <v>45000</v>
      </c>
      <c r="M6414" s="4" t="s">
        <v>371</v>
      </c>
    </row>
    <row r="6415" customFormat="false" ht="15" hidden="false" customHeight="false" outlineLevel="0" collapsed="false">
      <c r="A6415" s="4" t="s">
        <v>346</v>
      </c>
      <c r="B6415" s="5" t="s">
        <v>363</v>
      </c>
      <c r="C6415" s="5" t="s">
        <v>364</v>
      </c>
      <c r="D6415" s="4" t="s">
        <v>16</v>
      </c>
      <c r="E6415" s="4" t="s">
        <v>6844</v>
      </c>
      <c r="F6415" s="4" t="s">
        <v>470</v>
      </c>
      <c r="G6415" s="4" t="s">
        <v>6845</v>
      </c>
      <c r="H6415" s="12" t="n">
        <v>1</v>
      </c>
      <c r="I6415" s="4" t="s">
        <v>408</v>
      </c>
      <c r="J6415" s="4" t="s">
        <v>416</v>
      </c>
      <c r="K6415" s="13" t="n">
        <v>85000</v>
      </c>
      <c r="L6415" s="6" t="n">
        <f aca="false">H6415*K6415</f>
        <v>85000</v>
      </c>
      <c r="M6415" s="4" t="s">
        <v>371</v>
      </c>
    </row>
    <row r="6416" customFormat="false" ht="15" hidden="false" customHeight="false" outlineLevel="0" collapsed="false">
      <c r="A6416" s="4" t="s">
        <v>346</v>
      </c>
      <c r="B6416" s="5" t="s">
        <v>363</v>
      </c>
      <c r="C6416" s="5" t="s">
        <v>364</v>
      </c>
      <c r="D6416" s="4" t="s">
        <v>16</v>
      </c>
      <c r="E6416" s="4" t="s">
        <v>6846</v>
      </c>
      <c r="F6416" s="4" t="s">
        <v>470</v>
      </c>
      <c r="G6416" s="4" t="s">
        <v>6847</v>
      </c>
      <c r="H6416" s="12" t="n">
        <v>1</v>
      </c>
      <c r="I6416" s="4" t="s">
        <v>408</v>
      </c>
      <c r="J6416" s="4" t="s">
        <v>416</v>
      </c>
      <c r="K6416" s="13" t="n">
        <v>8500</v>
      </c>
      <c r="L6416" s="6" t="n">
        <f aca="false">H6416*K6416</f>
        <v>8500</v>
      </c>
      <c r="M6416" s="4" t="s">
        <v>371</v>
      </c>
    </row>
    <row r="6417" customFormat="false" ht="15" hidden="false" customHeight="false" outlineLevel="0" collapsed="false">
      <c r="A6417" s="4" t="s">
        <v>346</v>
      </c>
      <c r="B6417" s="5" t="s">
        <v>363</v>
      </c>
      <c r="C6417" s="5" t="s">
        <v>364</v>
      </c>
      <c r="D6417" s="4" t="s">
        <v>16</v>
      </c>
      <c r="E6417" s="4" t="s">
        <v>6848</v>
      </c>
      <c r="F6417" s="4" t="s">
        <v>470</v>
      </c>
      <c r="G6417" s="4" t="s">
        <v>6849</v>
      </c>
      <c r="H6417" s="12" t="n">
        <v>1</v>
      </c>
      <c r="I6417" s="4" t="s">
        <v>408</v>
      </c>
      <c r="J6417" s="4" t="s">
        <v>416</v>
      </c>
      <c r="K6417" s="13" t="n">
        <v>18000</v>
      </c>
      <c r="L6417" s="6" t="n">
        <f aca="false">H6417*K6417</f>
        <v>18000</v>
      </c>
      <c r="M6417" s="14" t="s">
        <v>410</v>
      </c>
    </row>
    <row r="6418" customFormat="false" ht="15" hidden="false" customHeight="false" outlineLevel="0" collapsed="false">
      <c r="A6418" s="4" t="s">
        <v>346</v>
      </c>
      <c r="B6418" s="5" t="s">
        <v>363</v>
      </c>
      <c r="C6418" s="5" t="s">
        <v>364</v>
      </c>
      <c r="D6418" s="4" t="s">
        <v>16</v>
      </c>
      <c r="E6418" s="4" t="s">
        <v>6850</v>
      </c>
      <c r="F6418" s="4" t="s">
        <v>470</v>
      </c>
      <c r="G6418" s="4" t="s">
        <v>6851</v>
      </c>
      <c r="H6418" s="12" t="n">
        <v>1</v>
      </c>
      <c r="I6418" s="4" t="s">
        <v>408</v>
      </c>
      <c r="J6418" s="4" t="s">
        <v>543</v>
      </c>
      <c r="K6418" s="13" t="n">
        <v>25000</v>
      </c>
      <c r="L6418" s="6" t="n">
        <f aca="false">H6418*K6418</f>
        <v>25000</v>
      </c>
      <c r="M6418" s="4" t="s">
        <v>371</v>
      </c>
    </row>
    <row r="6419" customFormat="false" ht="15" hidden="false" customHeight="false" outlineLevel="0" collapsed="false">
      <c r="A6419" s="4" t="s">
        <v>346</v>
      </c>
      <c r="B6419" s="5" t="s">
        <v>363</v>
      </c>
      <c r="C6419" s="5" t="s">
        <v>364</v>
      </c>
      <c r="D6419" s="4" t="s">
        <v>16</v>
      </c>
      <c r="E6419" s="4" t="s">
        <v>6852</v>
      </c>
      <c r="F6419" s="4" t="s">
        <v>470</v>
      </c>
      <c r="G6419" s="4" t="s">
        <v>6853</v>
      </c>
      <c r="H6419" s="12" t="n">
        <v>1</v>
      </c>
      <c r="I6419" s="4" t="s">
        <v>408</v>
      </c>
      <c r="J6419" s="4" t="s">
        <v>543</v>
      </c>
      <c r="K6419" s="13" t="n">
        <v>12000</v>
      </c>
      <c r="L6419" s="6" t="n">
        <f aca="false">H6419*K6419</f>
        <v>12000</v>
      </c>
      <c r="M6419" s="4" t="s">
        <v>371</v>
      </c>
    </row>
    <row r="6420" customFormat="false" ht="15" hidden="false" customHeight="false" outlineLevel="0" collapsed="false">
      <c r="A6420" s="4" t="s">
        <v>346</v>
      </c>
      <c r="B6420" s="5" t="s">
        <v>363</v>
      </c>
      <c r="C6420" s="5" t="s">
        <v>364</v>
      </c>
      <c r="D6420" s="4" t="s">
        <v>16</v>
      </c>
      <c r="E6420" s="4" t="s">
        <v>6854</v>
      </c>
      <c r="F6420" s="4" t="s">
        <v>470</v>
      </c>
      <c r="G6420" s="4" t="s">
        <v>6855</v>
      </c>
      <c r="H6420" s="12" t="n">
        <v>1</v>
      </c>
      <c r="I6420" s="4" t="s">
        <v>408</v>
      </c>
      <c r="J6420" s="4" t="s">
        <v>543</v>
      </c>
      <c r="K6420" s="13" t="n">
        <v>25000</v>
      </c>
      <c r="L6420" s="6" t="n">
        <f aca="false">H6420*K6420</f>
        <v>25000</v>
      </c>
      <c r="M6420" s="4" t="s">
        <v>371</v>
      </c>
    </row>
    <row r="6421" customFormat="false" ht="15" hidden="false" customHeight="false" outlineLevel="0" collapsed="false">
      <c r="A6421" s="4" t="s">
        <v>346</v>
      </c>
      <c r="B6421" s="5" t="s">
        <v>363</v>
      </c>
      <c r="C6421" s="5" t="s">
        <v>364</v>
      </c>
      <c r="D6421" s="4" t="s">
        <v>16</v>
      </c>
      <c r="E6421" s="4" t="s">
        <v>6856</v>
      </c>
      <c r="F6421" s="4" t="s">
        <v>470</v>
      </c>
      <c r="G6421" s="4" t="s">
        <v>6857</v>
      </c>
      <c r="H6421" s="12" t="n">
        <v>1</v>
      </c>
      <c r="I6421" s="4" t="s">
        <v>408</v>
      </c>
      <c r="J6421" s="4" t="s">
        <v>543</v>
      </c>
      <c r="K6421" s="13" t="n">
        <v>18000</v>
      </c>
      <c r="L6421" s="6" t="n">
        <f aca="false">H6421*K6421</f>
        <v>18000</v>
      </c>
      <c r="M6421" s="4" t="s">
        <v>371</v>
      </c>
    </row>
    <row r="6422" customFormat="false" ht="15" hidden="false" customHeight="false" outlineLevel="0" collapsed="false">
      <c r="A6422" s="4" t="s">
        <v>346</v>
      </c>
      <c r="B6422" s="5" t="s">
        <v>363</v>
      </c>
      <c r="C6422" s="5" t="s">
        <v>364</v>
      </c>
      <c r="D6422" s="4" t="s">
        <v>16</v>
      </c>
      <c r="E6422" s="4" t="s">
        <v>6858</v>
      </c>
      <c r="F6422" s="4" t="s">
        <v>470</v>
      </c>
      <c r="G6422" s="4" t="s">
        <v>6859</v>
      </c>
      <c r="H6422" s="12" t="n">
        <v>1</v>
      </c>
      <c r="I6422" s="4" t="s">
        <v>408</v>
      </c>
      <c r="J6422" s="4" t="s">
        <v>543</v>
      </c>
      <c r="K6422" s="13" t="n">
        <v>25000</v>
      </c>
      <c r="L6422" s="6" t="n">
        <f aca="false">H6422*K6422</f>
        <v>25000</v>
      </c>
      <c r="M6422" s="4" t="s">
        <v>371</v>
      </c>
    </row>
    <row r="6423" customFormat="false" ht="15" hidden="false" customHeight="false" outlineLevel="0" collapsed="false">
      <c r="A6423" s="4" t="s">
        <v>346</v>
      </c>
      <c r="B6423" s="5" t="s">
        <v>363</v>
      </c>
      <c r="C6423" s="5" t="s">
        <v>364</v>
      </c>
      <c r="D6423" s="4" t="s">
        <v>16</v>
      </c>
      <c r="E6423" s="4" t="s">
        <v>6860</v>
      </c>
      <c r="F6423" s="4" t="s">
        <v>470</v>
      </c>
      <c r="G6423" s="4" t="s">
        <v>6861</v>
      </c>
      <c r="H6423" s="12" t="n">
        <v>1</v>
      </c>
      <c r="I6423" s="4" t="s">
        <v>408</v>
      </c>
      <c r="J6423" s="4" t="s">
        <v>543</v>
      </c>
      <c r="K6423" s="13" t="n">
        <v>25000</v>
      </c>
      <c r="L6423" s="6" t="n">
        <f aca="false">H6423*K6423</f>
        <v>25000</v>
      </c>
      <c r="M6423" s="4" t="s">
        <v>371</v>
      </c>
    </row>
    <row r="6424" customFormat="false" ht="15" hidden="false" customHeight="false" outlineLevel="0" collapsed="false">
      <c r="A6424" s="4" t="s">
        <v>346</v>
      </c>
      <c r="B6424" s="5" t="s">
        <v>363</v>
      </c>
      <c r="C6424" s="5" t="s">
        <v>364</v>
      </c>
      <c r="D6424" s="4" t="s">
        <v>16</v>
      </c>
      <c r="E6424" s="4" t="s">
        <v>6862</v>
      </c>
      <c r="F6424" s="4" t="s">
        <v>470</v>
      </c>
      <c r="G6424" s="4" t="s">
        <v>6863</v>
      </c>
      <c r="H6424" s="12" t="n">
        <v>1</v>
      </c>
      <c r="I6424" s="4" t="s">
        <v>408</v>
      </c>
      <c r="J6424" s="4" t="s">
        <v>416</v>
      </c>
      <c r="K6424" s="13" t="n">
        <v>85000</v>
      </c>
      <c r="L6424" s="6" t="n">
        <f aca="false">H6424*K6424</f>
        <v>85000</v>
      </c>
      <c r="M6424" s="4" t="s">
        <v>371</v>
      </c>
    </row>
    <row r="6425" customFormat="false" ht="15" hidden="false" customHeight="false" outlineLevel="0" collapsed="false">
      <c r="A6425" s="4" t="s">
        <v>346</v>
      </c>
      <c r="B6425" s="5" t="s">
        <v>363</v>
      </c>
      <c r="C6425" s="5" t="s">
        <v>364</v>
      </c>
      <c r="D6425" s="4" t="s">
        <v>16</v>
      </c>
      <c r="E6425" s="4" t="s">
        <v>6736</v>
      </c>
      <c r="F6425" s="4" t="s">
        <v>470</v>
      </c>
      <c r="G6425" s="4" t="s">
        <v>6737</v>
      </c>
      <c r="H6425" s="12" t="n">
        <v>1</v>
      </c>
      <c r="I6425" s="4" t="s">
        <v>408</v>
      </c>
      <c r="J6425" s="4" t="s">
        <v>413</v>
      </c>
      <c r="K6425" s="13" t="n">
        <v>450</v>
      </c>
      <c r="L6425" s="6" t="n">
        <f aca="false">H6425*K6425</f>
        <v>450</v>
      </c>
      <c r="M6425" s="4" t="s">
        <v>371</v>
      </c>
    </row>
    <row r="6426" customFormat="false" ht="15" hidden="false" customHeight="false" outlineLevel="0" collapsed="false">
      <c r="A6426" s="4" t="s">
        <v>346</v>
      </c>
      <c r="B6426" s="5" t="s">
        <v>363</v>
      </c>
      <c r="C6426" s="5" t="s">
        <v>364</v>
      </c>
      <c r="D6426" s="4" t="s">
        <v>16</v>
      </c>
      <c r="E6426" s="4" t="s">
        <v>6864</v>
      </c>
      <c r="F6426" s="4" t="s">
        <v>470</v>
      </c>
      <c r="G6426" s="4" t="s">
        <v>6865</v>
      </c>
      <c r="H6426" s="12" t="n">
        <v>1</v>
      </c>
      <c r="I6426" s="4" t="s">
        <v>408</v>
      </c>
      <c r="J6426" s="4" t="s">
        <v>416</v>
      </c>
      <c r="K6426" s="13" t="n">
        <v>4500</v>
      </c>
      <c r="L6426" s="6" t="n">
        <f aca="false">H6426*K6426</f>
        <v>4500</v>
      </c>
      <c r="M6426" s="4" t="s">
        <v>371</v>
      </c>
    </row>
    <row r="6427" customFormat="false" ht="15" hidden="false" customHeight="false" outlineLevel="0" collapsed="false">
      <c r="A6427" s="4" t="s">
        <v>346</v>
      </c>
      <c r="B6427" s="5" t="s">
        <v>363</v>
      </c>
      <c r="C6427" s="5" t="s">
        <v>364</v>
      </c>
      <c r="D6427" s="4" t="s">
        <v>16</v>
      </c>
      <c r="E6427" s="4" t="s">
        <v>6866</v>
      </c>
      <c r="F6427" s="4" t="s">
        <v>470</v>
      </c>
      <c r="G6427" s="4" t="s">
        <v>6867</v>
      </c>
      <c r="H6427" s="12" t="n">
        <v>1</v>
      </c>
      <c r="I6427" s="4" t="s">
        <v>408</v>
      </c>
      <c r="J6427" s="4" t="s">
        <v>416</v>
      </c>
      <c r="K6427" s="13" t="n">
        <v>850</v>
      </c>
      <c r="L6427" s="6" t="n">
        <f aca="false">H6427*K6427</f>
        <v>850</v>
      </c>
      <c r="M6427" s="4" t="s">
        <v>371</v>
      </c>
    </row>
    <row r="6428" customFormat="false" ht="15" hidden="false" customHeight="false" outlineLevel="0" collapsed="false">
      <c r="A6428" s="4" t="s">
        <v>346</v>
      </c>
      <c r="B6428" s="5" t="s">
        <v>363</v>
      </c>
      <c r="C6428" s="5" t="s">
        <v>364</v>
      </c>
      <c r="D6428" s="4" t="s">
        <v>16</v>
      </c>
      <c r="E6428" s="4" t="s">
        <v>6868</v>
      </c>
      <c r="F6428" s="4" t="s">
        <v>470</v>
      </c>
      <c r="G6428" s="4" t="s">
        <v>6869</v>
      </c>
      <c r="H6428" s="12" t="n">
        <v>1</v>
      </c>
      <c r="I6428" s="4" t="s">
        <v>408</v>
      </c>
      <c r="J6428" s="4" t="s">
        <v>416</v>
      </c>
      <c r="K6428" s="13" t="n">
        <v>850</v>
      </c>
      <c r="L6428" s="6" t="n">
        <f aca="false">H6428*K6428</f>
        <v>850</v>
      </c>
      <c r="M6428" s="4" t="s">
        <v>371</v>
      </c>
    </row>
    <row r="6429" customFormat="false" ht="15" hidden="false" customHeight="false" outlineLevel="0" collapsed="false">
      <c r="A6429" s="4" t="s">
        <v>346</v>
      </c>
      <c r="B6429" s="5" t="s">
        <v>363</v>
      </c>
      <c r="C6429" s="5" t="s">
        <v>364</v>
      </c>
      <c r="D6429" s="4" t="s">
        <v>16</v>
      </c>
      <c r="E6429" s="4" t="s">
        <v>6870</v>
      </c>
      <c r="F6429" s="4" t="s">
        <v>470</v>
      </c>
      <c r="G6429" s="4" t="s">
        <v>6871</v>
      </c>
      <c r="H6429" s="12" t="n">
        <v>1</v>
      </c>
      <c r="I6429" s="4" t="s">
        <v>408</v>
      </c>
      <c r="J6429" s="4" t="s">
        <v>416</v>
      </c>
      <c r="K6429" s="13" t="n">
        <v>850</v>
      </c>
      <c r="L6429" s="6" t="n">
        <f aca="false">H6429*K6429</f>
        <v>850</v>
      </c>
      <c r="M6429" s="4" t="s">
        <v>371</v>
      </c>
    </row>
    <row r="6430" customFormat="false" ht="15" hidden="false" customHeight="false" outlineLevel="0" collapsed="false">
      <c r="A6430" s="4" t="s">
        <v>346</v>
      </c>
      <c r="B6430" s="5" t="s">
        <v>363</v>
      </c>
      <c r="C6430" s="5" t="s">
        <v>364</v>
      </c>
      <c r="D6430" s="4" t="s">
        <v>16</v>
      </c>
      <c r="E6430" s="4" t="s">
        <v>6872</v>
      </c>
      <c r="F6430" s="4" t="s">
        <v>470</v>
      </c>
      <c r="G6430" s="4" t="s">
        <v>6873</v>
      </c>
      <c r="H6430" s="12" t="n">
        <v>1</v>
      </c>
      <c r="I6430" s="4" t="s">
        <v>408</v>
      </c>
      <c r="J6430" s="4" t="s">
        <v>416</v>
      </c>
      <c r="K6430" s="13" t="n">
        <v>850</v>
      </c>
      <c r="L6430" s="6" t="n">
        <f aca="false">H6430*K6430</f>
        <v>850</v>
      </c>
      <c r="M6430" s="4" t="s">
        <v>371</v>
      </c>
    </row>
    <row r="6431" customFormat="false" ht="15" hidden="false" customHeight="false" outlineLevel="0" collapsed="false">
      <c r="A6431" s="4" t="s">
        <v>346</v>
      </c>
      <c r="B6431" s="5" t="s">
        <v>363</v>
      </c>
      <c r="C6431" s="5" t="s">
        <v>364</v>
      </c>
      <c r="D6431" s="4" t="s">
        <v>16</v>
      </c>
      <c r="E6431" s="4" t="s">
        <v>6874</v>
      </c>
      <c r="F6431" s="4" t="s">
        <v>470</v>
      </c>
      <c r="G6431" s="4" t="s">
        <v>6875</v>
      </c>
      <c r="H6431" s="12" t="n">
        <v>1</v>
      </c>
      <c r="I6431" s="4" t="s">
        <v>408</v>
      </c>
      <c r="J6431" s="4" t="s">
        <v>416</v>
      </c>
      <c r="K6431" s="13" t="n">
        <v>850</v>
      </c>
      <c r="L6431" s="6" t="n">
        <f aca="false">H6431*K6431</f>
        <v>850</v>
      </c>
      <c r="M6431" s="4" t="s">
        <v>371</v>
      </c>
    </row>
    <row r="6432" customFormat="false" ht="15" hidden="false" customHeight="false" outlineLevel="0" collapsed="false">
      <c r="A6432" s="4" t="s">
        <v>346</v>
      </c>
      <c r="B6432" s="5" t="s">
        <v>363</v>
      </c>
      <c r="C6432" s="5" t="s">
        <v>364</v>
      </c>
      <c r="D6432" s="4" t="s">
        <v>16</v>
      </c>
      <c r="E6432" s="4" t="s">
        <v>6876</v>
      </c>
      <c r="F6432" s="4" t="s">
        <v>470</v>
      </c>
      <c r="G6432" s="4" t="s">
        <v>6877</v>
      </c>
      <c r="H6432" s="12" t="n">
        <v>1</v>
      </c>
      <c r="I6432" s="4" t="s">
        <v>408</v>
      </c>
      <c r="J6432" s="4" t="s">
        <v>416</v>
      </c>
      <c r="K6432" s="13" t="n">
        <v>850</v>
      </c>
      <c r="L6432" s="6" t="n">
        <f aca="false">H6432*K6432</f>
        <v>850</v>
      </c>
      <c r="M6432" s="4" t="s">
        <v>371</v>
      </c>
    </row>
    <row r="6433" customFormat="false" ht="15" hidden="false" customHeight="false" outlineLevel="0" collapsed="false">
      <c r="A6433" s="4" t="s">
        <v>346</v>
      </c>
      <c r="B6433" s="5" t="s">
        <v>363</v>
      </c>
      <c r="C6433" s="5" t="s">
        <v>364</v>
      </c>
      <c r="D6433" s="4" t="s">
        <v>16</v>
      </c>
      <c r="E6433" s="4" t="s">
        <v>6878</v>
      </c>
      <c r="F6433" s="4" t="s">
        <v>470</v>
      </c>
      <c r="G6433" s="4" t="s">
        <v>6879</v>
      </c>
      <c r="H6433" s="12" t="n">
        <v>1</v>
      </c>
      <c r="I6433" s="4" t="s">
        <v>408</v>
      </c>
      <c r="J6433" s="4" t="s">
        <v>506</v>
      </c>
      <c r="K6433" s="13" t="n">
        <v>250</v>
      </c>
      <c r="L6433" s="6" t="n">
        <f aca="false">H6433*K6433</f>
        <v>250</v>
      </c>
      <c r="M6433" s="4" t="s">
        <v>371</v>
      </c>
    </row>
    <row r="6434" customFormat="false" ht="15" hidden="false" customHeight="false" outlineLevel="0" collapsed="false">
      <c r="A6434" s="4" t="s">
        <v>346</v>
      </c>
      <c r="B6434" s="5" t="s">
        <v>363</v>
      </c>
      <c r="C6434" s="5" t="s">
        <v>364</v>
      </c>
      <c r="D6434" s="4" t="s">
        <v>16</v>
      </c>
      <c r="E6434" s="4" t="s">
        <v>6880</v>
      </c>
      <c r="F6434" s="4" t="s">
        <v>470</v>
      </c>
      <c r="G6434" s="4" t="s">
        <v>6881</v>
      </c>
      <c r="H6434" s="12" t="n">
        <v>1</v>
      </c>
      <c r="I6434" s="4" t="s">
        <v>408</v>
      </c>
      <c r="J6434" s="4" t="s">
        <v>416</v>
      </c>
      <c r="K6434" s="13" t="n">
        <v>450</v>
      </c>
      <c r="L6434" s="6" t="n">
        <f aca="false">H6434*K6434</f>
        <v>450</v>
      </c>
      <c r="M6434" s="4" t="s">
        <v>371</v>
      </c>
    </row>
    <row r="6435" customFormat="false" ht="15" hidden="false" customHeight="false" outlineLevel="0" collapsed="false">
      <c r="A6435" s="4" t="s">
        <v>346</v>
      </c>
      <c r="B6435" s="5" t="s">
        <v>363</v>
      </c>
      <c r="C6435" s="5" t="s">
        <v>364</v>
      </c>
      <c r="D6435" s="4" t="s">
        <v>16</v>
      </c>
      <c r="E6435" s="4" t="s">
        <v>6882</v>
      </c>
      <c r="F6435" s="4" t="s">
        <v>470</v>
      </c>
      <c r="G6435" s="4" t="s">
        <v>6883</v>
      </c>
      <c r="H6435" s="12" t="n">
        <v>1</v>
      </c>
      <c r="I6435" s="4" t="s">
        <v>408</v>
      </c>
      <c r="J6435" s="4" t="s">
        <v>416</v>
      </c>
      <c r="K6435" s="13" t="n">
        <v>850</v>
      </c>
      <c r="L6435" s="6" t="n">
        <f aca="false">H6435*K6435</f>
        <v>850</v>
      </c>
      <c r="M6435" s="4" t="s">
        <v>371</v>
      </c>
    </row>
    <row r="6436" customFormat="false" ht="15" hidden="false" customHeight="false" outlineLevel="0" collapsed="false">
      <c r="A6436" s="4" t="s">
        <v>346</v>
      </c>
      <c r="B6436" s="5" t="s">
        <v>363</v>
      </c>
      <c r="C6436" s="5" t="s">
        <v>364</v>
      </c>
      <c r="D6436" s="4" t="s">
        <v>16</v>
      </c>
      <c r="E6436" s="4" t="s">
        <v>6884</v>
      </c>
      <c r="F6436" s="4" t="s">
        <v>470</v>
      </c>
      <c r="G6436" s="4" t="s">
        <v>6885</v>
      </c>
      <c r="H6436" s="12" t="n">
        <v>1</v>
      </c>
      <c r="I6436" s="4" t="s">
        <v>408</v>
      </c>
      <c r="J6436" s="4" t="s">
        <v>416</v>
      </c>
      <c r="K6436" s="13" t="n">
        <v>850</v>
      </c>
      <c r="L6436" s="6" t="n">
        <f aca="false">H6436*K6436</f>
        <v>850</v>
      </c>
      <c r="M6436" s="4" t="s">
        <v>371</v>
      </c>
    </row>
    <row r="6437" customFormat="false" ht="15" hidden="false" customHeight="false" outlineLevel="0" collapsed="false">
      <c r="A6437" s="4" t="s">
        <v>346</v>
      </c>
      <c r="B6437" s="5" t="s">
        <v>363</v>
      </c>
      <c r="C6437" s="5" t="s">
        <v>364</v>
      </c>
      <c r="D6437" s="4" t="s">
        <v>16</v>
      </c>
      <c r="E6437" s="4" t="s">
        <v>6886</v>
      </c>
      <c r="F6437" s="4" t="s">
        <v>470</v>
      </c>
      <c r="G6437" s="4" t="s">
        <v>6887</v>
      </c>
      <c r="H6437" s="12" t="n">
        <v>1</v>
      </c>
      <c r="I6437" s="4" t="s">
        <v>408</v>
      </c>
      <c r="J6437" s="4" t="s">
        <v>416</v>
      </c>
      <c r="K6437" s="13" t="n">
        <v>350</v>
      </c>
      <c r="L6437" s="6" t="n">
        <f aca="false">H6437*K6437</f>
        <v>350</v>
      </c>
      <c r="M6437" s="4" t="s">
        <v>371</v>
      </c>
    </row>
    <row r="6438" customFormat="false" ht="15" hidden="false" customHeight="false" outlineLevel="0" collapsed="false">
      <c r="A6438" s="4" t="s">
        <v>346</v>
      </c>
      <c r="B6438" s="5" t="s">
        <v>363</v>
      </c>
      <c r="C6438" s="5" t="s">
        <v>364</v>
      </c>
      <c r="D6438" s="4" t="s">
        <v>16</v>
      </c>
      <c r="E6438" s="4" t="s">
        <v>6888</v>
      </c>
      <c r="F6438" s="4" t="s">
        <v>470</v>
      </c>
      <c r="G6438" s="4" t="s">
        <v>6889</v>
      </c>
      <c r="H6438" s="12" t="n">
        <v>1</v>
      </c>
      <c r="I6438" s="4" t="s">
        <v>408</v>
      </c>
      <c r="J6438" s="4" t="s">
        <v>416</v>
      </c>
      <c r="K6438" s="13" t="n">
        <v>850</v>
      </c>
      <c r="L6438" s="6" t="n">
        <f aca="false">H6438*K6438</f>
        <v>850</v>
      </c>
      <c r="M6438" s="4" t="s">
        <v>371</v>
      </c>
    </row>
    <row r="6439" customFormat="false" ht="15" hidden="false" customHeight="false" outlineLevel="0" collapsed="false">
      <c r="A6439" s="4" t="s">
        <v>346</v>
      </c>
      <c r="B6439" s="5" t="s">
        <v>363</v>
      </c>
      <c r="C6439" s="5" t="s">
        <v>364</v>
      </c>
      <c r="D6439" s="4" t="s">
        <v>16</v>
      </c>
      <c r="E6439" s="4" t="s">
        <v>6890</v>
      </c>
      <c r="F6439" s="4" t="s">
        <v>470</v>
      </c>
      <c r="G6439" s="4" t="s">
        <v>6891</v>
      </c>
      <c r="H6439" s="12" t="n">
        <v>1</v>
      </c>
      <c r="I6439" s="4" t="s">
        <v>408</v>
      </c>
      <c r="J6439" s="4" t="s">
        <v>416</v>
      </c>
      <c r="K6439" s="13" t="n">
        <v>850</v>
      </c>
      <c r="L6439" s="6" t="n">
        <f aca="false">H6439*K6439</f>
        <v>850</v>
      </c>
      <c r="M6439" s="4" t="s">
        <v>371</v>
      </c>
    </row>
    <row r="6440" customFormat="false" ht="15" hidden="false" customHeight="false" outlineLevel="0" collapsed="false">
      <c r="A6440" s="4" t="s">
        <v>346</v>
      </c>
      <c r="B6440" s="5" t="s">
        <v>363</v>
      </c>
      <c r="C6440" s="5" t="s">
        <v>364</v>
      </c>
      <c r="D6440" s="4" t="s">
        <v>16</v>
      </c>
      <c r="E6440" s="4" t="s">
        <v>6892</v>
      </c>
      <c r="F6440" s="4" t="s">
        <v>470</v>
      </c>
      <c r="G6440" s="4" t="s">
        <v>6893</v>
      </c>
      <c r="H6440" s="12" t="n">
        <v>1</v>
      </c>
      <c r="I6440" s="4" t="s">
        <v>408</v>
      </c>
      <c r="J6440" s="4" t="s">
        <v>416</v>
      </c>
      <c r="K6440" s="13" t="n">
        <v>850</v>
      </c>
      <c r="L6440" s="6" t="n">
        <f aca="false">H6440*K6440</f>
        <v>850</v>
      </c>
      <c r="M6440" s="4" t="s">
        <v>371</v>
      </c>
    </row>
    <row r="6441" customFormat="false" ht="15" hidden="false" customHeight="false" outlineLevel="0" collapsed="false">
      <c r="A6441" s="4" t="s">
        <v>346</v>
      </c>
      <c r="B6441" s="5" t="s">
        <v>363</v>
      </c>
      <c r="C6441" s="5" t="s">
        <v>364</v>
      </c>
      <c r="D6441" s="4" t="s">
        <v>16</v>
      </c>
      <c r="E6441" s="4" t="s">
        <v>6894</v>
      </c>
      <c r="F6441" s="4" t="s">
        <v>470</v>
      </c>
      <c r="G6441" s="4" t="s">
        <v>6895</v>
      </c>
      <c r="H6441" s="12" t="n">
        <v>1</v>
      </c>
      <c r="I6441" s="4" t="s">
        <v>408</v>
      </c>
      <c r="J6441" s="4" t="s">
        <v>416</v>
      </c>
      <c r="K6441" s="13" t="n">
        <v>2500</v>
      </c>
      <c r="L6441" s="6" t="n">
        <f aca="false">H6441*K6441</f>
        <v>2500</v>
      </c>
      <c r="M6441" s="4" t="s">
        <v>371</v>
      </c>
    </row>
    <row r="6442" customFormat="false" ht="15" hidden="false" customHeight="false" outlineLevel="0" collapsed="false">
      <c r="A6442" s="4" t="s">
        <v>346</v>
      </c>
      <c r="B6442" s="5" t="s">
        <v>363</v>
      </c>
      <c r="C6442" s="5" t="s">
        <v>364</v>
      </c>
      <c r="D6442" s="4" t="s">
        <v>16</v>
      </c>
      <c r="E6442" s="4" t="s">
        <v>6896</v>
      </c>
      <c r="F6442" s="4" t="s">
        <v>470</v>
      </c>
      <c r="G6442" s="4" t="s">
        <v>6897</v>
      </c>
      <c r="H6442" s="12" t="n">
        <v>1</v>
      </c>
      <c r="I6442" s="4" t="s">
        <v>408</v>
      </c>
      <c r="J6442" s="4" t="s">
        <v>416</v>
      </c>
      <c r="K6442" s="13" t="n">
        <v>850</v>
      </c>
      <c r="L6442" s="6" t="n">
        <f aca="false">H6442*K6442</f>
        <v>850</v>
      </c>
      <c r="M6442" s="4" t="s">
        <v>371</v>
      </c>
    </row>
    <row r="6443" customFormat="false" ht="15" hidden="false" customHeight="false" outlineLevel="0" collapsed="false">
      <c r="A6443" s="4" t="s">
        <v>346</v>
      </c>
      <c r="B6443" s="5" t="s">
        <v>363</v>
      </c>
      <c r="C6443" s="5" t="s">
        <v>364</v>
      </c>
      <c r="D6443" s="4" t="s">
        <v>16</v>
      </c>
      <c r="E6443" s="4" t="s">
        <v>6898</v>
      </c>
      <c r="F6443" s="4" t="s">
        <v>470</v>
      </c>
      <c r="G6443" s="4" t="s">
        <v>6899</v>
      </c>
      <c r="H6443" s="12" t="n">
        <v>1</v>
      </c>
      <c r="I6443" s="4" t="s">
        <v>408</v>
      </c>
      <c r="J6443" s="4" t="s">
        <v>416</v>
      </c>
      <c r="K6443" s="13" t="n">
        <v>850</v>
      </c>
      <c r="L6443" s="6" t="n">
        <f aca="false">H6443*K6443</f>
        <v>850</v>
      </c>
      <c r="M6443" s="4" t="s">
        <v>371</v>
      </c>
    </row>
    <row r="6444" customFormat="false" ht="15" hidden="false" customHeight="false" outlineLevel="0" collapsed="false">
      <c r="A6444" s="4" t="s">
        <v>346</v>
      </c>
      <c r="B6444" s="5" t="s">
        <v>363</v>
      </c>
      <c r="C6444" s="5" t="s">
        <v>364</v>
      </c>
      <c r="D6444" s="4" t="s">
        <v>16</v>
      </c>
      <c r="E6444" s="4" t="s">
        <v>6900</v>
      </c>
      <c r="F6444" s="4" t="s">
        <v>470</v>
      </c>
      <c r="G6444" s="4" t="s">
        <v>6901</v>
      </c>
      <c r="H6444" s="12" t="n">
        <v>1</v>
      </c>
      <c r="I6444" s="4" t="s">
        <v>408</v>
      </c>
      <c r="J6444" s="4" t="s">
        <v>543</v>
      </c>
      <c r="K6444" s="13" t="n">
        <v>5000</v>
      </c>
      <c r="L6444" s="6" t="n">
        <f aca="false">H6444*K6444</f>
        <v>5000</v>
      </c>
      <c r="M6444" s="4" t="s">
        <v>371</v>
      </c>
    </row>
    <row r="6445" customFormat="false" ht="15" hidden="false" customHeight="false" outlineLevel="0" collapsed="false">
      <c r="A6445" s="4" t="s">
        <v>346</v>
      </c>
      <c r="B6445" s="5" t="s">
        <v>363</v>
      </c>
      <c r="C6445" s="5" t="s">
        <v>364</v>
      </c>
      <c r="D6445" s="4" t="s">
        <v>16</v>
      </c>
      <c r="E6445" s="4" t="s">
        <v>6902</v>
      </c>
      <c r="F6445" s="4" t="s">
        <v>470</v>
      </c>
      <c r="G6445" s="4" t="s">
        <v>6903</v>
      </c>
      <c r="H6445" s="12" t="n">
        <v>1</v>
      </c>
      <c r="I6445" s="4" t="s">
        <v>408</v>
      </c>
      <c r="J6445" s="4" t="s">
        <v>409</v>
      </c>
      <c r="K6445" s="13" t="n">
        <v>450</v>
      </c>
      <c r="L6445" s="6" t="n">
        <f aca="false">H6445*K6445</f>
        <v>450</v>
      </c>
      <c r="M6445" s="4" t="s">
        <v>371</v>
      </c>
    </row>
    <row r="6446" customFormat="false" ht="15" hidden="false" customHeight="false" outlineLevel="0" collapsed="false">
      <c r="A6446" s="4" t="s">
        <v>346</v>
      </c>
      <c r="B6446" s="5" t="s">
        <v>363</v>
      </c>
      <c r="C6446" s="5" t="s">
        <v>364</v>
      </c>
      <c r="D6446" s="4" t="s">
        <v>16</v>
      </c>
      <c r="E6446" s="4" t="s">
        <v>6904</v>
      </c>
      <c r="F6446" s="4" t="s">
        <v>470</v>
      </c>
      <c r="G6446" s="4" t="s">
        <v>6905</v>
      </c>
      <c r="H6446" s="12" t="n">
        <v>1</v>
      </c>
      <c r="I6446" s="4" t="s">
        <v>408</v>
      </c>
      <c r="J6446" s="4" t="s">
        <v>409</v>
      </c>
      <c r="K6446" s="13" t="n">
        <v>25000</v>
      </c>
      <c r="L6446" s="6" t="n">
        <f aca="false">H6446*K6446</f>
        <v>25000</v>
      </c>
      <c r="M6446" s="4" t="s">
        <v>371</v>
      </c>
    </row>
    <row r="6447" customFormat="false" ht="15" hidden="false" customHeight="false" outlineLevel="0" collapsed="false">
      <c r="A6447" s="4" t="s">
        <v>346</v>
      </c>
      <c r="B6447" s="5" t="s">
        <v>363</v>
      </c>
      <c r="C6447" s="5" t="s">
        <v>364</v>
      </c>
      <c r="D6447" s="4" t="s">
        <v>16</v>
      </c>
      <c r="E6447" s="4" t="s">
        <v>6906</v>
      </c>
      <c r="F6447" s="4" t="s">
        <v>470</v>
      </c>
      <c r="G6447" s="4" t="s">
        <v>6907</v>
      </c>
      <c r="H6447" s="12" t="n">
        <v>1</v>
      </c>
      <c r="I6447" s="4" t="s">
        <v>408</v>
      </c>
      <c r="J6447" s="4" t="s">
        <v>416</v>
      </c>
      <c r="K6447" s="13" t="n">
        <v>850</v>
      </c>
      <c r="L6447" s="6" t="n">
        <f aca="false">H6447*K6447</f>
        <v>850</v>
      </c>
      <c r="M6447" s="4" t="s">
        <v>371</v>
      </c>
    </row>
    <row r="6448" customFormat="false" ht="15" hidden="false" customHeight="false" outlineLevel="0" collapsed="false">
      <c r="A6448" s="4" t="s">
        <v>346</v>
      </c>
      <c r="B6448" s="5" t="s">
        <v>363</v>
      </c>
      <c r="C6448" s="5" t="s">
        <v>364</v>
      </c>
      <c r="D6448" s="4" t="s">
        <v>16</v>
      </c>
      <c r="E6448" s="4" t="s">
        <v>6908</v>
      </c>
      <c r="F6448" s="4" t="s">
        <v>470</v>
      </c>
      <c r="G6448" s="4" t="s">
        <v>6909</v>
      </c>
      <c r="H6448" s="12" t="n">
        <v>1</v>
      </c>
      <c r="I6448" s="4" t="s">
        <v>408</v>
      </c>
      <c r="J6448" s="4" t="s">
        <v>416</v>
      </c>
      <c r="K6448" s="13" t="n">
        <v>850</v>
      </c>
      <c r="L6448" s="6" t="n">
        <f aca="false">H6448*K6448</f>
        <v>850</v>
      </c>
      <c r="M6448" s="4" t="s">
        <v>371</v>
      </c>
    </row>
    <row r="6449" customFormat="false" ht="15" hidden="false" customHeight="false" outlineLevel="0" collapsed="false">
      <c r="A6449" s="4" t="s">
        <v>346</v>
      </c>
      <c r="B6449" s="5" t="s">
        <v>363</v>
      </c>
      <c r="C6449" s="5" t="s">
        <v>364</v>
      </c>
      <c r="D6449" s="4" t="s">
        <v>16</v>
      </c>
      <c r="E6449" s="4" t="s">
        <v>6910</v>
      </c>
      <c r="F6449" s="4" t="s">
        <v>470</v>
      </c>
      <c r="G6449" s="4" t="s">
        <v>6911</v>
      </c>
      <c r="H6449" s="12" t="n">
        <v>1</v>
      </c>
      <c r="I6449" s="4" t="s">
        <v>408</v>
      </c>
      <c r="J6449" s="4" t="s">
        <v>416</v>
      </c>
      <c r="K6449" s="13" t="n">
        <v>850</v>
      </c>
      <c r="L6449" s="6" t="n">
        <f aca="false">H6449*K6449</f>
        <v>850</v>
      </c>
      <c r="M6449" s="4" t="s">
        <v>371</v>
      </c>
    </row>
    <row r="6450" customFormat="false" ht="15" hidden="false" customHeight="false" outlineLevel="0" collapsed="false">
      <c r="A6450" s="4" t="s">
        <v>346</v>
      </c>
      <c r="B6450" s="5" t="s">
        <v>363</v>
      </c>
      <c r="C6450" s="5" t="s">
        <v>364</v>
      </c>
      <c r="D6450" s="4" t="s">
        <v>16</v>
      </c>
      <c r="E6450" s="4" t="s">
        <v>6912</v>
      </c>
      <c r="F6450" s="4" t="s">
        <v>470</v>
      </c>
      <c r="G6450" s="4" t="s">
        <v>6913</v>
      </c>
      <c r="H6450" s="12" t="n">
        <v>1</v>
      </c>
      <c r="I6450" s="4" t="s">
        <v>408</v>
      </c>
      <c r="J6450" s="4" t="s">
        <v>416</v>
      </c>
      <c r="K6450" s="13" t="n">
        <v>850</v>
      </c>
      <c r="L6450" s="6" t="n">
        <f aca="false">H6450*K6450</f>
        <v>850</v>
      </c>
      <c r="M6450" s="4" t="s">
        <v>371</v>
      </c>
    </row>
    <row r="6451" customFormat="false" ht="15" hidden="false" customHeight="false" outlineLevel="0" collapsed="false">
      <c r="A6451" s="4" t="s">
        <v>346</v>
      </c>
      <c r="B6451" s="5" t="s">
        <v>363</v>
      </c>
      <c r="C6451" s="5" t="s">
        <v>364</v>
      </c>
      <c r="D6451" s="4" t="s">
        <v>16</v>
      </c>
      <c r="E6451" s="4" t="s">
        <v>6914</v>
      </c>
      <c r="F6451" s="4" t="s">
        <v>470</v>
      </c>
      <c r="G6451" s="4" t="s">
        <v>6915</v>
      </c>
      <c r="H6451" s="12" t="n">
        <v>1</v>
      </c>
      <c r="I6451" s="4" t="s">
        <v>408</v>
      </c>
      <c r="J6451" s="4" t="s">
        <v>416</v>
      </c>
      <c r="K6451" s="13" t="n">
        <v>850</v>
      </c>
      <c r="L6451" s="6" t="n">
        <f aca="false">H6451*K6451</f>
        <v>850</v>
      </c>
      <c r="M6451" s="4" t="s">
        <v>371</v>
      </c>
    </row>
    <row r="6452" customFormat="false" ht="15" hidden="false" customHeight="false" outlineLevel="0" collapsed="false">
      <c r="A6452" s="4" t="s">
        <v>346</v>
      </c>
      <c r="B6452" s="5" t="s">
        <v>363</v>
      </c>
      <c r="C6452" s="5" t="s">
        <v>364</v>
      </c>
      <c r="D6452" s="4" t="s">
        <v>16</v>
      </c>
      <c r="E6452" s="4" t="s">
        <v>6916</v>
      </c>
      <c r="F6452" s="4" t="s">
        <v>470</v>
      </c>
      <c r="G6452" s="4" t="s">
        <v>6917</v>
      </c>
      <c r="H6452" s="12" t="n">
        <v>1</v>
      </c>
      <c r="I6452" s="4" t="s">
        <v>408</v>
      </c>
      <c r="J6452" s="4" t="s">
        <v>416</v>
      </c>
      <c r="K6452" s="13" t="n">
        <v>850</v>
      </c>
      <c r="L6452" s="6" t="n">
        <f aca="false">H6452*K6452</f>
        <v>850</v>
      </c>
      <c r="M6452" s="4" t="s">
        <v>371</v>
      </c>
    </row>
    <row r="6453" customFormat="false" ht="15" hidden="false" customHeight="false" outlineLevel="0" collapsed="false">
      <c r="A6453" s="4" t="s">
        <v>346</v>
      </c>
      <c r="B6453" s="5" t="s">
        <v>363</v>
      </c>
      <c r="C6453" s="5" t="s">
        <v>364</v>
      </c>
      <c r="D6453" s="4" t="s">
        <v>16</v>
      </c>
      <c r="E6453" s="4" t="s">
        <v>6918</v>
      </c>
      <c r="F6453" s="4" t="s">
        <v>470</v>
      </c>
      <c r="G6453" s="4" t="s">
        <v>6919</v>
      </c>
      <c r="H6453" s="12" t="n">
        <v>1</v>
      </c>
      <c r="I6453" s="4" t="s">
        <v>408</v>
      </c>
      <c r="J6453" s="4" t="s">
        <v>416</v>
      </c>
      <c r="K6453" s="13" t="n">
        <v>850</v>
      </c>
      <c r="L6453" s="6" t="n">
        <f aca="false">H6453*K6453</f>
        <v>850</v>
      </c>
      <c r="M6453" s="4" t="s">
        <v>371</v>
      </c>
    </row>
    <row r="6454" customFormat="false" ht="15" hidden="false" customHeight="false" outlineLevel="0" collapsed="false">
      <c r="A6454" s="4" t="s">
        <v>346</v>
      </c>
      <c r="B6454" s="5" t="s">
        <v>363</v>
      </c>
      <c r="C6454" s="5" t="s">
        <v>364</v>
      </c>
      <c r="D6454" s="4" t="s">
        <v>16</v>
      </c>
      <c r="E6454" s="4" t="s">
        <v>6920</v>
      </c>
      <c r="F6454" s="4" t="s">
        <v>470</v>
      </c>
      <c r="G6454" s="4" t="s">
        <v>6921</v>
      </c>
      <c r="H6454" s="12" t="n">
        <v>1</v>
      </c>
      <c r="I6454" s="4" t="s">
        <v>408</v>
      </c>
      <c r="J6454" s="4" t="s">
        <v>416</v>
      </c>
      <c r="K6454" s="13" t="n">
        <v>850</v>
      </c>
      <c r="L6454" s="6" t="n">
        <f aca="false">H6454*K6454</f>
        <v>850</v>
      </c>
      <c r="M6454" s="4" t="s">
        <v>371</v>
      </c>
    </row>
    <row r="6455" customFormat="false" ht="15" hidden="false" customHeight="false" outlineLevel="0" collapsed="false">
      <c r="A6455" s="4" t="s">
        <v>346</v>
      </c>
      <c r="B6455" s="5" t="s">
        <v>363</v>
      </c>
      <c r="C6455" s="5" t="s">
        <v>364</v>
      </c>
      <c r="D6455" s="4" t="s">
        <v>16</v>
      </c>
      <c r="E6455" s="4" t="s">
        <v>6922</v>
      </c>
      <c r="F6455" s="4" t="s">
        <v>470</v>
      </c>
      <c r="G6455" s="4" t="s">
        <v>6923</v>
      </c>
      <c r="H6455" s="12" t="n">
        <v>1</v>
      </c>
      <c r="I6455" s="4" t="s">
        <v>408</v>
      </c>
      <c r="J6455" s="4" t="s">
        <v>416</v>
      </c>
      <c r="K6455" s="13" t="n">
        <v>850</v>
      </c>
      <c r="L6455" s="6" t="n">
        <f aca="false">H6455*K6455</f>
        <v>850</v>
      </c>
      <c r="M6455" s="4" t="s">
        <v>371</v>
      </c>
    </row>
    <row r="6456" customFormat="false" ht="15" hidden="false" customHeight="false" outlineLevel="0" collapsed="false">
      <c r="A6456" s="4" t="s">
        <v>346</v>
      </c>
      <c r="B6456" s="5" t="s">
        <v>363</v>
      </c>
      <c r="C6456" s="5" t="s">
        <v>364</v>
      </c>
      <c r="D6456" s="4" t="s">
        <v>16</v>
      </c>
      <c r="E6456" s="4" t="s">
        <v>6924</v>
      </c>
      <c r="F6456" s="4" t="s">
        <v>470</v>
      </c>
      <c r="G6456" s="4" t="s">
        <v>6925</v>
      </c>
      <c r="H6456" s="12" t="n">
        <v>1</v>
      </c>
      <c r="I6456" s="4" t="s">
        <v>408</v>
      </c>
      <c r="J6456" s="4" t="s">
        <v>416</v>
      </c>
      <c r="K6456" s="13" t="n">
        <v>85000</v>
      </c>
      <c r="L6456" s="6" t="n">
        <f aca="false">H6456*K6456</f>
        <v>85000</v>
      </c>
      <c r="M6456" s="4" t="s">
        <v>371</v>
      </c>
    </row>
    <row r="6457" customFormat="false" ht="15" hidden="false" customHeight="false" outlineLevel="0" collapsed="false">
      <c r="A6457" s="4" t="s">
        <v>346</v>
      </c>
      <c r="B6457" s="5" t="s">
        <v>363</v>
      </c>
      <c r="C6457" s="5" t="s">
        <v>364</v>
      </c>
      <c r="D6457" s="4" t="s">
        <v>16</v>
      </c>
      <c r="E6457" s="4" t="s">
        <v>6926</v>
      </c>
      <c r="F6457" s="4" t="s">
        <v>470</v>
      </c>
      <c r="G6457" s="4" t="s">
        <v>6927</v>
      </c>
      <c r="H6457" s="12" t="n">
        <v>1</v>
      </c>
      <c r="I6457" s="4" t="s">
        <v>408</v>
      </c>
      <c r="J6457" s="4" t="s">
        <v>416</v>
      </c>
      <c r="K6457" s="13" t="n">
        <v>850</v>
      </c>
      <c r="L6457" s="6" t="n">
        <f aca="false">H6457*K6457</f>
        <v>850</v>
      </c>
      <c r="M6457" s="4" t="s">
        <v>371</v>
      </c>
    </row>
    <row r="6458" customFormat="false" ht="15" hidden="false" customHeight="false" outlineLevel="0" collapsed="false">
      <c r="A6458" s="4" t="s">
        <v>346</v>
      </c>
      <c r="B6458" s="5" t="s">
        <v>363</v>
      </c>
      <c r="C6458" s="5" t="s">
        <v>364</v>
      </c>
      <c r="D6458" s="4" t="s">
        <v>16</v>
      </c>
      <c r="E6458" s="4" t="s">
        <v>6928</v>
      </c>
      <c r="F6458" s="4" t="s">
        <v>470</v>
      </c>
      <c r="G6458" s="4" t="s">
        <v>6929</v>
      </c>
      <c r="H6458" s="12" t="n">
        <v>1</v>
      </c>
      <c r="I6458" s="4" t="s">
        <v>408</v>
      </c>
      <c r="J6458" s="4" t="s">
        <v>409</v>
      </c>
      <c r="K6458" s="13" t="n">
        <v>35000</v>
      </c>
      <c r="L6458" s="6" t="n">
        <f aca="false">H6458*K6458</f>
        <v>35000</v>
      </c>
      <c r="M6458" s="4" t="s">
        <v>371</v>
      </c>
    </row>
    <row r="6459" customFormat="false" ht="15" hidden="false" customHeight="false" outlineLevel="0" collapsed="false">
      <c r="A6459" s="4" t="s">
        <v>346</v>
      </c>
      <c r="B6459" s="5" t="s">
        <v>363</v>
      </c>
      <c r="C6459" s="5" t="s">
        <v>364</v>
      </c>
      <c r="D6459" s="4" t="s">
        <v>16</v>
      </c>
      <c r="E6459" s="4" t="s">
        <v>6930</v>
      </c>
      <c r="F6459" s="4" t="s">
        <v>470</v>
      </c>
      <c r="G6459" s="4" t="s">
        <v>2306</v>
      </c>
      <c r="H6459" s="12" t="n">
        <v>1</v>
      </c>
      <c r="I6459" s="4" t="s">
        <v>408</v>
      </c>
      <c r="J6459" s="4" t="s">
        <v>409</v>
      </c>
      <c r="K6459" s="13" t="n">
        <v>850</v>
      </c>
      <c r="L6459" s="6" t="n">
        <f aca="false">H6459*K6459</f>
        <v>850</v>
      </c>
      <c r="M6459" s="4" t="s">
        <v>371</v>
      </c>
    </row>
    <row r="6460" customFormat="false" ht="15" hidden="false" customHeight="false" outlineLevel="0" collapsed="false">
      <c r="A6460" s="4" t="s">
        <v>346</v>
      </c>
      <c r="B6460" s="5" t="s">
        <v>363</v>
      </c>
      <c r="C6460" s="5" t="s">
        <v>364</v>
      </c>
      <c r="D6460" s="4" t="s">
        <v>16</v>
      </c>
      <c r="E6460" s="4" t="s">
        <v>6931</v>
      </c>
      <c r="F6460" s="4" t="s">
        <v>488</v>
      </c>
      <c r="G6460" s="4" t="s">
        <v>6932</v>
      </c>
      <c r="H6460" s="12" t="n">
        <v>1</v>
      </c>
      <c r="I6460" s="4" t="s">
        <v>408</v>
      </c>
      <c r="J6460" s="4" t="s">
        <v>416</v>
      </c>
      <c r="K6460" s="13" t="n">
        <v>120</v>
      </c>
      <c r="L6460" s="6" t="n">
        <f aca="false">H6460*K6460</f>
        <v>120</v>
      </c>
      <c r="M6460" s="4" t="s">
        <v>371</v>
      </c>
    </row>
    <row r="6461" customFormat="false" ht="15" hidden="false" customHeight="false" outlineLevel="0" collapsed="false">
      <c r="A6461" s="4" t="s">
        <v>346</v>
      </c>
      <c r="B6461" s="5" t="s">
        <v>363</v>
      </c>
      <c r="C6461" s="5" t="s">
        <v>364</v>
      </c>
      <c r="D6461" s="4" t="s">
        <v>16</v>
      </c>
      <c r="E6461" s="4" t="s">
        <v>6933</v>
      </c>
      <c r="F6461" s="4" t="s">
        <v>488</v>
      </c>
      <c r="G6461" s="4" t="s">
        <v>6157</v>
      </c>
      <c r="H6461" s="12" t="n">
        <v>1</v>
      </c>
      <c r="I6461" s="4" t="s">
        <v>408</v>
      </c>
      <c r="J6461" s="4" t="s">
        <v>416</v>
      </c>
      <c r="K6461" s="13" t="n">
        <v>180</v>
      </c>
      <c r="L6461" s="6" t="n">
        <f aca="false">H6461*K6461</f>
        <v>180</v>
      </c>
      <c r="M6461" s="4" t="s">
        <v>371</v>
      </c>
    </row>
    <row r="6462" customFormat="false" ht="15" hidden="false" customHeight="false" outlineLevel="0" collapsed="false">
      <c r="A6462" s="4" t="s">
        <v>346</v>
      </c>
      <c r="B6462" s="5" t="s">
        <v>363</v>
      </c>
      <c r="C6462" s="5" t="s">
        <v>364</v>
      </c>
      <c r="D6462" s="4" t="s">
        <v>16</v>
      </c>
      <c r="E6462" s="4" t="s">
        <v>6934</v>
      </c>
      <c r="F6462" s="4" t="s">
        <v>470</v>
      </c>
      <c r="G6462" s="4" t="s">
        <v>6935</v>
      </c>
      <c r="H6462" s="12" t="n">
        <v>1</v>
      </c>
      <c r="I6462" s="4" t="s">
        <v>408</v>
      </c>
      <c r="J6462" s="4" t="s">
        <v>416</v>
      </c>
      <c r="K6462" s="13" t="n">
        <v>2500</v>
      </c>
      <c r="L6462" s="6" t="n">
        <f aca="false">H6462*K6462</f>
        <v>2500</v>
      </c>
      <c r="M6462" s="4" t="s">
        <v>371</v>
      </c>
    </row>
    <row r="6463" customFormat="false" ht="15" hidden="false" customHeight="false" outlineLevel="0" collapsed="false">
      <c r="A6463" s="4" t="s">
        <v>346</v>
      </c>
      <c r="B6463" s="5" t="s">
        <v>365</v>
      </c>
      <c r="C6463" s="5" t="s">
        <v>366</v>
      </c>
      <c r="D6463" s="4" t="s">
        <v>16</v>
      </c>
      <c r="E6463" s="4" t="s">
        <v>6936</v>
      </c>
      <c r="F6463" s="4" t="s">
        <v>406</v>
      </c>
      <c r="G6463" s="4" t="s">
        <v>6937</v>
      </c>
      <c r="H6463" s="12" t="n">
        <v>1</v>
      </c>
      <c r="I6463" s="4" t="s">
        <v>408</v>
      </c>
      <c r="J6463" s="4" t="s">
        <v>475</v>
      </c>
      <c r="K6463" s="13" t="n">
        <v>8500</v>
      </c>
      <c r="L6463" s="6" t="n">
        <f aca="false">H6463*K6463</f>
        <v>8500</v>
      </c>
      <c r="M6463" s="14" t="s">
        <v>410</v>
      </c>
    </row>
    <row r="6464" customFormat="false" ht="15" hidden="false" customHeight="false" outlineLevel="0" collapsed="false">
      <c r="A6464" s="4" t="s">
        <v>346</v>
      </c>
      <c r="B6464" s="5" t="s">
        <v>365</v>
      </c>
      <c r="C6464" s="5" t="s">
        <v>366</v>
      </c>
      <c r="D6464" s="4" t="s">
        <v>16</v>
      </c>
      <c r="E6464" s="4" t="s">
        <v>6938</v>
      </c>
      <c r="F6464" s="4" t="s">
        <v>406</v>
      </c>
      <c r="G6464" s="4" t="s">
        <v>6939</v>
      </c>
      <c r="H6464" s="12" t="n">
        <v>1</v>
      </c>
      <c r="I6464" s="4" t="s">
        <v>408</v>
      </c>
      <c r="J6464" s="4" t="s">
        <v>416</v>
      </c>
      <c r="K6464" s="13" t="n">
        <v>12000</v>
      </c>
      <c r="L6464" s="6" t="n">
        <f aca="false">H6464*K6464</f>
        <v>12000</v>
      </c>
      <c r="M6464" s="4" t="s">
        <v>371</v>
      </c>
    </row>
    <row r="6465" customFormat="false" ht="15" hidden="false" customHeight="false" outlineLevel="0" collapsed="false">
      <c r="A6465" s="4" t="s">
        <v>346</v>
      </c>
      <c r="B6465" s="5" t="s">
        <v>365</v>
      </c>
      <c r="C6465" s="5" t="s">
        <v>366</v>
      </c>
      <c r="D6465" s="4" t="s">
        <v>16</v>
      </c>
      <c r="E6465" s="4" t="s">
        <v>6940</v>
      </c>
      <c r="F6465" s="4" t="s">
        <v>406</v>
      </c>
      <c r="G6465" s="4" t="s">
        <v>6941</v>
      </c>
      <c r="H6465" s="12" t="n">
        <v>1</v>
      </c>
      <c r="I6465" s="4" t="s">
        <v>408</v>
      </c>
      <c r="J6465" s="4" t="s">
        <v>409</v>
      </c>
      <c r="K6465" s="13" t="n">
        <v>25000</v>
      </c>
      <c r="L6465" s="6" t="n">
        <f aca="false">H6465*K6465</f>
        <v>25000</v>
      </c>
      <c r="M6465" s="4" t="s">
        <v>371</v>
      </c>
    </row>
    <row r="6466" customFormat="false" ht="15" hidden="false" customHeight="false" outlineLevel="0" collapsed="false">
      <c r="A6466" s="4" t="s">
        <v>346</v>
      </c>
      <c r="B6466" s="5" t="s">
        <v>365</v>
      </c>
      <c r="C6466" s="5" t="s">
        <v>366</v>
      </c>
      <c r="D6466" s="4" t="s">
        <v>16</v>
      </c>
      <c r="E6466" s="4" t="s">
        <v>6942</v>
      </c>
      <c r="F6466" s="4" t="s">
        <v>406</v>
      </c>
      <c r="G6466" s="4" t="s">
        <v>6943</v>
      </c>
      <c r="H6466" s="12" t="n">
        <v>1</v>
      </c>
      <c r="I6466" s="4" t="s">
        <v>408</v>
      </c>
      <c r="J6466" s="4" t="s">
        <v>416</v>
      </c>
      <c r="K6466" s="13" t="n">
        <v>25000</v>
      </c>
      <c r="L6466" s="6" t="n">
        <f aca="false">H6466*K6466</f>
        <v>25000</v>
      </c>
      <c r="M6466" s="4" t="s">
        <v>371</v>
      </c>
    </row>
    <row r="6467" customFormat="false" ht="15" hidden="false" customHeight="false" outlineLevel="0" collapsed="false">
      <c r="A6467" s="4" t="s">
        <v>346</v>
      </c>
      <c r="B6467" s="5" t="s">
        <v>365</v>
      </c>
      <c r="C6467" s="5" t="s">
        <v>366</v>
      </c>
      <c r="D6467" s="4" t="s">
        <v>16</v>
      </c>
      <c r="E6467" s="4" t="s">
        <v>6944</v>
      </c>
      <c r="F6467" s="4" t="s">
        <v>406</v>
      </c>
      <c r="G6467" s="4" t="s">
        <v>6945</v>
      </c>
      <c r="H6467" s="12" t="n">
        <v>1</v>
      </c>
      <c r="I6467" s="4" t="s">
        <v>408</v>
      </c>
      <c r="J6467" s="4" t="s">
        <v>409</v>
      </c>
      <c r="K6467" s="13" t="n">
        <v>4500</v>
      </c>
      <c r="L6467" s="6" t="n">
        <f aca="false">H6467*K6467</f>
        <v>4500</v>
      </c>
      <c r="M6467" s="4" t="s">
        <v>371</v>
      </c>
    </row>
    <row r="6468" customFormat="false" ht="15" hidden="false" customHeight="false" outlineLevel="0" collapsed="false">
      <c r="A6468" s="4" t="s">
        <v>346</v>
      </c>
      <c r="B6468" s="5" t="s">
        <v>365</v>
      </c>
      <c r="C6468" s="5" t="s">
        <v>366</v>
      </c>
      <c r="D6468" s="4" t="s">
        <v>16</v>
      </c>
      <c r="E6468" s="4" t="s">
        <v>6946</v>
      </c>
      <c r="F6468" s="4" t="s">
        <v>470</v>
      </c>
      <c r="G6468" s="4" t="s">
        <v>6947</v>
      </c>
      <c r="H6468" s="12" t="n">
        <v>1</v>
      </c>
      <c r="I6468" s="4" t="s">
        <v>408</v>
      </c>
      <c r="J6468" s="4" t="s">
        <v>409</v>
      </c>
      <c r="K6468" s="13" t="n">
        <v>55000</v>
      </c>
      <c r="L6468" s="6" t="n">
        <f aca="false">H6468*K6468</f>
        <v>55000</v>
      </c>
      <c r="M6468" s="4" t="s">
        <v>371</v>
      </c>
    </row>
    <row r="6469" customFormat="false" ht="15" hidden="false" customHeight="false" outlineLevel="0" collapsed="false">
      <c r="A6469" s="4" t="s">
        <v>346</v>
      </c>
      <c r="B6469" s="5" t="s">
        <v>365</v>
      </c>
      <c r="C6469" s="5" t="s">
        <v>366</v>
      </c>
      <c r="D6469" s="4" t="s">
        <v>16</v>
      </c>
      <c r="E6469" s="4" t="s">
        <v>6948</v>
      </c>
      <c r="F6469" s="4" t="s">
        <v>470</v>
      </c>
      <c r="G6469" s="4" t="s">
        <v>6949</v>
      </c>
      <c r="H6469" s="12" t="n">
        <v>1</v>
      </c>
      <c r="I6469" s="4" t="s">
        <v>408</v>
      </c>
      <c r="J6469" s="4" t="s">
        <v>409</v>
      </c>
      <c r="K6469" s="13" t="n">
        <v>35000</v>
      </c>
      <c r="L6469" s="6" t="n">
        <f aca="false">H6469*K6469</f>
        <v>35000</v>
      </c>
      <c r="M6469" s="4" t="s">
        <v>371</v>
      </c>
    </row>
    <row r="6470" customFormat="false" ht="15" hidden="false" customHeight="false" outlineLevel="0" collapsed="false">
      <c r="A6470" s="4" t="s">
        <v>346</v>
      </c>
      <c r="B6470" s="5" t="s">
        <v>365</v>
      </c>
      <c r="C6470" s="5" t="s">
        <v>366</v>
      </c>
      <c r="D6470" s="4" t="s">
        <v>16</v>
      </c>
      <c r="E6470" s="4" t="s">
        <v>6950</v>
      </c>
      <c r="F6470" s="4" t="s">
        <v>470</v>
      </c>
      <c r="G6470" s="4" t="s">
        <v>6951</v>
      </c>
      <c r="H6470" s="12" t="n">
        <v>1</v>
      </c>
      <c r="I6470" s="4" t="s">
        <v>408</v>
      </c>
      <c r="J6470" s="4" t="s">
        <v>409</v>
      </c>
      <c r="K6470" s="13" t="n">
        <v>12000</v>
      </c>
      <c r="L6470" s="6" t="n">
        <f aca="false">H6470*K6470</f>
        <v>12000</v>
      </c>
      <c r="M6470" s="4" t="s">
        <v>371</v>
      </c>
    </row>
    <row r="6471" customFormat="false" ht="15" hidden="false" customHeight="false" outlineLevel="0" collapsed="false">
      <c r="A6471" s="4" t="s">
        <v>346</v>
      </c>
      <c r="B6471" s="5" t="s">
        <v>365</v>
      </c>
      <c r="C6471" s="5" t="s">
        <v>366</v>
      </c>
      <c r="D6471" s="4" t="s">
        <v>16</v>
      </c>
      <c r="E6471" s="4" t="s">
        <v>6952</v>
      </c>
      <c r="F6471" s="4" t="s">
        <v>470</v>
      </c>
      <c r="G6471" s="4" t="s">
        <v>6953</v>
      </c>
      <c r="H6471" s="12" t="n">
        <v>1</v>
      </c>
      <c r="I6471" s="4" t="s">
        <v>408</v>
      </c>
      <c r="J6471" s="4" t="s">
        <v>409</v>
      </c>
      <c r="K6471" s="13" t="n">
        <v>45000</v>
      </c>
      <c r="L6471" s="6" t="n">
        <f aca="false">H6471*K6471</f>
        <v>45000</v>
      </c>
      <c r="M6471" s="4" t="s">
        <v>371</v>
      </c>
    </row>
    <row r="6472" customFormat="false" ht="15" hidden="false" customHeight="false" outlineLevel="0" collapsed="false">
      <c r="A6472" s="4" t="s">
        <v>346</v>
      </c>
      <c r="B6472" s="5" t="s">
        <v>365</v>
      </c>
      <c r="C6472" s="5" t="s">
        <v>366</v>
      </c>
      <c r="D6472" s="4" t="s">
        <v>16</v>
      </c>
      <c r="E6472" s="4" t="s">
        <v>6954</v>
      </c>
      <c r="F6472" s="4" t="s">
        <v>470</v>
      </c>
      <c r="G6472" s="4" t="s">
        <v>6955</v>
      </c>
      <c r="H6472" s="12" t="n">
        <v>1</v>
      </c>
      <c r="I6472" s="4" t="s">
        <v>408</v>
      </c>
      <c r="J6472" s="4" t="s">
        <v>409</v>
      </c>
      <c r="K6472" s="13" t="n">
        <v>45000</v>
      </c>
      <c r="L6472" s="6" t="n">
        <f aca="false">H6472*K6472</f>
        <v>45000</v>
      </c>
      <c r="M6472" s="4" t="s">
        <v>371</v>
      </c>
    </row>
    <row r="6473" customFormat="false" ht="15" hidden="false" customHeight="false" outlineLevel="0" collapsed="false">
      <c r="A6473" s="4" t="s">
        <v>346</v>
      </c>
      <c r="B6473" s="5" t="s">
        <v>365</v>
      </c>
      <c r="C6473" s="5" t="s">
        <v>366</v>
      </c>
      <c r="D6473" s="4" t="s">
        <v>16</v>
      </c>
      <c r="E6473" s="4" t="s">
        <v>6956</v>
      </c>
      <c r="F6473" s="4" t="s">
        <v>470</v>
      </c>
      <c r="G6473" s="4" t="s">
        <v>6957</v>
      </c>
      <c r="H6473" s="12" t="n">
        <v>1</v>
      </c>
      <c r="I6473" s="4" t="s">
        <v>408</v>
      </c>
      <c r="J6473" s="4" t="s">
        <v>416</v>
      </c>
      <c r="K6473" s="13" t="n">
        <v>55000</v>
      </c>
      <c r="L6473" s="6" t="n">
        <f aca="false">H6473*K6473</f>
        <v>55000</v>
      </c>
      <c r="M6473" s="4" t="s">
        <v>371</v>
      </c>
    </row>
    <row r="6474" customFormat="false" ht="15" hidden="false" customHeight="false" outlineLevel="0" collapsed="false">
      <c r="A6474" s="4" t="s">
        <v>346</v>
      </c>
      <c r="B6474" s="5" t="s">
        <v>365</v>
      </c>
      <c r="C6474" s="5" t="s">
        <v>366</v>
      </c>
      <c r="D6474" s="4" t="s">
        <v>16</v>
      </c>
      <c r="E6474" s="4" t="s">
        <v>6958</v>
      </c>
      <c r="F6474" s="4" t="s">
        <v>470</v>
      </c>
      <c r="G6474" s="4" t="s">
        <v>6959</v>
      </c>
      <c r="H6474" s="12" t="n">
        <v>1</v>
      </c>
      <c r="I6474" s="4" t="s">
        <v>408</v>
      </c>
      <c r="J6474" s="4" t="s">
        <v>543</v>
      </c>
      <c r="K6474" s="13" t="n">
        <v>3000</v>
      </c>
      <c r="L6474" s="6" t="n">
        <f aca="false">H6474*K6474</f>
        <v>3000</v>
      </c>
      <c r="M6474" s="4" t="s">
        <v>371</v>
      </c>
    </row>
    <row r="6475" customFormat="false" ht="15" hidden="false" customHeight="false" outlineLevel="0" collapsed="false">
      <c r="A6475" s="4" t="s">
        <v>346</v>
      </c>
      <c r="B6475" s="5" t="s">
        <v>365</v>
      </c>
      <c r="C6475" s="5" t="s">
        <v>366</v>
      </c>
      <c r="D6475" s="4" t="s">
        <v>16</v>
      </c>
      <c r="E6475" s="4" t="s">
        <v>6960</v>
      </c>
      <c r="F6475" s="4" t="s">
        <v>470</v>
      </c>
      <c r="G6475" s="4" t="s">
        <v>6961</v>
      </c>
      <c r="H6475" s="12" t="n">
        <v>1</v>
      </c>
      <c r="I6475" s="4" t="s">
        <v>408</v>
      </c>
      <c r="J6475" s="4" t="s">
        <v>543</v>
      </c>
      <c r="K6475" s="13" t="n">
        <v>12000</v>
      </c>
      <c r="L6475" s="6" t="n">
        <f aca="false">H6475*K6475</f>
        <v>12000</v>
      </c>
      <c r="M6475" s="4" t="s">
        <v>371</v>
      </c>
    </row>
    <row r="6476" customFormat="false" ht="15" hidden="false" customHeight="false" outlineLevel="0" collapsed="false">
      <c r="A6476" s="4" t="s">
        <v>346</v>
      </c>
      <c r="B6476" s="5" t="s">
        <v>365</v>
      </c>
      <c r="C6476" s="5" t="s">
        <v>366</v>
      </c>
      <c r="D6476" s="4" t="s">
        <v>16</v>
      </c>
      <c r="E6476" s="4" t="s">
        <v>6962</v>
      </c>
      <c r="F6476" s="4" t="s">
        <v>470</v>
      </c>
      <c r="G6476" s="4" t="s">
        <v>6963</v>
      </c>
      <c r="H6476" s="12" t="n">
        <v>1</v>
      </c>
      <c r="I6476" s="4" t="s">
        <v>408</v>
      </c>
      <c r="J6476" s="4" t="s">
        <v>543</v>
      </c>
      <c r="K6476" s="13" t="n">
        <v>12000</v>
      </c>
      <c r="L6476" s="6" t="n">
        <f aca="false">H6476*K6476</f>
        <v>12000</v>
      </c>
      <c r="M6476" s="4" t="s">
        <v>371</v>
      </c>
    </row>
    <row r="6477" customFormat="false" ht="15" hidden="false" customHeight="false" outlineLevel="0" collapsed="false">
      <c r="A6477" s="4" t="s">
        <v>346</v>
      </c>
      <c r="B6477" s="5" t="s">
        <v>365</v>
      </c>
      <c r="C6477" s="5" t="s">
        <v>366</v>
      </c>
      <c r="D6477" s="4" t="s">
        <v>16</v>
      </c>
      <c r="E6477" s="4" t="s">
        <v>6964</v>
      </c>
      <c r="F6477" s="4" t="s">
        <v>470</v>
      </c>
      <c r="G6477" s="4" t="s">
        <v>6965</v>
      </c>
      <c r="H6477" s="12" t="n">
        <v>1</v>
      </c>
      <c r="I6477" s="4" t="s">
        <v>408</v>
      </c>
      <c r="J6477" s="4" t="s">
        <v>543</v>
      </c>
      <c r="K6477" s="13" t="n">
        <v>25000</v>
      </c>
      <c r="L6477" s="6" t="n">
        <f aca="false">H6477*K6477</f>
        <v>25000</v>
      </c>
      <c r="M6477" s="4" t="s">
        <v>371</v>
      </c>
    </row>
    <row r="6478" customFormat="false" ht="15" hidden="false" customHeight="false" outlineLevel="0" collapsed="false">
      <c r="A6478" s="4" t="s">
        <v>346</v>
      </c>
      <c r="B6478" s="5" t="s">
        <v>365</v>
      </c>
      <c r="C6478" s="5" t="s">
        <v>366</v>
      </c>
      <c r="D6478" s="4" t="s">
        <v>16</v>
      </c>
      <c r="E6478" s="4" t="s">
        <v>6966</v>
      </c>
      <c r="F6478" s="4" t="s">
        <v>470</v>
      </c>
      <c r="G6478" s="4" t="s">
        <v>6967</v>
      </c>
      <c r="H6478" s="12" t="n">
        <v>1</v>
      </c>
      <c r="I6478" s="4" t="s">
        <v>408</v>
      </c>
      <c r="J6478" s="4" t="s">
        <v>543</v>
      </c>
      <c r="K6478" s="13" t="n">
        <v>5000</v>
      </c>
      <c r="L6478" s="6" t="n">
        <f aca="false">H6478*K6478</f>
        <v>5000</v>
      </c>
      <c r="M6478" s="4" t="s">
        <v>371</v>
      </c>
    </row>
    <row r="6479" customFormat="false" ht="15" hidden="false" customHeight="false" outlineLevel="0" collapsed="false">
      <c r="A6479" s="4" t="s">
        <v>346</v>
      </c>
      <c r="B6479" s="5" t="s">
        <v>365</v>
      </c>
      <c r="C6479" s="5" t="s">
        <v>366</v>
      </c>
      <c r="D6479" s="4" t="s">
        <v>16</v>
      </c>
      <c r="E6479" s="4" t="s">
        <v>6736</v>
      </c>
      <c r="F6479" s="4" t="s">
        <v>470</v>
      </c>
      <c r="G6479" s="4" t="s">
        <v>6737</v>
      </c>
      <c r="H6479" s="12" t="n">
        <v>1</v>
      </c>
      <c r="I6479" s="4" t="s">
        <v>408</v>
      </c>
      <c r="J6479" s="4" t="s">
        <v>413</v>
      </c>
      <c r="K6479" s="13" t="n">
        <v>450</v>
      </c>
      <c r="L6479" s="6" t="n">
        <f aca="false">H6479*K6479</f>
        <v>450</v>
      </c>
      <c r="M6479" s="4" t="s">
        <v>371</v>
      </c>
    </row>
    <row r="6480" customFormat="false" ht="15" hidden="false" customHeight="false" outlineLevel="0" collapsed="false">
      <c r="A6480" s="4" t="s">
        <v>346</v>
      </c>
      <c r="B6480" s="5" t="s">
        <v>365</v>
      </c>
      <c r="C6480" s="5" t="s">
        <v>366</v>
      </c>
      <c r="D6480" s="4" t="s">
        <v>16</v>
      </c>
      <c r="E6480" s="4" t="s">
        <v>6968</v>
      </c>
      <c r="F6480" s="4" t="s">
        <v>470</v>
      </c>
      <c r="G6480" s="4" t="s">
        <v>6969</v>
      </c>
      <c r="H6480" s="12" t="n">
        <v>1</v>
      </c>
      <c r="I6480" s="4" t="s">
        <v>408</v>
      </c>
      <c r="J6480" s="4" t="s">
        <v>416</v>
      </c>
      <c r="K6480" s="13" t="n">
        <v>1800</v>
      </c>
      <c r="L6480" s="6" t="n">
        <f aca="false">H6480*K6480</f>
        <v>1800</v>
      </c>
      <c r="M6480" s="4" t="s">
        <v>371</v>
      </c>
    </row>
    <row r="6481" customFormat="false" ht="15" hidden="false" customHeight="false" outlineLevel="0" collapsed="false">
      <c r="A6481" s="4" t="s">
        <v>346</v>
      </c>
      <c r="B6481" s="5" t="s">
        <v>365</v>
      </c>
      <c r="C6481" s="5" t="s">
        <v>366</v>
      </c>
      <c r="D6481" s="4" t="s">
        <v>16</v>
      </c>
      <c r="E6481" s="4" t="s">
        <v>6970</v>
      </c>
      <c r="F6481" s="4" t="s">
        <v>470</v>
      </c>
      <c r="G6481" s="4" t="s">
        <v>6971</v>
      </c>
      <c r="H6481" s="12" t="n">
        <v>1</v>
      </c>
      <c r="I6481" s="4" t="s">
        <v>408</v>
      </c>
      <c r="J6481" s="4" t="s">
        <v>416</v>
      </c>
      <c r="K6481" s="13" t="n">
        <v>18000</v>
      </c>
      <c r="L6481" s="6" t="n">
        <f aca="false">H6481*K6481</f>
        <v>18000</v>
      </c>
      <c r="M6481" s="4" t="s">
        <v>371</v>
      </c>
    </row>
    <row r="6482" customFormat="false" ht="15" hidden="false" customHeight="false" outlineLevel="0" collapsed="false">
      <c r="A6482" s="4" t="s">
        <v>346</v>
      </c>
      <c r="B6482" s="5" t="s">
        <v>365</v>
      </c>
      <c r="C6482" s="5" t="s">
        <v>366</v>
      </c>
      <c r="D6482" s="4" t="s">
        <v>16</v>
      </c>
      <c r="E6482" s="4" t="s">
        <v>6972</v>
      </c>
      <c r="F6482" s="4" t="s">
        <v>470</v>
      </c>
      <c r="G6482" s="4" t="s">
        <v>6973</v>
      </c>
      <c r="H6482" s="12" t="n">
        <v>1</v>
      </c>
      <c r="I6482" s="4" t="s">
        <v>408</v>
      </c>
      <c r="J6482" s="4" t="s">
        <v>416</v>
      </c>
      <c r="K6482" s="13" t="n">
        <v>850</v>
      </c>
      <c r="L6482" s="6" t="n">
        <f aca="false">H6482*K6482</f>
        <v>850</v>
      </c>
      <c r="M6482" s="4" t="s">
        <v>371</v>
      </c>
    </row>
    <row r="6483" customFormat="false" ht="15" hidden="false" customHeight="false" outlineLevel="0" collapsed="false">
      <c r="A6483" s="4" t="s">
        <v>346</v>
      </c>
      <c r="B6483" s="5" t="s">
        <v>365</v>
      </c>
      <c r="C6483" s="5" t="s">
        <v>366</v>
      </c>
      <c r="D6483" s="4" t="s">
        <v>16</v>
      </c>
      <c r="E6483" s="4" t="s">
        <v>6974</v>
      </c>
      <c r="F6483" s="4" t="s">
        <v>470</v>
      </c>
      <c r="G6483" s="4" t="s">
        <v>6975</v>
      </c>
      <c r="H6483" s="12" t="n">
        <v>1</v>
      </c>
      <c r="I6483" s="4" t="s">
        <v>408</v>
      </c>
      <c r="J6483" s="4" t="s">
        <v>416</v>
      </c>
      <c r="K6483" s="13" t="n">
        <v>1800</v>
      </c>
      <c r="L6483" s="6" t="n">
        <f aca="false">H6483*K6483</f>
        <v>1800</v>
      </c>
      <c r="M6483" s="4" t="s">
        <v>371</v>
      </c>
    </row>
    <row r="6484" customFormat="false" ht="15" hidden="false" customHeight="false" outlineLevel="0" collapsed="false">
      <c r="A6484" s="4" t="s">
        <v>346</v>
      </c>
      <c r="B6484" s="5" t="s">
        <v>365</v>
      </c>
      <c r="C6484" s="5" t="s">
        <v>366</v>
      </c>
      <c r="D6484" s="4" t="s">
        <v>16</v>
      </c>
      <c r="E6484" s="4" t="s">
        <v>6976</v>
      </c>
      <c r="F6484" s="4" t="s">
        <v>470</v>
      </c>
      <c r="G6484" s="4" t="s">
        <v>6977</v>
      </c>
      <c r="H6484" s="12" t="n">
        <v>1</v>
      </c>
      <c r="I6484" s="4" t="s">
        <v>408</v>
      </c>
      <c r="J6484" s="4" t="s">
        <v>416</v>
      </c>
      <c r="K6484" s="13" t="n">
        <v>850</v>
      </c>
      <c r="L6484" s="6" t="n">
        <f aca="false">H6484*K6484</f>
        <v>850</v>
      </c>
      <c r="M6484" s="4" t="s">
        <v>371</v>
      </c>
    </row>
    <row r="6485" customFormat="false" ht="15" hidden="false" customHeight="false" outlineLevel="0" collapsed="false">
      <c r="A6485" s="4" t="s">
        <v>346</v>
      </c>
      <c r="B6485" s="5" t="s">
        <v>365</v>
      </c>
      <c r="C6485" s="5" t="s">
        <v>366</v>
      </c>
      <c r="D6485" s="4" t="s">
        <v>16</v>
      </c>
      <c r="E6485" s="4" t="s">
        <v>6978</v>
      </c>
      <c r="F6485" s="4" t="s">
        <v>470</v>
      </c>
      <c r="G6485" s="4" t="s">
        <v>6979</v>
      </c>
      <c r="H6485" s="12" t="n">
        <v>1</v>
      </c>
      <c r="I6485" s="4" t="s">
        <v>408</v>
      </c>
      <c r="J6485" s="4" t="s">
        <v>416</v>
      </c>
      <c r="K6485" s="13" t="n">
        <v>850</v>
      </c>
      <c r="L6485" s="6" t="n">
        <f aca="false">H6485*K6485</f>
        <v>850</v>
      </c>
      <c r="M6485" s="4" t="s">
        <v>371</v>
      </c>
    </row>
    <row r="6486" customFormat="false" ht="15" hidden="false" customHeight="false" outlineLevel="0" collapsed="false">
      <c r="A6486" s="4" t="s">
        <v>346</v>
      </c>
      <c r="B6486" s="5" t="s">
        <v>365</v>
      </c>
      <c r="C6486" s="5" t="s">
        <v>366</v>
      </c>
      <c r="D6486" s="4" t="s">
        <v>16</v>
      </c>
      <c r="E6486" s="4" t="s">
        <v>6980</v>
      </c>
      <c r="F6486" s="4" t="s">
        <v>470</v>
      </c>
      <c r="G6486" s="4" t="s">
        <v>6981</v>
      </c>
      <c r="H6486" s="12" t="n">
        <v>1</v>
      </c>
      <c r="I6486" s="4" t="s">
        <v>408</v>
      </c>
      <c r="J6486" s="4" t="s">
        <v>416</v>
      </c>
      <c r="K6486" s="13" t="n">
        <v>850</v>
      </c>
      <c r="L6486" s="6" t="n">
        <f aca="false">H6486*K6486</f>
        <v>850</v>
      </c>
      <c r="M6486" s="4" t="s">
        <v>371</v>
      </c>
    </row>
    <row r="6487" customFormat="false" ht="15" hidden="false" customHeight="false" outlineLevel="0" collapsed="false">
      <c r="A6487" s="4" t="s">
        <v>346</v>
      </c>
      <c r="B6487" s="5" t="s">
        <v>365</v>
      </c>
      <c r="C6487" s="5" t="s">
        <v>366</v>
      </c>
      <c r="D6487" s="4" t="s">
        <v>16</v>
      </c>
      <c r="E6487" s="4" t="s">
        <v>6982</v>
      </c>
      <c r="F6487" s="4" t="s">
        <v>470</v>
      </c>
      <c r="G6487" s="4" t="s">
        <v>6983</v>
      </c>
      <c r="H6487" s="12" t="n">
        <v>1</v>
      </c>
      <c r="I6487" s="4" t="s">
        <v>408</v>
      </c>
      <c r="J6487" s="4" t="s">
        <v>506</v>
      </c>
      <c r="K6487" s="13" t="n">
        <v>250</v>
      </c>
      <c r="L6487" s="6" t="n">
        <f aca="false">H6487*K6487</f>
        <v>250</v>
      </c>
      <c r="M6487" s="4" t="s">
        <v>371</v>
      </c>
    </row>
    <row r="6488" customFormat="false" ht="15" hidden="false" customHeight="false" outlineLevel="0" collapsed="false">
      <c r="A6488" s="4" t="s">
        <v>346</v>
      </c>
      <c r="B6488" s="5" t="s">
        <v>365</v>
      </c>
      <c r="C6488" s="5" t="s">
        <v>366</v>
      </c>
      <c r="D6488" s="4" t="s">
        <v>16</v>
      </c>
      <c r="E6488" s="4" t="s">
        <v>6984</v>
      </c>
      <c r="F6488" s="4" t="s">
        <v>470</v>
      </c>
      <c r="G6488" s="4" t="s">
        <v>6985</v>
      </c>
      <c r="H6488" s="12" t="n">
        <v>1</v>
      </c>
      <c r="I6488" s="4" t="s">
        <v>408</v>
      </c>
      <c r="J6488" s="4" t="s">
        <v>416</v>
      </c>
      <c r="K6488" s="13" t="n">
        <v>450</v>
      </c>
      <c r="L6488" s="6" t="n">
        <f aca="false">H6488*K6488</f>
        <v>450</v>
      </c>
      <c r="M6488" s="4" t="s">
        <v>371</v>
      </c>
    </row>
    <row r="6489" customFormat="false" ht="15" hidden="false" customHeight="false" outlineLevel="0" collapsed="false">
      <c r="A6489" s="4" t="s">
        <v>346</v>
      </c>
      <c r="B6489" s="5" t="s">
        <v>365</v>
      </c>
      <c r="C6489" s="5" t="s">
        <v>366</v>
      </c>
      <c r="D6489" s="4" t="s">
        <v>16</v>
      </c>
      <c r="E6489" s="4" t="s">
        <v>6986</v>
      </c>
      <c r="F6489" s="4" t="s">
        <v>470</v>
      </c>
      <c r="G6489" s="4" t="s">
        <v>6987</v>
      </c>
      <c r="H6489" s="12" t="n">
        <v>1</v>
      </c>
      <c r="I6489" s="4" t="s">
        <v>408</v>
      </c>
      <c r="J6489" s="4" t="s">
        <v>416</v>
      </c>
      <c r="K6489" s="13" t="n">
        <v>850</v>
      </c>
      <c r="L6489" s="6" t="n">
        <f aca="false">H6489*K6489</f>
        <v>850</v>
      </c>
      <c r="M6489" s="4" t="s">
        <v>371</v>
      </c>
    </row>
    <row r="6490" customFormat="false" ht="15" hidden="false" customHeight="false" outlineLevel="0" collapsed="false">
      <c r="A6490" s="4" t="s">
        <v>346</v>
      </c>
      <c r="B6490" s="5" t="s">
        <v>365</v>
      </c>
      <c r="C6490" s="5" t="s">
        <v>366</v>
      </c>
      <c r="D6490" s="4" t="s">
        <v>16</v>
      </c>
      <c r="E6490" s="4" t="s">
        <v>6988</v>
      </c>
      <c r="F6490" s="4" t="s">
        <v>470</v>
      </c>
      <c r="G6490" s="4" t="s">
        <v>6989</v>
      </c>
      <c r="H6490" s="12" t="n">
        <v>1</v>
      </c>
      <c r="I6490" s="4" t="s">
        <v>408</v>
      </c>
      <c r="J6490" s="4" t="s">
        <v>416</v>
      </c>
      <c r="K6490" s="13" t="n">
        <v>350</v>
      </c>
      <c r="L6490" s="6" t="n">
        <f aca="false">H6490*K6490</f>
        <v>350</v>
      </c>
      <c r="M6490" s="4" t="s">
        <v>371</v>
      </c>
    </row>
    <row r="6491" customFormat="false" ht="15" hidden="false" customHeight="false" outlineLevel="0" collapsed="false">
      <c r="A6491" s="4" t="s">
        <v>346</v>
      </c>
      <c r="B6491" s="5" t="s">
        <v>365</v>
      </c>
      <c r="C6491" s="5" t="s">
        <v>366</v>
      </c>
      <c r="D6491" s="4" t="s">
        <v>16</v>
      </c>
      <c r="E6491" s="4" t="s">
        <v>6990</v>
      </c>
      <c r="F6491" s="4" t="s">
        <v>470</v>
      </c>
      <c r="G6491" s="4" t="s">
        <v>6991</v>
      </c>
      <c r="H6491" s="12" t="n">
        <v>1</v>
      </c>
      <c r="I6491" s="4" t="s">
        <v>408</v>
      </c>
      <c r="J6491" s="4" t="s">
        <v>416</v>
      </c>
      <c r="K6491" s="13" t="n">
        <v>1800</v>
      </c>
      <c r="L6491" s="6" t="n">
        <f aca="false">H6491*K6491</f>
        <v>1800</v>
      </c>
      <c r="M6491" s="4" t="s">
        <v>371</v>
      </c>
    </row>
    <row r="6492" customFormat="false" ht="15" hidden="false" customHeight="false" outlineLevel="0" collapsed="false">
      <c r="A6492" s="4" t="s">
        <v>346</v>
      </c>
      <c r="B6492" s="5" t="s">
        <v>365</v>
      </c>
      <c r="C6492" s="5" t="s">
        <v>366</v>
      </c>
      <c r="D6492" s="4" t="s">
        <v>16</v>
      </c>
      <c r="E6492" s="4" t="s">
        <v>6992</v>
      </c>
      <c r="F6492" s="4" t="s">
        <v>470</v>
      </c>
      <c r="G6492" s="4" t="s">
        <v>6993</v>
      </c>
      <c r="H6492" s="12" t="n">
        <v>1</v>
      </c>
      <c r="I6492" s="4" t="s">
        <v>408</v>
      </c>
      <c r="J6492" s="4" t="s">
        <v>416</v>
      </c>
      <c r="K6492" s="13" t="n">
        <v>850</v>
      </c>
      <c r="L6492" s="6" t="n">
        <f aca="false">H6492*K6492</f>
        <v>850</v>
      </c>
      <c r="M6492" s="4" t="s">
        <v>371</v>
      </c>
    </row>
    <row r="6493" customFormat="false" ht="15" hidden="false" customHeight="false" outlineLevel="0" collapsed="false">
      <c r="A6493" s="4" t="s">
        <v>346</v>
      </c>
      <c r="B6493" s="5" t="s">
        <v>365</v>
      </c>
      <c r="C6493" s="5" t="s">
        <v>366</v>
      </c>
      <c r="D6493" s="4" t="s">
        <v>16</v>
      </c>
      <c r="E6493" s="4" t="s">
        <v>6994</v>
      </c>
      <c r="F6493" s="4" t="s">
        <v>470</v>
      </c>
      <c r="G6493" s="4" t="s">
        <v>6995</v>
      </c>
      <c r="H6493" s="12" t="n">
        <v>1</v>
      </c>
      <c r="I6493" s="4" t="s">
        <v>408</v>
      </c>
      <c r="J6493" s="4" t="s">
        <v>416</v>
      </c>
      <c r="K6493" s="13" t="n">
        <v>850</v>
      </c>
      <c r="L6493" s="6" t="n">
        <f aca="false">H6493*K6493</f>
        <v>850</v>
      </c>
      <c r="M6493" s="4" t="s">
        <v>371</v>
      </c>
    </row>
    <row r="6494" customFormat="false" ht="15" hidden="false" customHeight="false" outlineLevel="0" collapsed="false">
      <c r="A6494" s="4" t="s">
        <v>346</v>
      </c>
      <c r="B6494" s="5" t="s">
        <v>365</v>
      </c>
      <c r="C6494" s="5" t="s">
        <v>366</v>
      </c>
      <c r="D6494" s="4" t="s">
        <v>16</v>
      </c>
      <c r="E6494" s="4" t="s">
        <v>6996</v>
      </c>
      <c r="F6494" s="4" t="s">
        <v>470</v>
      </c>
      <c r="G6494" s="4" t="s">
        <v>6997</v>
      </c>
      <c r="H6494" s="12" t="n">
        <v>1</v>
      </c>
      <c r="I6494" s="4" t="s">
        <v>408</v>
      </c>
      <c r="J6494" s="4" t="s">
        <v>416</v>
      </c>
      <c r="K6494" s="13" t="n">
        <v>1800</v>
      </c>
      <c r="L6494" s="6" t="n">
        <f aca="false">H6494*K6494</f>
        <v>1800</v>
      </c>
      <c r="M6494" s="4" t="s">
        <v>371</v>
      </c>
    </row>
    <row r="6495" customFormat="false" ht="15" hidden="false" customHeight="false" outlineLevel="0" collapsed="false">
      <c r="A6495" s="4" t="s">
        <v>346</v>
      </c>
      <c r="B6495" s="5" t="s">
        <v>365</v>
      </c>
      <c r="C6495" s="5" t="s">
        <v>366</v>
      </c>
      <c r="D6495" s="4" t="s">
        <v>16</v>
      </c>
      <c r="E6495" s="4" t="s">
        <v>6998</v>
      </c>
      <c r="F6495" s="4" t="s">
        <v>470</v>
      </c>
      <c r="G6495" s="4" t="s">
        <v>6999</v>
      </c>
      <c r="H6495" s="12" t="n">
        <v>1</v>
      </c>
      <c r="I6495" s="4" t="s">
        <v>408</v>
      </c>
      <c r="J6495" s="4" t="s">
        <v>416</v>
      </c>
      <c r="K6495" s="13" t="n">
        <v>850</v>
      </c>
      <c r="L6495" s="6" t="n">
        <f aca="false">H6495*K6495</f>
        <v>850</v>
      </c>
      <c r="M6495" s="4" t="s">
        <v>371</v>
      </c>
    </row>
    <row r="6496" customFormat="false" ht="15" hidden="false" customHeight="false" outlineLevel="0" collapsed="false">
      <c r="A6496" s="4" t="s">
        <v>346</v>
      </c>
      <c r="B6496" s="5" t="s">
        <v>365</v>
      </c>
      <c r="C6496" s="5" t="s">
        <v>366</v>
      </c>
      <c r="D6496" s="4" t="s">
        <v>16</v>
      </c>
      <c r="E6496" s="4" t="s">
        <v>7000</v>
      </c>
      <c r="F6496" s="4" t="s">
        <v>470</v>
      </c>
      <c r="G6496" s="4" t="s">
        <v>7001</v>
      </c>
      <c r="H6496" s="12" t="n">
        <v>1</v>
      </c>
      <c r="I6496" s="4" t="s">
        <v>408</v>
      </c>
      <c r="J6496" s="4" t="s">
        <v>543</v>
      </c>
      <c r="K6496" s="13" t="n">
        <v>5000</v>
      </c>
      <c r="L6496" s="6" t="n">
        <f aca="false">H6496*K6496</f>
        <v>5000</v>
      </c>
      <c r="M6496" s="4" t="s">
        <v>371</v>
      </c>
    </row>
    <row r="6497" customFormat="false" ht="15" hidden="false" customHeight="false" outlineLevel="0" collapsed="false">
      <c r="A6497" s="4" t="s">
        <v>346</v>
      </c>
      <c r="B6497" s="5" t="s">
        <v>365</v>
      </c>
      <c r="C6497" s="5" t="s">
        <v>366</v>
      </c>
      <c r="D6497" s="4" t="s">
        <v>16</v>
      </c>
      <c r="E6497" s="4" t="s">
        <v>7002</v>
      </c>
      <c r="F6497" s="4" t="s">
        <v>470</v>
      </c>
      <c r="G6497" s="4" t="s">
        <v>7003</v>
      </c>
      <c r="H6497" s="12" t="n">
        <v>1</v>
      </c>
      <c r="I6497" s="4" t="s">
        <v>408</v>
      </c>
      <c r="J6497" s="4" t="s">
        <v>416</v>
      </c>
      <c r="K6497" s="13" t="n">
        <v>2500</v>
      </c>
      <c r="L6497" s="6" t="n">
        <f aca="false">H6497*K6497</f>
        <v>2500</v>
      </c>
      <c r="M6497" s="4" t="s">
        <v>371</v>
      </c>
    </row>
    <row r="6498" customFormat="false" ht="15" hidden="false" customHeight="false" outlineLevel="0" collapsed="false">
      <c r="A6498" s="4" t="s">
        <v>346</v>
      </c>
      <c r="B6498" s="5" t="s">
        <v>365</v>
      </c>
      <c r="C6498" s="5" t="s">
        <v>366</v>
      </c>
      <c r="D6498" s="4" t="s">
        <v>16</v>
      </c>
      <c r="E6498" s="4" t="s">
        <v>7004</v>
      </c>
      <c r="F6498" s="4" t="s">
        <v>470</v>
      </c>
      <c r="G6498" s="4" t="s">
        <v>7005</v>
      </c>
      <c r="H6498" s="12" t="n">
        <v>1</v>
      </c>
      <c r="I6498" s="4" t="s">
        <v>408</v>
      </c>
      <c r="J6498" s="4" t="s">
        <v>416</v>
      </c>
      <c r="K6498" s="13" t="n">
        <v>850</v>
      </c>
      <c r="L6498" s="6" t="n">
        <f aca="false">H6498*K6498</f>
        <v>850</v>
      </c>
      <c r="M6498" s="4" t="s">
        <v>371</v>
      </c>
    </row>
    <row r="6499" customFormat="false" ht="15" hidden="false" customHeight="false" outlineLevel="0" collapsed="false">
      <c r="A6499" s="4" t="s">
        <v>346</v>
      </c>
      <c r="B6499" s="5" t="s">
        <v>365</v>
      </c>
      <c r="C6499" s="5" t="s">
        <v>366</v>
      </c>
      <c r="D6499" s="4" t="s">
        <v>16</v>
      </c>
      <c r="E6499" s="4" t="s">
        <v>7006</v>
      </c>
      <c r="F6499" s="4" t="s">
        <v>470</v>
      </c>
      <c r="G6499" s="4" t="s">
        <v>7007</v>
      </c>
      <c r="H6499" s="12" t="n">
        <v>1</v>
      </c>
      <c r="I6499" s="4" t="s">
        <v>408</v>
      </c>
      <c r="J6499" s="4" t="s">
        <v>416</v>
      </c>
      <c r="K6499" s="13" t="n">
        <v>8500</v>
      </c>
      <c r="L6499" s="6" t="n">
        <f aca="false">H6499*K6499</f>
        <v>8500</v>
      </c>
      <c r="M6499" s="4" t="s">
        <v>371</v>
      </c>
    </row>
    <row r="6500" customFormat="false" ht="15" hidden="false" customHeight="false" outlineLevel="0" collapsed="false">
      <c r="A6500" s="4" t="s">
        <v>346</v>
      </c>
      <c r="B6500" s="5" t="s">
        <v>365</v>
      </c>
      <c r="C6500" s="5" t="s">
        <v>366</v>
      </c>
      <c r="D6500" s="4" t="s">
        <v>16</v>
      </c>
      <c r="E6500" s="4" t="s">
        <v>7008</v>
      </c>
      <c r="F6500" s="4" t="s">
        <v>470</v>
      </c>
      <c r="G6500" s="4" t="s">
        <v>7009</v>
      </c>
      <c r="H6500" s="12" t="n">
        <v>1</v>
      </c>
      <c r="I6500" s="4" t="s">
        <v>408</v>
      </c>
      <c r="J6500" s="4" t="s">
        <v>416</v>
      </c>
      <c r="K6500" s="13" t="n">
        <v>850</v>
      </c>
      <c r="L6500" s="6" t="n">
        <f aca="false">H6500*K6500</f>
        <v>850</v>
      </c>
      <c r="M6500" s="4" t="s">
        <v>371</v>
      </c>
    </row>
    <row r="6501" customFormat="false" ht="15" hidden="false" customHeight="false" outlineLevel="0" collapsed="false">
      <c r="A6501" s="4" t="s">
        <v>346</v>
      </c>
      <c r="B6501" s="5" t="s">
        <v>365</v>
      </c>
      <c r="C6501" s="5" t="s">
        <v>366</v>
      </c>
      <c r="D6501" s="4" t="s">
        <v>16</v>
      </c>
      <c r="E6501" s="4" t="s">
        <v>7010</v>
      </c>
      <c r="F6501" s="4" t="s">
        <v>470</v>
      </c>
      <c r="G6501" s="4" t="s">
        <v>7011</v>
      </c>
      <c r="H6501" s="12" t="n">
        <v>1</v>
      </c>
      <c r="I6501" s="4" t="s">
        <v>408</v>
      </c>
      <c r="J6501" s="4" t="s">
        <v>416</v>
      </c>
      <c r="K6501" s="13" t="n">
        <v>850</v>
      </c>
      <c r="L6501" s="6" t="n">
        <f aca="false">H6501*K6501</f>
        <v>850</v>
      </c>
      <c r="M6501" s="4" t="s">
        <v>371</v>
      </c>
    </row>
    <row r="6502" customFormat="false" ht="15" hidden="false" customHeight="false" outlineLevel="0" collapsed="false">
      <c r="A6502" s="4" t="s">
        <v>346</v>
      </c>
      <c r="B6502" s="5" t="s">
        <v>365</v>
      </c>
      <c r="C6502" s="5" t="s">
        <v>366</v>
      </c>
      <c r="D6502" s="4" t="s">
        <v>16</v>
      </c>
      <c r="E6502" s="4" t="s">
        <v>7012</v>
      </c>
      <c r="F6502" s="4" t="s">
        <v>470</v>
      </c>
      <c r="G6502" s="4" t="s">
        <v>7013</v>
      </c>
      <c r="H6502" s="12" t="n">
        <v>1</v>
      </c>
      <c r="I6502" s="4" t="s">
        <v>408</v>
      </c>
      <c r="J6502" s="4" t="s">
        <v>416</v>
      </c>
      <c r="K6502" s="13" t="n">
        <v>850</v>
      </c>
      <c r="L6502" s="6" t="n">
        <f aca="false">H6502*K6502</f>
        <v>850</v>
      </c>
      <c r="M6502" s="4" t="s">
        <v>371</v>
      </c>
    </row>
    <row r="6503" customFormat="false" ht="15" hidden="false" customHeight="false" outlineLevel="0" collapsed="false">
      <c r="A6503" s="4" t="s">
        <v>346</v>
      </c>
      <c r="B6503" s="5" t="s">
        <v>365</v>
      </c>
      <c r="C6503" s="5" t="s">
        <v>366</v>
      </c>
      <c r="D6503" s="4" t="s">
        <v>16</v>
      </c>
      <c r="E6503" s="4" t="s">
        <v>7014</v>
      </c>
      <c r="F6503" s="4" t="s">
        <v>470</v>
      </c>
      <c r="G6503" s="4" t="s">
        <v>7015</v>
      </c>
      <c r="H6503" s="12" t="n">
        <v>1</v>
      </c>
      <c r="I6503" s="4" t="s">
        <v>408</v>
      </c>
      <c r="J6503" s="4" t="s">
        <v>416</v>
      </c>
      <c r="K6503" s="13" t="n">
        <v>1800</v>
      </c>
      <c r="L6503" s="6" t="n">
        <f aca="false">H6503*K6503</f>
        <v>1800</v>
      </c>
      <c r="M6503" s="4" t="s">
        <v>371</v>
      </c>
    </row>
    <row r="6504" customFormat="false" ht="15" hidden="false" customHeight="false" outlineLevel="0" collapsed="false">
      <c r="A6504" s="4" t="s">
        <v>346</v>
      </c>
      <c r="B6504" s="5" t="s">
        <v>365</v>
      </c>
      <c r="C6504" s="5" t="s">
        <v>366</v>
      </c>
      <c r="D6504" s="4" t="s">
        <v>16</v>
      </c>
      <c r="E6504" s="4" t="s">
        <v>7016</v>
      </c>
      <c r="F6504" s="4" t="s">
        <v>470</v>
      </c>
      <c r="G6504" s="4" t="s">
        <v>7017</v>
      </c>
      <c r="H6504" s="12" t="n">
        <v>1</v>
      </c>
      <c r="I6504" s="4" t="s">
        <v>408</v>
      </c>
      <c r="J6504" s="4" t="s">
        <v>416</v>
      </c>
      <c r="K6504" s="13" t="n">
        <v>850</v>
      </c>
      <c r="L6504" s="6" t="n">
        <f aca="false">H6504*K6504</f>
        <v>850</v>
      </c>
      <c r="M6504" s="4" t="s">
        <v>371</v>
      </c>
    </row>
    <row r="6505" customFormat="false" ht="15" hidden="false" customHeight="false" outlineLevel="0" collapsed="false">
      <c r="A6505" s="4" t="s">
        <v>346</v>
      </c>
      <c r="B6505" s="5" t="s">
        <v>365</v>
      </c>
      <c r="C6505" s="5" t="s">
        <v>366</v>
      </c>
      <c r="D6505" s="4" t="s">
        <v>16</v>
      </c>
      <c r="E6505" s="4" t="s">
        <v>7018</v>
      </c>
      <c r="F6505" s="4" t="s">
        <v>470</v>
      </c>
      <c r="G6505" s="4" t="s">
        <v>7019</v>
      </c>
      <c r="H6505" s="12" t="n">
        <v>1</v>
      </c>
      <c r="I6505" s="4" t="s">
        <v>408</v>
      </c>
      <c r="J6505" s="4" t="s">
        <v>416</v>
      </c>
      <c r="K6505" s="13" t="n">
        <v>4500</v>
      </c>
      <c r="L6505" s="6" t="n">
        <f aca="false">H6505*K6505</f>
        <v>4500</v>
      </c>
      <c r="M6505" s="4" t="s">
        <v>371</v>
      </c>
    </row>
    <row r="6506" customFormat="false" ht="15" hidden="false" customHeight="false" outlineLevel="0" collapsed="false">
      <c r="A6506" s="4" t="s">
        <v>346</v>
      </c>
      <c r="B6506" s="5" t="s">
        <v>365</v>
      </c>
      <c r="C6506" s="5" t="s">
        <v>366</v>
      </c>
      <c r="D6506" s="4" t="s">
        <v>16</v>
      </c>
      <c r="E6506" s="4" t="s">
        <v>7020</v>
      </c>
      <c r="F6506" s="4" t="s">
        <v>470</v>
      </c>
      <c r="G6506" s="4" t="s">
        <v>7021</v>
      </c>
      <c r="H6506" s="12" t="n">
        <v>1</v>
      </c>
      <c r="I6506" s="4" t="s">
        <v>408</v>
      </c>
      <c r="J6506" s="4" t="s">
        <v>416</v>
      </c>
      <c r="K6506" s="13" t="n">
        <v>1800</v>
      </c>
      <c r="L6506" s="6" t="n">
        <f aca="false">H6506*K6506</f>
        <v>1800</v>
      </c>
      <c r="M6506" s="4" t="s">
        <v>371</v>
      </c>
    </row>
    <row r="6507" customFormat="false" ht="15" hidden="false" customHeight="false" outlineLevel="0" collapsed="false">
      <c r="A6507" s="4" t="s">
        <v>346</v>
      </c>
      <c r="B6507" s="5" t="s">
        <v>365</v>
      </c>
      <c r="C6507" s="5" t="s">
        <v>366</v>
      </c>
      <c r="D6507" s="4" t="s">
        <v>16</v>
      </c>
      <c r="E6507" s="4" t="s">
        <v>7022</v>
      </c>
      <c r="F6507" s="4" t="s">
        <v>488</v>
      </c>
      <c r="G6507" s="4" t="s">
        <v>7023</v>
      </c>
      <c r="H6507" s="12" t="n">
        <v>1</v>
      </c>
      <c r="I6507" s="4" t="s">
        <v>408</v>
      </c>
      <c r="J6507" s="4" t="s">
        <v>416</v>
      </c>
      <c r="K6507" s="13" t="n">
        <v>650</v>
      </c>
      <c r="L6507" s="6" t="n">
        <f aca="false">H6507*K6507</f>
        <v>650</v>
      </c>
      <c r="M6507" s="4" t="s">
        <v>371</v>
      </c>
    </row>
    <row r="6508" customFormat="false" ht="15" hidden="false" customHeight="false" outlineLevel="0" collapsed="false">
      <c r="A6508" s="4" t="s">
        <v>346</v>
      </c>
      <c r="B6508" s="5" t="s">
        <v>365</v>
      </c>
      <c r="C6508" s="5" t="s">
        <v>366</v>
      </c>
      <c r="D6508" s="4" t="s">
        <v>16</v>
      </c>
      <c r="E6508" s="4" t="s">
        <v>7024</v>
      </c>
      <c r="F6508" s="4" t="s">
        <v>470</v>
      </c>
      <c r="G6508" s="4" t="s">
        <v>7025</v>
      </c>
      <c r="H6508" s="12" t="n">
        <v>1</v>
      </c>
      <c r="I6508" s="4" t="s">
        <v>408</v>
      </c>
      <c r="J6508" s="4" t="s">
        <v>416</v>
      </c>
      <c r="K6508" s="13" t="n">
        <v>850</v>
      </c>
      <c r="L6508" s="6" t="n">
        <f aca="false">H6508*K6508</f>
        <v>850</v>
      </c>
      <c r="M6508" s="4" t="s">
        <v>371</v>
      </c>
    </row>
    <row r="6509" customFormat="false" ht="15" hidden="false" customHeight="false" outlineLevel="0" collapsed="false">
      <c r="A6509" s="4" t="s">
        <v>346</v>
      </c>
      <c r="B6509" s="5" t="s">
        <v>365</v>
      </c>
      <c r="C6509" s="5" t="s">
        <v>366</v>
      </c>
      <c r="D6509" s="4" t="s">
        <v>16</v>
      </c>
      <c r="E6509" s="4" t="s">
        <v>7026</v>
      </c>
      <c r="F6509" s="4" t="s">
        <v>470</v>
      </c>
      <c r="G6509" s="4" t="s">
        <v>7027</v>
      </c>
      <c r="H6509" s="12" t="n">
        <v>1</v>
      </c>
      <c r="I6509" s="4" t="s">
        <v>408</v>
      </c>
      <c r="J6509" s="4" t="s">
        <v>416</v>
      </c>
      <c r="K6509" s="13" t="n">
        <v>250000</v>
      </c>
      <c r="L6509" s="6" t="n">
        <f aca="false">H6509*K6509</f>
        <v>250000</v>
      </c>
      <c r="M6509" s="4" t="s">
        <v>371</v>
      </c>
    </row>
    <row r="6510" customFormat="false" ht="15" hidden="false" customHeight="false" outlineLevel="0" collapsed="false">
      <c r="A6510" s="4" t="s">
        <v>346</v>
      </c>
      <c r="B6510" s="5" t="s">
        <v>365</v>
      </c>
      <c r="C6510" s="5" t="s">
        <v>366</v>
      </c>
      <c r="D6510" s="4" t="s">
        <v>16</v>
      </c>
      <c r="E6510" s="4" t="s">
        <v>7028</v>
      </c>
      <c r="F6510" s="4" t="s">
        <v>470</v>
      </c>
      <c r="G6510" s="4" t="s">
        <v>7029</v>
      </c>
      <c r="H6510" s="12" t="n">
        <v>1</v>
      </c>
      <c r="I6510" s="4" t="s">
        <v>408</v>
      </c>
      <c r="J6510" s="4" t="s">
        <v>416</v>
      </c>
      <c r="K6510" s="13" t="n">
        <v>2500</v>
      </c>
      <c r="L6510" s="6" t="n">
        <f aca="false">H6510*K6510</f>
        <v>2500</v>
      </c>
      <c r="M6510" s="4" t="s">
        <v>371</v>
      </c>
    </row>
    <row r="6511" customFormat="false" ht="15" hidden="false" customHeight="false" outlineLevel="0" collapsed="false">
      <c r="A6511" s="4" t="s">
        <v>346</v>
      </c>
      <c r="B6511" s="5" t="s">
        <v>365</v>
      </c>
      <c r="C6511" s="5" t="s">
        <v>366</v>
      </c>
      <c r="D6511" s="4" t="s">
        <v>16</v>
      </c>
      <c r="E6511" s="4" t="s">
        <v>7030</v>
      </c>
      <c r="F6511" s="4" t="s">
        <v>470</v>
      </c>
      <c r="G6511" s="4" t="s">
        <v>7031</v>
      </c>
      <c r="H6511" s="12" t="n">
        <v>1</v>
      </c>
      <c r="I6511" s="4" t="s">
        <v>408</v>
      </c>
      <c r="J6511" s="4" t="s">
        <v>416</v>
      </c>
      <c r="K6511" s="13" t="n">
        <v>4500</v>
      </c>
      <c r="L6511" s="6" t="n">
        <f aca="false">H6511*K6511</f>
        <v>4500</v>
      </c>
      <c r="M6511" s="4" t="s">
        <v>371</v>
      </c>
    </row>
    <row r="6512" customFormat="false" ht="15" hidden="false" customHeight="false" outlineLevel="0" collapsed="false">
      <c r="A6512" s="4" t="s">
        <v>346</v>
      </c>
      <c r="B6512" s="5" t="s">
        <v>365</v>
      </c>
      <c r="C6512" s="5" t="s">
        <v>366</v>
      </c>
      <c r="D6512" s="4" t="s">
        <v>16</v>
      </c>
      <c r="E6512" s="4" t="s">
        <v>7032</v>
      </c>
      <c r="F6512" s="4" t="s">
        <v>470</v>
      </c>
      <c r="G6512" s="4" t="s">
        <v>7033</v>
      </c>
      <c r="H6512" s="12" t="n">
        <v>1</v>
      </c>
      <c r="I6512" s="4" t="s">
        <v>408</v>
      </c>
      <c r="J6512" s="4" t="s">
        <v>416</v>
      </c>
      <c r="K6512" s="13" t="n">
        <v>4500</v>
      </c>
      <c r="L6512" s="6" t="n">
        <f aca="false">H6512*K6512</f>
        <v>4500</v>
      </c>
      <c r="M6512" s="4" t="s">
        <v>371</v>
      </c>
    </row>
    <row r="6513" customFormat="false" ht="15" hidden="false" customHeight="false" outlineLevel="0" collapsed="false">
      <c r="A6513" s="4" t="s">
        <v>346</v>
      </c>
      <c r="B6513" s="5" t="s">
        <v>365</v>
      </c>
      <c r="C6513" s="5" t="s">
        <v>366</v>
      </c>
      <c r="D6513" s="4" t="s">
        <v>16</v>
      </c>
      <c r="E6513" s="4" t="s">
        <v>7034</v>
      </c>
      <c r="F6513" s="4" t="s">
        <v>470</v>
      </c>
      <c r="G6513" s="4" t="s">
        <v>7035</v>
      </c>
      <c r="H6513" s="12" t="n">
        <v>1</v>
      </c>
      <c r="I6513" s="4" t="s">
        <v>408</v>
      </c>
      <c r="J6513" s="4" t="s">
        <v>416</v>
      </c>
      <c r="K6513" s="13" t="n">
        <v>850</v>
      </c>
      <c r="L6513" s="6" t="n">
        <f aca="false">H6513*K6513</f>
        <v>850</v>
      </c>
      <c r="M6513" s="4" t="s">
        <v>371</v>
      </c>
    </row>
    <row r="6514" customFormat="false" ht="15" hidden="false" customHeight="false" outlineLevel="0" collapsed="false">
      <c r="A6514" s="4" t="s">
        <v>367</v>
      </c>
      <c r="B6514" s="5" t="s">
        <v>368</v>
      </c>
      <c r="C6514" s="5" t="s">
        <v>369</v>
      </c>
      <c r="D6514" s="4" t="s">
        <v>370</v>
      </c>
      <c r="E6514" s="4" t="s">
        <v>2133</v>
      </c>
      <c r="F6514" s="4" t="s">
        <v>406</v>
      </c>
      <c r="G6514" s="4" t="s">
        <v>2134</v>
      </c>
      <c r="H6514" s="12" t="n">
        <v>15</v>
      </c>
      <c r="I6514" s="4" t="s">
        <v>7036</v>
      </c>
      <c r="J6514" s="4" t="s">
        <v>409</v>
      </c>
      <c r="K6514" s="13" t="n">
        <v>55000</v>
      </c>
      <c r="L6514" s="6" t="n">
        <f aca="false">H6514*K6514</f>
        <v>825000</v>
      </c>
      <c r="M6514" s="14" t="s">
        <v>410</v>
      </c>
    </row>
    <row r="6515" customFormat="false" ht="15" hidden="false" customHeight="false" outlineLevel="0" collapsed="false">
      <c r="A6515" s="4" t="s">
        <v>367</v>
      </c>
      <c r="B6515" s="5" t="s">
        <v>368</v>
      </c>
      <c r="C6515" s="5" t="s">
        <v>369</v>
      </c>
      <c r="D6515" s="4" t="s">
        <v>370</v>
      </c>
      <c r="E6515" s="4" t="s">
        <v>7037</v>
      </c>
      <c r="F6515" s="4" t="s">
        <v>406</v>
      </c>
      <c r="G6515" s="4" t="s">
        <v>7038</v>
      </c>
      <c r="H6515" s="12" t="n">
        <v>15</v>
      </c>
      <c r="I6515" s="4" t="s">
        <v>7036</v>
      </c>
      <c r="J6515" s="4" t="s">
        <v>413</v>
      </c>
      <c r="K6515" s="13" t="n">
        <v>25000</v>
      </c>
      <c r="L6515" s="6" t="n">
        <f aca="false">H6515*K6515</f>
        <v>375000</v>
      </c>
      <c r="M6515" s="14" t="s">
        <v>410</v>
      </c>
    </row>
    <row r="6516" customFormat="false" ht="15" hidden="false" customHeight="false" outlineLevel="0" collapsed="false">
      <c r="A6516" s="4" t="s">
        <v>367</v>
      </c>
      <c r="B6516" s="5" t="s">
        <v>368</v>
      </c>
      <c r="C6516" s="5" t="s">
        <v>369</v>
      </c>
      <c r="D6516" s="4" t="s">
        <v>370</v>
      </c>
      <c r="E6516" s="4" t="s">
        <v>7039</v>
      </c>
      <c r="F6516" s="4" t="s">
        <v>406</v>
      </c>
      <c r="G6516" s="4" t="s">
        <v>7040</v>
      </c>
      <c r="H6516" s="12" t="n">
        <v>1</v>
      </c>
      <c r="I6516" s="4" t="s">
        <v>7036</v>
      </c>
      <c r="J6516" s="4" t="s">
        <v>543</v>
      </c>
      <c r="K6516" s="13" t="n">
        <v>18000</v>
      </c>
      <c r="L6516" s="6" t="n">
        <f aca="false">H6516*K6516</f>
        <v>18000</v>
      </c>
      <c r="M6516" s="14" t="s">
        <v>410</v>
      </c>
    </row>
    <row r="6517" customFormat="false" ht="15" hidden="false" customHeight="false" outlineLevel="0" collapsed="false">
      <c r="A6517" s="4" t="s">
        <v>367</v>
      </c>
      <c r="B6517" s="5" t="s">
        <v>368</v>
      </c>
      <c r="C6517" s="5" t="s">
        <v>369</v>
      </c>
      <c r="D6517" s="4" t="s">
        <v>370</v>
      </c>
      <c r="E6517" s="4" t="s">
        <v>7041</v>
      </c>
      <c r="F6517" s="4" t="s">
        <v>470</v>
      </c>
      <c r="G6517" s="4" t="s">
        <v>7042</v>
      </c>
      <c r="H6517" s="12" t="n">
        <v>1</v>
      </c>
      <c r="I6517" s="4" t="s">
        <v>7036</v>
      </c>
      <c r="J6517" s="4" t="s">
        <v>543</v>
      </c>
      <c r="K6517" s="13" t="n">
        <v>4500</v>
      </c>
      <c r="L6517" s="6" t="n">
        <f aca="false">H6517*K6517</f>
        <v>4500</v>
      </c>
      <c r="M6517" s="14" t="s">
        <v>410</v>
      </c>
    </row>
    <row r="6518" customFormat="false" ht="15" hidden="false" customHeight="false" outlineLevel="0" collapsed="false">
      <c r="A6518" s="4" t="s">
        <v>367</v>
      </c>
      <c r="B6518" s="5" t="s">
        <v>368</v>
      </c>
      <c r="C6518" s="5" t="s">
        <v>369</v>
      </c>
      <c r="D6518" s="4" t="s">
        <v>370</v>
      </c>
      <c r="E6518" s="4" t="s">
        <v>7043</v>
      </c>
      <c r="F6518" s="4" t="s">
        <v>470</v>
      </c>
      <c r="G6518" s="4" t="s">
        <v>7044</v>
      </c>
      <c r="H6518" s="12" t="n">
        <v>15</v>
      </c>
      <c r="I6518" s="4" t="s">
        <v>7036</v>
      </c>
      <c r="J6518" s="4" t="s">
        <v>543</v>
      </c>
      <c r="K6518" s="13" t="n">
        <v>1800</v>
      </c>
      <c r="L6518" s="6" t="n">
        <f aca="false">H6518*K6518</f>
        <v>27000</v>
      </c>
      <c r="M6518" s="14" t="s">
        <v>410</v>
      </c>
    </row>
    <row r="6519" customFormat="false" ht="15" hidden="false" customHeight="false" outlineLevel="0" collapsed="false">
      <c r="A6519" s="4" t="s">
        <v>367</v>
      </c>
      <c r="B6519" s="5" t="s">
        <v>368</v>
      </c>
      <c r="C6519" s="5" t="s">
        <v>369</v>
      </c>
      <c r="D6519" s="4" t="s">
        <v>370</v>
      </c>
      <c r="E6519" s="4" t="s">
        <v>2183</v>
      </c>
      <c r="F6519" s="4" t="s">
        <v>406</v>
      </c>
      <c r="G6519" s="4" t="s">
        <v>2184</v>
      </c>
      <c r="H6519" s="12" t="n">
        <v>15</v>
      </c>
      <c r="I6519" s="4" t="s">
        <v>7036</v>
      </c>
      <c r="J6519" s="4" t="s">
        <v>409</v>
      </c>
      <c r="K6519" s="13" t="n">
        <v>8500</v>
      </c>
      <c r="L6519" s="6" t="n">
        <f aca="false">H6519*K6519</f>
        <v>127500</v>
      </c>
      <c r="M6519" s="14" t="s">
        <v>410</v>
      </c>
    </row>
    <row r="6520" customFormat="false" ht="15" hidden="false" customHeight="false" outlineLevel="0" collapsed="false">
      <c r="A6520" s="4" t="s">
        <v>367</v>
      </c>
      <c r="B6520" s="5" t="s">
        <v>368</v>
      </c>
      <c r="C6520" s="5" t="s">
        <v>369</v>
      </c>
      <c r="D6520" s="4" t="s">
        <v>370</v>
      </c>
      <c r="E6520" s="4" t="s">
        <v>1423</v>
      </c>
      <c r="F6520" s="4" t="s">
        <v>470</v>
      </c>
      <c r="G6520" s="4" t="s">
        <v>1424</v>
      </c>
      <c r="H6520" s="12" t="n">
        <v>1</v>
      </c>
      <c r="I6520" s="4" t="s">
        <v>7036</v>
      </c>
      <c r="J6520" s="4" t="s">
        <v>409</v>
      </c>
      <c r="K6520" s="13" t="n">
        <v>3500</v>
      </c>
      <c r="L6520" s="6" t="n">
        <f aca="false">H6520*K6520</f>
        <v>3500</v>
      </c>
      <c r="M6520" s="14" t="s">
        <v>410</v>
      </c>
    </row>
    <row r="6521" customFormat="false" ht="15" hidden="false" customHeight="false" outlineLevel="0" collapsed="false">
      <c r="A6521" s="4" t="s">
        <v>367</v>
      </c>
      <c r="B6521" s="5" t="s">
        <v>368</v>
      </c>
      <c r="C6521" s="5" t="s">
        <v>369</v>
      </c>
      <c r="D6521" s="4" t="s">
        <v>370</v>
      </c>
      <c r="E6521" s="4" t="s">
        <v>6212</v>
      </c>
      <c r="F6521" s="4" t="s">
        <v>470</v>
      </c>
      <c r="G6521" s="4" t="s">
        <v>6213</v>
      </c>
      <c r="H6521" s="12" t="n">
        <v>5</v>
      </c>
      <c r="I6521" s="4" t="s">
        <v>7036</v>
      </c>
      <c r="J6521" s="4" t="s">
        <v>416</v>
      </c>
      <c r="K6521" s="13" t="n">
        <v>850</v>
      </c>
      <c r="L6521" s="6" t="n">
        <f aca="false">H6521*K6521</f>
        <v>4250</v>
      </c>
      <c r="M6521" s="14" t="s">
        <v>410</v>
      </c>
    </row>
    <row r="6522" customFormat="false" ht="15" hidden="false" customHeight="false" outlineLevel="0" collapsed="false">
      <c r="A6522" s="4" t="s">
        <v>367</v>
      </c>
      <c r="B6522" s="5" t="s">
        <v>368</v>
      </c>
      <c r="C6522" s="5" t="s">
        <v>369</v>
      </c>
      <c r="D6522" s="4" t="s">
        <v>370</v>
      </c>
      <c r="E6522" s="4" t="s">
        <v>7045</v>
      </c>
      <c r="F6522" s="4" t="s">
        <v>488</v>
      </c>
      <c r="G6522" s="4" t="s">
        <v>7046</v>
      </c>
      <c r="H6522" s="12" t="n">
        <v>2</v>
      </c>
      <c r="I6522" s="4" t="s">
        <v>7036</v>
      </c>
      <c r="J6522" s="4" t="s">
        <v>543</v>
      </c>
      <c r="K6522" s="13" t="n">
        <v>350</v>
      </c>
      <c r="L6522" s="6" t="n">
        <f aca="false">H6522*K6522</f>
        <v>700</v>
      </c>
      <c r="M6522" s="14" t="s">
        <v>410</v>
      </c>
    </row>
    <row r="6523" customFormat="false" ht="15" hidden="false" customHeight="false" outlineLevel="0" collapsed="false">
      <c r="A6523" s="4" t="s">
        <v>367</v>
      </c>
      <c r="B6523" s="5" t="s">
        <v>368</v>
      </c>
      <c r="C6523" s="5" t="s">
        <v>369</v>
      </c>
      <c r="D6523" s="4" t="s">
        <v>370</v>
      </c>
      <c r="E6523" s="4" t="s">
        <v>7047</v>
      </c>
      <c r="F6523" s="4" t="s">
        <v>488</v>
      </c>
      <c r="G6523" s="4" t="s">
        <v>7048</v>
      </c>
      <c r="H6523" s="12" t="n">
        <v>1</v>
      </c>
      <c r="I6523" s="4" t="s">
        <v>7036</v>
      </c>
      <c r="J6523" s="4" t="s">
        <v>7049</v>
      </c>
      <c r="K6523" s="13" t="n">
        <v>500</v>
      </c>
      <c r="L6523" s="6" t="n">
        <f aca="false">H6523*K6523</f>
        <v>500</v>
      </c>
      <c r="M6523" s="14" t="s">
        <v>410</v>
      </c>
    </row>
    <row r="6524" customFormat="false" ht="15" hidden="false" customHeight="false" outlineLevel="0" collapsed="false">
      <c r="A6524" s="4" t="s">
        <v>367</v>
      </c>
      <c r="B6524" s="5" t="s">
        <v>368</v>
      </c>
      <c r="C6524" s="5" t="s">
        <v>369</v>
      </c>
      <c r="D6524" s="4" t="s">
        <v>370</v>
      </c>
      <c r="E6524" s="4" t="s">
        <v>7050</v>
      </c>
      <c r="F6524" s="4" t="s">
        <v>470</v>
      </c>
      <c r="G6524" s="4" t="s">
        <v>4613</v>
      </c>
      <c r="H6524" s="12" t="n">
        <v>15</v>
      </c>
      <c r="I6524" s="4" t="s">
        <v>7036</v>
      </c>
      <c r="J6524" s="4" t="s">
        <v>543</v>
      </c>
      <c r="K6524" s="13" t="n">
        <v>1200</v>
      </c>
      <c r="L6524" s="6" t="n">
        <f aca="false">H6524*K6524</f>
        <v>18000</v>
      </c>
      <c r="M6524" s="14" t="s">
        <v>410</v>
      </c>
    </row>
    <row r="6525" customFormat="false" ht="15" hidden="false" customHeight="false" outlineLevel="0" collapsed="false">
      <c r="A6525" s="4" t="s">
        <v>367</v>
      </c>
      <c r="B6525" s="5" t="s">
        <v>368</v>
      </c>
      <c r="C6525" s="5" t="s">
        <v>369</v>
      </c>
      <c r="D6525" s="4" t="s">
        <v>370</v>
      </c>
      <c r="E6525" s="4" t="s">
        <v>7051</v>
      </c>
      <c r="F6525" s="4" t="s">
        <v>406</v>
      </c>
      <c r="G6525" s="4" t="s">
        <v>7052</v>
      </c>
      <c r="H6525" s="12" t="n">
        <v>1</v>
      </c>
      <c r="I6525" s="4" t="s">
        <v>7036</v>
      </c>
      <c r="J6525" s="4" t="s">
        <v>543</v>
      </c>
      <c r="K6525" s="13" t="n">
        <v>3500</v>
      </c>
      <c r="L6525" s="6" t="n">
        <f aca="false">H6525*K6525</f>
        <v>3500</v>
      </c>
      <c r="M6525" s="14" t="s">
        <v>410</v>
      </c>
    </row>
    <row r="6526" customFormat="false" ht="15" hidden="false" customHeight="false" outlineLevel="0" collapsed="false">
      <c r="A6526" s="4" t="s">
        <v>367</v>
      </c>
      <c r="B6526" s="5" t="s">
        <v>368</v>
      </c>
      <c r="C6526" s="5" t="s">
        <v>369</v>
      </c>
      <c r="D6526" s="4" t="s">
        <v>370</v>
      </c>
      <c r="E6526" s="4" t="s">
        <v>1089</v>
      </c>
      <c r="F6526" s="4" t="s">
        <v>470</v>
      </c>
      <c r="G6526" s="4" t="s">
        <v>1090</v>
      </c>
      <c r="H6526" s="12" t="n">
        <v>1</v>
      </c>
      <c r="I6526" s="4" t="s">
        <v>7036</v>
      </c>
      <c r="J6526" s="4" t="s">
        <v>409</v>
      </c>
      <c r="K6526" s="13" t="n">
        <v>3500</v>
      </c>
      <c r="L6526" s="6" t="n">
        <f aca="false">H6526*K6526</f>
        <v>3500</v>
      </c>
      <c r="M6526" s="14" t="s">
        <v>410</v>
      </c>
    </row>
    <row r="6527" customFormat="false" ht="15" hidden="false" customHeight="false" outlineLevel="0" collapsed="false">
      <c r="A6527" s="4" t="s">
        <v>367</v>
      </c>
      <c r="B6527" s="5" t="s">
        <v>368</v>
      </c>
      <c r="C6527" s="5" t="s">
        <v>369</v>
      </c>
      <c r="D6527" s="4" t="s">
        <v>370</v>
      </c>
      <c r="E6527" s="4" t="s">
        <v>7053</v>
      </c>
      <c r="F6527" s="4" t="s">
        <v>470</v>
      </c>
      <c r="G6527" s="4" t="s">
        <v>7054</v>
      </c>
      <c r="H6527" s="12" t="n">
        <v>15</v>
      </c>
      <c r="I6527" s="4" t="s">
        <v>7036</v>
      </c>
      <c r="J6527" s="4" t="s">
        <v>7055</v>
      </c>
      <c r="K6527" s="13" t="n">
        <v>8000</v>
      </c>
      <c r="L6527" s="6" t="n">
        <f aca="false">H6527*K6527</f>
        <v>120000</v>
      </c>
      <c r="M6527" s="14" t="s">
        <v>410</v>
      </c>
    </row>
    <row r="6528" customFormat="false" ht="15" hidden="false" customHeight="false" outlineLevel="0" collapsed="false">
      <c r="A6528" s="4" t="s">
        <v>367</v>
      </c>
      <c r="B6528" s="5" t="s">
        <v>368</v>
      </c>
      <c r="C6528" s="5" t="s">
        <v>369</v>
      </c>
      <c r="D6528" s="4" t="s">
        <v>370</v>
      </c>
      <c r="E6528" s="4" t="s">
        <v>2187</v>
      </c>
      <c r="F6528" s="4" t="s">
        <v>406</v>
      </c>
      <c r="G6528" s="4" t="s">
        <v>2188</v>
      </c>
      <c r="H6528" s="12" t="n">
        <v>1</v>
      </c>
      <c r="I6528" s="4" t="s">
        <v>7036</v>
      </c>
      <c r="J6528" s="4" t="s">
        <v>409</v>
      </c>
      <c r="K6528" s="13" t="n">
        <v>8500</v>
      </c>
      <c r="L6528" s="6" t="n">
        <f aca="false">H6528*K6528</f>
        <v>8500</v>
      </c>
      <c r="M6528" s="14" t="s">
        <v>410</v>
      </c>
    </row>
    <row r="6529" customFormat="false" ht="15" hidden="false" customHeight="false" outlineLevel="0" collapsed="false">
      <c r="A6529" s="4" t="s">
        <v>367</v>
      </c>
      <c r="B6529" s="5" t="s">
        <v>368</v>
      </c>
      <c r="C6529" s="5" t="s">
        <v>369</v>
      </c>
      <c r="D6529" s="4" t="s">
        <v>370</v>
      </c>
      <c r="E6529" s="4" t="s">
        <v>5516</v>
      </c>
      <c r="F6529" s="4" t="s">
        <v>406</v>
      </c>
      <c r="G6529" s="4" t="s">
        <v>5517</v>
      </c>
      <c r="H6529" s="12" t="n">
        <v>1</v>
      </c>
      <c r="I6529" s="4" t="s">
        <v>7036</v>
      </c>
      <c r="J6529" s="4" t="s">
        <v>409</v>
      </c>
      <c r="K6529" s="13" t="n">
        <v>180000</v>
      </c>
      <c r="L6529" s="6" t="n">
        <f aca="false">H6529*K6529</f>
        <v>180000</v>
      </c>
      <c r="M6529" s="14" t="s">
        <v>410</v>
      </c>
    </row>
    <row r="6530" customFormat="false" ht="15" hidden="false" customHeight="false" outlineLevel="0" collapsed="false">
      <c r="A6530" s="4" t="s">
        <v>367</v>
      </c>
      <c r="B6530" s="5" t="s">
        <v>372</v>
      </c>
      <c r="C6530" s="5" t="s">
        <v>373</v>
      </c>
      <c r="D6530" s="4" t="s">
        <v>370</v>
      </c>
      <c r="E6530" s="4" t="s">
        <v>7056</v>
      </c>
      <c r="F6530" s="4" t="s">
        <v>406</v>
      </c>
      <c r="G6530" s="4" t="s">
        <v>7057</v>
      </c>
      <c r="H6530" s="12" t="n">
        <v>10</v>
      </c>
      <c r="I6530" s="4" t="s">
        <v>7036</v>
      </c>
      <c r="J6530" s="4" t="s">
        <v>543</v>
      </c>
      <c r="K6530" s="13" t="n">
        <v>35000</v>
      </c>
      <c r="L6530" s="6" t="n">
        <f aca="false">H6530*K6530</f>
        <v>350000</v>
      </c>
      <c r="M6530" s="14" t="s">
        <v>410</v>
      </c>
    </row>
    <row r="6531" customFormat="false" ht="15" hidden="false" customHeight="false" outlineLevel="0" collapsed="false">
      <c r="A6531" s="4" t="s">
        <v>367</v>
      </c>
      <c r="B6531" s="5" t="s">
        <v>372</v>
      </c>
      <c r="C6531" s="5" t="s">
        <v>373</v>
      </c>
      <c r="D6531" s="4" t="s">
        <v>370</v>
      </c>
      <c r="E6531" s="4" t="s">
        <v>7058</v>
      </c>
      <c r="F6531" s="4" t="s">
        <v>406</v>
      </c>
      <c r="G6531" s="4" t="s">
        <v>7059</v>
      </c>
      <c r="H6531" s="12" t="n">
        <v>10</v>
      </c>
      <c r="I6531" s="4" t="s">
        <v>7036</v>
      </c>
      <c r="J6531" s="4" t="s">
        <v>543</v>
      </c>
      <c r="K6531" s="13" t="n">
        <v>12000</v>
      </c>
      <c r="L6531" s="6" t="n">
        <f aca="false">H6531*K6531</f>
        <v>120000</v>
      </c>
      <c r="M6531" s="14" t="s">
        <v>410</v>
      </c>
    </row>
    <row r="6532" customFormat="false" ht="15" hidden="false" customHeight="false" outlineLevel="0" collapsed="false">
      <c r="A6532" s="4" t="s">
        <v>367</v>
      </c>
      <c r="B6532" s="5" t="s">
        <v>372</v>
      </c>
      <c r="C6532" s="5" t="s">
        <v>373</v>
      </c>
      <c r="D6532" s="4" t="s">
        <v>370</v>
      </c>
      <c r="E6532" s="4" t="s">
        <v>5965</v>
      </c>
      <c r="F6532" s="4" t="s">
        <v>406</v>
      </c>
      <c r="G6532" s="4" t="s">
        <v>5966</v>
      </c>
      <c r="H6532" s="12" t="n">
        <v>10</v>
      </c>
      <c r="I6532" s="4" t="s">
        <v>7036</v>
      </c>
      <c r="J6532" s="4" t="s">
        <v>409</v>
      </c>
      <c r="K6532" s="13" t="n">
        <v>4500</v>
      </c>
      <c r="L6532" s="6" t="n">
        <f aca="false">H6532*K6532</f>
        <v>45000</v>
      </c>
      <c r="M6532" s="14" t="s">
        <v>410</v>
      </c>
    </row>
    <row r="6533" customFormat="false" ht="15" hidden="false" customHeight="false" outlineLevel="0" collapsed="false">
      <c r="A6533" s="4" t="s">
        <v>367</v>
      </c>
      <c r="B6533" s="5" t="s">
        <v>372</v>
      </c>
      <c r="C6533" s="5" t="s">
        <v>373</v>
      </c>
      <c r="D6533" s="4" t="s">
        <v>370</v>
      </c>
      <c r="E6533" s="4" t="s">
        <v>7060</v>
      </c>
      <c r="F6533" s="4" t="s">
        <v>406</v>
      </c>
      <c r="G6533" s="4" t="s">
        <v>7061</v>
      </c>
      <c r="H6533" s="12" t="n">
        <v>10</v>
      </c>
      <c r="I6533" s="4" t="s">
        <v>7036</v>
      </c>
      <c r="J6533" s="4" t="s">
        <v>413</v>
      </c>
      <c r="K6533" s="13" t="n">
        <v>3500</v>
      </c>
      <c r="L6533" s="6" t="n">
        <f aca="false">H6533*K6533</f>
        <v>35000</v>
      </c>
      <c r="M6533" s="14" t="s">
        <v>410</v>
      </c>
    </row>
    <row r="6534" customFormat="false" ht="15" hidden="false" customHeight="false" outlineLevel="0" collapsed="false">
      <c r="A6534" s="4" t="s">
        <v>367</v>
      </c>
      <c r="B6534" s="5" t="s">
        <v>372</v>
      </c>
      <c r="C6534" s="5" t="s">
        <v>373</v>
      </c>
      <c r="D6534" s="4" t="s">
        <v>370</v>
      </c>
      <c r="E6534" s="4" t="s">
        <v>7062</v>
      </c>
      <c r="F6534" s="4" t="s">
        <v>406</v>
      </c>
      <c r="G6534" s="4" t="s">
        <v>7063</v>
      </c>
      <c r="H6534" s="12" t="n">
        <v>10</v>
      </c>
      <c r="I6534" s="4" t="s">
        <v>7036</v>
      </c>
      <c r="J6534" s="4" t="s">
        <v>413</v>
      </c>
      <c r="K6534" s="13" t="n">
        <v>2500</v>
      </c>
      <c r="L6534" s="6" t="n">
        <f aca="false">H6534*K6534</f>
        <v>25000</v>
      </c>
      <c r="M6534" s="14" t="s">
        <v>410</v>
      </c>
    </row>
    <row r="6535" customFormat="false" ht="15" hidden="false" customHeight="false" outlineLevel="0" collapsed="false">
      <c r="A6535" s="4" t="s">
        <v>367</v>
      </c>
      <c r="B6535" s="5" t="s">
        <v>372</v>
      </c>
      <c r="C6535" s="5" t="s">
        <v>373</v>
      </c>
      <c r="D6535" s="4" t="s">
        <v>370</v>
      </c>
      <c r="E6535" s="4" t="s">
        <v>7064</v>
      </c>
      <c r="F6535" s="4" t="s">
        <v>406</v>
      </c>
      <c r="G6535" s="4" t="s">
        <v>7065</v>
      </c>
      <c r="H6535" s="12" t="n">
        <v>1</v>
      </c>
      <c r="I6535" s="4" t="s">
        <v>7036</v>
      </c>
      <c r="J6535" s="4" t="s">
        <v>543</v>
      </c>
      <c r="K6535" s="13" t="n">
        <v>55000</v>
      </c>
      <c r="L6535" s="6" t="n">
        <f aca="false">H6535*K6535</f>
        <v>55000</v>
      </c>
      <c r="M6535" s="14" t="s">
        <v>410</v>
      </c>
    </row>
    <row r="6536" customFormat="false" ht="15" hidden="false" customHeight="false" outlineLevel="0" collapsed="false">
      <c r="A6536" s="4" t="s">
        <v>367</v>
      </c>
      <c r="B6536" s="5" t="s">
        <v>372</v>
      </c>
      <c r="C6536" s="5" t="s">
        <v>373</v>
      </c>
      <c r="D6536" s="4" t="s">
        <v>370</v>
      </c>
      <c r="E6536" s="4" t="s">
        <v>1697</v>
      </c>
      <c r="F6536" s="4" t="s">
        <v>406</v>
      </c>
      <c r="G6536" s="4" t="s">
        <v>1698</v>
      </c>
      <c r="H6536" s="12" t="n">
        <v>1</v>
      </c>
      <c r="I6536" s="4" t="s">
        <v>7036</v>
      </c>
      <c r="J6536" s="4" t="s">
        <v>409</v>
      </c>
      <c r="K6536" s="13" t="n">
        <v>45000</v>
      </c>
      <c r="L6536" s="6" t="n">
        <f aca="false">H6536*K6536</f>
        <v>45000</v>
      </c>
      <c r="M6536" s="14" t="s">
        <v>410</v>
      </c>
    </row>
    <row r="6537" customFormat="false" ht="15" hidden="false" customHeight="false" outlineLevel="0" collapsed="false">
      <c r="A6537" s="4" t="s">
        <v>367</v>
      </c>
      <c r="B6537" s="5" t="s">
        <v>372</v>
      </c>
      <c r="C6537" s="5" t="s">
        <v>373</v>
      </c>
      <c r="D6537" s="4" t="s">
        <v>370</v>
      </c>
      <c r="E6537" s="4" t="s">
        <v>7066</v>
      </c>
      <c r="F6537" s="4" t="s">
        <v>406</v>
      </c>
      <c r="G6537" s="4" t="s">
        <v>7067</v>
      </c>
      <c r="H6537" s="12" t="n">
        <v>1</v>
      </c>
      <c r="I6537" s="4" t="s">
        <v>7036</v>
      </c>
      <c r="J6537" s="4" t="s">
        <v>543</v>
      </c>
      <c r="K6537" s="13" t="n">
        <v>1500</v>
      </c>
      <c r="L6537" s="6" t="n">
        <f aca="false">H6537*K6537</f>
        <v>1500</v>
      </c>
      <c r="M6537" s="14" t="s">
        <v>410</v>
      </c>
    </row>
    <row r="6538" customFormat="false" ht="15" hidden="false" customHeight="false" outlineLevel="0" collapsed="false">
      <c r="A6538" s="4" t="s">
        <v>367</v>
      </c>
      <c r="B6538" s="5" t="s">
        <v>372</v>
      </c>
      <c r="C6538" s="5" t="s">
        <v>373</v>
      </c>
      <c r="D6538" s="4" t="s">
        <v>370</v>
      </c>
      <c r="E6538" s="4" t="s">
        <v>7068</v>
      </c>
      <c r="F6538" s="4" t="s">
        <v>470</v>
      </c>
      <c r="G6538" s="4" t="s">
        <v>7069</v>
      </c>
      <c r="H6538" s="12" t="n">
        <v>10</v>
      </c>
      <c r="I6538" s="4" t="s">
        <v>7036</v>
      </c>
      <c r="J6538" s="4" t="s">
        <v>543</v>
      </c>
      <c r="K6538" s="13" t="n">
        <v>9000</v>
      </c>
      <c r="L6538" s="6" t="n">
        <f aca="false">H6538*K6538</f>
        <v>90000</v>
      </c>
      <c r="M6538" s="14" t="s">
        <v>410</v>
      </c>
    </row>
    <row r="6539" customFormat="false" ht="15" hidden="false" customHeight="false" outlineLevel="0" collapsed="false">
      <c r="A6539" s="4" t="s">
        <v>367</v>
      </c>
      <c r="B6539" s="5" t="s">
        <v>372</v>
      </c>
      <c r="C6539" s="5" t="s">
        <v>373</v>
      </c>
      <c r="D6539" s="4" t="s">
        <v>370</v>
      </c>
      <c r="E6539" s="4" t="s">
        <v>7070</v>
      </c>
      <c r="F6539" s="4" t="s">
        <v>470</v>
      </c>
      <c r="G6539" s="4" t="s">
        <v>7071</v>
      </c>
      <c r="H6539" s="12" t="n">
        <v>10</v>
      </c>
      <c r="I6539" s="4" t="s">
        <v>7036</v>
      </c>
      <c r="J6539" s="4" t="s">
        <v>543</v>
      </c>
      <c r="K6539" s="13" t="n">
        <v>4500</v>
      </c>
      <c r="L6539" s="6" t="n">
        <f aca="false">H6539*K6539</f>
        <v>45000</v>
      </c>
      <c r="M6539" s="14" t="s">
        <v>410</v>
      </c>
    </row>
    <row r="6540" customFormat="false" ht="15" hidden="false" customHeight="false" outlineLevel="0" collapsed="false">
      <c r="A6540" s="4" t="s">
        <v>367</v>
      </c>
      <c r="B6540" s="5" t="s">
        <v>372</v>
      </c>
      <c r="C6540" s="5" t="s">
        <v>373</v>
      </c>
      <c r="D6540" s="4" t="s">
        <v>370</v>
      </c>
      <c r="E6540" s="4" t="s">
        <v>7072</v>
      </c>
      <c r="F6540" s="4" t="s">
        <v>470</v>
      </c>
      <c r="G6540" s="4" t="s">
        <v>7073</v>
      </c>
      <c r="H6540" s="12" t="n">
        <v>1</v>
      </c>
      <c r="I6540" s="4" t="s">
        <v>7036</v>
      </c>
      <c r="J6540" s="4" t="s">
        <v>543</v>
      </c>
      <c r="K6540" s="13" t="n">
        <v>9000</v>
      </c>
      <c r="L6540" s="6" t="n">
        <f aca="false">H6540*K6540</f>
        <v>9000</v>
      </c>
      <c r="M6540" s="14" t="s">
        <v>410</v>
      </c>
    </row>
    <row r="6541" customFormat="false" ht="15" hidden="false" customHeight="false" outlineLevel="0" collapsed="false">
      <c r="A6541" s="4" t="s">
        <v>367</v>
      </c>
      <c r="B6541" s="5" t="s">
        <v>372</v>
      </c>
      <c r="C6541" s="5" t="s">
        <v>373</v>
      </c>
      <c r="D6541" s="4" t="s">
        <v>370</v>
      </c>
      <c r="E6541" s="4" t="s">
        <v>2014</v>
      </c>
      <c r="F6541" s="4" t="s">
        <v>470</v>
      </c>
      <c r="G6541" s="4" t="s">
        <v>2015</v>
      </c>
      <c r="H6541" s="12" t="n">
        <v>2</v>
      </c>
      <c r="I6541" s="4" t="s">
        <v>7036</v>
      </c>
      <c r="J6541" s="4" t="s">
        <v>409</v>
      </c>
      <c r="K6541" s="13" t="n">
        <v>8500</v>
      </c>
      <c r="L6541" s="6" t="n">
        <f aca="false">H6541*K6541</f>
        <v>17000</v>
      </c>
      <c r="M6541" s="14" t="s">
        <v>410</v>
      </c>
    </row>
    <row r="6542" customFormat="false" ht="15" hidden="false" customHeight="false" outlineLevel="0" collapsed="false">
      <c r="A6542" s="4" t="s">
        <v>367</v>
      </c>
      <c r="B6542" s="5" t="s">
        <v>372</v>
      </c>
      <c r="C6542" s="5" t="s">
        <v>373</v>
      </c>
      <c r="D6542" s="4" t="s">
        <v>370</v>
      </c>
      <c r="E6542" s="4" t="s">
        <v>7074</v>
      </c>
      <c r="F6542" s="4" t="s">
        <v>470</v>
      </c>
      <c r="G6542" s="4" t="s">
        <v>7075</v>
      </c>
      <c r="H6542" s="12" t="n">
        <v>1</v>
      </c>
      <c r="I6542" s="4" t="s">
        <v>7036</v>
      </c>
      <c r="J6542" s="4" t="s">
        <v>7076</v>
      </c>
      <c r="K6542" s="13" t="n">
        <v>300</v>
      </c>
      <c r="L6542" s="6" t="n">
        <f aca="false">H6542*K6542</f>
        <v>300</v>
      </c>
      <c r="M6542" s="14" t="s">
        <v>410</v>
      </c>
    </row>
    <row r="6543" customFormat="false" ht="15" hidden="false" customHeight="false" outlineLevel="0" collapsed="false">
      <c r="A6543" s="4" t="s">
        <v>367</v>
      </c>
      <c r="B6543" s="5" t="s">
        <v>372</v>
      </c>
      <c r="C6543" s="5" t="s">
        <v>373</v>
      </c>
      <c r="D6543" s="4" t="s">
        <v>370</v>
      </c>
      <c r="E6543" s="4" t="s">
        <v>7077</v>
      </c>
      <c r="F6543" s="4" t="s">
        <v>470</v>
      </c>
      <c r="G6543" s="4" t="s">
        <v>7078</v>
      </c>
      <c r="H6543" s="12" t="n">
        <v>1</v>
      </c>
      <c r="I6543" s="4" t="s">
        <v>7036</v>
      </c>
      <c r="J6543" s="4" t="s">
        <v>7076</v>
      </c>
      <c r="K6543" s="13" t="n">
        <v>300</v>
      </c>
      <c r="L6543" s="6" t="n">
        <f aca="false">H6543*K6543</f>
        <v>300</v>
      </c>
      <c r="M6543" s="14" t="s">
        <v>410</v>
      </c>
    </row>
    <row r="6544" customFormat="false" ht="15" hidden="false" customHeight="false" outlineLevel="0" collapsed="false">
      <c r="A6544" s="4" t="s">
        <v>367</v>
      </c>
      <c r="B6544" s="5" t="s">
        <v>372</v>
      </c>
      <c r="C6544" s="5" t="s">
        <v>373</v>
      </c>
      <c r="D6544" s="4" t="s">
        <v>370</v>
      </c>
      <c r="E6544" s="4" t="s">
        <v>7079</v>
      </c>
      <c r="F6544" s="4" t="s">
        <v>470</v>
      </c>
      <c r="G6544" s="4" t="s">
        <v>7080</v>
      </c>
      <c r="H6544" s="12" t="n">
        <v>1</v>
      </c>
      <c r="I6544" s="4" t="s">
        <v>7036</v>
      </c>
      <c r="J6544" s="4" t="s">
        <v>7076</v>
      </c>
      <c r="K6544" s="13" t="n">
        <v>300</v>
      </c>
      <c r="L6544" s="6" t="n">
        <f aca="false">H6544*K6544</f>
        <v>300</v>
      </c>
      <c r="M6544" s="14" t="s">
        <v>410</v>
      </c>
    </row>
    <row r="6545" customFormat="false" ht="15" hidden="false" customHeight="false" outlineLevel="0" collapsed="false">
      <c r="A6545" s="4" t="s">
        <v>367</v>
      </c>
      <c r="B6545" s="5" t="s">
        <v>372</v>
      </c>
      <c r="C6545" s="5" t="s">
        <v>373</v>
      </c>
      <c r="D6545" s="4" t="s">
        <v>370</v>
      </c>
      <c r="E6545" s="4" t="s">
        <v>7081</v>
      </c>
      <c r="F6545" s="4" t="s">
        <v>470</v>
      </c>
      <c r="G6545" s="4" t="s">
        <v>7082</v>
      </c>
      <c r="H6545" s="12" t="n">
        <v>1</v>
      </c>
      <c r="I6545" s="4" t="s">
        <v>7036</v>
      </c>
      <c r="J6545" s="4" t="s">
        <v>7076</v>
      </c>
      <c r="K6545" s="13" t="n">
        <v>300</v>
      </c>
      <c r="L6545" s="6" t="n">
        <f aca="false">H6545*K6545</f>
        <v>300</v>
      </c>
      <c r="M6545" s="14" t="s">
        <v>410</v>
      </c>
    </row>
    <row r="6546" customFormat="false" ht="15" hidden="false" customHeight="false" outlineLevel="0" collapsed="false">
      <c r="A6546" s="4" t="s">
        <v>367</v>
      </c>
      <c r="B6546" s="5" t="s">
        <v>372</v>
      </c>
      <c r="C6546" s="5" t="s">
        <v>373</v>
      </c>
      <c r="D6546" s="4" t="s">
        <v>370</v>
      </c>
      <c r="E6546" s="4" t="s">
        <v>7083</v>
      </c>
      <c r="F6546" s="4" t="s">
        <v>470</v>
      </c>
      <c r="G6546" s="4" t="s">
        <v>7084</v>
      </c>
      <c r="H6546" s="12" t="n">
        <v>1</v>
      </c>
      <c r="I6546" s="4" t="s">
        <v>7036</v>
      </c>
      <c r="J6546" s="4" t="s">
        <v>7076</v>
      </c>
      <c r="K6546" s="13" t="n">
        <v>300</v>
      </c>
      <c r="L6546" s="6" t="n">
        <f aca="false">H6546*K6546</f>
        <v>300</v>
      </c>
      <c r="M6546" s="14" t="s">
        <v>410</v>
      </c>
    </row>
    <row r="6547" customFormat="false" ht="15" hidden="false" customHeight="false" outlineLevel="0" collapsed="false">
      <c r="A6547" s="4" t="s">
        <v>367</v>
      </c>
      <c r="B6547" s="5" t="s">
        <v>372</v>
      </c>
      <c r="C6547" s="5" t="s">
        <v>373</v>
      </c>
      <c r="D6547" s="4" t="s">
        <v>370</v>
      </c>
      <c r="E6547" s="4" t="s">
        <v>7085</v>
      </c>
      <c r="F6547" s="4" t="s">
        <v>470</v>
      </c>
      <c r="G6547" s="4" t="s">
        <v>7086</v>
      </c>
      <c r="H6547" s="12" t="n">
        <v>1</v>
      </c>
      <c r="I6547" s="4" t="s">
        <v>7036</v>
      </c>
      <c r="J6547" s="4" t="s">
        <v>7076</v>
      </c>
      <c r="K6547" s="13" t="n">
        <v>300</v>
      </c>
      <c r="L6547" s="6" t="n">
        <f aca="false">H6547*K6547</f>
        <v>300</v>
      </c>
      <c r="M6547" s="14" t="s">
        <v>410</v>
      </c>
    </row>
    <row r="6548" customFormat="false" ht="15" hidden="false" customHeight="false" outlineLevel="0" collapsed="false">
      <c r="A6548" s="4" t="s">
        <v>367</v>
      </c>
      <c r="B6548" s="5" t="s">
        <v>372</v>
      </c>
      <c r="C6548" s="5" t="s">
        <v>373</v>
      </c>
      <c r="D6548" s="4" t="s">
        <v>370</v>
      </c>
      <c r="E6548" s="4" t="s">
        <v>7087</v>
      </c>
      <c r="F6548" s="4" t="s">
        <v>470</v>
      </c>
      <c r="G6548" s="4" t="s">
        <v>7088</v>
      </c>
      <c r="H6548" s="12" t="n">
        <v>1</v>
      </c>
      <c r="I6548" s="4" t="s">
        <v>7036</v>
      </c>
      <c r="J6548" s="4" t="s">
        <v>7055</v>
      </c>
      <c r="K6548" s="13" t="n">
        <v>75000</v>
      </c>
      <c r="L6548" s="6" t="n">
        <f aca="false">H6548*K6548</f>
        <v>75000</v>
      </c>
      <c r="M6548" s="14" t="s">
        <v>410</v>
      </c>
    </row>
    <row r="6549" customFormat="false" ht="15" hidden="false" customHeight="false" outlineLevel="0" collapsed="false">
      <c r="A6549" s="4" t="s">
        <v>367</v>
      </c>
      <c r="B6549" s="5" t="s">
        <v>372</v>
      </c>
      <c r="C6549" s="5" t="s">
        <v>373</v>
      </c>
      <c r="D6549" s="4" t="s">
        <v>370</v>
      </c>
      <c r="E6549" s="4" t="s">
        <v>7089</v>
      </c>
      <c r="F6549" s="4" t="s">
        <v>470</v>
      </c>
      <c r="G6549" s="4" t="s">
        <v>7090</v>
      </c>
      <c r="H6549" s="12" t="n">
        <v>1</v>
      </c>
      <c r="I6549" s="4" t="s">
        <v>7036</v>
      </c>
      <c r="J6549" s="4" t="s">
        <v>7055</v>
      </c>
      <c r="K6549" s="13" t="n">
        <v>75000</v>
      </c>
      <c r="L6549" s="6" t="n">
        <f aca="false">H6549*K6549</f>
        <v>75000</v>
      </c>
      <c r="M6549" s="14" t="s">
        <v>410</v>
      </c>
    </row>
    <row r="6550" customFormat="false" ht="23.85" hidden="false" customHeight="false" outlineLevel="0" collapsed="false">
      <c r="A6550" s="4" t="s">
        <v>367</v>
      </c>
      <c r="B6550" s="5" t="s">
        <v>374</v>
      </c>
      <c r="C6550" s="5" t="s">
        <v>375</v>
      </c>
      <c r="D6550" s="4" t="s">
        <v>370</v>
      </c>
      <c r="E6550" s="4" t="s">
        <v>5961</v>
      </c>
      <c r="F6550" s="4" t="s">
        <v>406</v>
      </c>
      <c r="G6550" s="4" t="s">
        <v>5962</v>
      </c>
      <c r="H6550" s="12" t="n">
        <v>12</v>
      </c>
      <c r="I6550" s="4" t="s">
        <v>7036</v>
      </c>
      <c r="J6550" s="4" t="s">
        <v>409</v>
      </c>
      <c r="K6550" s="13" t="n">
        <v>45000</v>
      </c>
      <c r="L6550" s="6" t="n">
        <f aca="false">H6550*K6550</f>
        <v>540000</v>
      </c>
      <c r="M6550" s="14" t="s">
        <v>410</v>
      </c>
    </row>
    <row r="6551" customFormat="false" ht="23.85" hidden="false" customHeight="false" outlineLevel="0" collapsed="false">
      <c r="A6551" s="4" t="s">
        <v>367</v>
      </c>
      <c r="B6551" s="5" t="s">
        <v>374</v>
      </c>
      <c r="C6551" s="5" t="s">
        <v>375</v>
      </c>
      <c r="D6551" s="4" t="s">
        <v>370</v>
      </c>
      <c r="E6551" s="4" t="s">
        <v>7039</v>
      </c>
      <c r="F6551" s="4" t="s">
        <v>406</v>
      </c>
      <c r="G6551" s="4" t="s">
        <v>7040</v>
      </c>
      <c r="H6551" s="12" t="n">
        <v>1</v>
      </c>
      <c r="I6551" s="4" t="s">
        <v>7036</v>
      </c>
      <c r="J6551" s="4" t="s">
        <v>543</v>
      </c>
      <c r="K6551" s="13" t="n">
        <v>18000</v>
      </c>
      <c r="L6551" s="6" t="n">
        <f aca="false">H6551*K6551</f>
        <v>18000</v>
      </c>
      <c r="M6551" s="14" t="s">
        <v>410</v>
      </c>
    </row>
    <row r="6552" customFormat="false" ht="23.85" hidden="false" customHeight="false" outlineLevel="0" collapsed="false">
      <c r="A6552" s="4" t="s">
        <v>367</v>
      </c>
      <c r="B6552" s="5" t="s">
        <v>374</v>
      </c>
      <c r="C6552" s="5" t="s">
        <v>375</v>
      </c>
      <c r="D6552" s="4" t="s">
        <v>370</v>
      </c>
      <c r="E6552" s="4" t="s">
        <v>7041</v>
      </c>
      <c r="F6552" s="4" t="s">
        <v>470</v>
      </c>
      <c r="G6552" s="4" t="s">
        <v>7042</v>
      </c>
      <c r="H6552" s="12" t="n">
        <v>1</v>
      </c>
      <c r="I6552" s="4" t="s">
        <v>7036</v>
      </c>
      <c r="J6552" s="4" t="s">
        <v>543</v>
      </c>
      <c r="K6552" s="13" t="n">
        <v>4500</v>
      </c>
      <c r="L6552" s="6" t="n">
        <f aca="false">H6552*K6552</f>
        <v>4500</v>
      </c>
      <c r="M6552" s="14" t="s">
        <v>410</v>
      </c>
    </row>
    <row r="6553" customFormat="false" ht="23.85" hidden="false" customHeight="false" outlineLevel="0" collapsed="false">
      <c r="A6553" s="4" t="s">
        <v>367</v>
      </c>
      <c r="B6553" s="5" t="s">
        <v>374</v>
      </c>
      <c r="C6553" s="5" t="s">
        <v>375</v>
      </c>
      <c r="D6553" s="4" t="s">
        <v>370</v>
      </c>
      <c r="E6553" s="4" t="s">
        <v>7043</v>
      </c>
      <c r="F6553" s="4" t="s">
        <v>470</v>
      </c>
      <c r="G6553" s="4" t="s">
        <v>7044</v>
      </c>
      <c r="H6553" s="12" t="n">
        <v>30</v>
      </c>
      <c r="I6553" s="4" t="s">
        <v>7036</v>
      </c>
      <c r="J6553" s="4" t="s">
        <v>543</v>
      </c>
      <c r="K6553" s="13" t="n">
        <v>1800</v>
      </c>
      <c r="L6553" s="6" t="n">
        <f aca="false">H6553*K6553</f>
        <v>54000</v>
      </c>
      <c r="M6553" s="14" t="s">
        <v>410</v>
      </c>
    </row>
    <row r="6554" customFormat="false" ht="23.85" hidden="false" customHeight="false" outlineLevel="0" collapsed="false">
      <c r="A6554" s="4" t="s">
        <v>367</v>
      </c>
      <c r="B6554" s="5" t="s">
        <v>374</v>
      </c>
      <c r="C6554" s="5" t="s">
        <v>375</v>
      </c>
      <c r="D6554" s="4" t="s">
        <v>370</v>
      </c>
      <c r="E6554" s="4" t="s">
        <v>2183</v>
      </c>
      <c r="F6554" s="4" t="s">
        <v>470</v>
      </c>
      <c r="G6554" s="4" t="s">
        <v>2184</v>
      </c>
      <c r="H6554" s="12" t="n">
        <v>15</v>
      </c>
      <c r="I6554" s="4" t="s">
        <v>7036</v>
      </c>
      <c r="J6554" s="4" t="s">
        <v>409</v>
      </c>
      <c r="K6554" s="13" t="n">
        <v>8500</v>
      </c>
      <c r="L6554" s="6" t="n">
        <f aca="false">H6554*K6554</f>
        <v>127500</v>
      </c>
      <c r="M6554" s="14" t="s">
        <v>410</v>
      </c>
    </row>
    <row r="6555" customFormat="false" ht="23.85" hidden="false" customHeight="false" outlineLevel="0" collapsed="false">
      <c r="A6555" s="4" t="s">
        <v>367</v>
      </c>
      <c r="B6555" s="5" t="s">
        <v>374</v>
      </c>
      <c r="C6555" s="5" t="s">
        <v>375</v>
      </c>
      <c r="D6555" s="4" t="s">
        <v>370</v>
      </c>
      <c r="E6555" s="4" t="s">
        <v>1423</v>
      </c>
      <c r="F6555" s="4" t="s">
        <v>470</v>
      </c>
      <c r="G6555" s="4" t="s">
        <v>1424</v>
      </c>
      <c r="H6555" s="12" t="n">
        <v>1</v>
      </c>
      <c r="I6555" s="4" t="s">
        <v>7036</v>
      </c>
      <c r="J6555" s="4" t="s">
        <v>409</v>
      </c>
      <c r="K6555" s="13" t="n">
        <v>3500</v>
      </c>
      <c r="L6555" s="6" t="n">
        <f aca="false">H6555*K6555</f>
        <v>3500</v>
      </c>
      <c r="M6555" s="14" t="s">
        <v>410</v>
      </c>
    </row>
    <row r="6556" customFormat="false" ht="23.85" hidden="false" customHeight="false" outlineLevel="0" collapsed="false">
      <c r="A6556" s="4" t="s">
        <v>367</v>
      </c>
      <c r="B6556" s="5" t="s">
        <v>374</v>
      </c>
      <c r="C6556" s="5" t="s">
        <v>375</v>
      </c>
      <c r="D6556" s="4" t="s">
        <v>370</v>
      </c>
      <c r="E6556" s="4" t="s">
        <v>6212</v>
      </c>
      <c r="F6556" s="4" t="s">
        <v>470</v>
      </c>
      <c r="G6556" s="4" t="s">
        <v>6213</v>
      </c>
      <c r="H6556" s="12" t="n">
        <v>5</v>
      </c>
      <c r="I6556" s="4" t="s">
        <v>7036</v>
      </c>
      <c r="J6556" s="4" t="s">
        <v>416</v>
      </c>
      <c r="K6556" s="13" t="n">
        <v>850</v>
      </c>
      <c r="L6556" s="6" t="n">
        <f aca="false">H6556*K6556</f>
        <v>4250</v>
      </c>
      <c r="M6556" s="14" t="s">
        <v>410</v>
      </c>
    </row>
    <row r="6557" customFormat="false" ht="23.85" hidden="false" customHeight="false" outlineLevel="0" collapsed="false">
      <c r="A6557" s="4" t="s">
        <v>367</v>
      </c>
      <c r="B6557" s="5" t="s">
        <v>374</v>
      </c>
      <c r="C6557" s="5" t="s">
        <v>375</v>
      </c>
      <c r="D6557" s="4" t="s">
        <v>370</v>
      </c>
      <c r="E6557" s="4" t="s">
        <v>7045</v>
      </c>
      <c r="F6557" s="4" t="s">
        <v>488</v>
      </c>
      <c r="G6557" s="4" t="s">
        <v>7046</v>
      </c>
      <c r="H6557" s="12" t="n">
        <v>2</v>
      </c>
      <c r="I6557" s="4" t="s">
        <v>7036</v>
      </c>
      <c r="J6557" s="4" t="s">
        <v>543</v>
      </c>
      <c r="K6557" s="13" t="n">
        <v>350</v>
      </c>
      <c r="L6557" s="6" t="n">
        <f aca="false">H6557*K6557</f>
        <v>700</v>
      </c>
      <c r="M6557" s="14" t="s">
        <v>410</v>
      </c>
    </row>
    <row r="6558" customFormat="false" ht="23.85" hidden="false" customHeight="false" outlineLevel="0" collapsed="false">
      <c r="A6558" s="4" t="s">
        <v>367</v>
      </c>
      <c r="B6558" s="5" t="s">
        <v>374</v>
      </c>
      <c r="C6558" s="5" t="s">
        <v>375</v>
      </c>
      <c r="D6558" s="4" t="s">
        <v>370</v>
      </c>
      <c r="E6558" s="4" t="s">
        <v>7047</v>
      </c>
      <c r="F6558" s="4" t="s">
        <v>488</v>
      </c>
      <c r="G6558" s="4" t="s">
        <v>7048</v>
      </c>
      <c r="H6558" s="12" t="n">
        <v>1</v>
      </c>
      <c r="I6558" s="4" t="s">
        <v>7036</v>
      </c>
      <c r="J6558" s="4" t="s">
        <v>7049</v>
      </c>
      <c r="K6558" s="13" t="n">
        <v>500</v>
      </c>
      <c r="L6558" s="6" t="n">
        <f aca="false">H6558*K6558</f>
        <v>500</v>
      </c>
      <c r="M6558" s="14" t="s">
        <v>410</v>
      </c>
    </row>
    <row r="6559" customFormat="false" ht="23.85" hidden="false" customHeight="false" outlineLevel="0" collapsed="false">
      <c r="A6559" s="4" t="s">
        <v>367</v>
      </c>
      <c r="B6559" s="5" t="s">
        <v>374</v>
      </c>
      <c r="C6559" s="5" t="s">
        <v>375</v>
      </c>
      <c r="D6559" s="4" t="s">
        <v>370</v>
      </c>
      <c r="E6559" s="4" t="s">
        <v>7050</v>
      </c>
      <c r="F6559" s="4" t="s">
        <v>470</v>
      </c>
      <c r="G6559" s="4" t="s">
        <v>4613</v>
      </c>
      <c r="H6559" s="12" t="n">
        <v>15</v>
      </c>
      <c r="I6559" s="4" t="s">
        <v>7036</v>
      </c>
      <c r="J6559" s="4" t="s">
        <v>543</v>
      </c>
      <c r="K6559" s="13" t="n">
        <v>1200</v>
      </c>
      <c r="L6559" s="6" t="n">
        <f aca="false">H6559*K6559</f>
        <v>18000</v>
      </c>
      <c r="M6559" s="14" t="s">
        <v>410</v>
      </c>
    </row>
    <row r="6560" customFormat="false" ht="23.85" hidden="false" customHeight="false" outlineLevel="0" collapsed="false">
      <c r="A6560" s="4" t="s">
        <v>367</v>
      </c>
      <c r="B6560" s="5" t="s">
        <v>374</v>
      </c>
      <c r="C6560" s="5" t="s">
        <v>375</v>
      </c>
      <c r="D6560" s="4" t="s">
        <v>370</v>
      </c>
      <c r="E6560" s="4" t="s">
        <v>7051</v>
      </c>
      <c r="F6560" s="4" t="s">
        <v>488</v>
      </c>
      <c r="G6560" s="4" t="s">
        <v>7052</v>
      </c>
      <c r="H6560" s="12" t="n">
        <v>2</v>
      </c>
      <c r="I6560" s="4" t="s">
        <v>7036</v>
      </c>
      <c r="J6560" s="4" t="s">
        <v>543</v>
      </c>
      <c r="K6560" s="13" t="n">
        <v>3500</v>
      </c>
      <c r="L6560" s="6" t="n">
        <f aca="false">H6560*K6560</f>
        <v>7000</v>
      </c>
      <c r="M6560" s="14" t="s">
        <v>410</v>
      </c>
    </row>
    <row r="6561" customFormat="false" ht="23.85" hidden="false" customHeight="false" outlineLevel="0" collapsed="false">
      <c r="A6561" s="4" t="s">
        <v>367</v>
      </c>
      <c r="B6561" s="5" t="s">
        <v>374</v>
      </c>
      <c r="C6561" s="5" t="s">
        <v>375</v>
      </c>
      <c r="D6561" s="4" t="s">
        <v>370</v>
      </c>
      <c r="E6561" s="4" t="s">
        <v>1089</v>
      </c>
      <c r="F6561" s="4" t="s">
        <v>470</v>
      </c>
      <c r="G6561" s="4" t="s">
        <v>1090</v>
      </c>
      <c r="H6561" s="12" t="n">
        <v>1</v>
      </c>
      <c r="I6561" s="4" t="s">
        <v>7036</v>
      </c>
      <c r="J6561" s="4" t="s">
        <v>409</v>
      </c>
      <c r="K6561" s="13" t="n">
        <v>3500</v>
      </c>
      <c r="L6561" s="6" t="n">
        <f aca="false">H6561*K6561</f>
        <v>3500</v>
      </c>
      <c r="M6561" s="14" t="s">
        <v>410</v>
      </c>
    </row>
    <row r="6562" customFormat="false" ht="23.85" hidden="false" customHeight="false" outlineLevel="0" collapsed="false">
      <c r="A6562" s="4" t="s">
        <v>367</v>
      </c>
      <c r="B6562" s="5" t="s">
        <v>374</v>
      </c>
      <c r="C6562" s="5" t="s">
        <v>375</v>
      </c>
      <c r="D6562" s="4" t="s">
        <v>370</v>
      </c>
      <c r="E6562" s="4" t="s">
        <v>7091</v>
      </c>
      <c r="F6562" s="4" t="s">
        <v>470</v>
      </c>
      <c r="G6562" s="4" t="s">
        <v>7092</v>
      </c>
      <c r="H6562" s="12" t="n">
        <v>15</v>
      </c>
      <c r="I6562" s="4" t="s">
        <v>7036</v>
      </c>
      <c r="J6562" s="4" t="s">
        <v>7055</v>
      </c>
      <c r="K6562" s="13" t="n">
        <v>8000</v>
      </c>
      <c r="L6562" s="6" t="n">
        <f aca="false">H6562*K6562</f>
        <v>120000</v>
      </c>
      <c r="M6562" s="14" t="s">
        <v>410</v>
      </c>
    </row>
    <row r="6563" customFormat="false" ht="23.85" hidden="false" customHeight="false" outlineLevel="0" collapsed="false">
      <c r="A6563" s="4" t="s">
        <v>367</v>
      </c>
      <c r="B6563" s="5" t="s">
        <v>374</v>
      </c>
      <c r="C6563" s="5" t="s">
        <v>375</v>
      </c>
      <c r="D6563" s="4" t="s">
        <v>370</v>
      </c>
      <c r="E6563" s="4" t="s">
        <v>2187</v>
      </c>
      <c r="F6563" s="4" t="s">
        <v>470</v>
      </c>
      <c r="G6563" s="4" t="s">
        <v>2188</v>
      </c>
      <c r="H6563" s="12" t="n">
        <v>1</v>
      </c>
      <c r="I6563" s="4" t="s">
        <v>7036</v>
      </c>
      <c r="J6563" s="4" t="s">
        <v>409</v>
      </c>
      <c r="K6563" s="13" t="n">
        <v>8500</v>
      </c>
      <c r="L6563" s="6" t="n">
        <f aca="false">H6563*K6563</f>
        <v>8500</v>
      </c>
      <c r="M6563" s="14" t="s">
        <v>410</v>
      </c>
    </row>
    <row r="6564" customFormat="false" ht="23.85" hidden="false" customHeight="false" outlineLevel="0" collapsed="false">
      <c r="A6564" s="4" t="s">
        <v>367</v>
      </c>
      <c r="B6564" s="5" t="s">
        <v>374</v>
      </c>
      <c r="C6564" s="5" t="s">
        <v>375</v>
      </c>
      <c r="D6564" s="4" t="s">
        <v>370</v>
      </c>
      <c r="E6564" s="4" t="s">
        <v>5516</v>
      </c>
      <c r="F6564" s="4" t="s">
        <v>470</v>
      </c>
      <c r="G6564" s="4" t="s">
        <v>5517</v>
      </c>
      <c r="H6564" s="12" t="n">
        <v>1</v>
      </c>
      <c r="I6564" s="4" t="s">
        <v>7036</v>
      </c>
      <c r="J6564" s="4" t="s">
        <v>409</v>
      </c>
      <c r="K6564" s="13" t="n">
        <v>180000</v>
      </c>
      <c r="L6564" s="6" t="n">
        <f aca="false">H6564*K6564</f>
        <v>180000</v>
      </c>
      <c r="M6564" s="14" t="s">
        <v>410</v>
      </c>
    </row>
    <row r="6565" customFormat="false" ht="23.85" hidden="false" customHeight="false" outlineLevel="0" collapsed="false">
      <c r="A6565" s="4" t="s">
        <v>367</v>
      </c>
      <c r="B6565" s="5" t="s">
        <v>376</v>
      </c>
      <c r="C6565" s="5" t="s">
        <v>377</v>
      </c>
      <c r="D6565" s="4" t="s">
        <v>370</v>
      </c>
      <c r="E6565" s="4" t="s">
        <v>7093</v>
      </c>
      <c r="F6565" s="4" t="s">
        <v>406</v>
      </c>
      <c r="G6565" s="4" t="s">
        <v>7094</v>
      </c>
      <c r="H6565" s="12" t="n">
        <v>2</v>
      </c>
      <c r="I6565" s="4" t="s">
        <v>7036</v>
      </c>
      <c r="J6565" s="4" t="s">
        <v>416</v>
      </c>
      <c r="K6565" s="13" t="n">
        <v>450</v>
      </c>
      <c r="L6565" s="6" t="n">
        <f aca="false">H6565*K6565</f>
        <v>900</v>
      </c>
      <c r="M6565" s="14" t="s">
        <v>410</v>
      </c>
    </row>
    <row r="6566" customFormat="false" ht="23.85" hidden="false" customHeight="false" outlineLevel="0" collapsed="false">
      <c r="A6566" s="4" t="s">
        <v>367</v>
      </c>
      <c r="B6566" s="5" t="s">
        <v>376</v>
      </c>
      <c r="C6566" s="5" t="s">
        <v>377</v>
      </c>
      <c r="D6566" s="4" t="s">
        <v>370</v>
      </c>
      <c r="E6566" s="4" t="s">
        <v>777</v>
      </c>
      <c r="F6566" s="4" t="s">
        <v>406</v>
      </c>
      <c r="G6566" s="4" t="s">
        <v>7095</v>
      </c>
      <c r="H6566" s="12" t="n">
        <v>2</v>
      </c>
      <c r="I6566" s="4" t="s">
        <v>7036</v>
      </c>
      <c r="J6566" s="4" t="s">
        <v>409</v>
      </c>
      <c r="K6566" s="13" t="n">
        <v>250</v>
      </c>
      <c r="L6566" s="6" t="n">
        <f aca="false">H6566*K6566</f>
        <v>500</v>
      </c>
      <c r="M6566" s="14" t="s">
        <v>410</v>
      </c>
    </row>
    <row r="6567" customFormat="false" ht="23.85" hidden="false" customHeight="false" outlineLevel="0" collapsed="false">
      <c r="A6567" s="4" t="s">
        <v>367</v>
      </c>
      <c r="B6567" s="5" t="s">
        <v>376</v>
      </c>
      <c r="C6567" s="5" t="s">
        <v>377</v>
      </c>
      <c r="D6567" s="4" t="s">
        <v>370</v>
      </c>
      <c r="E6567" s="4" t="s">
        <v>7096</v>
      </c>
      <c r="F6567" s="4" t="s">
        <v>406</v>
      </c>
      <c r="G6567" s="4" t="s">
        <v>7097</v>
      </c>
      <c r="H6567" s="12" t="n">
        <v>1</v>
      </c>
      <c r="I6567" s="4" t="s">
        <v>7036</v>
      </c>
      <c r="J6567" s="4" t="s">
        <v>543</v>
      </c>
      <c r="K6567" s="13" t="n">
        <v>350</v>
      </c>
      <c r="L6567" s="6" t="n">
        <f aca="false">H6567*K6567</f>
        <v>350</v>
      </c>
      <c r="M6567" s="14" t="s">
        <v>410</v>
      </c>
    </row>
    <row r="6568" customFormat="false" ht="23.85" hidden="false" customHeight="false" outlineLevel="0" collapsed="false">
      <c r="A6568" s="4" t="s">
        <v>367</v>
      </c>
      <c r="B6568" s="5" t="s">
        <v>376</v>
      </c>
      <c r="C6568" s="5" t="s">
        <v>377</v>
      </c>
      <c r="D6568" s="4" t="s">
        <v>370</v>
      </c>
      <c r="E6568" s="4" t="s">
        <v>6081</v>
      </c>
      <c r="F6568" s="4" t="s">
        <v>406</v>
      </c>
      <c r="G6568" s="4" t="s">
        <v>3373</v>
      </c>
      <c r="H6568" s="12" t="n">
        <v>1</v>
      </c>
      <c r="I6568" s="4" t="s">
        <v>7036</v>
      </c>
      <c r="J6568" s="4" t="s">
        <v>409</v>
      </c>
      <c r="K6568" s="13" t="n">
        <v>1200</v>
      </c>
      <c r="L6568" s="6" t="n">
        <f aca="false">H6568*K6568</f>
        <v>1200</v>
      </c>
      <c r="M6568" s="14" t="s">
        <v>410</v>
      </c>
    </row>
    <row r="6569" customFormat="false" ht="23.85" hidden="false" customHeight="false" outlineLevel="0" collapsed="false">
      <c r="A6569" s="4" t="s">
        <v>367</v>
      </c>
      <c r="B6569" s="5" t="s">
        <v>376</v>
      </c>
      <c r="C6569" s="5" t="s">
        <v>377</v>
      </c>
      <c r="D6569" s="4" t="s">
        <v>370</v>
      </c>
      <c r="E6569" s="4" t="s">
        <v>7098</v>
      </c>
      <c r="F6569" s="4" t="s">
        <v>406</v>
      </c>
      <c r="G6569" s="4" t="s">
        <v>7099</v>
      </c>
      <c r="H6569" s="12" t="n">
        <v>1</v>
      </c>
      <c r="I6569" s="4" t="s">
        <v>7036</v>
      </c>
      <c r="J6569" s="4" t="s">
        <v>543</v>
      </c>
      <c r="K6569" s="13" t="n">
        <v>2500</v>
      </c>
      <c r="L6569" s="6" t="n">
        <f aca="false">H6569*K6569</f>
        <v>2500</v>
      </c>
      <c r="M6569" s="14" t="s">
        <v>410</v>
      </c>
    </row>
    <row r="6570" customFormat="false" ht="23.85" hidden="false" customHeight="false" outlineLevel="0" collapsed="false">
      <c r="A6570" s="4" t="s">
        <v>367</v>
      </c>
      <c r="B6570" s="5" t="s">
        <v>376</v>
      </c>
      <c r="C6570" s="5" t="s">
        <v>377</v>
      </c>
      <c r="D6570" s="4" t="s">
        <v>370</v>
      </c>
      <c r="E6570" s="4" t="s">
        <v>7100</v>
      </c>
      <c r="F6570" s="4" t="s">
        <v>406</v>
      </c>
      <c r="G6570" s="4" t="s">
        <v>7101</v>
      </c>
      <c r="H6570" s="12" t="n">
        <v>2</v>
      </c>
      <c r="I6570" s="4" t="s">
        <v>7036</v>
      </c>
      <c r="J6570" s="4" t="s">
        <v>416</v>
      </c>
      <c r="K6570" s="13" t="n">
        <v>600</v>
      </c>
      <c r="L6570" s="6" t="n">
        <f aca="false">H6570*K6570</f>
        <v>1200</v>
      </c>
      <c r="M6570" s="14" t="s">
        <v>410</v>
      </c>
    </row>
    <row r="6571" customFormat="false" ht="23.85" hidden="false" customHeight="false" outlineLevel="0" collapsed="false">
      <c r="A6571" s="4" t="s">
        <v>367</v>
      </c>
      <c r="B6571" s="5" t="s">
        <v>376</v>
      </c>
      <c r="C6571" s="5" t="s">
        <v>377</v>
      </c>
      <c r="D6571" s="4" t="s">
        <v>370</v>
      </c>
      <c r="E6571" s="4" t="s">
        <v>7102</v>
      </c>
      <c r="F6571" s="4" t="s">
        <v>406</v>
      </c>
      <c r="G6571" s="4" t="s">
        <v>7103</v>
      </c>
      <c r="H6571" s="12" t="n">
        <v>1</v>
      </c>
      <c r="I6571" s="4" t="s">
        <v>7036</v>
      </c>
      <c r="J6571" s="4" t="s">
        <v>543</v>
      </c>
      <c r="K6571" s="13" t="n">
        <v>1800</v>
      </c>
      <c r="L6571" s="6" t="n">
        <f aca="false">H6571*K6571</f>
        <v>1800</v>
      </c>
      <c r="M6571" s="14" t="s">
        <v>410</v>
      </c>
    </row>
    <row r="6572" customFormat="false" ht="23.85" hidden="false" customHeight="false" outlineLevel="0" collapsed="false">
      <c r="A6572" s="4" t="s">
        <v>367</v>
      </c>
      <c r="B6572" s="5" t="s">
        <v>376</v>
      </c>
      <c r="C6572" s="5" t="s">
        <v>377</v>
      </c>
      <c r="D6572" s="4" t="s">
        <v>370</v>
      </c>
      <c r="E6572" s="4" t="s">
        <v>7104</v>
      </c>
      <c r="F6572" s="4" t="s">
        <v>406</v>
      </c>
      <c r="G6572" s="4" t="s">
        <v>7105</v>
      </c>
      <c r="H6572" s="12" t="n">
        <v>1</v>
      </c>
      <c r="I6572" s="4" t="s">
        <v>7036</v>
      </c>
      <c r="J6572" s="4" t="s">
        <v>543</v>
      </c>
      <c r="K6572" s="13" t="n">
        <v>4500</v>
      </c>
      <c r="L6572" s="6" t="n">
        <f aca="false">H6572*K6572</f>
        <v>4500</v>
      </c>
      <c r="M6572" s="14" t="s">
        <v>410</v>
      </c>
    </row>
    <row r="6573" customFormat="false" ht="23.85" hidden="false" customHeight="false" outlineLevel="0" collapsed="false">
      <c r="A6573" s="4" t="s">
        <v>367</v>
      </c>
      <c r="B6573" s="5" t="s">
        <v>376</v>
      </c>
      <c r="C6573" s="5" t="s">
        <v>377</v>
      </c>
      <c r="D6573" s="4" t="s">
        <v>370</v>
      </c>
      <c r="E6573" s="4" t="s">
        <v>7106</v>
      </c>
      <c r="F6573" s="4" t="s">
        <v>406</v>
      </c>
      <c r="G6573" s="4" t="s">
        <v>7107</v>
      </c>
      <c r="H6573" s="12" t="n">
        <v>2</v>
      </c>
      <c r="I6573" s="4" t="s">
        <v>7036</v>
      </c>
      <c r="J6573" s="4" t="s">
        <v>543</v>
      </c>
      <c r="K6573" s="13" t="n">
        <v>350</v>
      </c>
      <c r="L6573" s="6" t="n">
        <f aca="false">H6573*K6573</f>
        <v>700</v>
      </c>
      <c r="M6573" s="14" t="s">
        <v>410</v>
      </c>
    </row>
    <row r="6574" customFormat="false" ht="23.85" hidden="false" customHeight="false" outlineLevel="0" collapsed="false">
      <c r="A6574" s="4" t="s">
        <v>367</v>
      </c>
      <c r="B6574" s="5" t="s">
        <v>376</v>
      </c>
      <c r="C6574" s="5" t="s">
        <v>377</v>
      </c>
      <c r="D6574" s="4" t="s">
        <v>370</v>
      </c>
      <c r="E6574" s="4" t="s">
        <v>7108</v>
      </c>
      <c r="F6574" s="4" t="s">
        <v>406</v>
      </c>
      <c r="G6574" s="4" t="s">
        <v>7109</v>
      </c>
      <c r="H6574" s="12" t="n">
        <v>2</v>
      </c>
      <c r="I6574" s="4" t="s">
        <v>7036</v>
      </c>
      <c r="J6574" s="4" t="s">
        <v>543</v>
      </c>
      <c r="K6574" s="13" t="n">
        <v>350</v>
      </c>
      <c r="L6574" s="6" t="n">
        <f aca="false">H6574*K6574</f>
        <v>700</v>
      </c>
      <c r="M6574" s="14" t="s">
        <v>410</v>
      </c>
    </row>
    <row r="6575" customFormat="false" ht="23.85" hidden="false" customHeight="false" outlineLevel="0" collapsed="false">
      <c r="A6575" s="4" t="s">
        <v>367</v>
      </c>
      <c r="B6575" s="5" t="s">
        <v>376</v>
      </c>
      <c r="C6575" s="5" t="s">
        <v>377</v>
      </c>
      <c r="D6575" s="4" t="s">
        <v>370</v>
      </c>
      <c r="E6575" s="4" t="s">
        <v>7110</v>
      </c>
      <c r="F6575" s="4" t="s">
        <v>406</v>
      </c>
      <c r="G6575" s="4" t="s">
        <v>7111</v>
      </c>
      <c r="H6575" s="12" t="n">
        <v>2</v>
      </c>
      <c r="I6575" s="4" t="s">
        <v>7036</v>
      </c>
      <c r="J6575" s="4" t="s">
        <v>416</v>
      </c>
      <c r="K6575" s="13" t="n">
        <v>450</v>
      </c>
      <c r="L6575" s="6" t="n">
        <f aca="false">H6575*K6575</f>
        <v>900</v>
      </c>
      <c r="M6575" s="14" t="s">
        <v>410</v>
      </c>
    </row>
    <row r="6576" customFormat="false" ht="23.85" hidden="false" customHeight="false" outlineLevel="0" collapsed="false">
      <c r="A6576" s="4" t="s">
        <v>367</v>
      </c>
      <c r="B6576" s="5" t="s">
        <v>376</v>
      </c>
      <c r="C6576" s="5" t="s">
        <v>377</v>
      </c>
      <c r="D6576" s="4" t="s">
        <v>370</v>
      </c>
      <c r="E6576" s="4" t="s">
        <v>7112</v>
      </c>
      <c r="F6576" s="4" t="s">
        <v>406</v>
      </c>
      <c r="G6576" s="4" t="s">
        <v>7113</v>
      </c>
      <c r="H6576" s="12" t="n">
        <v>1</v>
      </c>
      <c r="I6576" s="4" t="s">
        <v>7036</v>
      </c>
      <c r="J6576" s="4" t="s">
        <v>543</v>
      </c>
      <c r="K6576" s="13" t="n">
        <v>250</v>
      </c>
      <c r="L6576" s="6" t="n">
        <f aca="false">H6576*K6576</f>
        <v>250</v>
      </c>
      <c r="M6576" s="14" t="s">
        <v>410</v>
      </c>
    </row>
    <row r="6577" customFormat="false" ht="23.85" hidden="false" customHeight="false" outlineLevel="0" collapsed="false">
      <c r="A6577" s="4" t="s">
        <v>367</v>
      </c>
      <c r="B6577" s="5" t="s">
        <v>376</v>
      </c>
      <c r="C6577" s="5" t="s">
        <v>377</v>
      </c>
      <c r="D6577" s="4" t="s">
        <v>370</v>
      </c>
      <c r="E6577" s="4" t="s">
        <v>7114</v>
      </c>
      <c r="F6577" s="4" t="s">
        <v>406</v>
      </c>
      <c r="G6577" s="4" t="s">
        <v>7115</v>
      </c>
      <c r="H6577" s="12" t="n">
        <v>1</v>
      </c>
      <c r="I6577" s="4" t="s">
        <v>7036</v>
      </c>
      <c r="J6577" s="4" t="s">
        <v>543</v>
      </c>
      <c r="K6577" s="13" t="n">
        <v>300</v>
      </c>
      <c r="L6577" s="6" t="n">
        <f aca="false">H6577*K6577</f>
        <v>300</v>
      </c>
      <c r="M6577" s="14" t="s">
        <v>410</v>
      </c>
    </row>
    <row r="6578" customFormat="false" ht="23.85" hidden="false" customHeight="false" outlineLevel="0" collapsed="false">
      <c r="A6578" s="4" t="s">
        <v>367</v>
      </c>
      <c r="B6578" s="5" t="s">
        <v>376</v>
      </c>
      <c r="C6578" s="5" t="s">
        <v>377</v>
      </c>
      <c r="D6578" s="4" t="s">
        <v>370</v>
      </c>
      <c r="E6578" s="4" t="s">
        <v>7116</v>
      </c>
      <c r="F6578" s="4" t="s">
        <v>406</v>
      </c>
      <c r="G6578" s="4" t="s">
        <v>7117</v>
      </c>
      <c r="H6578" s="12" t="n">
        <v>1</v>
      </c>
      <c r="I6578" s="4" t="s">
        <v>7036</v>
      </c>
      <c r="J6578" s="4" t="s">
        <v>543</v>
      </c>
      <c r="K6578" s="13" t="n">
        <v>650</v>
      </c>
      <c r="L6578" s="6" t="n">
        <f aca="false">H6578*K6578</f>
        <v>650</v>
      </c>
      <c r="M6578" s="14" t="s">
        <v>410</v>
      </c>
    </row>
    <row r="6579" customFormat="false" ht="23.85" hidden="false" customHeight="false" outlineLevel="0" collapsed="false">
      <c r="A6579" s="4" t="s">
        <v>367</v>
      </c>
      <c r="B6579" s="5" t="s">
        <v>376</v>
      </c>
      <c r="C6579" s="5" t="s">
        <v>377</v>
      </c>
      <c r="D6579" s="4" t="s">
        <v>370</v>
      </c>
      <c r="E6579" s="4" t="s">
        <v>7118</v>
      </c>
      <c r="F6579" s="4" t="s">
        <v>406</v>
      </c>
      <c r="G6579" s="4" t="s">
        <v>7119</v>
      </c>
      <c r="H6579" s="12" t="n">
        <v>1</v>
      </c>
      <c r="I6579" s="4" t="s">
        <v>7036</v>
      </c>
      <c r="J6579" s="4" t="s">
        <v>543</v>
      </c>
      <c r="K6579" s="13" t="n">
        <v>150</v>
      </c>
      <c r="L6579" s="6" t="n">
        <f aca="false">H6579*K6579</f>
        <v>150</v>
      </c>
      <c r="M6579" s="14" t="s">
        <v>410</v>
      </c>
    </row>
    <row r="6580" customFormat="false" ht="23.85" hidden="false" customHeight="false" outlineLevel="0" collapsed="false">
      <c r="A6580" s="4" t="s">
        <v>367</v>
      </c>
      <c r="B6580" s="5" t="s">
        <v>376</v>
      </c>
      <c r="C6580" s="5" t="s">
        <v>377</v>
      </c>
      <c r="D6580" s="4" t="s">
        <v>370</v>
      </c>
      <c r="E6580" s="4" t="s">
        <v>7120</v>
      </c>
      <c r="F6580" s="4" t="s">
        <v>406</v>
      </c>
      <c r="G6580" s="4" t="s">
        <v>7121</v>
      </c>
      <c r="H6580" s="12" t="n">
        <v>1</v>
      </c>
      <c r="I6580" s="4" t="s">
        <v>7036</v>
      </c>
      <c r="J6580" s="4" t="s">
        <v>543</v>
      </c>
      <c r="K6580" s="13" t="n">
        <v>450</v>
      </c>
      <c r="L6580" s="6" t="n">
        <f aca="false">H6580*K6580</f>
        <v>450</v>
      </c>
      <c r="M6580" s="14" t="s">
        <v>410</v>
      </c>
    </row>
    <row r="6581" customFormat="false" ht="23.85" hidden="false" customHeight="false" outlineLevel="0" collapsed="false">
      <c r="A6581" s="4" t="s">
        <v>367</v>
      </c>
      <c r="B6581" s="5" t="s">
        <v>376</v>
      </c>
      <c r="C6581" s="5" t="s">
        <v>377</v>
      </c>
      <c r="D6581" s="4" t="s">
        <v>370</v>
      </c>
      <c r="E6581" s="4" t="s">
        <v>7122</v>
      </c>
      <c r="F6581" s="4" t="s">
        <v>406</v>
      </c>
      <c r="G6581" s="4" t="s">
        <v>7123</v>
      </c>
      <c r="H6581" s="12" t="n">
        <v>1</v>
      </c>
      <c r="I6581" s="4" t="s">
        <v>7036</v>
      </c>
      <c r="J6581" s="4" t="s">
        <v>543</v>
      </c>
      <c r="K6581" s="13" t="n">
        <v>200</v>
      </c>
      <c r="L6581" s="6" t="n">
        <f aca="false">H6581*K6581</f>
        <v>200</v>
      </c>
      <c r="M6581" s="14" t="s">
        <v>410</v>
      </c>
    </row>
    <row r="6582" customFormat="false" ht="23.85" hidden="false" customHeight="false" outlineLevel="0" collapsed="false">
      <c r="A6582" s="4" t="s">
        <v>367</v>
      </c>
      <c r="B6582" s="5" t="s">
        <v>376</v>
      </c>
      <c r="C6582" s="5" t="s">
        <v>377</v>
      </c>
      <c r="D6582" s="4" t="s">
        <v>370</v>
      </c>
      <c r="E6582" s="4" t="s">
        <v>7124</v>
      </c>
      <c r="F6582" s="4" t="s">
        <v>406</v>
      </c>
      <c r="G6582" s="4" t="s">
        <v>7125</v>
      </c>
      <c r="H6582" s="12" t="n">
        <v>1</v>
      </c>
      <c r="I6582" s="4" t="s">
        <v>7036</v>
      </c>
      <c r="J6582" s="4" t="s">
        <v>543</v>
      </c>
      <c r="K6582" s="13" t="n">
        <v>250</v>
      </c>
      <c r="L6582" s="6" t="n">
        <f aca="false">H6582*K6582</f>
        <v>250</v>
      </c>
      <c r="M6582" s="14" t="s">
        <v>410</v>
      </c>
    </row>
    <row r="6583" customFormat="false" ht="23.85" hidden="false" customHeight="false" outlineLevel="0" collapsed="false">
      <c r="A6583" s="4" t="s">
        <v>367</v>
      </c>
      <c r="B6583" s="5" t="s">
        <v>376</v>
      </c>
      <c r="C6583" s="5" t="s">
        <v>377</v>
      </c>
      <c r="D6583" s="4" t="s">
        <v>370</v>
      </c>
      <c r="E6583" s="4" t="s">
        <v>7126</v>
      </c>
      <c r="F6583" s="4" t="s">
        <v>406</v>
      </c>
      <c r="G6583" s="4" t="s">
        <v>7127</v>
      </c>
      <c r="H6583" s="12" t="n">
        <v>1</v>
      </c>
      <c r="I6583" s="4" t="s">
        <v>7036</v>
      </c>
      <c r="J6583" s="4" t="s">
        <v>543</v>
      </c>
      <c r="K6583" s="13" t="n">
        <v>450</v>
      </c>
      <c r="L6583" s="6" t="n">
        <f aca="false">H6583*K6583</f>
        <v>450</v>
      </c>
      <c r="M6583" s="14" t="s">
        <v>410</v>
      </c>
    </row>
    <row r="6584" customFormat="false" ht="23.85" hidden="false" customHeight="false" outlineLevel="0" collapsed="false">
      <c r="A6584" s="4" t="s">
        <v>367</v>
      </c>
      <c r="B6584" s="5" t="s">
        <v>376</v>
      </c>
      <c r="C6584" s="5" t="s">
        <v>377</v>
      </c>
      <c r="D6584" s="4" t="s">
        <v>370</v>
      </c>
      <c r="E6584" s="4" t="s">
        <v>7128</v>
      </c>
      <c r="F6584" s="4" t="s">
        <v>406</v>
      </c>
      <c r="G6584" s="4" t="s">
        <v>7129</v>
      </c>
      <c r="H6584" s="12" t="n">
        <v>1</v>
      </c>
      <c r="I6584" s="4" t="s">
        <v>7036</v>
      </c>
      <c r="J6584" s="4" t="s">
        <v>543</v>
      </c>
      <c r="K6584" s="13" t="n">
        <v>550</v>
      </c>
      <c r="L6584" s="6" t="n">
        <f aca="false">H6584*K6584</f>
        <v>550</v>
      </c>
      <c r="M6584" s="14" t="s">
        <v>410</v>
      </c>
    </row>
    <row r="6585" customFormat="false" ht="23.85" hidden="false" customHeight="false" outlineLevel="0" collapsed="false">
      <c r="A6585" s="4" t="s">
        <v>367</v>
      </c>
      <c r="B6585" s="5" t="s">
        <v>376</v>
      </c>
      <c r="C6585" s="5" t="s">
        <v>377</v>
      </c>
      <c r="D6585" s="4" t="s">
        <v>370</v>
      </c>
      <c r="E6585" s="4" t="s">
        <v>7130</v>
      </c>
      <c r="F6585" s="4" t="s">
        <v>406</v>
      </c>
      <c r="G6585" s="4" t="s">
        <v>7131</v>
      </c>
      <c r="H6585" s="12" t="n">
        <v>1</v>
      </c>
      <c r="I6585" s="4" t="s">
        <v>7036</v>
      </c>
      <c r="J6585" s="4" t="s">
        <v>543</v>
      </c>
      <c r="K6585" s="13" t="n">
        <v>5500</v>
      </c>
      <c r="L6585" s="6" t="n">
        <f aca="false">H6585*K6585</f>
        <v>5500</v>
      </c>
      <c r="M6585" s="14" t="s">
        <v>410</v>
      </c>
    </row>
    <row r="6586" customFormat="false" ht="23.85" hidden="false" customHeight="false" outlineLevel="0" collapsed="false">
      <c r="A6586" s="4" t="s">
        <v>367</v>
      </c>
      <c r="B6586" s="5" t="s">
        <v>376</v>
      </c>
      <c r="C6586" s="5" t="s">
        <v>377</v>
      </c>
      <c r="D6586" s="4" t="s">
        <v>370</v>
      </c>
      <c r="E6586" s="4" t="s">
        <v>7132</v>
      </c>
      <c r="F6586" s="4" t="s">
        <v>406</v>
      </c>
      <c r="G6586" s="4" t="s">
        <v>7133</v>
      </c>
      <c r="H6586" s="12" t="n">
        <v>2</v>
      </c>
      <c r="I6586" s="4" t="s">
        <v>7036</v>
      </c>
      <c r="J6586" s="4" t="s">
        <v>543</v>
      </c>
      <c r="K6586" s="13" t="n">
        <v>350</v>
      </c>
      <c r="L6586" s="6" t="n">
        <f aca="false">H6586*K6586</f>
        <v>700</v>
      </c>
      <c r="M6586" s="14" t="s">
        <v>410</v>
      </c>
    </row>
    <row r="6587" customFormat="false" ht="23.85" hidden="false" customHeight="false" outlineLevel="0" collapsed="false">
      <c r="A6587" s="4" t="s">
        <v>367</v>
      </c>
      <c r="B6587" s="5" t="s">
        <v>376</v>
      </c>
      <c r="C6587" s="5" t="s">
        <v>377</v>
      </c>
      <c r="D6587" s="4" t="s">
        <v>370</v>
      </c>
      <c r="E6587" s="4" t="s">
        <v>7134</v>
      </c>
      <c r="F6587" s="4" t="s">
        <v>406</v>
      </c>
      <c r="G6587" s="4" t="s">
        <v>7135</v>
      </c>
      <c r="H6587" s="12" t="n">
        <v>1</v>
      </c>
      <c r="I6587" s="4" t="s">
        <v>7036</v>
      </c>
      <c r="J6587" s="4" t="s">
        <v>543</v>
      </c>
      <c r="K6587" s="13" t="n">
        <v>350</v>
      </c>
      <c r="L6587" s="6" t="n">
        <f aca="false">H6587*K6587</f>
        <v>350</v>
      </c>
      <c r="M6587" s="14" t="s">
        <v>410</v>
      </c>
    </row>
    <row r="6588" customFormat="false" ht="23.85" hidden="false" customHeight="false" outlineLevel="0" collapsed="false">
      <c r="A6588" s="4" t="s">
        <v>367</v>
      </c>
      <c r="B6588" s="5" t="s">
        <v>376</v>
      </c>
      <c r="C6588" s="5" t="s">
        <v>377</v>
      </c>
      <c r="D6588" s="4" t="s">
        <v>370</v>
      </c>
      <c r="E6588" s="4" t="s">
        <v>7136</v>
      </c>
      <c r="F6588" s="4" t="s">
        <v>406</v>
      </c>
      <c r="G6588" s="4" t="s">
        <v>7137</v>
      </c>
      <c r="H6588" s="12" t="n">
        <v>1</v>
      </c>
      <c r="I6588" s="4" t="s">
        <v>7036</v>
      </c>
      <c r="J6588" s="4" t="s">
        <v>543</v>
      </c>
      <c r="K6588" s="13" t="n">
        <v>350</v>
      </c>
      <c r="L6588" s="6" t="n">
        <f aca="false">H6588*K6588</f>
        <v>350</v>
      </c>
      <c r="M6588" s="14" t="s">
        <v>410</v>
      </c>
    </row>
    <row r="6589" customFormat="false" ht="23.85" hidden="false" customHeight="false" outlineLevel="0" collapsed="false">
      <c r="A6589" s="4" t="s">
        <v>367</v>
      </c>
      <c r="B6589" s="5" t="s">
        <v>376</v>
      </c>
      <c r="C6589" s="5" t="s">
        <v>377</v>
      </c>
      <c r="D6589" s="4" t="s">
        <v>370</v>
      </c>
      <c r="E6589" s="4" t="s">
        <v>7138</v>
      </c>
      <c r="F6589" s="4" t="s">
        <v>406</v>
      </c>
      <c r="G6589" s="4" t="s">
        <v>7139</v>
      </c>
      <c r="H6589" s="12" t="n">
        <v>1</v>
      </c>
      <c r="I6589" s="4" t="s">
        <v>7036</v>
      </c>
      <c r="J6589" s="4" t="s">
        <v>543</v>
      </c>
      <c r="K6589" s="13" t="n">
        <v>450</v>
      </c>
      <c r="L6589" s="6" t="n">
        <f aca="false">H6589*K6589</f>
        <v>450</v>
      </c>
      <c r="M6589" s="14" t="s">
        <v>410</v>
      </c>
    </row>
    <row r="6590" customFormat="false" ht="23.85" hidden="false" customHeight="false" outlineLevel="0" collapsed="false">
      <c r="A6590" s="4" t="s">
        <v>367</v>
      </c>
      <c r="B6590" s="5" t="s">
        <v>376</v>
      </c>
      <c r="C6590" s="5" t="s">
        <v>377</v>
      </c>
      <c r="D6590" s="4" t="s">
        <v>370</v>
      </c>
      <c r="E6590" s="4" t="s">
        <v>7140</v>
      </c>
      <c r="F6590" s="4" t="s">
        <v>406</v>
      </c>
      <c r="G6590" s="4" t="s">
        <v>7141</v>
      </c>
      <c r="H6590" s="12" t="n">
        <v>1</v>
      </c>
      <c r="I6590" s="4" t="s">
        <v>7036</v>
      </c>
      <c r="J6590" s="4" t="s">
        <v>543</v>
      </c>
      <c r="K6590" s="13" t="n">
        <v>350</v>
      </c>
      <c r="L6590" s="6" t="n">
        <f aca="false">H6590*K6590</f>
        <v>350</v>
      </c>
      <c r="M6590" s="14" t="s">
        <v>410</v>
      </c>
    </row>
    <row r="6591" customFormat="false" ht="23.85" hidden="false" customHeight="false" outlineLevel="0" collapsed="false">
      <c r="A6591" s="4" t="s">
        <v>367</v>
      </c>
      <c r="B6591" s="5" t="s">
        <v>376</v>
      </c>
      <c r="C6591" s="5" t="s">
        <v>377</v>
      </c>
      <c r="D6591" s="4" t="s">
        <v>370</v>
      </c>
      <c r="E6591" s="4" t="s">
        <v>7142</v>
      </c>
      <c r="F6591" s="4" t="s">
        <v>406</v>
      </c>
      <c r="G6591" s="4" t="s">
        <v>7143</v>
      </c>
      <c r="H6591" s="12" t="n">
        <v>1</v>
      </c>
      <c r="I6591" s="4" t="s">
        <v>7036</v>
      </c>
      <c r="J6591" s="4" t="s">
        <v>543</v>
      </c>
      <c r="K6591" s="13" t="n">
        <v>350</v>
      </c>
      <c r="L6591" s="6" t="n">
        <f aca="false">H6591*K6591</f>
        <v>350</v>
      </c>
      <c r="M6591" s="14" t="s">
        <v>410</v>
      </c>
    </row>
    <row r="6592" customFormat="false" ht="23.85" hidden="false" customHeight="false" outlineLevel="0" collapsed="false">
      <c r="A6592" s="4" t="s">
        <v>367</v>
      </c>
      <c r="B6592" s="5" t="s">
        <v>376</v>
      </c>
      <c r="C6592" s="5" t="s">
        <v>377</v>
      </c>
      <c r="D6592" s="4" t="s">
        <v>370</v>
      </c>
      <c r="E6592" s="4" t="s">
        <v>7144</v>
      </c>
      <c r="F6592" s="4" t="s">
        <v>406</v>
      </c>
      <c r="G6592" s="4" t="s">
        <v>7145</v>
      </c>
      <c r="H6592" s="12" t="n">
        <v>1</v>
      </c>
      <c r="I6592" s="4" t="s">
        <v>7036</v>
      </c>
      <c r="J6592" s="4" t="s">
        <v>543</v>
      </c>
      <c r="K6592" s="13" t="n">
        <v>450</v>
      </c>
      <c r="L6592" s="6" t="n">
        <f aca="false">H6592*K6592</f>
        <v>450</v>
      </c>
      <c r="M6592" s="14" t="s">
        <v>410</v>
      </c>
    </row>
    <row r="6593" customFormat="false" ht="23.85" hidden="false" customHeight="false" outlineLevel="0" collapsed="false">
      <c r="A6593" s="4" t="s">
        <v>367</v>
      </c>
      <c r="B6593" s="5" t="s">
        <v>376</v>
      </c>
      <c r="C6593" s="5" t="s">
        <v>377</v>
      </c>
      <c r="D6593" s="4" t="s">
        <v>370</v>
      </c>
      <c r="E6593" s="4" t="s">
        <v>7146</v>
      </c>
      <c r="F6593" s="4" t="s">
        <v>406</v>
      </c>
      <c r="G6593" s="4" t="s">
        <v>7147</v>
      </c>
      <c r="H6593" s="12" t="n">
        <v>1</v>
      </c>
      <c r="I6593" s="4" t="s">
        <v>7036</v>
      </c>
      <c r="J6593" s="4" t="s">
        <v>543</v>
      </c>
      <c r="K6593" s="13" t="n">
        <v>250</v>
      </c>
      <c r="L6593" s="6" t="n">
        <f aca="false">H6593*K6593</f>
        <v>250</v>
      </c>
      <c r="M6593" s="14" t="s">
        <v>410</v>
      </c>
    </row>
    <row r="6594" customFormat="false" ht="23.85" hidden="false" customHeight="false" outlineLevel="0" collapsed="false">
      <c r="A6594" s="4" t="s">
        <v>367</v>
      </c>
      <c r="B6594" s="5" t="s">
        <v>376</v>
      </c>
      <c r="C6594" s="5" t="s">
        <v>377</v>
      </c>
      <c r="D6594" s="4" t="s">
        <v>370</v>
      </c>
      <c r="E6594" s="4" t="s">
        <v>7148</v>
      </c>
      <c r="F6594" s="4" t="s">
        <v>406</v>
      </c>
      <c r="G6594" s="4" t="s">
        <v>7149</v>
      </c>
      <c r="H6594" s="12" t="n">
        <v>2</v>
      </c>
      <c r="I6594" s="4" t="s">
        <v>7036</v>
      </c>
      <c r="J6594" s="4" t="s">
        <v>416</v>
      </c>
      <c r="K6594" s="13" t="n">
        <v>1800</v>
      </c>
      <c r="L6594" s="6" t="n">
        <f aca="false">H6594*K6594</f>
        <v>3600</v>
      </c>
      <c r="M6594" s="14" t="s">
        <v>410</v>
      </c>
    </row>
    <row r="6595" customFormat="false" ht="23.85" hidden="false" customHeight="false" outlineLevel="0" collapsed="false">
      <c r="A6595" s="4" t="s">
        <v>367</v>
      </c>
      <c r="B6595" s="5" t="s">
        <v>376</v>
      </c>
      <c r="C6595" s="5" t="s">
        <v>377</v>
      </c>
      <c r="D6595" s="4" t="s">
        <v>370</v>
      </c>
      <c r="E6595" s="4" t="s">
        <v>7150</v>
      </c>
      <c r="F6595" s="4" t="s">
        <v>406</v>
      </c>
      <c r="G6595" s="4" t="s">
        <v>7151</v>
      </c>
      <c r="H6595" s="12" t="n">
        <v>1</v>
      </c>
      <c r="I6595" s="4" t="s">
        <v>7036</v>
      </c>
      <c r="J6595" s="4" t="s">
        <v>416</v>
      </c>
      <c r="K6595" s="13" t="n">
        <v>450</v>
      </c>
      <c r="L6595" s="6" t="n">
        <f aca="false">H6595*K6595</f>
        <v>450</v>
      </c>
      <c r="M6595" s="14" t="s">
        <v>410</v>
      </c>
    </row>
    <row r="6596" customFormat="false" ht="23.85" hidden="false" customHeight="false" outlineLevel="0" collapsed="false">
      <c r="A6596" s="4" t="s">
        <v>367</v>
      </c>
      <c r="B6596" s="5" t="s">
        <v>376</v>
      </c>
      <c r="C6596" s="5" t="s">
        <v>377</v>
      </c>
      <c r="D6596" s="4" t="s">
        <v>370</v>
      </c>
      <c r="E6596" s="4" t="s">
        <v>7152</v>
      </c>
      <c r="F6596" s="4" t="s">
        <v>406</v>
      </c>
      <c r="G6596" s="4" t="s">
        <v>7153</v>
      </c>
      <c r="H6596" s="12" t="n">
        <v>1</v>
      </c>
      <c r="I6596" s="4" t="s">
        <v>7036</v>
      </c>
      <c r="J6596" s="4" t="s">
        <v>416</v>
      </c>
      <c r="K6596" s="13" t="n">
        <v>450</v>
      </c>
      <c r="L6596" s="6" t="n">
        <f aca="false">H6596*K6596</f>
        <v>450</v>
      </c>
      <c r="M6596" s="14" t="s">
        <v>410</v>
      </c>
    </row>
    <row r="6597" customFormat="false" ht="23.85" hidden="false" customHeight="false" outlineLevel="0" collapsed="false">
      <c r="A6597" s="4" t="s">
        <v>367</v>
      </c>
      <c r="B6597" s="5" t="s">
        <v>376</v>
      </c>
      <c r="C6597" s="5" t="s">
        <v>377</v>
      </c>
      <c r="D6597" s="4" t="s">
        <v>370</v>
      </c>
      <c r="E6597" s="4" t="s">
        <v>7154</v>
      </c>
      <c r="F6597" s="4" t="s">
        <v>406</v>
      </c>
      <c r="G6597" s="4" t="s">
        <v>7155</v>
      </c>
      <c r="H6597" s="12" t="n">
        <v>1</v>
      </c>
      <c r="I6597" s="4" t="s">
        <v>7036</v>
      </c>
      <c r="J6597" s="4" t="s">
        <v>543</v>
      </c>
      <c r="K6597" s="13" t="n">
        <v>300</v>
      </c>
      <c r="L6597" s="6" t="n">
        <f aca="false">H6597*K6597</f>
        <v>300</v>
      </c>
      <c r="M6597" s="14" t="s">
        <v>410</v>
      </c>
    </row>
    <row r="6598" customFormat="false" ht="23.85" hidden="false" customHeight="false" outlineLevel="0" collapsed="false">
      <c r="A6598" s="4" t="s">
        <v>367</v>
      </c>
      <c r="B6598" s="5" t="s">
        <v>376</v>
      </c>
      <c r="C6598" s="5" t="s">
        <v>377</v>
      </c>
      <c r="D6598" s="4" t="s">
        <v>370</v>
      </c>
      <c r="E6598" s="4" t="s">
        <v>7156</v>
      </c>
      <c r="F6598" s="4" t="s">
        <v>406</v>
      </c>
      <c r="G6598" s="4" t="s">
        <v>7157</v>
      </c>
      <c r="H6598" s="12" t="n">
        <v>1</v>
      </c>
      <c r="I6598" s="4" t="s">
        <v>7036</v>
      </c>
      <c r="J6598" s="4" t="s">
        <v>543</v>
      </c>
      <c r="K6598" s="13" t="n">
        <v>650</v>
      </c>
      <c r="L6598" s="6" t="n">
        <f aca="false">H6598*K6598</f>
        <v>650</v>
      </c>
      <c r="M6598" s="14" t="s">
        <v>410</v>
      </c>
    </row>
    <row r="6599" customFormat="false" ht="23.85" hidden="false" customHeight="false" outlineLevel="0" collapsed="false">
      <c r="A6599" s="4" t="s">
        <v>367</v>
      </c>
      <c r="B6599" s="5" t="s">
        <v>376</v>
      </c>
      <c r="C6599" s="5" t="s">
        <v>377</v>
      </c>
      <c r="D6599" s="4" t="s">
        <v>370</v>
      </c>
      <c r="E6599" s="4" t="s">
        <v>7158</v>
      </c>
      <c r="F6599" s="4" t="s">
        <v>406</v>
      </c>
      <c r="G6599" s="4" t="s">
        <v>7159</v>
      </c>
      <c r="H6599" s="12" t="n">
        <v>1</v>
      </c>
      <c r="I6599" s="4" t="s">
        <v>7036</v>
      </c>
      <c r="J6599" s="4" t="s">
        <v>475</v>
      </c>
      <c r="K6599" s="13" t="n">
        <v>80</v>
      </c>
      <c r="L6599" s="6" t="n">
        <f aca="false">H6599*K6599</f>
        <v>80</v>
      </c>
      <c r="M6599" s="14" t="s">
        <v>410</v>
      </c>
    </row>
    <row r="6600" customFormat="false" ht="23.85" hidden="false" customHeight="false" outlineLevel="0" collapsed="false">
      <c r="A6600" s="4" t="s">
        <v>367</v>
      </c>
      <c r="B6600" s="5" t="s">
        <v>376</v>
      </c>
      <c r="C6600" s="5" t="s">
        <v>377</v>
      </c>
      <c r="D6600" s="4" t="s">
        <v>370</v>
      </c>
      <c r="E6600" s="4" t="s">
        <v>7160</v>
      </c>
      <c r="F6600" s="4" t="s">
        <v>406</v>
      </c>
      <c r="G6600" s="4" t="s">
        <v>7161</v>
      </c>
      <c r="H6600" s="12" t="n">
        <v>1</v>
      </c>
      <c r="I6600" s="4" t="s">
        <v>7036</v>
      </c>
      <c r="J6600" s="4" t="s">
        <v>475</v>
      </c>
      <c r="K6600" s="13" t="n">
        <v>120</v>
      </c>
      <c r="L6600" s="6" t="n">
        <f aca="false">H6600*K6600</f>
        <v>120</v>
      </c>
      <c r="M6600" s="14" t="s">
        <v>410</v>
      </c>
    </row>
    <row r="6601" customFormat="false" ht="23.85" hidden="false" customHeight="false" outlineLevel="0" collapsed="false">
      <c r="A6601" s="4" t="s">
        <v>367</v>
      </c>
      <c r="B6601" s="5" t="s">
        <v>376</v>
      </c>
      <c r="C6601" s="5" t="s">
        <v>377</v>
      </c>
      <c r="D6601" s="4" t="s">
        <v>370</v>
      </c>
      <c r="E6601" s="4" t="s">
        <v>7162</v>
      </c>
      <c r="F6601" s="4" t="s">
        <v>406</v>
      </c>
      <c r="G6601" s="4" t="s">
        <v>7163</v>
      </c>
      <c r="H6601" s="12" t="n">
        <v>1</v>
      </c>
      <c r="I6601" s="4" t="s">
        <v>7036</v>
      </c>
      <c r="J6601" s="4" t="s">
        <v>475</v>
      </c>
      <c r="K6601" s="13" t="n">
        <v>90</v>
      </c>
      <c r="L6601" s="6" t="n">
        <f aca="false">H6601*K6601</f>
        <v>90</v>
      </c>
      <c r="M6601" s="14" t="s">
        <v>410</v>
      </c>
    </row>
    <row r="6602" customFormat="false" ht="23.85" hidden="false" customHeight="false" outlineLevel="0" collapsed="false">
      <c r="A6602" s="4" t="s">
        <v>367</v>
      </c>
      <c r="B6602" s="5" t="s">
        <v>376</v>
      </c>
      <c r="C6602" s="5" t="s">
        <v>377</v>
      </c>
      <c r="D6602" s="4" t="s">
        <v>370</v>
      </c>
      <c r="E6602" s="4" t="s">
        <v>7164</v>
      </c>
      <c r="F6602" s="4" t="s">
        <v>406</v>
      </c>
      <c r="G6602" s="4" t="s">
        <v>7165</v>
      </c>
      <c r="H6602" s="12" t="n">
        <v>1</v>
      </c>
      <c r="I6602" s="4" t="s">
        <v>7036</v>
      </c>
      <c r="J6602" s="4" t="s">
        <v>475</v>
      </c>
      <c r="K6602" s="13" t="n">
        <v>120</v>
      </c>
      <c r="L6602" s="6" t="n">
        <f aca="false">H6602*K6602</f>
        <v>120</v>
      </c>
      <c r="M6602" s="14" t="s">
        <v>410</v>
      </c>
    </row>
    <row r="6603" customFormat="false" ht="23.85" hidden="false" customHeight="false" outlineLevel="0" collapsed="false">
      <c r="A6603" s="4" t="s">
        <v>367</v>
      </c>
      <c r="B6603" s="5" t="s">
        <v>376</v>
      </c>
      <c r="C6603" s="5" t="s">
        <v>377</v>
      </c>
      <c r="D6603" s="4" t="s">
        <v>370</v>
      </c>
      <c r="E6603" s="4" t="s">
        <v>7166</v>
      </c>
      <c r="F6603" s="4" t="s">
        <v>406</v>
      </c>
      <c r="G6603" s="4" t="s">
        <v>7167</v>
      </c>
      <c r="H6603" s="12" t="n">
        <v>1</v>
      </c>
      <c r="I6603" s="4" t="s">
        <v>7036</v>
      </c>
      <c r="J6603" s="4" t="s">
        <v>543</v>
      </c>
      <c r="K6603" s="13" t="n">
        <v>250</v>
      </c>
      <c r="L6603" s="6" t="n">
        <f aca="false">H6603*K6603</f>
        <v>250</v>
      </c>
      <c r="M6603" s="14" t="s">
        <v>410</v>
      </c>
    </row>
    <row r="6604" customFormat="false" ht="23.85" hidden="false" customHeight="false" outlineLevel="0" collapsed="false">
      <c r="A6604" s="4" t="s">
        <v>367</v>
      </c>
      <c r="B6604" s="5" t="s">
        <v>376</v>
      </c>
      <c r="C6604" s="5" t="s">
        <v>377</v>
      </c>
      <c r="D6604" s="4" t="s">
        <v>370</v>
      </c>
      <c r="E6604" s="4" t="s">
        <v>7168</v>
      </c>
      <c r="F6604" s="4" t="s">
        <v>406</v>
      </c>
      <c r="G6604" s="4" t="s">
        <v>7169</v>
      </c>
      <c r="H6604" s="12" t="n">
        <v>1</v>
      </c>
      <c r="I6604" s="4" t="s">
        <v>7036</v>
      </c>
      <c r="J6604" s="4" t="s">
        <v>543</v>
      </c>
      <c r="K6604" s="13" t="n">
        <v>150</v>
      </c>
      <c r="L6604" s="6" t="n">
        <f aca="false">H6604*K6604</f>
        <v>150</v>
      </c>
      <c r="M6604" s="14" t="s">
        <v>410</v>
      </c>
    </row>
    <row r="6605" customFormat="false" ht="23.85" hidden="false" customHeight="false" outlineLevel="0" collapsed="false">
      <c r="A6605" s="4" t="s">
        <v>367</v>
      </c>
      <c r="B6605" s="5" t="s">
        <v>376</v>
      </c>
      <c r="C6605" s="5" t="s">
        <v>377</v>
      </c>
      <c r="D6605" s="4" t="s">
        <v>370</v>
      </c>
      <c r="E6605" s="4" t="s">
        <v>7170</v>
      </c>
      <c r="F6605" s="4" t="s">
        <v>406</v>
      </c>
      <c r="G6605" s="4" t="s">
        <v>7171</v>
      </c>
      <c r="H6605" s="12" t="n">
        <v>1</v>
      </c>
      <c r="I6605" s="4" t="s">
        <v>7036</v>
      </c>
      <c r="J6605" s="4" t="s">
        <v>543</v>
      </c>
      <c r="K6605" s="13" t="n">
        <v>250</v>
      </c>
      <c r="L6605" s="6" t="n">
        <f aca="false">H6605*K6605</f>
        <v>250</v>
      </c>
      <c r="M6605" s="14" t="s">
        <v>410</v>
      </c>
    </row>
    <row r="6606" customFormat="false" ht="23.85" hidden="false" customHeight="false" outlineLevel="0" collapsed="false">
      <c r="A6606" s="4" t="s">
        <v>367</v>
      </c>
      <c r="B6606" s="5" t="s">
        <v>376</v>
      </c>
      <c r="C6606" s="5" t="s">
        <v>377</v>
      </c>
      <c r="D6606" s="4" t="s">
        <v>370</v>
      </c>
      <c r="E6606" s="4" t="s">
        <v>7172</v>
      </c>
      <c r="F6606" s="4" t="s">
        <v>406</v>
      </c>
      <c r="G6606" s="4" t="s">
        <v>7173</v>
      </c>
      <c r="H6606" s="12" t="n">
        <v>1</v>
      </c>
      <c r="I6606" s="4" t="s">
        <v>7036</v>
      </c>
      <c r="J6606" s="4" t="s">
        <v>416</v>
      </c>
      <c r="K6606" s="13" t="n">
        <v>450</v>
      </c>
      <c r="L6606" s="6" t="n">
        <f aca="false">H6606*K6606</f>
        <v>450</v>
      </c>
      <c r="M6606" s="14" t="s">
        <v>410</v>
      </c>
    </row>
    <row r="6607" customFormat="false" ht="23.85" hidden="false" customHeight="false" outlineLevel="0" collapsed="false">
      <c r="A6607" s="4" t="s">
        <v>367</v>
      </c>
      <c r="B6607" s="5" t="s">
        <v>376</v>
      </c>
      <c r="C6607" s="5" t="s">
        <v>377</v>
      </c>
      <c r="D6607" s="4" t="s">
        <v>370</v>
      </c>
      <c r="E6607" s="4" t="s">
        <v>7174</v>
      </c>
      <c r="F6607" s="4" t="s">
        <v>406</v>
      </c>
      <c r="G6607" s="4" t="s">
        <v>7175</v>
      </c>
      <c r="H6607" s="12" t="n">
        <v>2</v>
      </c>
      <c r="I6607" s="4" t="s">
        <v>7036</v>
      </c>
      <c r="J6607" s="4" t="s">
        <v>543</v>
      </c>
      <c r="K6607" s="13" t="n">
        <v>450</v>
      </c>
      <c r="L6607" s="6" t="n">
        <f aca="false">H6607*K6607</f>
        <v>900</v>
      </c>
      <c r="M6607" s="14" t="s">
        <v>410</v>
      </c>
    </row>
    <row r="6608" customFormat="false" ht="23.85" hidden="false" customHeight="false" outlineLevel="0" collapsed="false">
      <c r="A6608" s="4" t="s">
        <v>367</v>
      </c>
      <c r="B6608" s="5" t="s">
        <v>376</v>
      </c>
      <c r="C6608" s="5" t="s">
        <v>377</v>
      </c>
      <c r="D6608" s="4" t="s">
        <v>370</v>
      </c>
      <c r="E6608" s="4" t="s">
        <v>7176</v>
      </c>
      <c r="F6608" s="4" t="s">
        <v>406</v>
      </c>
      <c r="G6608" s="4" t="s">
        <v>7177</v>
      </c>
      <c r="H6608" s="12" t="n">
        <v>2</v>
      </c>
      <c r="I6608" s="4" t="s">
        <v>7036</v>
      </c>
      <c r="J6608" s="4" t="s">
        <v>543</v>
      </c>
      <c r="K6608" s="13" t="n">
        <v>400</v>
      </c>
      <c r="L6608" s="6" t="n">
        <f aca="false">H6608*K6608</f>
        <v>800</v>
      </c>
      <c r="M6608" s="14" t="s">
        <v>410</v>
      </c>
    </row>
    <row r="6609" customFormat="false" ht="23.85" hidden="false" customHeight="false" outlineLevel="0" collapsed="false">
      <c r="A6609" s="4" t="s">
        <v>367</v>
      </c>
      <c r="B6609" s="5" t="s">
        <v>376</v>
      </c>
      <c r="C6609" s="5" t="s">
        <v>377</v>
      </c>
      <c r="D6609" s="4" t="s">
        <v>370</v>
      </c>
      <c r="E6609" s="4" t="s">
        <v>7178</v>
      </c>
      <c r="F6609" s="4" t="s">
        <v>406</v>
      </c>
      <c r="G6609" s="4" t="s">
        <v>7179</v>
      </c>
      <c r="H6609" s="12" t="n">
        <v>1</v>
      </c>
      <c r="I6609" s="4" t="s">
        <v>7036</v>
      </c>
      <c r="J6609" s="4" t="s">
        <v>543</v>
      </c>
      <c r="K6609" s="13" t="n">
        <v>1500</v>
      </c>
      <c r="L6609" s="6" t="n">
        <f aca="false">H6609*K6609</f>
        <v>1500</v>
      </c>
      <c r="M6609" s="14" t="s">
        <v>410</v>
      </c>
    </row>
    <row r="6610" customFormat="false" ht="23.85" hidden="false" customHeight="false" outlineLevel="0" collapsed="false">
      <c r="A6610" s="4" t="s">
        <v>367</v>
      </c>
      <c r="B6610" s="5" t="s">
        <v>376</v>
      </c>
      <c r="C6610" s="5" t="s">
        <v>377</v>
      </c>
      <c r="D6610" s="4" t="s">
        <v>370</v>
      </c>
      <c r="E6610" s="4" t="s">
        <v>7180</v>
      </c>
      <c r="F6610" s="4" t="s">
        <v>406</v>
      </c>
      <c r="G6610" s="4" t="s">
        <v>7181</v>
      </c>
      <c r="H6610" s="12" t="n">
        <v>1</v>
      </c>
      <c r="I6610" s="4" t="s">
        <v>7036</v>
      </c>
      <c r="J6610" s="4" t="s">
        <v>543</v>
      </c>
      <c r="K6610" s="13" t="n">
        <v>350</v>
      </c>
      <c r="L6610" s="6" t="n">
        <f aca="false">H6610*K6610</f>
        <v>350</v>
      </c>
      <c r="M6610" s="14" t="s">
        <v>410</v>
      </c>
    </row>
    <row r="6611" customFormat="false" ht="23.85" hidden="false" customHeight="false" outlineLevel="0" collapsed="false">
      <c r="A6611" s="4" t="s">
        <v>367</v>
      </c>
      <c r="B6611" s="5" t="s">
        <v>376</v>
      </c>
      <c r="C6611" s="5" t="s">
        <v>377</v>
      </c>
      <c r="D6611" s="4" t="s">
        <v>370</v>
      </c>
      <c r="E6611" s="4" t="s">
        <v>7182</v>
      </c>
      <c r="F6611" s="4" t="s">
        <v>406</v>
      </c>
      <c r="G6611" s="4" t="s">
        <v>7183</v>
      </c>
      <c r="H6611" s="12" t="n">
        <v>1</v>
      </c>
      <c r="I6611" s="4" t="s">
        <v>7036</v>
      </c>
      <c r="J6611" s="4" t="s">
        <v>543</v>
      </c>
      <c r="K6611" s="13" t="n">
        <v>14000</v>
      </c>
      <c r="L6611" s="6" t="n">
        <f aca="false">H6611*K6611</f>
        <v>14000</v>
      </c>
      <c r="M6611" s="14" t="s">
        <v>410</v>
      </c>
    </row>
    <row r="6612" customFormat="false" ht="23.85" hidden="false" customHeight="false" outlineLevel="0" collapsed="false">
      <c r="A6612" s="4" t="s">
        <v>367</v>
      </c>
      <c r="B6612" s="5" t="s">
        <v>376</v>
      </c>
      <c r="C6612" s="5" t="s">
        <v>377</v>
      </c>
      <c r="D6612" s="4" t="s">
        <v>370</v>
      </c>
      <c r="E6612" s="4" t="s">
        <v>7184</v>
      </c>
      <c r="F6612" s="4" t="s">
        <v>406</v>
      </c>
      <c r="G6612" s="4" t="s">
        <v>7185</v>
      </c>
      <c r="H6612" s="12" t="n">
        <v>1</v>
      </c>
      <c r="I6612" s="4" t="s">
        <v>7036</v>
      </c>
      <c r="J6612" s="4" t="s">
        <v>416</v>
      </c>
      <c r="K6612" s="13" t="n">
        <v>1500</v>
      </c>
      <c r="L6612" s="6" t="n">
        <f aca="false">H6612*K6612</f>
        <v>1500</v>
      </c>
      <c r="M6612" s="14" t="s">
        <v>410</v>
      </c>
    </row>
    <row r="6613" customFormat="false" ht="23.85" hidden="false" customHeight="false" outlineLevel="0" collapsed="false">
      <c r="A6613" s="4" t="s">
        <v>367</v>
      </c>
      <c r="B6613" s="5" t="s">
        <v>376</v>
      </c>
      <c r="C6613" s="5" t="s">
        <v>377</v>
      </c>
      <c r="D6613" s="4" t="s">
        <v>370</v>
      </c>
      <c r="E6613" s="4" t="s">
        <v>7186</v>
      </c>
      <c r="F6613" s="4" t="s">
        <v>406</v>
      </c>
      <c r="G6613" s="4" t="s">
        <v>7187</v>
      </c>
      <c r="H6613" s="12" t="n">
        <v>1</v>
      </c>
      <c r="I6613" s="4" t="s">
        <v>7036</v>
      </c>
      <c r="J6613" s="4" t="s">
        <v>416</v>
      </c>
      <c r="K6613" s="13" t="n">
        <v>450</v>
      </c>
      <c r="L6613" s="6" t="n">
        <f aca="false">H6613*K6613</f>
        <v>450</v>
      </c>
      <c r="M6613" s="14" t="s">
        <v>410</v>
      </c>
    </row>
    <row r="6614" customFormat="false" ht="23.85" hidden="false" customHeight="false" outlineLevel="0" collapsed="false">
      <c r="A6614" s="4" t="s">
        <v>367</v>
      </c>
      <c r="B6614" s="5" t="s">
        <v>376</v>
      </c>
      <c r="C6614" s="5" t="s">
        <v>377</v>
      </c>
      <c r="D6614" s="4" t="s">
        <v>370</v>
      </c>
      <c r="E6614" s="4" t="s">
        <v>7188</v>
      </c>
      <c r="F6614" s="4" t="s">
        <v>406</v>
      </c>
      <c r="G6614" s="4" t="s">
        <v>7189</v>
      </c>
      <c r="H6614" s="12" t="n">
        <v>1</v>
      </c>
      <c r="I6614" s="4" t="s">
        <v>7036</v>
      </c>
      <c r="J6614" s="4" t="s">
        <v>543</v>
      </c>
      <c r="K6614" s="13" t="n">
        <v>350</v>
      </c>
      <c r="L6614" s="6" t="n">
        <f aca="false">H6614*K6614</f>
        <v>350</v>
      </c>
      <c r="M6614" s="14" t="s">
        <v>410</v>
      </c>
    </row>
    <row r="6615" customFormat="false" ht="23.85" hidden="false" customHeight="false" outlineLevel="0" collapsed="false">
      <c r="A6615" s="4" t="s">
        <v>367</v>
      </c>
      <c r="B6615" s="5" t="s">
        <v>376</v>
      </c>
      <c r="C6615" s="5" t="s">
        <v>377</v>
      </c>
      <c r="D6615" s="4" t="s">
        <v>370</v>
      </c>
      <c r="E6615" s="4" t="s">
        <v>7190</v>
      </c>
      <c r="F6615" s="4" t="s">
        <v>406</v>
      </c>
      <c r="G6615" s="4" t="s">
        <v>943</v>
      </c>
      <c r="H6615" s="12" t="n">
        <v>1</v>
      </c>
      <c r="I6615" s="4" t="s">
        <v>7036</v>
      </c>
      <c r="J6615" s="4" t="s">
        <v>409</v>
      </c>
      <c r="K6615" s="13" t="n">
        <v>180</v>
      </c>
      <c r="L6615" s="6" t="n">
        <f aca="false">H6615*K6615</f>
        <v>180</v>
      </c>
      <c r="M6615" s="14" t="s">
        <v>410</v>
      </c>
    </row>
    <row r="6616" customFormat="false" ht="23.85" hidden="false" customHeight="false" outlineLevel="0" collapsed="false">
      <c r="A6616" s="4" t="s">
        <v>367</v>
      </c>
      <c r="B6616" s="5" t="s">
        <v>376</v>
      </c>
      <c r="C6616" s="5" t="s">
        <v>377</v>
      </c>
      <c r="D6616" s="4" t="s">
        <v>370</v>
      </c>
      <c r="E6616" s="4" t="s">
        <v>7191</v>
      </c>
      <c r="F6616" s="4" t="s">
        <v>406</v>
      </c>
      <c r="G6616" s="4" t="s">
        <v>7192</v>
      </c>
      <c r="H6616" s="12" t="n">
        <v>1</v>
      </c>
      <c r="I6616" s="4" t="s">
        <v>7036</v>
      </c>
      <c r="J6616" s="4" t="s">
        <v>543</v>
      </c>
      <c r="K6616" s="13" t="n">
        <v>1500</v>
      </c>
      <c r="L6616" s="6" t="n">
        <f aca="false">H6616*K6616</f>
        <v>1500</v>
      </c>
      <c r="M6616" s="14" t="s">
        <v>410</v>
      </c>
    </row>
    <row r="6617" customFormat="false" ht="23.85" hidden="false" customHeight="false" outlineLevel="0" collapsed="false">
      <c r="A6617" s="4" t="s">
        <v>367</v>
      </c>
      <c r="B6617" s="5" t="s">
        <v>376</v>
      </c>
      <c r="C6617" s="5" t="s">
        <v>377</v>
      </c>
      <c r="D6617" s="4" t="s">
        <v>370</v>
      </c>
      <c r="E6617" s="4" t="s">
        <v>7193</v>
      </c>
      <c r="F6617" s="4" t="s">
        <v>406</v>
      </c>
      <c r="G6617" s="4" t="s">
        <v>7194</v>
      </c>
      <c r="H6617" s="12" t="n">
        <v>1</v>
      </c>
      <c r="I6617" s="4" t="s">
        <v>7036</v>
      </c>
      <c r="J6617" s="4" t="s">
        <v>543</v>
      </c>
      <c r="K6617" s="13" t="n">
        <v>450</v>
      </c>
      <c r="L6617" s="6" t="n">
        <f aca="false">H6617*K6617</f>
        <v>450</v>
      </c>
      <c r="M6617" s="14" t="s">
        <v>410</v>
      </c>
    </row>
    <row r="6618" customFormat="false" ht="23.85" hidden="false" customHeight="false" outlineLevel="0" collapsed="false">
      <c r="A6618" s="4" t="s">
        <v>367</v>
      </c>
      <c r="B6618" s="5" t="s">
        <v>376</v>
      </c>
      <c r="C6618" s="5" t="s">
        <v>377</v>
      </c>
      <c r="D6618" s="4" t="s">
        <v>370</v>
      </c>
      <c r="E6618" s="4" t="s">
        <v>7195</v>
      </c>
      <c r="F6618" s="4" t="s">
        <v>406</v>
      </c>
      <c r="G6618" s="4" t="s">
        <v>7196</v>
      </c>
      <c r="H6618" s="12" t="n">
        <v>1</v>
      </c>
      <c r="I6618" s="4" t="s">
        <v>7036</v>
      </c>
      <c r="J6618" s="4" t="s">
        <v>543</v>
      </c>
      <c r="K6618" s="13" t="n">
        <v>450</v>
      </c>
      <c r="L6618" s="6" t="n">
        <f aca="false">H6618*K6618</f>
        <v>450</v>
      </c>
      <c r="M6618" s="14" t="s">
        <v>410</v>
      </c>
    </row>
    <row r="6619" customFormat="false" ht="23.85" hidden="false" customHeight="false" outlineLevel="0" collapsed="false">
      <c r="A6619" s="4" t="s">
        <v>367</v>
      </c>
      <c r="B6619" s="5" t="s">
        <v>376</v>
      </c>
      <c r="C6619" s="5" t="s">
        <v>377</v>
      </c>
      <c r="D6619" s="4" t="s">
        <v>370</v>
      </c>
      <c r="E6619" s="4" t="s">
        <v>7197</v>
      </c>
      <c r="F6619" s="4" t="s">
        <v>406</v>
      </c>
      <c r="G6619" s="4" t="s">
        <v>7198</v>
      </c>
      <c r="H6619" s="12" t="n">
        <v>1</v>
      </c>
      <c r="I6619" s="4" t="s">
        <v>7036</v>
      </c>
      <c r="J6619" s="4" t="s">
        <v>543</v>
      </c>
      <c r="K6619" s="13" t="n">
        <v>180</v>
      </c>
      <c r="L6619" s="6" t="n">
        <f aca="false">H6619*K6619</f>
        <v>180</v>
      </c>
      <c r="M6619" s="14" t="s">
        <v>410</v>
      </c>
    </row>
    <row r="6620" customFormat="false" ht="23.85" hidden="false" customHeight="false" outlineLevel="0" collapsed="false">
      <c r="A6620" s="4" t="s">
        <v>367</v>
      </c>
      <c r="B6620" s="5" t="s">
        <v>376</v>
      </c>
      <c r="C6620" s="5" t="s">
        <v>377</v>
      </c>
      <c r="D6620" s="4" t="s">
        <v>370</v>
      </c>
      <c r="E6620" s="4" t="s">
        <v>7199</v>
      </c>
      <c r="F6620" s="4" t="s">
        <v>406</v>
      </c>
      <c r="G6620" s="4" t="s">
        <v>7200</v>
      </c>
      <c r="H6620" s="12" t="n">
        <v>15</v>
      </c>
      <c r="I6620" s="4" t="s">
        <v>7036</v>
      </c>
      <c r="J6620" s="4" t="s">
        <v>543</v>
      </c>
      <c r="K6620" s="13" t="n">
        <v>30</v>
      </c>
      <c r="L6620" s="6" t="n">
        <f aca="false">H6620*K6620</f>
        <v>450</v>
      </c>
      <c r="M6620" s="14" t="s">
        <v>410</v>
      </c>
    </row>
    <row r="6621" customFormat="false" ht="23.85" hidden="false" customHeight="false" outlineLevel="0" collapsed="false">
      <c r="A6621" s="4" t="s">
        <v>367</v>
      </c>
      <c r="B6621" s="5" t="s">
        <v>376</v>
      </c>
      <c r="C6621" s="5" t="s">
        <v>377</v>
      </c>
      <c r="D6621" s="4" t="s">
        <v>370</v>
      </c>
      <c r="E6621" s="4" t="s">
        <v>7201</v>
      </c>
      <c r="F6621" s="4" t="s">
        <v>406</v>
      </c>
      <c r="G6621" s="4" t="s">
        <v>7202</v>
      </c>
      <c r="H6621" s="12" t="n">
        <v>1</v>
      </c>
      <c r="I6621" s="4" t="s">
        <v>7036</v>
      </c>
      <c r="J6621" s="4" t="s">
        <v>416</v>
      </c>
      <c r="K6621" s="13" t="n">
        <v>900</v>
      </c>
      <c r="L6621" s="6" t="n">
        <f aca="false">H6621*K6621</f>
        <v>900</v>
      </c>
      <c r="M6621" s="14" t="s">
        <v>410</v>
      </c>
    </row>
    <row r="6622" customFormat="false" ht="23.85" hidden="false" customHeight="false" outlineLevel="0" collapsed="false">
      <c r="A6622" s="4" t="s">
        <v>367</v>
      </c>
      <c r="B6622" s="5" t="s">
        <v>376</v>
      </c>
      <c r="C6622" s="5" t="s">
        <v>377</v>
      </c>
      <c r="D6622" s="4" t="s">
        <v>370</v>
      </c>
      <c r="E6622" s="4" t="s">
        <v>7203</v>
      </c>
      <c r="F6622" s="4" t="s">
        <v>406</v>
      </c>
      <c r="G6622" s="4" t="s">
        <v>7204</v>
      </c>
      <c r="H6622" s="12" t="n">
        <v>1</v>
      </c>
      <c r="I6622" s="4" t="s">
        <v>7036</v>
      </c>
      <c r="J6622" s="4" t="s">
        <v>543</v>
      </c>
      <c r="K6622" s="13" t="n">
        <v>450</v>
      </c>
      <c r="L6622" s="6" t="n">
        <f aca="false">H6622*K6622</f>
        <v>450</v>
      </c>
      <c r="M6622" s="14" t="s">
        <v>410</v>
      </c>
    </row>
    <row r="6623" customFormat="false" ht="23.85" hidden="false" customHeight="false" outlineLevel="0" collapsed="false">
      <c r="A6623" s="4" t="s">
        <v>367</v>
      </c>
      <c r="B6623" s="5" t="s">
        <v>376</v>
      </c>
      <c r="C6623" s="5" t="s">
        <v>377</v>
      </c>
      <c r="D6623" s="4" t="s">
        <v>370</v>
      </c>
      <c r="E6623" s="4" t="s">
        <v>7205</v>
      </c>
      <c r="F6623" s="4" t="s">
        <v>406</v>
      </c>
      <c r="G6623" s="4" t="s">
        <v>7206</v>
      </c>
      <c r="H6623" s="12" t="n">
        <v>1</v>
      </c>
      <c r="I6623" s="4" t="s">
        <v>7036</v>
      </c>
      <c r="J6623" s="4" t="s">
        <v>543</v>
      </c>
      <c r="K6623" s="13" t="n">
        <v>300</v>
      </c>
      <c r="L6623" s="6" t="n">
        <f aca="false">H6623*K6623</f>
        <v>300</v>
      </c>
      <c r="M6623" s="14" t="s">
        <v>410</v>
      </c>
    </row>
    <row r="6624" customFormat="false" ht="23.85" hidden="false" customHeight="false" outlineLevel="0" collapsed="false">
      <c r="A6624" s="4" t="s">
        <v>367</v>
      </c>
      <c r="B6624" s="5" t="s">
        <v>376</v>
      </c>
      <c r="C6624" s="5" t="s">
        <v>377</v>
      </c>
      <c r="D6624" s="4" t="s">
        <v>370</v>
      </c>
      <c r="E6624" s="4" t="s">
        <v>7207</v>
      </c>
      <c r="F6624" s="4" t="s">
        <v>406</v>
      </c>
      <c r="G6624" s="4" t="s">
        <v>7208</v>
      </c>
      <c r="H6624" s="12" t="n">
        <v>1</v>
      </c>
      <c r="I6624" s="4" t="s">
        <v>7036</v>
      </c>
      <c r="J6624" s="4" t="s">
        <v>543</v>
      </c>
      <c r="K6624" s="13" t="n">
        <v>300</v>
      </c>
      <c r="L6624" s="6" t="n">
        <f aca="false">H6624*K6624</f>
        <v>300</v>
      </c>
      <c r="M6624" s="14" t="s">
        <v>410</v>
      </c>
    </row>
    <row r="6625" customFormat="false" ht="23.85" hidden="false" customHeight="false" outlineLevel="0" collapsed="false">
      <c r="A6625" s="4" t="s">
        <v>367</v>
      </c>
      <c r="B6625" s="5" t="s">
        <v>376</v>
      </c>
      <c r="C6625" s="5" t="s">
        <v>377</v>
      </c>
      <c r="D6625" s="4" t="s">
        <v>370</v>
      </c>
      <c r="E6625" s="4" t="s">
        <v>7209</v>
      </c>
      <c r="F6625" s="4" t="s">
        <v>406</v>
      </c>
      <c r="G6625" s="4" t="s">
        <v>7210</v>
      </c>
      <c r="H6625" s="12" t="n">
        <v>1</v>
      </c>
      <c r="I6625" s="4" t="s">
        <v>7036</v>
      </c>
      <c r="J6625" s="4" t="s">
        <v>543</v>
      </c>
      <c r="K6625" s="13" t="n">
        <v>4500</v>
      </c>
      <c r="L6625" s="6" t="n">
        <f aca="false">H6625*K6625</f>
        <v>4500</v>
      </c>
      <c r="M6625" s="14" t="s">
        <v>410</v>
      </c>
    </row>
    <row r="6626" customFormat="false" ht="23.85" hidden="false" customHeight="false" outlineLevel="0" collapsed="false">
      <c r="A6626" s="4" t="s">
        <v>367</v>
      </c>
      <c r="B6626" s="5" t="s">
        <v>376</v>
      </c>
      <c r="C6626" s="5" t="s">
        <v>377</v>
      </c>
      <c r="D6626" s="4" t="s">
        <v>370</v>
      </c>
      <c r="E6626" s="4" t="s">
        <v>7211</v>
      </c>
      <c r="F6626" s="4" t="s">
        <v>406</v>
      </c>
      <c r="G6626" s="4" t="s">
        <v>7212</v>
      </c>
      <c r="H6626" s="12" t="n">
        <v>1</v>
      </c>
      <c r="I6626" s="4" t="s">
        <v>7036</v>
      </c>
      <c r="J6626" s="4" t="s">
        <v>543</v>
      </c>
      <c r="K6626" s="13" t="n">
        <v>3500</v>
      </c>
      <c r="L6626" s="6" t="n">
        <f aca="false">H6626*K6626</f>
        <v>3500</v>
      </c>
      <c r="M6626" s="14" t="s">
        <v>410</v>
      </c>
    </row>
    <row r="6627" customFormat="false" ht="23.85" hidden="false" customHeight="false" outlineLevel="0" collapsed="false">
      <c r="A6627" s="4" t="s">
        <v>367</v>
      </c>
      <c r="B6627" s="5" t="s">
        <v>376</v>
      </c>
      <c r="C6627" s="5" t="s">
        <v>377</v>
      </c>
      <c r="D6627" s="4" t="s">
        <v>370</v>
      </c>
      <c r="E6627" s="4" t="s">
        <v>7213</v>
      </c>
      <c r="F6627" s="4" t="s">
        <v>406</v>
      </c>
      <c r="G6627" s="4" t="s">
        <v>7214</v>
      </c>
      <c r="H6627" s="12" t="n">
        <v>2</v>
      </c>
      <c r="I6627" s="4" t="s">
        <v>7036</v>
      </c>
      <c r="J6627" s="4" t="s">
        <v>543</v>
      </c>
      <c r="K6627" s="13" t="n">
        <v>2500</v>
      </c>
      <c r="L6627" s="6" t="n">
        <f aca="false">H6627*K6627</f>
        <v>5000</v>
      </c>
      <c r="M6627" s="14" t="s">
        <v>410</v>
      </c>
    </row>
    <row r="6628" customFormat="false" ht="23.85" hidden="false" customHeight="false" outlineLevel="0" collapsed="false">
      <c r="A6628" s="4" t="s">
        <v>367</v>
      </c>
      <c r="B6628" s="5" t="s">
        <v>376</v>
      </c>
      <c r="C6628" s="5" t="s">
        <v>377</v>
      </c>
      <c r="D6628" s="4" t="s">
        <v>370</v>
      </c>
      <c r="E6628" s="4" t="s">
        <v>7215</v>
      </c>
      <c r="F6628" s="4" t="s">
        <v>406</v>
      </c>
      <c r="G6628" s="4" t="s">
        <v>7216</v>
      </c>
      <c r="H6628" s="12" t="n">
        <v>1</v>
      </c>
      <c r="I6628" s="4" t="s">
        <v>7036</v>
      </c>
      <c r="J6628" s="4" t="s">
        <v>416</v>
      </c>
      <c r="K6628" s="13" t="n">
        <v>1200</v>
      </c>
      <c r="L6628" s="6" t="n">
        <f aca="false">H6628*K6628</f>
        <v>1200</v>
      </c>
      <c r="M6628" s="14" t="s">
        <v>410</v>
      </c>
    </row>
    <row r="6629" customFormat="false" ht="23.85" hidden="false" customHeight="false" outlineLevel="0" collapsed="false">
      <c r="A6629" s="4" t="s">
        <v>367</v>
      </c>
      <c r="B6629" s="5" t="s">
        <v>376</v>
      </c>
      <c r="C6629" s="5" t="s">
        <v>377</v>
      </c>
      <c r="D6629" s="4" t="s">
        <v>370</v>
      </c>
      <c r="E6629" s="4" t="s">
        <v>7217</v>
      </c>
      <c r="F6629" s="4" t="s">
        <v>406</v>
      </c>
      <c r="G6629" s="4" t="s">
        <v>7218</v>
      </c>
      <c r="H6629" s="12" t="n">
        <v>1</v>
      </c>
      <c r="I6629" s="4" t="s">
        <v>7036</v>
      </c>
      <c r="J6629" s="4" t="s">
        <v>416</v>
      </c>
      <c r="K6629" s="13" t="n">
        <v>1500</v>
      </c>
      <c r="L6629" s="6" t="n">
        <f aca="false">H6629*K6629</f>
        <v>1500</v>
      </c>
      <c r="M6629" s="14" t="s">
        <v>410</v>
      </c>
    </row>
    <row r="6630" customFormat="false" ht="23.85" hidden="false" customHeight="false" outlineLevel="0" collapsed="false">
      <c r="A6630" s="4" t="s">
        <v>367</v>
      </c>
      <c r="B6630" s="5" t="s">
        <v>376</v>
      </c>
      <c r="C6630" s="5" t="s">
        <v>377</v>
      </c>
      <c r="D6630" s="4" t="s">
        <v>370</v>
      </c>
      <c r="E6630" s="4" t="s">
        <v>7219</v>
      </c>
      <c r="F6630" s="4" t="s">
        <v>406</v>
      </c>
      <c r="G6630" s="4" t="s">
        <v>7220</v>
      </c>
      <c r="H6630" s="12" t="n">
        <v>1</v>
      </c>
      <c r="I6630" s="4" t="s">
        <v>7036</v>
      </c>
      <c r="J6630" s="4" t="s">
        <v>416</v>
      </c>
      <c r="K6630" s="13" t="n">
        <v>2500</v>
      </c>
      <c r="L6630" s="6" t="n">
        <f aca="false">H6630*K6630</f>
        <v>2500</v>
      </c>
      <c r="M6630" s="14" t="s">
        <v>410</v>
      </c>
    </row>
    <row r="6631" customFormat="false" ht="23.85" hidden="false" customHeight="false" outlineLevel="0" collapsed="false">
      <c r="A6631" s="4" t="s">
        <v>367</v>
      </c>
      <c r="B6631" s="5" t="s">
        <v>376</v>
      </c>
      <c r="C6631" s="5" t="s">
        <v>377</v>
      </c>
      <c r="D6631" s="4" t="s">
        <v>370</v>
      </c>
      <c r="E6631" s="4" t="s">
        <v>7221</v>
      </c>
      <c r="F6631" s="4" t="s">
        <v>406</v>
      </c>
      <c r="G6631" s="4" t="s">
        <v>7222</v>
      </c>
      <c r="H6631" s="12" t="n">
        <v>1</v>
      </c>
      <c r="I6631" s="4" t="s">
        <v>7036</v>
      </c>
      <c r="J6631" s="4" t="s">
        <v>543</v>
      </c>
      <c r="K6631" s="13" t="n">
        <v>450</v>
      </c>
      <c r="L6631" s="6" t="n">
        <f aca="false">H6631*K6631</f>
        <v>450</v>
      </c>
      <c r="M6631" s="14" t="s">
        <v>410</v>
      </c>
    </row>
    <row r="6632" customFormat="false" ht="23.85" hidden="false" customHeight="false" outlineLevel="0" collapsed="false">
      <c r="A6632" s="4" t="s">
        <v>367</v>
      </c>
      <c r="B6632" s="5" t="s">
        <v>376</v>
      </c>
      <c r="C6632" s="5" t="s">
        <v>377</v>
      </c>
      <c r="D6632" s="4" t="s">
        <v>370</v>
      </c>
      <c r="E6632" s="4" t="s">
        <v>7223</v>
      </c>
      <c r="F6632" s="4" t="s">
        <v>406</v>
      </c>
      <c r="G6632" s="4" t="s">
        <v>7224</v>
      </c>
      <c r="H6632" s="12" t="n">
        <v>1</v>
      </c>
      <c r="I6632" s="4" t="s">
        <v>7036</v>
      </c>
      <c r="J6632" s="4" t="s">
        <v>543</v>
      </c>
      <c r="K6632" s="13" t="n">
        <v>12000</v>
      </c>
      <c r="L6632" s="6" t="n">
        <f aca="false">H6632*K6632</f>
        <v>12000</v>
      </c>
      <c r="M6632" s="14" t="s">
        <v>410</v>
      </c>
    </row>
    <row r="6633" customFormat="false" ht="23.85" hidden="false" customHeight="false" outlineLevel="0" collapsed="false">
      <c r="A6633" s="4" t="s">
        <v>367</v>
      </c>
      <c r="B6633" s="5" t="s">
        <v>376</v>
      </c>
      <c r="C6633" s="5" t="s">
        <v>377</v>
      </c>
      <c r="D6633" s="4" t="s">
        <v>370</v>
      </c>
      <c r="E6633" s="4" t="s">
        <v>7225</v>
      </c>
      <c r="F6633" s="4" t="s">
        <v>406</v>
      </c>
      <c r="G6633" s="4" t="s">
        <v>7226</v>
      </c>
      <c r="H6633" s="12" t="n">
        <v>1</v>
      </c>
      <c r="I6633" s="4" t="s">
        <v>7036</v>
      </c>
      <c r="J6633" s="4" t="s">
        <v>7227</v>
      </c>
      <c r="K6633" s="13" t="n">
        <v>250</v>
      </c>
      <c r="L6633" s="6" t="n">
        <f aca="false">H6633*K6633</f>
        <v>250</v>
      </c>
      <c r="M6633" s="14" t="s">
        <v>410</v>
      </c>
    </row>
    <row r="6634" customFormat="false" ht="23.85" hidden="false" customHeight="false" outlineLevel="0" collapsed="false">
      <c r="A6634" s="4" t="s">
        <v>367</v>
      </c>
      <c r="B6634" s="5" t="s">
        <v>376</v>
      </c>
      <c r="C6634" s="5" t="s">
        <v>377</v>
      </c>
      <c r="D6634" s="4" t="s">
        <v>370</v>
      </c>
      <c r="E6634" s="4" t="s">
        <v>7228</v>
      </c>
      <c r="F6634" s="4" t="s">
        <v>406</v>
      </c>
      <c r="G6634" s="4" t="s">
        <v>7229</v>
      </c>
      <c r="H6634" s="12" t="n">
        <v>1</v>
      </c>
      <c r="I6634" s="4" t="s">
        <v>7036</v>
      </c>
      <c r="J6634" s="4" t="s">
        <v>543</v>
      </c>
      <c r="K6634" s="13" t="n">
        <v>350</v>
      </c>
      <c r="L6634" s="6" t="n">
        <f aca="false">H6634*K6634</f>
        <v>350</v>
      </c>
      <c r="M6634" s="14" t="s">
        <v>410</v>
      </c>
    </row>
    <row r="6635" customFormat="false" ht="23.85" hidden="false" customHeight="false" outlineLevel="0" collapsed="false">
      <c r="A6635" s="4" t="s">
        <v>367</v>
      </c>
      <c r="B6635" s="5" t="s">
        <v>376</v>
      </c>
      <c r="C6635" s="5" t="s">
        <v>377</v>
      </c>
      <c r="D6635" s="4" t="s">
        <v>370</v>
      </c>
      <c r="E6635" s="4" t="s">
        <v>7230</v>
      </c>
      <c r="F6635" s="4" t="s">
        <v>406</v>
      </c>
      <c r="G6635" s="4" t="s">
        <v>7231</v>
      </c>
      <c r="H6635" s="12" t="n">
        <v>2</v>
      </c>
      <c r="I6635" s="4" t="s">
        <v>7036</v>
      </c>
      <c r="J6635" s="4" t="s">
        <v>543</v>
      </c>
      <c r="K6635" s="13" t="n">
        <v>100</v>
      </c>
      <c r="L6635" s="6" t="n">
        <f aca="false">H6635*K6635</f>
        <v>200</v>
      </c>
      <c r="M6635" s="14" t="s">
        <v>410</v>
      </c>
    </row>
    <row r="6636" customFormat="false" ht="23.85" hidden="false" customHeight="false" outlineLevel="0" collapsed="false">
      <c r="A6636" s="4" t="s">
        <v>367</v>
      </c>
      <c r="B6636" s="5" t="s">
        <v>376</v>
      </c>
      <c r="C6636" s="5" t="s">
        <v>377</v>
      </c>
      <c r="D6636" s="4" t="s">
        <v>370</v>
      </c>
      <c r="E6636" s="4" t="s">
        <v>7232</v>
      </c>
      <c r="F6636" s="4" t="s">
        <v>406</v>
      </c>
      <c r="G6636" s="4" t="s">
        <v>7233</v>
      </c>
      <c r="H6636" s="12" t="n">
        <v>2</v>
      </c>
      <c r="I6636" s="4" t="s">
        <v>7036</v>
      </c>
      <c r="J6636" s="4" t="s">
        <v>543</v>
      </c>
      <c r="K6636" s="13" t="n">
        <v>450</v>
      </c>
      <c r="L6636" s="6" t="n">
        <f aca="false">H6636*K6636</f>
        <v>900</v>
      </c>
      <c r="M6636" s="14" t="s">
        <v>410</v>
      </c>
    </row>
    <row r="6637" customFormat="false" ht="23.85" hidden="false" customHeight="false" outlineLevel="0" collapsed="false">
      <c r="A6637" s="4" t="s">
        <v>367</v>
      </c>
      <c r="B6637" s="5" t="s">
        <v>376</v>
      </c>
      <c r="C6637" s="5" t="s">
        <v>377</v>
      </c>
      <c r="D6637" s="4" t="s">
        <v>370</v>
      </c>
      <c r="E6637" s="4" t="s">
        <v>7234</v>
      </c>
      <c r="F6637" s="4" t="s">
        <v>406</v>
      </c>
      <c r="G6637" s="4" t="s">
        <v>7235</v>
      </c>
      <c r="H6637" s="12" t="n">
        <v>1</v>
      </c>
      <c r="I6637" s="4" t="s">
        <v>7036</v>
      </c>
      <c r="J6637" s="4" t="s">
        <v>543</v>
      </c>
      <c r="K6637" s="13" t="n">
        <v>250</v>
      </c>
      <c r="L6637" s="6" t="n">
        <f aca="false">H6637*K6637</f>
        <v>250</v>
      </c>
      <c r="M6637" s="14" t="s">
        <v>410</v>
      </c>
    </row>
    <row r="6638" customFormat="false" ht="23.85" hidden="false" customHeight="false" outlineLevel="0" collapsed="false">
      <c r="A6638" s="4" t="s">
        <v>367</v>
      </c>
      <c r="B6638" s="5" t="s">
        <v>376</v>
      </c>
      <c r="C6638" s="5" t="s">
        <v>377</v>
      </c>
      <c r="D6638" s="4" t="s">
        <v>370</v>
      </c>
      <c r="E6638" s="4" t="s">
        <v>7236</v>
      </c>
      <c r="F6638" s="4" t="s">
        <v>406</v>
      </c>
      <c r="G6638" s="4" t="s">
        <v>7237</v>
      </c>
      <c r="H6638" s="12" t="n">
        <v>1</v>
      </c>
      <c r="I6638" s="4" t="s">
        <v>7036</v>
      </c>
      <c r="J6638" s="4" t="s">
        <v>543</v>
      </c>
      <c r="K6638" s="13" t="n">
        <v>450</v>
      </c>
      <c r="L6638" s="6" t="n">
        <f aca="false">H6638*K6638</f>
        <v>450</v>
      </c>
      <c r="M6638" s="14" t="s">
        <v>410</v>
      </c>
    </row>
    <row r="6639" customFormat="false" ht="23.85" hidden="false" customHeight="false" outlineLevel="0" collapsed="false">
      <c r="A6639" s="4" t="s">
        <v>367</v>
      </c>
      <c r="B6639" s="5" t="s">
        <v>376</v>
      </c>
      <c r="C6639" s="5" t="s">
        <v>377</v>
      </c>
      <c r="D6639" s="4" t="s">
        <v>370</v>
      </c>
      <c r="E6639" s="4" t="s">
        <v>7238</v>
      </c>
      <c r="F6639" s="4" t="s">
        <v>406</v>
      </c>
      <c r="G6639" s="4" t="s">
        <v>7239</v>
      </c>
      <c r="H6639" s="12" t="n">
        <v>1</v>
      </c>
      <c r="I6639" s="4" t="s">
        <v>7036</v>
      </c>
      <c r="J6639" s="4" t="s">
        <v>416</v>
      </c>
      <c r="K6639" s="13" t="n">
        <v>900</v>
      </c>
      <c r="L6639" s="6" t="n">
        <f aca="false">H6639*K6639</f>
        <v>900</v>
      </c>
      <c r="M6639" s="14" t="s">
        <v>410</v>
      </c>
    </row>
    <row r="6640" customFormat="false" ht="23.85" hidden="false" customHeight="false" outlineLevel="0" collapsed="false">
      <c r="A6640" s="4" t="s">
        <v>367</v>
      </c>
      <c r="B6640" s="5" t="s">
        <v>376</v>
      </c>
      <c r="C6640" s="5" t="s">
        <v>377</v>
      </c>
      <c r="D6640" s="4" t="s">
        <v>370</v>
      </c>
      <c r="E6640" s="4" t="s">
        <v>7240</v>
      </c>
      <c r="F6640" s="4" t="s">
        <v>406</v>
      </c>
      <c r="G6640" s="4" t="s">
        <v>7241</v>
      </c>
      <c r="H6640" s="12" t="n">
        <v>1</v>
      </c>
      <c r="I6640" s="4" t="s">
        <v>7036</v>
      </c>
      <c r="J6640" s="4" t="s">
        <v>543</v>
      </c>
      <c r="K6640" s="13" t="n">
        <v>300</v>
      </c>
      <c r="L6640" s="6" t="n">
        <f aca="false">H6640*K6640</f>
        <v>300</v>
      </c>
      <c r="M6640" s="14" t="s">
        <v>410</v>
      </c>
    </row>
    <row r="6641" customFormat="false" ht="23.85" hidden="false" customHeight="false" outlineLevel="0" collapsed="false">
      <c r="A6641" s="4" t="s">
        <v>367</v>
      </c>
      <c r="B6641" s="5" t="s">
        <v>376</v>
      </c>
      <c r="C6641" s="5" t="s">
        <v>377</v>
      </c>
      <c r="D6641" s="4" t="s">
        <v>370</v>
      </c>
      <c r="E6641" s="4" t="s">
        <v>4283</v>
      </c>
      <c r="F6641" s="4" t="s">
        <v>406</v>
      </c>
      <c r="G6641" s="4" t="s">
        <v>1875</v>
      </c>
      <c r="H6641" s="12" t="n">
        <v>1</v>
      </c>
      <c r="I6641" s="4" t="s">
        <v>7036</v>
      </c>
      <c r="J6641" s="4" t="s">
        <v>409</v>
      </c>
      <c r="K6641" s="13" t="n">
        <v>350</v>
      </c>
      <c r="L6641" s="6" t="n">
        <f aca="false">H6641*K6641</f>
        <v>350</v>
      </c>
      <c r="M6641" s="14" t="s">
        <v>410</v>
      </c>
    </row>
    <row r="6642" customFormat="false" ht="23.85" hidden="false" customHeight="false" outlineLevel="0" collapsed="false">
      <c r="A6642" s="4" t="s">
        <v>367</v>
      </c>
      <c r="B6642" s="5" t="s">
        <v>376</v>
      </c>
      <c r="C6642" s="5" t="s">
        <v>377</v>
      </c>
      <c r="D6642" s="4" t="s">
        <v>370</v>
      </c>
      <c r="E6642" s="4" t="s">
        <v>7242</v>
      </c>
      <c r="F6642" s="4" t="s">
        <v>406</v>
      </c>
      <c r="G6642" s="4" t="s">
        <v>7243</v>
      </c>
      <c r="H6642" s="12" t="n">
        <v>1</v>
      </c>
      <c r="I6642" s="4" t="s">
        <v>7036</v>
      </c>
      <c r="J6642" s="4" t="s">
        <v>7244</v>
      </c>
      <c r="K6642" s="13" t="n">
        <v>150</v>
      </c>
      <c r="L6642" s="6" t="n">
        <f aca="false">H6642*K6642</f>
        <v>150</v>
      </c>
      <c r="M6642" s="14" t="s">
        <v>410</v>
      </c>
    </row>
    <row r="6643" customFormat="false" ht="23.85" hidden="false" customHeight="false" outlineLevel="0" collapsed="false">
      <c r="A6643" s="4" t="s">
        <v>367</v>
      </c>
      <c r="B6643" s="5" t="s">
        <v>376</v>
      </c>
      <c r="C6643" s="5" t="s">
        <v>377</v>
      </c>
      <c r="D6643" s="4" t="s">
        <v>370</v>
      </c>
      <c r="E6643" s="4" t="s">
        <v>7245</v>
      </c>
      <c r="F6643" s="4" t="s">
        <v>406</v>
      </c>
      <c r="G6643" s="4" t="s">
        <v>7246</v>
      </c>
      <c r="H6643" s="12" t="n">
        <v>1</v>
      </c>
      <c r="I6643" s="4" t="s">
        <v>7036</v>
      </c>
      <c r="J6643" s="4" t="s">
        <v>543</v>
      </c>
      <c r="K6643" s="13" t="n">
        <v>450</v>
      </c>
      <c r="L6643" s="6" t="n">
        <f aca="false">H6643*K6643</f>
        <v>450</v>
      </c>
      <c r="M6643" s="14" t="s">
        <v>410</v>
      </c>
    </row>
    <row r="6644" customFormat="false" ht="23.85" hidden="false" customHeight="false" outlineLevel="0" collapsed="false">
      <c r="A6644" s="4" t="s">
        <v>367</v>
      </c>
      <c r="B6644" s="5" t="s">
        <v>376</v>
      </c>
      <c r="C6644" s="5" t="s">
        <v>377</v>
      </c>
      <c r="D6644" s="4" t="s">
        <v>370</v>
      </c>
      <c r="E6644" s="4" t="s">
        <v>7247</v>
      </c>
      <c r="F6644" s="4" t="s">
        <v>406</v>
      </c>
      <c r="G6644" s="4" t="s">
        <v>7248</v>
      </c>
      <c r="H6644" s="12" t="n">
        <v>1</v>
      </c>
      <c r="I6644" s="4" t="s">
        <v>7036</v>
      </c>
      <c r="J6644" s="4" t="s">
        <v>416</v>
      </c>
      <c r="K6644" s="13" t="n">
        <v>600</v>
      </c>
      <c r="L6644" s="6" t="n">
        <f aca="false">H6644*K6644</f>
        <v>600</v>
      </c>
      <c r="M6644" s="14" t="s">
        <v>410</v>
      </c>
    </row>
    <row r="6645" customFormat="false" ht="23.85" hidden="false" customHeight="false" outlineLevel="0" collapsed="false">
      <c r="A6645" s="4" t="s">
        <v>367</v>
      </c>
      <c r="B6645" s="5" t="s">
        <v>376</v>
      </c>
      <c r="C6645" s="5" t="s">
        <v>377</v>
      </c>
      <c r="D6645" s="4" t="s">
        <v>370</v>
      </c>
      <c r="E6645" s="4" t="s">
        <v>7249</v>
      </c>
      <c r="F6645" s="4" t="s">
        <v>406</v>
      </c>
      <c r="G6645" s="4" t="s">
        <v>7250</v>
      </c>
      <c r="H6645" s="12" t="n">
        <v>2</v>
      </c>
      <c r="I6645" s="4" t="s">
        <v>7036</v>
      </c>
      <c r="J6645" s="4" t="s">
        <v>543</v>
      </c>
      <c r="K6645" s="13" t="n">
        <v>450</v>
      </c>
      <c r="L6645" s="6" t="n">
        <f aca="false">H6645*K6645</f>
        <v>900</v>
      </c>
      <c r="M6645" s="14" t="s">
        <v>410</v>
      </c>
    </row>
    <row r="6646" customFormat="false" ht="23.85" hidden="false" customHeight="false" outlineLevel="0" collapsed="false">
      <c r="A6646" s="4" t="s">
        <v>367</v>
      </c>
      <c r="B6646" s="5" t="s">
        <v>376</v>
      </c>
      <c r="C6646" s="5" t="s">
        <v>377</v>
      </c>
      <c r="D6646" s="4" t="s">
        <v>370</v>
      </c>
      <c r="E6646" s="4" t="s">
        <v>7251</v>
      </c>
      <c r="F6646" s="4" t="s">
        <v>406</v>
      </c>
      <c r="G6646" s="4" t="s">
        <v>7252</v>
      </c>
      <c r="H6646" s="12" t="n">
        <v>4</v>
      </c>
      <c r="I6646" s="4" t="s">
        <v>7036</v>
      </c>
      <c r="J6646" s="4" t="s">
        <v>543</v>
      </c>
      <c r="K6646" s="13" t="n">
        <v>300</v>
      </c>
      <c r="L6646" s="6" t="n">
        <f aca="false">H6646*K6646</f>
        <v>1200</v>
      </c>
      <c r="M6646" s="14" t="s">
        <v>410</v>
      </c>
    </row>
    <row r="6647" customFormat="false" ht="23.85" hidden="false" customHeight="false" outlineLevel="0" collapsed="false">
      <c r="A6647" s="4" t="s">
        <v>367</v>
      </c>
      <c r="B6647" s="5" t="s">
        <v>376</v>
      </c>
      <c r="C6647" s="5" t="s">
        <v>377</v>
      </c>
      <c r="D6647" s="4" t="s">
        <v>370</v>
      </c>
      <c r="E6647" s="4" t="s">
        <v>7253</v>
      </c>
      <c r="F6647" s="4" t="s">
        <v>406</v>
      </c>
      <c r="G6647" s="4" t="s">
        <v>7254</v>
      </c>
      <c r="H6647" s="12" t="n">
        <v>2</v>
      </c>
      <c r="I6647" s="4" t="s">
        <v>7036</v>
      </c>
      <c r="J6647" s="4" t="s">
        <v>543</v>
      </c>
      <c r="K6647" s="13" t="n">
        <v>550</v>
      </c>
      <c r="L6647" s="6" t="n">
        <f aca="false">H6647*K6647</f>
        <v>1100</v>
      </c>
      <c r="M6647" s="14" t="s">
        <v>410</v>
      </c>
    </row>
    <row r="6648" customFormat="false" ht="23.85" hidden="false" customHeight="false" outlineLevel="0" collapsed="false">
      <c r="A6648" s="4" t="s">
        <v>367</v>
      </c>
      <c r="B6648" s="5" t="s">
        <v>376</v>
      </c>
      <c r="C6648" s="5" t="s">
        <v>377</v>
      </c>
      <c r="D6648" s="4" t="s">
        <v>370</v>
      </c>
      <c r="E6648" s="4" t="s">
        <v>7255</v>
      </c>
      <c r="F6648" s="4" t="s">
        <v>406</v>
      </c>
      <c r="G6648" s="4" t="s">
        <v>7256</v>
      </c>
      <c r="H6648" s="12" t="n">
        <v>1</v>
      </c>
      <c r="I6648" s="4" t="s">
        <v>7036</v>
      </c>
      <c r="J6648" s="4" t="s">
        <v>416</v>
      </c>
      <c r="K6648" s="13" t="n">
        <v>3500</v>
      </c>
      <c r="L6648" s="6" t="n">
        <f aca="false">H6648*K6648</f>
        <v>3500</v>
      </c>
      <c r="M6648" s="14" t="s">
        <v>410</v>
      </c>
    </row>
    <row r="6649" customFormat="false" ht="23.85" hidden="false" customHeight="false" outlineLevel="0" collapsed="false">
      <c r="A6649" s="4" t="s">
        <v>367</v>
      </c>
      <c r="B6649" s="5" t="s">
        <v>376</v>
      </c>
      <c r="C6649" s="5" t="s">
        <v>377</v>
      </c>
      <c r="D6649" s="4" t="s">
        <v>370</v>
      </c>
      <c r="E6649" s="4" t="s">
        <v>7257</v>
      </c>
      <c r="F6649" s="4" t="s">
        <v>406</v>
      </c>
      <c r="G6649" s="4" t="s">
        <v>2524</v>
      </c>
      <c r="H6649" s="12" t="n">
        <v>1</v>
      </c>
      <c r="I6649" s="4" t="s">
        <v>7036</v>
      </c>
      <c r="J6649" s="4" t="s">
        <v>409</v>
      </c>
      <c r="K6649" s="13" t="n">
        <v>3500</v>
      </c>
      <c r="L6649" s="6" t="n">
        <f aca="false">H6649*K6649</f>
        <v>3500</v>
      </c>
      <c r="M6649" s="14" t="s">
        <v>410</v>
      </c>
    </row>
    <row r="6650" customFormat="false" ht="23.85" hidden="false" customHeight="false" outlineLevel="0" collapsed="false">
      <c r="A6650" s="4" t="s">
        <v>367</v>
      </c>
      <c r="B6650" s="5" t="s">
        <v>376</v>
      </c>
      <c r="C6650" s="5" t="s">
        <v>377</v>
      </c>
      <c r="D6650" s="4" t="s">
        <v>370</v>
      </c>
      <c r="E6650" s="4" t="s">
        <v>7258</v>
      </c>
      <c r="F6650" s="4" t="s">
        <v>406</v>
      </c>
      <c r="G6650" s="4" t="s">
        <v>2516</v>
      </c>
      <c r="H6650" s="12" t="n">
        <v>1</v>
      </c>
      <c r="I6650" s="4" t="s">
        <v>7036</v>
      </c>
      <c r="J6650" s="4" t="s">
        <v>409</v>
      </c>
      <c r="K6650" s="13" t="n">
        <v>1800</v>
      </c>
      <c r="L6650" s="6" t="n">
        <f aca="false">H6650*K6650</f>
        <v>1800</v>
      </c>
      <c r="M6650" s="14" t="s">
        <v>410</v>
      </c>
    </row>
    <row r="6651" customFormat="false" ht="23.85" hidden="false" customHeight="false" outlineLevel="0" collapsed="false">
      <c r="A6651" s="4" t="s">
        <v>367</v>
      </c>
      <c r="B6651" s="5" t="s">
        <v>376</v>
      </c>
      <c r="C6651" s="5" t="s">
        <v>377</v>
      </c>
      <c r="D6651" s="4" t="s">
        <v>370</v>
      </c>
      <c r="E6651" s="4" t="s">
        <v>7259</v>
      </c>
      <c r="F6651" s="4" t="s">
        <v>406</v>
      </c>
      <c r="G6651" s="4" t="s">
        <v>7260</v>
      </c>
      <c r="H6651" s="12" t="n">
        <v>1</v>
      </c>
      <c r="I6651" s="4" t="s">
        <v>7036</v>
      </c>
      <c r="J6651" s="4" t="s">
        <v>543</v>
      </c>
      <c r="K6651" s="13" t="n">
        <v>400</v>
      </c>
      <c r="L6651" s="6" t="n">
        <f aca="false">H6651*K6651</f>
        <v>400</v>
      </c>
      <c r="M6651" s="14" t="s">
        <v>410</v>
      </c>
    </row>
    <row r="6652" customFormat="false" ht="23.85" hidden="false" customHeight="false" outlineLevel="0" collapsed="false">
      <c r="A6652" s="4" t="s">
        <v>367</v>
      </c>
      <c r="B6652" s="5" t="s">
        <v>376</v>
      </c>
      <c r="C6652" s="5" t="s">
        <v>377</v>
      </c>
      <c r="D6652" s="4" t="s">
        <v>370</v>
      </c>
      <c r="E6652" s="4" t="s">
        <v>7261</v>
      </c>
      <c r="F6652" s="4" t="s">
        <v>488</v>
      </c>
      <c r="G6652" s="4" t="s">
        <v>7262</v>
      </c>
      <c r="H6652" s="12" t="n">
        <v>30</v>
      </c>
      <c r="I6652" s="4" t="s">
        <v>7036</v>
      </c>
      <c r="J6652" s="4" t="s">
        <v>543</v>
      </c>
      <c r="K6652" s="13" t="n">
        <v>40</v>
      </c>
      <c r="L6652" s="6" t="n">
        <f aca="false">H6652*K6652</f>
        <v>1200</v>
      </c>
      <c r="M6652" s="14" t="s">
        <v>410</v>
      </c>
    </row>
    <row r="6653" customFormat="false" ht="23.85" hidden="false" customHeight="false" outlineLevel="0" collapsed="false">
      <c r="A6653" s="4" t="s">
        <v>367</v>
      </c>
      <c r="B6653" s="5" t="s">
        <v>376</v>
      </c>
      <c r="C6653" s="5" t="s">
        <v>377</v>
      </c>
      <c r="D6653" s="4" t="s">
        <v>370</v>
      </c>
      <c r="E6653" s="4" t="s">
        <v>6112</v>
      </c>
      <c r="F6653" s="4" t="s">
        <v>406</v>
      </c>
      <c r="G6653" s="4" t="s">
        <v>1916</v>
      </c>
      <c r="H6653" s="12" t="n">
        <v>4</v>
      </c>
      <c r="I6653" s="4" t="s">
        <v>7036</v>
      </c>
      <c r="J6653" s="4" t="s">
        <v>409</v>
      </c>
      <c r="K6653" s="13" t="n">
        <v>850</v>
      </c>
      <c r="L6653" s="6" t="n">
        <f aca="false">H6653*K6653</f>
        <v>3400</v>
      </c>
      <c r="M6653" s="14" t="s">
        <v>410</v>
      </c>
    </row>
    <row r="6654" customFormat="false" ht="23.85" hidden="false" customHeight="false" outlineLevel="0" collapsed="false">
      <c r="A6654" s="4" t="s">
        <v>367</v>
      </c>
      <c r="B6654" s="5" t="s">
        <v>376</v>
      </c>
      <c r="C6654" s="5" t="s">
        <v>377</v>
      </c>
      <c r="D6654" s="4" t="s">
        <v>370</v>
      </c>
      <c r="E6654" s="4" t="s">
        <v>7263</v>
      </c>
      <c r="F6654" s="4" t="s">
        <v>406</v>
      </c>
      <c r="G6654" s="4" t="s">
        <v>7264</v>
      </c>
      <c r="H6654" s="12" t="n">
        <v>6</v>
      </c>
      <c r="I6654" s="4" t="s">
        <v>7036</v>
      </c>
      <c r="J6654" s="4" t="s">
        <v>543</v>
      </c>
      <c r="K6654" s="13" t="n">
        <v>150</v>
      </c>
      <c r="L6654" s="6" t="n">
        <f aca="false">H6654*K6654</f>
        <v>900</v>
      </c>
      <c r="M6654" s="14" t="s">
        <v>410</v>
      </c>
    </row>
    <row r="6655" customFormat="false" ht="23.85" hidden="false" customHeight="false" outlineLevel="0" collapsed="false">
      <c r="A6655" s="4" t="s">
        <v>367</v>
      </c>
      <c r="B6655" s="5" t="s">
        <v>376</v>
      </c>
      <c r="C6655" s="5" t="s">
        <v>377</v>
      </c>
      <c r="D6655" s="4" t="s">
        <v>370</v>
      </c>
      <c r="E6655" s="4" t="s">
        <v>7265</v>
      </c>
      <c r="F6655" s="4" t="s">
        <v>406</v>
      </c>
      <c r="G6655" s="4" t="s">
        <v>7266</v>
      </c>
      <c r="H6655" s="12" t="n">
        <v>10</v>
      </c>
      <c r="I6655" s="4" t="s">
        <v>7036</v>
      </c>
      <c r="J6655" s="4" t="s">
        <v>543</v>
      </c>
      <c r="K6655" s="13" t="n">
        <v>200</v>
      </c>
      <c r="L6655" s="6" t="n">
        <f aca="false">H6655*K6655</f>
        <v>2000</v>
      </c>
      <c r="M6655" s="14" t="s">
        <v>410</v>
      </c>
    </row>
    <row r="6656" customFormat="false" ht="23.85" hidden="false" customHeight="false" outlineLevel="0" collapsed="false">
      <c r="A6656" s="4" t="s">
        <v>367</v>
      </c>
      <c r="B6656" s="5" t="s">
        <v>376</v>
      </c>
      <c r="C6656" s="5" t="s">
        <v>377</v>
      </c>
      <c r="D6656" s="4" t="s">
        <v>370</v>
      </c>
      <c r="E6656" s="4" t="s">
        <v>7267</v>
      </c>
      <c r="F6656" s="4" t="s">
        <v>406</v>
      </c>
      <c r="G6656" s="4" t="s">
        <v>7268</v>
      </c>
      <c r="H6656" s="12" t="n">
        <v>3</v>
      </c>
      <c r="I6656" s="4" t="s">
        <v>7036</v>
      </c>
      <c r="J6656" s="4" t="s">
        <v>543</v>
      </c>
      <c r="K6656" s="13" t="n">
        <v>450</v>
      </c>
      <c r="L6656" s="6" t="n">
        <f aca="false">H6656*K6656</f>
        <v>1350</v>
      </c>
      <c r="M6656" s="14" t="s">
        <v>410</v>
      </c>
    </row>
    <row r="6657" customFormat="false" ht="23.85" hidden="false" customHeight="false" outlineLevel="0" collapsed="false">
      <c r="A6657" s="4" t="s">
        <v>367</v>
      </c>
      <c r="B6657" s="5" t="s">
        <v>376</v>
      </c>
      <c r="C6657" s="5" t="s">
        <v>377</v>
      </c>
      <c r="D6657" s="4" t="s">
        <v>370</v>
      </c>
      <c r="E6657" s="4" t="s">
        <v>7269</v>
      </c>
      <c r="F6657" s="4" t="s">
        <v>406</v>
      </c>
      <c r="G6657" s="4" t="s">
        <v>7270</v>
      </c>
      <c r="H6657" s="12" t="n">
        <v>15</v>
      </c>
      <c r="I6657" s="4" t="s">
        <v>7036</v>
      </c>
      <c r="J6657" s="4" t="s">
        <v>543</v>
      </c>
      <c r="K6657" s="13" t="n">
        <v>450</v>
      </c>
      <c r="L6657" s="6" t="n">
        <f aca="false">H6657*K6657</f>
        <v>6750</v>
      </c>
      <c r="M6657" s="14" t="s">
        <v>410</v>
      </c>
    </row>
    <row r="6658" customFormat="false" ht="23.85" hidden="false" customHeight="false" outlineLevel="0" collapsed="false">
      <c r="A6658" s="4" t="s">
        <v>367</v>
      </c>
      <c r="B6658" s="5" t="s">
        <v>376</v>
      </c>
      <c r="C6658" s="5" t="s">
        <v>377</v>
      </c>
      <c r="D6658" s="4" t="s">
        <v>370</v>
      </c>
      <c r="E6658" s="4" t="s">
        <v>7271</v>
      </c>
      <c r="F6658" s="4" t="s">
        <v>488</v>
      </c>
      <c r="G6658" s="4" t="s">
        <v>7272</v>
      </c>
      <c r="H6658" s="12" t="n">
        <v>4</v>
      </c>
      <c r="I6658" s="4" t="s">
        <v>7036</v>
      </c>
      <c r="J6658" s="4" t="s">
        <v>475</v>
      </c>
      <c r="K6658" s="13" t="n">
        <v>450</v>
      </c>
      <c r="L6658" s="6" t="n">
        <f aca="false">H6658*K6658</f>
        <v>1800</v>
      </c>
      <c r="M6658" s="14" t="s">
        <v>410</v>
      </c>
    </row>
    <row r="6659" customFormat="false" ht="23.85" hidden="false" customHeight="false" outlineLevel="0" collapsed="false">
      <c r="A6659" s="4" t="s">
        <v>367</v>
      </c>
      <c r="B6659" s="5" t="s">
        <v>376</v>
      </c>
      <c r="C6659" s="5" t="s">
        <v>377</v>
      </c>
      <c r="D6659" s="4" t="s">
        <v>370</v>
      </c>
      <c r="E6659" s="4" t="s">
        <v>7273</v>
      </c>
      <c r="F6659" s="4" t="s">
        <v>488</v>
      </c>
      <c r="G6659" s="4" t="s">
        <v>7274</v>
      </c>
      <c r="H6659" s="12" t="n">
        <v>4</v>
      </c>
      <c r="I6659" s="4" t="s">
        <v>7036</v>
      </c>
      <c r="J6659" s="4" t="s">
        <v>475</v>
      </c>
      <c r="K6659" s="13" t="n">
        <v>80</v>
      </c>
      <c r="L6659" s="6" t="n">
        <f aca="false">H6659*K6659</f>
        <v>320</v>
      </c>
      <c r="M6659" s="14" t="s">
        <v>410</v>
      </c>
    </row>
    <row r="6660" customFormat="false" ht="23.85" hidden="false" customHeight="false" outlineLevel="0" collapsed="false">
      <c r="A6660" s="4" t="s">
        <v>367</v>
      </c>
      <c r="B6660" s="5" t="s">
        <v>376</v>
      </c>
      <c r="C6660" s="5" t="s">
        <v>377</v>
      </c>
      <c r="D6660" s="4" t="s">
        <v>370</v>
      </c>
      <c r="E6660" s="4" t="s">
        <v>7275</v>
      </c>
      <c r="F6660" s="4" t="s">
        <v>488</v>
      </c>
      <c r="G6660" s="4" t="s">
        <v>7276</v>
      </c>
      <c r="H6660" s="12" t="n">
        <v>2</v>
      </c>
      <c r="I6660" s="4" t="s">
        <v>7036</v>
      </c>
      <c r="J6660" s="4" t="s">
        <v>475</v>
      </c>
      <c r="K6660" s="13" t="n">
        <v>120</v>
      </c>
      <c r="L6660" s="6" t="n">
        <f aca="false">H6660*K6660</f>
        <v>240</v>
      </c>
      <c r="M6660" s="14" t="s">
        <v>410</v>
      </c>
    </row>
    <row r="6661" customFormat="false" ht="23.85" hidden="false" customHeight="false" outlineLevel="0" collapsed="false">
      <c r="A6661" s="4" t="s">
        <v>367</v>
      </c>
      <c r="B6661" s="5" t="s">
        <v>376</v>
      </c>
      <c r="C6661" s="5" t="s">
        <v>377</v>
      </c>
      <c r="D6661" s="4" t="s">
        <v>370</v>
      </c>
      <c r="E6661" s="4" t="s">
        <v>7277</v>
      </c>
      <c r="F6661" s="4" t="s">
        <v>406</v>
      </c>
      <c r="G6661" s="4" t="s">
        <v>7278</v>
      </c>
      <c r="H6661" s="12" t="n">
        <v>4</v>
      </c>
      <c r="I6661" s="4" t="s">
        <v>7036</v>
      </c>
      <c r="J6661" s="4" t="s">
        <v>543</v>
      </c>
      <c r="K6661" s="13" t="n">
        <v>500</v>
      </c>
      <c r="L6661" s="6" t="n">
        <f aca="false">H6661*K6661</f>
        <v>2000</v>
      </c>
      <c r="M6661" s="14" t="s">
        <v>410</v>
      </c>
    </row>
    <row r="6662" customFormat="false" ht="23.85" hidden="false" customHeight="false" outlineLevel="0" collapsed="false">
      <c r="A6662" s="4" t="s">
        <v>367</v>
      </c>
      <c r="B6662" s="5" t="s">
        <v>376</v>
      </c>
      <c r="C6662" s="5" t="s">
        <v>377</v>
      </c>
      <c r="D6662" s="4" t="s">
        <v>370</v>
      </c>
      <c r="E6662" s="4" t="s">
        <v>7279</v>
      </c>
      <c r="F6662" s="4" t="s">
        <v>406</v>
      </c>
      <c r="G6662" s="4" t="s">
        <v>7280</v>
      </c>
      <c r="H6662" s="12" t="n">
        <v>12</v>
      </c>
      <c r="I6662" s="4" t="s">
        <v>7036</v>
      </c>
      <c r="J6662" s="4" t="s">
        <v>475</v>
      </c>
      <c r="K6662" s="13" t="n">
        <v>200</v>
      </c>
      <c r="L6662" s="6" t="n">
        <f aca="false">H6662*K6662</f>
        <v>2400</v>
      </c>
      <c r="M6662" s="14" t="s">
        <v>410</v>
      </c>
    </row>
    <row r="6663" customFormat="false" ht="23.85" hidden="false" customHeight="false" outlineLevel="0" collapsed="false">
      <c r="A6663" s="4" t="s">
        <v>367</v>
      </c>
      <c r="B6663" s="5" t="s">
        <v>376</v>
      </c>
      <c r="C6663" s="5" t="s">
        <v>377</v>
      </c>
      <c r="D6663" s="4" t="s">
        <v>370</v>
      </c>
      <c r="E6663" s="4" t="s">
        <v>3774</v>
      </c>
      <c r="F6663" s="4" t="s">
        <v>470</v>
      </c>
      <c r="G6663" s="4" t="s">
        <v>2278</v>
      </c>
      <c r="H6663" s="12" t="n">
        <v>1</v>
      </c>
      <c r="I6663" s="4" t="s">
        <v>7036</v>
      </c>
      <c r="J6663" s="4" t="s">
        <v>413</v>
      </c>
      <c r="K6663" s="13" t="n">
        <v>450</v>
      </c>
      <c r="L6663" s="6" t="n">
        <f aca="false">H6663*K6663</f>
        <v>450</v>
      </c>
      <c r="M6663" s="14" t="s">
        <v>410</v>
      </c>
    </row>
    <row r="6664" customFormat="false" ht="23.85" hidden="false" customHeight="false" outlineLevel="0" collapsed="false">
      <c r="A6664" s="4" t="s">
        <v>367</v>
      </c>
      <c r="B6664" s="5" t="s">
        <v>376</v>
      </c>
      <c r="C6664" s="5" t="s">
        <v>377</v>
      </c>
      <c r="D6664" s="4" t="s">
        <v>370</v>
      </c>
      <c r="E6664" s="4" t="s">
        <v>2602</v>
      </c>
      <c r="F6664" s="4" t="s">
        <v>406</v>
      </c>
      <c r="G6664" s="4" t="s">
        <v>2603</v>
      </c>
      <c r="H6664" s="12" t="n">
        <v>1</v>
      </c>
      <c r="I6664" s="4" t="s">
        <v>7036</v>
      </c>
      <c r="J6664" s="4" t="s">
        <v>409</v>
      </c>
      <c r="K6664" s="13" t="n">
        <v>650</v>
      </c>
      <c r="L6664" s="6" t="n">
        <f aca="false">H6664*K6664</f>
        <v>650</v>
      </c>
      <c r="M6664" s="14" t="s">
        <v>410</v>
      </c>
    </row>
    <row r="6665" customFormat="false" ht="23.85" hidden="false" customHeight="false" outlineLevel="0" collapsed="false">
      <c r="A6665" s="4" t="s">
        <v>367</v>
      </c>
      <c r="B6665" s="5" t="s">
        <v>376</v>
      </c>
      <c r="C6665" s="5" t="s">
        <v>377</v>
      </c>
      <c r="D6665" s="4" t="s">
        <v>370</v>
      </c>
      <c r="E6665" s="4" t="s">
        <v>2604</v>
      </c>
      <c r="F6665" s="4" t="s">
        <v>406</v>
      </c>
      <c r="G6665" s="4" t="s">
        <v>2605</v>
      </c>
      <c r="H6665" s="12" t="n">
        <v>1</v>
      </c>
      <c r="I6665" s="4" t="s">
        <v>7036</v>
      </c>
      <c r="J6665" s="4" t="s">
        <v>409</v>
      </c>
      <c r="K6665" s="13" t="n">
        <v>1800</v>
      </c>
      <c r="L6665" s="6" t="n">
        <f aca="false">H6665*K6665</f>
        <v>1800</v>
      </c>
      <c r="M6665" s="14" t="s">
        <v>410</v>
      </c>
    </row>
    <row r="6666" customFormat="false" ht="23.85" hidden="false" customHeight="false" outlineLevel="0" collapsed="false">
      <c r="A6666" s="4" t="s">
        <v>367</v>
      </c>
      <c r="B6666" s="5" t="s">
        <v>376</v>
      </c>
      <c r="C6666" s="5" t="s">
        <v>377</v>
      </c>
      <c r="D6666" s="4" t="s">
        <v>370</v>
      </c>
      <c r="E6666" s="4" t="s">
        <v>7281</v>
      </c>
      <c r="F6666" s="4" t="s">
        <v>406</v>
      </c>
      <c r="G6666" s="4" t="s">
        <v>7282</v>
      </c>
      <c r="H6666" s="12" t="n">
        <v>1</v>
      </c>
      <c r="I6666" s="4" t="s">
        <v>7036</v>
      </c>
      <c r="J6666" s="4" t="s">
        <v>543</v>
      </c>
      <c r="K6666" s="13" t="n">
        <v>2500</v>
      </c>
      <c r="L6666" s="6" t="n">
        <f aca="false">H6666*K6666</f>
        <v>2500</v>
      </c>
      <c r="M6666" s="14" t="s">
        <v>410</v>
      </c>
    </row>
    <row r="6667" customFormat="false" ht="23.85" hidden="false" customHeight="false" outlineLevel="0" collapsed="false">
      <c r="A6667" s="4" t="s">
        <v>367</v>
      </c>
      <c r="B6667" s="5" t="s">
        <v>376</v>
      </c>
      <c r="C6667" s="5" t="s">
        <v>377</v>
      </c>
      <c r="D6667" s="4" t="s">
        <v>370</v>
      </c>
      <c r="E6667" s="4" t="s">
        <v>7283</v>
      </c>
      <c r="F6667" s="4" t="s">
        <v>406</v>
      </c>
      <c r="G6667" s="4" t="s">
        <v>4850</v>
      </c>
      <c r="H6667" s="12" t="n">
        <v>1</v>
      </c>
      <c r="I6667" s="4" t="s">
        <v>7036</v>
      </c>
      <c r="J6667" s="4" t="s">
        <v>409</v>
      </c>
      <c r="K6667" s="13" t="n">
        <v>1800</v>
      </c>
      <c r="L6667" s="6" t="n">
        <f aca="false">H6667*K6667</f>
        <v>1800</v>
      </c>
      <c r="M6667" s="14" t="s">
        <v>410</v>
      </c>
    </row>
    <row r="6668" customFormat="false" ht="23.85" hidden="false" customHeight="false" outlineLevel="0" collapsed="false">
      <c r="A6668" s="4" t="s">
        <v>367</v>
      </c>
      <c r="B6668" s="5" t="s">
        <v>376</v>
      </c>
      <c r="C6668" s="5" t="s">
        <v>377</v>
      </c>
      <c r="D6668" s="4" t="s">
        <v>370</v>
      </c>
      <c r="E6668" s="4" t="s">
        <v>7284</v>
      </c>
      <c r="F6668" s="4" t="s">
        <v>406</v>
      </c>
      <c r="G6668" s="4" t="s">
        <v>7285</v>
      </c>
      <c r="H6668" s="12" t="n">
        <v>1</v>
      </c>
      <c r="I6668" s="4" t="s">
        <v>7036</v>
      </c>
      <c r="J6668" s="4" t="s">
        <v>543</v>
      </c>
      <c r="K6668" s="13" t="n">
        <v>1200</v>
      </c>
      <c r="L6668" s="6" t="n">
        <f aca="false">H6668*K6668</f>
        <v>1200</v>
      </c>
      <c r="M6668" s="14" t="s">
        <v>410</v>
      </c>
    </row>
    <row r="6669" customFormat="false" ht="23.85" hidden="false" customHeight="false" outlineLevel="0" collapsed="false">
      <c r="A6669" s="4" t="s">
        <v>367</v>
      </c>
      <c r="B6669" s="5" t="s">
        <v>376</v>
      </c>
      <c r="C6669" s="5" t="s">
        <v>377</v>
      </c>
      <c r="D6669" s="4" t="s">
        <v>370</v>
      </c>
      <c r="E6669" s="4" t="s">
        <v>2610</v>
      </c>
      <c r="F6669" s="4" t="s">
        <v>406</v>
      </c>
      <c r="G6669" s="4" t="s">
        <v>2611</v>
      </c>
      <c r="H6669" s="12" t="n">
        <v>1</v>
      </c>
      <c r="I6669" s="4" t="s">
        <v>7036</v>
      </c>
      <c r="J6669" s="4" t="s">
        <v>409</v>
      </c>
      <c r="K6669" s="13" t="n">
        <v>650</v>
      </c>
      <c r="L6669" s="6" t="n">
        <f aca="false">H6669*K6669</f>
        <v>650</v>
      </c>
      <c r="M6669" s="14" t="s">
        <v>410</v>
      </c>
    </row>
    <row r="6670" customFormat="false" ht="23.85" hidden="false" customHeight="false" outlineLevel="0" collapsed="false">
      <c r="A6670" s="4" t="s">
        <v>367</v>
      </c>
      <c r="B6670" s="5" t="s">
        <v>376</v>
      </c>
      <c r="C6670" s="5" t="s">
        <v>377</v>
      </c>
      <c r="D6670" s="4" t="s">
        <v>370</v>
      </c>
      <c r="E6670" s="4" t="s">
        <v>7286</v>
      </c>
      <c r="F6670" s="4" t="s">
        <v>406</v>
      </c>
      <c r="G6670" s="4" t="s">
        <v>4514</v>
      </c>
      <c r="H6670" s="12" t="n">
        <v>2</v>
      </c>
      <c r="I6670" s="4" t="s">
        <v>7036</v>
      </c>
      <c r="J6670" s="4" t="s">
        <v>409</v>
      </c>
      <c r="K6670" s="13" t="n">
        <v>650</v>
      </c>
      <c r="L6670" s="6" t="n">
        <f aca="false">H6670*K6670</f>
        <v>1300</v>
      </c>
      <c r="M6670" s="14" t="s">
        <v>410</v>
      </c>
    </row>
    <row r="6671" customFormat="false" ht="23.85" hidden="false" customHeight="false" outlineLevel="0" collapsed="false">
      <c r="A6671" s="4" t="s">
        <v>367</v>
      </c>
      <c r="B6671" s="5" t="s">
        <v>376</v>
      </c>
      <c r="C6671" s="5" t="s">
        <v>377</v>
      </c>
      <c r="D6671" s="4" t="s">
        <v>370</v>
      </c>
      <c r="E6671" s="4" t="s">
        <v>7287</v>
      </c>
      <c r="F6671" s="4" t="s">
        <v>406</v>
      </c>
      <c r="G6671" s="4" t="s">
        <v>673</v>
      </c>
      <c r="H6671" s="12" t="n">
        <v>1</v>
      </c>
      <c r="I6671" s="4" t="s">
        <v>7036</v>
      </c>
      <c r="J6671" s="4" t="s">
        <v>409</v>
      </c>
      <c r="K6671" s="13" t="n">
        <v>450</v>
      </c>
      <c r="L6671" s="6" t="n">
        <f aca="false">H6671*K6671</f>
        <v>450</v>
      </c>
      <c r="M6671" s="14" t="s">
        <v>410</v>
      </c>
    </row>
    <row r="6672" customFormat="false" ht="23.85" hidden="false" customHeight="false" outlineLevel="0" collapsed="false">
      <c r="A6672" s="4" t="s">
        <v>367</v>
      </c>
      <c r="B6672" s="5" t="s">
        <v>376</v>
      </c>
      <c r="C6672" s="5" t="s">
        <v>377</v>
      </c>
      <c r="D6672" s="4" t="s">
        <v>370</v>
      </c>
      <c r="E6672" s="4" t="s">
        <v>7288</v>
      </c>
      <c r="F6672" s="4" t="s">
        <v>406</v>
      </c>
      <c r="G6672" s="4" t="s">
        <v>7289</v>
      </c>
      <c r="H6672" s="12" t="n">
        <v>1</v>
      </c>
      <c r="I6672" s="4" t="s">
        <v>7036</v>
      </c>
      <c r="J6672" s="4" t="s">
        <v>543</v>
      </c>
      <c r="K6672" s="13" t="n">
        <v>450</v>
      </c>
      <c r="L6672" s="6" t="n">
        <f aca="false">H6672*K6672</f>
        <v>450</v>
      </c>
      <c r="M6672" s="14" t="s">
        <v>410</v>
      </c>
    </row>
    <row r="6673" customFormat="false" ht="23.85" hidden="false" customHeight="false" outlineLevel="0" collapsed="false">
      <c r="A6673" s="4" t="s">
        <v>367</v>
      </c>
      <c r="B6673" s="5" t="s">
        <v>376</v>
      </c>
      <c r="C6673" s="5" t="s">
        <v>377</v>
      </c>
      <c r="D6673" s="4" t="s">
        <v>370</v>
      </c>
      <c r="E6673" s="4" t="s">
        <v>7290</v>
      </c>
      <c r="F6673" s="4" t="s">
        <v>406</v>
      </c>
      <c r="G6673" s="4" t="s">
        <v>7291</v>
      </c>
      <c r="H6673" s="12" t="n">
        <v>2</v>
      </c>
      <c r="I6673" s="4" t="s">
        <v>7036</v>
      </c>
      <c r="J6673" s="4" t="s">
        <v>543</v>
      </c>
      <c r="K6673" s="13" t="n">
        <v>350</v>
      </c>
      <c r="L6673" s="6" t="n">
        <f aca="false">H6673*K6673</f>
        <v>700</v>
      </c>
      <c r="M6673" s="14" t="s">
        <v>410</v>
      </c>
    </row>
    <row r="6674" customFormat="false" ht="23.85" hidden="false" customHeight="false" outlineLevel="0" collapsed="false">
      <c r="A6674" s="4" t="s">
        <v>367</v>
      </c>
      <c r="B6674" s="5" t="s">
        <v>376</v>
      </c>
      <c r="C6674" s="5" t="s">
        <v>377</v>
      </c>
      <c r="D6674" s="4" t="s">
        <v>370</v>
      </c>
      <c r="E6674" s="4" t="s">
        <v>7292</v>
      </c>
      <c r="F6674" s="4" t="s">
        <v>406</v>
      </c>
      <c r="G6674" s="4" t="s">
        <v>7293</v>
      </c>
      <c r="H6674" s="12" t="n">
        <v>2</v>
      </c>
      <c r="I6674" s="4" t="s">
        <v>7036</v>
      </c>
      <c r="J6674" s="4" t="s">
        <v>543</v>
      </c>
      <c r="K6674" s="13" t="n">
        <v>250</v>
      </c>
      <c r="L6674" s="6" t="n">
        <f aca="false">H6674*K6674</f>
        <v>500</v>
      </c>
      <c r="M6674" s="14" t="s">
        <v>410</v>
      </c>
    </row>
    <row r="6675" customFormat="false" ht="23.85" hidden="false" customHeight="false" outlineLevel="0" collapsed="false">
      <c r="A6675" s="4" t="s">
        <v>367</v>
      </c>
      <c r="B6675" s="5" t="s">
        <v>376</v>
      </c>
      <c r="C6675" s="5" t="s">
        <v>377</v>
      </c>
      <c r="D6675" s="4" t="s">
        <v>370</v>
      </c>
      <c r="E6675" s="4" t="s">
        <v>7294</v>
      </c>
      <c r="F6675" s="4" t="s">
        <v>406</v>
      </c>
      <c r="G6675" s="4" t="s">
        <v>7295</v>
      </c>
      <c r="H6675" s="12" t="n">
        <v>2</v>
      </c>
      <c r="I6675" s="4" t="s">
        <v>7036</v>
      </c>
      <c r="J6675" s="4" t="s">
        <v>543</v>
      </c>
      <c r="K6675" s="13" t="n">
        <v>250</v>
      </c>
      <c r="L6675" s="6" t="n">
        <f aca="false">H6675*K6675</f>
        <v>500</v>
      </c>
      <c r="M6675" s="14" t="s">
        <v>410</v>
      </c>
    </row>
    <row r="6676" customFormat="false" ht="23.85" hidden="false" customHeight="false" outlineLevel="0" collapsed="false">
      <c r="A6676" s="4" t="s">
        <v>367</v>
      </c>
      <c r="B6676" s="5" t="s">
        <v>376</v>
      </c>
      <c r="C6676" s="5" t="s">
        <v>377</v>
      </c>
      <c r="D6676" s="4" t="s">
        <v>370</v>
      </c>
      <c r="E6676" s="4" t="s">
        <v>1603</v>
      </c>
      <c r="F6676" s="4" t="s">
        <v>406</v>
      </c>
      <c r="G6676" s="4" t="s">
        <v>1604</v>
      </c>
      <c r="H6676" s="12" t="n">
        <v>1</v>
      </c>
      <c r="I6676" s="4" t="s">
        <v>7036</v>
      </c>
      <c r="J6676" s="4" t="s">
        <v>416</v>
      </c>
      <c r="K6676" s="13" t="n">
        <v>1200</v>
      </c>
      <c r="L6676" s="6" t="n">
        <f aca="false">H6676*K6676</f>
        <v>1200</v>
      </c>
      <c r="M6676" s="14" t="s">
        <v>410</v>
      </c>
    </row>
    <row r="6677" customFormat="false" ht="23.85" hidden="false" customHeight="false" outlineLevel="0" collapsed="false">
      <c r="A6677" s="4" t="s">
        <v>367</v>
      </c>
      <c r="B6677" s="5" t="s">
        <v>376</v>
      </c>
      <c r="C6677" s="5" t="s">
        <v>377</v>
      </c>
      <c r="D6677" s="4" t="s">
        <v>370</v>
      </c>
      <c r="E6677" s="4" t="s">
        <v>7296</v>
      </c>
      <c r="F6677" s="4" t="s">
        <v>406</v>
      </c>
      <c r="G6677" s="4" t="s">
        <v>7297</v>
      </c>
      <c r="H6677" s="12" t="n">
        <v>1</v>
      </c>
      <c r="I6677" s="4" t="s">
        <v>7036</v>
      </c>
      <c r="J6677" s="4" t="s">
        <v>416</v>
      </c>
      <c r="K6677" s="13" t="n">
        <v>1500</v>
      </c>
      <c r="L6677" s="6" t="n">
        <f aca="false">H6677*K6677</f>
        <v>1500</v>
      </c>
      <c r="M6677" s="14" t="s">
        <v>410</v>
      </c>
    </row>
    <row r="6678" customFormat="false" ht="23.85" hidden="false" customHeight="false" outlineLevel="0" collapsed="false">
      <c r="A6678" s="4" t="s">
        <v>367</v>
      </c>
      <c r="B6678" s="5" t="s">
        <v>376</v>
      </c>
      <c r="C6678" s="5" t="s">
        <v>377</v>
      </c>
      <c r="D6678" s="4" t="s">
        <v>370</v>
      </c>
      <c r="E6678" s="4" t="s">
        <v>7298</v>
      </c>
      <c r="F6678" s="4" t="s">
        <v>406</v>
      </c>
      <c r="G6678" s="4" t="s">
        <v>7299</v>
      </c>
      <c r="H6678" s="12" t="n">
        <v>1</v>
      </c>
      <c r="I6678" s="4" t="s">
        <v>7036</v>
      </c>
      <c r="J6678" s="4" t="s">
        <v>543</v>
      </c>
      <c r="K6678" s="13" t="n">
        <v>80</v>
      </c>
      <c r="L6678" s="6" t="n">
        <f aca="false">H6678*K6678</f>
        <v>80</v>
      </c>
      <c r="M6678" s="14" t="s">
        <v>410</v>
      </c>
    </row>
    <row r="6679" customFormat="false" ht="23.85" hidden="false" customHeight="false" outlineLevel="0" collapsed="false">
      <c r="A6679" s="4" t="s">
        <v>367</v>
      </c>
      <c r="B6679" s="5" t="s">
        <v>376</v>
      </c>
      <c r="C6679" s="5" t="s">
        <v>377</v>
      </c>
      <c r="D6679" s="4" t="s">
        <v>370</v>
      </c>
      <c r="E6679" s="4" t="s">
        <v>2600</v>
      </c>
      <c r="F6679" s="4" t="s">
        <v>406</v>
      </c>
      <c r="G6679" s="4" t="s">
        <v>2601</v>
      </c>
      <c r="H6679" s="12" t="n">
        <v>4</v>
      </c>
      <c r="I6679" s="4" t="s">
        <v>7036</v>
      </c>
      <c r="J6679" s="4" t="s">
        <v>409</v>
      </c>
      <c r="K6679" s="13" t="n">
        <v>350</v>
      </c>
      <c r="L6679" s="6" t="n">
        <f aca="false">H6679*K6679</f>
        <v>1400</v>
      </c>
      <c r="M6679" s="14" t="s">
        <v>410</v>
      </c>
    </row>
    <row r="6680" customFormat="false" ht="23.85" hidden="false" customHeight="false" outlineLevel="0" collapsed="false">
      <c r="A6680" s="4" t="s">
        <v>367</v>
      </c>
      <c r="B6680" s="5" t="s">
        <v>376</v>
      </c>
      <c r="C6680" s="5" t="s">
        <v>377</v>
      </c>
      <c r="D6680" s="4" t="s">
        <v>370</v>
      </c>
      <c r="E6680" s="4" t="s">
        <v>7300</v>
      </c>
      <c r="F6680" s="4" t="s">
        <v>406</v>
      </c>
      <c r="G6680" s="4" t="s">
        <v>1867</v>
      </c>
      <c r="H6680" s="12" t="n">
        <v>2</v>
      </c>
      <c r="I6680" s="4" t="s">
        <v>7036</v>
      </c>
      <c r="J6680" s="4" t="s">
        <v>409</v>
      </c>
      <c r="K6680" s="13" t="n">
        <v>450</v>
      </c>
      <c r="L6680" s="6" t="n">
        <f aca="false">H6680*K6680</f>
        <v>900</v>
      </c>
      <c r="M6680" s="14" t="s">
        <v>410</v>
      </c>
    </row>
    <row r="6681" customFormat="false" ht="23.85" hidden="false" customHeight="false" outlineLevel="0" collapsed="false">
      <c r="A6681" s="4" t="s">
        <v>367</v>
      </c>
      <c r="B6681" s="5" t="s">
        <v>376</v>
      </c>
      <c r="C6681" s="5" t="s">
        <v>377</v>
      </c>
      <c r="D6681" s="4" t="s">
        <v>370</v>
      </c>
      <c r="E6681" s="4" t="s">
        <v>7301</v>
      </c>
      <c r="F6681" s="4" t="s">
        <v>406</v>
      </c>
      <c r="G6681" s="4" t="s">
        <v>7302</v>
      </c>
      <c r="H6681" s="12" t="n">
        <v>2</v>
      </c>
      <c r="I6681" s="4" t="s">
        <v>7036</v>
      </c>
      <c r="J6681" s="4" t="s">
        <v>543</v>
      </c>
      <c r="K6681" s="13" t="n">
        <v>900</v>
      </c>
      <c r="L6681" s="6" t="n">
        <f aca="false">H6681*K6681</f>
        <v>1800</v>
      </c>
      <c r="M6681" s="14" t="s">
        <v>410</v>
      </c>
    </row>
    <row r="6682" customFormat="false" ht="23.85" hidden="false" customHeight="false" outlineLevel="0" collapsed="false">
      <c r="A6682" s="4" t="s">
        <v>367</v>
      </c>
      <c r="B6682" s="5" t="s">
        <v>376</v>
      </c>
      <c r="C6682" s="5" t="s">
        <v>377</v>
      </c>
      <c r="D6682" s="4" t="s">
        <v>370</v>
      </c>
      <c r="E6682" s="4" t="s">
        <v>7303</v>
      </c>
      <c r="F6682" s="4" t="s">
        <v>406</v>
      </c>
      <c r="G6682" s="4" t="s">
        <v>7304</v>
      </c>
      <c r="H6682" s="12" t="n">
        <v>2</v>
      </c>
      <c r="I6682" s="4" t="s">
        <v>7036</v>
      </c>
      <c r="J6682" s="4" t="s">
        <v>543</v>
      </c>
      <c r="K6682" s="13" t="n">
        <v>100</v>
      </c>
      <c r="L6682" s="6" t="n">
        <f aca="false">H6682*K6682</f>
        <v>200</v>
      </c>
      <c r="M6682" s="14" t="s">
        <v>410</v>
      </c>
    </row>
    <row r="6683" customFormat="false" ht="23.85" hidden="false" customHeight="false" outlineLevel="0" collapsed="false">
      <c r="A6683" s="4" t="s">
        <v>367</v>
      </c>
      <c r="B6683" s="5" t="s">
        <v>376</v>
      </c>
      <c r="C6683" s="5" t="s">
        <v>377</v>
      </c>
      <c r="D6683" s="4" t="s">
        <v>370</v>
      </c>
      <c r="E6683" s="4" t="s">
        <v>7305</v>
      </c>
      <c r="F6683" s="4" t="s">
        <v>406</v>
      </c>
      <c r="G6683" s="4" t="s">
        <v>1676</v>
      </c>
      <c r="H6683" s="12" t="n">
        <v>1</v>
      </c>
      <c r="I6683" s="4" t="s">
        <v>7036</v>
      </c>
      <c r="J6683" s="4" t="s">
        <v>409</v>
      </c>
      <c r="K6683" s="13" t="n">
        <v>450</v>
      </c>
      <c r="L6683" s="6" t="n">
        <f aca="false">H6683*K6683</f>
        <v>450</v>
      </c>
      <c r="M6683" s="14" t="s">
        <v>410</v>
      </c>
    </row>
    <row r="6684" customFormat="false" ht="23.85" hidden="false" customHeight="false" outlineLevel="0" collapsed="false">
      <c r="A6684" s="4" t="s">
        <v>367</v>
      </c>
      <c r="B6684" s="5" t="s">
        <v>376</v>
      </c>
      <c r="C6684" s="5" t="s">
        <v>377</v>
      </c>
      <c r="D6684" s="4" t="s">
        <v>370</v>
      </c>
      <c r="E6684" s="4" t="s">
        <v>7306</v>
      </c>
      <c r="F6684" s="4" t="s">
        <v>406</v>
      </c>
      <c r="G6684" s="4" t="s">
        <v>7307</v>
      </c>
      <c r="H6684" s="12" t="n">
        <v>4</v>
      </c>
      <c r="I6684" s="4" t="s">
        <v>7036</v>
      </c>
      <c r="J6684" s="4" t="s">
        <v>7227</v>
      </c>
      <c r="K6684" s="13" t="n">
        <v>80</v>
      </c>
      <c r="L6684" s="6" t="n">
        <f aca="false">H6684*K6684</f>
        <v>320</v>
      </c>
      <c r="M6684" s="14" t="s">
        <v>410</v>
      </c>
    </row>
    <row r="6685" customFormat="false" ht="23.85" hidden="false" customHeight="false" outlineLevel="0" collapsed="false">
      <c r="A6685" s="4" t="s">
        <v>367</v>
      </c>
      <c r="B6685" s="5" t="s">
        <v>376</v>
      </c>
      <c r="C6685" s="5" t="s">
        <v>377</v>
      </c>
      <c r="D6685" s="4" t="s">
        <v>370</v>
      </c>
      <c r="E6685" s="4" t="s">
        <v>7308</v>
      </c>
      <c r="F6685" s="4" t="s">
        <v>406</v>
      </c>
      <c r="G6685" s="4" t="s">
        <v>7309</v>
      </c>
      <c r="H6685" s="12" t="n">
        <v>10</v>
      </c>
      <c r="I6685" s="4" t="s">
        <v>7036</v>
      </c>
      <c r="J6685" s="4" t="s">
        <v>543</v>
      </c>
      <c r="K6685" s="13" t="n">
        <v>60</v>
      </c>
      <c r="L6685" s="6" t="n">
        <f aca="false">H6685*K6685</f>
        <v>600</v>
      </c>
      <c r="M6685" s="14" t="s">
        <v>410</v>
      </c>
    </row>
    <row r="6686" customFormat="false" ht="23.85" hidden="false" customHeight="false" outlineLevel="0" collapsed="false">
      <c r="A6686" s="4" t="s">
        <v>367</v>
      </c>
      <c r="B6686" s="5" t="s">
        <v>376</v>
      </c>
      <c r="C6686" s="5" t="s">
        <v>377</v>
      </c>
      <c r="D6686" s="4" t="s">
        <v>370</v>
      </c>
      <c r="E6686" s="4" t="s">
        <v>7310</v>
      </c>
      <c r="F6686" s="4" t="s">
        <v>406</v>
      </c>
      <c r="G6686" s="4" t="s">
        <v>7311</v>
      </c>
      <c r="H6686" s="12" t="n">
        <v>10</v>
      </c>
      <c r="I6686" s="4" t="s">
        <v>7036</v>
      </c>
      <c r="J6686" s="4" t="s">
        <v>543</v>
      </c>
      <c r="K6686" s="13" t="n">
        <v>80</v>
      </c>
      <c r="L6686" s="6" t="n">
        <f aca="false">H6686*K6686</f>
        <v>800</v>
      </c>
      <c r="M6686" s="14" t="s">
        <v>410</v>
      </c>
    </row>
    <row r="6687" customFormat="false" ht="23.85" hidden="false" customHeight="false" outlineLevel="0" collapsed="false">
      <c r="A6687" s="4" t="s">
        <v>367</v>
      </c>
      <c r="B6687" s="5" t="s">
        <v>376</v>
      </c>
      <c r="C6687" s="5" t="s">
        <v>377</v>
      </c>
      <c r="D6687" s="4" t="s">
        <v>370</v>
      </c>
      <c r="E6687" s="4" t="s">
        <v>7312</v>
      </c>
      <c r="F6687" s="4" t="s">
        <v>406</v>
      </c>
      <c r="G6687" s="4" t="s">
        <v>7313</v>
      </c>
      <c r="H6687" s="12" t="n">
        <v>10</v>
      </c>
      <c r="I6687" s="4" t="s">
        <v>7036</v>
      </c>
      <c r="J6687" s="4" t="s">
        <v>543</v>
      </c>
      <c r="K6687" s="13" t="n">
        <v>40</v>
      </c>
      <c r="L6687" s="6" t="n">
        <f aca="false">H6687*K6687</f>
        <v>400</v>
      </c>
      <c r="M6687" s="14" t="s">
        <v>410</v>
      </c>
    </row>
    <row r="6688" customFormat="false" ht="23.85" hidden="false" customHeight="false" outlineLevel="0" collapsed="false">
      <c r="A6688" s="4" t="s">
        <v>367</v>
      </c>
      <c r="B6688" s="5" t="s">
        <v>376</v>
      </c>
      <c r="C6688" s="5" t="s">
        <v>377</v>
      </c>
      <c r="D6688" s="4" t="s">
        <v>370</v>
      </c>
      <c r="E6688" s="4" t="s">
        <v>7314</v>
      </c>
      <c r="F6688" s="4" t="s">
        <v>406</v>
      </c>
      <c r="G6688" s="4" t="s">
        <v>7315</v>
      </c>
      <c r="H6688" s="12" t="n">
        <v>10</v>
      </c>
      <c r="I6688" s="4" t="s">
        <v>7036</v>
      </c>
      <c r="J6688" s="4" t="s">
        <v>543</v>
      </c>
      <c r="K6688" s="13" t="n">
        <v>60</v>
      </c>
      <c r="L6688" s="6" t="n">
        <f aca="false">H6688*K6688</f>
        <v>600</v>
      </c>
      <c r="M6688" s="14" t="s">
        <v>410</v>
      </c>
    </row>
    <row r="6689" customFormat="false" ht="23.85" hidden="false" customHeight="false" outlineLevel="0" collapsed="false">
      <c r="A6689" s="4" t="s">
        <v>367</v>
      </c>
      <c r="B6689" s="5" t="s">
        <v>376</v>
      </c>
      <c r="C6689" s="5" t="s">
        <v>377</v>
      </c>
      <c r="D6689" s="4" t="s">
        <v>370</v>
      </c>
      <c r="E6689" s="4" t="s">
        <v>4591</v>
      </c>
      <c r="F6689" s="4" t="s">
        <v>406</v>
      </c>
      <c r="G6689" s="4" t="s">
        <v>4592</v>
      </c>
      <c r="H6689" s="12" t="n">
        <v>1</v>
      </c>
      <c r="I6689" s="4" t="s">
        <v>7036</v>
      </c>
      <c r="J6689" s="4" t="s">
        <v>409</v>
      </c>
      <c r="K6689" s="13" t="n">
        <v>180</v>
      </c>
      <c r="L6689" s="6" t="n">
        <f aca="false">H6689*K6689</f>
        <v>180</v>
      </c>
      <c r="M6689" s="14" t="s">
        <v>410</v>
      </c>
    </row>
    <row r="6690" customFormat="false" ht="23.85" hidden="false" customHeight="false" outlineLevel="0" collapsed="false">
      <c r="A6690" s="4" t="s">
        <v>367</v>
      </c>
      <c r="B6690" s="5" t="s">
        <v>376</v>
      </c>
      <c r="C6690" s="5" t="s">
        <v>377</v>
      </c>
      <c r="D6690" s="4" t="s">
        <v>370</v>
      </c>
      <c r="E6690" s="4" t="s">
        <v>7316</v>
      </c>
      <c r="F6690" s="4" t="s">
        <v>406</v>
      </c>
      <c r="G6690" s="4" t="s">
        <v>7317</v>
      </c>
      <c r="H6690" s="12" t="n">
        <v>10</v>
      </c>
      <c r="I6690" s="4" t="s">
        <v>7036</v>
      </c>
      <c r="J6690" s="4" t="s">
        <v>543</v>
      </c>
      <c r="K6690" s="13" t="n">
        <v>40</v>
      </c>
      <c r="L6690" s="6" t="n">
        <f aca="false">H6690*K6690</f>
        <v>400</v>
      </c>
      <c r="M6690" s="14" t="s">
        <v>410</v>
      </c>
    </row>
    <row r="6691" customFormat="false" ht="23.85" hidden="false" customHeight="false" outlineLevel="0" collapsed="false">
      <c r="A6691" s="4" t="s">
        <v>367</v>
      </c>
      <c r="B6691" s="5" t="s">
        <v>376</v>
      </c>
      <c r="C6691" s="5" t="s">
        <v>377</v>
      </c>
      <c r="D6691" s="4" t="s">
        <v>370</v>
      </c>
      <c r="E6691" s="4" t="s">
        <v>7318</v>
      </c>
      <c r="F6691" s="4" t="s">
        <v>406</v>
      </c>
      <c r="G6691" s="4" t="s">
        <v>7319</v>
      </c>
      <c r="H6691" s="12" t="n">
        <v>10</v>
      </c>
      <c r="I6691" s="4" t="s">
        <v>7036</v>
      </c>
      <c r="J6691" s="4" t="s">
        <v>543</v>
      </c>
      <c r="K6691" s="13" t="n">
        <v>60</v>
      </c>
      <c r="L6691" s="6" t="n">
        <f aca="false">H6691*K6691</f>
        <v>600</v>
      </c>
      <c r="M6691" s="14" t="s">
        <v>410</v>
      </c>
    </row>
    <row r="6692" customFormat="false" ht="23.85" hidden="false" customHeight="false" outlineLevel="0" collapsed="false">
      <c r="A6692" s="4" t="s">
        <v>367</v>
      </c>
      <c r="B6692" s="5" t="s">
        <v>376</v>
      </c>
      <c r="C6692" s="5" t="s">
        <v>377</v>
      </c>
      <c r="D6692" s="4" t="s">
        <v>370</v>
      </c>
      <c r="E6692" s="4" t="s">
        <v>7320</v>
      </c>
      <c r="F6692" s="4" t="s">
        <v>406</v>
      </c>
      <c r="G6692" s="4" t="s">
        <v>7321</v>
      </c>
      <c r="H6692" s="12" t="n">
        <v>2</v>
      </c>
      <c r="I6692" s="4" t="s">
        <v>7036</v>
      </c>
      <c r="J6692" s="4" t="s">
        <v>543</v>
      </c>
      <c r="K6692" s="13" t="n">
        <v>80</v>
      </c>
      <c r="L6692" s="6" t="n">
        <f aca="false">H6692*K6692</f>
        <v>160</v>
      </c>
      <c r="M6692" s="14" t="s">
        <v>410</v>
      </c>
    </row>
    <row r="6693" customFormat="false" ht="23.85" hidden="false" customHeight="false" outlineLevel="0" collapsed="false">
      <c r="A6693" s="4" t="s">
        <v>367</v>
      </c>
      <c r="B6693" s="5" t="s">
        <v>376</v>
      </c>
      <c r="C6693" s="5" t="s">
        <v>377</v>
      </c>
      <c r="D6693" s="4" t="s">
        <v>370</v>
      </c>
      <c r="E6693" s="4" t="s">
        <v>7322</v>
      </c>
      <c r="F6693" s="4" t="s">
        <v>406</v>
      </c>
      <c r="G6693" s="4" t="s">
        <v>7323</v>
      </c>
      <c r="H6693" s="12" t="n">
        <v>5</v>
      </c>
      <c r="I6693" s="4" t="s">
        <v>7036</v>
      </c>
      <c r="J6693" s="4" t="s">
        <v>543</v>
      </c>
      <c r="K6693" s="13" t="n">
        <v>50</v>
      </c>
      <c r="L6693" s="6" t="n">
        <f aca="false">H6693*K6693</f>
        <v>250</v>
      </c>
      <c r="M6693" s="14" t="s">
        <v>410</v>
      </c>
    </row>
    <row r="6694" customFormat="false" ht="23.85" hidden="false" customHeight="false" outlineLevel="0" collapsed="false">
      <c r="A6694" s="4" t="s">
        <v>367</v>
      </c>
      <c r="B6694" s="5" t="s">
        <v>376</v>
      </c>
      <c r="C6694" s="5" t="s">
        <v>377</v>
      </c>
      <c r="D6694" s="4" t="s">
        <v>370</v>
      </c>
      <c r="E6694" s="4" t="s">
        <v>7324</v>
      </c>
      <c r="F6694" s="4" t="s">
        <v>406</v>
      </c>
      <c r="G6694" s="4" t="s">
        <v>7325</v>
      </c>
      <c r="H6694" s="12" t="n">
        <v>5</v>
      </c>
      <c r="I6694" s="4" t="s">
        <v>7036</v>
      </c>
      <c r="J6694" s="4" t="s">
        <v>543</v>
      </c>
      <c r="K6694" s="13" t="n">
        <v>50</v>
      </c>
      <c r="L6694" s="6" t="n">
        <f aca="false">H6694*K6694</f>
        <v>250</v>
      </c>
      <c r="M6694" s="14" t="s">
        <v>410</v>
      </c>
    </row>
    <row r="6695" customFormat="false" ht="23.85" hidden="false" customHeight="false" outlineLevel="0" collapsed="false">
      <c r="A6695" s="4" t="s">
        <v>367</v>
      </c>
      <c r="B6695" s="5" t="s">
        <v>376</v>
      </c>
      <c r="C6695" s="5" t="s">
        <v>377</v>
      </c>
      <c r="D6695" s="4" t="s">
        <v>370</v>
      </c>
      <c r="E6695" s="4" t="s">
        <v>7326</v>
      </c>
      <c r="F6695" s="4" t="s">
        <v>406</v>
      </c>
      <c r="G6695" s="4" t="s">
        <v>7327</v>
      </c>
      <c r="H6695" s="12" t="n">
        <v>1</v>
      </c>
      <c r="I6695" s="4" t="s">
        <v>7036</v>
      </c>
      <c r="J6695" s="4" t="s">
        <v>480</v>
      </c>
      <c r="K6695" s="13" t="n">
        <v>250</v>
      </c>
      <c r="L6695" s="6" t="n">
        <f aca="false">H6695*K6695</f>
        <v>250</v>
      </c>
      <c r="M6695" s="14" t="s">
        <v>410</v>
      </c>
    </row>
    <row r="6696" customFormat="false" ht="23.85" hidden="false" customHeight="false" outlineLevel="0" collapsed="false">
      <c r="A6696" s="4" t="s">
        <v>367</v>
      </c>
      <c r="B6696" s="5" t="s">
        <v>376</v>
      </c>
      <c r="C6696" s="5" t="s">
        <v>377</v>
      </c>
      <c r="D6696" s="4" t="s">
        <v>370</v>
      </c>
      <c r="E6696" s="4" t="s">
        <v>7328</v>
      </c>
      <c r="F6696" s="4" t="s">
        <v>406</v>
      </c>
      <c r="G6696" s="4" t="s">
        <v>7329</v>
      </c>
      <c r="H6696" s="12" t="n">
        <v>1</v>
      </c>
      <c r="I6696" s="4" t="s">
        <v>7036</v>
      </c>
      <c r="J6696" s="4" t="s">
        <v>543</v>
      </c>
      <c r="K6696" s="13" t="n">
        <v>60</v>
      </c>
      <c r="L6696" s="6" t="n">
        <f aca="false">H6696*K6696</f>
        <v>60</v>
      </c>
      <c r="M6696" s="14" t="s">
        <v>410</v>
      </c>
    </row>
    <row r="6697" customFormat="false" ht="23.85" hidden="false" customHeight="false" outlineLevel="0" collapsed="false">
      <c r="A6697" s="4" t="s">
        <v>367</v>
      </c>
      <c r="B6697" s="5" t="s">
        <v>376</v>
      </c>
      <c r="C6697" s="5" t="s">
        <v>377</v>
      </c>
      <c r="D6697" s="4" t="s">
        <v>370</v>
      </c>
      <c r="E6697" s="4" t="s">
        <v>7330</v>
      </c>
      <c r="F6697" s="4" t="s">
        <v>406</v>
      </c>
      <c r="G6697" s="4" t="s">
        <v>7331</v>
      </c>
      <c r="H6697" s="12" t="n">
        <v>2</v>
      </c>
      <c r="I6697" s="4" t="s">
        <v>7036</v>
      </c>
      <c r="J6697" s="4" t="s">
        <v>543</v>
      </c>
      <c r="K6697" s="13" t="n">
        <v>30</v>
      </c>
      <c r="L6697" s="6" t="n">
        <f aca="false">H6697*K6697</f>
        <v>60</v>
      </c>
      <c r="M6697" s="14" t="s">
        <v>410</v>
      </c>
    </row>
    <row r="6698" customFormat="false" ht="23.85" hidden="false" customHeight="false" outlineLevel="0" collapsed="false">
      <c r="A6698" s="4" t="s">
        <v>367</v>
      </c>
      <c r="B6698" s="5" t="s">
        <v>376</v>
      </c>
      <c r="C6698" s="5" t="s">
        <v>377</v>
      </c>
      <c r="D6698" s="4" t="s">
        <v>370</v>
      </c>
      <c r="E6698" s="4" t="s">
        <v>7332</v>
      </c>
      <c r="F6698" s="4" t="s">
        <v>406</v>
      </c>
      <c r="G6698" s="4" t="s">
        <v>7333</v>
      </c>
      <c r="H6698" s="12" t="n">
        <v>1</v>
      </c>
      <c r="I6698" s="4" t="s">
        <v>7036</v>
      </c>
      <c r="J6698" s="4" t="s">
        <v>543</v>
      </c>
      <c r="K6698" s="13" t="n">
        <v>150</v>
      </c>
      <c r="L6698" s="6" t="n">
        <f aca="false">H6698*K6698</f>
        <v>150</v>
      </c>
      <c r="M6698" s="14" t="s">
        <v>410</v>
      </c>
    </row>
    <row r="6699" customFormat="false" ht="23.85" hidden="false" customHeight="false" outlineLevel="0" collapsed="false">
      <c r="A6699" s="4" t="s">
        <v>367</v>
      </c>
      <c r="B6699" s="5" t="s">
        <v>376</v>
      </c>
      <c r="C6699" s="5" t="s">
        <v>377</v>
      </c>
      <c r="D6699" s="4" t="s">
        <v>370</v>
      </c>
      <c r="E6699" s="4" t="s">
        <v>7334</v>
      </c>
      <c r="F6699" s="4" t="s">
        <v>406</v>
      </c>
      <c r="G6699" s="4" t="s">
        <v>7335</v>
      </c>
      <c r="H6699" s="12" t="n">
        <v>2</v>
      </c>
      <c r="I6699" s="4" t="s">
        <v>7036</v>
      </c>
      <c r="J6699" s="4" t="s">
        <v>543</v>
      </c>
      <c r="K6699" s="13" t="n">
        <v>1800</v>
      </c>
      <c r="L6699" s="6" t="n">
        <f aca="false">H6699*K6699</f>
        <v>3600</v>
      </c>
      <c r="M6699" s="14" t="s">
        <v>410</v>
      </c>
    </row>
    <row r="6700" customFormat="false" ht="23.85" hidden="false" customHeight="false" outlineLevel="0" collapsed="false">
      <c r="A6700" s="4" t="s">
        <v>367</v>
      </c>
      <c r="B6700" s="5" t="s">
        <v>376</v>
      </c>
      <c r="C6700" s="5" t="s">
        <v>377</v>
      </c>
      <c r="D6700" s="4" t="s">
        <v>370</v>
      </c>
      <c r="E6700" s="4" t="s">
        <v>4274</v>
      </c>
      <c r="F6700" s="4" t="s">
        <v>406</v>
      </c>
      <c r="G6700" s="4" t="s">
        <v>1937</v>
      </c>
      <c r="H6700" s="12" t="n">
        <v>2</v>
      </c>
      <c r="I6700" s="4" t="s">
        <v>7036</v>
      </c>
      <c r="J6700" s="4" t="s">
        <v>409</v>
      </c>
      <c r="K6700" s="13" t="n">
        <v>850</v>
      </c>
      <c r="L6700" s="6" t="n">
        <f aca="false">H6700*K6700</f>
        <v>1700</v>
      </c>
      <c r="M6700" s="14" t="s">
        <v>410</v>
      </c>
    </row>
    <row r="6701" customFormat="false" ht="23.85" hidden="false" customHeight="false" outlineLevel="0" collapsed="false">
      <c r="A6701" s="4" t="s">
        <v>367</v>
      </c>
      <c r="B6701" s="5" t="s">
        <v>376</v>
      </c>
      <c r="C6701" s="5" t="s">
        <v>377</v>
      </c>
      <c r="D6701" s="4" t="s">
        <v>370</v>
      </c>
      <c r="E6701" s="4" t="s">
        <v>7336</v>
      </c>
      <c r="F6701" s="4" t="s">
        <v>406</v>
      </c>
      <c r="G6701" s="4" t="s">
        <v>7337</v>
      </c>
      <c r="H6701" s="12" t="n">
        <v>2</v>
      </c>
      <c r="I6701" s="4" t="s">
        <v>7036</v>
      </c>
      <c r="J6701" s="4" t="s">
        <v>543</v>
      </c>
      <c r="K6701" s="13" t="n">
        <v>450</v>
      </c>
      <c r="L6701" s="6" t="n">
        <f aca="false">H6701*K6701</f>
        <v>900</v>
      </c>
      <c r="M6701" s="14" t="s">
        <v>410</v>
      </c>
    </row>
    <row r="6702" customFormat="false" ht="23.85" hidden="false" customHeight="false" outlineLevel="0" collapsed="false">
      <c r="A6702" s="4" t="s">
        <v>367</v>
      </c>
      <c r="B6702" s="5" t="s">
        <v>376</v>
      </c>
      <c r="C6702" s="5" t="s">
        <v>377</v>
      </c>
      <c r="D6702" s="4" t="s">
        <v>370</v>
      </c>
      <c r="E6702" s="4" t="s">
        <v>7338</v>
      </c>
      <c r="F6702" s="4" t="s">
        <v>406</v>
      </c>
      <c r="G6702" s="4" t="s">
        <v>7339</v>
      </c>
      <c r="H6702" s="12" t="n">
        <v>1</v>
      </c>
      <c r="I6702" s="4" t="s">
        <v>7036</v>
      </c>
      <c r="J6702" s="4" t="s">
        <v>416</v>
      </c>
      <c r="K6702" s="13" t="n">
        <v>500</v>
      </c>
      <c r="L6702" s="6" t="n">
        <f aca="false">H6702*K6702</f>
        <v>500</v>
      </c>
      <c r="M6702" s="14" t="s">
        <v>410</v>
      </c>
    </row>
    <row r="6703" customFormat="false" ht="23.85" hidden="false" customHeight="false" outlineLevel="0" collapsed="false">
      <c r="A6703" s="4" t="s">
        <v>367</v>
      </c>
      <c r="B6703" s="5" t="s">
        <v>376</v>
      </c>
      <c r="C6703" s="5" t="s">
        <v>377</v>
      </c>
      <c r="D6703" s="4" t="s">
        <v>370</v>
      </c>
      <c r="E6703" s="4" t="s">
        <v>7340</v>
      </c>
      <c r="F6703" s="4" t="s">
        <v>406</v>
      </c>
      <c r="G6703" s="4" t="s">
        <v>7341</v>
      </c>
      <c r="H6703" s="12" t="n">
        <v>2</v>
      </c>
      <c r="I6703" s="4" t="s">
        <v>7036</v>
      </c>
      <c r="J6703" s="4" t="s">
        <v>543</v>
      </c>
      <c r="K6703" s="13" t="n">
        <v>250</v>
      </c>
      <c r="L6703" s="6" t="n">
        <f aca="false">H6703*K6703</f>
        <v>500</v>
      </c>
      <c r="M6703" s="14" t="s">
        <v>410</v>
      </c>
    </row>
    <row r="6704" customFormat="false" ht="23.85" hidden="false" customHeight="false" outlineLevel="0" collapsed="false">
      <c r="A6704" s="4" t="s">
        <v>367</v>
      </c>
      <c r="B6704" s="5" t="s">
        <v>376</v>
      </c>
      <c r="C6704" s="5" t="s">
        <v>377</v>
      </c>
      <c r="D6704" s="4" t="s">
        <v>370</v>
      </c>
      <c r="E6704" s="4" t="s">
        <v>7342</v>
      </c>
      <c r="F6704" s="4" t="s">
        <v>406</v>
      </c>
      <c r="G6704" s="4" t="s">
        <v>7343</v>
      </c>
      <c r="H6704" s="12" t="n">
        <v>2</v>
      </c>
      <c r="I6704" s="4" t="s">
        <v>7036</v>
      </c>
      <c r="J6704" s="4" t="s">
        <v>543</v>
      </c>
      <c r="K6704" s="13" t="n">
        <v>350</v>
      </c>
      <c r="L6704" s="6" t="n">
        <f aca="false">H6704*K6704</f>
        <v>700</v>
      </c>
      <c r="M6704" s="14" t="s">
        <v>410</v>
      </c>
    </row>
    <row r="6705" customFormat="false" ht="23.85" hidden="false" customHeight="false" outlineLevel="0" collapsed="false">
      <c r="A6705" s="4" t="s">
        <v>367</v>
      </c>
      <c r="B6705" s="5" t="s">
        <v>376</v>
      </c>
      <c r="C6705" s="5" t="s">
        <v>377</v>
      </c>
      <c r="D6705" s="4" t="s">
        <v>370</v>
      </c>
      <c r="E6705" s="4" t="s">
        <v>7344</v>
      </c>
      <c r="F6705" s="4" t="s">
        <v>406</v>
      </c>
      <c r="G6705" s="4" t="s">
        <v>7345</v>
      </c>
      <c r="H6705" s="12" t="n">
        <v>1</v>
      </c>
      <c r="I6705" s="4" t="s">
        <v>7036</v>
      </c>
      <c r="J6705" s="4" t="s">
        <v>543</v>
      </c>
      <c r="K6705" s="13" t="n">
        <v>300</v>
      </c>
      <c r="L6705" s="6" t="n">
        <f aca="false">H6705*K6705</f>
        <v>300</v>
      </c>
      <c r="M6705" s="14" t="s">
        <v>410</v>
      </c>
    </row>
    <row r="6706" customFormat="false" ht="23.85" hidden="false" customHeight="false" outlineLevel="0" collapsed="false">
      <c r="A6706" s="4" t="s">
        <v>367</v>
      </c>
      <c r="B6706" s="5" t="s">
        <v>376</v>
      </c>
      <c r="C6706" s="5" t="s">
        <v>377</v>
      </c>
      <c r="D6706" s="4" t="s">
        <v>370</v>
      </c>
      <c r="E6706" s="4" t="s">
        <v>7346</v>
      </c>
      <c r="F6706" s="4" t="s">
        <v>406</v>
      </c>
      <c r="G6706" s="4" t="s">
        <v>7347</v>
      </c>
      <c r="H6706" s="12" t="n">
        <v>1</v>
      </c>
      <c r="I6706" s="4" t="s">
        <v>7036</v>
      </c>
      <c r="J6706" s="4" t="s">
        <v>543</v>
      </c>
      <c r="K6706" s="13" t="n">
        <v>200</v>
      </c>
      <c r="L6706" s="6" t="n">
        <f aca="false">H6706*K6706</f>
        <v>200</v>
      </c>
      <c r="M6706" s="14" t="s">
        <v>410</v>
      </c>
    </row>
    <row r="6707" customFormat="false" ht="23.85" hidden="false" customHeight="false" outlineLevel="0" collapsed="false">
      <c r="A6707" s="4" t="s">
        <v>367</v>
      </c>
      <c r="B6707" s="5" t="s">
        <v>376</v>
      </c>
      <c r="C6707" s="5" t="s">
        <v>377</v>
      </c>
      <c r="D6707" s="4" t="s">
        <v>370</v>
      </c>
      <c r="E6707" s="4" t="s">
        <v>7348</v>
      </c>
      <c r="F6707" s="4" t="s">
        <v>406</v>
      </c>
      <c r="G6707" s="4" t="s">
        <v>7349</v>
      </c>
      <c r="H6707" s="12" t="n">
        <v>1</v>
      </c>
      <c r="I6707" s="4" t="s">
        <v>7036</v>
      </c>
      <c r="J6707" s="4" t="s">
        <v>543</v>
      </c>
      <c r="K6707" s="13" t="n">
        <v>900</v>
      </c>
      <c r="L6707" s="6" t="n">
        <f aca="false">H6707*K6707</f>
        <v>900</v>
      </c>
      <c r="M6707" s="14" t="s">
        <v>410</v>
      </c>
    </row>
    <row r="6708" customFormat="false" ht="23.85" hidden="false" customHeight="false" outlineLevel="0" collapsed="false">
      <c r="A6708" s="4" t="s">
        <v>367</v>
      </c>
      <c r="B6708" s="5" t="s">
        <v>376</v>
      </c>
      <c r="C6708" s="5" t="s">
        <v>377</v>
      </c>
      <c r="D6708" s="4" t="s">
        <v>370</v>
      </c>
      <c r="E6708" s="4" t="s">
        <v>7350</v>
      </c>
      <c r="F6708" s="4" t="s">
        <v>406</v>
      </c>
      <c r="G6708" s="4" t="s">
        <v>7351</v>
      </c>
      <c r="H6708" s="12" t="n">
        <v>1</v>
      </c>
      <c r="I6708" s="4" t="s">
        <v>7036</v>
      </c>
      <c r="J6708" s="4" t="s">
        <v>543</v>
      </c>
      <c r="K6708" s="13" t="n">
        <v>1500</v>
      </c>
      <c r="L6708" s="6" t="n">
        <f aca="false">H6708*K6708</f>
        <v>1500</v>
      </c>
      <c r="M6708" s="14" t="s">
        <v>410</v>
      </c>
    </row>
    <row r="6709" customFormat="false" ht="23.85" hidden="false" customHeight="false" outlineLevel="0" collapsed="false">
      <c r="A6709" s="4" t="s">
        <v>367</v>
      </c>
      <c r="B6709" s="5" t="s">
        <v>376</v>
      </c>
      <c r="C6709" s="5" t="s">
        <v>377</v>
      </c>
      <c r="D6709" s="4" t="s">
        <v>370</v>
      </c>
      <c r="E6709" s="4" t="s">
        <v>7352</v>
      </c>
      <c r="F6709" s="4" t="s">
        <v>406</v>
      </c>
      <c r="G6709" s="4" t="s">
        <v>7353</v>
      </c>
      <c r="H6709" s="12" t="n">
        <v>1</v>
      </c>
      <c r="I6709" s="4" t="s">
        <v>7036</v>
      </c>
      <c r="J6709" s="4" t="s">
        <v>543</v>
      </c>
      <c r="K6709" s="13" t="n">
        <v>2500</v>
      </c>
      <c r="L6709" s="6" t="n">
        <f aca="false">H6709*K6709</f>
        <v>2500</v>
      </c>
      <c r="M6709" s="14" t="s">
        <v>410</v>
      </c>
    </row>
    <row r="6710" customFormat="false" ht="23.85" hidden="false" customHeight="false" outlineLevel="0" collapsed="false">
      <c r="A6710" s="4" t="s">
        <v>367</v>
      </c>
      <c r="B6710" s="5" t="s">
        <v>376</v>
      </c>
      <c r="C6710" s="5" t="s">
        <v>377</v>
      </c>
      <c r="D6710" s="4" t="s">
        <v>370</v>
      </c>
      <c r="E6710" s="4" t="s">
        <v>7354</v>
      </c>
      <c r="F6710" s="4" t="s">
        <v>406</v>
      </c>
      <c r="G6710" s="4" t="s">
        <v>7355</v>
      </c>
      <c r="H6710" s="12" t="n">
        <v>1</v>
      </c>
      <c r="I6710" s="4" t="s">
        <v>7036</v>
      </c>
      <c r="J6710" s="4" t="s">
        <v>543</v>
      </c>
      <c r="K6710" s="13" t="n">
        <v>5500</v>
      </c>
      <c r="L6710" s="6" t="n">
        <f aca="false">H6710*K6710</f>
        <v>5500</v>
      </c>
      <c r="M6710" s="14" t="s">
        <v>410</v>
      </c>
    </row>
    <row r="6711" customFormat="false" ht="23.85" hidden="false" customHeight="false" outlineLevel="0" collapsed="false">
      <c r="A6711" s="4" t="s">
        <v>367</v>
      </c>
      <c r="B6711" s="5" t="s">
        <v>376</v>
      </c>
      <c r="C6711" s="5" t="s">
        <v>377</v>
      </c>
      <c r="D6711" s="4" t="s">
        <v>370</v>
      </c>
      <c r="E6711" s="4" t="s">
        <v>7356</v>
      </c>
      <c r="F6711" s="4" t="s">
        <v>406</v>
      </c>
      <c r="G6711" s="4" t="s">
        <v>7357</v>
      </c>
      <c r="H6711" s="12" t="n">
        <v>1</v>
      </c>
      <c r="I6711" s="4" t="s">
        <v>7036</v>
      </c>
      <c r="J6711" s="4" t="s">
        <v>543</v>
      </c>
      <c r="K6711" s="13" t="n">
        <v>4500</v>
      </c>
      <c r="L6711" s="6" t="n">
        <f aca="false">H6711*K6711</f>
        <v>4500</v>
      </c>
      <c r="M6711" s="14" t="s">
        <v>410</v>
      </c>
    </row>
    <row r="6712" customFormat="false" ht="23.85" hidden="false" customHeight="false" outlineLevel="0" collapsed="false">
      <c r="A6712" s="4" t="s">
        <v>367</v>
      </c>
      <c r="B6712" s="5" t="s">
        <v>376</v>
      </c>
      <c r="C6712" s="5" t="s">
        <v>377</v>
      </c>
      <c r="D6712" s="4" t="s">
        <v>370</v>
      </c>
      <c r="E6712" s="4" t="s">
        <v>7358</v>
      </c>
      <c r="F6712" s="4" t="s">
        <v>406</v>
      </c>
      <c r="G6712" s="4" t="s">
        <v>7359</v>
      </c>
      <c r="H6712" s="12" t="n">
        <v>1</v>
      </c>
      <c r="I6712" s="4" t="s">
        <v>7036</v>
      </c>
      <c r="J6712" s="4" t="s">
        <v>543</v>
      </c>
      <c r="K6712" s="13" t="n">
        <v>250</v>
      </c>
      <c r="L6712" s="6" t="n">
        <f aca="false">H6712*K6712</f>
        <v>250</v>
      </c>
      <c r="M6712" s="14" t="s">
        <v>410</v>
      </c>
    </row>
    <row r="6713" customFormat="false" ht="23.85" hidden="false" customHeight="false" outlineLevel="0" collapsed="false">
      <c r="A6713" s="4" t="s">
        <v>367</v>
      </c>
      <c r="B6713" s="5" t="s">
        <v>376</v>
      </c>
      <c r="C6713" s="5" t="s">
        <v>377</v>
      </c>
      <c r="D6713" s="4" t="s">
        <v>370</v>
      </c>
      <c r="E6713" s="4" t="s">
        <v>7360</v>
      </c>
      <c r="F6713" s="4" t="s">
        <v>488</v>
      </c>
      <c r="G6713" s="4" t="s">
        <v>7361</v>
      </c>
      <c r="H6713" s="12" t="n">
        <v>5</v>
      </c>
      <c r="I6713" s="4" t="s">
        <v>7036</v>
      </c>
      <c r="J6713" s="4" t="s">
        <v>7227</v>
      </c>
      <c r="K6713" s="13" t="n">
        <v>60</v>
      </c>
      <c r="L6713" s="6" t="n">
        <f aca="false">H6713*K6713</f>
        <v>300</v>
      </c>
      <c r="M6713" s="14" t="s">
        <v>410</v>
      </c>
    </row>
    <row r="6714" customFormat="false" ht="23.85" hidden="false" customHeight="false" outlineLevel="0" collapsed="false">
      <c r="A6714" s="4" t="s">
        <v>367</v>
      </c>
      <c r="B6714" s="5" t="s">
        <v>376</v>
      </c>
      <c r="C6714" s="5" t="s">
        <v>377</v>
      </c>
      <c r="D6714" s="4" t="s">
        <v>370</v>
      </c>
      <c r="E6714" s="4" t="s">
        <v>7362</v>
      </c>
      <c r="F6714" s="4" t="s">
        <v>488</v>
      </c>
      <c r="G6714" s="4" t="s">
        <v>7363</v>
      </c>
      <c r="H6714" s="12" t="n">
        <v>100</v>
      </c>
      <c r="I6714" s="4" t="s">
        <v>7036</v>
      </c>
      <c r="J6714" s="4" t="s">
        <v>7227</v>
      </c>
      <c r="K6714" s="13" t="n">
        <v>20</v>
      </c>
      <c r="L6714" s="6" t="n">
        <f aca="false">H6714*K6714</f>
        <v>2000</v>
      </c>
      <c r="M6714" s="14" t="s">
        <v>410</v>
      </c>
    </row>
    <row r="6715" customFormat="false" ht="23.85" hidden="false" customHeight="false" outlineLevel="0" collapsed="false">
      <c r="A6715" s="4" t="s">
        <v>367</v>
      </c>
      <c r="B6715" s="5" t="s">
        <v>376</v>
      </c>
      <c r="C6715" s="5" t="s">
        <v>377</v>
      </c>
      <c r="D6715" s="4" t="s">
        <v>370</v>
      </c>
      <c r="E6715" s="4" t="s">
        <v>7364</v>
      </c>
      <c r="F6715" s="4" t="s">
        <v>488</v>
      </c>
      <c r="G6715" s="4" t="s">
        <v>7365</v>
      </c>
      <c r="H6715" s="12" t="n">
        <v>2</v>
      </c>
      <c r="I6715" s="4" t="s">
        <v>7036</v>
      </c>
      <c r="J6715" s="4" t="s">
        <v>475</v>
      </c>
      <c r="K6715" s="13" t="n">
        <v>1200</v>
      </c>
      <c r="L6715" s="6" t="n">
        <f aca="false">H6715*K6715</f>
        <v>2400</v>
      </c>
      <c r="M6715" s="14" t="s">
        <v>410</v>
      </c>
    </row>
    <row r="6716" customFormat="false" ht="23.85" hidden="false" customHeight="false" outlineLevel="0" collapsed="false">
      <c r="A6716" s="4" t="s">
        <v>367</v>
      </c>
      <c r="B6716" s="5" t="s">
        <v>376</v>
      </c>
      <c r="C6716" s="5" t="s">
        <v>377</v>
      </c>
      <c r="D6716" s="4" t="s">
        <v>370</v>
      </c>
      <c r="E6716" s="4" t="s">
        <v>7366</v>
      </c>
      <c r="F6716" s="4" t="s">
        <v>406</v>
      </c>
      <c r="G6716" s="4" t="s">
        <v>7367</v>
      </c>
      <c r="H6716" s="12" t="n">
        <v>2</v>
      </c>
      <c r="I6716" s="4" t="s">
        <v>7036</v>
      </c>
      <c r="J6716" s="4" t="s">
        <v>543</v>
      </c>
      <c r="K6716" s="13" t="n">
        <v>900</v>
      </c>
      <c r="L6716" s="6" t="n">
        <f aca="false">H6716*K6716</f>
        <v>1800</v>
      </c>
      <c r="M6716" s="14" t="s">
        <v>410</v>
      </c>
    </row>
    <row r="6717" customFormat="false" ht="23.85" hidden="false" customHeight="false" outlineLevel="0" collapsed="false">
      <c r="A6717" s="4" t="s">
        <v>367</v>
      </c>
      <c r="B6717" s="5" t="s">
        <v>376</v>
      </c>
      <c r="C6717" s="5" t="s">
        <v>377</v>
      </c>
      <c r="D6717" s="4" t="s">
        <v>370</v>
      </c>
      <c r="E6717" s="4" t="s">
        <v>7368</v>
      </c>
      <c r="F6717" s="4" t="s">
        <v>406</v>
      </c>
      <c r="G6717" s="4" t="s">
        <v>7369</v>
      </c>
      <c r="H6717" s="12" t="n">
        <v>2</v>
      </c>
      <c r="I6717" s="4" t="s">
        <v>7036</v>
      </c>
      <c r="J6717" s="4" t="s">
        <v>543</v>
      </c>
      <c r="K6717" s="13" t="n">
        <v>450</v>
      </c>
      <c r="L6717" s="6" t="n">
        <f aca="false">H6717*K6717</f>
        <v>900</v>
      </c>
      <c r="M6717" s="14" t="s">
        <v>410</v>
      </c>
    </row>
    <row r="6718" customFormat="false" ht="23.85" hidden="false" customHeight="false" outlineLevel="0" collapsed="false">
      <c r="A6718" s="4" t="s">
        <v>367</v>
      </c>
      <c r="B6718" s="5" t="s">
        <v>376</v>
      </c>
      <c r="C6718" s="5" t="s">
        <v>377</v>
      </c>
      <c r="D6718" s="4" t="s">
        <v>370</v>
      </c>
      <c r="E6718" s="4" t="s">
        <v>7370</v>
      </c>
      <c r="F6718" s="4" t="s">
        <v>470</v>
      </c>
      <c r="G6718" s="4" t="s">
        <v>7371</v>
      </c>
      <c r="H6718" s="12" t="n">
        <v>1</v>
      </c>
      <c r="I6718" s="4" t="s">
        <v>7036</v>
      </c>
      <c r="J6718" s="4" t="s">
        <v>543</v>
      </c>
      <c r="K6718" s="13" t="n">
        <v>2800</v>
      </c>
      <c r="L6718" s="6" t="n">
        <f aca="false">H6718*K6718</f>
        <v>2800</v>
      </c>
      <c r="M6718" s="14" t="s">
        <v>410</v>
      </c>
    </row>
    <row r="6719" customFormat="false" ht="23.85" hidden="false" customHeight="false" outlineLevel="0" collapsed="false">
      <c r="A6719" s="4" t="s">
        <v>367</v>
      </c>
      <c r="B6719" s="5" t="s">
        <v>376</v>
      </c>
      <c r="C6719" s="5" t="s">
        <v>377</v>
      </c>
      <c r="D6719" s="4" t="s">
        <v>370</v>
      </c>
      <c r="E6719" s="4" t="s">
        <v>7372</v>
      </c>
      <c r="F6719" s="4" t="s">
        <v>406</v>
      </c>
      <c r="G6719" s="4" t="s">
        <v>7373</v>
      </c>
      <c r="H6719" s="12" t="n">
        <v>2</v>
      </c>
      <c r="I6719" s="4" t="s">
        <v>7036</v>
      </c>
      <c r="J6719" s="4" t="s">
        <v>543</v>
      </c>
      <c r="K6719" s="13" t="n">
        <v>150</v>
      </c>
      <c r="L6719" s="6" t="n">
        <f aca="false">H6719*K6719</f>
        <v>300</v>
      </c>
      <c r="M6719" s="14" t="s">
        <v>410</v>
      </c>
    </row>
    <row r="6720" customFormat="false" ht="23.85" hidden="false" customHeight="false" outlineLevel="0" collapsed="false">
      <c r="A6720" s="4" t="s">
        <v>367</v>
      </c>
      <c r="B6720" s="5" t="s">
        <v>376</v>
      </c>
      <c r="C6720" s="5" t="s">
        <v>377</v>
      </c>
      <c r="D6720" s="4" t="s">
        <v>370</v>
      </c>
      <c r="E6720" s="4" t="s">
        <v>7374</v>
      </c>
      <c r="F6720" s="4" t="s">
        <v>406</v>
      </c>
      <c r="G6720" s="4" t="s">
        <v>7375</v>
      </c>
      <c r="H6720" s="12" t="n">
        <v>1</v>
      </c>
      <c r="I6720" s="4" t="s">
        <v>7036</v>
      </c>
      <c r="J6720" s="4" t="s">
        <v>543</v>
      </c>
      <c r="K6720" s="13" t="n">
        <v>250</v>
      </c>
      <c r="L6720" s="6" t="n">
        <f aca="false">H6720*K6720</f>
        <v>250</v>
      </c>
      <c r="M6720" s="14" t="s">
        <v>410</v>
      </c>
    </row>
    <row r="6721" customFormat="false" ht="23.85" hidden="false" customHeight="false" outlineLevel="0" collapsed="false">
      <c r="A6721" s="4" t="s">
        <v>367</v>
      </c>
      <c r="B6721" s="5" t="s">
        <v>376</v>
      </c>
      <c r="C6721" s="5" t="s">
        <v>377</v>
      </c>
      <c r="D6721" s="4" t="s">
        <v>370</v>
      </c>
      <c r="E6721" s="4" t="s">
        <v>7376</v>
      </c>
      <c r="F6721" s="4" t="s">
        <v>406</v>
      </c>
      <c r="G6721" s="4" t="s">
        <v>7377</v>
      </c>
      <c r="H6721" s="12" t="n">
        <v>1</v>
      </c>
      <c r="I6721" s="4" t="s">
        <v>7036</v>
      </c>
      <c r="J6721" s="4" t="s">
        <v>416</v>
      </c>
      <c r="K6721" s="13" t="n">
        <v>450</v>
      </c>
      <c r="L6721" s="6" t="n">
        <f aca="false">H6721*K6721</f>
        <v>450</v>
      </c>
      <c r="M6721" s="14" t="s">
        <v>410</v>
      </c>
    </row>
    <row r="6722" customFormat="false" ht="23.85" hidden="false" customHeight="false" outlineLevel="0" collapsed="false">
      <c r="A6722" s="4" t="s">
        <v>367</v>
      </c>
      <c r="B6722" s="5" t="s">
        <v>376</v>
      </c>
      <c r="C6722" s="5" t="s">
        <v>377</v>
      </c>
      <c r="D6722" s="4" t="s">
        <v>370</v>
      </c>
      <c r="E6722" s="4" t="s">
        <v>7378</v>
      </c>
      <c r="F6722" s="4" t="s">
        <v>406</v>
      </c>
      <c r="G6722" s="4" t="s">
        <v>7379</v>
      </c>
      <c r="H6722" s="12" t="n">
        <v>1</v>
      </c>
      <c r="I6722" s="4" t="s">
        <v>7036</v>
      </c>
      <c r="J6722" s="4" t="s">
        <v>416</v>
      </c>
      <c r="K6722" s="13" t="n">
        <v>900</v>
      </c>
      <c r="L6722" s="6" t="n">
        <f aca="false">H6722*K6722</f>
        <v>900</v>
      </c>
      <c r="M6722" s="14" t="s">
        <v>410</v>
      </c>
    </row>
    <row r="6723" customFormat="false" ht="23.85" hidden="false" customHeight="false" outlineLevel="0" collapsed="false">
      <c r="A6723" s="4" t="s">
        <v>367</v>
      </c>
      <c r="B6723" s="5" t="s">
        <v>376</v>
      </c>
      <c r="C6723" s="5" t="s">
        <v>377</v>
      </c>
      <c r="D6723" s="4" t="s">
        <v>370</v>
      </c>
      <c r="E6723" s="4" t="s">
        <v>7380</v>
      </c>
      <c r="F6723" s="4" t="s">
        <v>406</v>
      </c>
      <c r="G6723" s="4" t="s">
        <v>7381</v>
      </c>
      <c r="H6723" s="12" t="n">
        <v>2</v>
      </c>
      <c r="I6723" s="4" t="s">
        <v>7036</v>
      </c>
      <c r="J6723" s="4" t="s">
        <v>543</v>
      </c>
      <c r="K6723" s="13" t="n">
        <v>80</v>
      </c>
      <c r="L6723" s="6" t="n">
        <f aca="false">H6723*K6723</f>
        <v>160</v>
      </c>
      <c r="M6723" s="14" t="s">
        <v>410</v>
      </c>
    </row>
    <row r="6724" customFormat="false" ht="23.85" hidden="false" customHeight="false" outlineLevel="0" collapsed="false">
      <c r="A6724" s="4" t="s">
        <v>367</v>
      </c>
      <c r="B6724" s="5" t="s">
        <v>376</v>
      </c>
      <c r="C6724" s="5" t="s">
        <v>377</v>
      </c>
      <c r="D6724" s="4" t="s">
        <v>370</v>
      </c>
      <c r="E6724" s="4" t="s">
        <v>7382</v>
      </c>
      <c r="F6724" s="4" t="s">
        <v>406</v>
      </c>
      <c r="G6724" s="4" t="s">
        <v>7383</v>
      </c>
      <c r="H6724" s="12" t="n">
        <v>1</v>
      </c>
      <c r="I6724" s="4" t="s">
        <v>7036</v>
      </c>
      <c r="J6724" s="4" t="s">
        <v>543</v>
      </c>
      <c r="K6724" s="13" t="n">
        <v>900</v>
      </c>
      <c r="L6724" s="6" t="n">
        <f aca="false">H6724*K6724</f>
        <v>900</v>
      </c>
      <c r="M6724" s="14" t="s">
        <v>410</v>
      </c>
    </row>
    <row r="6725" customFormat="false" ht="23.85" hidden="false" customHeight="false" outlineLevel="0" collapsed="false">
      <c r="A6725" s="4" t="s">
        <v>367</v>
      </c>
      <c r="B6725" s="5" t="s">
        <v>376</v>
      </c>
      <c r="C6725" s="5" t="s">
        <v>377</v>
      </c>
      <c r="D6725" s="4" t="s">
        <v>370</v>
      </c>
      <c r="E6725" s="4" t="s">
        <v>7384</v>
      </c>
      <c r="F6725" s="4" t="s">
        <v>406</v>
      </c>
      <c r="G6725" s="4" t="s">
        <v>7385</v>
      </c>
      <c r="H6725" s="12" t="n">
        <v>1</v>
      </c>
      <c r="I6725" s="4" t="s">
        <v>7036</v>
      </c>
      <c r="J6725" s="4" t="s">
        <v>543</v>
      </c>
      <c r="K6725" s="13" t="n">
        <v>350</v>
      </c>
      <c r="L6725" s="6" t="n">
        <f aca="false">H6725*K6725</f>
        <v>350</v>
      </c>
      <c r="M6725" s="14" t="s">
        <v>410</v>
      </c>
    </row>
    <row r="6726" customFormat="false" ht="23.85" hidden="false" customHeight="false" outlineLevel="0" collapsed="false">
      <c r="A6726" s="4" t="s">
        <v>367</v>
      </c>
      <c r="B6726" s="5" t="s">
        <v>376</v>
      </c>
      <c r="C6726" s="5" t="s">
        <v>377</v>
      </c>
      <c r="D6726" s="4" t="s">
        <v>370</v>
      </c>
      <c r="E6726" s="4" t="s">
        <v>7386</v>
      </c>
      <c r="F6726" s="4" t="s">
        <v>406</v>
      </c>
      <c r="G6726" s="4" t="s">
        <v>7387</v>
      </c>
      <c r="H6726" s="12" t="n">
        <v>1</v>
      </c>
      <c r="I6726" s="4" t="s">
        <v>7036</v>
      </c>
      <c r="J6726" s="4" t="s">
        <v>543</v>
      </c>
      <c r="K6726" s="13" t="n">
        <v>1500</v>
      </c>
      <c r="L6726" s="6" t="n">
        <f aca="false">H6726*K6726</f>
        <v>1500</v>
      </c>
      <c r="M6726" s="14" t="s">
        <v>410</v>
      </c>
    </row>
    <row r="6727" customFormat="false" ht="23.85" hidden="false" customHeight="false" outlineLevel="0" collapsed="false">
      <c r="A6727" s="4" t="s">
        <v>367</v>
      </c>
      <c r="B6727" s="5" t="s">
        <v>376</v>
      </c>
      <c r="C6727" s="5" t="s">
        <v>377</v>
      </c>
      <c r="D6727" s="4" t="s">
        <v>370</v>
      </c>
      <c r="E6727" s="4" t="s">
        <v>7388</v>
      </c>
      <c r="F6727" s="4" t="s">
        <v>406</v>
      </c>
      <c r="G6727" s="4" t="s">
        <v>7389</v>
      </c>
      <c r="H6727" s="12" t="n">
        <v>2</v>
      </c>
      <c r="I6727" s="4" t="s">
        <v>7036</v>
      </c>
      <c r="J6727" s="4" t="s">
        <v>543</v>
      </c>
      <c r="K6727" s="13" t="n">
        <v>150</v>
      </c>
      <c r="L6727" s="6" t="n">
        <f aca="false">H6727*K6727</f>
        <v>300</v>
      </c>
      <c r="M6727" s="14" t="s">
        <v>410</v>
      </c>
    </row>
    <row r="6728" customFormat="false" ht="23.85" hidden="false" customHeight="false" outlineLevel="0" collapsed="false">
      <c r="A6728" s="4" t="s">
        <v>367</v>
      </c>
      <c r="B6728" s="5" t="s">
        <v>376</v>
      </c>
      <c r="C6728" s="5" t="s">
        <v>377</v>
      </c>
      <c r="D6728" s="4" t="s">
        <v>370</v>
      </c>
      <c r="E6728" s="4" t="s">
        <v>7390</v>
      </c>
      <c r="F6728" s="4" t="s">
        <v>406</v>
      </c>
      <c r="G6728" s="4" t="s">
        <v>7391</v>
      </c>
      <c r="H6728" s="12" t="n">
        <v>1</v>
      </c>
      <c r="I6728" s="4" t="s">
        <v>7036</v>
      </c>
      <c r="J6728" s="4" t="s">
        <v>416</v>
      </c>
      <c r="K6728" s="13" t="n">
        <v>350</v>
      </c>
      <c r="L6728" s="6" t="n">
        <f aca="false">H6728*K6728</f>
        <v>350</v>
      </c>
      <c r="M6728" s="14" t="s">
        <v>410</v>
      </c>
    </row>
    <row r="6729" customFormat="false" ht="23.85" hidden="false" customHeight="false" outlineLevel="0" collapsed="false">
      <c r="A6729" s="4" t="s">
        <v>367</v>
      </c>
      <c r="B6729" s="5" t="s">
        <v>376</v>
      </c>
      <c r="C6729" s="5" t="s">
        <v>377</v>
      </c>
      <c r="D6729" s="4" t="s">
        <v>370</v>
      </c>
      <c r="E6729" s="4" t="s">
        <v>7392</v>
      </c>
      <c r="F6729" s="4" t="s">
        <v>406</v>
      </c>
      <c r="G6729" s="4" t="s">
        <v>7393</v>
      </c>
      <c r="H6729" s="12" t="n">
        <v>1</v>
      </c>
      <c r="I6729" s="4" t="s">
        <v>7036</v>
      </c>
      <c r="J6729" s="4" t="s">
        <v>543</v>
      </c>
      <c r="K6729" s="13" t="n">
        <v>150</v>
      </c>
      <c r="L6729" s="6" t="n">
        <f aca="false">H6729*K6729</f>
        <v>150</v>
      </c>
      <c r="M6729" s="14" t="s">
        <v>410</v>
      </c>
    </row>
    <row r="6730" customFormat="false" ht="23.85" hidden="false" customHeight="false" outlineLevel="0" collapsed="false">
      <c r="A6730" s="4" t="s">
        <v>367</v>
      </c>
      <c r="B6730" s="5" t="s">
        <v>376</v>
      </c>
      <c r="C6730" s="5" t="s">
        <v>377</v>
      </c>
      <c r="D6730" s="4" t="s">
        <v>370</v>
      </c>
      <c r="E6730" s="4" t="s">
        <v>7394</v>
      </c>
      <c r="F6730" s="4" t="s">
        <v>406</v>
      </c>
      <c r="G6730" s="4" t="s">
        <v>7395</v>
      </c>
      <c r="H6730" s="12" t="n">
        <v>1</v>
      </c>
      <c r="I6730" s="4" t="s">
        <v>7036</v>
      </c>
      <c r="J6730" s="4" t="s">
        <v>543</v>
      </c>
      <c r="K6730" s="13" t="n">
        <v>150</v>
      </c>
      <c r="L6730" s="6" t="n">
        <f aca="false">H6730*K6730</f>
        <v>150</v>
      </c>
      <c r="M6730" s="14" t="s">
        <v>410</v>
      </c>
    </row>
    <row r="6731" customFormat="false" ht="23.85" hidden="false" customHeight="false" outlineLevel="0" collapsed="false">
      <c r="A6731" s="4" t="s">
        <v>367</v>
      </c>
      <c r="B6731" s="5" t="s">
        <v>376</v>
      </c>
      <c r="C6731" s="5" t="s">
        <v>377</v>
      </c>
      <c r="D6731" s="4" t="s">
        <v>370</v>
      </c>
      <c r="E6731" s="4" t="s">
        <v>7396</v>
      </c>
      <c r="F6731" s="4" t="s">
        <v>406</v>
      </c>
      <c r="G6731" s="4" t="s">
        <v>7397</v>
      </c>
      <c r="H6731" s="12" t="n">
        <v>1</v>
      </c>
      <c r="I6731" s="4" t="s">
        <v>7036</v>
      </c>
      <c r="J6731" s="4" t="s">
        <v>416</v>
      </c>
      <c r="K6731" s="13" t="n">
        <v>150</v>
      </c>
      <c r="L6731" s="6" t="n">
        <f aca="false">H6731*K6731</f>
        <v>150</v>
      </c>
      <c r="M6731" s="14" t="s">
        <v>410</v>
      </c>
    </row>
    <row r="6732" customFormat="false" ht="23.85" hidden="false" customHeight="false" outlineLevel="0" collapsed="false">
      <c r="A6732" s="4" t="s">
        <v>367</v>
      </c>
      <c r="B6732" s="5" t="s">
        <v>376</v>
      </c>
      <c r="C6732" s="5" t="s">
        <v>377</v>
      </c>
      <c r="D6732" s="4" t="s">
        <v>370</v>
      </c>
      <c r="E6732" s="4" t="s">
        <v>7398</v>
      </c>
      <c r="F6732" s="4" t="s">
        <v>406</v>
      </c>
      <c r="G6732" s="4" t="s">
        <v>7399</v>
      </c>
      <c r="H6732" s="12" t="n">
        <v>1</v>
      </c>
      <c r="I6732" s="4" t="s">
        <v>7036</v>
      </c>
      <c r="J6732" s="4" t="s">
        <v>543</v>
      </c>
      <c r="K6732" s="13" t="n">
        <v>3500</v>
      </c>
      <c r="L6732" s="6" t="n">
        <f aca="false">H6732*K6732</f>
        <v>3500</v>
      </c>
      <c r="M6732" s="14" t="s">
        <v>410</v>
      </c>
    </row>
    <row r="6733" customFormat="false" ht="23.85" hidden="false" customHeight="false" outlineLevel="0" collapsed="false">
      <c r="A6733" s="4" t="s">
        <v>367</v>
      </c>
      <c r="B6733" s="5" t="s">
        <v>376</v>
      </c>
      <c r="C6733" s="5" t="s">
        <v>377</v>
      </c>
      <c r="D6733" s="4" t="s">
        <v>370</v>
      </c>
      <c r="E6733" s="4" t="s">
        <v>7400</v>
      </c>
      <c r="F6733" s="4" t="s">
        <v>406</v>
      </c>
      <c r="G6733" s="4" t="s">
        <v>7401</v>
      </c>
      <c r="H6733" s="12" t="n">
        <v>1</v>
      </c>
      <c r="I6733" s="4" t="s">
        <v>7036</v>
      </c>
      <c r="J6733" s="4" t="s">
        <v>543</v>
      </c>
      <c r="K6733" s="13" t="n">
        <v>1800</v>
      </c>
      <c r="L6733" s="6" t="n">
        <f aca="false">H6733*K6733</f>
        <v>1800</v>
      </c>
      <c r="M6733" s="14" t="s">
        <v>410</v>
      </c>
    </row>
    <row r="6734" customFormat="false" ht="23.85" hidden="false" customHeight="false" outlineLevel="0" collapsed="false">
      <c r="A6734" s="4" t="s">
        <v>367</v>
      </c>
      <c r="B6734" s="5" t="s">
        <v>376</v>
      </c>
      <c r="C6734" s="5" t="s">
        <v>377</v>
      </c>
      <c r="D6734" s="4" t="s">
        <v>370</v>
      </c>
      <c r="E6734" s="4" t="s">
        <v>771</v>
      </c>
      <c r="F6734" s="4" t="s">
        <v>406</v>
      </c>
      <c r="G6734" s="4" t="s">
        <v>772</v>
      </c>
      <c r="H6734" s="12" t="n">
        <v>1</v>
      </c>
      <c r="I6734" s="4" t="s">
        <v>7036</v>
      </c>
      <c r="J6734" s="4" t="s">
        <v>416</v>
      </c>
      <c r="K6734" s="13" t="n">
        <v>850</v>
      </c>
      <c r="L6734" s="6" t="n">
        <f aca="false">H6734*K6734</f>
        <v>850</v>
      </c>
      <c r="M6734" s="14" t="s">
        <v>410</v>
      </c>
    </row>
    <row r="6735" customFormat="false" ht="23.85" hidden="false" customHeight="false" outlineLevel="0" collapsed="false">
      <c r="A6735" s="4" t="s">
        <v>367</v>
      </c>
      <c r="B6735" s="5" t="s">
        <v>376</v>
      </c>
      <c r="C6735" s="5" t="s">
        <v>377</v>
      </c>
      <c r="D6735" s="4" t="s">
        <v>370</v>
      </c>
      <c r="E6735" s="4" t="s">
        <v>7402</v>
      </c>
      <c r="F6735" s="4" t="s">
        <v>406</v>
      </c>
      <c r="G6735" s="4" t="s">
        <v>7403</v>
      </c>
      <c r="H6735" s="12" t="n">
        <v>6</v>
      </c>
      <c r="I6735" s="4" t="s">
        <v>7036</v>
      </c>
      <c r="J6735" s="4" t="s">
        <v>543</v>
      </c>
      <c r="K6735" s="13" t="n">
        <v>40</v>
      </c>
      <c r="L6735" s="6" t="n">
        <f aca="false">H6735*K6735</f>
        <v>240</v>
      </c>
      <c r="M6735" s="14" t="s">
        <v>410</v>
      </c>
    </row>
    <row r="6736" customFormat="false" ht="23.85" hidden="false" customHeight="false" outlineLevel="0" collapsed="false">
      <c r="A6736" s="4" t="s">
        <v>367</v>
      </c>
      <c r="B6736" s="5" t="s">
        <v>376</v>
      </c>
      <c r="C6736" s="5" t="s">
        <v>377</v>
      </c>
      <c r="D6736" s="4" t="s">
        <v>370</v>
      </c>
      <c r="E6736" s="4" t="s">
        <v>7404</v>
      </c>
      <c r="F6736" s="4" t="s">
        <v>406</v>
      </c>
      <c r="G6736" s="4" t="s">
        <v>7405</v>
      </c>
      <c r="H6736" s="12" t="n">
        <v>1</v>
      </c>
      <c r="I6736" s="4" t="s">
        <v>7036</v>
      </c>
      <c r="J6736" s="4" t="s">
        <v>543</v>
      </c>
      <c r="K6736" s="13" t="n">
        <v>1500</v>
      </c>
      <c r="L6736" s="6" t="n">
        <f aca="false">H6736*K6736</f>
        <v>1500</v>
      </c>
      <c r="M6736" s="14" t="s">
        <v>410</v>
      </c>
    </row>
    <row r="6737" customFormat="false" ht="23.85" hidden="false" customHeight="false" outlineLevel="0" collapsed="false">
      <c r="A6737" s="4" t="s">
        <v>367</v>
      </c>
      <c r="B6737" s="5" t="s">
        <v>376</v>
      </c>
      <c r="C6737" s="5" t="s">
        <v>377</v>
      </c>
      <c r="D6737" s="4" t="s">
        <v>370</v>
      </c>
      <c r="E6737" s="4" t="s">
        <v>7406</v>
      </c>
      <c r="F6737" s="4" t="s">
        <v>406</v>
      </c>
      <c r="G6737" s="4" t="s">
        <v>7407</v>
      </c>
      <c r="H6737" s="12" t="n">
        <v>1</v>
      </c>
      <c r="I6737" s="4" t="s">
        <v>7036</v>
      </c>
      <c r="J6737" s="4" t="s">
        <v>543</v>
      </c>
      <c r="K6737" s="13" t="n">
        <v>150</v>
      </c>
      <c r="L6737" s="6" t="n">
        <f aca="false">H6737*K6737</f>
        <v>150</v>
      </c>
      <c r="M6737" s="14" t="s">
        <v>410</v>
      </c>
    </row>
    <row r="6738" customFormat="false" ht="23.85" hidden="false" customHeight="false" outlineLevel="0" collapsed="false">
      <c r="A6738" s="4" t="s">
        <v>367</v>
      </c>
      <c r="B6738" s="5" t="s">
        <v>376</v>
      </c>
      <c r="C6738" s="5" t="s">
        <v>377</v>
      </c>
      <c r="D6738" s="4" t="s">
        <v>370</v>
      </c>
      <c r="E6738" s="4" t="s">
        <v>7408</v>
      </c>
      <c r="F6738" s="4" t="s">
        <v>406</v>
      </c>
      <c r="G6738" s="4" t="s">
        <v>7409</v>
      </c>
      <c r="H6738" s="12" t="n">
        <v>2</v>
      </c>
      <c r="I6738" s="4" t="s">
        <v>7036</v>
      </c>
      <c r="J6738" s="4" t="s">
        <v>543</v>
      </c>
      <c r="K6738" s="13" t="n">
        <v>60</v>
      </c>
      <c r="L6738" s="6" t="n">
        <f aca="false">H6738*K6738</f>
        <v>120</v>
      </c>
      <c r="M6738" s="14" t="s">
        <v>410</v>
      </c>
    </row>
    <row r="6739" customFormat="false" ht="23.85" hidden="false" customHeight="false" outlineLevel="0" collapsed="false">
      <c r="A6739" s="4" t="s">
        <v>367</v>
      </c>
      <c r="B6739" s="5" t="s">
        <v>376</v>
      </c>
      <c r="C6739" s="5" t="s">
        <v>377</v>
      </c>
      <c r="D6739" s="4" t="s">
        <v>370</v>
      </c>
      <c r="E6739" s="4" t="s">
        <v>7410</v>
      </c>
      <c r="F6739" s="4" t="s">
        <v>406</v>
      </c>
      <c r="G6739" s="4" t="s">
        <v>7411</v>
      </c>
      <c r="H6739" s="12" t="n">
        <v>1</v>
      </c>
      <c r="I6739" s="4" t="s">
        <v>7036</v>
      </c>
      <c r="J6739" s="4" t="s">
        <v>543</v>
      </c>
      <c r="K6739" s="13" t="n">
        <v>350</v>
      </c>
      <c r="L6739" s="6" t="n">
        <f aca="false">H6739*K6739</f>
        <v>350</v>
      </c>
      <c r="M6739" s="14" t="s">
        <v>410</v>
      </c>
    </row>
    <row r="6740" customFormat="false" ht="23.85" hidden="false" customHeight="false" outlineLevel="0" collapsed="false">
      <c r="A6740" s="4" t="s">
        <v>367</v>
      </c>
      <c r="B6740" s="5" t="s">
        <v>376</v>
      </c>
      <c r="C6740" s="5" t="s">
        <v>377</v>
      </c>
      <c r="D6740" s="4" t="s">
        <v>370</v>
      </c>
      <c r="E6740" s="4" t="s">
        <v>7412</v>
      </c>
      <c r="F6740" s="4" t="s">
        <v>406</v>
      </c>
      <c r="G6740" s="4" t="s">
        <v>7413</v>
      </c>
      <c r="H6740" s="12" t="n">
        <v>1</v>
      </c>
      <c r="I6740" s="4" t="s">
        <v>7036</v>
      </c>
      <c r="J6740" s="4" t="s">
        <v>543</v>
      </c>
      <c r="K6740" s="13" t="n">
        <v>500</v>
      </c>
      <c r="L6740" s="6" t="n">
        <f aca="false">H6740*K6740</f>
        <v>500</v>
      </c>
      <c r="M6740" s="14" t="s">
        <v>410</v>
      </c>
    </row>
    <row r="6741" customFormat="false" ht="23.85" hidden="false" customHeight="false" outlineLevel="0" collapsed="false">
      <c r="A6741" s="4" t="s">
        <v>367</v>
      </c>
      <c r="B6741" s="5" t="s">
        <v>376</v>
      </c>
      <c r="C6741" s="5" t="s">
        <v>377</v>
      </c>
      <c r="D6741" s="4" t="s">
        <v>370</v>
      </c>
      <c r="E6741" s="4" t="s">
        <v>5578</v>
      </c>
      <c r="F6741" s="4" t="s">
        <v>406</v>
      </c>
      <c r="G6741" s="4" t="s">
        <v>5579</v>
      </c>
      <c r="H6741" s="12" t="n">
        <v>1</v>
      </c>
      <c r="I6741" s="4" t="s">
        <v>7036</v>
      </c>
      <c r="J6741" s="4" t="s">
        <v>409</v>
      </c>
      <c r="K6741" s="13" t="n">
        <v>120</v>
      </c>
      <c r="L6741" s="6" t="n">
        <f aca="false">H6741*K6741</f>
        <v>120</v>
      </c>
      <c r="M6741" s="14" t="s">
        <v>410</v>
      </c>
    </row>
    <row r="6742" customFormat="false" ht="23.85" hidden="false" customHeight="false" outlineLevel="0" collapsed="false">
      <c r="A6742" s="4" t="s">
        <v>367</v>
      </c>
      <c r="B6742" s="5" t="s">
        <v>376</v>
      </c>
      <c r="C6742" s="5" t="s">
        <v>377</v>
      </c>
      <c r="D6742" s="4" t="s">
        <v>370</v>
      </c>
      <c r="E6742" s="4" t="s">
        <v>7414</v>
      </c>
      <c r="F6742" s="4" t="s">
        <v>406</v>
      </c>
      <c r="G6742" s="4" t="s">
        <v>7375</v>
      </c>
      <c r="H6742" s="12" t="n">
        <v>1</v>
      </c>
      <c r="I6742" s="4" t="s">
        <v>7036</v>
      </c>
      <c r="J6742" s="4" t="s">
        <v>543</v>
      </c>
      <c r="K6742" s="13" t="n">
        <v>250</v>
      </c>
      <c r="L6742" s="6" t="n">
        <f aca="false">H6742*K6742</f>
        <v>250</v>
      </c>
      <c r="M6742" s="14" t="s">
        <v>410</v>
      </c>
    </row>
    <row r="6743" customFormat="false" ht="23.85" hidden="false" customHeight="false" outlineLevel="0" collapsed="false">
      <c r="A6743" s="4" t="s">
        <v>367</v>
      </c>
      <c r="B6743" s="5" t="s">
        <v>376</v>
      </c>
      <c r="C6743" s="5" t="s">
        <v>377</v>
      </c>
      <c r="D6743" s="4" t="s">
        <v>370</v>
      </c>
      <c r="E6743" s="4" t="s">
        <v>7415</v>
      </c>
      <c r="F6743" s="4" t="s">
        <v>406</v>
      </c>
      <c r="G6743" s="4" t="s">
        <v>7416</v>
      </c>
      <c r="H6743" s="12" t="n">
        <v>4</v>
      </c>
      <c r="I6743" s="4" t="s">
        <v>7036</v>
      </c>
      <c r="J6743" s="4" t="s">
        <v>543</v>
      </c>
      <c r="K6743" s="13" t="n">
        <v>150</v>
      </c>
      <c r="L6743" s="6" t="n">
        <f aca="false">H6743*K6743</f>
        <v>600</v>
      </c>
      <c r="M6743" s="14" t="s">
        <v>410</v>
      </c>
    </row>
    <row r="6744" customFormat="false" ht="23.85" hidden="false" customHeight="false" outlineLevel="0" collapsed="false">
      <c r="A6744" s="4" t="s">
        <v>367</v>
      </c>
      <c r="B6744" s="5" t="s">
        <v>376</v>
      </c>
      <c r="C6744" s="5" t="s">
        <v>377</v>
      </c>
      <c r="D6744" s="4" t="s">
        <v>370</v>
      </c>
      <c r="E6744" s="4" t="s">
        <v>7417</v>
      </c>
      <c r="F6744" s="4" t="s">
        <v>406</v>
      </c>
      <c r="G6744" s="4" t="s">
        <v>7418</v>
      </c>
      <c r="H6744" s="12" t="n">
        <v>2</v>
      </c>
      <c r="I6744" s="4" t="s">
        <v>7036</v>
      </c>
      <c r="J6744" s="4" t="s">
        <v>543</v>
      </c>
      <c r="K6744" s="13" t="n">
        <v>200</v>
      </c>
      <c r="L6744" s="6" t="n">
        <f aca="false">H6744*K6744</f>
        <v>400</v>
      </c>
      <c r="M6744" s="14" t="s">
        <v>410</v>
      </c>
    </row>
    <row r="6745" customFormat="false" ht="23.85" hidden="false" customHeight="false" outlineLevel="0" collapsed="false">
      <c r="A6745" s="4" t="s">
        <v>367</v>
      </c>
      <c r="B6745" s="5" t="s">
        <v>376</v>
      </c>
      <c r="C6745" s="5" t="s">
        <v>377</v>
      </c>
      <c r="D6745" s="4" t="s">
        <v>370</v>
      </c>
      <c r="E6745" s="4" t="s">
        <v>7419</v>
      </c>
      <c r="F6745" s="4" t="s">
        <v>406</v>
      </c>
      <c r="G6745" s="4" t="s">
        <v>7420</v>
      </c>
      <c r="H6745" s="12" t="n">
        <v>1</v>
      </c>
      <c r="I6745" s="4" t="s">
        <v>7036</v>
      </c>
      <c r="J6745" s="4" t="s">
        <v>543</v>
      </c>
      <c r="K6745" s="13" t="n">
        <v>1200</v>
      </c>
      <c r="L6745" s="6" t="n">
        <f aca="false">H6745*K6745</f>
        <v>1200</v>
      </c>
      <c r="M6745" s="14" t="s">
        <v>410</v>
      </c>
    </row>
    <row r="6746" customFormat="false" ht="23.85" hidden="false" customHeight="false" outlineLevel="0" collapsed="false">
      <c r="A6746" s="4" t="s">
        <v>367</v>
      </c>
      <c r="B6746" s="5" t="s">
        <v>376</v>
      </c>
      <c r="C6746" s="5" t="s">
        <v>377</v>
      </c>
      <c r="D6746" s="4" t="s">
        <v>370</v>
      </c>
      <c r="E6746" s="4" t="s">
        <v>7421</v>
      </c>
      <c r="F6746" s="4" t="s">
        <v>406</v>
      </c>
      <c r="G6746" s="4" t="s">
        <v>7422</v>
      </c>
      <c r="H6746" s="12" t="n">
        <v>1</v>
      </c>
      <c r="I6746" s="4" t="s">
        <v>7036</v>
      </c>
      <c r="J6746" s="4" t="s">
        <v>543</v>
      </c>
      <c r="K6746" s="13" t="n">
        <v>250</v>
      </c>
      <c r="L6746" s="6" t="n">
        <f aca="false">H6746*K6746</f>
        <v>250</v>
      </c>
      <c r="M6746" s="14" t="s">
        <v>410</v>
      </c>
    </row>
    <row r="6747" customFormat="false" ht="23.85" hidden="false" customHeight="false" outlineLevel="0" collapsed="false">
      <c r="A6747" s="4" t="s">
        <v>367</v>
      </c>
      <c r="B6747" s="5" t="s">
        <v>376</v>
      </c>
      <c r="C6747" s="5" t="s">
        <v>377</v>
      </c>
      <c r="D6747" s="4" t="s">
        <v>370</v>
      </c>
      <c r="E6747" s="4" t="s">
        <v>7423</v>
      </c>
      <c r="F6747" s="4" t="s">
        <v>470</v>
      </c>
      <c r="G6747" s="4" t="s">
        <v>7424</v>
      </c>
      <c r="H6747" s="12" t="n">
        <v>1</v>
      </c>
      <c r="I6747" s="4" t="s">
        <v>7036</v>
      </c>
      <c r="J6747" s="4" t="s">
        <v>543</v>
      </c>
      <c r="K6747" s="13" t="n">
        <v>300</v>
      </c>
      <c r="L6747" s="6" t="n">
        <f aca="false">H6747*K6747</f>
        <v>300</v>
      </c>
      <c r="M6747" s="14" t="s">
        <v>410</v>
      </c>
    </row>
    <row r="6748" customFormat="false" ht="23.85" hidden="false" customHeight="false" outlineLevel="0" collapsed="false">
      <c r="A6748" s="4" t="s">
        <v>367</v>
      </c>
      <c r="B6748" s="5" t="s">
        <v>376</v>
      </c>
      <c r="C6748" s="5" t="s">
        <v>377</v>
      </c>
      <c r="D6748" s="4" t="s">
        <v>370</v>
      </c>
      <c r="E6748" s="4" t="s">
        <v>7425</v>
      </c>
      <c r="F6748" s="4" t="s">
        <v>406</v>
      </c>
      <c r="G6748" s="4" t="s">
        <v>7426</v>
      </c>
      <c r="H6748" s="12" t="n">
        <v>1</v>
      </c>
      <c r="I6748" s="4" t="s">
        <v>7036</v>
      </c>
      <c r="J6748" s="4" t="s">
        <v>543</v>
      </c>
      <c r="K6748" s="13" t="n">
        <v>1800</v>
      </c>
      <c r="L6748" s="6" t="n">
        <f aca="false">H6748*K6748</f>
        <v>1800</v>
      </c>
      <c r="M6748" s="14" t="s">
        <v>410</v>
      </c>
    </row>
    <row r="6749" customFormat="false" ht="23.85" hidden="false" customHeight="false" outlineLevel="0" collapsed="false">
      <c r="A6749" s="4" t="s">
        <v>367</v>
      </c>
      <c r="B6749" s="5" t="s">
        <v>376</v>
      </c>
      <c r="C6749" s="5" t="s">
        <v>377</v>
      </c>
      <c r="D6749" s="4" t="s">
        <v>370</v>
      </c>
      <c r="E6749" s="4" t="s">
        <v>5291</v>
      </c>
      <c r="F6749" s="4" t="s">
        <v>406</v>
      </c>
      <c r="G6749" s="4" t="s">
        <v>5292</v>
      </c>
      <c r="H6749" s="12" t="n">
        <v>1</v>
      </c>
      <c r="I6749" s="4" t="s">
        <v>7036</v>
      </c>
      <c r="J6749" s="4" t="s">
        <v>409</v>
      </c>
      <c r="K6749" s="13" t="n">
        <v>1200</v>
      </c>
      <c r="L6749" s="6" t="n">
        <f aca="false">H6749*K6749</f>
        <v>1200</v>
      </c>
      <c r="M6749" s="14" t="s">
        <v>410</v>
      </c>
    </row>
    <row r="6750" customFormat="false" ht="23.85" hidden="false" customHeight="false" outlineLevel="0" collapsed="false">
      <c r="A6750" s="4" t="s">
        <v>367</v>
      </c>
      <c r="B6750" s="5" t="s">
        <v>376</v>
      </c>
      <c r="C6750" s="5" t="s">
        <v>377</v>
      </c>
      <c r="D6750" s="4" t="s">
        <v>370</v>
      </c>
      <c r="E6750" s="4" t="s">
        <v>7427</v>
      </c>
      <c r="F6750" s="4" t="s">
        <v>406</v>
      </c>
      <c r="G6750" s="4" t="s">
        <v>468</v>
      </c>
      <c r="H6750" s="12" t="n">
        <v>1</v>
      </c>
      <c r="I6750" s="4" t="s">
        <v>7036</v>
      </c>
      <c r="J6750" s="4" t="s">
        <v>409</v>
      </c>
      <c r="K6750" s="13" t="n">
        <v>250</v>
      </c>
      <c r="L6750" s="6" t="n">
        <f aca="false">H6750*K6750</f>
        <v>250</v>
      </c>
      <c r="M6750" s="14" t="s">
        <v>410</v>
      </c>
    </row>
    <row r="6751" customFormat="false" ht="23.85" hidden="false" customHeight="false" outlineLevel="0" collapsed="false">
      <c r="A6751" s="4" t="s">
        <v>367</v>
      </c>
      <c r="B6751" s="5" t="s">
        <v>376</v>
      </c>
      <c r="C6751" s="5" t="s">
        <v>377</v>
      </c>
      <c r="D6751" s="4" t="s">
        <v>370</v>
      </c>
      <c r="E6751" s="4" t="s">
        <v>7428</v>
      </c>
      <c r="F6751" s="4" t="s">
        <v>406</v>
      </c>
      <c r="G6751" s="4" t="s">
        <v>573</v>
      </c>
      <c r="H6751" s="12" t="n">
        <v>1</v>
      </c>
      <c r="I6751" s="4" t="s">
        <v>7036</v>
      </c>
      <c r="J6751" s="4" t="s">
        <v>409</v>
      </c>
      <c r="K6751" s="13" t="n">
        <v>2500</v>
      </c>
      <c r="L6751" s="6" t="n">
        <f aca="false">H6751*K6751</f>
        <v>2500</v>
      </c>
      <c r="M6751" s="14" t="s">
        <v>410</v>
      </c>
    </row>
    <row r="6752" customFormat="false" ht="23.85" hidden="false" customHeight="false" outlineLevel="0" collapsed="false">
      <c r="A6752" s="4" t="s">
        <v>367</v>
      </c>
      <c r="B6752" s="5" t="s">
        <v>376</v>
      </c>
      <c r="C6752" s="5" t="s">
        <v>377</v>
      </c>
      <c r="D6752" s="4" t="s">
        <v>370</v>
      </c>
      <c r="E6752" s="4" t="s">
        <v>7429</v>
      </c>
      <c r="F6752" s="4" t="s">
        <v>406</v>
      </c>
      <c r="G6752" s="4" t="s">
        <v>2278</v>
      </c>
      <c r="H6752" s="12" t="n">
        <v>1</v>
      </c>
      <c r="I6752" s="4" t="s">
        <v>7036</v>
      </c>
      <c r="J6752" s="4" t="s">
        <v>413</v>
      </c>
      <c r="K6752" s="13" t="n">
        <v>450</v>
      </c>
      <c r="L6752" s="6" t="n">
        <f aca="false">H6752*K6752</f>
        <v>450</v>
      </c>
      <c r="M6752" s="14" t="s">
        <v>410</v>
      </c>
    </row>
    <row r="6753" customFormat="false" ht="23.85" hidden="false" customHeight="false" outlineLevel="0" collapsed="false">
      <c r="A6753" s="4" t="s">
        <v>367</v>
      </c>
      <c r="B6753" s="5" t="s">
        <v>376</v>
      </c>
      <c r="C6753" s="5" t="s">
        <v>377</v>
      </c>
      <c r="D6753" s="4" t="s">
        <v>370</v>
      </c>
      <c r="E6753" s="4" t="s">
        <v>7430</v>
      </c>
      <c r="F6753" s="4" t="s">
        <v>406</v>
      </c>
      <c r="G6753" s="4" t="s">
        <v>7431</v>
      </c>
      <c r="H6753" s="12" t="n">
        <v>1</v>
      </c>
      <c r="I6753" s="4" t="s">
        <v>7036</v>
      </c>
      <c r="J6753" s="4" t="s">
        <v>543</v>
      </c>
      <c r="K6753" s="13" t="n">
        <v>120</v>
      </c>
      <c r="L6753" s="6" t="n">
        <f aca="false">H6753*K6753</f>
        <v>120</v>
      </c>
      <c r="M6753" s="14" t="s">
        <v>410</v>
      </c>
    </row>
    <row r="6754" customFormat="false" ht="23.85" hidden="false" customHeight="false" outlineLevel="0" collapsed="false">
      <c r="A6754" s="4" t="s">
        <v>367</v>
      </c>
      <c r="B6754" s="5" t="s">
        <v>376</v>
      </c>
      <c r="C6754" s="5" t="s">
        <v>377</v>
      </c>
      <c r="D6754" s="4" t="s">
        <v>370</v>
      </c>
      <c r="E6754" s="4" t="s">
        <v>7432</v>
      </c>
      <c r="F6754" s="4" t="s">
        <v>406</v>
      </c>
      <c r="G6754" s="4" t="s">
        <v>7433</v>
      </c>
      <c r="H6754" s="12" t="n">
        <v>1</v>
      </c>
      <c r="I6754" s="4" t="s">
        <v>7036</v>
      </c>
      <c r="J6754" s="4" t="s">
        <v>543</v>
      </c>
      <c r="K6754" s="13" t="n">
        <v>1800</v>
      </c>
      <c r="L6754" s="6" t="n">
        <f aca="false">H6754*K6754</f>
        <v>1800</v>
      </c>
      <c r="M6754" s="14" t="s">
        <v>410</v>
      </c>
    </row>
    <row r="6755" customFormat="false" ht="23.85" hidden="false" customHeight="false" outlineLevel="0" collapsed="false">
      <c r="A6755" s="4" t="s">
        <v>367</v>
      </c>
      <c r="B6755" s="5" t="s">
        <v>376</v>
      </c>
      <c r="C6755" s="5" t="s">
        <v>377</v>
      </c>
      <c r="D6755" s="4" t="s">
        <v>370</v>
      </c>
      <c r="E6755" s="4" t="s">
        <v>7434</v>
      </c>
      <c r="F6755" s="4" t="s">
        <v>406</v>
      </c>
      <c r="G6755" s="4" t="s">
        <v>7435</v>
      </c>
      <c r="H6755" s="12" t="n">
        <v>1</v>
      </c>
      <c r="I6755" s="4" t="s">
        <v>7036</v>
      </c>
      <c r="J6755" s="4" t="s">
        <v>543</v>
      </c>
      <c r="K6755" s="13" t="n">
        <v>350</v>
      </c>
      <c r="L6755" s="6" t="n">
        <f aca="false">H6755*K6755</f>
        <v>350</v>
      </c>
      <c r="M6755" s="14" t="s">
        <v>410</v>
      </c>
    </row>
    <row r="6756" customFormat="false" ht="23.85" hidden="false" customHeight="false" outlineLevel="0" collapsed="false">
      <c r="A6756" s="4" t="s">
        <v>367</v>
      </c>
      <c r="B6756" s="5" t="s">
        <v>376</v>
      </c>
      <c r="C6756" s="5" t="s">
        <v>377</v>
      </c>
      <c r="D6756" s="4" t="s">
        <v>370</v>
      </c>
      <c r="E6756" s="4" t="s">
        <v>7436</v>
      </c>
      <c r="F6756" s="4" t="s">
        <v>406</v>
      </c>
      <c r="G6756" s="4" t="s">
        <v>7437</v>
      </c>
      <c r="H6756" s="12" t="n">
        <v>1</v>
      </c>
      <c r="I6756" s="4" t="s">
        <v>7036</v>
      </c>
      <c r="J6756" s="4" t="s">
        <v>543</v>
      </c>
      <c r="K6756" s="13" t="n">
        <v>500</v>
      </c>
      <c r="L6756" s="6" t="n">
        <f aca="false">H6756*K6756</f>
        <v>500</v>
      </c>
      <c r="M6756" s="14" t="s">
        <v>410</v>
      </c>
    </row>
    <row r="6757" customFormat="false" ht="23.85" hidden="false" customHeight="false" outlineLevel="0" collapsed="false">
      <c r="A6757" s="4" t="s">
        <v>367</v>
      </c>
      <c r="B6757" s="5" t="s">
        <v>376</v>
      </c>
      <c r="C6757" s="5" t="s">
        <v>377</v>
      </c>
      <c r="D6757" s="4" t="s">
        <v>370</v>
      </c>
      <c r="E6757" s="4" t="s">
        <v>5574</v>
      </c>
      <c r="F6757" s="4" t="s">
        <v>470</v>
      </c>
      <c r="G6757" s="4" t="s">
        <v>5575</v>
      </c>
      <c r="H6757" s="12" t="n">
        <v>1</v>
      </c>
      <c r="I6757" s="4" t="s">
        <v>7036</v>
      </c>
      <c r="J6757" s="4" t="s">
        <v>409</v>
      </c>
      <c r="K6757" s="13" t="n">
        <v>450</v>
      </c>
      <c r="L6757" s="6" t="n">
        <f aca="false">H6757*K6757</f>
        <v>450</v>
      </c>
      <c r="M6757" s="14" t="s">
        <v>410</v>
      </c>
    </row>
    <row r="6758" customFormat="false" ht="23.85" hidden="false" customHeight="false" outlineLevel="0" collapsed="false">
      <c r="A6758" s="4" t="s">
        <v>367</v>
      </c>
      <c r="B6758" s="5" t="s">
        <v>376</v>
      </c>
      <c r="C6758" s="5" t="s">
        <v>377</v>
      </c>
      <c r="D6758" s="4" t="s">
        <v>370</v>
      </c>
      <c r="E6758" s="4" t="s">
        <v>7370</v>
      </c>
      <c r="F6758" s="4" t="s">
        <v>470</v>
      </c>
      <c r="G6758" s="4" t="s">
        <v>7371</v>
      </c>
      <c r="H6758" s="12" t="n">
        <v>1</v>
      </c>
      <c r="I6758" s="4" t="s">
        <v>7036</v>
      </c>
      <c r="J6758" s="4" t="s">
        <v>543</v>
      </c>
      <c r="K6758" s="13" t="n">
        <v>2800</v>
      </c>
      <c r="L6758" s="6" t="n">
        <f aca="false">H6758*K6758</f>
        <v>2800</v>
      </c>
      <c r="M6758" s="14" t="s">
        <v>410</v>
      </c>
    </row>
    <row r="6759" customFormat="false" ht="23.85" hidden="false" customHeight="false" outlineLevel="0" collapsed="false">
      <c r="A6759" s="4" t="s">
        <v>367</v>
      </c>
      <c r="B6759" s="5" t="s">
        <v>376</v>
      </c>
      <c r="C6759" s="5" t="s">
        <v>377</v>
      </c>
      <c r="D6759" s="4" t="s">
        <v>370</v>
      </c>
      <c r="E6759" s="4" t="s">
        <v>7438</v>
      </c>
      <c r="F6759" s="4" t="s">
        <v>406</v>
      </c>
      <c r="G6759" s="4" t="s">
        <v>7439</v>
      </c>
      <c r="H6759" s="12" t="n">
        <v>5</v>
      </c>
      <c r="I6759" s="4" t="s">
        <v>7036</v>
      </c>
      <c r="J6759" s="4" t="s">
        <v>543</v>
      </c>
      <c r="K6759" s="13" t="n">
        <v>250</v>
      </c>
      <c r="L6759" s="6" t="n">
        <f aca="false">H6759*K6759</f>
        <v>1250</v>
      </c>
      <c r="M6759" s="14" t="s">
        <v>410</v>
      </c>
    </row>
    <row r="6760" customFormat="false" ht="23.85" hidden="false" customHeight="false" outlineLevel="0" collapsed="false">
      <c r="A6760" s="4" t="s">
        <v>367</v>
      </c>
      <c r="B6760" s="5" t="s">
        <v>376</v>
      </c>
      <c r="C6760" s="5" t="s">
        <v>377</v>
      </c>
      <c r="D6760" s="4" t="s">
        <v>370</v>
      </c>
      <c r="E6760" s="4" t="s">
        <v>7440</v>
      </c>
      <c r="F6760" s="4" t="s">
        <v>406</v>
      </c>
      <c r="G6760" s="4" t="s">
        <v>7441</v>
      </c>
      <c r="H6760" s="12" t="n">
        <v>3</v>
      </c>
      <c r="I6760" s="4" t="s">
        <v>7036</v>
      </c>
      <c r="J6760" s="4" t="s">
        <v>543</v>
      </c>
      <c r="K6760" s="13" t="n">
        <v>80</v>
      </c>
      <c r="L6760" s="6" t="n">
        <f aca="false">H6760*K6760</f>
        <v>240</v>
      </c>
      <c r="M6760" s="14" t="s">
        <v>410</v>
      </c>
    </row>
    <row r="6761" customFormat="false" ht="23.85" hidden="false" customHeight="false" outlineLevel="0" collapsed="false">
      <c r="A6761" s="4" t="s">
        <v>367</v>
      </c>
      <c r="B6761" s="5" t="s">
        <v>376</v>
      </c>
      <c r="C6761" s="5" t="s">
        <v>377</v>
      </c>
      <c r="D6761" s="4" t="s">
        <v>370</v>
      </c>
      <c r="E6761" s="4" t="s">
        <v>7442</v>
      </c>
      <c r="F6761" s="4" t="s">
        <v>488</v>
      </c>
      <c r="G6761" s="4" t="s">
        <v>4317</v>
      </c>
      <c r="H6761" s="12" t="n">
        <v>4</v>
      </c>
      <c r="I6761" s="4" t="s">
        <v>7036</v>
      </c>
      <c r="J6761" s="4" t="s">
        <v>475</v>
      </c>
      <c r="K6761" s="13" t="n">
        <v>180</v>
      </c>
      <c r="L6761" s="6" t="n">
        <f aca="false">H6761*K6761</f>
        <v>720</v>
      </c>
      <c r="M6761" s="14" t="s">
        <v>410</v>
      </c>
    </row>
    <row r="6762" customFormat="false" ht="23.85" hidden="false" customHeight="false" outlineLevel="0" collapsed="false">
      <c r="A6762" s="4" t="s">
        <v>367</v>
      </c>
      <c r="B6762" s="5" t="s">
        <v>376</v>
      </c>
      <c r="C6762" s="5" t="s">
        <v>377</v>
      </c>
      <c r="D6762" s="4" t="s">
        <v>370</v>
      </c>
      <c r="E6762" s="4" t="s">
        <v>7443</v>
      </c>
      <c r="F6762" s="4" t="s">
        <v>488</v>
      </c>
      <c r="G6762" s="4" t="s">
        <v>7444</v>
      </c>
      <c r="H6762" s="12" t="n">
        <v>1</v>
      </c>
      <c r="I6762" s="4" t="s">
        <v>7036</v>
      </c>
      <c r="J6762" s="4" t="s">
        <v>506</v>
      </c>
      <c r="K6762" s="13" t="n">
        <v>150</v>
      </c>
      <c r="L6762" s="6" t="n">
        <f aca="false">H6762*K6762</f>
        <v>150</v>
      </c>
      <c r="M6762" s="14" t="s">
        <v>410</v>
      </c>
    </row>
    <row r="6763" customFormat="false" ht="23.85" hidden="false" customHeight="false" outlineLevel="0" collapsed="false">
      <c r="A6763" s="4" t="s">
        <v>367</v>
      </c>
      <c r="B6763" s="5" t="s">
        <v>376</v>
      </c>
      <c r="C6763" s="5" t="s">
        <v>377</v>
      </c>
      <c r="D6763" s="4" t="s">
        <v>370</v>
      </c>
      <c r="E6763" s="4" t="s">
        <v>7445</v>
      </c>
      <c r="F6763" s="4" t="s">
        <v>488</v>
      </c>
      <c r="G6763" s="4" t="s">
        <v>7446</v>
      </c>
      <c r="H6763" s="12" t="n">
        <v>15</v>
      </c>
      <c r="I6763" s="4" t="s">
        <v>7036</v>
      </c>
      <c r="J6763" s="4" t="s">
        <v>543</v>
      </c>
      <c r="K6763" s="13" t="n">
        <v>10</v>
      </c>
      <c r="L6763" s="6" t="n">
        <f aca="false">H6763*K6763</f>
        <v>150</v>
      </c>
      <c r="M6763" s="14" t="s">
        <v>410</v>
      </c>
    </row>
    <row r="6764" customFormat="false" ht="23.85" hidden="false" customHeight="false" outlineLevel="0" collapsed="false">
      <c r="A6764" s="4" t="s">
        <v>367</v>
      </c>
      <c r="B6764" s="5" t="s">
        <v>376</v>
      </c>
      <c r="C6764" s="5" t="s">
        <v>377</v>
      </c>
      <c r="D6764" s="4" t="s">
        <v>370</v>
      </c>
      <c r="E6764" s="4" t="s">
        <v>7447</v>
      </c>
      <c r="F6764" s="4" t="s">
        <v>488</v>
      </c>
      <c r="G6764" s="4" t="s">
        <v>7448</v>
      </c>
      <c r="H6764" s="12" t="n">
        <v>1</v>
      </c>
      <c r="I6764" s="4" t="s">
        <v>7036</v>
      </c>
      <c r="J6764" s="4" t="s">
        <v>543</v>
      </c>
      <c r="K6764" s="13" t="n">
        <v>30</v>
      </c>
      <c r="L6764" s="6" t="n">
        <f aca="false">H6764*K6764</f>
        <v>30</v>
      </c>
      <c r="M6764" s="14" t="s">
        <v>410</v>
      </c>
    </row>
    <row r="6765" customFormat="false" ht="23.85" hidden="false" customHeight="false" outlineLevel="0" collapsed="false">
      <c r="A6765" s="4" t="s">
        <v>367</v>
      </c>
      <c r="B6765" s="5" t="s">
        <v>376</v>
      </c>
      <c r="C6765" s="5" t="s">
        <v>377</v>
      </c>
      <c r="D6765" s="4" t="s">
        <v>370</v>
      </c>
      <c r="E6765" s="4" t="s">
        <v>7449</v>
      </c>
      <c r="F6765" s="4" t="s">
        <v>470</v>
      </c>
      <c r="G6765" s="4" t="s">
        <v>7450</v>
      </c>
      <c r="H6765" s="12" t="n">
        <v>1</v>
      </c>
      <c r="I6765" s="4" t="s">
        <v>7036</v>
      </c>
      <c r="J6765" s="4" t="s">
        <v>807</v>
      </c>
      <c r="K6765" s="13" t="n">
        <v>450</v>
      </c>
      <c r="L6765" s="6" t="n">
        <f aca="false">H6765*K6765</f>
        <v>450</v>
      </c>
      <c r="M6765" s="14" t="s">
        <v>410</v>
      </c>
    </row>
    <row r="6766" customFormat="false" ht="23.85" hidden="false" customHeight="false" outlineLevel="0" collapsed="false">
      <c r="A6766" s="4" t="s">
        <v>367</v>
      </c>
      <c r="B6766" s="5" t="s">
        <v>376</v>
      </c>
      <c r="C6766" s="5" t="s">
        <v>377</v>
      </c>
      <c r="D6766" s="4" t="s">
        <v>370</v>
      </c>
      <c r="E6766" s="4" t="s">
        <v>7451</v>
      </c>
      <c r="F6766" s="4" t="s">
        <v>470</v>
      </c>
      <c r="G6766" s="4" t="s">
        <v>7452</v>
      </c>
      <c r="H6766" s="12" t="n">
        <v>1</v>
      </c>
      <c r="I6766" s="4" t="s">
        <v>7036</v>
      </c>
      <c r="J6766" s="4" t="s">
        <v>543</v>
      </c>
      <c r="K6766" s="13" t="n">
        <v>250</v>
      </c>
      <c r="L6766" s="6" t="n">
        <f aca="false">H6766*K6766</f>
        <v>250</v>
      </c>
      <c r="M6766" s="14" t="s">
        <v>410</v>
      </c>
    </row>
    <row r="6767" customFormat="false" ht="23.85" hidden="false" customHeight="false" outlineLevel="0" collapsed="false">
      <c r="A6767" s="4" t="s">
        <v>367</v>
      </c>
      <c r="B6767" s="5" t="s">
        <v>376</v>
      </c>
      <c r="C6767" s="5" t="s">
        <v>377</v>
      </c>
      <c r="D6767" s="4" t="s">
        <v>370</v>
      </c>
      <c r="E6767" s="4" t="s">
        <v>7453</v>
      </c>
      <c r="F6767" s="4" t="s">
        <v>470</v>
      </c>
      <c r="G6767" s="4" t="s">
        <v>7454</v>
      </c>
      <c r="H6767" s="12" t="n">
        <v>1</v>
      </c>
      <c r="I6767" s="4" t="s">
        <v>7036</v>
      </c>
      <c r="J6767" s="4" t="s">
        <v>543</v>
      </c>
      <c r="K6767" s="13" t="n">
        <v>250</v>
      </c>
      <c r="L6767" s="6" t="n">
        <f aca="false">H6767*K6767</f>
        <v>250</v>
      </c>
      <c r="M6767" s="14" t="s">
        <v>410</v>
      </c>
    </row>
    <row r="6768" customFormat="false" ht="23.85" hidden="false" customHeight="false" outlineLevel="0" collapsed="false">
      <c r="A6768" s="4" t="s">
        <v>367</v>
      </c>
      <c r="B6768" s="5" t="s">
        <v>376</v>
      </c>
      <c r="C6768" s="5" t="s">
        <v>377</v>
      </c>
      <c r="D6768" s="4" t="s">
        <v>370</v>
      </c>
      <c r="E6768" s="4" t="s">
        <v>7455</v>
      </c>
      <c r="F6768" s="4" t="s">
        <v>470</v>
      </c>
      <c r="G6768" s="4" t="s">
        <v>7456</v>
      </c>
      <c r="H6768" s="12" t="n">
        <v>1</v>
      </c>
      <c r="I6768" s="4" t="s">
        <v>7036</v>
      </c>
      <c r="J6768" s="4" t="s">
        <v>543</v>
      </c>
      <c r="K6768" s="13" t="n">
        <v>250</v>
      </c>
      <c r="L6768" s="6" t="n">
        <f aca="false">H6768*K6768</f>
        <v>250</v>
      </c>
      <c r="M6768" s="14" t="s">
        <v>410</v>
      </c>
    </row>
    <row r="6769" customFormat="false" ht="23.85" hidden="false" customHeight="false" outlineLevel="0" collapsed="false">
      <c r="A6769" s="4" t="s">
        <v>367</v>
      </c>
      <c r="B6769" s="5" t="s">
        <v>376</v>
      </c>
      <c r="C6769" s="5" t="s">
        <v>377</v>
      </c>
      <c r="D6769" s="4" t="s">
        <v>370</v>
      </c>
      <c r="E6769" s="4" t="s">
        <v>7457</v>
      </c>
      <c r="F6769" s="4" t="s">
        <v>406</v>
      </c>
      <c r="G6769" s="4" t="s">
        <v>621</v>
      </c>
      <c r="H6769" s="12" t="n">
        <v>4</v>
      </c>
      <c r="I6769" s="4" t="s">
        <v>7036</v>
      </c>
      <c r="J6769" s="4" t="s">
        <v>409</v>
      </c>
      <c r="K6769" s="13" t="n">
        <v>650</v>
      </c>
      <c r="L6769" s="6" t="n">
        <f aca="false">H6769*K6769</f>
        <v>2600</v>
      </c>
      <c r="M6769" s="14" t="s">
        <v>410</v>
      </c>
    </row>
    <row r="6770" customFormat="false" ht="23.85" hidden="false" customHeight="false" outlineLevel="0" collapsed="false">
      <c r="A6770" s="4" t="s">
        <v>367</v>
      </c>
      <c r="B6770" s="5" t="s">
        <v>376</v>
      </c>
      <c r="C6770" s="5" t="s">
        <v>377</v>
      </c>
      <c r="D6770" s="4" t="s">
        <v>370</v>
      </c>
      <c r="E6770" s="4" t="s">
        <v>730</v>
      </c>
      <c r="F6770" s="4" t="s">
        <v>406</v>
      </c>
      <c r="G6770" s="4" t="s">
        <v>731</v>
      </c>
      <c r="H6770" s="12" t="n">
        <v>4</v>
      </c>
      <c r="I6770" s="4" t="s">
        <v>7036</v>
      </c>
      <c r="J6770" s="4" t="s">
        <v>409</v>
      </c>
      <c r="K6770" s="13" t="n">
        <v>350</v>
      </c>
      <c r="L6770" s="6" t="n">
        <f aca="false">H6770*K6770</f>
        <v>1400</v>
      </c>
      <c r="M6770" s="14" t="s">
        <v>410</v>
      </c>
    </row>
    <row r="6771" customFormat="false" ht="23.85" hidden="false" customHeight="false" outlineLevel="0" collapsed="false">
      <c r="A6771" s="4" t="s">
        <v>367</v>
      </c>
      <c r="B6771" s="5" t="s">
        <v>376</v>
      </c>
      <c r="C6771" s="5" t="s">
        <v>377</v>
      </c>
      <c r="D6771" s="4" t="s">
        <v>370</v>
      </c>
      <c r="E6771" s="4" t="s">
        <v>7458</v>
      </c>
      <c r="F6771" s="4" t="s">
        <v>406</v>
      </c>
      <c r="G6771" s="4" t="s">
        <v>623</v>
      </c>
      <c r="H6771" s="12" t="n">
        <v>4</v>
      </c>
      <c r="I6771" s="4" t="s">
        <v>7036</v>
      </c>
      <c r="J6771" s="4" t="s">
        <v>409</v>
      </c>
      <c r="K6771" s="13" t="n">
        <v>450</v>
      </c>
      <c r="L6771" s="6" t="n">
        <f aca="false">H6771*K6771</f>
        <v>1800</v>
      </c>
      <c r="M6771" s="14" t="s">
        <v>410</v>
      </c>
    </row>
    <row r="6772" customFormat="false" ht="23.85" hidden="false" customHeight="false" outlineLevel="0" collapsed="false">
      <c r="A6772" s="4" t="s">
        <v>367</v>
      </c>
      <c r="B6772" s="5" t="s">
        <v>376</v>
      </c>
      <c r="C6772" s="5" t="s">
        <v>377</v>
      </c>
      <c r="D6772" s="4" t="s">
        <v>370</v>
      </c>
      <c r="E6772" s="4" t="s">
        <v>7459</v>
      </c>
      <c r="F6772" s="4" t="s">
        <v>406</v>
      </c>
      <c r="G6772" s="4" t="s">
        <v>7460</v>
      </c>
      <c r="H6772" s="12" t="n">
        <v>2</v>
      </c>
      <c r="I6772" s="4" t="s">
        <v>7036</v>
      </c>
      <c r="J6772" s="4" t="s">
        <v>543</v>
      </c>
      <c r="K6772" s="13" t="n">
        <v>900</v>
      </c>
      <c r="L6772" s="6" t="n">
        <f aca="false">H6772*K6772</f>
        <v>1800</v>
      </c>
      <c r="M6772" s="14" t="s">
        <v>410</v>
      </c>
    </row>
    <row r="6773" customFormat="false" ht="23.85" hidden="false" customHeight="false" outlineLevel="0" collapsed="false">
      <c r="A6773" s="4" t="s">
        <v>367</v>
      </c>
      <c r="B6773" s="5" t="s">
        <v>376</v>
      </c>
      <c r="C6773" s="5" t="s">
        <v>377</v>
      </c>
      <c r="D6773" s="4" t="s">
        <v>370</v>
      </c>
      <c r="E6773" s="4" t="s">
        <v>7461</v>
      </c>
      <c r="F6773" s="4" t="s">
        <v>406</v>
      </c>
      <c r="G6773" s="4" t="s">
        <v>7462</v>
      </c>
      <c r="H6773" s="12" t="n">
        <v>1</v>
      </c>
      <c r="I6773" s="4" t="s">
        <v>7036</v>
      </c>
      <c r="J6773" s="4" t="s">
        <v>543</v>
      </c>
      <c r="K6773" s="13" t="n">
        <v>700</v>
      </c>
      <c r="L6773" s="6" t="n">
        <f aca="false">H6773*K6773</f>
        <v>700</v>
      </c>
      <c r="M6773" s="14" t="s">
        <v>410</v>
      </c>
    </row>
    <row r="6774" customFormat="false" ht="23.85" hidden="false" customHeight="false" outlineLevel="0" collapsed="false">
      <c r="A6774" s="4" t="s">
        <v>367</v>
      </c>
      <c r="B6774" s="5" t="s">
        <v>376</v>
      </c>
      <c r="C6774" s="5" t="s">
        <v>377</v>
      </c>
      <c r="D6774" s="4" t="s">
        <v>370</v>
      </c>
      <c r="E6774" s="4" t="s">
        <v>7463</v>
      </c>
      <c r="F6774" s="4" t="s">
        <v>406</v>
      </c>
      <c r="G6774" s="4" t="s">
        <v>7464</v>
      </c>
      <c r="H6774" s="12" t="n">
        <v>1</v>
      </c>
      <c r="I6774" s="4" t="s">
        <v>7036</v>
      </c>
      <c r="J6774" s="4" t="s">
        <v>543</v>
      </c>
      <c r="K6774" s="13" t="n">
        <v>450</v>
      </c>
      <c r="L6774" s="6" t="n">
        <f aca="false">H6774*K6774</f>
        <v>450</v>
      </c>
      <c r="M6774" s="14" t="s">
        <v>410</v>
      </c>
    </row>
    <row r="6775" customFormat="false" ht="23.85" hidden="false" customHeight="false" outlineLevel="0" collapsed="false">
      <c r="A6775" s="4" t="s">
        <v>367</v>
      </c>
      <c r="B6775" s="5" t="s">
        <v>376</v>
      </c>
      <c r="C6775" s="5" t="s">
        <v>377</v>
      </c>
      <c r="D6775" s="4" t="s">
        <v>370</v>
      </c>
      <c r="E6775" s="4" t="s">
        <v>3156</v>
      </c>
      <c r="F6775" s="4" t="s">
        <v>406</v>
      </c>
      <c r="G6775" s="4" t="s">
        <v>627</v>
      </c>
      <c r="H6775" s="12" t="n">
        <v>2</v>
      </c>
      <c r="I6775" s="4" t="s">
        <v>7036</v>
      </c>
      <c r="J6775" s="4" t="s">
        <v>409</v>
      </c>
      <c r="K6775" s="13" t="n">
        <v>250</v>
      </c>
      <c r="L6775" s="6" t="n">
        <f aca="false">H6775*K6775</f>
        <v>500</v>
      </c>
      <c r="M6775" s="14" t="s">
        <v>410</v>
      </c>
    </row>
    <row r="6776" customFormat="false" ht="23.85" hidden="false" customHeight="false" outlineLevel="0" collapsed="false">
      <c r="A6776" s="4" t="s">
        <v>367</v>
      </c>
      <c r="B6776" s="5" t="s">
        <v>376</v>
      </c>
      <c r="C6776" s="5" t="s">
        <v>377</v>
      </c>
      <c r="D6776" s="4" t="s">
        <v>370</v>
      </c>
      <c r="E6776" s="4" t="s">
        <v>539</v>
      </c>
      <c r="F6776" s="4" t="s">
        <v>406</v>
      </c>
      <c r="G6776" s="4" t="s">
        <v>540</v>
      </c>
      <c r="H6776" s="12" t="n">
        <v>2</v>
      </c>
      <c r="I6776" s="4" t="s">
        <v>7036</v>
      </c>
      <c r="J6776" s="4" t="s">
        <v>409</v>
      </c>
      <c r="K6776" s="13" t="n">
        <v>250</v>
      </c>
      <c r="L6776" s="6" t="n">
        <f aca="false">H6776*K6776</f>
        <v>500</v>
      </c>
      <c r="M6776" s="14" t="s">
        <v>410</v>
      </c>
    </row>
    <row r="6777" customFormat="false" ht="23.85" hidden="false" customHeight="false" outlineLevel="0" collapsed="false">
      <c r="A6777" s="4" t="s">
        <v>367</v>
      </c>
      <c r="B6777" s="5" t="s">
        <v>376</v>
      </c>
      <c r="C6777" s="5" t="s">
        <v>377</v>
      </c>
      <c r="D6777" s="4" t="s">
        <v>370</v>
      </c>
      <c r="E6777" s="4" t="s">
        <v>7465</v>
      </c>
      <c r="F6777" s="4" t="s">
        <v>406</v>
      </c>
      <c r="G6777" s="4" t="s">
        <v>7254</v>
      </c>
      <c r="H6777" s="12" t="n">
        <v>2</v>
      </c>
      <c r="I6777" s="4" t="s">
        <v>7036</v>
      </c>
      <c r="J6777" s="4" t="s">
        <v>543</v>
      </c>
      <c r="K6777" s="13" t="n">
        <v>550</v>
      </c>
      <c r="L6777" s="6" t="n">
        <f aca="false">H6777*K6777</f>
        <v>1100</v>
      </c>
      <c r="M6777" s="14" t="s">
        <v>410</v>
      </c>
    </row>
    <row r="6778" customFormat="false" ht="23.85" hidden="false" customHeight="false" outlineLevel="0" collapsed="false">
      <c r="A6778" s="4" t="s">
        <v>367</v>
      </c>
      <c r="B6778" s="5" t="s">
        <v>376</v>
      </c>
      <c r="C6778" s="5" t="s">
        <v>377</v>
      </c>
      <c r="D6778" s="4" t="s">
        <v>370</v>
      </c>
      <c r="E6778" s="4" t="s">
        <v>7466</v>
      </c>
      <c r="F6778" s="4" t="s">
        <v>406</v>
      </c>
      <c r="G6778" s="4" t="s">
        <v>7467</v>
      </c>
      <c r="H6778" s="12" t="n">
        <v>1</v>
      </c>
      <c r="I6778" s="4" t="s">
        <v>7036</v>
      </c>
      <c r="J6778" s="4" t="s">
        <v>543</v>
      </c>
      <c r="K6778" s="13" t="n">
        <v>600</v>
      </c>
      <c r="L6778" s="6" t="n">
        <f aca="false">H6778*K6778</f>
        <v>600</v>
      </c>
      <c r="M6778" s="14" t="s">
        <v>410</v>
      </c>
    </row>
    <row r="6779" customFormat="false" ht="23.85" hidden="false" customHeight="false" outlineLevel="0" collapsed="false">
      <c r="A6779" s="4" t="s">
        <v>367</v>
      </c>
      <c r="B6779" s="5" t="s">
        <v>376</v>
      </c>
      <c r="C6779" s="5" t="s">
        <v>377</v>
      </c>
      <c r="D6779" s="4" t="s">
        <v>370</v>
      </c>
      <c r="E6779" s="4" t="s">
        <v>7468</v>
      </c>
      <c r="F6779" s="4" t="s">
        <v>406</v>
      </c>
      <c r="G6779" s="4" t="s">
        <v>7469</v>
      </c>
      <c r="H6779" s="12" t="n">
        <v>1</v>
      </c>
      <c r="I6779" s="4" t="s">
        <v>7036</v>
      </c>
      <c r="J6779" s="4" t="s">
        <v>543</v>
      </c>
      <c r="K6779" s="13" t="n">
        <v>650</v>
      </c>
      <c r="L6779" s="6" t="n">
        <f aca="false">H6779*K6779</f>
        <v>650</v>
      </c>
      <c r="M6779" s="14" t="s">
        <v>410</v>
      </c>
    </row>
    <row r="6780" customFormat="false" ht="23.85" hidden="false" customHeight="false" outlineLevel="0" collapsed="false">
      <c r="A6780" s="4" t="s">
        <v>367</v>
      </c>
      <c r="B6780" s="5" t="s">
        <v>376</v>
      </c>
      <c r="C6780" s="5" t="s">
        <v>377</v>
      </c>
      <c r="D6780" s="4" t="s">
        <v>370</v>
      </c>
      <c r="E6780" s="4" t="s">
        <v>640</v>
      </c>
      <c r="F6780" s="4" t="s">
        <v>406</v>
      </c>
      <c r="G6780" s="4" t="s">
        <v>641</v>
      </c>
      <c r="H6780" s="12" t="n">
        <v>4</v>
      </c>
      <c r="I6780" s="4" t="s">
        <v>7036</v>
      </c>
      <c r="J6780" s="4" t="s">
        <v>409</v>
      </c>
      <c r="K6780" s="13" t="n">
        <v>180</v>
      </c>
      <c r="L6780" s="6" t="n">
        <f aca="false">H6780*K6780</f>
        <v>720</v>
      </c>
      <c r="M6780" s="14" t="s">
        <v>410</v>
      </c>
    </row>
    <row r="6781" customFormat="false" ht="23.85" hidden="false" customHeight="false" outlineLevel="0" collapsed="false">
      <c r="A6781" s="4" t="s">
        <v>367</v>
      </c>
      <c r="B6781" s="5" t="s">
        <v>376</v>
      </c>
      <c r="C6781" s="5" t="s">
        <v>377</v>
      </c>
      <c r="D6781" s="4" t="s">
        <v>370</v>
      </c>
      <c r="E6781" s="4" t="s">
        <v>648</v>
      </c>
      <c r="F6781" s="4" t="s">
        <v>406</v>
      </c>
      <c r="G6781" s="4" t="s">
        <v>649</v>
      </c>
      <c r="H6781" s="12" t="n">
        <v>2</v>
      </c>
      <c r="I6781" s="4" t="s">
        <v>7036</v>
      </c>
      <c r="J6781" s="4" t="s">
        <v>409</v>
      </c>
      <c r="K6781" s="13" t="n">
        <v>180</v>
      </c>
      <c r="L6781" s="6" t="n">
        <f aca="false">H6781*K6781</f>
        <v>360</v>
      </c>
      <c r="M6781" s="14" t="s">
        <v>410</v>
      </c>
    </row>
    <row r="6782" customFormat="false" ht="23.85" hidden="false" customHeight="false" outlineLevel="0" collapsed="false">
      <c r="A6782" s="4" t="s">
        <v>367</v>
      </c>
      <c r="B6782" s="5" t="s">
        <v>376</v>
      </c>
      <c r="C6782" s="5" t="s">
        <v>377</v>
      </c>
      <c r="D6782" s="4" t="s">
        <v>370</v>
      </c>
      <c r="E6782" s="4" t="s">
        <v>7470</v>
      </c>
      <c r="F6782" s="4" t="s">
        <v>406</v>
      </c>
      <c r="G6782" s="4" t="s">
        <v>7471</v>
      </c>
      <c r="H6782" s="12" t="n">
        <v>2</v>
      </c>
      <c r="I6782" s="4" t="s">
        <v>7036</v>
      </c>
      <c r="J6782" s="4" t="s">
        <v>543</v>
      </c>
      <c r="K6782" s="13" t="n">
        <v>450</v>
      </c>
      <c r="L6782" s="6" t="n">
        <f aca="false">H6782*K6782</f>
        <v>900</v>
      </c>
      <c r="M6782" s="14" t="s">
        <v>410</v>
      </c>
    </row>
    <row r="6783" customFormat="false" ht="23.85" hidden="false" customHeight="false" outlineLevel="0" collapsed="false">
      <c r="A6783" s="4" t="s">
        <v>367</v>
      </c>
      <c r="B6783" s="5" t="s">
        <v>376</v>
      </c>
      <c r="C6783" s="5" t="s">
        <v>377</v>
      </c>
      <c r="D6783" s="4" t="s">
        <v>370</v>
      </c>
      <c r="E6783" s="4" t="s">
        <v>1677</v>
      </c>
      <c r="F6783" s="4" t="s">
        <v>406</v>
      </c>
      <c r="G6783" s="4" t="s">
        <v>1678</v>
      </c>
      <c r="H6783" s="12" t="n">
        <v>1</v>
      </c>
      <c r="I6783" s="4" t="s">
        <v>7036</v>
      </c>
      <c r="J6783" s="4" t="s">
        <v>409</v>
      </c>
      <c r="K6783" s="13" t="n">
        <v>250</v>
      </c>
      <c r="L6783" s="6" t="n">
        <f aca="false">H6783*K6783</f>
        <v>250</v>
      </c>
      <c r="M6783" s="14" t="s">
        <v>410</v>
      </c>
    </row>
    <row r="6784" customFormat="false" ht="23.85" hidden="false" customHeight="false" outlineLevel="0" collapsed="false">
      <c r="A6784" s="4" t="s">
        <v>367</v>
      </c>
      <c r="B6784" s="5" t="s">
        <v>376</v>
      </c>
      <c r="C6784" s="5" t="s">
        <v>377</v>
      </c>
      <c r="D6784" s="4" t="s">
        <v>370</v>
      </c>
      <c r="E6784" s="4" t="s">
        <v>7472</v>
      </c>
      <c r="F6784" s="4" t="s">
        <v>406</v>
      </c>
      <c r="G6784" s="4" t="s">
        <v>7473</v>
      </c>
      <c r="H6784" s="12" t="n">
        <v>2</v>
      </c>
      <c r="I6784" s="4" t="s">
        <v>7036</v>
      </c>
      <c r="J6784" s="4" t="s">
        <v>543</v>
      </c>
      <c r="K6784" s="13" t="n">
        <v>350</v>
      </c>
      <c r="L6784" s="6" t="n">
        <f aca="false">H6784*K6784</f>
        <v>700</v>
      </c>
      <c r="M6784" s="14" t="s">
        <v>410</v>
      </c>
    </row>
    <row r="6785" customFormat="false" ht="23.85" hidden="false" customHeight="false" outlineLevel="0" collapsed="false">
      <c r="A6785" s="4" t="s">
        <v>367</v>
      </c>
      <c r="B6785" s="5" t="s">
        <v>376</v>
      </c>
      <c r="C6785" s="5" t="s">
        <v>377</v>
      </c>
      <c r="D6785" s="4" t="s">
        <v>370</v>
      </c>
      <c r="E6785" s="4" t="s">
        <v>7474</v>
      </c>
      <c r="F6785" s="4" t="s">
        <v>406</v>
      </c>
      <c r="G6785" s="4" t="s">
        <v>7475</v>
      </c>
      <c r="H6785" s="12" t="n">
        <v>4</v>
      </c>
      <c r="I6785" s="4" t="s">
        <v>7036</v>
      </c>
      <c r="J6785" s="4" t="s">
        <v>543</v>
      </c>
      <c r="K6785" s="13" t="n">
        <v>200</v>
      </c>
      <c r="L6785" s="6" t="n">
        <f aca="false">H6785*K6785</f>
        <v>800</v>
      </c>
      <c r="M6785" s="14" t="s">
        <v>410</v>
      </c>
    </row>
    <row r="6786" customFormat="false" ht="23.85" hidden="false" customHeight="false" outlineLevel="0" collapsed="false">
      <c r="A6786" s="4" t="s">
        <v>367</v>
      </c>
      <c r="B6786" s="5" t="s">
        <v>376</v>
      </c>
      <c r="C6786" s="5" t="s">
        <v>377</v>
      </c>
      <c r="D6786" s="4" t="s">
        <v>370</v>
      </c>
      <c r="E6786" s="4" t="s">
        <v>7476</v>
      </c>
      <c r="F6786" s="4" t="s">
        <v>406</v>
      </c>
      <c r="G6786" s="4" t="s">
        <v>7477</v>
      </c>
      <c r="H6786" s="12" t="n">
        <v>2</v>
      </c>
      <c r="I6786" s="4" t="s">
        <v>7036</v>
      </c>
      <c r="J6786" s="4" t="s">
        <v>543</v>
      </c>
      <c r="K6786" s="13" t="n">
        <v>450</v>
      </c>
      <c r="L6786" s="6" t="n">
        <f aca="false">H6786*K6786</f>
        <v>900</v>
      </c>
      <c r="M6786" s="14" t="s">
        <v>410</v>
      </c>
    </row>
    <row r="6787" customFormat="false" ht="23.85" hidden="false" customHeight="false" outlineLevel="0" collapsed="false">
      <c r="A6787" s="4" t="s">
        <v>367</v>
      </c>
      <c r="B6787" s="5" t="s">
        <v>376</v>
      </c>
      <c r="C6787" s="5" t="s">
        <v>377</v>
      </c>
      <c r="D6787" s="4" t="s">
        <v>370</v>
      </c>
      <c r="E6787" s="4" t="s">
        <v>7478</v>
      </c>
      <c r="F6787" s="4" t="s">
        <v>406</v>
      </c>
      <c r="G6787" s="4" t="s">
        <v>7479</v>
      </c>
      <c r="H6787" s="12" t="n">
        <v>1</v>
      </c>
      <c r="I6787" s="4" t="s">
        <v>7036</v>
      </c>
      <c r="J6787" s="4" t="s">
        <v>543</v>
      </c>
      <c r="K6787" s="13" t="n">
        <v>80</v>
      </c>
      <c r="L6787" s="6" t="n">
        <f aca="false">H6787*K6787</f>
        <v>80</v>
      </c>
      <c r="M6787" s="14" t="s">
        <v>410</v>
      </c>
    </row>
    <row r="6788" customFormat="false" ht="23.85" hidden="false" customHeight="false" outlineLevel="0" collapsed="false">
      <c r="A6788" s="4" t="s">
        <v>367</v>
      </c>
      <c r="B6788" s="5" t="s">
        <v>376</v>
      </c>
      <c r="C6788" s="5" t="s">
        <v>377</v>
      </c>
      <c r="D6788" s="4" t="s">
        <v>370</v>
      </c>
      <c r="E6788" s="4" t="s">
        <v>7480</v>
      </c>
      <c r="F6788" s="4" t="s">
        <v>406</v>
      </c>
      <c r="G6788" s="4" t="s">
        <v>7481</v>
      </c>
      <c r="H6788" s="12" t="n">
        <v>2</v>
      </c>
      <c r="I6788" s="4" t="s">
        <v>7036</v>
      </c>
      <c r="J6788" s="4" t="s">
        <v>543</v>
      </c>
      <c r="K6788" s="13" t="n">
        <v>250</v>
      </c>
      <c r="L6788" s="6" t="n">
        <f aca="false">H6788*K6788</f>
        <v>500</v>
      </c>
      <c r="M6788" s="14" t="s">
        <v>410</v>
      </c>
    </row>
    <row r="6789" customFormat="false" ht="23.85" hidden="false" customHeight="false" outlineLevel="0" collapsed="false">
      <c r="A6789" s="4" t="s">
        <v>367</v>
      </c>
      <c r="B6789" s="5" t="s">
        <v>376</v>
      </c>
      <c r="C6789" s="5" t="s">
        <v>377</v>
      </c>
      <c r="D6789" s="4" t="s">
        <v>370</v>
      </c>
      <c r="E6789" s="4" t="s">
        <v>7482</v>
      </c>
      <c r="F6789" s="4" t="s">
        <v>406</v>
      </c>
      <c r="G6789" s="4" t="s">
        <v>7483</v>
      </c>
      <c r="H6789" s="12" t="n">
        <v>2</v>
      </c>
      <c r="I6789" s="4" t="s">
        <v>7036</v>
      </c>
      <c r="J6789" s="4" t="s">
        <v>543</v>
      </c>
      <c r="K6789" s="13" t="n">
        <v>600</v>
      </c>
      <c r="L6789" s="6" t="n">
        <f aca="false">H6789*K6789</f>
        <v>1200</v>
      </c>
      <c r="M6789" s="14" t="s">
        <v>410</v>
      </c>
    </row>
    <row r="6790" customFormat="false" ht="23.85" hidden="false" customHeight="false" outlineLevel="0" collapsed="false">
      <c r="A6790" s="4" t="s">
        <v>367</v>
      </c>
      <c r="B6790" s="5" t="s">
        <v>376</v>
      </c>
      <c r="C6790" s="5" t="s">
        <v>377</v>
      </c>
      <c r="D6790" s="4" t="s">
        <v>370</v>
      </c>
      <c r="E6790" s="4" t="s">
        <v>7484</v>
      </c>
      <c r="F6790" s="4" t="s">
        <v>406</v>
      </c>
      <c r="G6790" s="4" t="s">
        <v>7485</v>
      </c>
      <c r="H6790" s="12" t="n">
        <v>1</v>
      </c>
      <c r="I6790" s="4" t="s">
        <v>7036</v>
      </c>
      <c r="J6790" s="4" t="s">
        <v>543</v>
      </c>
      <c r="K6790" s="13" t="n">
        <v>600</v>
      </c>
      <c r="L6790" s="6" t="n">
        <f aca="false">H6790*K6790</f>
        <v>600</v>
      </c>
      <c r="M6790" s="14" t="s">
        <v>410</v>
      </c>
    </row>
    <row r="6791" customFormat="false" ht="23.85" hidden="false" customHeight="false" outlineLevel="0" collapsed="false">
      <c r="A6791" s="4" t="s">
        <v>367</v>
      </c>
      <c r="B6791" s="5" t="s">
        <v>376</v>
      </c>
      <c r="C6791" s="5" t="s">
        <v>377</v>
      </c>
      <c r="D6791" s="4" t="s">
        <v>370</v>
      </c>
      <c r="E6791" s="4" t="s">
        <v>7486</v>
      </c>
      <c r="F6791" s="4" t="s">
        <v>406</v>
      </c>
      <c r="G6791" s="4" t="s">
        <v>7487</v>
      </c>
      <c r="H6791" s="12" t="n">
        <v>1</v>
      </c>
      <c r="I6791" s="4" t="s">
        <v>7036</v>
      </c>
      <c r="J6791" s="4" t="s">
        <v>543</v>
      </c>
      <c r="K6791" s="13" t="n">
        <v>1500</v>
      </c>
      <c r="L6791" s="6" t="n">
        <f aca="false">H6791*K6791</f>
        <v>1500</v>
      </c>
      <c r="M6791" s="14" t="s">
        <v>410</v>
      </c>
    </row>
    <row r="6792" customFormat="false" ht="23.85" hidden="false" customHeight="false" outlineLevel="0" collapsed="false">
      <c r="A6792" s="4" t="s">
        <v>367</v>
      </c>
      <c r="B6792" s="5" t="s">
        <v>376</v>
      </c>
      <c r="C6792" s="5" t="s">
        <v>377</v>
      </c>
      <c r="D6792" s="4" t="s">
        <v>370</v>
      </c>
      <c r="E6792" s="4" t="s">
        <v>7488</v>
      </c>
      <c r="F6792" s="4" t="s">
        <v>406</v>
      </c>
      <c r="G6792" s="4" t="s">
        <v>7489</v>
      </c>
      <c r="H6792" s="12" t="n">
        <v>1</v>
      </c>
      <c r="I6792" s="4" t="s">
        <v>7036</v>
      </c>
      <c r="J6792" s="4" t="s">
        <v>543</v>
      </c>
      <c r="K6792" s="13" t="n">
        <v>450</v>
      </c>
      <c r="L6792" s="6" t="n">
        <f aca="false">H6792*K6792</f>
        <v>450</v>
      </c>
      <c r="M6792" s="14" t="s">
        <v>410</v>
      </c>
    </row>
    <row r="6793" customFormat="false" ht="23.85" hidden="false" customHeight="false" outlineLevel="0" collapsed="false">
      <c r="A6793" s="4" t="s">
        <v>367</v>
      </c>
      <c r="B6793" s="5" t="s">
        <v>376</v>
      </c>
      <c r="C6793" s="5" t="s">
        <v>377</v>
      </c>
      <c r="D6793" s="4" t="s">
        <v>370</v>
      </c>
      <c r="E6793" s="4" t="s">
        <v>7490</v>
      </c>
      <c r="F6793" s="4" t="s">
        <v>406</v>
      </c>
      <c r="G6793" s="4" t="s">
        <v>7491</v>
      </c>
      <c r="H6793" s="12" t="n">
        <v>4</v>
      </c>
      <c r="I6793" s="4" t="s">
        <v>7036</v>
      </c>
      <c r="J6793" s="4" t="s">
        <v>543</v>
      </c>
      <c r="K6793" s="13" t="n">
        <v>250</v>
      </c>
      <c r="L6793" s="6" t="n">
        <f aca="false">H6793*K6793</f>
        <v>1000</v>
      </c>
      <c r="M6793" s="14" t="s">
        <v>410</v>
      </c>
    </row>
    <row r="6794" customFormat="false" ht="23.85" hidden="false" customHeight="false" outlineLevel="0" collapsed="false">
      <c r="A6794" s="4" t="s">
        <v>367</v>
      </c>
      <c r="B6794" s="5" t="s">
        <v>376</v>
      </c>
      <c r="C6794" s="5" t="s">
        <v>377</v>
      </c>
      <c r="D6794" s="4" t="s">
        <v>370</v>
      </c>
      <c r="E6794" s="4" t="s">
        <v>7492</v>
      </c>
      <c r="F6794" s="4" t="s">
        <v>488</v>
      </c>
      <c r="G6794" s="4" t="s">
        <v>7493</v>
      </c>
      <c r="H6794" s="12" t="n">
        <v>6</v>
      </c>
      <c r="I6794" s="4" t="s">
        <v>7036</v>
      </c>
      <c r="J6794" s="4" t="s">
        <v>543</v>
      </c>
      <c r="K6794" s="13" t="n">
        <v>60</v>
      </c>
      <c r="L6794" s="6" t="n">
        <f aca="false">H6794*K6794</f>
        <v>360</v>
      </c>
      <c r="M6794" s="14" t="s">
        <v>410</v>
      </c>
    </row>
    <row r="6795" customFormat="false" ht="23.85" hidden="false" customHeight="false" outlineLevel="0" collapsed="false">
      <c r="A6795" s="4" t="s">
        <v>367</v>
      </c>
      <c r="B6795" s="5" t="s">
        <v>376</v>
      </c>
      <c r="C6795" s="5" t="s">
        <v>377</v>
      </c>
      <c r="D6795" s="4" t="s">
        <v>370</v>
      </c>
      <c r="E6795" s="4" t="s">
        <v>7494</v>
      </c>
      <c r="F6795" s="4" t="s">
        <v>406</v>
      </c>
      <c r="G6795" s="4" t="s">
        <v>7495</v>
      </c>
      <c r="H6795" s="12" t="n">
        <v>1</v>
      </c>
      <c r="I6795" s="4" t="s">
        <v>7036</v>
      </c>
      <c r="J6795" s="4" t="s">
        <v>416</v>
      </c>
      <c r="K6795" s="13" t="n">
        <v>4500</v>
      </c>
      <c r="L6795" s="6" t="n">
        <f aca="false">H6795*K6795</f>
        <v>4500</v>
      </c>
      <c r="M6795" s="14" t="s">
        <v>410</v>
      </c>
    </row>
    <row r="6796" customFormat="false" ht="23.85" hidden="false" customHeight="false" outlineLevel="0" collapsed="false">
      <c r="A6796" s="4" t="s">
        <v>367</v>
      </c>
      <c r="B6796" s="5" t="s">
        <v>376</v>
      </c>
      <c r="C6796" s="5" t="s">
        <v>377</v>
      </c>
      <c r="D6796" s="4" t="s">
        <v>370</v>
      </c>
      <c r="E6796" s="4" t="s">
        <v>7496</v>
      </c>
      <c r="F6796" s="4" t="s">
        <v>406</v>
      </c>
      <c r="G6796" s="4" t="s">
        <v>7497</v>
      </c>
      <c r="H6796" s="12" t="n">
        <v>1</v>
      </c>
      <c r="I6796" s="4" t="s">
        <v>7036</v>
      </c>
      <c r="J6796" s="4" t="s">
        <v>416</v>
      </c>
      <c r="K6796" s="13" t="n">
        <v>4500</v>
      </c>
      <c r="L6796" s="6" t="n">
        <f aca="false">H6796*K6796</f>
        <v>4500</v>
      </c>
      <c r="M6796" s="14" t="s">
        <v>410</v>
      </c>
    </row>
    <row r="6797" customFormat="false" ht="23.85" hidden="false" customHeight="false" outlineLevel="0" collapsed="false">
      <c r="A6797" s="4" t="s">
        <v>367</v>
      </c>
      <c r="B6797" s="5" t="s">
        <v>376</v>
      </c>
      <c r="C6797" s="5" t="s">
        <v>377</v>
      </c>
      <c r="D6797" s="4" t="s">
        <v>370</v>
      </c>
      <c r="E6797" s="4" t="s">
        <v>7498</v>
      </c>
      <c r="F6797" s="4" t="s">
        <v>488</v>
      </c>
      <c r="G6797" s="4" t="s">
        <v>7499</v>
      </c>
      <c r="H6797" s="12" t="n">
        <v>25</v>
      </c>
      <c r="I6797" s="4" t="s">
        <v>7036</v>
      </c>
      <c r="J6797" s="4" t="s">
        <v>543</v>
      </c>
      <c r="K6797" s="13" t="n">
        <v>15</v>
      </c>
      <c r="L6797" s="6" t="n">
        <f aca="false">H6797*K6797</f>
        <v>375</v>
      </c>
      <c r="M6797" s="14" t="s">
        <v>410</v>
      </c>
    </row>
    <row r="6798" customFormat="false" ht="23.85" hidden="false" customHeight="false" outlineLevel="0" collapsed="false">
      <c r="A6798" s="4" t="s">
        <v>367</v>
      </c>
      <c r="B6798" s="5" t="s">
        <v>376</v>
      </c>
      <c r="C6798" s="5" t="s">
        <v>377</v>
      </c>
      <c r="D6798" s="4" t="s">
        <v>370</v>
      </c>
      <c r="E6798" s="4" t="s">
        <v>4419</v>
      </c>
      <c r="F6798" s="4" t="s">
        <v>406</v>
      </c>
      <c r="G6798" s="4" t="s">
        <v>4420</v>
      </c>
      <c r="H6798" s="12" t="n">
        <v>1</v>
      </c>
      <c r="I6798" s="4" t="s">
        <v>7036</v>
      </c>
      <c r="J6798" s="4" t="s">
        <v>409</v>
      </c>
      <c r="K6798" s="13" t="n">
        <v>250</v>
      </c>
      <c r="L6798" s="6" t="n">
        <f aca="false">H6798*K6798</f>
        <v>250</v>
      </c>
      <c r="M6798" s="14" t="s">
        <v>410</v>
      </c>
    </row>
    <row r="6799" customFormat="false" ht="23.85" hidden="false" customHeight="false" outlineLevel="0" collapsed="false">
      <c r="A6799" s="4" t="s">
        <v>367</v>
      </c>
      <c r="B6799" s="5" t="s">
        <v>376</v>
      </c>
      <c r="C6799" s="5" t="s">
        <v>377</v>
      </c>
      <c r="D6799" s="4" t="s">
        <v>370</v>
      </c>
      <c r="E6799" s="4" t="s">
        <v>7500</v>
      </c>
      <c r="F6799" s="4" t="s">
        <v>406</v>
      </c>
      <c r="G6799" s="4" t="s">
        <v>7501</v>
      </c>
      <c r="H6799" s="12" t="n">
        <v>1</v>
      </c>
      <c r="I6799" s="4" t="s">
        <v>7036</v>
      </c>
      <c r="J6799" s="4" t="s">
        <v>543</v>
      </c>
      <c r="K6799" s="13" t="n">
        <v>180</v>
      </c>
      <c r="L6799" s="6" t="n">
        <f aca="false">H6799*K6799</f>
        <v>180</v>
      </c>
      <c r="M6799" s="14" t="s">
        <v>410</v>
      </c>
    </row>
    <row r="6800" customFormat="false" ht="23.85" hidden="false" customHeight="false" outlineLevel="0" collapsed="false">
      <c r="A6800" s="4" t="s">
        <v>367</v>
      </c>
      <c r="B6800" s="5" t="s">
        <v>376</v>
      </c>
      <c r="C6800" s="5" t="s">
        <v>377</v>
      </c>
      <c r="D6800" s="4" t="s">
        <v>370</v>
      </c>
      <c r="E6800" s="4" t="s">
        <v>7502</v>
      </c>
      <c r="F6800" s="4" t="s">
        <v>406</v>
      </c>
      <c r="G6800" s="4" t="s">
        <v>7503</v>
      </c>
      <c r="H6800" s="12" t="n">
        <v>1</v>
      </c>
      <c r="I6800" s="4" t="s">
        <v>7036</v>
      </c>
      <c r="J6800" s="4" t="s">
        <v>543</v>
      </c>
      <c r="K6800" s="13" t="n">
        <v>120</v>
      </c>
      <c r="L6800" s="6" t="n">
        <f aca="false">H6800*K6800</f>
        <v>120</v>
      </c>
      <c r="M6800" s="14" t="s">
        <v>410</v>
      </c>
    </row>
    <row r="6801" customFormat="false" ht="23.85" hidden="false" customHeight="false" outlineLevel="0" collapsed="false">
      <c r="A6801" s="4" t="s">
        <v>367</v>
      </c>
      <c r="B6801" s="5" t="s">
        <v>376</v>
      </c>
      <c r="C6801" s="5" t="s">
        <v>377</v>
      </c>
      <c r="D6801" s="4" t="s">
        <v>370</v>
      </c>
      <c r="E6801" s="4" t="s">
        <v>7504</v>
      </c>
      <c r="F6801" s="4" t="s">
        <v>488</v>
      </c>
      <c r="G6801" s="4" t="s">
        <v>7505</v>
      </c>
      <c r="H6801" s="12" t="n">
        <v>1</v>
      </c>
      <c r="I6801" s="4" t="s">
        <v>7036</v>
      </c>
      <c r="J6801" s="4" t="s">
        <v>475</v>
      </c>
      <c r="K6801" s="13" t="n">
        <v>150</v>
      </c>
      <c r="L6801" s="6" t="n">
        <f aca="false">H6801*K6801</f>
        <v>150</v>
      </c>
      <c r="M6801" s="14" t="s">
        <v>410</v>
      </c>
    </row>
    <row r="6802" customFormat="false" ht="23.85" hidden="false" customHeight="false" outlineLevel="0" collapsed="false">
      <c r="A6802" s="4" t="s">
        <v>367</v>
      </c>
      <c r="B6802" s="5" t="s">
        <v>376</v>
      </c>
      <c r="C6802" s="5" t="s">
        <v>377</v>
      </c>
      <c r="D6802" s="4" t="s">
        <v>370</v>
      </c>
      <c r="E6802" s="4" t="s">
        <v>7506</v>
      </c>
      <c r="F6802" s="4" t="s">
        <v>470</v>
      </c>
      <c r="G6802" s="4" t="s">
        <v>7507</v>
      </c>
      <c r="H6802" s="12" t="n">
        <v>2</v>
      </c>
      <c r="I6802" s="4" t="s">
        <v>7036</v>
      </c>
      <c r="J6802" s="4" t="s">
        <v>543</v>
      </c>
      <c r="K6802" s="13" t="n">
        <v>200</v>
      </c>
      <c r="L6802" s="6" t="n">
        <f aca="false">H6802*K6802</f>
        <v>400</v>
      </c>
      <c r="M6802" s="14" t="s">
        <v>410</v>
      </c>
    </row>
    <row r="6803" customFormat="false" ht="23.85" hidden="false" customHeight="false" outlineLevel="0" collapsed="false">
      <c r="A6803" s="4" t="s">
        <v>367</v>
      </c>
      <c r="B6803" s="5" t="s">
        <v>376</v>
      </c>
      <c r="C6803" s="5" t="s">
        <v>377</v>
      </c>
      <c r="D6803" s="4" t="s">
        <v>370</v>
      </c>
      <c r="E6803" s="4" t="s">
        <v>7508</v>
      </c>
      <c r="F6803" s="4" t="s">
        <v>470</v>
      </c>
      <c r="G6803" s="4" t="s">
        <v>7509</v>
      </c>
      <c r="H6803" s="12" t="n">
        <v>1</v>
      </c>
      <c r="I6803" s="4" t="s">
        <v>7036</v>
      </c>
      <c r="J6803" s="4" t="s">
        <v>543</v>
      </c>
      <c r="K6803" s="13" t="n">
        <v>250</v>
      </c>
      <c r="L6803" s="6" t="n">
        <f aca="false">H6803*K6803</f>
        <v>250</v>
      </c>
      <c r="M6803" s="14" t="s">
        <v>410</v>
      </c>
    </row>
    <row r="6804" customFormat="false" ht="23.85" hidden="false" customHeight="false" outlineLevel="0" collapsed="false">
      <c r="A6804" s="4" t="s">
        <v>367</v>
      </c>
      <c r="B6804" s="5" t="s">
        <v>376</v>
      </c>
      <c r="C6804" s="5" t="s">
        <v>377</v>
      </c>
      <c r="D6804" s="4" t="s">
        <v>370</v>
      </c>
      <c r="E6804" s="4" t="s">
        <v>7510</v>
      </c>
      <c r="F6804" s="4" t="s">
        <v>470</v>
      </c>
      <c r="G6804" s="4" t="s">
        <v>7511</v>
      </c>
      <c r="H6804" s="12" t="n">
        <v>1</v>
      </c>
      <c r="I6804" s="4" t="s">
        <v>7036</v>
      </c>
      <c r="J6804" s="4" t="s">
        <v>543</v>
      </c>
      <c r="K6804" s="13" t="n">
        <v>250</v>
      </c>
      <c r="L6804" s="6" t="n">
        <f aca="false">H6804*K6804</f>
        <v>250</v>
      </c>
      <c r="M6804" s="14" t="s">
        <v>410</v>
      </c>
    </row>
    <row r="6805" customFormat="false" ht="23.85" hidden="false" customHeight="false" outlineLevel="0" collapsed="false">
      <c r="A6805" s="4" t="s">
        <v>367</v>
      </c>
      <c r="B6805" s="5" t="s">
        <v>376</v>
      </c>
      <c r="C6805" s="5" t="s">
        <v>377</v>
      </c>
      <c r="D6805" s="4" t="s">
        <v>370</v>
      </c>
      <c r="E6805" s="4" t="s">
        <v>7512</v>
      </c>
      <c r="F6805" s="4" t="s">
        <v>470</v>
      </c>
      <c r="G6805" s="4" t="s">
        <v>7513</v>
      </c>
      <c r="H6805" s="12" t="n">
        <v>1</v>
      </c>
      <c r="I6805" s="4" t="s">
        <v>7036</v>
      </c>
      <c r="J6805" s="4" t="s">
        <v>543</v>
      </c>
      <c r="K6805" s="13" t="n">
        <v>250</v>
      </c>
      <c r="L6805" s="6" t="n">
        <f aca="false">H6805*K6805</f>
        <v>250</v>
      </c>
      <c r="M6805" s="14" t="s">
        <v>410</v>
      </c>
    </row>
    <row r="6806" customFormat="false" ht="23.85" hidden="false" customHeight="false" outlineLevel="0" collapsed="false">
      <c r="A6806" s="4" t="s">
        <v>367</v>
      </c>
      <c r="B6806" s="5" t="s">
        <v>376</v>
      </c>
      <c r="C6806" s="5" t="s">
        <v>377</v>
      </c>
      <c r="D6806" s="4" t="s">
        <v>370</v>
      </c>
      <c r="E6806" s="4" t="s">
        <v>7514</v>
      </c>
      <c r="F6806" s="4" t="s">
        <v>470</v>
      </c>
      <c r="G6806" s="4" t="s">
        <v>7515</v>
      </c>
      <c r="H6806" s="12" t="n">
        <v>3</v>
      </c>
      <c r="I6806" s="4" t="s">
        <v>7036</v>
      </c>
      <c r="J6806" s="4" t="s">
        <v>543</v>
      </c>
      <c r="K6806" s="13" t="n">
        <v>3500</v>
      </c>
      <c r="L6806" s="6" t="n">
        <f aca="false">H6806*K6806</f>
        <v>10500</v>
      </c>
      <c r="M6806" s="14" t="s">
        <v>410</v>
      </c>
    </row>
    <row r="6807" customFormat="false" ht="23.85" hidden="false" customHeight="false" outlineLevel="0" collapsed="false">
      <c r="A6807" s="4" t="s">
        <v>367</v>
      </c>
      <c r="B6807" s="5" t="s">
        <v>376</v>
      </c>
      <c r="C6807" s="5" t="s">
        <v>377</v>
      </c>
      <c r="D6807" s="4" t="s">
        <v>370</v>
      </c>
      <c r="E6807" s="4" t="s">
        <v>7514</v>
      </c>
      <c r="F6807" s="4" t="s">
        <v>470</v>
      </c>
      <c r="G6807" s="4" t="s">
        <v>7515</v>
      </c>
      <c r="H6807" s="12" t="n">
        <v>2</v>
      </c>
      <c r="I6807" s="4" t="s">
        <v>7036</v>
      </c>
      <c r="J6807" s="4" t="s">
        <v>543</v>
      </c>
      <c r="K6807" s="13" t="n">
        <v>3500</v>
      </c>
      <c r="L6807" s="6" t="n">
        <f aca="false">H6807*K6807</f>
        <v>7000</v>
      </c>
      <c r="M6807" s="14" t="s">
        <v>410</v>
      </c>
    </row>
    <row r="6808" customFormat="false" ht="23.85" hidden="false" customHeight="false" outlineLevel="0" collapsed="false">
      <c r="A6808" s="4" t="s">
        <v>367</v>
      </c>
      <c r="B6808" s="5" t="s">
        <v>376</v>
      </c>
      <c r="C6808" s="5" t="s">
        <v>377</v>
      </c>
      <c r="D6808" s="4" t="s">
        <v>370</v>
      </c>
      <c r="E6808" s="4" t="s">
        <v>7516</v>
      </c>
      <c r="F6808" s="4" t="s">
        <v>470</v>
      </c>
      <c r="G6808" s="4" t="s">
        <v>7517</v>
      </c>
      <c r="H6808" s="12" t="n">
        <v>1</v>
      </c>
      <c r="I6808" s="4" t="s">
        <v>7036</v>
      </c>
      <c r="J6808" s="4" t="s">
        <v>543</v>
      </c>
      <c r="K6808" s="13" t="n">
        <v>12000</v>
      </c>
      <c r="L6808" s="6" t="n">
        <f aca="false">H6808*K6808</f>
        <v>12000</v>
      </c>
      <c r="M6808" s="14" t="s">
        <v>410</v>
      </c>
    </row>
    <row r="6809" customFormat="false" ht="23.85" hidden="false" customHeight="false" outlineLevel="0" collapsed="false">
      <c r="A6809" s="4" t="s">
        <v>367</v>
      </c>
      <c r="B6809" s="5" t="s">
        <v>376</v>
      </c>
      <c r="C6809" s="5" t="s">
        <v>377</v>
      </c>
      <c r="D6809" s="4" t="s">
        <v>370</v>
      </c>
      <c r="E6809" s="4" t="s">
        <v>7518</v>
      </c>
      <c r="F6809" s="4" t="s">
        <v>470</v>
      </c>
      <c r="G6809" s="4" t="s">
        <v>7519</v>
      </c>
      <c r="H6809" s="12" t="n">
        <v>1</v>
      </c>
      <c r="I6809" s="4" t="s">
        <v>7036</v>
      </c>
      <c r="J6809" s="4" t="s">
        <v>543</v>
      </c>
      <c r="K6809" s="13" t="n">
        <v>8000</v>
      </c>
      <c r="L6809" s="6" t="n">
        <f aca="false">H6809*K6809</f>
        <v>8000</v>
      </c>
      <c r="M6809" s="14" t="s">
        <v>410</v>
      </c>
    </row>
    <row r="6810" customFormat="false" ht="23.85" hidden="false" customHeight="false" outlineLevel="0" collapsed="false">
      <c r="A6810" s="4" t="s">
        <v>367</v>
      </c>
      <c r="B6810" s="5" t="s">
        <v>376</v>
      </c>
      <c r="C6810" s="5" t="s">
        <v>377</v>
      </c>
      <c r="D6810" s="4" t="s">
        <v>370</v>
      </c>
      <c r="E6810" s="4" t="s">
        <v>7520</v>
      </c>
      <c r="F6810" s="4" t="s">
        <v>470</v>
      </c>
      <c r="G6810" s="4" t="s">
        <v>7521</v>
      </c>
      <c r="H6810" s="12" t="n">
        <v>2</v>
      </c>
      <c r="I6810" s="4" t="s">
        <v>7036</v>
      </c>
      <c r="J6810" s="4" t="s">
        <v>543</v>
      </c>
      <c r="K6810" s="13" t="n">
        <v>15000</v>
      </c>
      <c r="L6810" s="6" t="n">
        <f aca="false">H6810*K6810</f>
        <v>30000</v>
      </c>
      <c r="M6810" s="14" t="s">
        <v>410</v>
      </c>
    </row>
    <row r="6811" customFormat="false" ht="23.85" hidden="false" customHeight="false" outlineLevel="0" collapsed="false">
      <c r="A6811" s="4" t="s">
        <v>367</v>
      </c>
      <c r="B6811" s="5" t="s">
        <v>376</v>
      </c>
      <c r="C6811" s="5" t="s">
        <v>377</v>
      </c>
      <c r="D6811" s="4" t="s">
        <v>370</v>
      </c>
      <c r="E6811" s="4" t="s">
        <v>7522</v>
      </c>
      <c r="F6811" s="4" t="s">
        <v>470</v>
      </c>
      <c r="G6811" s="4" t="s">
        <v>7523</v>
      </c>
      <c r="H6811" s="12" t="n">
        <v>30</v>
      </c>
      <c r="I6811" s="4" t="s">
        <v>7036</v>
      </c>
      <c r="J6811" s="4" t="s">
        <v>543</v>
      </c>
      <c r="K6811" s="13" t="n">
        <v>900</v>
      </c>
      <c r="L6811" s="6" t="n">
        <f aca="false">H6811*K6811</f>
        <v>27000</v>
      </c>
      <c r="M6811" s="14" t="s">
        <v>410</v>
      </c>
    </row>
    <row r="6812" customFormat="false" ht="23.85" hidden="false" customHeight="false" outlineLevel="0" collapsed="false">
      <c r="A6812" s="4" t="s">
        <v>367</v>
      </c>
      <c r="B6812" s="5" t="s">
        <v>376</v>
      </c>
      <c r="C6812" s="5" t="s">
        <v>377</v>
      </c>
      <c r="D6812" s="4" t="s">
        <v>370</v>
      </c>
      <c r="E6812" s="4" t="s">
        <v>7524</v>
      </c>
      <c r="F6812" s="4" t="s">
        <v>470</v>
      </c>
      <c r="G6812" s="4" t="s">
        <v>7525</v>
      </c>
      <c r="H6812" s="12" t="n">
        <v>1</v>
      </c>
      <c r="I6812" s="4" t="s">
        <v>7036</v>
      </c>
      <c r="J6812" s="4" t="s">
        <v>543</v>
      </c>
      <c r="K6812" s="13" t="n">
        <v>12000</v>
      </c>
      <c r="L6812" s="6" t="n">
        <f aca="false">H6812*K6812</f>
        <v>12000</v>
      </c>
      <c r="M6812" s="14" t="s">
        <v>410</v>
      </c>
    </row>
    <row r="6813" customFormat="false" ht="23.85" hidden="false" customHeight="false" outlineLevel="0" collapsed="false">
      <c r="A6813" s="4" t="s">
        <v>367</v>
      </c>
      <c r="B6813" s="5" t="s">
        <v>376</v>
      </c>
      <c r="C6813" s="5" t="s">
        <v>377</v>
      </c>
      <c r="D6813" s="4" t="s">
        <v>370</v>
      </c>
      <c r="E6813" s="4" t="s">
        <v>7526</v>
      </c>
      <c r="F6813" s="4" t="s">
        <v>470</v>
      </c>
      <c r="G6813" s="4" t="s">
        <v>7527</v>
      </c>
      <c r="H6813" s="12" t="n">
        <v>1</v>
      </c>
      <c r="I6813" s="4" t="s">
        <v>7036</v>
      </c>
      <c r="J6813" s="4" t="s">
        <v>543</v>
      </c>
      <c r="K6813" s="13" t="n">
        <v>3500</v>
      </c>
      <c r="L6813" s="6" t="n">
        <f aca="false">H6813*K6813</f>
        <v>3500</v>
      </c>
      <c r="M6813" s="14" t="s">
        <v>410</v>
      </c>
    </row>
    <row r="6814" customFormat="false" ht="23.85" hidden="false" customHeight="false" outlineLevel="0" collapsed="false">
      <c r="A6814" s="4" t="s">
        <v>367</v>
      </c>
      <c r="B6814" s="5" t="s">
        <v>376</v>
      </c>
      <c r="C6814" s="5" t="s">
        <v>377</v>
      </c>
      <c r="D6814" s="4" t="s">
        <v>370</v>
      </c>
      <c r="E6814" s="4" t="s">
        <v>7528</v>
      </c>
      <c r="F6814" s="4" t="s">
        <v>488</v>
      </c>
      <c r="G6814" s="4" t="s">
        <v>7529</v>
      </c>
      <c r="H6814" s="12" t="n">
        <v>1</v>
      </c>
      <c r="I6814" s="4" t="s">
        <v>7036</v>
      </c>
      <c r="J6814" s="4" t="s">
        <v>7049</v>
      </c>
      <c r="K6814" s="13" t="n">
        <v>150</v>
      </c>
      <c r="L6814" s="6" t="n">
        <f aca="false">H6814*K6814</f>
        <v>150</v>
      </c>
      <c r="M6814" s="14" t="s">
        <v>410</v>
      </c>
    </row>
    <row r="6815" customFormat="false" ht="23.85" hidden="false" customHeight="false" outlineLevel="0" collapsed="false">
      <c r="A6815" s="4" t="s">
        <v>367</v>
      </c>
      <c r="B6815" s="5" t="s">
        <v>376</v>
      </c>
      <c r="C6815" s="5" t="s">
        <v>377</v>
      </c>
      <c r="D6815" s="4" t="s">
        <v>370</v>
      </c>
      <c r="E6815" s="4" t="s">
        <v>7528</v>
      </c>
      <c r="F6815" s="4" t="s">
        <v>488</v>
      </c>
      <c r="G6815" s="4" t="s">
        <v>7529</v>
      </c>
      <c r="H6815" s="12" t="n">
        <v>1</v>
      </c>
      <c r="I6815" s="4" t="s">
        <v>7036</v>
      </c>
      <c r="J6815" s="4" t="s">
        <v>7049</v>
      </c>
      <c r="K6815" s="13" t="n">
        <v>150</v>
      </c>
      <c r="L6815" s="6" t="n">
        <f aca="false">H6815*K6815</f>
        <v>150</v>
      </c>
      <c r="M6815" s="14" t="s">
        <v>410</v>
      </c>
    </row>
    <row r="6816" customFormat="false" ht="23.85" hidden="false" customHeight="false" outlineLevel="0" collapsed="false">
      <c r="A6816" s="4" t="s">
        <v>367</v>
      </c>
      <c r="B6816" s="5" t="s">
        <v>376</v>
      </c>
      <c r="C6816" s="5" t="s">
        <v>377</v>
      </c>
      <c r="D6816" s="4" t="s">
        <v>370</v>
      </c>
      <c r="E6816" s="4" t="s">
        <v>7528</v>
      </c>
      <c r="F6816" s="4" t="s">
        <v>488</v>
      </c>
      <c r="G6816" s="4" t="s">
        <v>7529</v>
      </c>
      <c r="H6816" s="12" t="n">
        <v>1</v>
      </c>
      <c r="I6816" s="4" t="s">
        <v>7036</v>
      </c>
      <c r="J6816" s="4" t="s">
        <v>7049</v>
      </c>
      <c r="K6816" s="13" t="n">
        <v>150</v>
      </c>
      <c r="L6816" s="6" t="n">
        <f aca="false">H6816*K6816</f>
        <v>150</v>
      </c>
      <c r="M6816" s="14" t="s">
        <v>410</v>
      </c>
    </row>
    <row r="6817" customFormat="false" ht="23.85" hidden="false" customHeight="false" outlineLevel="0" collapsed="false">
      <c r="A6817" s="4" t="s">
        <v>367</v>
      </c>
      <c r="B6817" s="5" t="s">
        <v>376</v>
      </c>
      <c r="C6817" s="5" t="s">
        <v>377</v>
      </c>
      <c r="D6817" s="4" t="s">
        <v>370</v>
      </c>
      <c r="E6817" s="4" t="s">
        <v>7528</v>
      </c>
      <c r="F6817" s="4" t="s">
        <v>488</v>
      </c>
      <c r="G6817" s="4" t="s">
        <v>7529</v>
      </c>
      <c r="H6817" s="12" t="n">
        <v>1</v>
      </c>
      <c r="I6817" s="4" t="s">
        <v>7036</v>
      </c>
      <c r="J6817" s="4" t="s">
        <v>7049</v>
      </c>
      <c r="K6817" s="13" t="n">
        <v>150</v>
      </c>
      <c r="L6817" s="6" t="n">
        <f aca="false">H6817*K6817</f>
        <v>150</v>
      </c>
      <c r="M6817" s="14" t="s">
        <v>410</v>
      </c>
    </row>
    <row r="6818" customFormat="false" ht="23.85" hidden="false" customHeight="false" outlineLevel="0" collapsed="false">
      <c r="A6818" s="4" t="s">
        <v>367</v>
      </c>
      <c r="B6818" s="5" t="s">
        <v>376</v>
      </c>
      <c r="C6818" s="5" t="s">
        <v>377</v>
      </c>
      <c r="D6818" s="4" t="s">
        <v>370</v>
      </c>
      <c r="E6818" s="4" t="s">
        <v>7530</v>
      </c>
      <c r="F6818" s="4" t="s">
        <v>488</v>
      </c>
      <c r="G6818" s="4" t="s">
        <v>7531</v>
      </c>
      <c r="H6818" s="12" t="n">
        <v>1</v>
      </c>
      <c r="I6818" s="4" t="s">
        <v>7036</v>
      </c>
      <c r="J6818" s="4" t="s">
        <v>7532</v>
      </c>
      <c r="K6818" s="13" t="n">
        <v>100</v>
      </c>
      <c r="L6818" s="6" t="n">
        <f aca="false">H6818*K6818</f>
        <v>100</v>
      </c>
      <c r="M6818" s="14" t="s">
        <v>410</v>
      </c>
    </row>
    <row r="6819" customFormat="false" ht="23.85" hidden="false" customHeight="false" outlineLevel="0" collapsed="false">
      <c r="A6819" s="4" t="s">
        <v>367</v>
      </c>
      <c r="B6819" s="5" t="s">
        <v>376</v>
      </c>
      <c r="C6819" s="5" t="s">
        <v>377</v>
      </c>
      <c r="D6819" s="4" t="s">
        <v>370</v>
      </c>
      <c r="E6819" s="4" t="s">
        <v>7530</v>
      </c>
      <c r="F6819" s="4" t="s">
        <v>488</v>
      </c>
      <c r="G6819" s="4" t="s">
        <v>7531</v>
      </c>
      <c r="H6819" s="12" t="n">
        <v>1</v>
      </c>
      <c r="I6819" s="4" t="s">
        <v>7036</v>
      </c>
      <c r="J6819" s="4" t="s">
        <v>7532</v>
      </c>
      <c r="K6819" s="13" t="n">
        <v>100</v>
      </c>
      <c r="L6819" s="6" t="n">
        <f aca="false">H6819*K6819</f>
        <v>100</v>
      </c>
      <c r="M6819" s="14" t="s">
        <v>410</v>
      </c>
    </row>
    <row r="6820" customFormat="false" ht="23.85" hidden="false" customHeight="false" outlineLevel="0" collapsed="false">
      <c r="A6820" s="4" t="s">
        <v>367</v>
      </c>
      <c r="B6820" s="5" t="s">
        <v>376</v>
      </c>
      <c r="C6820" s="5" t="s">
        <v>377</v>
      </c>
      <c r="D6820" s="4" t="s">
        <v>370</v>
      </c>
      <c r="E6820" s="4" t="s">
        <v>7530</v>
      </c>
      <c r="F6820" s="4" t="s">
        <v>488</v>
      </c>
      <c r="G6820" s="4" t="s">
        <v>7531</v>
      </c>
      <c r="H6820" s="12" t="n">
        <v>1</v>
      </c>
      <c r="I6820" s="4" t="s">
        <v>7036</v>
      </c>
      <c r="J6820" s="4" t="s">
        <v>7532</v>
      </c>
      <c r="K6820" s="13" t="n">
        <v>100</v>
      </c>
      <c r="L6820" s="6" t="n">
        <f aca="false">H6820*K6820</f>
        <v>100</v>
      </c>
      <c r="M6820" s="14" t="s">
        <v>410</v>
      </c>
    </row>
    <row r="6821" customFormat="false" ht="23.85" hidden="false" customHeight="false" outlineLevel="0" collapsed="false">
      <c r="A6821" s="4" t="s">
        <v>367</v>
      </c>
      <c r="B6821" s="5" t="s">
        <v>376</v>
      </c>
      <c r="C6821" s="5" t="s">
        <v>377</v>
      </c>
      <c r="D6821" s="4" t="s">
        <v>370</v>
      </c>
      <c r="E6821" s="4" t="s">
        <v>7533</v>
      </c>
      <c r="F6821" s="4" t="s">
        <v>488</v>
      </c>
      <c r="G6821" s="4" t="s">
        <v>7534</v>
      </c>
      <c r="H6821" s="12" t="n">
        <v>1</v>
      </c>
      <c r="I6821" s="4" t="s">
        <v>7036</v>
      </c>
      <c r="J6821" s="4" t="s">
        <v>432</v>
      </c>
      <c r="K6821" s="13" t="n">
        <v>120</v>
      </c>
      <c r="L6821" s="6" t="n">
        <f aca="false">H6821*K6821</f>
        <v>120</v>
      </c>
      <c r="M6821" s="14" t="s">
        <v>410</v>
      </c>
    </row>
    <row r="6822" customFormat="false" ht="23.85" hidden="false" customHeight="false" outlineLevel="0" collapsed="false">
      <c r="A6822" s="4" t="s">
        <v>367</v>
      </c>
      <c r="B6822" s="5" t="s">
        <v>376</v>
      </c>
      <c r="C6822" s="5" t="s">
        <v>377</v>
      </c>
      <c r="D6822" s="4" t="s">
        <v>370</v>
      </c>
      <c r="E6822" s="4" t="s">
        <v>7535</v>
      </c>
      <c r="F6822" s="4" t="s">
        <v>406</v>
      </c>
      <c r="G6822" s="4" t="s">
        <v>7536</v>
      </c>
      <c r="H6822" s="12" t="n">
        <v>1</v>
      </c>
      <c r="I6822" s="4" t="s">
        <v>7036</v>
      </c>
      <c r="J6822" s="4" t="s">
        <v>543</v>
      </c>
      <c r="K6822" s="13" t="n">
        <v>30</v>
      </c>
      <c r="L6822" s="6" t="n">
        <f aca="false">H6822*K6822</f>
        <v>30</v>
      </c>
      <c r="M6822" s="14" t="s">
        <v>410</v>
      </c>
    </row>
    <row r="6823" customFormat="false" ht="23.85" hidden="false" customHeight="false" outlineLevel="0" collapsed="false">
      <c r="A6823" s="4" t="s">
        <v>367</v>
      </c>
      <c r="B6823" s="5" t="s">
        <v>376</v>
      </c>
      <c r="C6823" s="5" t="s">
        <v>377</v>
      </c>
      <c r="D6823" s="4" t="s">
        <v>370</v>
      </c>
      <c r="E6823" s="4" t="s">
        <v>7537</v>
      </c>
      <c r="F6823" s="4" t="s">
        <v>488</v>
      </c>
      <c r="G6823" s="4" t="s">
        <v>7538</v>
      </c>
      <c r="H6823" s="12" t="n">
        <v>1</v>
      </c>
      <c r="I6823" s="4" t="s">
        <v>7036</v>
      </c>
      <c r="J6823" s="4" t="s">
        <v>7532</v>
      </c>
      <c r="K6823" s="13" t="n">
        <v>200</v>
      </c>
      <c r="L6823" s="6" t="n">
        <f aca="false">H6823*K6823</f>
        <v>200</v>
      </c>
      <c r="M6823" s="14" t="s">
        <v>410</v>
      </c>
    </row>
    <row r="6824" customFormat="false" ht="23.85" hidden="false" customHeight="false" outlineLevel="0" collapsed="false">
      <c r="A6824" s="4" t="s">
        <v>367</v>
      </c>
      <c r="B6824" s="5" t="s">
        <v>376</v>
      </c>
      <c r="C6824" s="5" t="s">
        <v>377</v>
      </c>
      <c r="D6824" s="4" t="s">
        <v>370</v>
      </c>
      <c r="E6824" s="4" t="s">
        <v>7537</v>
      </c>
      <c r="F6824" s="4" t="s">
        <v>488</v>
      </c>
      <c r="G6824" s="4" t="s">
        <v>7538</v>
      </c>
      <c r="H6824" s="12" t="n">
        <v>1</v>
      </c>
      <c r="I6824" s="4" t="s">
        <v>7036</v>
      </c>
      <c r="J6824" s="4" t="s">
        <v>7532</v>
      </c>
      <c r="K6824" s="13" t="n">
        <v>200</v>
      </c>
      <c r="L6824" s="6" t="n">
        <f aca="false">H6824*K6824</f>
        <v>200</v>
      </c>
      <c r="M6824" s="14" t="s">
        <v>410</v>
      </c>
    </row>
    <row r="6825" customFormat="false" ht="23.85" hidden="false" customHeight="false" outlineLevel="0" collapsed="false">
      <c r="A6825" s="4" t="s">
        <v>367</v>
      </c>
      <c r="B6825" s="5" t="s">
        <v>376</v>
      </c>
      <c r="C6825" s="5" t="s">
        <v>377</v>
      </c>
      <c r="D6825" s="4" t="s">
        <v>370</v>
      </c>
      <c r="E6825" s="4" t="s">
        <v>7537</v>
      </c>
      <c r="F6825" s="4" t="s">
        <v>488</v>
      </c>
      <c r="G6825" s="4" t="s">
        <v>7538</v>
      </c>
      <c r="H6825" s="12" t="n">
        <v>1</v>
      </c>
      <c r="I6825" s="4" t="s">
        <v>7036</v>
      </c>
      <c r="J6825" s="4" t="s">
        <v>7532</v>
      </c>
      <c r="K6825" s="13" t="n">
        <v>200</v>
      </c>
      <c r="L6825" s="6" t="n">
        <f aca="false">H6825*K6825</f>
        <v>200</v>
      </c>
      <c r="M6825" s="14" t="s">
        <v>410</v>
      </c>
    </row>
    <row r="6826" customFormat="false" ht="23.85" hidden="false" customHeight="false" outlineLevel="0" collapsed="false">
      <c r="A6826" s="4" t="s">
        <v>367</v>
      </c>
      <c r="B6826" s="5" t="s">
        <v>376</v>
      </c>
      <c r="C6826" s="5" t="s">
        <v>377</v>
      </c>
      <c r="D6826" s="4" t="s">
        <v>370</v>
      </c>
      <c r="E6826" s="4" t="s">
        <v>7539</v>
      </c>
      <c r="F6826" s="4" t="s">
        <v>488</v>
      </c>
      <c r="G6826" s="4" t="s">
        <v>7540</v>
      </c>
      <c r="H6826" s="12" t="n">
        <v>1</v>
      </c>
      <c r="I6826" s="4" t="s">
        <v>7036</v>
      </c>
      <c r="J6826" s="4" t="s">
        <v>807</v>
      </c>
      <c r="K6826" s="13" t="n">
        <v>250</v>
      </c>
      <c r="L6826" s="6" t="n">
        <f aca="false">H6826*K6826</f>
        <v>250</v>
      </c>
      <c r="M6826" s="14" t="s">
        <v>410</v>
      </c>
    </row>
    <row r="6827" customFormat="false" ht="23.85" hidden="false" customHeight="false" outlineLevel="0" collapsed="false">
      <c r="A6827" s="4" t="s">
        <v>367</v>
      </c>
      <c r="B6827" s="5" t="s">
        <v>376</v>
      </c>
      <c r="C6827" s="5" t="s">
        <v>377</v>
      </c>
      <c r="D6827" s="4" t="s">
        <v>370</v>
      </c>
      <c r="E6827" s="4" t="s">
        <v>7541</v>
      </c>
      <c r="F6827" s="4" t="s">
        <v>470</v>
      </c>
      <c r="G6827" s="4" t="s">
        <v>7542</v>
      </c>
      <c r="H6827" s="12" t="n">
        <v>1</v>
      </c>
      <c r="I6827" s="4" t="s">
        <v>7036</v>
      </c>
      <c r="J6827" s="4" t="s">
        <v>543</v>
      </c>
      <c r="K6827" s="13" t="n">
        <v>900</v>
      </c>
      <c r="L6827" s="6" t="n">
        <f aca="false">H6827*K6827</f>
        <v>900</v>
      </c>
      <c r="M6827" s="14" t="s">
        <v>410</v>
      </c>
    </row>
    <row r="6828" customFormat="false" ht="23.85" hidden="false" customHeight="false" outlineLevel="0" collapsed="false">
      <c r="A6828" s="4" t="s">
        <v>367</v>
      </c>
      <c r="B6828" s="5" t="s">
        <v>376</v>
      </c>
      <c r="C6828" s="5" t="s">
        <v>377</v>
      </c>
      <c r="D6828" s="4" t="s">
        <v>370</v>
      </c>
      <c r="E6828" s="4" t="s">
        <v>7543</v>
      </c>
      <c r="F6828" s="4" t="s">
        <v>470</v>
      </c>
      <c r="G6828" s="4" t="s">
        <v>7544</v>
      </c>
      <c r="H6828" s="12" t="n">
        <v>1</v>
      </c>
      <c r="I6828" s="4" t="s">
        <v>7036</v>
      </c>
      <c r="J6828" s="4" t="s">
        <v>543</v>
      </c>
      <c r="K6828" s="13" t="n">
        <v>500</v>
      </c>
      <c r="L6828" s="6" t="n">
        <f aca="false">H6828*K6828</f>
        <v>500</v>
      </c>
      <c r="M6828" s="14" t="s">
        <v>410</v>
      </c>
    </row>
    <row r="6829" customFormat="false" ht="23.85" hidden="false" customHeight="false" outlineLevel="0" collapsed="false">
      <c r="A6829" s="4" t="s">
        <v>367</v>
      </c>
      <c r="B6829" s="5" t="s">
        <v>376</v>
      </c>
      <c r="C6829" s="5" t="s">
        <v>377</v>
      </c>
      <c r="D6829" s="4" t="s">
        <v>370</v>
      </c>
      <c r="E6829" s="4" t="s">
        <v>7545</v>
      </c>
      <c r="F6829" s="4" t="s">
        <v>470</v>
      </c>
      <c r="G6829" s="4" t="s">
        <v>7546</v>
      </c>
      <c r="H6829" s="12" t="n">
        <v>1</v>
      </c>
      <c r="I6829" s="4" t="s">
        <v>7036</v>
      </c>
      <c r="J6829" s="4" t="s">
        <v>543</v>
      </c>
      <c r="K6829" s="13" t="n">
        <v>500</v>
      </c>
      <c r="L6829" s="6" t="n">
        <f aca="false">H6829*K6829</f>
        <v>500</v>
      </c>
      <c r="M6829" s="14" t="s">
        <v>410</v>
      </c>
    </row>
    <row r="6830" customFormat="false" ht="23.85" hidden="false" customHeight="false" outlineLevel="0" collapsed="false">
      <c r="A6830" s="4" t="s">
        <v>367</v>
      </c>
      <c r="B6830" s="5" t="s">
        <v>376</v>
      </c>
      <c r="C6830" s="5" t="s">
        <v>377</v>
      </c>
      <c r="D6830" s="4" t="s">
        <v>370</v>
      </c>
      <c r="E6830" s="4" t="s">
        <v>7547</v>
      </c>
      <c r="F6830" s="4" t="s">
        <v>470</v>
      </c>
      <c r="G6830" s="4" t="s">
        <v>7548</v>
      </c>
      <c r="H6830" s="12" t="n">
        <v>1</v>
      </c>
      <c r="I6830" s="4" t="s">
        <v>7036</v>
      </c>
      <c r="J6830" s="4" t="s">
        <v>543</v>
      </c>
      <c r="K6830" s="13" t="n">
        <v>500</v>
      </c>
      <c r="L6830" s="6" t="n">
        <f aca="false">H6830*K6830</f>
        <v>500</v>
      </c>
      <c r="M6830" s="14" t="s">
        <v>410</v>
      </c>
    </row>
    <row r="6831" customFormat="false" ht="23.85" hidden="false" customHeight="false" outlineLevel="0" collapsed="false">
      <c r="A6831" s="4" t="s">
        <v>367</v>
      </c>
      <c r="B6831" s="5" t="s">
        <v>376</v>
      </c>
      <c r="C6831" s="5" t="s">
        <v>377</v>
      </c>
      <c r="D6831" s="4" t="s">
        <v>370</v>
      </c>
      <c r="E6831" s="4" t="s">
        <v>7549</v>
      </c>
      <c r="F6831" s="4" t="s">
        <v>470</v>
      </c>
      <c r="G6831" s="4" t="s">
        <v>7550</v>
      </c>
      <c r="H6831" s="12" t="n">
        <v>1</v>
      </c>
      <c r="I6831" s="4" t="s">
        <v>7036</v>
      </c>
      <c r="J6831" s="4" t="s">
        <v>543</v>
      </c>
      <c r="K6831" s="13" t="n">
        <v>500</v>
      </c>
      <c r="L6831" s="6" t="n">
        <f aca="false">H6831*K6831</f>
        <v>500</v>
      </c>
      <c r="M6831" s="14" t="s">
        <v>410</v>
      </c>
    </row>
    <row r="6832" customFormat="false" ht="23.85" hidden="false" customHeight="false" outlineLevel="0" collapsed="false">
      <c r="A6832" s="4" t="s">
        <v>367</v>
      </c>
      <c r="B6832" s="5" t="s">
        <v>376</v>
      </c>
      <c r="C6832" s="5" t="s">
        <v>377</v>
      </c>
      <c r="D6832" s="4" t="s">
        <v>370</v>
      </c>
      <c r="E6832" s="4" t="s">
        <v>7551</v>
      </c>
      <c r="F6832" s="4" t="s">
        <v>470</v>
      </c>
      <c r="G6832" s="4" t="s">
        <v>7552</v>
      </c>
      <c r="H6832" s="12" t="n">
        <v>1</v>
      </c>
      <c r="I6832" s="4" t="s">
        <v>7036</v>
      </c>
      <c r="J6832" s="4" t="s">
        <v>543</v>
      </c>
      <c r="K6832" s="13" t="n">
        <v>250</v>
      </c>
      <c r="L6832" s="6" t="n">
        <f aca="false">H6832*K6832</f>
        <v>250</v>
      </c>
      <c r="M6832" s="14" t="s">
        <v>410</v>
      </c>
    </row>
    <row r="6833" customFormat="false" ht="23.85" hidden="false" customHeight="false" outlineLevel="0" collapsed="false">
      <c r="A6833" s="4" t="s">
        <v>367</v>
      </c>
      <c r="B6833" s="5" t="s">
        <v>376</v>
      </c>
      <c r="C6833" s="5" t="s">
        <v>377</v>
      </c>
      <c r="D6833" s="4" t="s">
        <v>370</v>
      </c>
      <c r="E6833" s="4" t="s">
        <v>7553</v>
      </c>
      <c r="F6833" s="4" t="s">
        <v>470</v>
      </c>
      <c r="G6833" s="4" t="s">
        <v>7554</v>
      </c>
      <c r="H6833" s="12" t="n">
        <v>1</v>
      </c>
      <c r="I6833" s="4" t="s">
        <v>7036</v>
      </c>
      <c r="J6833" s="4" t="s">
        <v>543</v>
      </c>
      <c r="K6833" s="13" t="n">
        <v>250</v>
      </c>
      <c r="L6833" s="6" t="n">
        <f aca="false">H6833*K6833</f>
        <v>250</v>
      </c>
      <c r="M6833" s="14" t="s">
        <v>410</v>
      </c>
    </row>
    <row r="6834" customFormat="false" ht="23.85" hidden="false" customHeight="false" outlineLevel="0" collapsed="false">
      <c r="A6834" s="4" t="s">
        <v>367</v>
      </c>
      <c r="B6834" s="5" t="s">
        <v>376</v>
      </c>
      <c r="C6834" s="5" t="s">
        <v>377</v>
      </c>
      <c r="D6834" s="4" t="s">
        <v>370</v>
      </c>
      <c r="E6834" s="4" t="s">
        <v>3774</v>
      </c>
      <c r="F6834" s="4" t="s">
        <v>470</v>
      </c>
      <c r="G6834" s="4" t="s">
        <v>2278</v>
      </c>
      <c r="H6834" s="12" t="n">
        <v>1</v>
      </c>
      <c r="I6834" s="4" t="s">
        <v>7036</v>
      </c>
      <c r="J6834" s="4" t="s">
        <v>413</v>
      </c>
      <c r="K6834" s="13" t="n">
        <v>450</v>
      </c>
      <c r="L6834" s="6" t="n">
        <f aca="false">H6834*K6834</f>
        <v>450</v>
      </c>
      <c r="M6834" s="14" t="s">
        <v>410</v>
      </c>
    </row>
    <row r="6835" customFormat="false" ht="23.85" hidden="false" customHeight="false" outlineLevel="0" collapsed="false">
      <c r="A6835" s="4" t="s">
        <v>367</v>
      </c>
      <c r="B6835" s="5" t="s">
        <v>376</v>
      </c>
      <c r="C6835" s="5" t="s">
        <v>377</v>
      </c>
      <c r="D6835" s="4" t="s">
        <v>370</v>
      </c>
      <c r="E6835" s="4" t="s">
        <v>1453</v>
      </c>
      <c r="F6835" s="4" t="s">
        <v>470</v>
      </c>
      <c r="G6835" s="4" t="s">
        <v>1090</v>
      </c>
      <c r="H6835" s="12" t="n">
        <v>1</v>
      </c>
      <c r="I6835" s="4" t="s">
        <v>7036</v>
      </c>
      <c r="J6835" s="4" t="s">
        <v>409</v>
      </c>
      <c r="K6835" s="13" t="n">
        <v>3500</v>
      </c>
      <c r="L6835" s="6" t="n">
        <f aca="false">H6835*K6835</f>
        <v>3500</v>
      </c>
      <c r="M6835" s="14" t="s">
        <v>410</v>
      </c>
    </row>
    <row r="6836" customFormat="false" ht="23.85" hidden="false" customHeight="false" outlineLevel="0" collapsed="false">
      <c r="A6836" s="4" t="s">
        <v>367</v>
      </c>
      <c r="B6836" s="5" t="s">
        <v>376</v>
      </c>
      <c r="C6836" s="5" t="s">
        <v>377</v>
      </c>
      <c r="D6836" s="4" t="s">
        <v>370</v>
      </c>
      <c r="E6836" s="4" t="s">
        <v>7555</v>
      </c>
      <c r="F6836" s="4" t="s">
        <v>470</v>
      </c>
      <c r="G6836" s="4" t="s">
        <v>7556</v>
      </c>
      <c r="H6836" s="12" t="n">
        <v>1</v>
      </c>
      <c r="I6836" s="4" t="s">
        <v>7036</v>
      </c>
      <c r="J6836" s="4" t="s">
        <v>543</v>
      </c>
      <c r="K6836" s="13" t="n">
        <v>250</v>
      </c>
      <c r="L6836" s="6" t="n">
        <f aca="false">H6836*K6836</f>
        <v>250</v>
      </c>
      <c r="M6836" s="14" t="s">
        <v>410</v>
      </c>
    </row>
    <row r="6837" customFormat="false" ht="15" hidden="false" customHeight="false" outlineLevel="0" collapsed="false">
      <c r="A6837" s="4" t="s">
        <v>386</v>
      </c>
      <c r="B6837" s="5" t="s">
        <v>387</v>
      </c>
      <c r="C6837" s="5" t="s">
        <v>388</v>
      </c>
      <c r="D6837" s="4" t="s">
        <v>370</v>
      </c>
      <c r="E6837" s="4" t="s">
        <v>7557</v>
      </c>
      <c r="F6837" s="4" t="s">
        <v>406</v>
      </c>
      <c r="G6837" s="4" t="s">
        <v>7558</v>
      </c>
      <c r="H6837" s="12" t="n">
        <v>1</v>
      </c>
      <c r="I6837" s="4" t="s">
        <v>7036</v>
      </c>
      <c r="J6837" s="4" t="s">
        <v>543</v>
      </c>
      <c r="K6837" s="13" t="n">
        <v>42000</v>
      </c>
      <c r="L6837" s="6" t="n">
        <f aca="false">H6837*K6837</f>
        <v>42000</v>
      </c>
      <c r="M6837" s="14" t="s">
        <v>410</v>
      </c>
    </row>
    <row r="6838" customFormat="false" ht="15" hidden="false" customHeight="false" outlineLevel="0" collapsed="false">
      <c r="A6838" s="4" t="s">
        <v>386</v>
      </c>
      <c r="B6838" s="5" t="s">
        <v>387</v>
      </c>
      <c r="C6838" s="5" t="s">
        <v>388</v>
      </c>
      <c r="D6838" s="4" t="s">
        <v>370</v>
      </c>
      <c r="E6838" s="4" t="s">
        <v>7559</v>
      </c>
      <c r="F6838" s="4" t="s">
        <v>470</v>
      </c>
      <c r="G6838" s="4" t="s">
        <v>7560</v>
      </c>
      <c r="H6838" s="12" t="n">
        <v>1</v>
      </c>
      <c r="I6838" s="4" t="s">
        <v>7036</v>
      </c>
      <c r="J6838" s="4" t="s">
        <v>7055</v>
      </c>
      <c r="K6838" s="13" t="n">
        <v>6000</v>
      </c>
      <c r="L6838" s="6" t="n">
        <f aca="false">H6838*K6838</f>
        <v>6000</v>
      </c>
      <c r="M6838" s="14" t="s">
        <v>410</v>
      </c>
    </row>
    <row r="6839" customFormat="false" ht="15" hidden="false" customHeight="false" outlineLevel="0" collapsed="false">
      <c r="A6839" s="4" t="s">
        <v>386</v>
      </c>
      <c r="B6839" s="5" t="s">
        <v>387</v>
      </c>
      <c r="C6839" s="5" t="s">
        <v>388</v>
      </c>
      <c r="D6839" s="4" t="s">
        <v>370</v>
      </c>
      <c r="E6839" s="4" t="s">
        <v>7561</v>
      </c>
      <c r="F6839" s="4" t="s">
        <v>470</v>
      </c>
      <c r="G6839" s="4" t="s">
        <v>7562</v>
      </c>
      <c r="H6839" s="12" t="n">
        <v>1</v>
      </c>
      <c r="I6839" s="4" t="s">
        <v>7036</v>
      </c>
      <c r="J6839" s="4" t="s">
        <v>2810</v>
      </c>
      <c r="K6839" s="13" t="n">
        <v>0</v>
      </c>
      <c r="L6839" s="6" t="n">
        <f aca="false">H6839*K6839</f>
        <v>0</v>
      </c>
      <c r="M6839" s="14" t="s">
        <v>410</v>
      </c>
    </row>
    <row r="6840" customFormat="false" ht="15" hidden="false" customHeight="false" outlineLevel="0" collapsed="false">
      <c r="A6840" s="4" t="s">
        <v>386</v>
      </c>
      <c r="B6840" s="5" t="s">
        <v>387</v>
      </c>
      <c r="C6840" s="5" t="s">
        <v>388</v>
      </c>
      <c r="D6840" s="4" t="s">
        <v>370</v>
      </c>
      <c r="E6840" s="4" t="s">
        <v>1893</v>
      </c>
      <c r="F6840" s="4" t="s">
        <v>406</v>
      </c>
      <c r="G6840" s="4" t="s">
        <v>7563</v>
      </c>
      <c r="H6840" s="12" t="n">
        <v>6</v>
      </c>
      <c r="I6840" s="4" t="s">
        <v>7036</v>
      </c>
      <c r="J6840" s="4" t="s">
        <v>409</v>
      </c>
      <c r="K6840" s="13" t="n">
        <v>450</v>
      </c>
      <c r="L6840" s="6" t="n">
        <f aca="false">H6840*K6840</f>
        <v>2700</v>
      </c>
      <c r="M6840" s="14" t="s">
        <v>410</v>
      </c>
    </row>
    <row r="6841" customFormat="false" ht="15" hidden="false" customHeight="false" outlineLevel="0" collapsed="false">
      <c r="A6841" s="4" t="s">
        <v>386</v>
      </c>
      <c r="B6841" s="5" t="s">
        <v>387</v>
      </c>
      <c r="C6841" s="5" t="s">
        <v>388</v>
      </c>
      <c r="D6841" s="4" t="s">
        <v>370</v>
      </c>
      <c r="E6841" s="4" t="s">
        <v>2862</v>
      </c>
      <c r="F6841" s="4" t="s">
        <v>406</v>
      </c>
      <c r="G6841" s="4" t="s">
        <v>7564</v>
      </c>
      <c r="H6841" s="12" t="n">
        <v>2</v>
      </c>
      <c r="I6841" s="4" t="s">
        <v>7036</v>
      </c>
      <c r="J6841" s="4" t="s">
        <v>409</v>
      </c>
      <c r="K6841" s="13" t="n">
        <v>600</v>
      </c>
      <c r="L6841" s="6" t="n">
        <f aca="false">H6841*K6841</f>
        <v>1200</v>
      </c>
      <c r="M6841" s="14" t="s">
        <v>410</v>
      </c>
    </row>
    <row r="6842" customFormat="false" ht="15" hidden="false" customHeight="false" outlineLevel="0" collapsed="false">
      <c r="A6842" s="4" t="s">
        <v>386</v>
      </c>
      <c r="B6842" s="5" t="s">
        <v>387</v>
      </c>
      <c r="C6842" s="5" t="s">
        <v>388</v>
      </c>
      <c r="D6842" s="4" t="s">
        <v>370</v>
      </c>
      <c r="E6842" s="4" t="s">
        <v>7565</v>
      </c>
      <c r="F6842" s="4" t="s">
        <v>406</v>
      </c>
      <c r="G6842" s="4" t="s">
        <v>7566</v>
      </c>
      <c r="H6842" s="12" t="n">
        <v>6</v>
      </c>
      <c r="I6842" s="4" t="s">
        <v>7036</v>
      </c>
      <c r="J6842" s="4" t="s">
        <v>543</v>
      </c>
      <c r="K6842" s="13" t="n">
        <v>200</v>
      </c>
      <c r="L6842" s="6" t="n">
        <f aca="false">H6842*K6842</f>
        <v>1200</v>
      </c>
      <c r="M6842" s="14" t="s">
        <v>410</v>
      </c>
    </row>
    <row r="6843" customFormat="false" ht="15" hidden="false" customHeight="false" outlineLevel="0" collapsed="false">
      <c r="A6843" s="4" t="s">
        <v>386</v>
      </c>
      <c r="B6843" s="5" t="s">
        <v>387</v>
      </c>
      <c r="C6843" s="5" t="s">
        <v>388</v>
      </c>
      <c r="D6843" s="4" t="s">
        <v>370</v>
      </c>
      <c r="E6843" s="4" t="s">
        <v>7567</v>
      </c>
      <c r="F6843" s="4" t="s">
        <v>488</v>
      </c>
      <c r="G6843" s="4" t="s">
        <v>7568</v>
      </c>
      <c r="H6843" s="12" t="n">
        <v>6</v>
      </c>
      <c r="I6843" s="4" t="s">
        <v>7036</v>
      </c>
      <c r="J6843" s="4" t="s">
        <v>413</v>
      </c>
      <c r="K6843" s="13" t="n">
        <v>250</v>
      </c>
      <c r="L6843" s="6" t="n">
        <f aca="false">H6843*K6843</f>
        <v>1500</v>
      </c>
      <c r="M6843" s="14" t="s">
        <v>410</v>
      </c>
    </row>
    <row r="6844" customFormat="false" ht="15" hidden="false" customHeight="false" outlineLevel="0" collapsed="false">
      <c r="A6844" s="4" t="s">
        <v>386</v>
      </c>
      <c r="B6844" s="5" t="s">
        <v>387</v>
      </c>
      <c r="C6844" s="5" t="s">
        <v>388</v>
      </c>
      <c r="D6844" s="4" t="s">
        <v>370</v>
      </c>
      <c r="E6844" s="4" t="s">
        <v>7569</v>
      </c>
      <c r="F6844" s="4" t="s">
        <v>488</v>
      </c>
      <c r="G6844" s="4" t="s">
        <v>7570</v>
      </c>
      <c r="H6844" s="12" t="n">
        <v>6</v>
      </c>
      <c r="I6844" s="4" t="s">
        <v>7036</v>
      </c>
      <c r="J6844" s="4" t="s">
        <v>413</v>
      </c>
      <c r="K6844" s="13" t="n">
        <v>300</v>
      </c>
      <c r="L6844" s="6" t="n">
        <f aca="false">H6844*K6844</f>
        <v>1800</v>
      </c>
      <c r="M6844" s="14" t="s">
        <v>410</v>
      </c>
    </row>
    <row r="6845" customFormat="false" ht="15" hidden="false" customHeight="false" outlineLevel="0" collapsed="false">
      <c r="A6845" s="4" t="s">
        <v>386</v>
      </c>
      <c r="B6845" s="5" t="s">
        <v>387</v>
      </c>
      <c r="C6845" s="5" t="s">
        <v>388</v>
      </c>
      <c r="D6845" s="4" t="s">
        <v>370</v>
      </c>
      <c r="E6845" s="4" t="s">
        <v>7571</v>
      </c>
      <c r="F6845" s="4" t="s">
        <v>406</v>
      </c>
      <c r="G6845" s="4" t="s">
        <v>7572</v>
      </c>
      <c r="H6845" s="12" t="n">
        <v>20</v>
      </c>
      <c r="I6845" s="4" t="s">
        <v>7036</v>
      </c>
      <c r="J6845" s="4" t="s">
        <v>543</v>
      </c>
      <c r="K6845" s="13" t="n">
        <v>60</v>
      </c>
      <c r="L6845" s="6" t="n">
        <f aca="false">H6845*K6845</f>
        <v>1200</v>
      </c>
      <c r="M6845" s="14" t="s">
        <v>410</v>
      </c>
    </row>
    <row r="6846" customFormat="false" ht="15" hidden="false" customHeight="false" outlineLevel="0" collapsed="false">
      <c r="A6846" s="4" t="s">
        <v>386</v>
      </c>
      <c r="B6846" s="5" t="s">
        <v>387</v>
      </c>
      <c r="C6846" s="5" t="s">
        <v>388</v>
      </c>
      <c r="D6846" s="4" t="s">
        <v>370</v>
      </c>
      <c r="E6846" s="4" t="s">
        <v>7573</v>
      </c>
      <c r="F6846" s="4" t="s">
        <v>406</v>
      </c>
      <c r="G6846" s="4" t="s">
        <v>7574</v>
      </c>
      <c r="H6846" s="12" t="n">
        <v>10</v>
      </c>
      <c r="I6846" s="4" t="s">
        <v>7036</v>
      </c>
      <c r="J6846" s="4" t="s">
        <v>543</v>
      </c>
      <c r="K6846" s="13" t="n">
        <v>30</v>
      </c>
      <c r="L6846" s="6" t="n">
        <f aca="false">H6846*K6846</f>
        <v>300</v>
      </c>
      <c r="M6846" s="14" t="s">
        <v>410</v>
      </c>
    </row>
    <row r="6847" customFormat="false" ht="15" hidden="false" customHeight="false" outlineLevel="0" collapsed="false">
      <c r="A6847" s="4" t="s">
        <v>386</v>
      </c>
      <c r="B6847" s="5" t="s">
        <v>387</v>
      </c>
      <c r="C6847" s="5" t="s">
        <v>388</v>
      </c>
      <c r="D6847" s="4" t="s">
        <v>370</v>
      </c>
      <c r="E6847" s="4" t="s">
        <v>7575</v>
      </c>
      <c r="F6847" s="4" t="s">
        <v>488</v>
      </c>
      <c r="G6847" s="4" t="s">
        <v>7576</v>
      </c>
      <c r="H6847" s="12" t="n">
        <v>80</v>
      </c>
      <c r="I6847" s="4" t="s">
        <v>7036</v>
      </c>
      <c r="J6847" s="4" t="s">
        <v>543</v>
      </c>
      <c r="K6847" s="13" t="n">
        <v>5</v>
      </c>
      <c r="L6847" s="6" t="n">
        <f aca="false">H6847*K6847</f>
        <v>400</v>
      </c>
      <c r="M6847" s="14" t="s">
        <v>410</v>
      </c>
    </row>
    <row r="6848" customFormat="false" ht="15" hidden="false" customHeight="false" outlineLevel="0" collapsed="false">
      <c r="A6848" s="4" t="s">
        <v>386</v>
      </c>
      <c r="B6848" s="5" t="s">
        <v>387</v>
      </c>
      <c r="C6848" s="5" t="s">
        <v>388</v>
      </c>
      <c r="D6848" s="4" t="s">
        <v>370</v>
      </c>
      <c r="E6848" s="4" t="s">
        <v>7575</v>
      </c>
      <c r="F6848" s="4" t="s">
        <v>488</v>
      </c>
      <c r="G6848" s="4" t="s">
        <v>7576</v>
      </c>
      <c r="H6848" s="12" t="n">
        <v>80</v>
      </c>
      <c r="I6848" s="4" t="s">
        <v>7036</v>
      </c>
      <c r="J6848" s="4" t="s">
        <v>543</v>
      </c>
      <c r="K6848" s="13" t="n">
        <v>5</v>
      </c>
      <c r="L6848" s="6" t="n">
        <f aca="false">H6848*K6848</f>
        <v>400</v>
      </c>
      <c r="M6848" s="14" t="s">
        <v>410</v>
      </c>
    </row>
    <row r="6849" customFormat="false" ht="15" hidden="false" customHeight="false" outlineLevel="0" collapsed="false">
      <c r="A6849" s="4" t="s">
        <v>386</v>
      </c>
      <c r="B6849" s="5" t="s">
        <v>387</v>
      </c>
      <c r="C6849" s="5" t="s">
        <v>388</v>
      </c>
      <c r="D6849" s="4" t="s">
        <v>370</v>
      </c>
      <c r="E6849" s="4" t="s">
        <v>7575</v>
      </c>
      <c r="F6849" s="4" t="s">
        <v>488</v>
      </c>
      <c r="G6849" s="4" t="s">
        <v>7576</v>
      </c>
      <c r="H6849" s="12" t="n">
        <v>80</v>
      </c>
      <c r="I6849" s="4" t="s">
        <v>7036</v>
      </c>
      <c r="J6849" s="4" t="s">
        <v>543</v>
      </c>
      <c r="K6849" s="13" t="n">
        <v>5</v>
      </c>
      <c r="L6849" s="6" t="n">
        <f aca="false">H6849*K6849</f>
        <v>400</v>
      </c>
      <c r="M6849" s="14" t="s">
        <v>410</v>
      </c>
    </row>
    <row r="6850" customFormat="false" ht="15" hidden="false" customHeight="false" outlineLevel="0" collapsed="false">
      <c r="A6850" s="4" t="s">
        <v>386</v>
      </c>
      <c r="B6850" s="5" t="s">
        <v>387</v>
      </c>
      <c r="C6850" s="5" t="s">
        <v>388</v>
      </c>
      <c r="D6850" s="4" t="s">
        <v>370</v>
      </c>
      <c r="E6850" s="4" t="s">
        <v>7577</v>
      </c>
      <c r="F6850" s="4" t="s">
        <v>488</v>
      </c>
      <c r="G6850" s="4" t="s">
        <v>7578</v>
      </c>
      <c r="H6850" s="12" t="n">
        <v>80</v>
      </c>
      <c r="I6850" s="4" t="s">
        <v>7036</v>
      </c>
      <c r="J6850" s="4" t="s">
        <v>543</v>
      </c>
      <c r="K6850" s="13" t="n">
        <v>5</v>
      </c>
      <c r="L6850" s="6" t="n">
        <f aca="false">H6850*K6850</f>
        <v>400</v>
      </c>
      <c r="M6850" s="14" t="s">
        <v>410</v>
      </c>
    </row>
    <row r="6851" customFormat="false" ht="15" hidden="false" customHeight="false" outlineLevel="0" collapsed="false">
      <c r="A6851" s="4" t="s">
        <v>386</v>
      </c>
      <c r="B6851" s="5" t="s">
        <v>387</v>
      </c>
      <c r="C6851" s="5" t="s">
        <v>388</v>
      </c>
      <c r="D6851" s="4" t="s">
        <v>370</v>
      </c>
      <c r="E6851" s="4" t="s">
        <v>7579</v>
      </c>
      <c r="F6851" s="4" t="s">
        <v>488</v>
      </c>
      <c r="G6851" s="4" t="s">
        <v>7580</v>
      </c>
      <c r="H6851" s="12" t="n">
        <v>80</v>
      </c>
      <c r="I6851" s="4" t="s">
        <v>7036</v>
      </c>
      <c r="J6851" s="4" t="s">
        <v>543</v>
      </c>
      <c r="K6851" s="13" t="n">
        <v>3</v>
      </c>
      <c r="L6851" s="6" t="n">
        <f aca="false">H6851*K6851</f>
        <v>240</v>
      </c>
      <c r="M6851" s="14" t="s">
        <v>410</v>
      </c>
    </row>
    <row r="6852" customFormat="false" ht="15" hidden="false" customHeight="false" outlineLevel="0" collapsed="false">
      <c r="A6852" s="4" t="s">
        <v>386</v>
      </c>
      <c r="B6852" s="5" t="s">
        <v>387</v>
      </c>
      <c r="C6852" s="5" t="s">
        <v>388</v>
      </c>
      <c r="D6852" s="4" t="s">
        <v>370</v>
      </c>
      <c r="E6852" s="4" t="s">
        <v>7581</v>
      </c>
      <c r="F6852" s="4" t="s">
        <v>406</v>
      </c>
      <c r="G6852" s="4" t="s">
        <v>7582</v>
      </c>
      <c r="H6852" s="12" t="n">
        <v>10</v>
      </c>
      <c r="I6852" s="4" t="s">
        <v>7036</v>
      </c>
      <c r="J6852" s="4" t="s">
        <v>543</v>
      </c>
      <c r="K6852" s="13" t="n">
        <v>30</v>
      </c>
      <c r="L6852" s="6" t="n">
        <f aca="false">H6852*K6852</f>
        <v>300</v>
      </c>
      <c r="M6852" s="14" t="s">
        <v>410</v>
      </c>
    </row>
    <row r="6853" customFormat="false" ht="15" hidden="false" customHeight="false" outlineLevel="0" collapsed="false">
      <c r="A6853" s="4" t="s">
        <v>386</v>
      </c>
      <c r="B6853" s="5" t="s">
        <v>387</v>
      </c>
      <c r="C6853" s="5" t="s">
        <v>388</v>
      </c>
      <c r="D6853" s="4" t="s">
        <v>370</v>
      </c>
      <c r="E6853" s="4" t="s">
        <v>7583</v>
      </c>
      <c r="F6853" s="4" t="s">
        <v>406</v>
      </c>
      <c r="G6853" s="4" t="s">
        <v>7584</v>
      </c>
      <c r="H6853" s="12" t="n">
        <v>2</v>
      </c>
      <c r="I6853" s="4" t="s">
        <v>7036</v>
      </c>
      <c r="J6853" s="4" t="s">
        <v>543</v>
      </c>
      <c r="K6853" s="13" t="n">
        <v>450</v>
      </c>
      <c r="L6853" s="6" t="n">
        <f aca="false">H6853*K6853</f>
        <v>900</v>
      </c>
      <c r="M6853" s="14" t="s">
        <v>410</v>
      </c>
    </row>
    <row r="6854" customFormat="false" ht="15" hidden="false" customHeight="false" outlineLevel="0" collapsed="false">
      <c r="A6854" s="4" t="s">
        <v>386</v>
      </c>
      <c r="B6854" s="5" t="s">
        <v>387</v>
      </c>
      <c r="C6854" s="5" t="s">
        <v>388</v>
      </c>
      <c r="D6854" s="4" t="s">
        <v>370</v>
      </c>
      <c r="E6854" s="4" t="s">
        <v>7585</v>
      </c>
      <c r="F6854" s="4" t="s">
        <v>406</v>
      </c>
      <c r="G6854" s="4" t="s">
        <v>1005</v>
      </c>
      <c r="H6854" s="12" t="n">
        <v>6</v>
      </c>
      <c r="I6854" s="4" t="s">
        <v>7036</v>
      </c>
      <c r="J6854" s="4" t="s">
        <v>409</v>
      </c>
      <c r="K6854" s="13" t="n">
        <v>850</v>
      </c>
      <c r="L6854" s="6" t="n">
        <f aca="false">H6854*K6854</f>
        <v>5100</v>
      </c>
      <c r="M6854" s="14" t="s">
        <v>410</v>
      </c>
    </row>
    <row r="6855" customFormat="false" ht="15" hidden="false" customHeight="false" outlineLevel="0" collapsed="false">
      <c r="A6855" s="4" t="s">
        <v>386</v>
      </c>
      <c r="B6855" s="5" t="s">
        <v>387</v>
      </c>
      <c r="C6855" s="5" t="s">
        <v>388</v>
      </c>
      <c r="D6855" s="4" t="s">
        <v>370</v>
      </c>
      <c r="E6855" s="4" t="s">
        <v>7586</v>
      </c>
      <c r="F6855" s="4" t="s">
        <v>488</v>
      </c>
      <c r="G6855" s="4" t="s">
        <v>7587</v>
      </c>
      <c r="H6855" s="12" t="n">
        <v>12</v>
      </c>
      <c r="I6855" s="4" t="s">
        <v>7036</v>
      </c>
      <c r="J6855" s="4" t="s">
        <v>543</v>
      </c>
      <c r="K6855" s="13" t="n">
        <v>10</v>
      </c>
      <c r="L6855" s="6" t="n">
        <f aca="false">H6855*K6855</f>
        <v>120</v>
      </c>
      <c r="M6855" s="14" t="s">
        <v>410</v>
      </c>
    </row>
    <row r="6856" customFormat="false" ht="15" hidden="false" customHeight="false" outlineLevel="0" collapsed="false">
      <c r="A6856" s="4" t="s">
        <v>386</v>
      </c>
      <c r="B6856" s="5" t="s">
        <v>387</v>
      </c>
      <c r="C6856" s="5" t="s">
        <v>388</v>
      </c>
      <c r="D6856" s="4" t="s">
        <v>370</v>
      </c>
      <c r="E6856" s="4" t="s">
        <v>7588</v>
      </c>
      <c r="F6856" s="4" t="s">
        <v>488</v>
      </c>
      <c r="G6856" s="4" t="s">
        <v>7589</v>
      </c>
      <c r="H6856" s="12" t="n">
        <v>40</v>
      </c>
      <c r="I6856" s="4" t="s">
        <v>7036</v>
      </c>
      <c r="J6856" s="4" t="s">
        <v>543</v>
      </c>
      <c r="K6856" s="13" t="n">
        <v>30</v>
      </c>
      <c r="L6856" s="6" t="n">
        <f aca="false">H6856*K6856</f>
        <v>1200</v>
      </c>
      <c r="M6856" s="14" t="s">
        <v>410</v>
      </c>
    </row>
    <row r="6857" customFormat="false" ht="15" hidden="false" customHeight="false" outlineLevel="0" collapsed="false">
      <c r="A6857" s="4" t="s">
        <v>386</v>
      </c>
      <c r="B6857" s="5" t="s">
        <v>387</v>
      </c>
      <c r="C6857" s="5" t="s">
        <v>388</v>
      </c>
      <c r="D6857" s="4" t="s">
        <v>370</v>
      </c>
      <c r="E6857" s="4" t="s">
        <v>7590</v>
      </c>
      <c r="F6857" s="4" t="s">
        <v>488</v>
      </c>
      <c r="G6857" s="4" t="s">
        <v>7591</v>
      </c>
      <c r="H6857" s="12" t="n">
        <v>2</v>
      </c>
      <c r="I6857" s="4" t="s">
        <v>7036</v>
      </c>
      <c r="J6857" s="4" t="s">
        <v>543</v>
      </c>
      <c r="K6857" s="13" t="n">
        <v>400</v>
      </c>
      <c r="L6857" s="6" t="n">
        <f aca="false">H6857*K6857</f>
        <v>800</v>
      </c>
      <c r="M6857" s="14" t="s">
        <v>410</v>
      </c>
    </row>
    <row r="6858" customFormat="false" ht="15" hidden="false" customHeight="false" outlineLevel="0" collapsed="false">
      <c r="A6858" s="4" t="s">
        <v>386</v>
      </c>
      <c r="B6858" s="5" t="s">
        <v>387</v>
      </c>
      <c r="C6858" s="5" t="s">
        <v>388</v>
      </c>
      <c r="D6858" s="4" t="s">
        <v>370</v>
      </c>
      <c r="E6858" s="4" t="s">
        <v>7592</v>
      </c>
      <c r="F6858" s="4" t="s">
        <v>488</v>
      </c>
      <c r="G6858" s="4" t="s">
        <v>7593</v>
      </c>
      <c r="H6858" s="12" t="n">
        <v>2</v>
      </c>
      <c r="I6858" s="4" t="s">
        <v>7036</v>
      </c>
      <c r="J6858" s="4" t="s">
        <v>416</v>
      </c>
      <c r="K6858" s="13" t="n">
        <v>900</v>
      </c>
      <c r="L6858" s="6" t="n">
        <f aca="false">H6858*K6858</f>
        <v>1800</v>
      </c>
      <c r="M6858" s="14" t="s">
        <v>410</v>
      </c>
    </row>
    <row r="6859" customFormat="false" ht="15" hidden="false" customHeight="false" outlineLevel="0" collapsed="false">
      <c r="A6859" s="4" t="s">
        <v>386</v>
      </c>
      <c r="B6859" s="5" t="s">
        <v>387</v>
      </c>
      <c r="C6859" s="5" t="s">
        <v>388</v>
      </c>
      <c r="D6859" s="4" t="s">
        <v>370</v>
      </c>
      <c r="E6859" s="4" t="s">
        <v>7594</v>
      </c>
      <c r="F6859" s="4" t="s">
        <v>406</v>
      </c>
      <c r="G6859" s="4" t="s">
        <v>7595</v>
      </c>
      <c r="H6859" s="12" t="n">
        <v>6</v>
      </c>
      <c r="I6859" s="4" t="s">
        <v>7036</v>
      </c>
      <c r="J6859" s="4" t="s">
        <v>543</v>
      </c>
      <c r="K6859" s="13" t="n">
        <v>20</v>
      </c>
      <c r="L6859" s="6" t="n">
        <f aca="false">H6859*K6859</f>
        <v>120</v>
      </c>
      <c r="M6859" s="14" t="s">
        <v>410</v>
      </c>
    </row>
    <row r="6860" customFormat="false" ht="15" hidden="false" customHeight="false" outlineLevel="0" collapsed="false">
      <c r="A6860" s="4" t="s">
        <v>386</v>
      </c>
      <c r="B6860" s="5" t="s">
        <v>387</v>
      </c>
      <c r="C6860" s="5" t="s">
        <v>388</v>
      </c>
      <c r="D6860" s="4" t="s">
        <v>370</v>
      </c>
      <c r="E6860" s="4" t="s">
        <v>7596</v>
      </c>
      <c r="F6860" s="4" t="s">
        <v>406</v>
      </c>
      <c r="G6860" s="4" t="s">
        <v>7597</v>
      </c>
      <c r="H6860" s="12" t="n">
        <v>6</v>
      </c>
      <c r="I6860" s="4" t="s">
        <v>7036</v>
      </c>
      <c r="J6860" s="4" t="s">
        <v>543</v>
      </c>
      <c r="K6860" s="13" t="n">
        <v>90</v>
      </c>
      <c r="L6860" s="6" t="n">
        <f aca="false">H6860*K6860</f>
        <v>540</v>
      </c>
      <c r="M6860" s="14" t="s">
        <v>410</v>
      </c>
    </row>
    <row r="6861" customFormat="false" ht="15" hidden="false" customHeight="false" outlineLevel="0" collapsed="false">
      <c r="A6861" s="4" t="s">
        <v>386</v>
      </c>
      <c r="B6861" s="5" t="s">
        <v>387</v>
      </c>
      <c r="C6861" s="5" t="s">
        <v>388</v>
      </c>
      <c r="D6861" s="4" t="s">
        <v>370</v>
      </c>
      <c r="E6861" s="4" t="s">
        <v>7598</v>
      </c>
      <c r="F6861" s="4" t="s">
        <v>406</v>
      </c>
      <c r="G6861" s="4" t="s">
        <v>7599</v>
      </c>
      <c r="H6861" s="12" t="n">
        <v>6</v>
      </c>
      <c r="I6861" s="4" t="s">
        <v>7036</v>
      </c>
      <c r="J6861" s="4" t="s">
        <v>543</v>
      </c>
      <c r="K6861" s="13" t="n">
        <v>250</v>
      </c>
      <c r="L6861" s="6" t="n">
        <f aca="false">H6861*K6861</f>
        <v>1500</v>
      </c>
      <c r="M6861" s="14" t="s">
        <v>410</v>
      </c>
    </row>
    <row r="6862" customFormat="false" ht="15" hidden="false" customHeight="false" outlineLevel="0" collapsed="false">
      <c r="A6862" s="4" t="s">
        <v>386</v>
      </c>
      <c r="B6862" s="5" t="s">
        <v>387</v>
      </c>
      <c r="C6862" s="5" t="s">
        <v>388</v>
      </c>
      <c r="D6862" s="4" t="s">
        <v>370</v>
      </c>
      <c r="E6862" s="4" t="s">
        <v>7600</v>
      </c>
      <c r="F6862" s="4" t="s">
        <v>406</v>
      </c>
      <c r="G6862" s="4" t="s">
        <v>7601</v>
      </c>
      <c r="H6862" s="12" t="n">
        <v>6</v>
      </c>
      <c r="I6862" s="4" t="s">
        <v>7036</v>
      </c>
      <c r="J6862" s="4" t="s">
        <v>543</v>
      </c>
      <c r="K6862" s="13" t="n">
        <v>60</v>
      </c>
      <c r="L6862" s="6" t="n">
        <f aca="false">H6862*K6862</f>
        <v>360</v>
      </c>
      <c r="M6862" s="14" t="s">
        <v>410</v>
      </c>
    </row>
    <row r="6863" customFormat="false" ht="15" hidden="false" customHeight="false" outlineLevel="0" collapsed="false">
      <c r="A6863" s="4" t="s">
        <v>386</v>
      </c>
      <c r="B6863" s="5" t="s">
        <v>387</v>
      </c>
      <c r="C6863" s="5" t="s">
        <v>388</v>
      </c>
      <c r="D6863" s="4" t="s">
        <v>370</v>
      </c>
      <c r="E6863" s="4" t="s">
        <v>7602</v>
      </c>
      <c r="F6863" s="4" t="s">
        <v>406</v>
      </c>
      <c r="G6863" s="4" t="s">
        <v>7603</v>
      </c>
      <c r="H6863" s="12" t="n">
        <v>6</v>
      </c>
      <c r="I6863" s="4" t="s">
        <v>7036</v>
      </c>
      <c r="J6863" s="4" t="s">
        <v>543</v>
      </c>
      <c r="K6863" s="13" t="n">
        <v>120</v>
      </c>
      <c r="L6863" s="6" t="n">
        <f aca="false">H6863*K6863</f>
        <v>720</v>
      </c>
      <c r="M6863" s="14" t="s">
        <v>410</v>
      </c>
    </row>
    <row r="6864" customFormat="false" ht="15" hidden="false" customHeight="false" outlineLevel="0" collapsed="false">
      <c r="A6864" s="4" t="s">
        <v>386</v>
      </c>
      <c r="B6864" s="5" t="s">
        <v>387</v>
      </c>
      <c r="C6864" s="5" t="s">
        <v>388</v>
      </c>
      <c r="D6864" s="4" t="s">
        <v>370</v>
      </c>
      <c r="E6864" s="4" t="s">
        <v>7604</v>
      </c>
      <c r="F6864" s="4" t="s">
        <v>406</v>
      </c>
      <c r="G6864" s="4" t="s">
        <v>7605</v>
      </c>
      <c r="H6864" s="12" t="n">
        <v>6</v>
      </c>
      <c r="I6864" s="4" t="s">
        <v>7036</v>
      </c>
      <c r="J6864" s="4" t="s">
        <v>543</v>
      </c>
      <c r="K6864" s="13" t="n">
        <v>200</v>
      </c>
      <c r="L6864" s="6" t="n">
        <f aca="false">H6864*K6864</f>
        <v>1200</v>
      </c>
      <c r="M6864" s="14" t="s">
        <v>410</v>
      </c>
    </row>
    <row r="6865" customFormat="false" ht="15" hidden="false" customHeight="false" outlineLevel="0" collapsed="false">
      <c r="A6865" s="4" t="s">
        <v>386</v>
      </c>
      <c r="B6865" s="5" t="s">
        <v>387</v>
      </c>
      <c r="C6865" s="5" t="s">
        <v>388</v>
      </c>
      <c r="D6865" s="4" t="s">
        <v>370</v>
      </c>
      <c r="E6865" s="4" t="s">
        <v>7606</v>
      </c>
      <c r="F6865" s="4" t="s">
        <v>406</v>
      </c>
      <c r="G6865" s="4" t="s">
        <v>7607</v>
      </c>
      <c r="H6865" s="12" t="n">
        <v>6</v>
      </c>
      <c r="I6865" s="4" t="s">
        <v>7036</v>
      </c>
      <c r="J6865" s="4" t="s">
        <v>543</v>
      </c>
      <c r="K6865" s="13" t="n">
        <v>90</v>
      </c>
      <c r="L6865" s="6" t="n">
        <f aca="false">H6865*K6865</f>
        <v>540</v>
      </c>
      <c r="M6865" s="14" t="s">
        <v>410</v>
      </c>
    </row>
    <row r="6866" customFormat="false" ht="15" hidden="false" customHeight="false" outlineLevel="0" collapsed="false">
      <c r="A6866" s="4" t="s">
        <v>386</v>
      </c>
      <c r="B6866" s="5" t="s">
        <v>387</v>
      </c>
      <c r="C6866" s="5" t="s">
        <v>388</v>
      </c>
      <c r="D6866" s="4" t="s">
        <v>370</v>
      </c>
      <c r="E6866" s="4" t="s">
        <v>7608</v>
      </c>
      <c r="F6866" s="4" t="s">
        <v>406</v>
      </c>
      <c r="G6866" s="4" t="s">
        <v>7609</v>
      </c>
      <c r="H6866" s="12" t="n">
        <v>6</v>
      </c>
      <c r="I6866" s="4" t="s">
        <v>7036</v>
      </c>
      <c r="J6866" s="4" t="s">
        <v>543</v>
      </c>
      <c r="K6866" s="13" t="n">
        <v>90</v>
      </c>
      <c r="L6866" s="6" t="n">
        <f aca="false">H6866*K6866</f>
        <v>540</v>
      </c>
      <c r="M6866" s="14" t="s">
        <v>410</v>
      </c>
    </row>
    <row r="6867" customFormat="false" ht="15" hidden="false" customHeight="false" outlineLevel="0" collapsed="false">
      <c r="A6867" s="4" t="s">
        <v>386</v>
      </c>
      <c r="B6867" s="5" t="s">
        <v>387</v>
      </c>
      <c r="C6867" s="5" t="s">
        <v>388</v>
      </c>
      <c r="D6867" s="4" t="s">
        <v>370</v>
      </c>
      <c r="E6867" s="4" t="s">
        <v>7610</v>
      </c>
      <c r="F6867" s="4" t="s">
        <v>406</v>
      </c>
      <c r="G6867" s="4" t="s">
        <v>7611</v>
      </c>
      <c r="H6867" s="12" t="n">
        <v>6</v>
      </c>
      <c r="I6867" s="4" t="s">
        <v>7036</v>
      </c>
      <c r="J6867" s="4" t="s">
        <v>543</v>
      </c>
      <c r="K6867" s="13" t="n">
        <v>90</v>
      </c>
      <c r="L6867" s="6" t="n">
        <f aca="false">H6867*K6867</f>
        <v>540</v>
      </c>
      <c r="M6867" s="14" t="s">
        <v>410</v>
      </c>
    </row>
    <row r="6868" customFormat="false" ht="15" hidden="false" customHeight="false" outlineLevel="0" collapsed="false">
      <c r="A6868" s="4" t="s">
        <v>386</v>
      </c>
      <c r="B6868" s="5" t="s">
        <v>387</v>
      </c>
      <c r="C6868" s="5" t="s">
        <v>388</v>
      </c>
      <c r="D6868" s="4" t="s">
        <v>370</v>
      </c>
      <c r="E6868" s="4" t="s">
        <v>7612</v>
      </c>
      <c r="F6868" s="4" t="s">
        <v>406</v>
      </c>
      <c r="G6868" s="4" t="s">
        <v>7613</v>
      </c>
      <c r="H6868" s="12" t="n">
        <v>6</v>
      </c>
      <c r="I6868" s="4" t="s">
        <v>7036</v>
      </c>
      <c r="J6868" s="4" t="s">
        <v>543</v>
      </c>
      <c r="K6868" s="13" t="n">
        <v>80</v>
      </c>
      <c r="L6868" s="6" t="n">
        <f aca="false">H6868*K6868</f>
        <v>480</v>
      </c>
      <c r="M6868" s="14" t="s">
        <v>410</v>
      </c>
    </row>
    <row r="6869" customFormat="false" ht="15" hidden="false" customHeight="false" outlineLevel="0" collapsed="false">
      <c r="A6869" s="4" t="s">
        <v>386</v>
      </c>
      <c r="B6869" s="5" t="s">
        <v>387</v>
      </c>
      <c r="C6869" s="5" t="s">
        <v>388</v>
      </c>
      <c r="D6869" s="4" t="s">
        <v>370</v>
      </c>
      <c r="E6869" s="4" t="s">
        <v>7614</v>
      </c>
      <c r="F6869" s="4" t="s">
        <v>406</v>
      </c>
      <c r="G6869" s="4" t="s">
        <v>7615</v>
      </c>
      <c r="H6869" s="12" t="n">
        <v>6</v>
      </c>
      <c r="I6869" s="4" t="s">
        <v>7036</v>
      </c>
      <c r="J6869" s="4" t="s">
        <v>543</v>
      </c>
      <c r="K6869" s="13" t="n">
        <v>90</v>
      </c>
      <c r="L6869" s="6" t="n">
        <f aca="false">H6869*K6869</f>
        <v>540</v>
      </c>
      <c r="M6869" s="14" t="s">
        <v>410</v>
      </c>
    </row>
    <row r="6870" customFormat="false" ht="15" hidden="false" customHeight="false" outlineLevel="0" collapsed="false">
      <c r="A6870" s="4" t="s">
        <v>386</v>
      </c>
      <c r="B6870" s="5" t="s">
        <v>387</v>
      </c>
      <c r="C6870" s="5" t="s">
        <v>388</v>
      </c>
      <c r="D6870" s="4" t="s">
        <v>370</v>
      </c>
      <c r="E6870" s="4" t="s">
        <v>7616</v>
      </c>
      <c r="F6870" s="4" t="s">
        <v>406</v>
      </c>
      <c r="G6870" s="4" t="s">
        <v>7617</v>
      </c>
      <c r="H6870" s="12" t="n">
        <v>6</v>
      </c>
      <c r="I6870" s="4" t="s">
        <v>7036</v>
      </c>
      <c r="J6870" s="4" t="s">
        <v>543</v>
      </c>
      <c r="K6870" s="13" t="n">
        <v>150</v>
      </c>
      <c r="L6870" s="6" t="n">
        <f aca="false">H6870*K6870</f>
        <v>900</v>
      </c>
      <c r="M6870" s="14" t="s">
        <v>410</v>
      </c>
    </row>
    <row r="6871" customFormat="false" ht="15" hidden="false" customHeight="false" outlineLevel="0" collapsed="false">
      <c r="A6871" s="4" t="s">
        <v>386</v>
      </c>
      <c r="B6871" s="5" t="s">
        <v>387</v>
      </c>
      <c r="C6871" s="5" t="s">
        <v>388</v>
      </c>
      <c r="D6871" s="4" t="s">
        <v>370</v>
      </c>
      <c r="E6871" s="4" t="s">
        <v>7618</v>
      </c>
      <c r="F6871" s="4" t="s">
        <v>406</v>
      </c>
      <c r="G6871" s="4" t="s">
        <v>7619</v>
      </c>
      <c r="H6871" s="12" t="n">
        <v>6</v>
      </c>
      <c r="I6871" s="4" t="s">
        <v>7036</v>
      </c>
      <c r="J6871" s="4" t="s">
        <v>543</v>
      </c>
      <c r="K6871" s="13" t="n">
        <v>750</v>
      </c>
      <c r="L6871" s="6" t="n">
        <f aca="false">H6871*K6871</f>
        <v>4500</v>
      </c>
      <c r="M6871" s="14" t="s">
        <v>410</v>
      </c>
    </row>
    <row r="6872" customFormat="false" ht="15" hidden="false" customHeight="false" outlineLevel="0" collapsed="false">
      <c r="A6872" s="4" t="s">
        <v>386</v>
      </c>
      <c r="B6872" s="5" t="s">
        <v>387</v>
      </c>
      <c r="C6872" s="5" t="s">
        <v>388</v>
      </c>
      <c r="D6872" s="4" t="s">
        <v>370</v>
      </c>
      <c r="E6872" s="4" t="s">
        <v>7620</v>
      </c>
      <c r="F6872" s="4" t="s">
        <v>470</v>
      </c>
      <c r="G6872" s="4" t="s">
        <v>7621</v>
      </c>
      <c r="H6872" s="12" t="n">
        <v>1</v>
      </c>
      <c r="I6872" s="4" t="s">
        <v>7036</v>
      </c>
      <c r="J6872" s="4" t="s">
        <v>2810</v>
      </c>
      <c r="K6872" s="13" t="n">
        <v>0</v>
      </c>
      <c r="L6872" s="6" t="n">
        <f aca="false">H6872*K6872</f>
        <v>0</v>
      </c>
      <c r="M6872" s="14" t="s">
        <v>410</v>
      </c>
    </row>
    <row r="6873" customFormat="false" ht="15" hidden="false" customHeight="false" outlineLevel="0" collapsed="false">
      <c r="A6873" s="4" t="s">
        <v>386</v>
      </c>
      <c r="B6873" s="5" t="s">
        <v>387</v>
      </c>
      <c r="C6873" s="5" t="s">
        <v>388</v>
      </c>
      <c r="D6873" s="4" t="s">
        <v>370</v>
      </c>
      <c r="E6873" s="4" t="s">
        <v>7622</v>
      </c>
      <c r="F6873" s="4" t="s">
        <v>470</v>
      </c>
      <c r="G6873" s="4" t="s">
        <v>7623</v>
      </c>
      <c r="H6873" s="12" t="n">
        <v>1</v>
      </c>
      <c r="I6873" s="4" t="s">
        <v>7036</v>
      </c>
      <c r="J6873" s="4" t="s">
        <v>2810</v>
      </c>
      <c r="K6873" s="13" t="n">
        <v>0</v>
      </c>
      <c r="L6873" s="6" t="n">
        <f aca="false">H6873*K6873</f>
        <v>0</v>
      </c>
      <c r="M6873" s="14" t="s">
        <v>410</v>
      </c>
    </row>
    <row r="6874" customFormat="false" ht="15" hidden="false" customHeight="false" outlineLevel="0" collapsed="false">
      <c r="A6874" s="4" t="s">
        <v>386</v>
      </c>
      <c r="B6874" s="5" t="s">
        <v>387</v>
      </c>
      <c r="C6874" s="5" t="s">
        <v>388</v>
      </c>
      <c r="D6874" s="4" t="s">
        <v>370</v>
      </c>
      <c r="E6874" s="4" t="s">
        <v>7624</v>
      </c>
      <c r="F6874" s="4" t="s">
        <v>406</v>
      </c>
      <c r="G6874" s="4" t="s">
        <v>7625</v>
      </c>
      <c r="H6874" s="12" t="n">
        <v>6</v>
      </c>
      <c r="I6874" s="4" t="s">
        <v>7036</v>
      </c>
      <c r="J6874" s="4" t="s">
        <v>543</v>
      </c>
      <c r="K6874" s="13" t="n">
        <v>200</v>
      </c>
      <c r="L6874" s="6" t="n">
        <f aca="false">H6874*K6874</f>
        <v>1200</v>
      </c>
      <c r="M6874" s="14" t="s">
        <v>410</v>
      </c>
    </row>
    <row r="6875" customFormat="false" ht="15" hidden="false" customHeight="false" outlineLevel="0" collapsed="false">
      <c r="A6875" s="4" t="s">
        <v>386</v>
      </c>
      <c r="B6875" s="5" t="s">
        <v>387</v>
      </c>
      <c r="C6875" s="5" t="s">
        <v>388</v>
      </c>
      <c r="D6875" s="4" t="s">
        <v>370</v>
      </c>
      <c r="E6875" s="4" t="s">
        <v>7626</v>
      </c>
      <c r="F6875" s="4" t="s">
        <v>406</v>
      </c>
      <c r="G6875" s="4" t="s">
        <v>7627</v>
      </c>
      <c r="H6875" s="12" t="n">
        <v>6</v>
      </c>
      <c r="I6875" s="4" t="s">
        <v>7036</v>
      </c>
      <c r="J6875" s="4" t="s">
        <v>543</v>
      </c>
      <c r="K6875" s="13" t="n">
        <v>250</v>
      </c>
      <c r="L6875" s="6" t="n">
        <f aca="false">H6875*K6875</f>
        <v>1500</v>
      </c>
      <c r="M6875" s="14" t="s">
        <v>410</v>
      </c>
    </row>
    <row r="6876" customFormat="false" ht="15" hidden="false" customHeight="false" outlineLevel="0" collapsed="false">
      <c r="A6876" s="4" t="s">
        <v>386</v>
      </c>
      <c r="B6876" s="5" t="s">
        <v>387</v>
      </c>
      <c r="C6876" s="5" t="s">
        <v>388</v>
      </c>
      <c r="D6876" s="4" t="s">
        <v>370</v>
      </c>
      <c r="E6876" s="4" t="s">
        <v>7332</v>
      </c>
      <c r="F6876" s="4" t="s">
        <v>406</v>
      </c>
      <c r="G6876" s="4" t="s">
        <v>7333</v>
      </c>
      <c r="H6876" s="12" t="n">
        <v>6</v>
      </c>
      <c r="I6876" s="4" t="s">
        <v>7036</v>
      </c>
      <c r="J6876" s="4" t="s">
        <v>543</v>
      </c>
      <c r="K6876" s="13" t="n">
        <v>150</v>
      </c>
      <c r="L6876" s="6" t="n">
        <f aca="false">H6876*K6876</f>
        <v>900</v>
      </c>
      <c r="M6876" s="14" t="s">
        <v>410</v>
      </c>
    </row>
    <row r="6877" customFormat="false" ht="15" hidden="false" customHeight="false" outlineLevel="0" collapsed="false">
      <c r="A6877" s="4" t="s">
        <v>386</v>
      </c>
      <c r="B6877" s="5" t="s">
        <v>387</v>
      </c>
      <c r="C6877" s="5" t="s">
        <v>388</v>
      </c>
      <c r="D6877" s="4" t="s">
        <v>370</v>
      </c>
      <c r="E6877" s="4" t="s">
        <v>7332</v>
      </c>
      <c r="F6877" s="4" t="s">
        <v>406</v>
      </c>
      <c r="G6877" s="4" t="s">
        <v>7333</v>
      </c>
      <c r="H6877" s="12" t="n">
        <v>6</v>
      </c>
      <c r="I6877" s="4" t="s">
        <v>7036</v>
      </c>
      <c r="J6877" s="4" t="s">
        <v>543</v>
      </c>
      <c r="K6877" s="13" t="n">
        <v>150</v>
      </c>
      <c r="L6877" s="6" t="n">
        <f aca="false">H6877*K6877</f>
        <v>900</v>
      </c>
      <c r="M6877" s="14" t="s">
        <v>410</v>
      </c>
    </row>
    <row r="6878" customFormat="false" ht="15" hidden="false" customHeight="false" outlineLevel="0" collapsed="false">
      <c r="A6878" s="4" t="s">
        <v>386</v>
      </c>
      <c r="B6878" s="5" t="s">
        <v>387</v>
      </c>
      <c r="C6878" s="5" t="s">
        <v>388</v>
      </c>
      <c r="D6878" s="4" t="s">
        <v>370</v>
      </c>
      <c r="E6878" s="4" t="s">
        <v>7628</v>
      </c>
      <c r="F6878" s="4" t="s">
        <v>406</v>
      </c>
      <c r="G6878" s="4" t="s">
        <v>7629</v>
      </c>
      <c r="H6878" s="12" t="n">
        <v>6</v>
      </c>
      <c r="I6878" s="4" t="s">
        <v>7036</v>
      </c>
      <c r="J6878" s="4" t="s">
        <v>543</v>
      </c>
      <c r="K6878" s="13" t="n">
        <v>250</v>
      </c>
      <c r="L6878" s="6" t="n">
        <f aca="false">H6878*K6878</f>
        <v>1500</v>
      </c>
      <c r="M6878" s="14" t="s">
        <v>410</v>
      </c>
    </row>
    <row r="6879" customFormat="false" ht="15" hidden="false" customHeight="false" outlineLevel="0" collapsed="false">
      <c r="A6879" s="4" t="s">
        <v>386</v>
      </c>
      <c r="B6879" s="5" t="s">
        <v>387</v>
      </c>
      <c r="C6879" s="5" t="s">
        <v>388</v>
      </c>
      <c r="D6879" s="4" t="s">
        <v>370</v>
      </c>
      <c r="E6879" s="4" t="s">
        <v>7630</v>
      </c>
      <c r="F6879" s="4" t="s">
        <v>406</v>
      </c>
      <c r="G6879" s="4" t="s">
        <v>7631</v>
      </c>
      <c r="H6879" s="12" t="n">
        <v>6</v>
      </c>
      <c r="I6879" s="4" t="s">
        <v>7036</v>
      </c>
      <c r="J6879" s="4" t="s">
        <v>543</v>
      </c>
      <c r="K6879" s="13" t="n">
        <v>300</v>
      </c>
      <c r="L6879" s="6" t="n">
        <f aca="false">H6879*K6879</f>
        <v>1800</v>
      </c>
      <c r="M6879" s="14" t="s">
        <v>410</v>
      </c>
    </row>
    <row r="6880" customFormat="false" ht="15" hidden="false" customHeight="false" outlineLevel="0" collapsed="false">
      <c r="A6880" s="4" t="s">
        <v>386</v>
      </c>
      <c r="B6880" s="5" t="s">
        <v>387</v>
      </c>
      <c r="C6880" s="5" t="s">
        <v>388</v>
      </c>
      <c r="D6880" s="4" t="s">
        <v>370</v>
      </c>
      <c r="E6880" s="4" t="s">
        <v>7632</v>
      </c>
      <c r="F6880" s="4" t="s">
        <v>406</v>
      </c>
      <c r="G6880" s="4" t="s">
        <v>7633</v>
      </c>
      <c r="H6880" s="12" t="n">
        <v>6</v>
      </c>
      <c r="I6880" s="4" t="s">
        <v>7036</v>
      </c>
      <c r="J6880" s="4" t="s">
        <v>543</v>
      </c>
      <c r="K6880" s="13" t="n">
        <v>450</v>
      </c>
      <c r="L6880" s="6" t="n">
        <f aca="false">H6880*K6880</f>
        <v>2700</v>
      </c>
      <c r="M6880" s="14" t="s">
        <v>410</v>
      </c>
    </row>
    <row r="6881" customFormat="false" ht="15" hidden="false" customHeight="false" outlineLevel="0" collapsed="false">
      <c r="A6881" s="4" t="s">
        <v>386</v>
      </c>
      <c r="B6881" s="5" t="s">
        <v>387</v>
      </c>
      <c r="C6881" s="5" t="s">
        <v>388</v>
      </c>
      <c r="D6881" s="4" t="s">
        <v>370</v>
      </c>
      <c r="E6881" s="4" t="s">
        <v>7634</v>
      </c>
      <c r="F6881" s="4" t="s">
        <v>406</v>
      </c>
      <c r="G6881" s="4" t="s">
        <v>7635</v>
      </c>
      <c r="H6881" s="12" t="n">
        <v>6</v>
      </c>
      <c r="I6881" s="4" t="s">
        <v>7036</v>
      </c>
      <c r="J6881" s="4" t="s">
        <v>543</v>
      </c>
      <c r="K6881" s="13" t="n">
        <v>550</v>
      </c>
      <c r="L6881" s="6" t="n">
        <f aca="false">H6881*K6881</f>
        <v>3300</v>
      </c>
      <c r="M6881" s="14" t="s">
        <v>410</v>
      </c>
    </row>
    <row r="6882" customFormat="false" ht="15" hidden="false" customHeight="false" outlineLevel="0" collapsed="false">
      <c r="A6882" s="4" t="s">
        <v>386</v>
      </c>
      <c r="B6882" s="5" t="s">
        <v>387</v>
      </c>
      <c r="C6882" s="5" t="s">
        <v>388</v>
      </c>
      <c r="D6882" s="4" t="s">
        <v>370</v>
      </c>
      <c r="E6882" s="4" t="s">
        <v>7636</v>
      </c>
      <c r="F6882" s="4" t="s">
        <v>406</v>
      </c>
      <c r="G6882" s="4" t="s">
        <v>7637</v>
      </c>
      <c r="H6882" s="12" t="n">
        <v>6</v>
      </c>
      <c r="I6882" s="4" t="s">
        <v>7036</v>
      </c>
      <c r="J6882" s="4" t="s">
        <v>543</v>
      </c>
      <c r="K6882" s="13" t="n">
        <v>150</v>
      </c>
      <c r="L6882" s="6" t="n">
        <f aca="false">H6882*K6882</f>
        <v>900</v>
      </c>
      <c r="M6882" s="14" t="s">
        <v>410</v>
      </c>
    </row>
    <row r="6883" customFormat="false" ht="15" hidden="false" customHeight="false" outlineLevel="0" collapsed="false">
      <c r="A6883" s="4" t="s">
        <v>386</v>
      </c>
      <c r="B6883" s="5" t="s">
        <v>387</v>
      </c>
      <c r="C6883" s="5" t="s">
        <v>388</v>
      </c>
      <c r="D6883" s="4" t="s">
        <v>370</v>
      </c>
      <c r="E6883" s="4" t="s">
        <v>7638</v>
      </c>
      <c r="F6883" s="4" t="s">
        <v>406</v>
      </c>
      <c r="G6883" s="4" t="s">
        <v>7639</v>
      </c>
      <c r="H6883" s="12" t="n">
        <v>6</v>
      </c>
      <c r="I6883" s="4" t="s">
        <v>7036</v>
      </c>
      <c r="J6883" s="4" t="s">
        <v>543</v>
      </c>
      <c r="K6883" s="13" t="n">
        <v>30</v>
      </c>
      <c r="L6883" s="6" t="n">
        <f aca="false">H6883*K6883</f>
        <v>180</v>
      </c>
      <c r="M6883" s="14" t="s">
        <v>410</v>
      </c>
    </row>
    <row r="6884" customFormat="false" ht="15" hidden="false" customHeight="false" outlineLevel="0" collapsed="false">
      <c r="A6884" s="4" t="s">
        <v>386</v>
      </c>
      <c r="B6884" s="5" t="s">
        <v>387</v>
      </c>
      <c r="C6884" s="5" t="s">
        <v>388</v>
      </c>
      <c r="D6884" s="4" t="s">
        <v>370</v>
      </c>
      <c r="E6884" s="4" t="s">
        <v>7093</v>
      </c>
      <c r="F6884" s="4" t="s">
        <v>406</v>
      </c>
      <c r="G6884" s="4" t="s">
        <v>7094</v>
      </c>
      <c r="H6884" s="12" t="n">
        <v>2</v>
      </c>
      <c r="I6884" s="4" t="s">
        <v>7036</v>
      </c>
      <c r="J6884" s="4" t="s">
        <v>416</v>
      </c>
      <c r="K6884" s="13" t="n">
        <v>450</v>
      </c>
      <c r="L6884" s="6" t="n">
        <f aca="false">H6884*K6884</f>
        <v>900</v>
      </c>
      <c r="M6884" s="14" t="s">
        <v>410</v>
      </c>
    </row>
    <row r="6885" customFormat="false" ht="15" hidden="false" customHeight="false" outlineLevel="0" collapsed="false">
      <c r="A6885" s="4" t="s">
        <v>386</v>
      </c>
      <c r="B6885" s="5" t="s">
        <v>387</v>
      </c>
      <c r="C6885" s="5" t="s">
        <v>388</v>
      </c>
      <c r="D6885" s="4" t="s">
        <v>370</v>
      </c>
      <c r="E6885" s="4" t="s">
        <v>7640</v>
      </c>
      <c r="F6885" s="4" t="s">
        <v>406</v>
      </c>
      <c r="G6885" s="4" t="s">
        <v>7641</v>
      </c>
      <c r="H6885" s="12" t="n">
        <v>2</v>
      </c>
      <c r="I6885" s="4" t="s">
        <v>7036</v>
      </c>
      <c r="J6885" s="4" t="s">
        <v>416</v>
      </c>
      <c r="K6885" s="13" t="n">
        <v>500</v>
      </c>
      <c r="L6885" s="6" t="n">
        <f aca="false">H6885*K6885</f>
        <v>1000</v>
      </c>
      <c r="M6885" s="14" t="s">
        <v>410</v>
      </c>
    </row>
    <row r="6886" customFormat="false" ht="15" hidden="false" customHeight="false" outlineLevel="0" collapsed="false">
      <c r="A6886" s="4" t="s">
        <v>386</v>
      </c>
      <c r="B6886" s="5" t="s">
        <v>387</v>
      </c>
      <c r="C6886" s="5" t="s">
        <v>388</v>
      </c>
      <c r="D6886" s="4" t="s">
        <v>370</v>
      </c>
      <c r="E6886" s="4" t="s">
        <v>7096</v>
      </c>
      <c r="F6886" s="4" t="s">
        <v>406</v>
      </c>
      <c r="G6886" s="4" t="s">
        <v>7097</v>
      </c>
      <c r="H6886" s="12" t="n">
        <v>1</v>
      </c>
      <c r="I6886" s="4" t="s">
        <v>7036</v>
      </c>
      <c r="J6886" s="4" t="s">
        <v>543</v>
      </c>
      <c r="K6886" s="13" t="n">
        <v>350</v>
      </c>
      <c r="L6886" s="6" t="n">
        <f aca="false">H6886*K6886</f>
        <v>350</v>
      </c>
      <c r="M6886" s="14" t="s">
        <v>410</v>
      </c>
    </row>
    <row r="6887" customFormat="false" ht="15" hidden="false" customHeight="false" outlineLevel="0" collapsed="false">
      <c r="A6887" s="4" t="s">
        <v>386</v>
      </c>
      <c r="B6887" s="5" t="s">
        <v>387</v>
      </c>
      <c r="C6887" s="5" t="s">
        <v>388</v>
      </c>
      <c r="D6887" s="4" t="s">
        <v>370</v>
      </c>
      <c r="E6887" s="4" t="s">
        <v>6081</v>
      </c>
      <c r="F6887" s="4" t="s">
        <v>406</v>
      </c>
      <c r="G6887" s="4" t="s">
        <v>3373</v>
      </c>
      <c r="H6887" s="12" t="n">
        <v>1</v>
      </c>
      <c r="I6887" s="4" t="s">
        <v>7036</v>
      </c>
      <c r="J6887" s="4" t="s">
        <v>409</v>
      </c>
      <c r="K6887" s="13" t="n">
        <v>1200</v>
      </c>
      <c r="L6887" s="6" t="n">
        <f aca="false">H6887*K6887</f>
        <v>1200</v>
      </c>
      <c r="M6887" s="14" t="s">
        <v>410</v>
      </c>
    </row>
    <row r="6888" customFormat="false" ht="15" hidden="false" customHeight="false" outlineLevel="0" collapsed="false">
      <c r="A6888" s="4" t="s">
        <v>386</v>
      </c>
      <c r="B6888" s="5" t="s">
        <v>387</v>
      </c>
      <c r="C6888" s="5" t="s">
        <v>388</v>
      </c>
      <c r="D6888" s="4" t="s">
        <v>370</v>
      </c>
      <c r="E6888" s="4" t="s">
        <v>7098</v>
      </c>
      <c r="F6888" s="4" t="s">
        <v>406</v>
      </c>
      <c r="G6888" s="4" t="s">
        <v>7099</v>
      </c>
      <c r="H6888" s="12" t="n">
        <v>1</v>
      </c>
      <c r="I6888" s="4" t="s">
        <v>7036</v>
      </c>
      <c r="J6888" s="4" t="s">
        <v>543</v>
      </c>
      <c r="K6888" s="13" t="n">
        <v>2500</v>
      </c>
      <c r="L6888" s="6" t="n">
        <f aca="false">H6888*K6888</f>
        <v>2500</v>
      </c>
      <c r="M6888" s="14" t="s">
        <v>410</v>
      </c>
    </row>
    <row r="6889" customFormat="false" ht="15" hidden="false" customHeight="false" outlineLevel="0" collapsed="false">
      <c r="A6889" s="4" t="s">
        <v>386</v>
      </c>
      <c r="B6889" s="5" t="s">
        <v>387</v>
      </c>
      <c r="C6889" s="5" t="s">
        <v>388</v>
      </c>
      <c r="D6889" s="4" t="s">
        <v>370</v>
      </c>
      <c r="E6889" s="4" t="s">
        <v>7100</v>
      </c>
      <c r="F6889" s="4" t="s">
        <v>406</v>
      </c>
      <c r="G6889" s="4" t="s">
        <v>7101</v>
      </c>
      <c r="H6889" s="12" t="n">
        <v>2</v>
      </c>
      <c r="I6889" s="4" t="s">
        <v>7036</v>
      </c>
      <c r="J6889" s="4" t="s">
        <v>416</v>
      </c>
      <c r="K6889" s="13" t="n">
        <v>600</v>
      </c>
      <c r="L6889" s="6" t="n">
        <f aca="false">H6889*K6889</f>
        <v>1200</v>
      </c>
      <c r="M6889" s="14" t="s">
        <v>410</v>
      </c>
    </row>
    <row r="6890" customFormat="false" ht="15" hidden="false" customHeight="false" outlineLevel="0" collapsed="false">
      <c r="A6890" s="4" t="s">
        <v>386</v>
      </c>
      <c r="B6890" s="5" t="s">
        <v>387</v>
      </c>
      <c r="C6890" s="5" t="s">
        <v>388</v>
      </c>
      <c r="D6890" s="4" t="s">
        <v>370</v>
      </c>
      <c r="E6890" s="4" t="s">
        <v>7642</v>
      </c>
      <c r="F6890" s="4" t="s">
        <v>406</v>
      </c>
      <c r="G6890" s="4" t="s">
        <v>7103</v>
      </c>
      <c r="H6890" s="12" t="n">
        <v>1</v>
      </c>
      <c r="I6890" s="4" t="s">
        <v>7036</v>
      </c>
      <c r="J6890" s="4" t="s">
        <v>543</v>
      </c>
      <c r="K6890" s="13" t="n">
        <v>1800</v>
      </c>
      <c r="L6890" s="6" t="n">
        <f aca="false">H6890*K6890</f>
        <v>1800</v>
      </c>
      <c r="M6890" s="14" t="s">
        <v>410</v>
      </c>
    </row>
    <row r="6891" customFormat="false" ht="15" hidden="false" customHeight="false" outlineLevel="0" collapsed="false">
      <c r="A6891" s="4" t="s">
        <v>386</v>
      </c>
      <c r="B6891" s="5" t="s">
        <v>387</v>
      </c>
      <c r="C6891" s="5" t="s">
        <v>388</v>
      </c>
      <c r="D6891" s="4" t="s">
        <v>370</v>
      </c>
      <c r="E6891" s="4" t="s">
        <v>7643</v>
      </c>
      <c r="F6891" s="4" t="s">
        <v>406</v>
      </c>
      <c r="G6891" s="4" t="s">
        <v>7105</v>
      </c>
      <c r="H6891" s="12" t="n">
        <v>1</v>
      </c>
      <c r="I6891" s="4" t="s">
        <v>7036</v>
      </c>
      <c r="J6891" s="4" t="s">
        <v>543</v>
      </c>
      <c r="K6891" s="13" t="n">
        <v>4500</v>
      </c>
      <c r="L6891" s="6" t="n">
        <f aca="false">H6891*K6891</f>
        <v>4500</v>
      </c>
      <c r="M6891" s="14" t="s">
        <v>410</v>
      </c>
    </row>
    <row r="6892" customFormat="false" ht="15" hidden="false" customHeight="false" outlineLevel="0" collapsed="false">
      <c r="A6892" s="4" t="s">
        <v>386</v>
      </c>
      <c r="B6892" s="5" t="s">
        <v>387</v>
      </c>
      <c r="C6892" s="5" t="s">
        <v>388</v>
      </c>
      <c r="D6892" s="4" t="s">
        <v>370</v>
      </c>
      <c r="E6892" s="4" t="s">
        <v>7644</v>
      </c>
      <c r="F6892" s="4" t="s">
        <v>406</v>
      </c>
      <c r="G6892" s="4" t="s">
        <v>7107</v>
      </c>
      <c r="H6892" s="12" t="n">
        <v>2</v>
      </c>
      <c r="I6892" s="4" t="s">
        <v>7036</v>
      </c>
      <c r="J6892" s="4" t="s">
        <v>543</v>
      </c>
      <c r="K6892" s="13" t="n">
        <v>350</v>
      </c>
      <c r="L6892" s="6" t="n">
        <f aca="false">H6892*K6892</f>
        <v>700</v>
      </c>
      <c r="M6892" s="14" t="s">
        <v>410</v>
      </c>
    </row>
    <row r="6893" customFormat="false" ht="15" hidden="false" customHeight="false" outlineLevel="0" collapsed="false">
      <c r="A6893" s="4" t="s">
        <v>386</v>
      </c>
      <c r="B6893" s="5" t="s">
        <v>387</v>
      </c>
      <c r="C6893" s="5" t="s">
        <v>388</v>
      </c>
      <c r="D6893" s="4" t="s">
        <v>370</v>
      </c>
      <c r="E6893" s="4" t="s">
        <v>7108</v>
      </c>
      <c r="F6893" s="4" t="s">
        <v>406</v>
      </c>
      <c r="G6893" s="4" t="s">
        <v>7109</v>
      </c>
      <c r="H6893" s="12" t="n">
        <v>2</v>
      </c>
      <c r="I6893" s="4" t="s">
        <v>7036</v>
      </c>
      <c r="J6893" s="4" t="s">
        <v>543</v>
      </c>
      <c r="K6893" s="13" t="n">
        <v>350</v>
      </c>
      <c r="L6893" s="6" t="n">
        <f aca="false">H6893*K6893</f>
        <v>700</v>
      </c>
      <c r="M6893" s="14" t="s">
        <v>410</v>
      </c>
    </row>
    <row r="6894" customFormat="false" ht="15" hidden="false" customHeight="false" outlineLevel="0" collapsed="false">
      <c r="A6894" s="4" t="s">
        <v>386</v>
      </c>
      <c r="B6894" s="5" t="s">
        <v>387</v>
      </c>
      <c r="C6894" s="5" t="s">
        <v>388</v>
      </c>
      <c r="D6894" s="4" t="s">
        <v>370</v>
      </c>
      <c r="E6894" s="4" t="s">
        <v>7110</v>
      </c>
      <c r="F6894" s="4" t="s">
        <v>406</v>
      </c>
      <c r="G6894" s="4" t="s">
        <v>7111</v>
      </c>
      <c r="H6894" s="12" t="n">
        <v>2</v>
      </c>
      <c r="I6894" s="4" t="s">
        <v>7036</v>
      </c>
      <c r="J6894" s="4" t="s">
        <v>416</v>
      </c>
      <c r="K6894" s="13" t="n">
        <v>450</v>
      </c>
      <c r="L6894" s="6" t="n">
        <f aca="false">H6894*K6894</f>
        <v>900</v>
      </c>
      <c r="M6894" s="14" t="s">
        <v>410</v>
      </c>
    </row>
    <row r="6895" customFormat="false" ht="15" hidden="false" customHeight="false" outlineLevel="0" collapsed="false">
      <c r="A6895" s="4" t="s">
        <v>386</v>
      </c>
      <c r="B6895" s="5" t="s">
        <v>387</v>
      </c>
      <c r="C6895" s="5" t="s">
        <v>388</v>
      </c>
      <c r="D6895" s="4" t="s">
        <v>370</v>
      </c>
      <c r="E6895" s="4" t="s">
        <v>7112</v>
      </c>
      <c r="F6895" s="4" t="s">
        <v>406</v>
      </c>
      <c r="G6895" s="4" t="s">
        <v>7113</v>
      </c>
      <c r="H6895" s="12" t="n">
        <v>1</v>
      </c>
      <c r="I6895" s="4" t="s">
        <v>7036</v>
      </c>
      <c r="J6895" s="4" t="s">
        <v>543</v>
      </c>
      <c r="K6895" s="13" t="n">
        <v>250</v>
      </c>
      <c r="L6895" s="6" t="n">
        <f aca="false">H6895*K6895</f>
        <v>250</v>
      </c>
      <c r="M6895" s="14" t="s">
        <v>410</v>
      </c>
    </row>
    <row r="6896" customFormat="false" ht="15" hidden="false" customHeight="false" outlineLevel="0" collapsed="false">
      <c r="A6896" s="4" t="s">
        <v>386</v>
      </c>
      <c r="B6896" s="5" t="s">
        <v>387</v>
      </c>
      <c r="C6896" s="5" t="s">
        <v>388</v>
      </c>
      <c r="D6896" s="4" t="s">
        <v>370</v>
      </c>
      <c r="E6896" s="4" t="s">
        <v>7114</v>
      </c>
      <c r="F6896" s="4" t="s">
        <v>406</v>
      </c>
      <c r="G6896" s="4" t="s">
        <v>7115</v>
      </c>
      <c r="H6896" s="12" t="n">
        <v>1</v>
      </c>
      <c r="I6896" s="4" t="s">
        <v>7036</v>
      </c>
      <c r="J6896" s="4" t="s">
        <v>543</v>
      </c>
      <c r="K6896" s="13" t="n">
        <v>300</v>
      </c>
      <c r="L6896" s="6" t="n">
        <f aca="false">H6896*K6896</f>
        <v>300</v>
      </c>
      <c r="M6896" s="14" t="s">
        <v>410</v>
      </c>
    </row>
    <row r="6897" customFormat="false" ht="15" hidden="false" customHeight="false" outlineLevel="0" collapsed="false">
      <c r="A6897" s="4" t="s">
        <v>386</v>
      </c>
      <c r="B6897" s="5" t="s">
        <v>387</v>
      </c>
      <c r="C6897" s="5" t="s">
        <v>388</v>
      </c>
      <c r="D6897" s="4" t="s">
        <v>370</v>
      </c>
      <c r="E6897" s="4" t="s">
        <v>7116</v>
      </c>
      <c r="F6897" s="4" t="s">
        <v>406</v>
      </c>
      <c r="G6897" s="4" t="s">
        <v>7117</v>
      </c>
      <c r="H6897" s="12" t="n">
        <v>1</v>
      </c>
      <c r="I6897" s="4" t="s">
        <v>7036</v>
      </c>
      <c r="J6897" s="4" t="s">
        <v>543</v>
      </c>
      <c r="K6897" s="13" t="n">
        <v>650</v>
      </c>
      <c r="L6897" s="6" t="n">
        <f aca="false">H6897*K6897</f>
        <v>650</v>
      </c>
      <c r="M6897" s="14" t="s">
        <v>410</v>
      </c>
    </row>
    <row r="6898" customFormat="false" ht="15" hidden="false" customHeight="false" outlineLevel="0" collapsed="false">
      <c r="A6898" s="4" t="s">
        <v>386</v>
      </c>
      <c r="B6898" s="5" t="s">
        <v>387</v>
      </c>
      <c r="C6898" s="5" t="s">
        <v>388</v>
      </c>
      <c r="D6898" s="4" t="s">
        <v>370</v>
      </c>
      <c r="E6898" s="4" t="s">
        <v>7118</v>
      </c>
      <c r="F6898" s="4" t="s">
        <v>406</v>
      </c>
      <c r="G6898" s="4" t="s">
        <v>7119</v>
      </c>
      <c r="H6898" s="12" t="n">
        <v>1</v>
      </c>
      <c r="I6898" s="4" t="s">
        <v>7036</v>
      </c>
      <c r="J6898" s="4" t="s">
        <v>543</v>
      </c>
      <c r="K6898" s="13" t="n">
        <v>150</v>
      </c>
      <c r="L6898" s="6" t="n">
        <f aca="false">H6898*K6898</f>
        <v>150</v>
      </c>
      <c r="M6898" s="14" t="s">
        <v>410</v>
      </c>
    </row>
    <row r="6899" customFormat="false" ht="15" hidden="false" customHeight="false" outlineLevel="0" collapsed="false">
      <c r="A6899" s="4" t="s">
        <v>386</v>
      </c>
      <c r="B6899" s="5" t="s">
        <v>387</v>
      </c>
      <c r="C6899" s="5" t="s">
        <v>388</v>
      </c>
      <c r="D6899" s="4" t="s">
        <v>370</v>
      </c>
      <c r="E6899" s="4" t="s">
        <v>7120</v>
      </c>
      <c r="F6899" s="4" t="s">
        <v>406</v>
      </c>
      <c r="G6899" s="4" t="s">
        <v>7121</v>
      </c>
      <c r="H6899" s="12" t="n">
        <v>1</v>
      </c>
      <c r="I6899" s="4" t="s">
        <v>7036</v>
      </c>
      <c r="J6899" s="4" t="s">
        <v>543</v>
      </c>
      <c r="K6899" s="13" t="n">
        <v>450</v>
      </c>
      <c r="L6899" s="6" t="n">
        <f aca="false">H6899*K6899</f>
        <v>450</v>
      </c>
      <c r="M6899" s="14" t="s">
        <v>410</v>
      </c>
    </row>
    <row r="6900" customFormat="false" ht="15" hidden="false" customHeight="false" outlineLevel="0" collapsed="false">
      <c r="A6900" s="4" t="s">
        <v>386</v>
      </c>
      <c r="B6900" s="5" t="s">
        <v>387</v>
      </c>
      <c r="C6900" s="5" t="s">
        <v>388</v>
      </c>
      <c r="D6900" s="4" t="s">
        <v>370</v>
      </c>
      <c r="E6900" s="4" t="s">
        <v>7122</v>
      </c>
      <c r="F6900" s="4" t="s">
        <v>406</v>
      </c>
      <c r="G6900" s="4" t="s">
        <v>7123</v>
      </c>
      <c r="H6900" s="12" t="n">
        <v>1</v>
      </c>
      <c r="I6900" s="4" t="s">
        <v>7036</v>
      </c>
      <c r="J6900" s="4" t="s">
        <v>543</v>
      </c>
      <c r="K6900" s="13" t="n">
        <v>200</v>
      </c>
      <c r="L6900" s="6" t="n">
        <f aca="false">H6900*K6900</f>
        <v>200</v>
      </c>
      <c r="M6900" s="14" t="s">
        <v>410</v>
      </c>
    </row>
    <row r="6901" customFormat="false" ht="15" hidden="false" customHeight="false" outlineLevel="0" collapsed="false">
      <c r="A6901" s="4" t="s">
        <v>386</v>
      </c>
      <c r="B6901" s="5" t="s">
        <v>387</v>
      </c>
      <c r="C6901" s="5" t="s">
        <v>388</v>
      </c>
      <c r="D6901" s="4" t="s">
        <v>370</v>
      </c>
      <c r="E6901" s="4" t="s">
        <v>7124</v>
      </c>
      <c r="F6901" s="4" t="s">
        <v>406</v>
      </c>
      <c r="G6901" s="4" t="s">
        <v>7125</v>
      </c>
      <c r="H6901" s="12" t="n">
        <v>1</v>
      </c>
      <c r="I6901" s="4" t="s">
        <v>7036</v>
      </c>
      <c r="J6901" s="4" t="s">
        <v>543</v>
      </c>
      <c r="K6901" s="13" t="n">
        <v>250</v>
      </c>
      <c r="L6901" s="6" t="n">
        <f aca="false">H6901*K6901</f>
        <v>250</v>
      </c>
      <c r="M6901" s="14" t="s">
        <v>410</v>
      </c>
    </row>
    <row r="6902" customFormat="false" ht="15" hidden="false" customHeight="false" outlineLevel="0" collapsed="false">
      <c r="A6902" s="4" t="s">
        <v>386</v>
      </c>
      <c r="B6902" s="5" t="s">
        <v>387</v>
      </c>
      <c r="C6902" s="5" t="s">
        <v>388</v>
      </c>
      <c r="D6902" s="4" t="s">
        <v>370</v>
      </c>
      <c r="E6902" s="4" t="s">
        <v>7126</v>
      </c>
      <c r="F6902" s="4" t="s">
        <v>406</v>
      </c>
      <c r="G6902" s="4" t="s">
        <v>7127</v>
      </c>
      <c r="H6902" s="12" t="n">
        <v>1</v>
      </c>
      <c r="I6902" s="4" t="s">
        <v>7036</v>
      </c>
      <c r="J6902" s="4" t="s">
        <v>543</v>
      </c>
      <c r="K6902" s="13" t="n">
        <v>450</v>
      </c>
      <c r="L6902" s="6" t="n">
        <f aca="false">H6902*K6902</f>
        <v>450</v>
      </c>
      <c r="M6902" s="14" t="s">
        <v>410</v>
      </c>
    </row>
    <row r="6903" customFormat="false" ht="15" hidden="false" customHeight="false" outlineLevel="0" collapsed="false">
      <c r="A6903" s="4" t="s">
        <v>386</v>
      </c>
      <c r="B6903" s="5" t="s">
        <v>387</v>
      </c>
      <c r="C6903" s="5" t="s">
        <v>388</v>
      </c>
      <c r="D6903" s="4" t="s">
        <v>370</v>
      </c>
      <c r="E6903" s="4" t="s">
        <v>7128</v>
      </c>
      <c r="F6903" s="4" t="s">
        <v>406</v>
      </c>
      <c r="G6903" s="4" t="s">
        <v>7129</v>
      </c>
      <c r="H6903" s="12" t="n">
        <v>2</v>
      </c>
      <c r="I6903" s="4" t="s">
        <v>7036</v>
      </c>
      <c r="J6903" s="4" t="s">
        <v>543</v>
      </c>
      <c r="K6903" s="13" t="n">
        <v>550</v>
      </c>
      <c r="L6903" s="6" t="n">
        <f aca="false">H6903*K6903</f>
        <v>1100</v>
      </c>
      <c r="M6903" s="14" t="s">
        <v>410</v>
      </c>
    </row>
    <row r="6904" customFormat="false" ht="15" hidden="false" customHeight="false" outlineLevel="0" collapsed="false">
      <c r="A6904" s="4" t="s">
        <v>386</v>
      </c>
      <c r="B6904" s="5" t="s">
        <v>387</v>
      </c>
      <c r="C6904" s="5" t="s">
        <v>388</v>
      </c>
      <c r="D6904" s="4" t="s">
        <v>370</v>
      </c>
      <c r="E6904" s="4" t="s">
        <v>7130</v>
      </c>
      <c r="F6904" s="4" t="s">
        <v>406</v>
      </c>
      <c r="G6904" s="4" t="s">
        <v>7131</v>
      </c>
      <c r="H6904" s="12" t="n">
        <v>1</v>
      </c>
      <c r="I6904" s="4" t="s">
        <v>7036</v>
      </c>
      <c r="J6904" s="4" t="s">
        <v>543</v>
      </c>
      <c r="K6904" s="13" t="n">
        <v>5500</v>
      </c>
      <c r="L6904" s="6" t="n">
        <f aca="false">H6904*K6904</f>
        <v>5500</v>
      </c>
      <c r="M6904" s="14" t="s">
        <v>410</v>
      </c>
    </row>
    <row r="6905" customFormat="false" ht="15" hidden="false" customHeight="false" outlineLevel="0" collapsed="false">
      <c r="A6905" s="4" t="s">
        <v>386</v>
      </c>
      <c r="B6905" s="5" t="s">
        <v>387</v>
      </c>
      <c r="C6905" s="5" t="s">
        <v>388</v>
      </c>
      <c r="D6905" s="4" t="s">
        <v>370</v>
      </c>
      <c r="E6905" s="4" t="s">
        <v>7132</v>
      </c>
      <c r="F6905" s="4" t="s">
        <v>406</v>
      </c>
      <c r="G6905" s="4" t="s">
        <v>7133</v>
      </c>
      <c r="H6905" s="12" t="n">
        <v>2</v>
      </c>
      <c r="I6905" s="4" t="s">
        <v>7036</v>
      </c>
      <c r="J6905" s="4" t="s">
        <v>543</v>
      </c>
      <c r="K6905" s="13" t="n">
        <v>350</v>
      </c>
      <c r="L6905" s="6" t="n">
        <f aca="false">H6905*K6905</f>
        <v>700</v>
      </c>
      <c r="M6905" s="14" t="s">
        <v>410</v>
      </c>
    </row>
    <row r="6906" customFormat="false" ht="15" hidden="false" customHeight="false" outlineLevel="0" collapsed="false">
      <c r="A6906" s="4" t="s">
        <v>386</v>
      </c>
      <c r="B6906" s="5" t="s">
        <v>387</v>
      </c>
      <c r="C6906" s="5" t="s">
        <v>388</v>
      </c>
      <c r="D6906" s="4" t="s">
        <v>370</v>
      </c>
      <c r="E6906" s="4" t="s">
        <v>7134</v>
      </c>
      <c r="F6906" s="4" t="s">
        <v>406</v>
      </c>
      <c r="G6906" s="4" t="s">
        <v>7135</v>
      </c>
      <c r="H6906" s="12" t="n">
        <v>1</v>
      </c>
      <c r="I6906" s="4" t="s">
        <v>7036</v>
      </c>
      <c r="J6906" s="4" t="s">
        <v>543</v>
      </c>
      <c r="K6906" s="13" t="n">
        <v>350</v>
      </c>
      <c r="L6906" s="6" t="n">
        <f aca="false">H6906*K6906</f>
        <v>350</v>
      </c>
      <c r="M6906" s="14" t="s">
        <v>410</v>
      </c>
    </row>
    <row r="6907" customFormat="false" ht="15" hidden="false" customHeight="false" outlineLevel="0" collapsed="false">
      <c r="A6907" s="4" t="s">
        <v>386</v>
      </c>
      <c r="B6907" s="5" t="s">
        <v>387</v>
      </c>
      <c r="C6907" s="5" t="s">
        <v>388</v>
      </c>
      <c r="D6907" s="4" t="s">
        <v>370</v>
      </c>
      <c r="E6907" s="4" t="s">
        <v>7136</v>
      </c>
      <c r="F6907" s="4" t="s">
        <v>406</v>
      </c>
      <c r="G6907" s="4" t="s">
        <v>7137</v>
      </c>
      <c r="H6907" s="12" t="n">
        <v>1</v>
      </c>
      <c r="I6907" s="4" t="s">
        <v>7036</v>
      </c>
      <c r="J6907" s="4" t="s">
        <v>543</v>
      </c>
      <c r="K6907" s="13" t="n">
        <v>350</v>
      </c>
      <c r="L6907" s="6" t="n">
        <f aca="false">H6907*K6907</f>
        <v>350</v>
      </c>
      <c r="M6907" s="14" t="s">
        <v>410</v>
      </c>
    </row>
    <row r="6908" customFormat="false" ht="15" hidden="false" customHeight="false" outlineLevel="0" collapsed="false">
      <c r="A6908" s="4" t="s">
        <v>386</v>
      </c>
      <c r="B6908" s="5" t="s">
        <v>387</v>
      </c>
      <c r="C6908" s="5" t="s">
        <v>388</v>
      </c>
      <c r="D6908" s="4" t="s">
        <v>370</v>
      </c>
      <c r="E6908" s="4" t="s">
        <v>7645</v>
      </c>
      <c r="F6908" s="4" t="s">
        <v>406</v>
      </c>
      <c r="G6908" s="4" t="s">
        <v>7139</v>
      </c>
      <c r="H6908" s="12" t="n">
        <v>1</v>
      </c>
      <c r="I6908" s="4" t="s">
        <v>7036</v>
      </c>
      <c r="J6908" s="4" t="s">
        <v>543</v>
      </c>
      <c r="K6908" s="13" t="n">
        <v>450</v>
      </c>
      <c r="L6908" s="6" t="n">
        <f aca="false">H6908*K6908</f>
        <v>450</v>
      </c>
      <c r="M6908" s="14" t="s">
        <v>410</v>
      </c>
    </row>
    <row r="6909" customFormat="false" ht="15" hidden="false" customHeight="false" outlineLevel="0" collapsed="false">
      <c r="A6909" s="4" t="s">
        <v>386</v>
      </c>
      <c r="B6909" s="5" t="s">
        <v>387</v>
      </c>
      <c r="C6909" s="5" t="s">
        <v>388</v>
      </c>
      <c r="D6909" s="4" t="s">
        <v>370</v>
      </c>
      <c r="E6909" s="4" t="s">
        <v>7646</v>
      </c>
      <c r="F6909" s="4" t="s">
        <v>406</v>
      </c>
      <c r="G6909" s="4" t="s">
        <v>7141</v>
      </c>
      <c r="H6909" s="12" t="n">
        <v>1</v>
      </c>
      <c r="I6909" s="4" t="s">
        <v>7036</v>
      </c>
      <c r="J6909" s="4" t="s">
        <v>543</v>
      </c>
      <c r="K6909" s="13" t="n">
        <v>350</v>
      </c>
      <c r="L6909" s="6" t="n">
        <f aca="false">H6909*K6909</f>
        <v>350</v>
      </c>
      <c r="M6909" s="14" t="s">
        <v>410</v>
      </c>
    </row>
    <row r="6910" customFormat="false" ht="15" hidden="false" customHeight="false" outlineLevel="0" collapsed="false">
      <c r="A6910" s="4" t="s">
        <v>386</v>
      </c>
      <c r="B6910" s="5" t="s">
        <v>387</v>
      </c>
      <c r="C6910" s="5" t="s">
        <v>388</v>
      </c>
      <c r="D6910" s="4" t="s">
        <v>370</v>
      </c>
      <c r="E6910" s="4" t="s">
        <v>7647</v>
      </c>
      <c r="F6910" s="4" t="s">
        <v>406</v>
      </c>
      <c r="G6910" s="4" t="s">
        <v>7143</v>
      </c>
      <c r="H6910" s="12" t="n">
        <v>1</v>
      </c>
      <c r="I6910" s="4" t="s">
        <v>7036</v>
      </c>
      <c r="J6910" s="4" t="s">
        <v>543</v>
      </c>
      <c r="K6910" s="13" t="n">
        <v>350</v>
      </c>
      <c r="L6910" s="6" t="n">
        <f aca="false">H6910*K6910</f>
        <v>350</v>
      </c>
      <c r="M6910" s="14" t="s">
        <v>410</v>
      </c>
    </row>
    <row r="6911" customFormat="false" ht="15" hidden="false" customHeight="false" outlineLevel="0" collapsed="false">
      <c r="A6911" s="4" t="s">
        <v>386</v>
      </c>
      <c r="B6911" s="5" t="s">
        <v>387</v>
      </c>
      <c r="C6911" s="5" t="s">
        <v>388</v>
      </c>
      <c r="D6911" s="4" t="s">
        <v>370</v>
      </c>
      <c r="E6911" s="4" t="s">
        <v>7648</v>
      </c>
      <c r="F6911" s="4" t="s">
        <v>406</v>
      </c>
      <c r="G6911" s="4" t="s">
        <v>7145</v>
      </c>
      <c r="H6911" s="12" t="n">
        <v>1</v>
      </c>
      <c r="I6911" s="4" t="s">
        <v>7036</v>
      </c>
      <c r="J6911" s="4" t="s">
        <v>543</v>
      </c>
      <c r="K6911" s="13" t="n">
        <v>450</v>
      </c>
      <c r="L6911" s="6" t="n">
        <f aca="false">H6911*K6911</f>
        <v>450</v>
      </c>
      <c r="M6911" s="14" t="s">
        <v>410</v>
      </c>
    </row>
    <row r="6912" customFormat="false" ht="15" hidden="false" customHeight="false" outlineLevel="0" collapsed="false">
      <c r="A6912" s="4" t="s">
        <v>386</v>
      </c>
      <c r="B6912" s="5" t="s">
        <v>387</v>
      </c>
      <c r="C6912" s="5" t="s">
        <v>388</v>
      </c>
      <c r="D6912" s="4" t="s">
        <v>370</v>
      </c>
      <c r="E6912" s="4" t="s">
        <v>7146</v>
      </c>
      <c r="F6912" s="4" t="s">
        <v>406</v>
      </c>
      <c r="G6912" s="4" t="s">
        <v>7147</v>
      </c>
      <c r="H6912" s="12" t="n">
        <v>1</v>
      </c>
      <c r="I6912" s="4" t="s">
        <v>7036</v>
      </c>
      <c r="J6912" s="4" t="s">
        <v>543</v>
      </c>
      <c r="K6912" s="13" t="n">
        <v>250</v>
      </c>
      <c r="L6912" s="6" t="n">
        <f aca="false">H6912*K6912</f>
        <v>250</v>
      </c>
      <c r="M6912" s="14" t="s">
        <v>410</v>
      </c>
    </row>
    <row r="6913" customFormat="false" ht="15" hidden="false" customHeight="false" outlineLevel="0" collapsed="false">
      <c r="A6913" s="4" t="s">
        <v>386</v>
      </c>
      <c r="B6913" s="5" t="s">
        <v>387</v>
      </c>
      <c r="C6913" s="5" t="s">
        <v>388</v>
      </c>
      <c r="D6913" s="4" t="s">
        <v>370</v>
      </c>
      <c r="E6913" s="4" t="s">
        <v>7148</v>
      </c>
      <c r="F6913" s="4" t="s">
        <v>406</v>
      </c>
      <c r="G6913" s="4" t="s">
        <v>7149</v>
      </c>
      <c r="H6913" s="12" t="n">
        <v>2</v>
      </c>
      <c r="I6913" s="4" t="s">
        <v>7036</v>
      </c>
      <c r="J6913" s="4" t="s">
        <v>416</v>
      </c>
      <c r="K6913" s="13" t="n">
        <v>1800</v>
      </c>
      <c r="L6913" s="6" t="n">
        <f aca="false">H6913*K6913</f>
        <v>3600</v>
      </c>
      <c r="M6913" s="14" t="s">
        <v>410</v>
      </c>
    </row>
    <row r="6914" customFormat="false" ht="15" hidden="false" customHeight="false" outlineLevel="0" collapsed="false">
      <c r="A6914" s="4" t="s">
        <v>386</v>
      </c>
      <c r="B6914" s="5" t="s">
        <v>387</v>
      </c>
      <c r="C6914" s="5" t="s">
        <v>388</v>
      </c>
      <c r="D6914" s="4" t="s">
        <v>370</v>
      </c>
      <c r="E6914" s="4" t="s">
        <v>7148</v>
      </c>
      <c r="F6914" s="4" t="s">
        <v>406</v>
      </c>
      <c r="G6914" s="4" t="s">
        <v>7149</v>
      </c>
      <c r="H6914" s="12" t="n">
        <v>2</v>
      </c>
      <c r="I6914" s="4" t="s">
        <v>7036</v>
      </c>
      <c r="J6914" s="4" t="s">
        <v>416</v>
      </c>
      <c r="K6914" s="13" t="n">
        <v>1800</v>
      </c>
      <c r="L6914" s="6" t="n">
        <f aca="false">H6914*K6914</f>
        <v>3600</v>
      </c>
      <c r="M6914" s="14" t="s">
        <v>410</v>
      </c>
    </row>
    <row r="6915" customFormat="false" ht="15" hidden="false" customHeight="false" outlineLevel="0" collapsed="false">
      <c r="A6915" s="4" t="s">
        <v>386</v>
      </c>
      <c r="B6915" s="5" t="s">
        <v>387</v>
      </c>
      <c r="C6915" s="5" t="s">
        <v>388</v>
      </c>
      <c r="D6915" s="4" t="s">
        <v>370</v>
      </c>
      <c r="E6915" s="4" t="s">
        <v>7150</v>
      </c>
      <c r="F6915" s="4" t="s">
        <v>406</v>
      </c>
      <c r="G6915" s="4" t="s">
        <v>7151</v>
      </c>
      <c r="H6915" s="12" t="n">
        <v>1</v>
      </c>
      <c r="I6915" s="4" t="s">
        <v>7036</v>
      </c>
      <c r="J6915" s="4" t="s">
        <v>416</v>
      </c>
      <c r="K6915" s="13" t="n">
        <v>450</v>
      </c>
      <c r="L6915" s="6" t="n">
        <f aca="false">H6915*K6915</f>
        <v>450</v>
      </c>
      <c r="M6915" s="14" t="s">
        <v>410</v>
      </c>
    </row>
    <row r="6916" customFormat="false" ht="15" hidden="false" customHeight="false" outlineLevel="0" collapsed="false">
      <c r="A6916" s="4" t="s">
        <v>386</v>
      </c>
      <c r="B6916" s="5" t="s">
        <v>387</v>
      </c>
      <c r="C6916" s="5" t="s">
        <v>388</v>
      </c>
      <c r="D6916" s="4" t="s">
        <v>370</v>
      </c>
      <c r="E6916" s="4" t="s">
        <v>7150</v>
      </c>
      <c r="F6916" s="4" t="s">
        <v>406</v>
      </c>
      <c r="G6916" s="4" t="s">
        <v>7151</v>
      </c>
      <c r="H6916" s="12" t="n">
        <v>1</v>
      </c>
      <c r="I6916" s="4" t="s">
        <v>7036</v>
      </c>
      <c r="J6916" s="4" t="s">
        <v>416</v>
      </c>
      <c r="K6916" s="13" t="n">
        <v>450</v>
      </c>
      <c r="L6916" s="6" t="n">
        <f aca="false">H6916*K6916</f>
        <v>450</v>
      </c>
      <c r="M6916" s="14" t="s">
        <v>410</v>
      </c>
    </row>
    <row r="6917" customFormat="false" ht="15" hidden="false" customHeight="false" outlineLevel="0" collapsed="false">
      <c r="A6917" s="4" t="s">
        <v>386</v>
      </c>
      <c r="B6917" s="5" t="s">
        <v>387</v>
      </c>
      <c r="C6917" s="5" t="s">
        <v>388</v>
      </c>
      <c r="D6917" s="4" t="s">
        <v>370</v>
      </c>
      <c r="E6917" s="4" t="s">
        <v>7649</v>
      </c>
      <c r="F6917" s="4" t="s">
        <v>406</v>
      </c>
      <c r="G6917" s="4" t="s">
        <v>7153</v>
      </c>
      <c r="H6917" s="12" t="n">
        <v>1</v>
      </c>
      <c r="I6917" s="4" t="s">
        <v>7036</v>
      </c>
      <c r="J6917" s="4" t="s">
        <v>416</v>
      </c>
      <c r="K6917" s="13" t="n">
        <v>450</v>
      </c>
      <c r="L6917" s="6" t="n">
        <f aca="false">H6917*K6917</f>
        <v>450</v>
      </c>
      <c r="M6917" s="14" t="s">
        <v>410</v>
      </c>
    </row>
    <row r="6918" customFormat="false" ht="15" hidden="false" customHeight="false" outlineLevel="0" collapsed="false">
      <c r="A6918" s="4" t="s">
        <v>386</v>
      </c>
      <c r="B6918" s="5" t="s">
        <v>387</v>
      </c>
      <c r="C6918" s="5" t="s">
        <v>388</v>
      </c>
      <c r="D6918" s="4" t="s">
        <v>370</v>
      </c>
      <c r="E6918" s="4" t="s">
        <v>7649</v>
      </c>
      <c r="F6918" s="4" t="s">
        <v>406</v>
      </c>
      <c r="G6918" s="4" t="s">
        <v>7153</v>
      </c>
      <c r="H6918" s="12" t="n">
        <v>1</v>
      </c>
      <c r="I6918" s="4" t="s">
        <v>7036</v>
      </c>
      <c r="J6918" s="4" t="s">
        <v>416</v>
      </c>
      <c r="K6918" s="13" t="n">
        <v>450</v>
      </c>
      <c r="L6918" s="6" t="n">
        <f aca="false">H6918*K6918</f>
        <v>450</v>
      </c>
      <c r="M6918" s="14" t="s">
        <v>410</v>
      </c>
    </row>
    <row r="6919" customFormat="false" ht="15" hidden="false" customHeight="false" outlineLevel="0" collapsed="false">
      <c r="A6919" s="4" t="s">
        <v>386</v>
      </c>
      <c r="B6919" s="5" t="s">
        <v>387</v>
      </c>
      <c r="C6919" s="5" t="s">
        <v>388</v>
      </c>
      <c r="D6919" s="4" t="s">
        <v>370</v>
      </c>
      <c r="E6919" s="4" t="s">
        <v>7650</v>
      </c>
      <c r="F6919" s="4" t="s">
        <v>406</v>
      </c>
      <c r="G6919" s="4" t="s">
        <v>7155</v>
      </c>
      <c r="H6919" s="12" t="n">
        <v>1</v>
      </c>
      <c r="I6919" s="4" t="s">
        <v>7036</v>
      </c>
      <c r="J6919" s="4" t="s">
        <v>543</v>
      </c>
      <c r="K6919" s="13" t="n">
        <v>300</v>
      </c>
      <c r="L6919" s="6" t="n">
        <f aca="false">H6919*K6919</f>
        <v>300</v>
      </c>
      <c r="M6919" s="14" t="s">
        <v>410</v>
      </c>
    </row>
    <row r="6920" customFormat="false" ht="15" hidden="false" customHeight="false" outlineLevel="0" collapsed="false">
      <c r="A6920" s="4" t="s">
        <v>386</v>
      </c>
      <c r="B6920" s="5" t="s">
        <v>387</v>
      </c>
      <c r="C6920" s="5" t="s">
        <v>388</v>
      </c>
      <c r="D6920" s="4" t="s">
        <v>370</v>
      </c>
      <c r="E6920" s="4" t="s">
        <v>7156</v>
      </c>
      <c r="F6920" s="4" t="s">
        <v>406</v>
      </c>
      <c r="G6920" s="4" t="s">
        <v>7157</v>
      </c>
      <c r="H6920" s="12" t="n">
        <v>1</v>
      </c>
      <c r="I6920" s="4" t="s">
        <v>7036</v>
      </c>
      <c r="J6920" s="4" t="s">
        <v>543</v>
      </c>
      <c r="K6920" s="13" t="n">
        <v>650</v>
      </c>
      <c r="L6920" s="6" t="n">
        <f aca="false">H6920*K6920</f>
        <v>650</v>
      </c>
      <c r="M6920" s="14" t="s">
        <v>410</v>
      </c>
    </row>
    <row r="6921" customFormat="false" ht="15" hidden="false" customHeight="false" outlineLevel="0" collapsed="false">
      <c r="A6921" s="4" t="s">
        <v>386</v>
      </c>
      <c r="B6921" s="5" t="s">
        <v>387</v>
      </c>
      <c r="C6921" s="5" t="s">
        <v>388</v>
      </c>
      <c r="D6921" s="4" t="s">
        <v>370</v>
      </c>
      <c r="E6921" s="4" t="s">
        <v>7651</v>
      </c>
      <c r="F6921" s="4" t="s">
        <v>406</v>
      </c>
      <c r="G6921" s="4" t="s">
        <v>7159</v>
      </c>
      <c r="H6921" s="12" t="n">
        <v>1</v>
      </c>
      <c r="I6921" s="4" t="s">
        <v>7036</v>
      </c>
      <c r="J6921" s="4" t="s">
        <v>475</v>
      </c>
      <c r="K6921" s="13" t="n">
        <v>80</v>
      </c>
      <c r="L6921" s="6" t="n">
        <f aca="false">H6921*K6921</f>
        <v>80</v>
      </c>
      <c r="M6921" s="14" t="s">
        <v>410</v>
      </c>
    </row>
    <row r="6922" customFormat="false" ht="15" hidden="false" customHeight="false" outlineLevel="0" collapsed="false">
      <c r="A6922" s="4" t="s">
        <v>386</v>
      </c>
      <c r="B6922" s="5" t="s">
        <v>387</v>
      </c>
      <c r="C6922" s="5" t="s">
        <v>388</v>
      </c>
      <c r="D6922" s="4" t="s">
        <v>370</v>
      </c>
      <c r="E6922" s="4" t="s">
        <v>7160</v>
      </c>
      <c r="F6922" s="4" t="s">
        <v>406</v>
      </c>
      <c r="G6922" s="4" t="s">
        <v>7161</v>
      </c>
      <c r="H6922" s="12" t="n">
        <v>1</v>
      </c>
      <c r="I6922" s="4" t="s">
        <v>7036</v>
      </c>
      <c r="J6922" s="4" t="s">
        <v>475</v>
      </c>
      <c r="K6922" s="13" t="n">
        <v>120</v>
      </c>
      <c r="L6922" s="6" t="n">
        <f aca="false">H6922*K6922</f>
        <v>120</v>
      </c>
      <c r="M6922" s="14" t="s">
        <v>410</v>
      </c>
    </row>
    <row r="6923" customFormat="false" ht="15" hidden="false" customHeight="false" outlineLevel="0" collapsed="false">
      <c r="A6923" s="4" t="s">
        <v>386</v>
      </c>
      <c r="B6923" s="5" t="s">
        <v>387</v>
      </c>
      <c r="C6923" s="5" t="s">
        <v>388</v>
      </c>
      <c r="D6923" s="4" t="s">
        <v>370</v>
      </c>
      <c r="E6923" s="4" t="s">
        <v>7162</v>
      </c>
      <c r="F6923" s="4" t="s">
        <v>406</v>
      </c>
      <c r="G6923" s="4" t="s">
        <v>7163</v>
      </c>
      <c r="H6923" s="12" t="n">
        <v>1</v>
      </c>
      <c r="I6923" s="4" t="s">
        <v>7036</v>
      </c>
      <c r="J6923" s="4" t="s">
        <v>475</v>
      </c>
      <c r="K6923" s="13" t="n">
        <v>90</v>
      </c>
      <c r="L6923" s="6" t="n">
        <f aca="false">H6923*K6923</f>
        <v>90</v>
      </c>
      <c r="M6923" s="14" t="s">
        <v>410</v>
      </c>
    </row>
    <row r="6924" customFormat="false" ht="15" hidden="false" customHeight="false" outlineLevel="0" collapsed="false">
      <c r="A6924" s="4" t="s">
        <v>386</v>
      </c>
      <c r="B6924" s="5" t="s">
        <v>387</v>
      </c>
      <c r="C6924" s="5" t="s">
        <v>388</v>
      </c>
      <c r="D6924" s="4" t="s">
        <v>370</v>
      </c>
      <c r="E6924" s="4" t="s">
        <v>7652</v>
      </c>
      <c r="F6924" s="4" t="s">
        <v>406</v>
      </c>
      <c r="G6924" s="4" t="s">
        <v>7165</v>
      </c>
      <c r="H6924" s="12" t="n">
        <v>1</v>
      </c>
      <c r="I6924" s="4" t="s">
        <v>7036</v>
      </c>
      <c r="J6924" s="4" t="s">
        <v>475</v>
      </c>
      <c r="K6924" s="13" t="n">
        <v>120</v>
      </c>
      <c r="L6924" s="6" t="n">
        <f aca="false">H6924*K6924</f>
        <v>120</v>
      </c>
      <c r="M6924" s="14" t="s">
        <v>410</v>
      </c>
    </row>
    <row r="6925" customFormat="false" ht="15" hidden="false" customHeight="false" outlineLevel="0" collapsed="false">
      <c r="A6925" s="4" t="s">
        <v>386</v>
      </c>
      <c r="B6925" s="5" t="s">
        <v>387</v>
      </c>
      <c r="C6925" s="5" t="s">
        <v>388</v>
      </c>
      <c r="D6925" s="4" t="s">
        <v>370</v>
      </c>
      <c r="E6925" s="4" t="s">
        <v>7166</v>
      </c>
      <c r="F6925" s="4" t="s">
        <v>406</v>
      </c>
      <c r="G6925" s="4" t="s">
        <v>7167</v>
      </c>
      <c r="H6925" s="12" t="n">
        <v>1</v>
      </c>
      <c r="I6925" s="4" t="s">
        <v>7036</v>
      </c>
      <c r="J6925" s="4" t="s">
        <v>543</v>
      </c>
      <c r="K6925" s="13" t="n">
        <v>250</v>
      </c>
      <c r="L6925" s="6" t="n">
        <f aca="false">H6925*K6925</f>
        <v>250</v>
      </c>
      <c r="M6925" s="14" t="s">
        <v>410</v>
      </c>
    </row>
    <row r="6926" customFormat="false" ht="15" hidden="false" customHeight="false" outlineLevel="0" collapsed="false">
      <c r="A6926" s="4" t="s">
        <v>386</v>
      </c>
      <c r="B6926" s="5" t="s">
        <v>387</v>
      </c>
      <c r="C6926" s="5" t="s">
        <v>388</v>
      </c>
      <c r="D6926" s="4" t="s">
        <v>370</v>
      </c>
      <c r="E6926" s="4" t="s">
        <v>7168</v>
      </c>
      <c r="F6926" s="4" t="s">
        <v>406</v>
      </c>
      <c r="G6926" s="4" t="s">
        <v>7169</v>
      </c>
      <c r="H6926" s="12" t="n">
        <v>1</v>
      </c>
      <c r="I6926" s="4" t="s">
        <v>7036</v>
      </c>
      <c r="J6926" s="4" t="s">
        <v>543</v>
      </c>
      <c r="K6926" s="13" t="n">
        <v>150</v>
      </c>
      <c r="L6926" s="6" t="n">
        <f aca="false">H6926*K6926</f>
        <v>150</v>
      </c>
      <c r="M6926" s="14" t="s">
        <v>410</v>
      </c>
    </row>
    <row r="6927" customFormat="false" ht="15" hidden="false" customHeight="false" outlineLevel="0" collapsed="false">
      <c r="A6927" s="4" t="s">
        <v>386</v>
      </c>
      <c r="B6927" s="5" t="s">
        <v>387</v>
      </c>
      <c r="C6927" s="5" t="s">
        <v>388</v>
      </c>
      <c r="D6927" s="4" t="s">
        <v>370</v>
      </c>
      <c r="E6927" s="4" t="s">
        <v>7653</v>
      </c>
      <c r="F6927" s="4" t="s">
        <v>406</v>
      </c>
      <c r="G6927" s="4" t="s">
        <v>7171</v>
      </c>
      <c r="H6927" s="12" t="n">
        <v>1</v>
      </c>
      <c r="I6927" s="4" t="s">
        <v>7036</v>
      </c>
      <c r="J6927" s="4" t="s">
        <v>543</v>
      </c>
      <c r="K6927" s="13" t="n">
        <v>250</v>
      </c>
      <c r="L6927" s="6" t="n">
        <f aca="false">H6927*K6927</f>
        <v>250</v>
      </c>
      <c r="M6927" s="14" t="s">
        <v>410</v>
      </c>
    </row>
    <row r="6928" customFormat="false" ht="15" hidden="false" customHeight="false" outlineLevel="0" collapsed="false">
      <c r="A6928" s="4" t="s">
        <v>386</v>
      </c>
      <c r="B6928" s="5" t="s">
        <v>387</v>
      </c>
      <c r="C6928" s="5" t="s">
        <v>388</v>
      </c>
      <c r="D6928" s="4" t="s">
        <v>370</v>
      </c>
      <c r="E6928" s="4" t="s">
        <v>7172</v>
      </c>
      <c r="F6928" s="4" t="s">
        <v>406</v>
      </c>
      <c r="G6928" s="4" t="s">
        <v>7173</v>
      </c>
      <c r="H6928" s="12" t="n">
        <v>1</v>
      </c>
      <c r="I6928" s="4" t="s">
        <v>7036</v>
      </c>
      <c r="J6928" s="4" t="s">
        <v>416</v>
      </c>
      <c r="K6928" s="13" t="n">
        <v>450</v>
      </c>
      <c r="L6928" s="6" t="n">
        <f aca="false">H6928*K6928</f>
        <v>450</v>
      </c>
      <c r="M6928" s="14" t="s">
        <v>410</v>
      </c>
    </row>
    <row r="6929" customFormat="false" ht="15" hidden="false" customHeight="false" outlineLevel="0" collapsed="false">
      <c r="A6929" s="4" t="s">
        <v>386</v>
      </c>
      <c r="B6929" s="5" t="s">
        <v>387</v>
      </c>
      <c r="C6929" s="5" t="s">
        <v>388</v>
      </c>
      <c r="D6929" s="4" t="s">
        <v>370</v>
      </c>
      <c r="E6929" s="4" t="s">
        <v>7174</v>
      </c>
      <c r="F6929" s="4" t="s">
        <v>406</v>
      </c>
      <c r="G6929" s="4" t="s">
        <v>7175</v>
      </c>
      <c r="H6929" s="12" t="n">
        <v>2</v>
      </c>
      <c r="I6929" s="4" t="s">
        <v>7036</v>
      </c>
      <c r="J6929" s="4" t="s">
        <v>543</v>
      </c>
      <c r="K6929" s="13" t="n">
        <v>450</v>
      </c>
      <c r="L6929" s="6" t="n">
        <f aca="false">H6929*K6929</f>
        <v>900</v>
      </c>
      <c r="M6929" s="14" t="s">
        <v>410</v>
      </c>
    </row>
    <row r="6930" customFormat="false" ht="15" hidden="false" customHeight="false" outlineLevel="0" collapsed="false">
      <c r="A6930" s="4" t="s">
        <v>386</v>
      </c>
      <c r="B6930" s="5" t="s">
        <v>387</v>
      </c>
      <c r="C6930" s="5" t="s">
        <v>388</v>
      </c>
      <c r="D6930" s="4" t="s">
        <v>370</v>
      </c>
      <c r="E6930" s="4" t="s">
        <v>7176</v>
      </c>
      <c r="F6930" s="4" t="s">
        <v>406</v>
      </c>
      <c r="G6930" s="4" t="s">
        <v>7177</v>
      </c>
      <c r="H6930" s="12" t="n">
        <v>2</v>
      </c>
      <c r="I6930" s="4" t="s">
        <v>7036</v>
      </c>
      <c r="J6930" s="4" t="s">
        <v>543</v>
      </c>
      <c r="K6930" s="13" t="n">
        <v>400</v>
      </c>
      <c r="L6930" s="6" t="n">
        <f aca="false">H6930*K6930</f>
        <v>800</v>
      </c>
      <c r="M6930" s="14" t="s">
        <v>410</v>
      </c>
    </row>
    <row r="6931" customFormat="false" ht="15" hidden="false" customHeight="false" outlineLevel="0" collapsed="false">
      <c r="A6931" s="4" t="s">
        <v>386</v>
      </c>
      <c r="B6931" s="5" t="s">
        <v>387</v>
      </c>
      <c r="C6931" s="5" t="s">
        <v>388</v>
      </c>
      <c r="D6931" s="4" t="s">
        <v>370</v>
      </c>
      <c r="E6931" s="4" t="s">
        <v>7180</v>
      </c>
      <c r="F6931" s="4" t="s">
        <v>406</v>
      </c>
      <c r="G6931" s="4" t="s">
        <v>7181</v>
      </c>
      <c r="H6931" s="12" t="n">
        <v>1</v>
      </c>
      <c r="I6931" s="4" t="s">
        <v>7036</v>
      </c>
      <c r="J6931" s="4" t="s">
        <v>543</v>
      </c>
      <c r="K6931" s="13" t="n">
        <v>350</v>
      </c>
      <c r="L6931" s="6" t="n">
        <f aca="false">H6931*K6931</f>
        <v>350</v>
      </c>
      <c r="M6931" s="14" t="s">
        <v>410</v>
      </c>
    </row>
    <row r="6932" customFormat="false" ht="15" hidden="false" customHeight="false" outlineLevel="0" collapsed="false">
      <c r="A6932" s="4" t="s">
        <v>386</v>
      </c>
      <c r="B6932" s="5" t="s">
        <v>387</v>
      </c>
      <c r="C6932" s="5" t="s">
        <v>388</v>
      </c>
      <c r="D6932" s="4" t="s">
        <v>370</v>
      </c>
      <c r="E6932" s="4" t="s">
        <v>7182</v>
      </c>
      <c r="F6932" s="4" t="s">
        <v>406</v>
      </c>
      <c r="G6932" s="4" t="s">
        <v>7183</v>
      </c>
      <c r="H6932" s="12" t="n">
        <v>1</v>
      </c>
      <c r="I6932" s="4" t="s">
        <v>7036</v>
      </c>
      <c r="J6932" s="4" t="s">
        <v>543</v>
      </c>
      <c r="K6932" s="13" t="n">
        <v>14000</v>
      </c>
      <c r="L6932" s="6" t="n">
        <f aca="false">H6932*K6932</f>
        <v>14000</v>
      </c>
      <c r="M6932" s="14" t="s">
        <v>410</v>
      </c>
    </row>
    <row r="6933" customFormat="false" ht="15" hidden="false" customHeight="false" outlineLevel="0" collapsed="false">
      <c r="A6933" s="4" t="s">
        <v>386</v>
      </c>
      <c r="B6933" s="5" t="s">
        <v>387</v>
      </c>
      <c r="C6933" s="5" t="s">
        <v>388</v>
      </c>
      <c r="D6933" s="4" t="s">
        <v>370</v>
      </c>
      <c r="E6933" s="4" t="s">
        <v>7184</v>
      </c>
      <c r="F6933" s="4" t="s">
        <v>406</v>
      </c>
      <c r="G6933" s="4" t="s">
        <v>7185</v>
      </c>
      <c r="H6933" s="12" t="n">
        <v>1</v>
      </c>
      <c r="I6933" s="4" t="s">
        <v>7036</v>
      </c>
      <c r="J6933" s="4" t="s">
        <v>416</v>
      </c>
      <c r="K6933" s="13" t="n">
        <v>1500</v>
      </c>
      <c r="L6933" s="6" t="n">
        <f aca="false">H6933*K6933</f>
        <v>1500</v>
      </c>
      <c r="M6933" s="14" t="s">
        <v>410</v>
      </c>
    </row>
    <row r="6934" customFormat="false" ht="15" hidden="false" customHeight="false" outlineLevel="0" collapsed="false">
      <c r="A6934" s="4" t="s">
        <v>386</v>
      </c>
      <c r="B6934" s="5" t="s">
        <v>387</v>
      </c>
      <c r="C6934" s="5" t="s">
        <v>388</v>
      </c>
      <c r="D6934" s="4" t="s">
        <v>370</v>
      </c>
      <c r="E6934" s="4" t="s">
        <v>7186</v>
      </c>
      <c r="F6934" s="4" t="s">
        <v>406</v>
      </c>
      <c r="G6934" s="4" t="s">
        <v>7187</v>
      </c>
      <c r="H6934" s="12" t="n">
        <v>1</v>
      </c>
      <c r="I6934" s="4" t="s">
        <v>7036</v>
      </c>
      <c r="J6934" s="4" t="s">
        <v>416</v>
      </c>
      <c r="K6934" s="13" t="n">
        <v>450</v>
      </c>
      <c r="L6934" s="6" t="n">
        <f aca="false">H6934*K6934</f>
        <v>450</v>
      </c>
      <c r="M6934" s="14" t="s">
        <v>410</v>
      </c>
    </row>
    <row r="6935" customFormat="false" ht="15" hidden="false" customHeight="false" outlineLevel="0" collapsed="false">
      <c r="A6935" s="4" t="s">
        <v>386</v>
      </c>
      <c r="B6935" s="5" t="s">
        <v>387</v>
      </c>
      <c r="C6935" s="5" t="s">
        <v>388</v>
      </c>
      <c r="D6935" s="4" t="s">
        <v>370</v>
      </c>
      <c r="E6935" s="4" t="s">
        <v>7188</v>
      </c>
      <c r="F6935" s="4" t="s">
        <v>406</v>
      </c>
      <c r="G6935" s="4" t="s">
        <v>7189</v>
      </c>
      <c r="H6935" s="12" t="n">
        <v>1</v>
      </c>
      <c r="I6935" s="4" t="s">
        <v>7036</v>
      </c>
      <c r="J6935" s="4" t="s">
        <v>543</v>
      </c>
      <c r="K6935" s="13" t="n">
        <v>350</v>
      </c>
      <c r="L6935" s="6" t="n">
        <f aca="false">H6935*K6935</f>
        <v>350</v>
      </c>
      <c r="M6935" s="14" t="s">
        <v>410</v>
      </c>
    </row>
    <row r="6936" customFormat="false" ht="15" hidden="false" customHeight="false" outlineLevel="0" collapsed="false">
      <c r="A6936" s="4" t="s">
        <v>386</v>
      </c>
      <c r="B6936" s="5" t="s">
        <v>387</v>
      </c>
      <c r="C6936" s="5" t="s">
        <v>388</v>
      </c>
      <c r="D6936" s="4" t="s">
        <v>370</v>
      </c>
      <c r="E6936" s="4" t="s">
        <v>7190</v>
      </c>
      <c r="F6936" s="4" t="s">
        <v>406</v>
      </c>
      <c r="G6936" s="4" t="s">
        <v>943</v>
      </c>
      <c r="H6936" s="12" t="n">
        <v>1</v>
      </c>
      <c r="I6936" s="4" t="s">
        <v>7036</v>
      </c>
      <c r="J6936" s="4" t="s">
        <v>409</v>
      </c>
      <c r="K6936" s="13" t="n">
        <v>180</v>
      </c>
      <c r="L6936" s="6" t="n">
        <f aca="false">H6936*K6936</f>
        <v>180</v>
      </c>
      <c r="M6936" s="14" t="s">
        <v>410</v>
      </c>
    </row>
    <row r="6937" customFormat="false" ht="15" hidden="false" customHeight="false" outlineLevel="0" collapsed="false">
      <c r="A6937" s="4" t="s">
        <v>386</v>
      </c>
      <c r="B6937" s="5" t="s">
        <v>387</v>
      </c>
      <c r="C6937" s="5" t="s">
        <v>388</v>
      </c>
      <c r="D6937" s="4" t="s">
        <v>370</v>
      </c>
      <c r="E6937" s="4" t="s">
        <v>7191</v>
      </c>
      <c r="F6937" s="4" t="s">
        <v>406</v>
      </c>
      <c r="G6937" s="4" t="s">
        <v>7192</v>
      </c>
      <c r="H6937" s="12" t="n">
        <v>1</v>
      </c>
      <c r="I6937" s="4" t="s">
        <v>7036</v>
      </c>
      <c r="J6937" s="4" t="s">
        <v>543</v>
      </c>
      <c r="K6937" s="13" t="n">
        <v>1500</v>
      </c>
      <c r="L6937" s="6" t="n">
        <f aca="false">H6937*K6937</f>
        <v>1500</v>
      </c>
      <c r="M6937" s="14" t="s">
        <v>410</v>
      </c>
    </row>
    <row r="6938" customFormat="false" ht="15" hidden="false" customHeight="false" outlineLevel="0" collapsed="false">
      <c r="A6938" s="4" t="s">
        <v>386</v>
      </c>
      <c r="B6938" s="5" t="s">
        <v>387</v>
      </c>
      <c r="C6938" s="5" t="s">
        <v>388</v>
      </c>
      <c r="D6938" s="4" t="s">
        <v>370</v>
      </c>
      <c r="E6938" s="4" t="s">
        <v>7193</v>
      </c>
      <c r="F6938" s="4" t="s">
        <v>406</v>
      </c>
      <c r="G6938" s="4" t="s">
        <v>7194</v>
      </c>
      <c r="H6938" s="12" t="n">
        <v>1</v>
      </c>
      <c r="I6938" s="4" t="s">
        <v>7036</v>
      </c>
      <c r="J6938" s="4" t="s">
        <v>543</v>
      </c>
      <c r="K6938" s="13" t="n">
        <v>450</v>
      </c>
      <c r="L6938" s="6" t="n">
        <f aca="false">H6938*K6938</f>
        <v>450</v>
      </c>
      <c r="M6938" s="14" t="s">
        <v>410</v>
      </c>
    </row>
    <row r="6939" customFormat="false" ht="15" hidden="false" customHeight="false" outlineLevel="0" collapsed="false">
      <c r="A6939" s="4" t="s">
        <v>386</v>
      </c>
      <c r="B6939" s="5" t="s">
        <v>387</v>
      </c>
      <c r="C6939" s="5" t="s">
        <v>388</v>
      </c>
      <c r="D6939" s="4" t="s">
        <v>370</v>
      </c>
      <c r="E6939" s="4" t="s">
        <v>7195</v>
      </c>
      <c r="F6939" s="4" t="s">
        <v>406</v>
      </c>
      <c r="G6939" s="4" t="s">
        <v>7196</v>
      </c>
      <c r="H6939" s="12" t="n">
        <v>1</v>
      </c>
      <c r="I6939" s="4" t="s">
        <v>7036</v>
      </c>
      <c r="J6939" s="4" t="s">
        <v>543</v>
      </c>
      <c r="K6939" s="13" t="n">
        <v>450</v>
      </c>
      <c r="L6939" s="6" t="n">
        <f aca="false">H6939*K6939</f>
        <v>450</v>
      </c>
      <c r="M6939" s="14" t="s">
        <v>410</v>
      </c>
    </row>
    <row r="6940" customFormat="false" ht="15" hidden="false" customHeight="false" outlineLevel="0" collapsed="false">
      <c r="A6940" s="4" t="s">
        <v>386</v>
      </c>
      <c r="B6940" s="5" t="s">
        <v>387</v>
      </c>
      <c r="C6940" s="5" t="s">
        <v>388</v>
      </c>
      <c r="D6940" s="4" t="s">
        <v>370</v>
      </c>
      <c r="E6940" s="4" t="s">
        <v>7197</v>
      </c>
      <c r="F6940" s="4" t="s">
        <v>406</v>
      </c>
      <c r="G6940" s="4" t="s">
        <v>7198</v>
      </c>
      <c r="H6940" s="12" t="n">
        <v>1</v>
      </c>
      <c r="I6940" s="4" t="s">
        <v>7036</v>
      </c>
      <c r="J6940" s="4" t="s">
        <v>543</v>
      </c>
      <c r="K6940" s="13" t="n">
        <v>180</v>
      </c>
      <c r="L6940" s="6" t="n">
        <f aca="false">H6940*K6940</f>
        <v>180</v>
      </c>
      <c r="M6940" s="14" t="s">
        <v>410</v>
      </c>
    </row>
    <row r="6941" customFormat="false" ht="15" hidden="false" customHeight="false" outlineLevel="0" collapsed="false">
      <c r="A6941" s="4" t="s">
        <v>386</v>
      </c>
      <c r="B6941" s="5" t="s">
        <v>387</v>
      </c>
      <c r="C6941" s="5" t="s">
        <v>388</v>
      </c>
      <c r="D6941" s="4" t="s">
        <v>370</v>
      </c>
      <c r="E6941" s="4" t="s">
        <v>7654</v>
      </c>
      <c r="F6941" s="4" t="s">
        <v>406</v>
      </c>
      <c r="G6941" s="4" t="s">
        <v>7200</v>
      </c>
      <c r="H6941" s="12" t="n">
        <v>15</v>
      </c>
      <c r="I6941" s="4" t="s">
        <v>7036</v>
      </c>
      <c r="J6941" s="4" t="s">
        <v>543</v>
      </c>
      <c r="K6941" s="13" t="n">
        <v>30</v>
      </c>
      <c r="L6941" s="6" t="n">
        <f aca="false">H6941*K6941</f>
        <v>450</v>
      </c>
      <c r="M6941" s="14" t="s">
        <v>410</v>
      </c>
    </row>
    <row r="6942" customFormat="false" ht="15" hidden="false" customHeight="false" outlineLevel="0" collapsed="false">
      <c r="A6942" s="4" t="s">
        <v>386</v>
      </c>
      <c r="B6942" s="5" t="s">
        <v>387</v>
      </c>
      <c r="C6942" s="5" t="s">
        <v>388</v>
      </c>
      <c r="D6942" s="4" t="s">
        <v>370</v>
      </c>
      <c r="E6942" s="4" t="s">
        <v>7201</v>
      </c>
      <c r="F6942" s="4" t="s">
        <v>406</v>
      </c>
      <c r="G6942" s="4" t="s">
        <v>7202</v>
      </c>
      <c r="H6942" s="12" t="n">
        <v>1</v>
      </c>
      <c r="I6942" s="4" t="s">
        <v>7036</v>
      </c>
      <c r="J6942" s="4" t="s">
        <v>416</v>
      </c>
      <c r="K6942" s="13" t="n">
        <v>900</v>
      </c>
      <c r="L6942" s="6" t="n">
        <f aca="false">H6942*K6942</f>
        <v>900</v>
      </c>
      <c r="M6942" s="14" t="s">
        <v>410</v>
      </c>
    </row>
    <row r="6943" customFormat="false" ht="15" hidden="false" customHeight="false" outlineLevel="0" collapsed="false">
      <c r="A6943" s="4" t="s">
        <v>386</v>
      </c>
      <c r="B6943" s="5" t="s">
        <v>387</v>
      </c>
      <c r="C6943" s="5" t="s">
        <v>388</v>
      </c>
      <c r="D6943" s="4" t="s">
        <v>370</v>
      </c>
      <c r="E6943" s="4" t="s">
        <v>7203</v>
      </c>
      <c r="F6943" s="4" t="s">
        <v>406</v>
      </c>
      <c r="G6943" s="4" t="s">
        <v>7204</v>
      </c>
      <c r="H6943" s="12" t="n">
        <v>1</v>
      </c>
      <c r="I6943" s="4" t="s">
        <v>7036</v>
      </c>
      <c r="J6943" s="4" t="s">
        <v>543</v>
      </c>
      <c r="K6943" s="13" t="n">
        <v>450</v>
      </c>
      <c r="L6943" s="6" t="n">
        <f aca="false">H6943*K6943</f>
        <v>450</v>
      </c>
      <c r="M6943" s="14" t="s">
        <v>410</v>
      </c>
    </row>
    <row r="6944" customFormat="false" ht="15" hidden="false" customHeight="false" outlineLevel="0" collapsed="false">
      <c r="A6944" s="4" t="s">
        <v>386</v>
      </c>
      <c r="B6944" s="5" t="s">
        <v>387</v>
      </c>
      <c r="C6944" s="5" t="s">
        <v>388</v>
      </c>
      <c r="D6944" s="4" t="s">
        <v>370</v>
      </c>
      <c r="E6944" s="4" t="s">
        <v>7205</v>
      </c>
      <c r="F6944" s="4" t="s">
        <v>406</v>
      </c>
      <c r="G6944" s="4" t="s">
        <v>7206</v>
      </c>
      <c r="H6944" s="12" t="n">
        <v>1</v>
      </c>
      <c r="I6944" s="4" t="s">
        <v>7036</v>
      </c>
      <c r="J6944" s="4" t="s">
        <v>543</v>
      </c>
      <c r="K6944" s="13" t="n">
        <v>300</v>
      </c>
      <c r="L6944" s="6" t="n">
        <f aca="false">H6944*K6944</f>
        <v>300</v>
      </c>
      <c r="M6944" s="14" t="s">
        <v>410</v>
      </c>
    </row>
    <row r="6945" customFormat="false" ht="15" hidden="false" customHeight="false" outlineLevel="0" collapsed="false">
      <c r="A6945" s="4" t="s">
        <v>386</v>
      </c>
      <c r="B6945" s="5" t="s">
        <v>387</v>
      </c>
      <c r="C6945" s="5" t="s">
        <v>388</v>
      </c>
      <c r="D6945" s="4" t="s">
        <v>370</v>
      </c>
      <c r="E6945" s="4" t="s">
        <v>7207</v>
      </c>
      <c r="F6945" s="4" t="s">
        <v>406</v>
      </c>
      <c r="G6945" s="4" t="s">
        <v>7208</v>
      </c>
      <c r="H6945" s="12" t="n">
        <v>1</v>
      </c>
      <c r="I6945" s="4" t="s">
        <v>7036</v>
      </c>
      <c r="J6945" s="4" t="s">
        <v>543</v>
      </c>
      <c r="K6945" s="13" t="n">
        <v>300</v>
      </c>
      <c r="L6945" s="6" t="n">
        <f aca="false">H6945*K6945</f>
        <v>300</v>
      </c>
      <c r="M6945" s="14" t="s">
        <v>410</v>
      </c>
    </row>
    <row r="6946" customFormat="false" ht="15" hidden="false" customHeight="false" outlineLevel="0" collapsed="false">
      <c r="A6946" s="4" t="s">
        <v>386</v>
      </c>
      <c r="B6946" s="5" t="s">
        <v>387</v>
      </c>
      <c r="C6946" s="5" t="s">
        <v>388</v>
      </c>
      <c r="D6946" s="4" t="s">
        <v>370</v>
      </c>
      <c r="E6946" s="4" t="s">
        <v>7209</v>
      </c>
      <c r="F6946" s="4" t="s">
        <v>406</v>
      </c>
      <c r="G6946" s="4" t="s">
        <v>7210</v>
      </c>
      <c r="H6946" s="12" t="n">
        <v>1</v>
      </c>
      <c r="I6946" s="4" t="s">
        <v>7036</v>
      </c>
      <c r="J6946" s="4" t="s">
        <v>543</v>
      </c>
      <c r="K6946" s="13" t="n">
        <v>4500</v>
      </c>
      <c r="L6946" s="6" t="n">
        <f aca="false">H6946*K6946</f>
        <v>4500</v>
      </c>
      <c r="M6946" s="14" t="s">
        <v>410</v>
      </c>
    </row>
    <row r="6947" customFormat="false" ht="15" hidden="false" customHeight="false" outlineLevel="0" collapsed="false">
      <c r="A6947" s="4" t="s">
        <v>386</v>
      </c>
      <c r="B6947" s="5" t="s">
        <v>387</v>
      </c>
      <c r="C6947" s="5" t="s">
        <v>388</v>
      </c>
      <c r="D6947" s="4" t="s">
        <v>370</v>
      </c>
      <c r="E6947" s="4" t="s">
        <v>7655</v>
      </c>
      <c r="F6947" s="4" t="s">
        <v>406</v>
      </c>
      <c r="G6947" s="4" t="s">
        <v>7656</v>
      </c>
      <c r="H6947" s="12" t="n">
        <v>1</v>
      </c>
      <c r="I6947" s="4" t="s">
        <v>7036</v>
      </c>
      <c r="J6947" s="4" t="s">
        <v>543</v>
      </c>
      <c r="K6947" s="13" t="n">
        <v>3500</v>
      </c>
      <c r="L6947" s="6" t="n">
        <f aca="false">H6947*K6947</f>
        <v>3500</v>
      </c>
      <c r="M6947" s="14" t="s">
        <v>410</v>
      </c>
    </row>
    <row r="6948" customFormat="false" ht="15" hidden="false" customHeight="false" outlineLevel="0" collapsed="false">
      <c r="A6948" s="4" t="s">
        <v>386</v>
      </c>
      <c r="B6948" s="5" t="s">
        <v>387</v>
      </c>
      <c r="C6948" s="5" t="s">
        <v>388</v>
      </c>
      <c r="D6948" s="4" t="s">
        <v>370</v>
      </c>
      <c r="E6948" s="4" t="s">
        <v>7657</v>
      </c>
      <c r="F6948" s="4" t="s">
        <v>406</v>
      </c>
      <c r="G6948" s="4" t="s">
        <v>7214</v>
      </c>
      <c r="H6948" s="12" t="n">
        <v>2</v>
      </c>
      <c r="I6948" s="4" t="s">
        <v>7036</v>
      </c>
      <c r="J6948" s="4" t="s">
        <v>543</v>
      </c>
      <c r="K6948" s="13" t="n">
        <v>2500</v>
      </c>
      <c r="L6948" s="6" t="n">
        <f aca="false">H6948*K6948</f>
        <v>5000</v>
      </c>
      <c r="M6948" s="14" t="s">
        <v>410</v>
      </c>
    </row>
    <row r="6949" customFormat="false" ht="15" hidden="false" customHeight="false" outlineLevel="0" collapsed="false">
      <c r="A6949" s="4" t="s">
        <v>386</v>
      </c>
      <c r="B6949" s="5" t="s">
        <v>387</v>
      </c>
      <c r="C6949" s="5" t="s">
        <v>388</v>
      </c>
      <c r="D6949" s="4" t="s">
        <v>370</v>
      </c>
      <c r="E6949" s="4" t="s">
        <v>7215</v>
      </c>
      <c r="F6949" s="4" t="s">
        <v>406</v>
      </c>
      <c r="G6949" s="4" t="s">
        <v>7216</v>
      </c>
      <c r="H6949" s="12" t="n">
        <v>1</v>
      </c>
      <c r="I6949" s="4" t="s">
        <v>7036</v>
      </c>
      <c r="J6949" s="4" t="s">
        <v>416</v>
      </c>
      <c r="K6949" s="13" t="n">
        <v>1200</v>
      </c>
      <c r="L6949" s="6" t="n">
        <f aca="false">H6949*K6949</f>
        <v>1200</v>
      </c>
      <c r="M6949" s="14" t="s">
        <v>410</v>
      </c>
    </row>
    <row r="6950" customFormat="false" ht="15" hidden="false" customHeight="false" outlineLevel="0" collapsed="false">
      <c r="A6950" s="4" t="s">
        <v>386</v>
      </c>
      <c r="B6950" s="5" t="s">
        <v>387</v>
      </c>
      <c r="C6950" s="5" t="s">
        <v>388</v>
      </c>
      <c r="D6950" s="4" t="s">
        <v>370</v>
      </c>
      <c r="E6950" s="4" t="s">
        <v>7217</v>
      </c>
      <c r="F6950" s="4" t="s">
        <v>406</v>
      </c>
      <c r="G6950" s="4" t="s">
        <v>7218</v>
      </c>
      <c r="H6950" s="12" t="n">
        <v>1</v>
      </c>
      <c r="I6950" s="4" t="s">
        <v>7036</v>
      </c>
      <c r="J6950" s="4" t="s">
        <v>416</v>
      </c>
      <c r="K6950" s="13" t="n">
        <v>1500</v>
      </c>
      <c r="L6950" s="6" t="n">
        <f aca="false">H6950*K6950</f>
        <v>1500</v>
      </c>
      <c r="M6950" s="14" t="s">
        <v>410</v>
      </c>
    </row>
    <row r="6951" customFormat="false" ht="15" hidden="false" customHeight="false" outlineLevel="0" collapsed="false">
      <c r="A6951" s="4" t="s">
        <v>386</v>
      </c>
      <c r="B6951" s="5" t="s">
        <v>387</v>
      </c>
      <c r="C6951" s="5" t="s">
        <v>388</v>
      </c>
      <c r="D6951" s="4" t="s">
        <v>370</v>
      </c>
      <c r="E6951" s="4" t="s">
        <v>7219</v>
      </c>
      <c r="F6951" s="4" t="s">
        <v>406</v>
      </c>
      <c r="G6951" s="4" t="s">
        <v>7220</v>
      </c>
      <c r="H6951" s="12" t="n">
        <v>1</v>
      </c>
      <c r="I6951" s="4" t="s">
        <v>7036</v>
      </c>
      <c r="J6951" s="4" t="s">
        <v>416</v>
      </c>
      <c r="K6951" s="13" t="n">
        <v>2500</v>
      </c>
      <c r="L6951" s="6" t="n">
        <f aca="false">H6951*K6951</f>
        <v>2500</v>
      </c>
      <c r="M6951" s="14" t="s">
        <v>410</v>
      </c>
    </row>
    <row r="6952" customFormat="false" ht="15" hidden="false" customHeight="false" outlineLevel="0" collapsed="false">
      <c r="A6952" s="4" t="s">
        <v>386</v>
      </c>
      <c r="B6952" s="5" t="s">
        <v>387</v>
      </c>
      <c r="C6952" s="5" t="s">
        <v>388</v>
      </c>
      <c r="D6952" s="4" t="s">
        <v>370</v>
      </c>
      <c r="E6952" s="4" t="s">
        <v>7221</v>
      </c>
      <c r="F6952" s="4" t="s">
        <v>406</v>
      </c>
      <c r="G6952" s="4" t="s">
        <v>7222</v>
      </c>
      <c r="H6952" s="12" t="n">
        <v>1</v>
      </c>
      <c r="I6952" s="4" t="s">
        <v>7036</v>
      </c>
      <c r="J6952" s="4" t="s">
        <v>543</v>
      </c>
      <c r="K6952" s="13" t="n">
        <v>450</v>
      </c>
      <c r="L6952" s="6" t="n">
        <f aca="false">H6952*K6952</f>
        <v>450</v>
      </c>
      <c r="M6952" s="14" t="s">
        <v>410</v>
      </c>
    </row>
    <row r="6953" customFormat="false" ht="15" hidden="false" customHeight="false" outlineLevel="0" collapsed="false">
      <c r="A6953" s="4" t="s">
        <v>386</v>
      </c>
      <c r="B6953" s="5" t="s">
        <v>387</v>
      </c>
      <c r="C6953" s="5" t="s">
        <v>388</v>
      </c>
      <c r="D6953" s="4" t="s">
        <v>370</v>
      </c>
      <c r="E6953" s="4" t="s">
        <v>7658</v>
      </c>
      <c r="F6953" s="4" t="s">
        <v>406</v>
      </c>
      <c r="G6953" s="4" t="s">
        <v>7659</v>
      </c>
      <c r="H6953" s="12" t="n">
        <v>1</v>
      </c>
      <c r="I6953" s="4" t="s">
        <v>7036</v>
      </c>
      <c r="J6953" s="4" t="s">
        <v>543</v>
      </c>
      <c r="K6953" s="13" t="n">
        <v>12000</v>
      </c>
      <c r="L6953" s="6" t="n">
        <f aca="false">H6953*K6953</f>
        <v>12000</v>
      </c>
      <c r="M6953" s="14" t="s">
        <v>410</v>
      </c>
    </row>
    <row r="6954" customFormat="false" ht="15" hidden="false" customHeight="false" outlineLevel="0" collapsed="false">
      <c r="A6954" s="4" t="s">
        <v>386</v>
      </c>
      <c r="B6954" s="5" t="s">
        <v>387</v>
      </c>
      <c r="C6954" s="5" t="s">
        <v>388</v>
      </c>
      <c r="D6954" s="4" t="s">
        <v>370</v>
      </c>
      <c r="E6954" s="4" t="s">
        <v>7225</v>
      </c>
      <c r="F6954" s="4" t="s">
        <v>406</v>
      </c>
      <c r="G6954" s="4" t="s">
        <v>7226</v>
      </c>
      <c r="H6954" s="12" t="n">
        <v>1</v>
      </c>
      <c r="I6954" s="4" t="s">
        <v>7036</v>
      </c>
      <c r="J6954" s="4" t="s">
        <v>7227</v>
      </c>
      <c r="K6954" s="13" t="n">
        <v>250</v>
      </c>
      <c r="L6954" s="6" t="n">
        <f aca="false">H6954*K6954</f>
        <v>250</v>
      </c>
      <c r="M6954" s="14" t="s">
        <v>410</v>
      </c>
    </row>
    <row r="6955" customFormat="false" ht="15" hidden="false" customHeight="false" outlineLevel="0" collapsed="false">
      <c r="A6955" s="4" t="s">
        <v>386</v>
      </c>
      <c r="B6955" s="5" t="s">
        <v>387</v>
      </c>
      <c r="C6955" s="5" t="s">
        <v>388</v>
      </c>
      <c r="D6955" s="4" t="s">
        <v>370</v>
      </c>
      <c r="E6955" s="4" t="s">
        <v>7228</v>
      </c>
      <c r="F6955" s="4" t="s">
        <v>406</v>
      </c>
      <c r="G6955" s="4" t="s">
        <v>7229</v>
      </c>
      <c r="H6955" s="12" t="n">
        <v>1</v>
      </c>
      <c r="I6955" s="4" t="s">
        <v>7036</v>
      </c>
      <c r="J6955" s="4" t="s">
        <v>543</v>
      </c>
      <c r="K6955" s="13" t="n">
        <v>350</v>
      </c>
      <c r="L6955" s="6" t="n">
        <f aca="false">H6955*K6955</f>
        <v>350</v>
      </c>
      <c r="M6955" s="14" t="s">
        <v>410</v>
      </c>
    </row>
    <row r="6956" customFormat="false" ht="15" hidden="false" customHeight="false" outlineLevel="0" collapsed="false">
      <c r="A6956" s="4" t="s">
        <v>386</v>
      </c>
      <c r="B6956" s="5" t="s">
        <v>387</v>
      </c>
      <c r="C6956" s="5" t="s">
        <v>388</v>
      </c>
      <c r="D6956" s="4" t="s">
        <v>370</v>
      </c>
      <c r="E6956" s="4" t="s">
        <v>7230</v>
      </c>
      <c r="F6956" s="4" t="s">
        <v>406</v>
      </c>
      <c r="G6956" s="4" t="s">
        <v>7231</v>
      </c>
      <c r="H6956" s="12" t="n">
        <v>2</v>
      </c>
      <c r="I6956" s="4" t="s">
        <v>7036</v>
      </c>
      <c r="J6956" s="4" t="s">
        <v>543</v>
      </c>
      <c r="K6956" s="13" t="n">
        <v>100</v>
      </c>
      <c r="L6956" s="6" t="n">
        <f aca="false">H6956*K6956</f>
        <v>200</v>
      </c>
      <c r="M6956" s="14" t="s">
        <v>410</v>
      </c>
    </row>
    <row r="6957" customFormat="false" ht="15" hidden="false" customHeight="false" outlineLevel="0" collapsed="false">
      <c r="A6957" s="4" t="s">
        <v>386</v>
      </c>
      <c r="B6957" s="5" t="s">
        <v>387</v>
      </c>
      <c r="C6957" s="5" t="s">
        <v>388</v>
      </c>
      <c r="D6957" s="4" t="s">
        <v>370</v>
      </c>
      <c r="E6957" s="4" t="s">
        <v>7660</v>
      </c>
      <c r="F6957" s="4" t="s">
        <v>406</v>
      </c>
      <c r="G6957" s="4" t="s">
        <v>7233</v>
      </c>
      <c r="H6957" s="12" t="n">
        <v>2</v>
      </c>
      <c r="I6957" s="4" t="s">
        <v>7036</v>
      </c>
      <c r="J6957" s="4" t="s">
        <v>543</v>
      </c>
      <c r="K6957" s="13" t="n">
        <v>450</v>
      </c>
      <c r="L6957" s="6" t="n">
        <f aca="false">H6957*K6957</f>
        <v>900</v>
      </c>
      <c r="M6957" s="14" t="s">
        <v>410</v>
      </c>
    </row>
    <row r="6958" customFormat="false" ht="15" hidden="false" customHeight="false" outlineLevel="0" collapsed="false">
      <c r="A6958" s="4" t="s">
        <v>386</v>
      </c>
      <c r="B6958" s="5" t="s">
        <v>387</v>
      </c>
      <c r="C6958" s="5" t="s">
        <v>388</v>
      </c>
      <c r="D6958" s="4" t="s">
        <v>370</v>
      </c>
      <c r="E6958" s="4" t="s">
        <v>7661</v>
      </c>
      <c r="F6958" s="4" t="s">
        <v>406</v>
      </c>
      <c r="G6958" s="4" t="s">
        <v>7235</v>
      </c>
      <c r="H6958" s="12" t="n">
        <v>1</v>
      </c>
      <c r="I6958" s="4" t="s">
        <v>7036</v>
      </c>
      <c r="J6958" s="4" t="s">
        <v>543</v>
      </c>
      <c r="K6958" s="13" t="n">
        <v>250</v>
      </c>
      <c r="L6958" s="6" t="n">
        <f aca="false">H6958*K6958</f>
        <v>250</v>
      </c>
      <c r="M6958" s="14" t="s">
        <v>410</v>
      </c>
    </row>
    <row r="6959" customFormat="false" ht="15" hidden="false" customHeight="false" outlineLevel="0" collapsed="false">
      <c r="A6959" s="4" t="s">
        <v>386</v>
      </c>
      <c r="B6959" s="5" t="s">
        <v>387</v>
      </c>
      <c r="C6959" s="5" t="s">
        <v>388</v>
      </c>
      <c r="D6959" s="4" t="s">
        <v>370</v>
      </c>
      <c r="E6959" s="4" t="s">
        <v>7236</v>
      </c>
      <c r="F6959" s="4" t="s">
        <v>406</v>
      </c>
      <c r="G6959" s="4" t="s">
        <v>7237</v>
      </c>
      <c r="H6959" s="12" t="n">
        <v>1</v>
      </c>
      <c r="I6959" s="4" t="s">
        <v>7036</v>
      </c>
      <c r="J6959" s="4" t="s">
        <v>543</v>
      </c>
      <c r="K6959" s="13" t="n">
        <v>450</v>
      </c>
      <c r="L6959" s="6" t="n">
        <f aca="false">H6959*K6959</f>
        <v>450</v>
      </c>
      <c r="M6959" s="14" t="s">
        <v>410</v>
      </c>
    </row>
    <row r="6960" customFormat="false" ht="15" hidden="false" customHeight="false" outlineLevel="0" collapsed="false">
      <c r="A6960" s="4" t="s">
        <v>386</v>
      </c>
      <c r="B6960" s="5" t="s">
        <v>387</v>
      </c>
      <c r="C6960" s="5" t="s">
        <v>388</v>
      </c>
      <c r="D6960" s="4" t="s">
        <v>370</v>
      </c>
      <c r="E6960" s="4" t="s">
        <v>7238</v>
      </c>
      <c r="F6960" s="4" t="s">
        <v>406</v>
      </c>
      <c r="G6960" s="4" t="s">
        <v>7239</v>
      </c>
      <c r="H6960" s="12" t="n">
        <v>1</v>
      </c>
      <c r="I6960" s="4" t="s">
        <v>7036</v>
      </c>
      <c r="J6960" s="4" t="s">
        <v>416</v>
      </c>
      <c r="K6960" s="13" t="n">
        <v>900</v>
      </c>
      <c r="L6960" s="6" t="n">
        <f aca="false">H6960*K6960</f>
        <v>900</v>
      </c>
      <c r="M6960" s="14" t="s">
        <v>410</v>
      </c>
    </row>
    <row r="6961" customFormat="false" ht="15" hidden="false" customHeight="false" outlineLevel="0" collapsed="false">
      <c r="A6961" s="4" t="s">
        <v>386</v>
      </c>
      <c r="B6961" s="5" t="s">
        <v>387</v>
      </c>
      <c r="C6961" s="5" t="s">
        <v>388</v>
      </c>
      <c r="D6961" s="4" t="s">
        <v>370</v>
      </c>
      <c r="E6961" s="4" t="s">
        <v>7662</v>
      </c>
      <c r="F6961" s="4" t="s">
        <v>406</v>
      </c>
      <c r="G6961" s="4" t="s">
        <v>7241</v>
      </c>
      <c r="H6961" s="12" t="n">
        <v>1</v>
      </c>
      <c r="I6961" s="4" t="s">
        <v>7036</v>
      </c>
      <c r="J6961" s="4" t="s">
        <v>543</v>
      </c>
      <c r="K6961" s="13" t="n">
        <v>300</v>
      </c>
      <c r="L6961" s="6" t="n">
        <f aca="false">H6961*K6961</f>
        <v>300</v>
      </c>
      <c r="M6961" s="14" t="s">
        <v>410</v>
      </c>
    </row>
    <row r="6962" customFormat="false" ht="15" hidden="false" customHeight="false" outlineLevel="0" collapsed="false">
      <c r="A6962" s="4" t="s">
        <v>386</v>
      </c>
      <c r="B6962" s="5" t="s">
        <v>387</v>
      </c>
      <c r="C6962" s="5" t="s">
        <v>388</v>
      </c>
      <c r="D6962" s="4" t="s">
        <v>370</v>
      </c>
      <c r="E6962" s="4" t="s">
        <v>4283</v>
      </c>
      <c r="F6962" s="4" t="s">
        <v>406</v>
      </c>
      <c r="G6962" s="4" t="s">
        <v>1875</v>
      </c>
      <c r="H6962" s="12" t="n">
        <v>1</v>
      </c>
      <c r="I6962" s="4" t="s">
        <v>7036</v>
      </c>
      <c r="J6962" s="4" t="s">
        <v>409</v>
      </c>
      <c r="K6962" s="13" t="n">
        <v>350</v>
      </c>
      <c r="L6962" s="6" t="n">
        <f aca="false">H6962*K6962</f>
        <v>350</v>
      </c>
      <c r="M6962" s="14" t="s">
        <v>410</v>
      </c>
    </row>
    <row r="6963" customFormat="false" ht="15" hidden="false" customHeight="false" outlineLevel="0" collapsed="false">
      <c r="A6963" s="4" t="s">
        <v>386</v>
      </c>
      <c r="B6963" s="5" t="s">
        <v>387</v>
      </c>
      <c r="C6963" s="5" t="s">
        <v>388</v>
      </c>
      <c r="D6963" s="4" t="s">
        <v>370</v>
      </c>
      <c r="E6963" s="4" t="s">
        <v>7242</v>
      </c>
      <c r="F6963" s="4" t="s">
        <v>406</v>
      </c>
      <c r="G6963" s="4" t="s">
        <v>7243</v>
      </c>
      <c r="H6963" s="12" t="n">
        <v>1</v>
      </c>
      <c r="I6963" s="4" t="s">
        <v>7036</v>
      </c>
      <c r="J6963" s="4" t="s">
        <v>7244</v>
      </c>
      <c r="K6963" s="13" t="n">
        <v>150</v>
      </c>
      <c r="L6963" s="6" t="n">
        <f aca="false">H6963*K6963</f>
        <v>150</v>
      </c>
      <c r="M6963" s="14" t="s">
        <v>410</v>
      </c>
    </row>
    <row r="6964" customFormat="false" ht="15" hidden="false" customHeight="false" outlineLevel="0" collapsed="false">
      <c r="A6964" s="4" t="s">
        <v>386</v>
      </c>
      <c r="B6964" s="5" t="s">
        <v>387</v>
      </c>
      <c r="C6964" s="5" t="s">
        <v>388</v>
      </c>
      <c r="D6964" s="4" t="s">
        <v>370</v>
      </c>
      <c r="E6964" s="4" t="s">
        <v>7245</v>
      </c>
      <c r="F6964" s="4" t="s">
        <v>406</v>
      </c>
      <c r="G6964" s="4" t="s">
        <v>7246</v>
      </c>
      <c r="H6964" s="12" t="n">
        <v>1</v>
      </c>
      <c r="I6964" s="4" t="s">
        <v>7036</v>
      </c>
      <c r="J6964" s="4" t="s">
        <v>543</v>
      </c>
      <c r="K6964" s="13" t="n">
        <v>450</v>
      </c>
      <c r="L6964" s="6" t="n">
        <f aca="false">H6964*K6964</f>
        <v>450</v>
      </c>
      <c r="M6964" s="14" t="s">
        <v>410</v>
      </c>
    </row>
    <row r="6965" customFormat="false" ht="15" hidden="false" customHeight="false" outlineLevel="0" collapsed="false">
      <c r="A6965" s="4" t="s">
        <v>386</v>
      </c>
      <c r="B6965" s="5" t="s">
        <v>387</v>
      </c>
      <c r="C6965" s="5" t="s">
        <v>388</v>
      </c>
      <c r="D6965" s="4" t="s">
        <v>370</v>
      </c>
      <c r="E6965" s="4" t="s">
        <v>7663</v>
      </c>
      <c r="F6965" s="4" t="s">
        <v>406</v>
      </c>
      <c r="G6965" s="4" t="s">
        <v>7248</v>
      </c>
      <c r="H6965" s="12" t="n">
        <v>1</v>
      </c>
      <c r="I6965" s="4" t="s">
        <v>7036</v>
      </c>
      <c r="J6965" s="4" t="s">
        <v>416</v>
      </c>
      <c r="K6965" s="13" t="n">
        <v>600</v>
      </c>
      <c r="L6965" s="6" t="n">
        <f aca="false">H6965*K6965</f>
        <v>600</v>
      </c>
      <c r="M6965" s="14" t="s">
        <v>410</v>
      </c>
    </row>
    <row r="6966" customFormat="false" ht="15" hidden="false" customHeight="false" outlineLevel="0" collapsed="false">
      <c r="A6966" s="4" t="s">
        <v>386</v>
      </c>
      <c r="B6966" s="5" t="s">
        <v>387</v>
      </c>
      <c r="C6966" s="5" t="s">
        <v>388</v>
      </c>
      <c r="D6966" s="4" t="s">
        <v>370</v>
      </c>
      <c r="E6966" s="4" t="s">
        <v>7664</v>
      </c>
      <c r="F6966" s="4" t="s">
        <v>406</v>
      </c>
      <c r="G6966" s="4" t="s">
        <v>7250</v>
      </c>
      <c r="H6966" s="12" t="n">
        <v>2</v>
      </c>
      <c r="I6966" s="4" t="s">
        <v>7036</v>
      </c>
      <c r="J6966" s="4" t="s">
        <v>543</v>
      </c>
      <c r="K6966" s="13" t="n">
        <v>450</v>
      </c>
      <c r="L6966" s="6" t="n">
        <f aca="false">H6966*K6966</f>
        <v>900</v>
      </c>
      <c r="M6966" s="14" t="s">
        <v>410</v>
      </c>
    </row>
    <row r="6967" customFormat="false" ht="15" hidden="false" customHeight="false" outlineLevel="0" collapsed="false">
      <c r="A6967" s="4" t="s">
        <v>386</v>
      </c>
      <c r="B6967" s="5" t="s">
        <v>387</v>
      </c>
      <c r="C6967" s="5" t="s">
        <v>388</v>
      </c>
      <c r="D6967" s="4" t="s">
        <v>370</v>
      </c>
      <c r="E6967" s="4" t="s">
        <v>7251</v>
      </c>
      <c r="F6967" s="4" t="s">
        <v>406</v>
      </c>
      <c r="G6967" s="4" t="s">
        <v>7252</v>
      </c>
      <c r="H6967" s="12" t="n">
        <v>4</v>
      </c>
      <c r="I6967" s="4" t="s">
        <v>7036</v>
      </c>
      <c r="J6967" s="4" t="s">
        <v>543</v>
      </c>
      <c r="K6967" s="13" t="n">
        <v>300</v>
      </c>
      <c r="L6967" s="6" t="n">
        <f aca="false">H6967*K6967</f>
        <v>1200</v>
      </c>
      <c r="M6967" s="14" t="s">
        <v>410</v>
      </c>
    </row>
    <row r="6968" customFormat="false" ht="15" hidden="false" customHeight="false" outlineLevel="0" collapsed="false">
      <c r="A6968" s="4" t="s">
        <v>386</v>
      </c>
      <c r="B6968" s="5" t="s">
        <v>387</v>
      </c>
      <c r="C6968" s="5" t="s">
        <v>388</v>
      </c>
      <c r="D6968" s="4" t="s">
        <v>370</v>
      </c>
      <c r="E6968" s="4" t="s">
        <v>7253</v>
      </c>
      <c r="F6968" s="4" t="s">
        <v>406</v>
      </c>
      <c r="G6968" s="4" t="s">
        <v>7254</v>
      </c>
      <c r="H6968" s="12" t="n">
        <v>2</v>
      </c>
      <c r="I6968" s="4" t="s">
        <v>7036</v>
      </c>
      <c r="J6968" s="4" t="s">
        <v>543</v>
      </c>
      <c r="K6968" s="13" t="n">
        <v>550</v>
      </c>
      <c r="L6968" s="6" t="n">
        <f aca="false">H6968*K6968</f>
        <v>1100</v>
      </c>
      <c r="M6968" s="14" t="s">
        <v>410</v>
      </c>
    </row>
    <row r="6969" customFormat="false" ht="15" hidden="false" customHeight="false" outlineLevel="0" collapsed="false">
      <c r="A6969" s="4" t="s">
        <v>386</v>
      </c>
      <c r="B6969" s="5" t="s">
        <v>387</v>
      </c>
      <c r="C6969" s="5" t="s">
        <v>388</v>
      </c>
      <c r="D6969" s="4" t="s">
        <v>370</v>
      </c>
      <c r="E6969" s="4" t="s">
        <v>7665</v>
      </c>
      <c r="F6969" s="4" t="s">
        <v>406</v>
      </c>
      <c r="G6969" s="4" t="s">
        <v>7256</v>
      </c>
      <c r="H6969" s="12" t="n">
        <v>1</v>
      </c>
      <c r="I6969" s="4" t="s">
        <v>7036</v>
      </c>
      <c r="J6969" s="4" t="s">
        <v>416</v>
      </c>
      <c r="K6969" s="13" t="n">
        <v>3500</v>
      </c>
      <c r="L6969" s="6" t="n">
        <f aca="false">H6969*K6969</f>
        <v>3500</v>
      </c>
      <c r="M6969" s="14" t="s">
        <v>410</v>
      </c>
    </row>
    <row r="6970" customFormat="false" ht="15" hidden="false" customHeight="false" outlineLevel="0" collapsed="false">
      <c r="A6970" s="4" t="s">
        <v>386</v>
      </c>
      <c r="B6970" s="5" t="s">
        <v>387</v>
      </c>
      <c r="C6970" s="5" t="s">
        <v>388</v>
      </c>
      <c r="D6970" s="4" t="s">
        <v>370</v>
      </c>
      <c r="E6970" s="4" t="s">
        <v>7257</v>
      </c>
      <c r="F6970" s="4" t="s">
        <v>406</v>
      </c>
      <c r="G6970" s="4" t="s">
        <v>2524</v>
      </c>
      <c r="H6970" s="12" t="n">
        <v>1</v>
      </c>
      <c r="I6970" s="4" t="s">
        <v>7036</v>
      </c>
      <c r="J6970" s="4" t="s">
        <v>409</v>
      </c>
      <c r="K6970" s="13" t="n">
        <v>3500</v>
      </c>
      <c r="L6970" s="6" t="n">
        <f aca="false">H6970*K6970</f>
        <v>3500</v>
      </c>
      <c r="M6970" s="14" t="s">
        <v>410</v>
      </c>
    </row>
    <row r="6971" customFormat="false" ht="15" hidden="false" customHeight="false" outlineLevel="0" collapsed="false">
      <c r="A6971" s="4" t="s">
        <v>386</v>
      </c>
      <c r="B6971" s="5" t="s">
        <v>387</v>
      </c>
      <c r="C6971" s="5" t="s">
        <v>388</v>
      </c>
      <c r="D6971" s="4" t="s">
        <v>370</v>
      </c>
      <c r="E6971" s="4" t="s">
        <v>7666</v>
      </c>
      <c r="F6971" s="4" t="s">
        <v>406</v>
      </c>
      <c r="G6971" s="4" t="s">
        <v>7667</v>
      </c>
      <c r="H6971" s="12" t="n">
        <v>1</v>
      </c>
      <c r="I6971" s="4" t="s">
        <v>7036</v>
      </c>
      <c r="J6971" s="4" t="s">
        <v>543</v>
      </c>
      <c r="K6971" s="13" t="n">
        <v>650</v>
      </c>
      <c r="L6971" s="6" t="n">
        <f aca="false">H6971*K6971</f>
        <v>650</v>
      </c>
      <c r="M6971" s="14" t="s">
        <v>410</v>
      </c>
    </row>
    <row r="6972" customFormat="false" ht="15" hidden="false" customHeight="false" outlineLevel="0" collapsed="false">
      <c r="A6972" s="4" t="s">
        <v>386</v>
      </c>
      <c r="B6972" s="5" t="s">
        <v>387</v>
      </c>
      <c r="C6972" s="5" t="s">
        <v>388</v>
      </c>
      <c r="D6972" s="4" t="s">
        <v>370</v>
      </c>
      <c r="E6972" s="4" t="s">
        <v>7259</v>
      </c>
      <c r="F6972" s="4" t="s">
        <v>406</v>
      </c>
      <c r="G6972" s="4" t="s">
        <v>7260</v>
      </c>
      <c r="H6972" s="12" t="n">
        <v>1</v>
      </c>
      <c r="I6972" s="4" t="s">
        <v>7036</v>
      </c>
      <c r="J6972" s="4" t="s">
        <v>543</v>
      </c>
      <c r="K6972" s="13" t="n">
        <v>400</v>
      </c>
      <c r="L6972" s="6" t="n">
        <f aca="false">H6972*K6972</f>
        <v>400</v>
      </c>
      <c r="M6972" s="14" t="s">
        <v>410</v>
      </c>
    </row>
    <row r="6973" customFormat="false" ht="15" hidden="false" customHeight="false" outlineLevel="0" collapsed="false">
      <c r="A6973" s="4" t="s">
        <v>386</v>
      </c>
      <c r="B6973" s="5" t="s">
        <v>387</v>
      </c>
      <c r="C6973" s="5" t="s">
        <v>388</v>
      </c>
      <c r="D6973" s="4" t="s">
        <v>370</v>
      </c>
      <c r="E6973" s="4" t="s">
        <v>7261</v>
      </c>
      <c r="F6973" s="4" t="s">
        <v>488</v>
      </c>
      <c r="G6973" s="4" t="s">
        <v>7262</v>
      </c>
      <c r="H6973" s="12" t="n">
        <v>30</v>
      </c>
      <c r="I6973" s="4" t="s">
        <v>7036</v>
      </c>
      <c r="J6973" s="4" t="s">
        <v>543</v>
      </c>
      <c r="K6973" s="13" t="n">
        <v>40</v>
      </c>
      <c r="L6973" s="6" t="n">
        <f aca="false">H6973*K6973</f>
        <v>1200</v>
      </c>
      <c r="M6973" s="14" t="s">
        <v>410</v>
      </c>
    </row>
    <row r="6974" customFormat="false" ht="15" hidden="false" customHeight="false" outlineLevel="0" collapsed="false">
      <c r="A6974" s="4" t="s">
        <v>386</v>
      </c>
      <c r="B6974" s="5" t="s">
        <v>387</v>
      </c>
      <c r="C6974" s="5" t="s">
        <v>388</v>
      </c>
      <c r="D6974" s="4" t="s">
        <v>370</v>
      </c>
      <c r="E6974" s="4" t="s">
        <v>6112</v>
      </c>
      <c r="F6974" s="4" t="s">
        <v>406</v>
      </c>
      <c r="G6974" s="4" t="s">
        <v>1916</v>
      </c>
      <c r="H6974" s="12" t="n">
        <v>4</v>
      </c>
      <c r="I6974" s="4" t="s">
        <v>7036</v>
      </c>
      <c r="J6974" s="4" t="s">
        <v>409</v>
      </c>
      <c r="K6974" s="13" t="n">
        <v>850</v>
      </c>
      <c r="L6974" s="6" t="n">
        <f aca="false">H6974*K6974</f>
        <v>3400</v>
      </c>
      <c r="M6974" s="14" t="s">
        <v>410</v>
      </c>
    </row>
    <row r="6975" customFormat="false" ht="15" hidden="false" customHeight="false" outlineLevel="0" collapsed="false">
      <c r="A6975" s="4" t="s">
        <v>386</v>
      </c>
      <c r="B6975" s="5" t="s">
        <v>387</v>
      </c>
      <c r="C6975" s="5" t="s">
        <v>388</v>
      </c>
      <c r="D6975" s="4" t="s">
        <v>370</v>
      </c>
      <c r="E6975" s="4" t="s">
        <v>7263</v>
      </c>
      <c r="F6975" s="4" t="s">
        <v>406</v>
      </c>
      <c r="G6975" s="4" t="s">
        <v>7264</v>
      </c>
      <c r="H6975" s="12" t="n">
        <v>6</v>
      </c>
      <c r="I6975" s="4" t="s">
        <v>7036</v>
      </c>
      <c r="J6975" s="4" t="s">
        <v>543</v>
      </c>
      <c r="K6975" s="13" t="n">
        <v>150</v>
      </c>
      <c r="L6975" s="6" t="n">
        <f aca="false">H6975*K6975</f>
        <v>900</v>
      </c>
      <c r="M6975" s="14" t="s">
        <v>410</v>
      </c>
    </row>
    <row r="6976" customFormat="false" ht="15" hidden="false" customHeight="false" outlineLevel="0" collapsed="false">
      <c r="A6976" s="4" t="s">
        <v>386</v>
      </c>
      <c r="B6976" s="5" t="s">
        <v>387</v>
      </c>
      <c r="C6976" s="5" t="s">
        <v>388</v>
      </c>
      <c r="D6976" s="4" t="s">
        <v>370</v>
      </c>
      <c r="E6976" s="4" t="s">
        <v>7265</v>
      </c>
      <c r="F6976" s="4" t="s">
        <v>406</v>
      </c>
      <c r="G6976" s="4" t="s">
        <v>7266</v>
      </c>
      <c r="H6976" s="12" t="n">
        <v>10</v>
      </c>
      <c r="I6976" s="4" t="s">
        <v>7036</v>
      </c>
      <c r="J6976" s="4" t="s">
        <v>543</v>
      </c>
      <c r="K6976" s="13" t="n">
        <v>200</v>
      </c>
      <c r="L6976" s="6" t="n">
        <f aca="false">H6976*K6976</f>
        <v>2000</v>
      </c>
      <c r="M6976" s="14" t="s">
        <v>410</v>
      </c>
    </row>
    <row r="6977" customFormat="false" ht="15" hidden="false" customHeight="false" outlineLevel="0" collapsed="false">
      <c r="A6977" s="4" t="s">
        <v>386</v>
      </c>
      <c r="B6977" s="5" t="s">
        <v>387</v>
      </c>
      <c r="C6977" s="5" t="s">
        <v>388</v>
      </c>
      <c r="D6977" s="4" t="s">
        <v>370</v>
      </c>
      <c r="E6977" s="4" t="s">
        <v>7267</v>
      </c>
      <c r="F6977" s="4" t="s">
        <v>406</v>
      </c>
      <c r="G6977" s="4" t="s">
        <v>7268</v>
      </c>
      <c r="H6977" s="12" t="n">
        <v>3</v>
      </c>
      <c r="I6977" s="4" t="s">
        <v>7036</v>
      </c>
      <c r="J6977" s="4" t="s">
        <v>543</v>
      </c>
      <c r="K6977" s="13" t="n">
        <v>450</v>
      </c>
      <c r="L6977" s="6" t="n">
        <f aca="false">H6977*K6977</f>
        <v>1350</v>
      </c>
      <c r="M6977" s="14" t="s">
        <v>410</v>
      </c>
    </row>
    <row r="6978" customFormat="false" ht="15" hidden="false" customHeight="false" outlineLevel="0" collapsed="false">
      <c r="A6978" s="4" t="s">
        <v>386</v>
      </c>
      <c r="B6978" s="5" t="s">
        <v>387</v>
      </c>
      <c r="C6978" s="5" t="s">
        <v>388</v>
      </c>
      <c r="D6978" s="4" t="s">
        <v>370</v>
      </c>
      <c r="E6978" s="4" t="s">
        <v>7668</v>
      </c>
      <c r="F6978" s="4" t="s">
        <v>406</v>
      </c>
      <c r="G6978" s="4" t="s">
        <v>7270</v>
      </c>
      <c r="H6978" s="12" t="n">
        <v>15</v>
      </c>
      <c r="I6978" s="4" t="s">
        <v>7036</v>
      </c>
      <c r="J6978" s="4" t="s">
        <v>543</v>
      </c>
      <c r="K6978" s="13" t="n">
        <v>450</v>
      </c>
      <c r="L6978" s="6" t="n">
        <f aca="false">H6978*K6978</f>
        <v>6750</v>
      </c>
      <c r="M6978" s="14" t="s">
        <v>410</v>
      </c>
    </row>
    <row r="6979" customFormat="false" ht="15" hidden="false" customHeight="false" outlineLevel="0" collapsed="false">
      <c r="A6979" s="4" t="s">
        <v>386</v>
      </c>
      <c r="B6979" s="5" t="s">
        <v>387</v>
      </c>
      <c r="C6979" s="5" t="s">
        <v>388</v>
      </c>
      <c r="D6979" s="4" t="s">
        <v>370</v>
      </c>
      <c r="E6979" s="4" t="s">
        <v>7271</v>
      </c>
      <c r="F6979" s="4" t="s">
        <v>488</v>
      </c>
      <c r="G6979" s="4" t="s">
        <v>7272</v>
      </c>
      <c r="H6979" s="12" t="n">
        <v>4</v>
      </c>
      <c r="I6979" s="4" t="s">
        <v>7036</v>
      </c>
      <c r="J6979" s="4" t="s">
        <v>475</v>
      </c>
      <c r="K6979" s="13" t="n">
        <v>450</v>
      </c>
      <c r="L6979" s="6" t="n">
        <f aca="false">H6979*K6979</f>
        <v>1800</v>
      </c>
      <c r="M6979" s="14" t="s">
        <v>410</v>
      </c>
    </row>
    <row r="6980" customFormat="false" ht="15" hidden="false" customHeight="false" outlineLevel="0" collapsed="false">
      <c r="A6980" s="4" t="s">
        <v>386</v>
      </c>
      <c r="B6980" s="5" t="s">
        <v>387</v>
      </c>
      <c r="C6980" s="5" t="s">
        <v>388</v>
      </c>
      <c r="D6980" s="4" t="s">
        <v>370</v>
      </c>
      <c r="E6980" s="4" t="s">
        <v>7273</v>
      </c>
      <c r="F6980" s="4" t="s">
        <v>488</v>
      </c>
      <c r="G6980" s="4" t="s">
        <v>7274</v>
      </c>
      <c r="H6980" s="12" t="n">
        <v>4</v>
      </c>
      <c r="I6980" s="4" t="s">
        <v>7036</v>
      </c>
      <c r="J6980" s="4" t="s">
        <v>475</v>
      </c>
      <c r="K6980" s="13" t="n">
        <v>80</v>
      </c>
      <c r="L6980" s="6" t="n">
        <f aca="false">H6980*K6980</f>
        <v>320</v>
      </c>
      <c r="M6980" s="14" t="s">
        <v>410</v>
      </c>
    </row>
    <row r="6981" customFormat="false" ht="15" hidden="false" customHeight="false" outlineLevel="0" collapsed="false">
      <c r="A6981" s="4" t="s">
        <v>386</v>
      </c>
      <c r="B6981" s="5" t="s">
        <v>387</v>
      </c>
      <c r="C6981" s="5" t="s">
        <v>388</v>
      </c>
      <c r="D6981" s="4" t="s">
        <v>370</v>
      </c>
      <c r="E6981" s="4" t="s">
        <v>7669</v>
      </c>
      <c r="F6981" s="4" t="s">
        <v>488</v>
      </c>
      <c r="G6981" s="4" t="s">
        <v>7276</v>
      </c>
      <c r="H6981" s="12" t="n">
        <v>2</v>
      </c>
      <c r="I6981" s="4" t="s">
        <v>7036</v>
      </c>
      <c r="J6981" s="4" t="s">
        <v>475</v>
      </c>
      <c r="K6981" s="13" t="n">
        <v>120</v>
      </c>
      <c r="L6981" s="6" t="n">
        <f aca="false">H6981*K6981</f>
        <v>240</v>
      </c>
      <c r="M6981" s="14" t="s">
        <v>410</v>
      </c>
    </row>
    <row r="6982" customFormat="false" ht="15" hidden="false" customHeight="false" outlineLevel="0" collapsed="false">
      <c r="A6982" s="4" t="s">
        <v>386</v>
      </c>
      <c r="B6982" s="5" t="s">
        <v>387</v>
      </c>
      <c r="C6982" s="5" t="s">
        <v>388</v>
      </c>
      <c r="D6982" s="4" t="s">
        <v>370</v>
      </c>
      <c r="E6982" s="4" t="s">
        <v>7277</v>
      </c>
      <c r="F6982" s="4" t="s">
        <v>406</v>
      </c>
      <c r="G6982" s="4" t="s">
        <v>7278</v>
      </c>
      <c r="H6982" s="12" t="n">
        <v>4</v>
      </c>
      <c r="I6982" s="4" t="s">
        <v>7036</v>
      </c>
      <c r="J6982" s="4" t="s">
        <v>543</v>
      </c>
      <c r="K6982" s="13" t="n">
        <v>500</v>
      </c>
      <c r="L6982" s="6" t="n">
        <f aca="false">H6982*K6982</f>
        <v>2000</v>
      </c>
      <c r="M6982" s="14" t="s">
        <v>410</v>
      </c>
    </row>
    <row r="6983" customFormat="false" ht="15" hidden="false" customHeight="false" outlineLevel="0" collapsed="false">
      <c r="A6983" s="4" t="s">
        <v>386</v>
      </c>
      <c r="B6983" s="5" t="s">
        <v>387</v>
      </c>
      <c r="C6983" s="5" t="s">
        <v>388</v>
      </c>
      <c r="D6983" s="4" t="s">
        <v>370</v>
      </c>
      <c r="E6983" s="4" t="s">
        <v>7279</v>
      </c>
      <c r="F6983" s="4" t="s">
        <v>406</v>
      </c>
      <c r="G6983" s="4" t="s">
        <v>7280</v>
      </c>
      <c r="H6983" s="12" t="n">
        <v>12</v>
      </c>
      <c r="I6983" s="4" t="s">
        <v>7036</v>
      </c>
      <c r="J6983" s="4" t="s">
        <v>475</v>
      </c>
      <c r="K6983" s="13" t="n">
        <v>200</v>
      </c>
      <c r="L6983" s="6" t="n">
        <f aca="false">H6983*K6983</f>
        <v>2400</v>
      </c>
      <c r="M6983" s="14" t="s">
        <v>410</v>
      </c>
    </row>
    <row r="6984" customFormat="false" ht="15" hidden="false" customHeight="false" outlineLevel="0" collapsed="false">
      <c r="A6984" s="4" t="s">
        <v>386</v>
      </c>
      <c r="B6984" s="5" t="s">
        <v>387</v>
      </c>
      <c r="C6984" s="5" t="s">
        <v>388</v>
      </c>
      <c r="D6984" s="4" t="s">
        <v>370</v>
      </c>
      <c r="E6984" s="4" t="s">
        <v>3774</v>
      </c>
      <c r="F6984" s="4" t="s">
        <v>470</v>
      </c>
      <c r="G6984" s="4" t="s">
        <v>2278</v>
      </c>
      <c r="H6984" s="12" t="n">
        <v>1</v>
      </c>
      <c r="I6984" s="4" t="s">
        <v>7036</v>
      </c>
      <c r="J6984" s="4" t="s">
        <v>413</v>
      </c>
      <c r="K6984" s="13" t="n">
        <v>450</v>
      </c>
      <c r="L6984" s="6" t="n">
        <f aca="false">H6984*K6984</f>
        <v>450</v>
      </c>
      <c r="M6984" s="14" t="s">
        <v>410</v>
      </c>
    </row>
    <row r="6985" customFormat="false" ht="15" hidden="false" customHeight="false" outlineLevel="0" collapsed="false">
      <c r="A6985" s="4" t="s">
        <v>386</v>
      </c>
      <c r="B6985" s="5" t="s">
        <v>387</v>
      </c>
      <c r="C6985" s="5" t="s">
        <v>388</v>
      </c>
      <c r="D6985" s="4" t="s">
        <v>370</v>
      </c>
      <c r="E6985" s="4" t="s">
        <v>2602</v>
      </c>
      <c r="F6985" s="4" t="s">
        <v>406</v>
      </c>
      <c r="G6985" s="4" t="s">
        <v>2603</v>
      </c>
      <c r="H6985" s="12" t="n">
        <v>1</v>
      </c>
      <c r="I6985" s="4" t="s">
        <v>7036</v>
      </c>
      <c r="J6985" s="4" t="s">
        <v>409</v>
      </c>
      <c r="K6985" s="13" t="n">
        <v>650</v>
      </c>
      <c r="L6985" s="6" t="n">
        <f aca="false">H6985*K6985</f>
        <v>650</v>
      </c>
      <c r="M6985" s="14" t="s">
        <v>410</v>
      </c>
    </row>
    <row r="6986" customFormat="false" ht="15" hidden="false" customHeight="false" outlineLevel="0" collapsed="false">
      <c r="A6986" s="4" t="s">
        <v>386</v>
      </c>
      <c r="B6986" s="5" t="s">
        <v>387</v>
      </c>
      <c r="C6986" s="5" t="s">
        <v>388</v>
      </c>
      <c r="D6986" s="4" t="s">
        <v>370</v>
      </c>
      <c r="E6986" s="4" t="s">
        <v>2604</v>
      </c>
      <c r="F6986" s="4" t="s">
        <v>406</v>
      </c>
      <c r="G6986" s="4" t="s">
        <v>2605</v>
      </c>
      <c r="H6986" s="12" t="n">
        <v>1</v>
      </c>
      <c r="I6986" s="4" t="s">
        <v>7036</v>
      </c>
      <c r="J6986" s="4" t="s">
        <v>409</v>
      </c>
      <c r="K6986" s="13" t="n">
        <v>1800</v>
      </c>
      <c r="L6986" s="6" t="n">
        <f aca="false">H6986*K6986</f>
        <v>1800</v>
      </c>
      <c r="M6986" s="14" t="s">
        <v>410</v>
      </c>
    </row>
    <row r="6987" customFormat="false" ht="15" hidden="false" customHeight="false" outlineLevel="0" collapsed="false">
      <c r="A6987" s="4" t="s">
        <v>386</v>
      </c>
      <c r="B6987" s="5" t="s">
        <v>387</v>
      </c>
      <c r="C6987" s="5" t="s">
        <v>388</v>
      </c>
      <c r="D6987" s="4" t="s">
        <v>370</v>
      </c>
      <c r="E6987" s="4" t="s">
        <v>7281</v>
      </c>
      <c r="F6987" s="4" t="s">
        <v>406</v>
      </c>
      <c r="G6987" s="4" t="s">
        <v>7282</v>
      </c>
      <c r="H6987" s="12" t="n">
        <v>1</v>
      </c>
      <c r="I6987" s="4" t="s">
        <v>7036</v>
      </c>
      <c r="J6987" s="4" t="s">
        <v>543</v>
      </c>
      <c r="K6987" s="13" t="n">
        <v>2500</v>
      </c>
      <c r="L6987" s="6" t="n">
        <f aca="false">H6987*K6987</f>
        <v>2500</v>
      </c>
      <c r="M6987" s="14" t="s">
        <v>410</v>
      </c>
    </row>
    <row r="6988" customFormat="false" ht="15" hidden="false" customHeight="false" outlineLevel="0" collapsed="false">
      <c r="A6988" s="4" t="s">
        <v>386</v>
      </c>
      <c r="B6988" s="5" t="s">
        <v>387</v>
      </c>
      <c r="C6988" s="5" t="s">
        <v>388</v>
      </c>
      <c r="D6988" s="4" t="s">
        <v>370</v>
      </c>
      <c r="E6988" s="4" t="s">
        <v>7283</v>
      </c>
      <c r="F6988" s="4" t="s">
        <v>406</v>
      </c>
      <c r="G6988" s="4" t="s">
        <v>4850</v>
      </c>
      <c r="H6988" s="12" t="n">
        <v>1</v>
      </c>
      <c r="I6988" s="4" t="s">
        <v>7036</v>
      </c>
      <c r="J6988" s="4" t="s">
        <v>409</v>
      </c>
      <c r="K6988" s="13" t="n">
        <v>1800</v>
      </c>
      <c r="L6988" s="6" t="n">
        <f aca="false">H6988*K6988</f>
        <v>1800</v>
      </c>
      <c r="M6988" s="14" t="s">
        <v>410</v>
      </c>
    </row>
    <row r="6989" customFormat="false" ht="15" hidden="false" customHeight="false" outlineLevel="0" collapsed="false">
      <c r="A6989" s="4" t="s">
        <v>386</v>
      </c>
      <c r="B6989" s="5" t="s">
        <v>387</v>
      </c>
      <c r="C6989" s="5" t="s">
        <v>388</v>
      </c>
      <c r="D6989" s="4" t="s">
        <v>370</v>
      </c>
      <c r="E6989" s="4" t="s">
        <v>7284</v>
      </c>
      <c r="F6989" s="4" t="s">
        <v>406</v>
      </c>
      <c r="G6989" s="4" t="s">
        <v>7285</v>
      </c>
      <c r="H6989" s="12" t="n">
        <v>1</v>
      </c>
      <c r="I6989" s="4" t="s">
        <v>7036</v>
      </c>
      <c r="J6989" s="4" t="s">
        <v>543</v>
      </c>
      <c r="K6989" s="13" t="n">
        <v>1200</v>
      </c>
      <c r="L6989" s="6" t="n">
        <f aca="false">H6989*K6989</f>
        <v>1200</v>
      </c>
      <c r="M6989" s="14" t="s">
        <v>410</v>
      </c>
    </row>
    <row r="6990" customFormat="false" ht="15" hidden="false" customHeight="false" outlineLevel="0" collapsed="false">
      <c r="A6990" s="4" t="s">
        <v>386</v>
      </c>
      <c r="B6990" s="5" t="s">
        <v>387</v>
      </c>
      <c r="C6990" s="5" t="s">
        <v>388</v>
      </c>
      <c r="D6990" s="4" t="s">
        <v>370</v>
      </c>
      <c r="E6990" s="4" t="s">
        <v>2610</v>
      </c>
      <c r="F6990" s="4" t="s">
        <v>406</v>
      </c>
      <c r="G6990" s="4" t="s">
        <v>2611</v>
      </c>
      <c r="H6990" s="12" t="n">
        <v>1</v>
      </c>
      <c r="I6990" s="4" t="s">
        <v>7036</v>
      </c>
      <c r="J6990" s="4" t="s">
        <v>409</v>
      </c>
      <c r="K6990" s="13" t="n">
        <v>650</v>
      </c>
      <c r="L6990" s="6" t="n">
        <f aca="false">H6990*K6990</f>
        <v>650</v>
      </c>
      <c r="M6990" s="14" t="s">
        <v>410</v>
      </c>
    </row>
    <row r="6991" customFormat="false" ht="15" hidden="false" customHeight="false" outlineLevel="0" collapsed="false">
      <c r="A6991" s="4" t="s">
        <v>386</v>
      </c>
      <c r="B6991" s="5" t="s">
        <v>387</v>
      </c>
      <c r="C6991" s="5" t="s">
        <v>388</v>
      </c>
      <c r="D6991" s="4" t="s">
        <v>370</v>
      </c>
      <c r="E6991" s="4" t="s">
        <v>7286</v>
      </c>
      <c r="F6991" s="4" t="s">
        <v>406</v>
      </c>
      <c r="G6991" s="4" t="s">
        <v>4514</v>
      </c>
      <c r="H6991" s="12" t="n">
        <v>2</v>
      </c>
      <c r="I6991" s="4" t="s">
        <v>7036</v>
      </c>
      <c r="J6991" s="4" t="s">
        <v>409</v>
      </c>
      <c r="K6991" s="13" t="n">
        <v>650</v>
      </c>
      <c r="L6991" s="6" t="n">
        <f aca="false">H6991*K6991</f>
        <v>1300</v>
      </c>
      <c r="M6991" s="14" t="s">
        <v>410</v>
      </c>
    </row>
    <row r="6992" customFormat="false" ht="15" hidden="false" customHeight="false" outlineLevel="0" collapsed="false">
      <c r="A6992" s="4" t="s">
        <v>386</v>
      </c>
      <c r="B6992" s="5" t="s">
        <v>387</v>
      </c>
      <c r="C6992" s="5" t="s">
        <v>388</v>
      </c>
      <c r="D6992" s="4" t="s">
        <v>370</v>
      </c>
      <c r="E6992" s="4" t="s">
        <v>7287</v>
      </c>
      <c r="F6992" s="4" t="s">
        <v>406</v>
      </c>
      <c r="G6992" s="4" t="s">
        <v>673</v>
      </c>
      <c r="H6992" s="12" t="n">
        <v>1</v>
      </c>
      <c r="I6992" s="4" t="s">
        <v>7036</v>
      </c>
      <c r="J6992" s="4" t="s">
        <v>409</v>
      </c>
      <c r="K6992" s="13" t="n">
        <v>450</v>
      </c>
      <c r="L6992" s="6" t="n">
        <f aca="false">H6992*K6992</f>
        <v>450</v>
      </c>
      <c r="M6992" s="14" t="s">
        <v>410</v>
      </c>
    </row>
    <row r="6993" customFormat="false" ht="15" hidden="false" customHeight="false" outlineLevel="0" collapsed="false">
      <c r="A6993" s="4" t="s">
        <v>386</v>
      </c>
      <c r="B6993" s="5" t="s">
        <v>387</v>
      </c>
      <c r="C6993" s="5" t="s">
        <v>388</v>
      </c>
      <c r="D6993" s="4" t="s">
        <v>370</v>
      </c>
      <c r="E6993" s="4" t="s">
        <v>7288</v>
      </c>
      <c r="F6993" s="4" t="s">
        <v>406</v>
      </c>
      <c r="G6993" s="4" t="s">
        <v>7289</v>
      </c>
      <c r="H6993" s="12" t="n">
        <v>1</v>
      </c>
      <c r="I6993" s="4" t="s">
        <v>7036</v>
      </c>
      <c r="J6993" s="4" t="s">
        <v>543</v>
      </c>
      <c r="K6993" s="13" t="n">
        <v>450</v>
      </c>
      <c r="L6993" s="6" t="n">
        <f aca="false">H6993*K6993</f>
        <v>450</v>
      </c>
      <c r="M6993" s="14" t="s">
        <v>410</v>
      </c>
    </row>
    <row r="6994" customFormat="false" ht="15" hidden="false" customHeight="false" outlineLevel="0" collapsed="false">
      <c r="A6994" s="4" t="s">
        <v>386</v>
      </c>
      <c r="B6994" s="5" t="s">
        <v>387</v>
      </c>
      <c r="C6994" s="5" t="s">
        <v>388</v>
      </c>
      <c r="D6994" s="4" t="s">
        <v>370</v>
      </c>
      <c r="E6994" s="4" t="s">
        <v>7670</v>
      </c>
      <c r="F6994" s="4" t="s">
        <v>406</v>
      </c>
      <c r="G6994" s="4" t="s">
        <v>7671</v>
      </c>
      <c r="H6994" s="12" t="n">
        <v>2</v>
      </c>
      <c r="I6994" s="4" t="s">
        <v>7036</v>
      </c>
      <c r="J6994" s="4" t="s">
        <v>543</v>
      </c>
      <c r="K6994" s="13" t="n">
        <v>350</v>
      </c>
      <c r="L6994" s="6" t="n">
        <f aca="false">H6994*K6994</f>
        <v>700</v>
      </c>
      <c r="M6994" s="14" t="s">
        <v>410</v>
      </c>
    </row>
    <row r="6995" customFormat="false" ht="15" hidden="false" customHeight="false" outlineLevel="0" collapsed="false">
      <c r="A6995" s="4" t="s">
        <v>386</v>
      </c>
      <c r="B6995" s="5" t="s">
        <v>387</v>
      </c>
      <c r="C6995" s="5" t="s">
        <v>388</v>
      </c>
      <c r="D6995" s="4" t="s">
        <v>370</v>
      </c>
      <c r="E6995" s="4" t="s">
        <v>7672</v>
      </c>
      <c r="F6995" s="4" t="s">
        <v>406</v>
      </c>
      <c r="G6995" s="4" t="s">
        <v>7673</v>
      </c>
      <c r="H6995" s="12" t="n">
        <v>2</v>
      </c>
      <c r="I6995" s="4" t="s">
        <v>7036</v>
      </c>
      <c r="J6995" s="4" t="s">
        <v>543</v>
      </c>
      <c r="K6995" s="13" t="n">
        <v>250</v>
      </c>
      <c r="L6995" s="6" t="n">
        <f aca="false">H6995*K6995</f>
        <v>500</v>
      </c>
      <c r="M6995" s="14" t="s">
        <v>410</v>
      </c>
    </row>
    <row r="6996" customFormat="false" ht="15" hidden="false" customHeight="false" outlineLevel="0" collapsed="false">
      <c r="A6996" s="4" t="s">
        <v>386</v>
      </c>
      <c r="B6996" s="5" t="s">
        <v>387</v>
      </c>
      <c r="C6996" s="5" t="s">
        <v>388</v>
      </c>
      <c r="D6996" s="4" t="s">
        <v>370</v>
      </c>
      <c r="E6996" s="4" t="s">
        <v>7674</v>
      </c>
      <c r="F6996" s="4" t="s">
        <v>406</v>
      </c>
      <c r="G6996" s="4" t="s">
        <v>7675</v>
      </c>
      <c r="H6996" s="12" t="n">
        <v>2</v>
      </c>
      <c r="I6996" s="4" t="s">
        <v>7036</v>
      </c>
      <c r="J6996" s="4" t="s">
        <v>543</v>
      </c>
      <c r="K6996" s="13" t="n">
        <v>250</v>
      </c>
      <c r="L6996" s="6" t="n">
        <f aca="false">H6996*K6996</f>
        <v>500</v>
      </c>
      <c r="M6996" s="14" t="s">
        <v>410</v>
      </c>
    </row>
    <row r="6997" customFormat="false" ht="15" hidden="false" customHeight="false" outlineLevel="0" collapsed="false">
      <c r="A6997" s="4" t="s">
        <v>386</v>
      </c>
      <c r="B6997" s="5" t="s">
        <v>387</v>
      </c>
      <c r="C6997" s="5" t="s">
        <v>388</v>
      </c>
      <c r="D6997" s="4" t="s">
        <v>370</v>
      </c>
      <c r="E6997" s="4" t="s">
        <v>1603</v>
      </c>
      <c r="F6997" s="4" t="s">
        <v>406</v>
      </c>
      <c r="G6997" s="4" t="s">
        <v>1604</v>
      </c>
      <c r="H6997" s="12" t="n">
        <v>1</v>
      </c>
      <c r="I6997" s="4" t="s">
        <v>7036</v>
      </c>
      <c r="J6997" s="4" t="s">
        <v>416</v>
      </c>
      <c r="K6997" s="13" t="n">
        <v>1200</v>
      </c>
      <c r="L6997" s="6" t="n">
        <f aca="false">H6997*K6997</f>
        <v>1200</v>
      </c>
      <c r="M6997" s="14" t="s">
        <v>410</v>
      </c>
    </row>
    <row r="6998" customFormat="false" ht="15" hidden="false" customHeight="false" outlineLevel="0" collapsed="false">
      <c r="A6998" s="4" t="s">
        <v>386</v>
      </c>
      <c r="B6998" s="5" t="s">
        <v>387</v>
      </c>
      <c r="C6998" s="5" t="s">
        <v>388</v>
      </c>
      <c r="D6998" s="4" t="s">
        <v>370</v>
      </c>
      <c r="E6998" s="4" t="s">
        <v>7296</v>
      </c>
      <c r="F6998" s="4" t="s">
        <v>406</v>
      </c>
      <c r="G6998" s="4" t="s">
        <v>7297</v>
      </c>
      <c r="H6998" s="12" t="n">
        <v>1</v>
      </c>
      <c r="I6998" s="4" t="s">
        <v>7036</v>
      </c>
      <c r="J6998" s="4" t="s">
        <v>416</v>
      </c>
      <c r="K6998" s="13" t="n">
        <v>1500</v>
      </c>
      <c r="L6998" s="6" t="n">
        <f aca="false">H6998*K6998</f>
        <v>1500</v>
      </c>
      <c r="M6998" s="14" t="s">
        <v>410</v>
      </c>
    </row>
    <row r="6999" customFormat="false" ht="15" hidden="false" customHeight="false" outlineLevel="0" collapsed="false">
      <c r="A6999" s="4" t="s">
        <v>386</v>
      </c>
      <c r="B6999" s="5" t="s">
        <v>387</v>
      </c>
      <c r="C6999" s="5" t="s">
        <v>388</v>
      </c>
      <c r="D6999" s="4" t="s">
        <v>370</v>
      </c>
      <c r="E6999" s="4" t="s">
        <v>7298</v>
      </c>
      <c r="F6999" s="4" t="s">
        <v>406</v>
      </c>
      <c r="G6999" s="4" t="s">
        <v>7299</v>
      </c>
      <c r="H6999" s="12" t="n">
        <v>1</v>
      </c>
      <c r="I6999" s="4" t="s">
        <v>7036</v>
      </c>
      <c r="J6999" s="4" t="s">
        <v>543</v>
      </c>
      <c r="K6999" s="13" t="n">
        <v>80</v>
      </c>
      <c r="L6999" s="6" t="n">
        <f aca="false">H6999*K6999</f>
        <v>80</v>
      </c>
      <c r="M6999" s="14" t="s">
        <v>410</v>
      </c>
    </row>
    <row r="7000" customFormat="false" ht="15" hidden="false" customHeight="false" outlineLevel="0" collapsed="false">
      <c r="A7000" s="4" t="s">
        <v>386</v>
      </c>
      <c r="B7000" s="5" t="s">
        <v>387</v>
      </c>
      <c r="C7000" s="5" t="s">
        <v>388</v>
      </c>
      <c r="D7000" s="4" t="s">
        <v>370</v>
      </c>
      <c r="E7000" s="4" t="s">
        <v>2600</v>
      </c>
      <c r="F7000" s="4" t="s">
        <v>406</v>
      </c>
      <c r="G7000" s="4" t="s">
        <v>2601</v>
      </c>
      <c r="H7000" s="12" t="n">
        <v>4</v>
      </c>
      <c r="I7000" s="4" t="s">
        <v>7036</v>
      </c>
      <c r="J7000" s="4" t="s">
        <v>409</v>
      </c>
      <c r="K7000" s="13" t="n">
        <v>350</v>
      </c>
      <c r="L7000" s="6" t="n">
        <f aca="false">H7000*K7000</f>
        <v>1400</v>
      </c>
      <c r="M7000" s="14" t="s">
        <v>410</v>
      </c>
    </row>
    <row r="7001" customFormat="false" ht="15" hidden="false" customHeight="false" outlineLevel="0" collapsed="false">
      <c r="A7001" s="4" t="s">
        <v>386</v>
      </c>
      <c r="B7001" s="5" t="s">
        <v>387</v>
      </c>
      <c r="C7001" s="5" t="s">
        <v>388</v>
      </c>
      <c r="D7001" s="4" t="s">
        <v>370</v>
      </c>
      <c r="E7001" s="4" t="s">
        <v>7300</v>
      </c>
      <c r="F7001" s="4" t="s">
        <v>406</v>
      </c>
      <c r="G7001" s="4" t="s">
        <v>1867</v>
      </c>
      <c r="H7001" s="12" t="n">
        <v>2</v>
      </c>
      <c r="I7001" s="4" t="s">
        <v>7036</v>
      </c>
      <c r="J7001" s="4" t="s">
        <v>409</v>
      </c>
      <c r="K7001" s="13" t="n">
        <v>450</v>
      </c>
      <c r="L7001" s="6" t="n">
        <f aca="false">H7001*K7001</f>
        <v>900</v>
      </c>
      <c r="M7001" s="14" t="s">
        <v>410</v>
      </c>
    </row>
    <row r="7002" customFormat="false" ht="15" hidden="false" customHeight="false" outlineLevel="0" collapsed="false">
      <c r="A7002" s="4" t="s">
        <v>386</v>
      </c>
      <c r="B7002" s="5" t="s">
        <v>387</v>
      </c>
      <c r="C7002" s="5" t="s">
        <v>388</v>
      </c>
      <c r="D7002" s="4" t="s">
        <v>370</v>
      </c>
      <c r="E7002" s="4" t="s">
        <v>7301</v>
      </c>
      <c r="F7002" s="4" t="s">
        <v>406</v>
      </c>
      <c r="G7002" s="4" t="s">
        <v>7302</v>
      </c>
      <c r="H7002" s="12" t="n">
        <v>2</v>
      </c>
      <c r="I7002" s="4" t="s">
        <v>7036</v>
      </c>
      <c r="J7002" s="4" t="s">
        <v>543</v>
      </c>
      <c r="K7002" s="13" t="n">
        <v>900</v>
      </c>
      <c r="L7002" s="6" t="n">
        <f aca="false">H7002*K7002</f>
        <v>1800</v>
      </c>
      <c r="M7002" s="14" t="s">
        <v>410</v>
      </c>
    </row>
    <row r="7003" customFormat="false" ht="15" hidden="false" customHeight="false" outlineLevel="0" collapsed="false">
      <c r="A7003" s="4" t="s">
        <v>386</v>
      </c>
      <c r="B7003" s="5" t="s">
        <v>387</v>
      </c>
      <c r="C7003" s="5" t="s">
        <v>388</v>
      </c>
      <c r="D7003" s="4" t="s">
        <v>370</v>
      </c>
      <c r="E7003" s="4" t="s">
        <v>7303</v>
      </c>
      <c r="F7003" s="4" t="s">
        <v>406</v>
      </c>
      <c r="G7003" s="4" t="s">
        <v>7304</v>
      </c>
      <c r="H7003" s="12" t="n">
        <v>2</v>
      </c>
      <c r="I7003" s="4" t="s">
        <v>7036</v>
      </c>
      <c r="J7003" s="4" t="s">
        <v>543</v>
      </c>
      <c r="K7003" s="13" t="n">
        <v>100</v>
      </c>
      <c r="L7003" s="6" t="n">
        <f aca="false">H7003*K7003</f>
        <v>200</v>
      </c>
      <c r="M7003" s="14" t="s">
        <v>410</v>
      </c>
    </row>
    <row r="7004" customFormat="false" ht="15" hidden="false" customHeight="false" outlineLevel="0" collapsed="false">
      <c r="A7004" s="4" t="s">
        <v>386</v>
      </c>
      <c r="B7004" s="5" t="s">
        <v>387</v>
      </c>
      <c r="C7004" s="5" t="s">
        <v>388</v>
      </c>
      <c r="D7004" s="4" t="s">
        <v>370</v>
      </c>
      <c r="E7004" s="4" t="s">
        <v>7305</v>
      </c>
      <c r="F7004" s="4" t="s">
        <v>406</v>
      </c>
      <c r="G7004" s="4" t="s">
        <v>1676</v>
      </c>
      <c r="H7004" s="12" t="n">
        <v>1</v>
      </c>
      <c r="I7004" s="4" t="s">
        <v>7036</v>
      </c>
      <c r="J7004" s="4" t="s">
        <v>409</v>
      </c>
      <c r="K7004" s="13" t="n">
        <v>450</v>
      </c>
      <c r="L7004" s="6" t="n">
        <f aca="false">H7004*K7004</f>
        <v>450</v>
      </c>
      <c r="M7004" s="14" t="s">
        <v>410</v>
      </c>
    </row>
    <row r="7005" customFormat="false" ht="15" hidden="false" customHeight="false" outlineLevel="0" collapsed="false">
      <c r="A7005" s="4" t="s">
        <v>386</v>
      </c>
      <c r="B7005" s="5" t="s">
        <v>387</v>
      </c>
      <c r="C7005" s="5" t="s">
        <v>388</v>
      </c>
      <c r="D7005" s="4" t="s">
        <v>370</v>
      </c>
      <c r="E7005" s="4" t="s">
        <v>7306</v>
      </c>
      <c r="F7005" s="4" t="s">
        <v>406</v>
      </c>
      <c r="G7005" s="4" t="s">
        <v>7307</v>
      </c>
      <c r="H7005" s="12" t="n">
        <v>4</v>
      </c>
      <c r="I7005" s="4" t="s">
        <v>7036</v>
      </c>
      <c r="J7005" s="4" t="s">
        <v>7227</v>
      </c>
      <c r="K7005" s="13" t="n">
        <v>80</v>
      </c>
      <c r="L7005" s="6" t="n">
        <f aca="false">H7005*K7005</f>
        <v>320</v>
      </c>
      <c r="M7005" s="14" t="s">
        <v>410</v>
      </c>
    </row>
    <row r="7006" customFormat="false" ht="15" hidden="false" customHeight="false" outlineLevel="0" collapsed="false">
      <c r="A7006" s="4" t="s">
        <v>386</v>
      </c>
      <c r="B7006" s="5" t="s">
        <v>387</v>
      </c>
      <c r="C7006" s="5" t="s">
        <v>388</v>
      </c>
      <c r="D7006" s="4" t="s">
        <v>370</v>
      </c>
      <c r="E7006" s="4" t="s">
        <v>7308</v>
      </c>
      <c r="F7006" s="4" t="s">
        <v>406</v>
      </c>
      <c r="G7006" s="4" t="s">
        <v>7309</v>
      </c>
      <c r="H7006" s="12" t="n">
        <v>10</v>
      </c>
      <c r="I7006" s="4" t="s">
        <v>7036</v>
      </c>
      <c r="J7006" s="4" t="s">
        <v>543</v>
      </c>
      <c r="K7006" s="13" t="n">
        <v>60</v>
      </c>
      <c r="L7006" s="6" t="n">
        <f aca="false">H7006*K7006</f>
        <v>600</v>
      </c>
      <c r="M7006" s="14" t="s">
        <v>410</v>
      </c>
    </row>
    <row r="7007" customFormat="false" ht="15" hidden="false" customHeight="false" outlineLevel="0" collapsed="false">
      <c r="A7007" s="4" t="s">
        <v>386</v>
      </c>
      <c r="B7007" s="5" t="s">
        <v>387</v>
      </c>
      <c r="C7007" s="5" t="s">
        <v>388</v>
      </c>
      <c r="D7007" s="4" t="s">
        <v>370</v>
      </c>
      <c r="E7007" s="4" t="s">
        <v>7310</v>
      </c>
      <c r="F7007" s="4" t="s">
        <v>406</v>
      </c>
      <c r="G7007" s="4" t="s">
        <v>7311</v>
      </c>
      <c r="H7007" s="12" t="n">
        <v>10</v>
      </c>
      <c r="I7007" s="4" t="s">
        <v>7036</v>
      </c>
      <c r="J7007" s="4" t="s">
        <v>543</v>
      </c>
      <c r="K7007" s="13" t="n">
        <v>80</v>
      </c>
      <c r="L7007" s="6" t="n">
        <f aca="false">H7007*K7007</f>
        <v>800</v>
      </c>
      <c r="M7007" s="14" t="s">
        <v>410</v>
      </c>
    </row>
    <row r="7008" customFormat="false" ht="15" hidden="false" customHeight="false" outlineLevel="0" collapsed="false">
      <c r="A7008" s="4" t="s">
        <v>386</v>
      </c>
      <c r="B7008" s="5" t="s">
        <v>387</v>
      </c>
      <c r="C7008" s="5" t="s">
        <v>388</v>
      </c>
      <c r="D7008" s="4" t="s">
        <v>370</v>
      </c>
      <c r="E7008" s="4" t="s">
        <v>7312</v>
      </c>
      <c r="F7008" s="4" t="s">
        <v>406</v>
      </c>
      <c r="G7008" s="4" t="s">
        <v>7313</v>
      </c>
      <c r="H7008" s="12" t="n">
        <v>10</v>
      </c>
      <c r="I7008" s="4" t="s">
        <v>7036</v>
      </c>
      <c r="J7008" s="4" t="s">
        <v>543</v>
      </c>
      <c r="K7008" s="13" t="n">
        <v>40</v>
      </c>
      <c r="L7008" s="6" t="n">
        <f aca="false">H7008*K7008</f>
        <v>400</v>
      </c>
      <c r="M7008" s="14" t="s">
        <v>410</v>
      </c>
    </row>
    <row r="7009" customFormat="false" ht="15" hidden="false" customHeight="false" outlineLevel="0" collapsed="false">
      <c r="A7009" s="4" t="s">
        <v>386</v>
      </c>
      <c r="B7009" s="5" t="s">
        <v>387</v>
      </c>
      <c r="C7009" s="5" t="s">
        <v>388</v>
      </c>
      <c r="D7009" s="4" t="s">
        <v>370</v>
      </c>
      <c r="E7009" s="4" t="s">
        <v>7314</v>
      </c>
      <c r="F7009" s="4" t="s">
        <v>406</v>
      </c>
      <c r="G7009" s="4" t="s">
        <v>7315</v>
      </c>
      <c r="H7009" s="12" t="n">
        <v>10</v>
      </c>
      <c r="I7009" s="4" t="s">
        <v>7036</v>
      </c>
      <c r="J7009" s="4" t="s">
        <v>543</v>
      </c>
      <c r="K7009" s="13" t="n">
        <v>60</v>
      </c>
      <c r="L7009" s="6" t="n">
        <f aca="false">H7009*K7009</f>
        <v>600</v>
      </c>
      <c r="M7009" s="14" t="s">
        <v>410</v>
      </c>
    </row>
    <row r="7010" customFormat="false" ht="15" hidden="false" customHeight="false" outlineLevel="0" collapsed="false">
      <c r="A7010" s="4" t="s">
        <v>386</v>
      </c>
      <c r="B7010" s="5" t="s">
        <v>387</v>
      </c>
      <c r="C7010" s="5" t="s">
        <v>388</v>
      </c>
      <c r="D7010" s="4" t="s">
        <v>370</v>
      </c>
      <c r="E7010" s="4" t="s">
        <v>4591</v>
      </c>
      <c r="F7010" s="4" t="s">
        <v>406</v>
      </c>
      <c r="G7010" s="4" t="s">
        <v>4592</v>
      </c>
      <c r="H7010" s="12" t="n">
        <v>1</v>
      </c>
      <c r="I7010" s="4" t="s">
        <v>7036</v>
      </c>
      <c r="J7010" s="4" t="s">
        <v>409</v>
      </c>
      <c r="K7010" s="13" t="n">
        <v>180</v>
      </c>
      <c r="L7010" s="6" t="n">
        <f aca="false">H7010*K7010</f>
        <v>180</v>
      </c>
      <c r="M7010" s="14" t="s">
        <v>410</v>
      </c>
    </row>
    <row r="7011" customFormat="false" ht="15" hidden="false" customHeight="false" outlineLevel="0" collapsed="false">
      <c r="A7011" s="4" t="s">
        <v>386</v>
      </c>
      <c r="B7011" s="5" t="s">
        <v>387</v>
      </c>
      <c r="C7011" s="5" t="s">
        <v>388</v>
      </c>
      <c r="D7011" s="4" t="s">
        <v>370</v>
      </c>
      <c r="E7011" s="4" t="s">
        <v>7316</v>
      </c>
      <c r="F7011" s="4" t="s">
        <v>406</v>
      </c>
      <c r="G7011" s="4" t="s">
        <v>7317</v>
      </c>
      <c r="H7011" s="12" t="n">
        <v>10</v>
      </c>
      <c r="I7011" s="4" t="s">
        <v>7036</v>
      </c>
      <c r="J7011" s="4" t="s">
        <v>543</v>
      </c>
      <c r="K7011" s="13" t="n">
        <v>40</v>
      </c>
      <c r="L7011" s="6" t="n">
        <f aca="false">H7011*K7011</f>
        <v>400</v>
      </c>
      <c r="M7011" s="14" t="s">
        <v>410</v>
      </c>
    </row>
    <row r="7012" customFormat="false" ht="15" hidden="false" customHeight="false" outlineLevel="0" collapsed="false">
      <c r="A7012" s="4" t="s">
        <v>386</v>
      </c>
      <c r="B7012" s="5" t="s">
        <v>387</v>
      </c>
      <c r="C7012" s="5" t="s">
        <v>388</v>
      </c>
      <c r="D7012" s="4" t="s">
        <v>370</v>
      </c>
      <c r="E7012" s="4" t="s">
        <v>7318</v>
      </c>
      <c r="F7012" s="4" t="s">
        <v>406</v>
      </c>
      <c r="G7012" s="4" t="s">
        <v>7319</v>
      </c>
      <c r="H7012" s="12" t="n">
        <v>10</v>
      </c>
      <c r="I7012" s="4" t="s">
        <v>7036</v>
      </c>
      <c r="J7012" s="4" t="s">
        <v>543</v>
      </c>
      <c r="K7012" s="13" t="n">
        <v>60</v>
      </c>
      <c r="L7012" s="6" t="n">
        <f aca="false">H7012*K7012</f>
        <v>600</v>
      </c>
      <c r="M7012" s="14" t="s">
        <v>410</v>
      </c>
    </row>
    <row r="7013" customFormat="false" ht="15" hidden="false" customHeight="false" outlineLevel="0" collapsed="false">
      <c r="A7013" s="4" t="s">
        <v>386</v>
      </c>
      <c r="B7013" s="5" t="s">
        <v>387</v>
      </c>
      <c r="C7013" s="5" t="s">
        <v>388</v>
      </c>
      <c r="D7013" s="4" t="s">
        <v>370</v>
      </c>
      <c r="E7013" s="4" t="s">
        <v>7320</v>
      </c>
      <c r="F7013" s="4" t="s">
        <v>406</v>
      </c>
      <c r="G7013" s="4" t="s">
        <v>7321</v>
      </c>
      <c r="H7013" s="12" t="n">
        <v>2</v>
      </c>
      <c r="I7013" s="4" t="s">
        <v>7036</v>
      </c>
      <c r="J7013" s="4" t="s">
        <v>543</v>
      </c>
      <c r="K7013" s="13" t="n">
        <v>80</v>
      </c>
      <c r="L7013" s="6" t="n">
        <f aca="false">H7013*K7013</f>
        <v>160</v>
      </c>
      <c r="M7013" s="14" t="s">
        <v>410</v>
      </c>
    </row>
    <row r="7014" customFormat="false" ht="15" hidden="false" customHeight="false" outlineLevel="0" collapsed="false">
      <c r="A7014" s="4" t="s">
        <v>386</v>
      </c>
      <c r="B7014" s="5" t="s">
        <v>387</v>
      </c>
      <c r="C7014" s="5" t="s">
        <v>388</v>
      </c>
      <c r="D7014" s="4" t="s">
        <v>370</v>
      </c>
      <c r="E7014" s="4" t="s">
        <v>7322</v>
      </c>
      <c r="F7014" s="4" t="s">
        <v>406</v>
      </c>
      <c r="G7014" s="4" t="s">
        <v>7323</v>
      </c>
      <c r="H7014" s="12" t="n">
        <v>5</v>
      </c>
      <c r="I7014" s="4" t="s">
        <v>7036</v>
      </c>
      <c r="J7014" s="4" t="s">
        <v>543</v>
      </c>
      <c r="K7014" s="13" t="n">
        <v>50</v>
      </c>
      <c r="L7014" s="6" t="n">
        <f aca="false">H7014*K7014</f>
        <v>250</v>
      </c>
      <c r="M7014" s="14" t="s">
        <v>410</v>
      </c>
    </row>
    <row r="7015" customFormat="false" ht="15" hidden="false" customHeight="false" outlineLevel="0" collapsed="false">
      <c r="A7015" s="4" t="s">
        <v>386</v>
      </c>
      <c r="B7015" s="5" t="s">
        <v>387</v>
      </c>
      <c r="C7015" s="5" t="s">
        <v>388</v>
      </c>
      <c r="D7015" s="4" t="s">
        <v>370</v>
      </c>
      <c r="E7015" s="4" t="s">
        <v>7324</v>
      </c>
      <c r="F7015" s="4" t="s">
        <v>406</v>
      </c>
      <c r="G7015" s="4" t="s">
        <v>7325</v>
      </c>
      <c r="H7015" s="12" t="n">
        <v>5</v>
      </c>
      <c r="I7015" s="4" t="s">
        <v>7036</v>
      </c>
      <c r="J7015" s="4" t="s">
        <v>543</v>
      </c>
      <c r="K7015" s="13" t="n">
        <v>50</v>
      </c>
      <c r="L7015" s="6" t="n">
        <f aca="false">H7015*K7015</f>
        <v>250</v>
      </c>
      <c r="M7015" s="14" t="s">
        <v>410</v>
      </c>
    </row>
    <row r="7016" customFormat="false" ht="15" hidden="false" customHeight="false" outlineLevel="0" collapsed="false">
      <c r="A7016" s="4" t="s">
        <v>386</v>
      </c>
      <c r="B7016" s="5" t="s">
        <v>387</v>
      </c>
      <c r="C7016" s="5" t="s">
        <v>388</v>
      </c>
      <c r="D7016" s="4" t="s">
        <v>370</v>
      </c>
      <c r="E7016" s="4" t="s">
        <v>7326</v>
      </c>
      <c r="F7016" s="4" t="s">
        <v>406</v>
      </c>
      <c r="G7016" s="4" t="s">
        <v>7327</v>
      </c>
      <c r="H7016" s="12" t="n">
        <v>1</v>
      </c>
      <c r="I7016" s="4" t="s">
        <v>7036</v>
      </c>
      <c r="J7016" s="4" t="s">
        <v>480</v>
      </c>
      <c r="K7016" s="13" t="n">
        <v>250</v>
      </c>
      <c r="L7016" s="6" t="n">
        <f aca="false">H7016*K7016</f>
        <v>250</v>
      </c>
      <c r="M7016" s="14" t="s">
        <v>410</v>
      </c>
    </row>
    <row r="7017" customFormat="false" ht="15" hidden="false" customHeight="false" outlineLevel="0" collapsed="false">
      <c r="A7017" s="4" t="s">
        <v>386</v>
      </c>
      <c r="B7017" s="5" t="s">
        <v>387</v>
      </c>
      <c r="C7017" s="5" t="s">
        <v>388</v>
      </c>
      <c r="D7017" s="4" t="s">
        <v>370</v>
      </c>
      <c r="E7017" s="4" t="s">
        <v>7328</v>
      </c>
      <c r="F7017" s="4" t="s">
        <v>406</v>
      </c>
      <c r="G7017" s="4" t="s">
        <v>7329</v>
      </c>
      <c r="H7017" s="12" t="n">
        <v>1</v>
      </c>
      <c r="I7017" s="4" t="s">
        <v>7036</v>
      </c>
      <c r="J7017" s="4" t="s">
        <v>543</v>
      </c>
      <c r="K7017" s="13" t="n">
        <v>60</v>
      </c>
      <c r="L7017" s="6" t="n">
        <f aca="false">H7017*K7017</f>
        <v>60</v>
      </c>
      <c r="M7017" s="14" t="s">
        <v>410</v>
      </c>
    </row>
    <row r="7018" customFormat="false" ht="15" hidden="false" customHeight="false" outlineLevel="0" collapsed="false">
      <c r="A7018" s="4" t="s">
        <v>386</v>
      </c>
      <c r="B7018" s="5" t="s">
        <v>387</v>
      </c>
      <c r="C7018" s="5" t="s">
        <v>388</v>
      </c>
      <c r="D7018" s="4" t="s">
        <v>370</v>
      </c>
      <c r="E7018" s="4" t="s">
        <v>7330</v>
      </c>
      <c r="F7018" s="4" t="s">
        <v>406</v>
      </c>
      <c r="G7018" s="4" t="s">
        <v>7331</v>
      </c>
      <c r="H7018" s="12" t="n">
        <v>2</v>
      </c>
      <c r="I7018" s="4" t="s">
        <v>7036</v>
      </c>
      <c r="J7018" s="4" t="s">
        <v>543</v>
      </c>
      <c r="K7018" s="13" t="n">
        <v>30</v>
      </c>
      <c r="L7018" s="6" t="n">
        <f aca="false">H7018*K7018</f>
        <v>60</v>
      </c>
      <c r="M7018" s="14" t="s">
        <v>410</v>
      </c>
    </row>
    <row r="7019" customFormat="false" ht="15" hidden="false" customHeight="false" outlineLevel="0" collapsed="false">
      <c r="A7019" s="4" t="s">
        <v>386</v>
      </c>
      <c r="B7019" s="5" t="s">
        <v>387</v>
      </c>
      <c r="C7019" s="5" t="s">
        <v>388</v>
      </c>
      <c r="D7019" s="4" t="s">
        <v>370</v>
      </c>
      <c r="E7019" s="4" t="s">
        <v>7332</v>
      </c>
      <c r="F7019" s="4" t="s">
        <v>406</v>
      </c>
      <c r="G7019" s="4" t="s">
        <v>7333</v>
      </c>
      <c r="H7019" s="12" t="n">
        <v>1</v>
      </c>
      <c r="I7019" s="4" t="s">
        <v>7036</v>
      </c>
      <c r="J7019" s="4" t="s">
        <v>543</v>
      </c>
      <c r="K7019" s="13" t="n">
        <v>150</v>
      </c>
      <c r="L7019" s="6" t="n">
        <f aca="false">H7019*K7019</f>
        <v>150</v>
      </c>
      <c r="M7019" s="14" t="s">
        <v>410</v>
      </c>
    </row>
    <row r="7020" customFormat="false" ht="15" hidden="false" customHeight="false" outlineLevel="0" collapsed="false">
      <c r="A7020" s="4" t="s">
        <v>386</v>
      </c>
      <c r="B7020" s="5" t="s">
        <v>387</v>
      </c>
      <c r="C7020" s="5" t="s">
        <v>388</v>
      </c>
      <c r="D7020" s="4" t="s">
        <v>370</v>
      </c>
      <c r="E7020" s="4" t="s">
        <v>7334</v>
      </c>
      <c r="F7020" s="4" t="s">
        <v>406</v>
      </c>
      <c r="G7020" s="4" t="s">
        <v>7335</v>
      </c>
      <c r="H7020" s="12" t="n">
        <v>2</v>
      </c>
      <c r="I7020" s="4" t="s">
        <v>7036</v>
      </c>
      <c r="J7020" s="4" t="s">
        <v>543</v>
      </c>
      <c r="K7020" s="13" t="n">
        <v>1800</v>
      </c>
      <c r="L7020" s="6" t="n">
        <f aca="false">H7020*K7020</f>
        <v>3600</v>
      </c>
      <c r="M7020" s="14" t="s">
        <v>410</v>
      </c>
    </row>
    <row r="7021" customFormat="false" ht="15" hidden="false" customHeight="false" outlineLevel="0" collapsed="false">
      <c r="A7021" s="4" t="s">
        <v>386</v>
      </c>
      <c r="B7021" s="5" t="s">
        <v>387</v>
      </c>
      <c r="C7021" s="5" t="s">
        <v>388</v>
      </c>
      <c r="D7021" s="4" t="s">
        <v>370</v>
      </c>
      <c r="E7021" s="4" t="s">
        <v>4274</v>
      </c>
      <c r="F7021" s="4" t="s">
        <v>406</v>
      </c>
      <c r="G7021" s="4" t="s">
        <v>1937</v>
      </c>
      <c r="H7021" s="12" t="n">
        <v>2</v>
      </c>
      <c r="I7021" s="4" t="s">
        <v>7036</v>
      </c>
      <c r="J7021" s="4" t="s">
        <v>409</v>
      </c>
      <c r="K7021" s="13" t="n">
        <v>850</v>
      </c>
      <c r="L7021" s="6" t="n">
        <f aca="false">H7021*K7021</f>
        <v>1700</v>
      </c>
      <c r="M7021" s="14" t="s">
        <v>410</v>
      </c>
    </row>
    <row r="7022" customFormat="false" ht="15" hidden="false" customHeight="false" outlineLevel="0" collapsed="false">
      <c r="A7022" s="4" t="s">
        <v>386</v>
      </c>
      <c r="B7022" s="5" t="s">
        <v>387</v>
      </c>
      <c r="C7022" s="5" t="s">
        <v>388</v>
      </c>
      <c r="D7022" s="4" t="s">
        <v>370</v>
      </c>
      <c r="E7022" s="4" t="s">
        <v>7336</v>
      </c>
      <c r="F7022" s="4" t="s">
        <v>406</v>
      </c>
      <c r="G7022" s="4" t="s">
        <v>7337</v>
      </c>
      <c r="H7022" s="12" t="n">
        <v>2</v>
      </c>
      <c r="I7022" s="4" t="s">
        <v>7036</v>
      </c>
      <c r="J7022" s="4" t="s">
        <v>543</v>
      </c>
      <c r="K7022" s="13" t="n">
        <v>450</v>
      </c>
      <c r="L7022" s="6" t="n">
        <f aca="false">H7022*K7022</f>
        <v>900</v>
      </c>
      <c r="M7022" s="14" t="s">
        <v>410</v>
      </c>
    </row>
    <row r="7023" customFormat="false" ht="15" hidden="false" customHeight="false" outlineLevel="0" collapsed="false">
      <c r="A7023" s="4" t="s">
        <v>386</v>
      </c>
      <c r="B7023" s="5" t="s">
        <v>387</v>
      </c>
      <c r="C7023" s="5" t="s">
        <v>388</v>
      </c>
      <c r="D7023" s="4" t="s">
        <v>370</v>
      </c>
      <c r="E7023" s="4" t="s">
        <v>7338</v>
      </c>
      <c r="F7023" s="4" t="s">
        <v>406</v>
      </c>
      <c r="G7023" s="4" t="s">
        <v>7339</v>
      </c>
      <c r="H7023" s="12" t="n">
        <v>1</v>
      </c>
      <c r="I7023" s="4" t="s">
        <v>7036</v>
      </c>
      <c r="J7023" s="4" t="s">
        <v>416</v>
      </c>
      <c r="K7023" s="13" t="n">
        <v>500</v>
      </c>
      <c r="L7023" s="6" t="n">
        <f aca="false">H7023*K7023</f>
        <v>500</v>
      </c>
      <c r="M7023" s="14" t="s">
        <v>410</v>
      </c>
    </row>
    <row r="7024" customFormat="false" ht="15" hidden="false" customHeight="false" outlineLevel="0" collapsed="false">
      <c r="A7024" s="4" t="s">
        <v>386</v>
      </c>
      <c r="B7024" s="5" t="s">
        <v>387</v>
      </c>
      <c r="C7024" s="5" t="s">
        <v>388</v>
      </c>
      <c r="D7024" s="4" t="s">
        <v>370</v>
      </c>
      <c r="E7024" s="4" t="s">
        <v>7340</v>
      </c>
      <c r="F7024" s="4" t="s">
        <v>406</v>
      </c>
      <c r="G7024" s="4" t="s">
        <v>7341</v>
      </c>
      <c r="H7024" s="12" t="n">
        <v>2</v>
      </c>
      <c r="I7024" s="4" t="s">
        <v>7036</v>
      </c>
      <c r="J7024" s="4" t="s">
        <v>543</v>
      </c>
      <c r="K7024" s="13" t="n">
        <v>250</v>
      </c>
      <c r="L7024" s="6" t="n">
        <f aca="false">H7024*K7024</f>
        <v>500</v>
      </c>
      <c r="M7024" s="14" t="s">
        <v>410</v>
      </c>
    </row>
    <row r="7025" customFormat="false" ht="15" hidden="false" customHeight="false" outlineLevel="0" collapsed="false">
      <c r="A7025" s="4" t="s">
        <v>386</v>
      </c>
      <c r="B7025" s="5" t="s">
        <v>387</v>
      </c>
      <c r="C7025" s="5" t="s">
        <v>388</v>
      </c>
      <c r="D7025" s="4" t="s">
        <v>370</v>
      </c>
      <c r="E7025" s="4" t="s">
        <v>7342</v>
      </c>
      <c r="F7025" s="4" t="s">
        <v>406</v>
      </c>
      <c r="G7025" s="4" t="s">
        <v>7343</v>
      </c>
      <c r="H7025" s="12" t="n">
        <v>2</v>
      </c>
      <c r="I7025" s="4" t="s">
        <v>7036</v>
      </c>
      <c r="J7025" s="4" t="s">
        <v>543</v>
      </c>
      <c r="K7025" s="13" t="n">
        <v>350</v>
      </c>
      <c r="L7025" s="6" t="n">
        <f aca="false">H7025*K7025</f>
        <v>700</v>
      </c>
      <c r="M7025" s="14" t="s">
        <v>410</v>
      </c>
    </row>
    <row r="7026" customFormat="false" ht="15" hidden="false" customHeight="false" outlineLevel="0" collapsed="false">
      <c r="A7026" s="4" t="s">
        <v>386</v>
      </c>
      <c r="B7026" s="5" t="s">
        <v>387</v>
      </c>
      <c r="C7026" s="5" t="s">
        <v>388</v>
      </c>
      <c r="D7026" s="4" t="s">
        <v>370</v>
      </c>
      <c r="E7026" s="4" t="s">
        <v>7344</v>
      </c>
      <c r="F7026" s="4" t="s">
        <v>406</v>
      </c>
      <c r="G7026" s="4" t="s">
        <v>7345</v>
      </c>
      <c r="H7026" s="12" t="n">
        <v>1</v>
      </c>
      <c r="I7026" s="4" t="s">
        <v>7036</v>
      </c>
      <c r="J7026" s="4" t="s">
        <v>543</v>
      </c>
      <c r="K7026" s="13" t="n">
        <v>300</v>
      </c>
      <c r="L7026" s="6" t="n">
        <f aca="false">H7026*K7026</f>
        <v>300</v>
      </c>
      <c r="M7026" s="14" t="s">
        <v>410</v>
      </c>
    </row>
    <row r="7027" customFormat="false" ht="15" hidden="false" customHeight="false" outlineLevel="0" collapsed="false">
      <c r="A7027" s="4" t="s">
        <v>386</v>
      </c>
      <c r="B7027" s="5" t="s">
        <v>387</v>
      </c>
      <c r="C7027" s="5" t="s">
        <v>388</v>
      </c>
      <c r="D7027" s="4" t="s">
        <v>370</v>
      </c>
      <c r="E7027" s="4" t="s">
        <v>7676</v>
      </c>
      <c r="F7027" s="4" t="s">
        <v>406</v>
      </c>
      <c r="G7027" s="4" t="s">
        <v>7347</v>
      </c>
      <c r="H7027" s="12" t="n">
        <v>1</v>
      </c>
      <c r="I7027" s="4" t="s">
        <v>7036</v>
      </c>
      <c r="J7027" s="4" t="s">
        <v>543</v>
      </c>
      <c r="K7027" s="13" t="n">
        <v>200</v>
      </c>
      <c r="L7027" s="6" t="n">
        <f aca="false">H7027*K7027</f>
        <v>200</v>
      </c>
      <c r="M7027" s="14" t="s">
        <v>410</v>
      </c>
    </row>
    <row r="7028" customFormat="false" ht="15" hidden="false" customHeight="false" outlineLevel="0" collapsed="false">
      <c r="A7028" s="4" t="s">
        <v>386</v>
      </c>
      <c r="B7028" s="5" t="s">
        <v>387</v>
      </c>
      <c r="C7028" s="5" t="s">
        <v>388</v>
      </c>
      <c r="D7028" s="4" t="s">
        <v>370</v>
      </c>
      <c r="E7028" s="4" t="s">
        <v>7348</v>
      </c>
      <c r="F7028" s="4" t="s">
        <v>406</v>
      </c>
      <c r="G7028" s="4" t="s">
        <v>7349</v>
      </c>
      <c r="H7028" s="12" t="n">
        <v>1</v>
      </c>
      <c r="I7028" s="4" t="s">
        <v>7036</v>
      </c>
      <c r="J7028" s="4" t="s">
        <v>543</v>
      </c>
      <c r="K7028" s="13" t="n">
        <v>900</v>
      </c>
      <c r="L7028" s="6" t="n">
        <f aca="false">H7028*K7028</f>
        <v>900</v>
      </c>
      <c r="M7028" s="14" t="s">
        <v>410</v>
      </c>
    </row>
    <row r="7029" customFormat="false" ht="15" hidden="false" customHeight="false" outlineLevel="0" collapsed="false">
      <c r="A7029" s="4" t="s">
        <v>386</v>
      </c>
      <c r="B7029" s="5" t="s">
        <v>387</v>
      </c>
      <c r="C7029" s="5" t="s">
        <v>388</v>
      </c>
      <c r="D7029" s="4" t="s">
        <v>370</v>
      </c>
      <c r="E7029" s="4" t="s">
        <v>7350</v>
      </c>
      <c r="F7029" s="4" t="s">
        <v>406</v>
      </c>
      <c r="G7029" s="4" t="s">
        <v>7351</v>
      </c>
      <c r="H7029" s="12" t="n">
        <v>1</v>
      </c>
      <c r="I7029" s="4" t="s">
        <v>7036</v>
      </c>
      <c r="J7029" s="4" t="s">
        <v>543</v>
      </c>
      <c r="K7029" s="13" t="n">
        <v>1500</v>
      </c>
      <c r="L7029" s="6" t="n">
        <f aca="false">H7029*K7029</f>
        <v>1500</v>
      </c>
      <c r="M7029" s="14" t="s">
        <v>410</v>
      </c>
    </row>
    <row r="7030" customFormat="false" ht="15" hidden="false" customHeight="false" outlineLevel="0" collapsed="false">
      <c r="A7030" s="4" t="s">
        <v>386</v>
      </c>
      <c r="B7030" s="5" t="s">
        <v>387</v>
      </c>
      <c r="C7030" s="5" t="s">
        <v>388</v>
      </c>
      <c r="D7030" s="4" t="s">
        <v>370</v>
      </c>
      <c r="E7030" s="4" t="s">
        <v>7352</v>
      </c>
      <c r="F7030" s="4" t="s">
        <v>406</v>
      </c>
      <c r="G7030" s="4" t="s">
        <v>7353</v>
      </c>
      <c r="H7030" s="12" t="n">
        <v>1</v>
      </c>
      <c r="I7030" s="4" t="s">
        <v>7036</v>
      </c>
      <c r="J7030" s="4" t="s">
        <v>543</v>
      </c>
      <c r="K7030" s="13" t="n">
        <v>2500</v>
      </c>
      <c r="L7030" s="6" t="n">
        <f aca="false">H7030*K7030</f>
        <v>2500</v>
      </c>
      <c r="M7030" s="14" t="s">
        <v>410</v>
      </c>
    </row>
    <row r="7031" customFormat="false" ht="15" hidden="false" customHeight="false" outlineLevel="0" collapsed="false">
      <c r="A7031" s="4" t="s">
        <v>386</v>
      </c>
      <c r="B7031" s="5" t="s">
        <v>387</v>
      </c>
      <c r="C7031" s="5" t="s">
        <v>388</v>
      </c>
      <c r="D7031" s="4" t="s">
        <v>370</v>
      </c>
      <c r="E7031" s="4" t="s">
        <v>7677</v>
      </c>
      <c r="F7031" s="4" t="s">
        <v>406</v>
      </c>
      <c r="G7031" s="4" t="s">
        <v>7678</v>
      </c>
      <c r="H7031" s="12" t="n">
        <v>1</v>
      </c>
      <c r="I7031" s="4" t="s">
        <v>7036</v>
      </c>
      <c r="J7031" s="4" t="s">
        <v>543</v>
      </c>
      <c r="K7031" s="13" t="n">
        <v>5500</v>
      </c>
      <c r="L7031" s="6" t="n">
        <f aca="false">H7031*K7031</f>
        <v>5500</v>
      </c>
      <c r="M7031" s="14" t="s">
        <v>410</v>
      </c>
    </row>
    <row r="7032" customFormat="false" ht="15" hidden="false" customHeight="false" outlineLevel="0" collapsed="false">
      <c r="A7032" s="4" t="s">
        <v>386</v>
      </c>
      <c r="B7032" s="5" t="s">
        <v>387</v>
      </c>
      <c r="C7032" s="5" t="s">
        <v>388</v>
      </c>
      <c r="D7032" s="4" t="s">
        <v>370</v>
      </c>
      <c r="E7032" s="4" t="s">
        <v>7679</v>
      </c>
      <c r="F7032" s="4" t="s">
        <v>406</v>
      </c>
      <c r="G7032" s="4" t="s">
        <v>7680</v>
      </c>
      <c r="H7032" s="12" t="n">
        <v>1</v>
      </c>
      <c r="I7032" s="4" t="s">
        <v>7036</v>
      </c>
      <c r="J7032" s="4" t="s">
        <v>543</v>
      </c>
      <c r="K7032" s="13" t="n">
        <v>4500</v>
      </c>
      <c r="L7032" s="6" t="n">
        <f aca="false">H7032*K7032</f>
        <v>4500</v>
      </c>
      <c r="M7032" s="14" t="s">
        <v>410</v>
      </c>
    </row>
    <row r="7033" customFormat="false" ht="15" hidden="false" customHeight="false" outlineLevel="0" collapsed="false">
      <c r="A7033" s="4" t="s">
        <v>386</v>
      </c>
      <c r="B7033" s="5" t="s">
        <v>387</v>
      </c>
      <c r="C7033" s="5" t="s">
        <v>388</v>
      </c>
      <c r="D7033" s="4" t="s">
        <v>370</v>
      </c>
      <c r="E7033" s="4" t="s">
        <v>7358</v>
      </c>
      <c r="F7033" s="4" t="s">
        <v>406</v>
      </c>
      <c r="G7033" s="4" t="s">
        <v>7359</v>
      </c>
      <c r="H7033" s="12" t="n">
        <v>1</v>
      </c>
      <c r="I7033" s="4" t="s">
        <v>7036</v>
      </c>
      <c r="J7033" s="4" t="s">
        <v>543</v>
      </c>
      <c r="K7033" s="13" t="n">
        <v>250</v>
      </c>
      <c r="L7033" s="6" t="n">
        <f aca="false">H7033*K7033</f>
        <v>250</v>
      </c>
      <c r="M7033" s="14" t="s">
        <v>410</v>
      </c>
    </row>
    <row r="7034" customFormat="false" ht="15" hidden="false" customHeight="false" outlineLevel="0" collapsed="false">
      <c r="A7034" s="4" t="s">
        <v>386</v>
      </c>
      <c r="B7034" s="5" t="s">
        <v>387</v>
      </c>
      <c r="C7034" s="5" t="s">
        <v>388</v>
      </c>
      <c r="D7034" s="4" t="s">
        <v>370</v>
      </c>
      <c r="E7034" s="4" t="s">
        <v>7360</v>
      </c>
      <c r="F7034" s="4" t="s">
        <v>488</v>
      </c>
      <c r="G7034" s="4" t="s">
        <v>7361</v>
      </c>
      <c r="H7034" s="12" t="n">
        <v>5</v>
      </c>
      <c r="I7034" s="4" t="s">
        <v>7036</v>
      </c>
      <c r="J7034" s="4" t="s">
        <v>7227</v>
      </c>
      <c r="K7034" s="13" t="n">
        <v>60</v>
      </c>
      <c r="L7034" s="6" t="n">
        <f aca="false">H7034*K7034</f>
        <v>300</v>
      </c>
      <c r="M7034" s="14" t="s">
        <v>410</v>
      </c>
    </row>
    <row r="7035" customFormat="false" ht="15" hidden="false" customHeight="false" outlineLevel="0" collapsed="false">
      <c r="A7035" s="4" t="s">
        <v>386</v>
      </c>
      <c r="B7035" s="5" t="s">
        <v>387</v>
      </c>
      <c r="C7035" s="5" t="s">
        <v>388</v>
      </c>
      <c r="D7035" s="4" t="s">
        <v>370</v>
      </c>
      <c r="E7035" s="4" t="s">
        <v>7362</v>
      </c>
      <c r="F7035" s="4" t="s">
        <v>488</v>
      </c>
      <c r="G7035" s="4" t="s">
        <v>7363</v>
      </c>
      <c r="H7035" s="12" t="n">
        <v>100</v>
      </c>
      <c r="I7035" s="4" t="s">
        <v>7036</v>
      </c>
      <c r="J7035" s="4" t="s">
        <v>7227</v>
      </c>
      <c r="K7035" s="13" t="n">
        <v>20</v>
      </c>
      <c r="L7035" s="6" t="n">
        <f aca="false">H7035*K7035</f>
        <v>2000</v>
      </c>
      <c r="M7035" s="14" t="s">
        <v>410</v>
      </c>
    </row>
    <row r="7036" customFormat="false" ht="15" hidden="false" customHeight="false" outlineLevel="0" collapsed="false">
      <c r="A7036" s="4" t="s">
        <v>386</v>
      </c>
      <c r="B7036" s="5" t="s">
        <v>387</v>
      </c>
      <c r="C7036" s="5" t="s">
        <v>388</v>
      </c>
      <c r="D7036" s="4" t="s">
        <v>370</v>
      </c>
      <c r="E7036" s="4" t="s">
        <v>7364</v>
      </c>
      <c r="F7036" s="4" t="s">
        <v>488</v>
      </c>
      <c r="G7036" s="4" t="s">
        <v>7365</v>
      </c>
      <c r="H7036" s="12" t="n">
        <v>2</v>
      </c>
      <c r="I7036" s="4" t="s">
        <v>7036</v>
      </c>
      <c r="J7036" s="4" t="s">
        <v>475</v>
      </c>
      <c r="K7036" s="13" t="n">
        <v>1200</v>
      </c>
      <c r="L7036" s="6" t="n">
        <f aca="false">H7036*K7036</f>
        <v>2400</v>
      </c>
      <c r="M7036" s="14" t="s">
        <v>410</v>
      </c>
    </row>
    <row r="7037" customFormat="false" ht="15" hidden="false" customHeight="false" outlineLevel="0" collapsed="false">
      <c r="A7037" s="4" t="s">
        <v>386</v>
      </c>
      <c r="B7037" s="5" t="s">
        <v>387</v>
      </c>
      <c r="C7037" s="5" t="s">
        <v>388</v>
      </c>
      <c r="D7037" s="4" t="s">
        <v>370</v>
      </c>
      <c r="E7037" s="4" t="s">
        <v>7366</v>
      </c>
      <c r="F7037" s="4" t="s">
        <v>406</v>
      </c>
      <c r="G7037" s="4" t="s">
        <v>7367</v>
      </c>
      <c r="H7037" s="12" t="n">
        <v>2</v>
      </c>
      <c r="I7037" s="4" t="s">
        <v>7036</v>
      </c>
      <c r="J7037" s="4" t="s">
        <v>543</v>
      </c>
      <c r="K7037" s="13" t="n">
        <v>900</v>
      </c>
      <c r="L7037" s="6" t="n">
        <f aca="false">H7037*K7037</f>
        <v>1800</v>
      </c>
      <c r="M7037" s="14" t="s">
        <v>410</v>
      </c>
    </row>
    <row r="7038" customFormat="false" ht="15" hidden="false" customHeight="false" outlineLevel="0" collapsed="false">
      <c r="A7038" s="4" t="s">
        <v>386</v>
      </c>
      <c r="B7038" s="5" t="s">
        <v>387</v>
      </c>
      <c r="C7038" s="5" t="s">
        <v>388</v>
      </c>
      <c r="D7038" s="4" t="s">
        <v>370</v>
      </c>
      <c r="E7038" s="4" t="s">
        <v>7368</v>
      </c>
      <c r="F7038" s="4" t="s">
        <v>406</v>
      </c>
      <c r="G7038" s="4" t="s">
        <v>7369</v>
      </c>
      <c r="H7038" s="12" t="n">
        <v>2</v>
      </c>
      <c r="I7038" s="4" t="s">
        <v>7036</v>
      </c>
      <c r="J7038" s="4" t="s">
        <v>543</v>
      </c>
      <c r="K7038" s="13" t="n">
        <v>450</v>
      </c>
      <c r="L7038" s="6" t="n">
        <f aca="false">H7038*K7038</f>
        <v>900</v>
      </c>
      <c r="M7038" s="14" t="s">
        <v>410</v>
      </c>
    </row>
    <row r="7039" customFormat="false" ht="15" hidden="false" customHeight="false" outlineLevel="0" collapsed="false">
      <c r="A7039" s="4" t="s">
        <v>386</v>
      </c>
      <c r="B7039" s="5" t="s">
        <v>387</v>
      </c>
      <c r="C7039" s="5" t="s">
        <v>388</v>
      </c>
      <c r="D7039" s="4" t="s">
        <v>370</v>
      </c>
      <c r="E7039" s="4" t="s">
        <v>7370</v>
      </c>
      <c r="F7039" s="4" t="s">
        <v>470</v>
      </c>
      <c r="G7039" s="4" t="s">
        <v>7371</v>
      </c>
      <c r="H7039" s="12" t="n">
        <v>1</v>
      </c>
      <c r="I7039" s="4" t="s">
        <v>7036</v>
      </c>
      <c r="J7039" s="4" t="s">
        <v>543</v>
      </c>
      <c r="K7039" s="13" t="n">
        <v>2800</v>
      </c>
      <c r="L7039" s="6" t="n">
        <f aca="false">H7039*K7039</f>
        <v>2800</v>
      </c>
      <c r="M7039" s="14" t="s">
        <v>410</v>
      </c>
    </row>
    <row r="7040" customFormat="false" ht="15" hidden="false" customHeight="false" outlineLevel="0" collapsed="false">
      <c r="A7040" s="4" t="s">
        <v>386</v>
      </c>
      <c r="B7040" s="5" t="s">
        <v>387</v>
      </c>
      <c r="C7040" s="5" t="s">
        <v>388</v>
      </c>
      <c r="D7040" s="4" t="s">
        <v>370</v>
      </c>
      <c r="E7040" s="4" t="s">
        <v>7372</v>
      </c>
      <c r="F7040" s="4" t="s">
        <v>406</v>
      </c>
      <c r="G7040" s="4" t="s">
        <v>7373</v>
      </c>
      <c r="H7040" s="12" t="n">
        <v>2</v>
      </c>
      <c r="I7040" s="4" t="s">
        <v>7036</v>
      </c>
      <c r="J7040" s="4" t="s">
        <v>543</v>
      </c>
      <c r="K7040" s="13" t="n">
        <v>150</v>
      </c>
      <c r="L7040" s="6" t="n">
        <f aca="false">H7040*K7040</f>
        <v>300</v>
      </c>
      <c r="M7040" s="14" t="s">
        <v>410</v>
      </c>
    </row>
    <row r="7041" customFormat="false" ht="15" hidden="false" customHeight="false" outlineLevel="0" collapsed="false">
      <c r="A7041" s="4" t="s">
        <v>386</v>
      </c>
      <c r="B7041" s="5" t="s">
        <v>387</v>
      </c>
      <c r="C7041" s="5" t="s">
        <v>388</v>
      </c>
      <c r="D7041" s="4" t="s">
        <v>370</v>
      </c>
      <c r="E7041" s="4" t="s">
        <v>7681</v>
      </c>
      <c r="F7041" s="4" t="s">
        <v>406</v>
      </c>
      <c r="G7041" s="4" t="s">
        <v>7375</v>
      </c>
      <c r="H7041" s="12" t="n">
        <v>1</v>
      </c>
      <c r="I7041" s="4" t="s">
        <v>7036</v>
      </c>
      <c r="J7041" s="4" t="s">
        <v>543</v>
      </c>
      <c r="K7041" s="13" t="n">
        <v>250</v>
      </c>
      <c r="L7041" s="6" t="n">
        <f aca="false">H7041*K7041</f>
        <v>250</v>
      </c>
      <c r="M7041" s="14" t="s">
        <v>410</v>
      </c>
    </row>
    <row r="7042" customFormat="false" ht="15" hidden="false" customHeight="false" outlineLevel="0" collapsed="false">
      <c r="A7042" s="4" t="s">
        <v>386</v>
      </c>
      <c r="B7042" s="5" t="s">
        <v>387</v>
      </c>
      <c r="C7042" s="5" t="s">
        <v>388</v>
      </c>
      <c r="D7042" s="4" t="s">
        <v>370</v>
      </c>
      <c r="E7042" s="4" t="s">
        <v>7376</v>
      </c>
      <c r="F7042" s="4" t="s">
        <v>406</v>
      </c>
      <c r="G7042" s="4" t="s">
        <v>7377</v>
      </c>
      <c r="H7042" s="12" t="n">
        <v>1</v>
      </c>
      <c r="I7042" s="4" t="s">
        <v>7036</v>
      </c>
      <c r="J7042" s="4" t="s">
        <v>416</v>
      </c>
      <c r="K7042" s="13" t="n">
        <v>450</v>
      </c>
      <c r="L7042" s="6" t="n">
        <f aca="false">H7042*K7042</f>
        <v>450</v>
      </c>
      <c r="M7042" s="14" t="s">
        <v>410</v>
      </c>
    </row>
    <row r="7043" customFormat="false" ht="15" hidden="false" customHeight="false" outlineLevel="0" collapsed="false">
      <c r="A7043" s="4" t="s">
        <v>386</v>
      </c>
      <c r="B7043" s="5" t="s">
        <v>387</v>
      </c>
      <c r="C7043" s="5" t="s">
        <v>388</v>
      </c>
      <c r="D7043" s="4" t="s">
        <v>370</v>
      </c>
      <c r="E7043" s="4" t="s">
        <v>7378</v>
      </c>
      <c r="F7043" s="4" t="s">
        <v>406</v>
      </c>
      <c r="G7043" s="4" t="s">
        <v>7379</v>
      </c>
      <c r="H7043" s="12" t="n">
        <v>1</v>
      </c>
      <c r="I7043" s="4" t="s">
        <v>7036</v>
      </c>
      <c r="J7043" s="4" t="s">
        <v>416</v>
      </c>
      <c r="K7043" s="13" t="n">
        <v>900</v>
      </c>
      <c r="L7043" s="6" t="n">
        <f aca="false">H7043*K7043</f>
        <v>900</v>
      </c>
      <c r="M7043" s="14" t="s">
        <v>410</v>
      </c>
    </row>
    <row r="7044" customFormat="false" ht="15" hidden="false" customHeight="false" outlineLevel="0" collapsed="false">
      <c r="A7044" s="4" t="s">
        <v>386</v>
      </c>
      <c r="B7044" s="5" t="s">
        <v>387</v>
      </c>
      <c r="C7044" s="5" t="s">
        <v>388</v>
      </c>
      <c r="D7044" s="4" t="s">
        <v>370</v>
      </c>
      <c r="E7044" s="4" t="s">
        <v>7380</v>
      </c>
      <c r="F7044" s="4" t="s">
        <v>406</v>
      </c>
      <c r="G7044" s="4" t="s">
        <v>7381</v>
      </c>
      <c r="H7044" s="12" t="n">
        <v>2</v>
      </c>
      <c r="I7044" s="4" t="s">
        <v>7036</v>
      </c>
      <c r="J7044" s="4" t="s">
        <v>543</v>
      </c>
      <c r="K7044" s="13" t="n">
        <v>80</v>
      </c>
      <c r="L7044" s="6" t="n">
        <f aca="false">H7044*K7044</f>
        <v>160</v>
      </c>
      <c r="M7044" s="14" t="s">
        <v>410</v>
      </c>
    </row>
    <row r="7045" customFormat="false" ht="15" hidden="false" customHeight="false" outlineLevel="0" collapsed="false">
      <c r="A7045" s="4" t="s">
        <v>386</v>
      </c>
      <c r="B7045" s="5" t="s">
        <v>387</v>
      </c>
      <c r="C7045" s="5" t="s">
        <v>388</v>
      </c>
      <c r="D7045" s="4" t="s">
        <v>370</v>
      </c>
      <c r="E7045" s="4" t="s">
        <v>7382</v>
      </c>
      <c r="F7045" s="4" t="s">
        <v>406</v>
      </c>
      <c r="G7045" s="4" t="s">
        <v>7383</v>
      </c>
      <c r="H7045" s="12" t="n">
        <v>1</v>
      </c>
      <c r="I7045" s="4" t="s">
        <v>7036</v>
      </c>
      <c r="J7045" s="4" t="s">
        <v>543</v>
      </c>
      <c r="K7045" s="13" t="n">
        <v>900</v>
      </c>
      <c r="L7045" s="6" t="n">
        <f aca="false">H7045*K7045</f>
        <v>900</v>
      </c>
      <c r="M7045" s="14" t="s">
        <v>410</v>
      </c>
    </row>
    <row r="7046" customFormat="false" ht="15" hidden="false" customHeight="false" outlineLevel="0" collapsed="false">
      <c r="A7046" s="4" t="s">
        <v>386</v>
      </c>
      <c r="B7046" s="5" t="s">
        <v>387</v>
      </c>
      <c r="C7046" s="5" t="s">
        <v>388</v>
      </c>
      <c r="D7046" s="4" t="s">
        <v>370</v>
      </c>
      <c r="E7046" s="4" t="s">
        <v>7384</v>
      </c>
      <c r="F7046" s="4" t="s">
        <v>406</v>
      </c>
      <c r="G7046" s="4" t="s">
        <v>7385</v>
      </c>
      <c r="H7046" s="12" t="n">
        <v>1</v>
      </c>
      <c r="I7046" s="4" t="s">
        <v>7036</v>
      </c>
      <c r="J7046" s="4" t="s">
        <v>543</v>
      </c>
      <c r="K7046" s="13" t="n">
        <v>350</v>
      </c>
      <c r="L7046" s="6" t="n">
        <f aca="false">H7046*K7046</f>
        <v>350</v>
      </c>
      <c r="M7046" s="14" t="s">
        <v>410</v>
      </c>
    </row>
    <row r="7047" customFormat="false" ht="15" hidden="false" customHeight="false" outlineLevel="0" collapsed="false">
      <c r="A7047" s="4" t="s">
        <v>386</v>
      </c>
      <c r="B7047" s="5" t="s">
        <v>387</v>
      </c>
      <c r="C7047" s="5" t="s">
        <v>388</v>
      </c>
      <c r="D7047" s="4" t="s">
        <v>370</v>
      </c>
      <c r="E7047" s="4" t="s">
        <v>7386</v>
      </c>
      <c r="F7047" s="4" t="s">
        <v>406</v>
      </c>
      <c r="G7047" s="4" t="s">
        <v>7387</v>
      </c>
      <c r="H7047" s="12" t="n">
        <v>1</v>
      </c>
      <c r="I7047" s="4" t="s">
        <v>7036</v>
      </c>
      <c r="J7047" s="4" t="s">
        <v>543</v>
      </c>
      <c r="K7047" s="13" t="n">
        <v>1500</v>
      </c>
      <c r="L7047" s="6" t="n">
        <f aca="false">H7047*K7047</f>
        <v>1500</v>
      </c>
      <c r="M7047" s="14" t="s">
        <v>410</v>
      </c>
    </row>
    <row r="7048" customFormat="false" ht="15" hidden="false" customHeight="false" outlineLevel="0" collapsed="false">
      <c r="A7048" s="4" t="s">
        <v>386</v>
      </c>
      <c r="B7048" s="5" t="s">
        <v>387</v>
      </c>
      <c r="C7048" s="5" t="s">
        <v>388</v>
      </c>
      <c r="D7048" s="4" t="s">
        <v>370</v>
      </c>
      <c r="E7048" s="4" t="s">
        <v>7388</v>
      </c>
      <c r="F7048" s="4" t="s">
        <v>406</v>
      </c>
      <c r="G7048" s="4" t="s">
        <v>7389</v>
      </c>
      <c r="H7048" s="12" t="n">
        <v>2</v>
      </c>
      <c r="I7048" s="4" t="s">
        <v>7036</v>
      </c>
      <c r="J7048" s="4" t="s">
        <v>543</v>
      </c>
      <c r="K7048" s="13" t="n">
        <v>150</v>
      </c>
      <c r="L7048" s="6" t="n">
        <f aca="false">H7048*K7048</f>
        <v>300</v>
      </c>
      <c r="M7048" s="14" t="s">
        <v>410</v>
      </c>
    </row>
    <row r="7049" customFormat="false" ht="15" hidden="false" customHeight="false" outlineLevel="0" collapsed="false">
      <c r="A7049" s="4" t="s">
        <v>386</v>
      </c>
      <c r="B7049" s="5" t="s">
        <v>387</v>
      </c>
      <c r="C7049" s="5" t="s">
        <v>388</v>
      </c>
      <c r="D7049" s="4" t="s">
        <v>370</v>
      </c>
      <c r="E7049" s="4" t="s">
        <v>7390</v>
      </c>
      <c r="F7049" s="4" t="s">
        <v>406</v>
      </c>
      <c r="G7049" s="4" t="s">
        <v>7391</v>
      </c>
      <c r="H7049" s="12" t="n">
        <v>1</v>
      </c>
      <c r="I7049" s="4" t="s">
        <v>7036</v>
      </c>
      <c r="J7049" s="4" t="s">
        <v>416</v>
      </c>
      <c r="K7049" s="13" t="n">
        <v>350</v>
      </c>
      <c r="L7049" s="6" t="n">
        <f aca="false">H7049*K7049</f>
        <v>350</v>
      </c>
      <c r="M7049" s="14" t="s">
        <v>410</v>
      </c>
    </row>
    <row r="7050" customFormat="false" ht="15" hidden="false" customHeight="false" outlineLevel="0" collapsed="false">
      <c r="A7050" s="4" t="s">
        <v>386</v>
      </c>
      <c r="B7050" s="5" t="s">
        <v>387</v>
      </c>
      <c r="C7050" s="5" t="s">
        <v>388</v>
      </c>
      <c r="D7050" s="4" t="s">
        <v>370</v>
      </c>
      <c r="E7050" s="4" t="s">
        <v>7392</v>
      </c>
      <c r="F7050" s="4" t="s">
        <v>406</v>
      </c>
      <c r="G7050" s="4" t="s">
        <v>7393</v>
      </c>
      <c r="H7050" s="12" t="n">
        <v>1</v>
      </c>
      <c r="I7050" s="4" t="s">
        <v>7036</v>
      </c>
      <c r="J7050" s="4" t="s">
        <v>543</v>
      </c>
      <c r="K7050" s="13" t="n">
        <v>150</v>
      </c>
      <c r="L7050" s="6" t="n">
        <f aca="false">H7050*K7050</f>
        <v>150</v>
      </c>
      <c r="M7050" s="14" t="s">
        <v>410</v>
      </c>
    </row>
    <row r="7051" customFormat="false" ht="15" hidden="false" customHeight="false" outlineLevel="0" collapsed="false">
      <c r="A7051" s="4" t="s">
        <v>386</v>
      </c>
      <c r="B7051" s="5" t="s">
        <v>387</v>
      </c>
      <c r="C7051" s="5" t="s">
        <v>388</v>
      </c>
      <c r="D7051" s="4" t="s">
        <v>370</v>
      </c>
      <c r="E7051" s="4" t="s">
        <v>7394</v>
      </c>
      <c r="F7051" s="4" t="s">
        <v>406</v>
      </c>
      <c r="G7051" s="4" t="s">
        <v>7395</v>
      </c>
      <c r="H7051" s="12" t="n">
        <v>1</v>
      </c>
      <c r="I7051" s="4" t="s">
        <v>7036</v>
      </c>
      <c r="J7051" s="4" t="s">
        <v>543</v>
      </c>
      <c r="K7051" s="13" t="n">
        <v>150</v>
      </c>
      <c r="L7051" s="6" t="n">
        <f aca="false">H7051*K7051</f>
        <v>150</v>
      </c>
      <c r="M7051" s="14" t="s">
        <v>410</v>
      </c>
    </row>
    <row r="7052" customFormat="false" ht="15" hidden="false" customHeight="false" outlineLevel="0" collapsed="false">
      <c r="A7052" s="4" t="s">
        <v>386</v>
      </c>
      <c r="B7052" s="5" t="s">
        <v>387</v>
      </c>
      <c r="C7052" s="5" t="s">
        <v>388</v>
      </c>
      <c r="D7052" s="4" t="s">
        <v>370</v>
      </c>
      <c r="E7052" s="4" t="s">
        <v>7396</v>
      </c>
      <c r="F7052" s="4" t="s">
        <v>406</v>
      </c>
      <c r="G7052" s="4" t="s">
        <v>7397</v>
      </c>
      <c r="H7052" s="12" t="n">
        <v>1</v>
      </c>
      <c r="I7052" s="4" t="s">
        <v>7036</v>
      </c>
      <c r="J7052" s="4" t="s">
        <v>416</v>
      </c>
      <c r="K7052" s="13" t="n">
        <v>150</v>
      </c>
      <c r="L7052" s="6" t="n">
        <f aca="false">H7052*K7052</f>
        <v>150</v>
      </c>
      <c r="M7052" s="14" t="s">
        <v>410</v>
      </c>
    </row>
    <row r="7053" customFormat="false" ht="15" hidden="false" customHeight="false" outlineLevel="0" collapsed="false">
      <c r="A7053" s="4" t="s">
        <v>386</v>
      </c>
      <c r="B7053" s="5" t="s">
        <v>387</v>
      </c>
      <c r="C7053" s="5" t="s">
        <v>388</v>
      </c>
      <c r="D7053" s="4" t="s">
        <v>370</v>
      </c>
      <c r="E7053" s="4" t="s">
        <v>7398</v>
      </c>
      <c r="F7053" s="4" t="s">
        <v>406</v>
      </c>
      <c r="G7053" s="4" t="s">
        <v>7399</v>
      </c>
      <c r="H7053" s="12" t="n">
        <v>1</v>
      </c>
      <c r="I7053" s="4" t="s">
        <v>7036</v>
      </c>
      <c r="J7053" s="4" t="s">
        <v>543</v>
      </c>
      <c r="K7053" s="13" t="n">
        <v>3500</v>
      </c>
      <c r="L7053" s="6" t="n">
        <f aca="false">H7053*K7053</f>
        <v>3500</v>
      </c>
      <c r="M7053" s="14" t="s">
        <v>410</v>
      </c>
    </row>
    <row r="7054" customFormat="false" ht="15" hidden="false" customHeight="false" outlineLevel="0" collapsed="false">
      <c r="A7054" s="4" t="s">
        <v>386</v>
      </c>
      <c r="B7054" s="5" t="s">
        <v>387</v>
      </c>
      <c r="C7054" s="5" t="s">
        <v>388</v>
      </c>
      <c r="D7054" s="4" t="s">
        <v>370</v>
      </c>
      <c r="E7054" s="4" t="s">
        <v>7682</v>
      </c>
      <c r="F7054" s="4" t="s">
        <v>406</v>
      </c>
      <c r="G7054" s="4" t="s">
        <v>7683</v>
      </c>
      <c r="H7054" s="12" t="n">
        <v>1</v>
      </c>
      <c r="I7054" s="4" t="s">
        <v>7036</v>
      </c>
      <c r="J7054" s="4" t="s">
        <v>543</v>
      </c>
      <c r="K7054" s="13" t="n">
        <v>1800</v>
      </c>
      <c r="L7054" s="6" t="n">
        <f aca="false">H7054*K7054</f>
        <v>1800</v>
      </c>
      <c r="M7054" s="14" t="s">
        <v>410</v>
      </c>
    </row>
    <row r="7055" customFormat="false" ht="15" hidden="false" customHeight="false" outlineLevel="0" collapsed="false">
      <c r="A7055" s="4" t="s">
        <v>386</v>
      </c>
      <c r="B7055" s="5" t="s">
        <v>387</v>
      </c>
      <c r="C7055" s="5" t="s">
        <v>388</v>
      </c>
      <c r="D7055" s="4" t="s">
        <v>370</v>
      </c>
      <c r="E7055" s="4" t="s">
        <v>771</v>
      </c>
      <c r="F7055" s="4" t="s">
        <v>406</v>
      </c>
      <c r="G7055" s="4" t="s">
        <v>772</v>
      </c>
      <c r="H7055" s="12" t="n">
        <v>1</v>
      </c>
      <c r="I7055" s="4" t="s">
        <v>7036</v>
      </c>
      <c r="J7055" s="4" t="s">
        <v>416</v>
      </c>
      <c r="K7055" s="13" t="n">
        <v>850</v>
      </c>
      <c r="L7055" s="6" t="n">
        <f aca="false">H7055*K7055</f>
        <v>850</v>
      </c>
      <c r="M7055" s="14" t="s">
        <v>410</v>
      </c>
    </row>
    <row r="7056" customFormat="false" ht="15" hidden="false" customHeight="false" outlineLevel="0" collapsed="false">
      <c r="A7056" s="4" t="s">
        <v>386</v>
      </c>
      <c r="B7056" s="5" t="s">
        <v>387</v>
      </c>
      <c r="C7056" s="5" t="s">
        <v>388</v>
      </c>
      <c r="D7056" s="4" t="s">
        <v>370</v>
      </c>
      <c r="E7056" s="4" t="s">
        <v>7402</v>
      </c>
      <c r="F7056" s="4" t="s">
        <v>406</v>
      </c>
      <c r="G7056" s="4" t="s">
        <v>7403</v>
      </c>
      <c r="H7056" s="12" t="n">
        <v>6</v>
      </c>
      <c r="I7056" s="4" t="s">
        <v>7036</v>
      </c>
      <c r="J7056" s="4" t="s">
        <v>543</v>
      </c>
      <c r="K7056" s="13" t="n">
        <v>40</v>
      </c>
      <c r="L7056" s="6" t="n">
        <f aca="false">H7056*K7056</f>
        <v>240</v>
      </c>
      <c r="M7056" s="14" t="s">
        <v>410</v>
      </c>
    </row>
    <row r="7057" customFormat="false" ht="15" hidden="false" customHeight="false" outlineLevel="0" collapsed="false">
      <c r="A7057" s="4" t="s">
        <v>386</v>
      </c>
      <c r="B7057" s="5" t="s">
        <v>387</v>
      </c>
      <c r="C7057" s="5" t="s">
        <v>388</v>
      </c>
      <c r="D7057" s="4" t="s">
        <v>370</v>
      </c>
      <c r="E7057" s="4" t="s">
        <v>7404</v>
      </c>
      <c r="F7057" s="4" t="s">
        <v>406</v>
      </c>
      <c r="G7057" s="4" t="s">
        <v>7405</v>
      </c>
      <c r="H7057" s="12" t="n">
        <v>1</v>
      </c>
      <c r="I7057" s="4" t="s">
        <v>7036</v>
      </c>
      <c r="J7057" s="4" t="s">
        <v>543</v>
      </c>
      <c r="K7057" s="13" t="n">
        <v>1500</v>
      </c>
      <c r="L7057" s="6" t="n">
        <f aca="false">H7057*K7057</f>
        <v>1500</v>
      </c>
      <c r="M7057" s="14" t="s">
        <v>410</v>
      </c>
    </row>
    <row r="7058" customFormat="false" ht="15" hidden="false" customHeight="false" outlineLevel="0" collapsed="false">
      <c r="A7058" s="4" t="s">
        <v>386</v>
      </c>
      <c r="B7058" s="5" t="s">
        <v>387</v>
      </c>
      <c r="C7058" s="5" t="s">
        <v>388</v>
      </c>
      <c r="D7058" s="4" t="s">
        <v>370</v>
      </c>
      <c r="E7058" s="4" t="s">
        <v>7684</v>
      </c>
      <c r="F7058" s="4" t="s">
        <v>406</v>
      </c>
      <c r="G7058" s="4" t="s">
        <v>7407</v>
      </c>
      <c r="H7058" s="12" t="n">
        <v>1</v>
      </c>
      <c r="I7058" s="4" t="s">
        <v>7036</v>
      </c>
      <c r="J7058" s="4" t="s">
        <v>543</v>
      </c>
      <c r="K7058" s="13" t="n">
        <v>150</v>
      </c>
      <c r="L7058" s="6" t="n">
        <f aca="false">H7058*K7058</f>
        <v>150</v>
      </c>
      <c r="M7058" s="14" t="s">
        <v>410</v>
      </c>
    </row>
    <row r="7059" customFormat="false" ht="15" hidden="false" customHeight="false" outlineLevel="0" collapsed="false">
      <c r="A7059" s="4" t="s">
        <v>386</v>
      </c>
      <c r="B7059" s="5" t="s">
        <v>387</v>
      </c>
      <c r="C7059" s="5" t="s">
        <v>388</v>
      </c>
      <c r="D7059" s="4" t="s">
        <v>370</v>
      </c>
      <c r="E7059" s="4" t="s">
        <v>7408</v>
      </c>
      <c r="F7059" s="4" t="s">
        <v>406</v>
      </c>
      <c r="G7059" s="4" t="s">
        <v>7409</v>
      </c>
      <c r="H7059" s="12" t="n">
        <v>2</v>
      </c>
      <c r="I7059" s="4" t="s">
        <v>7036</v>
      </c>
      <c r="J7059" s="4" t="s">
        <v>543</v>
      </c>
      <c r="K7059" s="13" t="n">
        <v>60</v>
      </c>
      <c r="L7059" s="6" t="n">
        <f aca="false">H7059*K7059</f>
        <v>120</v>
      </c>
      <c r="M7059" s="14" t="s">
        <v>410</v>
      </c>
    </row>
    <row r="7060" customFormat="false" ht="15" hidden="false" customHeight="false" outlineLevel="0" collapsed="false">
      <c r="A7060" s="4" t="s">
        <v>386</v>
      </c>
      <c r="B7060" s="5" t="s">
        <v>387</v>
      </c>
      <c r="C7060" s="5" t="s">
        <v>388</v>
      </c>
      <c r="D7060" s="4" t="s">
        <v>370</v>
      </c>
      <c r="E7060" s="4" t="s">
        <v>7410</v>
      </c>
      <c r="F7060" s="4" t="s">
        <v>406</v>
      </c>
      <c r="G7060" s="4" t="s">
        <v>7411</v>
      </c>
      <c r="H7060" s="12" t="n">
        <v>1</v>
      </c>
      <c r="I7060" s="4" t="s">
        <v>7036</v>
      </c>
      <c r="J7060" s="4" t="s">
        <v>543</v>
      </c>
      <c r="K7060" s="13" t="n">
        <v>350</v>
      </c>
      <c r="L7060" s="6" t="n">
        <f aca="false">H7060*K7060</f>
        <v>350</v>
      </c>
      <c r="M7060" s="14" t="s">
        <v>410</v>
      </c>
    </row>
    <row r="7061" customFormat="false" ht="15" hidden="false" customHeight="false" outlineLevel="0" collapsed="false">
      <c r="A7061" s="4" t="s">
        <v>386</v>
      </c>
      <c r="B7061" s="5" t="s">
        <v>387</v>
      </c>
      <c r="C7061" s="5" t="s">
        <v>388</v>
      </c>
      <c r="D7061" s="4" t="s">
        <v>370</v>
      </c>
      <c r="E7061" s="4" t="s">
        <v>7685</v>
      </c>
      <c r="F7061" s="4" t="s">
        <v>406</v>
      </c>
      <c r="G7061" s="4" t="s">
        <v>7686</v>
      </c>
      <c r="H7061" s="12" t="n">
        <v>1</v>
      </c>
      <c r="I7061" s="4" t="s">
        <v>7036</v>
      </c>
      <c r="J7061" s="4" t="s">
        <v>543</v>
      </c>
      <c r="K7061" s="13" t="n">
        <v>500</v>
      </c>
      <c r="L7061" s="6" t="n">
        <f aca="false">H7061*K7061</f>
        <v>500</v>
      </c>
      <c r="M7061" s="14" t="s">
        <v>410</v>
      </c>
    </row>
    <row r="7062" customFormat="false" ht="15" hidden="false" customHeight="false" outlineLevel="0" collapsed="false">
      <c r="A7062" s="4" t="s">
        <v>386</v>
      </c>
      <c r="B7062" s="5" t="s">
        <v>387</v>
      </c>
      <c r="C7062" s="5" t="s">
        <v>388</v>
      </c>
      <c r="D7062" s="4" t="s">
        <v>370</v>
      </c>
      <c r="E7062" s="4" t="s">
        <v>5578</v>
      </c>
      <c r="F7062" s="4" t="s">
        <v>406</v>
      </c>
      <c r="G7062" s="4" t="s">
        <v>5579</v>
      </c>
      <c r="H7062" s="12" t="n">
        <v>1</v>
      </c>
      <c r="I7062" s="4" t="s">
        <v>7036</v>
      </c>
      <c r="J7062" s="4" t="s">
        <v>409</v>
      </c>
      <c r="K7062" s="13" t="n">
        <v>120</v>
      </c>
      <c r="L7062" s="6" t="n">
        <f aca="false">H7062*K7062</f>
        <v>120</v>
      </c>
      <c r="M7062" s="14" t="s">
        <v>410</v>
      </c>
    </row>
    <row r="7063" customFormat="false" ht="15" hidden="false" customHeight="false" outlineLevel="0" collapsed="false">
      <c r="A7063" s="4" t="s">
        <v>386</v>
      </c>
      <c r="B7063" s="5" t="s">
        <v>387</v>
      </c>
      <c r="C7063" s="5" t="s">
        <v>388</v>
      </c>
      <c r="D7063" s="4" t="s">
        <v>370</v>
      </c>
      <c r="E7063" s="4" t="s">
        <v>7681</v>
      </c>
      <c r="F7063" s="4" t="s">
        <v>406</v>
      </c>
      <c r="G7063" s="4" t="s">
        <v>7375</v>
      </c>
      <c r="H7063" s="12" t="n">
        <v>1</v>
      </c>
      <c r="I7063" s="4" t="s">
        <v>7036</v>
      </c>
      <c r="J7063" s="4" t="s">
        <v>543</v>
      </c>
      <c r="K7063" s="13" t="n">
        <v>250</v>
      </c>
      <c r="L7063" s="6" t="n">
        <f aca="false">H7063*K7063</f>
        <v>250</v>
      </c>
      <c r="M7063" s="14" t="s">
        <v>410</v>
      </c>
    </row>
    <row r="7064" customFormat="false" ht="15" hidden="false" customHeight="false" outlineLevel="0" collapsed="false">
      <c r="A7064" s="4" t="s">
        <v>386</v>
      </c>
      <c r="B7064" s="5" t="s">
        <v>387</v>
      </c>
      <c r="C7064" s="5" t="s">
        <v>388</v>
      </c>
      <c r="D7064" s="4" t="s">
        <v>370</v>
      </c>
      <c r="E7064" s="4" t="s">
        <v>7687</v>
      </c>
      <c r="F7064" s="4" t="s">
        <v>406</v>
      </c>
      <c r="G7064" s="4" t="s">
        <v>7416</v>
      </c>
      <c r="H7064" s="12" t="n">
        <v>4</v>
      </c>
      <c r="I7064" s="4" t="s">
        <v>7036</v>
      </c>
      <c r="J7064" s="4" t="s">
        <v>543</v>
      </c>
      <c r="K7064" s="13" t="n">
        <v>150</v>
      </c>
      <c r="L7064" s="6" t="n">
        <f aca="false">H7064*K7064</f>
        <v>600</v>
      </c>
      <c r="M7064" s="14" t="s">
        <v>410</v>
      </c>
    </row>
    <row r="7065" customFormat="false" ht="15" hidden="false" customHeight="false" outlineLevel="0" collapsed="false">
      <c r="A7065" s="4" t="s">
        <v>386</v>
      </c>
      <c r="B7065" s="5" t="s">
        <v>387</v>
      </c>
      <c r="C7065" s="5" t="s">
        <v>388</v>
      </c>
      <c r="D7065" s="4" t="s">
        <v>370</v>
      </c>
      <c r="E7065" s="4" t="s">
        <v>7688</v>
      </c>
      <c r="F7065" s="4" t="s">
        <v>406</v>
      </c>
      <c r="G7065" s="4" t="s">
        <v>7418</v>
      </c>
      <c r="H7065" s="12" t="n">
        <v>2</v>
      </c>
      <c r="I7065" s="4" t="s">
        <v>7036</v>
      </c>
      <c r="J7065" s="4" t="s">
        <v>543</v>
      </c>
      <c r="K7065" s="13" t="n">
        <v>200</v>
      </c>
      <c r="L7065" s="6" t="n">
        <f aca="false">H7065*K7065</f>
        <v>400</v>
      </c>
      <c r="M7065" s="14" t="s">
        <v>410</v>
      </c>
    </row>
    <row r="7066" customFormat="false" ht="15" hidden="false" customHeight="false" outlineLevel="0" collapsed="false">
      <c r="A7066" s="4" t="s">
        <v>386</v>
      </c>
      <c r="B7066" s="5" t="s">
        <v>387</v>
      </c>
      <c r="C7066" s="5" t="s">
        <v>388</v>
      </c>
      <c r="D7066" s="4" t="s">
        <v>370</v>
      </c>
      <c r="E7066" s="4" t="s">
        <v>7419</v>
      </c>
      <c r="F7066" s="4" t="s">
        <v>406</v>
      </c>
      <c r="G7066" s="4" t="s">
        <v>7420</v>
      </c>
      <c r="H7066" s="12" t="n">
        <v>1</v>
      </c>
      <c r="I7066" s="4" t="s">
        <v>7036</v>
      </c>
      <c r="J7066" s="4" t="s">
        <v>543</v>
      </c>
      <c r="K7066" s="13" t="n">
        <v>1200</v>
      </c>
      <c r="L7066" s="6" t="n">
        <f aca="false">H7066*K7066</f>
        <v>1200</v>
      </c>
      <c r="M7066" s="14" t="s">
        <v>410</v>
      </c>
    </row>
    <row r="7067" customFormat="false" ht="15" hidden="false" customHeight="false" outlineLevel="0" collapsed="false">
      <c r="A7067" s="4" t="s">
        <v>386</v>
      </c>
      <c r="B7067" s="5" t="s">
        <v>387</v>
      </c>
      <c r="C7067" s="5" t="s">
        <v>388</v>
      </c>
      <c r="D7067" s="4" t="s">
        <v>370</v>
      </c>
      <c r="E7067" s="4" t="s">
        <v>7421</v>
      </c>
      <c r="F7067" s="4" t="s">
        <v>406</v>
      </c>
      <c r="G7067" s="4" t="s">
        <v>7422</v>
      </c>
      <c r="H7067" s="12" t="n">
        <v>1</v>
      </c>
      <c r="I7067" s="4" t="s">
        <v>7036</v>
      </c>
      <c r="J7067" s="4" t="s">
        <v>543</v>
      </c>
      <c r="K7067" s="13" t="n">
        <v>250</v>
      </c>
      <c r="L7067" s="6" t="n">
        <f aca="false">H7067*K7067</f>
        <v>250</v>
      </c>
      <c r="M7067" s="14" t="s">
        <v>410</v>
      </c>
    </row>
    <row r="7068" customFormat="false" ht="15" hidden="false" customHeight="false" outlineLevel="0" collapsed="false">
      <c r="A7068" s="4" t="s">
        <v>386</v>
      </c>
      <c r="B7068" s="5" t="s">
        <v>387</v>
      </c>
      <c r="C7068" s="5" t="s">
        <v>388</v>
      </c>
      <c r="D7068" s="4" t="s">
        <v>370</v>
      </c>
      <c r="E7068" s="4" t="s">
        <v>7423</v>
      </c>
      <c r="F7068" s="4" t="s">
        <v>470</v>
      </c>
      <c r="G7068" s="4" t="s">
        <v>7424</v>
      </c>
      <c r="H7068" s="12" t="n">
        <v>1</v>
      </c>
      <c r="I7068" s="4" t="s">
        <v>7036</v>
      </c>
      <c r="J7068" s="4" t="s">
        <v>543</v>
      </c>
      <c r="K7068" s="13" t="n">
        <v>300</v>
      </c>
      <c r="L7068" s="6" t="n">
        <f aca="false">H7068*K7068</f>
        <v>300</v>
      </c>
      <c r="M7068" s="14" t="s">
        <v>410</v>
      </c>
    </row>
    <row r="7069" customFormat="false" ht="15" hidden="false" customHeight="false" outlineLevel="0" collapsed="false">
      <c r="A7069" s="4" t="s">
        <v>386</v>
      </c>
      <c r="B7069" s="5" t="s">
        <v>387</v>
      </c>
      <c r="C7069" s="5" t="s">
        <v>388</v>
      </c>
      <c r="D7069" s="4" t="s">
        <v>370</v>
      </c>
      <c r="E7069" s="4" t="s">
        <v>5291</v>
      </c>
      <c r="F7069" s="4" t="s">
        <v>406</v>
      </c>
      <c r="G7069" s="4" t="s">
        <v>5292</v>
      </c>
      <c r="H7069" s="12" t="n">
        <v>1</v>
      </c>
      <c r="I7069" s="4" t="s">
        <v>7036</v>
      </c>
      <c r="J7069" s="4" t="s">
        <v>409</v>
      </c>
      <c r="K7069" s="13" t="n">
        <v>1200</v>
      </c>
      <c r="L7069" s="6" t="n">
        <f aca="false">H7069*K7069</f>
        <v>1200</v>
      </c>
      <c r="M7069" s="14" t="s">
        <v>410</v>
      </c>
    </row>
    <row r="7070" customFormat="false" ht="15" hidden="false" customHeight="false" outlineLevel="0" collapsed="false">
      <c r="A7070" s="4" t="s">
        <v>386</v>
      </c>
      <c r="B7070" s="5" t="s">
        <v>387</v>
      </c>
      <c r="C7070" s="5" t="s">
        <v>388</v>
      </c>
      <c r="D7070" s="4" t="s">
        <v>370</v>
      </c>
      <c r="E7070" s="4" t="s">
        <v>467</v>
      </c>
      <c r="F7070" s="4" t="s">
        <v>406</v>
      </c>
      <c r="G7070" s="4" t="s">
        <v>468</v>
      </c>
      <c r="H7070" s="12" t="n">
        <v>1</v>
      </c>
      <c r="I7070" s="4" t="s">
        <v>7036</v>
      </c>
      <c r="J7070" s="4" t="s">
        <v>409</v>
      </c>
      <c r="K7070" s="13" t="n">
        <v>250</v>
      </c>
      <c r="L7070" s="6" t="n">
        <f aca="false">H7070*K7070</f>
        <v>250</v>
      </c>
      <c r="M7070" s="14" t="s">
        <v>410</v>
      </c>
    </row>
    <row r="7071" customFormat="false" ht="15" hidden="false" customHeight="false" outlineLevel="0" collapsed="false">
      <c r="A7071" s="4" t="s">
        <v>386</v>
      </c>
      <c r="B7071" s="5" t="s">
        <v>387</v>
      </c>
      <c r="C7071" s="5" t="s">
        <v>388</v>
      </c>
      <c r="D7071" s="4" t="s">
        <v>370</v>
      </c>
      <c r="E7071" s="4" t="s">
        <v>572</v>
      </c>
      <c r="F7071" s="4" t="s">
        <v>406</v>
      </c>
      <c r="G7071" s="4" t="s">
        <v>573</v>
      </c>
      <c r="H7071" s="12" t="n">
        <v>1</v>
      </c>
      <c r="I7071" s="4" t="s">
        <v>7036</v>
      </c>
      <c r="J7071" s="4" t="s">
        <v>409</v>
      </c>
      <c r="K7071" s="13" t="n">
        <v>2500</v>
      </c>
      <c r="L7071" s="6" t="n">
        <f aca="false">H7071*K7071</f>
        <v>2500</v>
      </c>
      <c r="M7071" s="14" t="s">
        <v>410</v>
      </c>
    </row>
    <row r="7072" customFormat="false" ht="15" hidden="false" customHeight="false" outlineLevel="0" collapsed="false">
      <c r="A7072" s="4" t="s">
        <v>386</v>
      </c>
      <c r="B7072" s="5" t="s">
        <v>387</v>
      </c>
      <c r="C7072" s="5" t="s">
        <v>388</v>
      </c>
      <c r="D7072" s="4" t="s">
        <v>370</v>
      </c>
      <c r="E7072" s="4" t="s">
        <v>7429</v>
      </c>
      <c r="F7072" s="4" t="s">
        <v>406</v>
      </c>
      <c r="G7072" s="4" t="s">
        <v>2278</v>
      </c>
      <c r="H7072" s="12" t="n">
        <v>1</v>
      </c>
      <c r="I7072" s="4" t="s">
        <v>7036</v>
      </c>
      <c r="J7072" s="4" t="s">
        <v>413</v>
      </c>
      <c r="K7072" s="13" t="n">
        <v>450</v>
      </c>
      <c r="L7072" s="6" t="n">
        <f aca="false">H7072*K7072</f>
        <v>450</v>
      </c>
      <c r="M7072" s="14" t="s">
        <v>410</v>
      </c>
    </row>
    <row r="7073" customFormat="false" ht="15" hidden="false" customHeight="false" outlineLevel="0" collapsed="false">
      <c r="A7073" s="4" t="s">
        <v>386</v>
      </c>
      <c r="B7073" s="5" t="s">
        <v>387</v>
      </c>
      <c r="C7073" s="5" t="s">
        <v>388</v>
      </c>
      <c r="D7073" s="4" t="s">
        <v>370</v>
      </c>
      <c r="E7073" s="4" t="s">
        <v>7430</v>
      </c>
      <c r="F7073" s="4" t="s">
        <v>406</v>
      </c>
      <c r="G7073" s="4" t="s">
        <v>7431</v>
      </c>
      <c r="H7073" s="12" t="n">
        <v>1</v>
      </c>
      <c r="I7073" s="4" t="s">
        <v>7036</v>
      </c>
      <c r="J7073" s="4" t="s">
        <v>543</v>
      </c>
      <c r="K7073" s="13" t="n">
        <v>120</v>
      </c>
      <c r="L7073" s="6" t="n">
        <f aca="false">H7073*K7073</f>
        <v>120</v>
      </c>
      <c r="M7073" s="14" t="s">
        <v>410</v>
      </c>
    </row>
    <row r="7074" customFormat="false" ht="15" hidden="false" customHeight="false" outlineLevel="0" collapsed="false">
      <c r="A7074" s="4" t="s">
        <v>386</v>
      </c>
      <c r="B7074" s="5" t="s">
        <v>387</v>
      </c>
      <c r="C7074" s="5" t="s">
        <v>388</v>
      </c>
      <c r="D7074" s="4" t="s">
        <v>370</v>
      </c>
      <c r="E7074" s="4" t="s">
        <v>7432</v>
      </c>
      <c r="F7074" s="4" t="s">
        <v>406</v>
      </c>
      <c r="G7074" s="4" t="s">
        <v>7433</v>
      </c>
      <c r="H7074" s="12" t="n">
        <v>1</v>
      </c>
      <c r="I7074" s="4" t="s">
        <v>7036</v>
      </c>
      <c r="J7074" s="4" t="s">
        <v>543</v>
      </c>
      <c r="K7074" s="13" t="n">
        <v>1800</v>
      </c>
      <c r="L7074" s="6" t="n">
        <f aca="false">H7074*K7074</f>
        <v>1800</v>
      </c>
      <c r="M7074" s="14" t="s">
        <v>410</v>
      </c>
    </row>
    <row r="7075" customFormat="false" ht="15" hidden="false" customHeight="false" outlineLevel="0" collapsed="false">
      <c r="A7075" s="4" t="s">
        <v>386</v>
      </c>
      <c r="B7075" s="5" t="s">
        <v>387</v>
      </c>
      <c r="C7075" s="5" t="s">
        <v>388</v>
      </c>
      <c r="D7075" s="4" t="s">
        <v>370</v>
      </c>
      <c r="E7075" s="4" t="s">
        <v>7434</v>
      </c>
      <c r="F7075" s="4" t="s">
        <v>406</v>
      </c>
      <c r="G7075" s="4" t="s">
        <v>7435</v>
      </c>
      <c r="H7075" s="12" t="n">
        <v>1</v>
      </c>
      <c r="I7075" s="4" t="s">
        <v>7036</v>
      </c>
      <c r="J7075" s="4" t="s">
        <v>543</v>
      </c>
      <c r="K7075" s="13" t="n">
        <v>350</v>
      </c>
      <c r="L7075" s="6" t="n">
        <f aca="false">H7075*K7075</f>
        <v>350</v>
      </c>
      <c r="M7075" s="14" t="s">
        <v>410</v>
      </c>
    </row>
    <row r="7076" customFormat="false" ht="15" hidden="false" customHeight="false" outlineLevel="0" collapsed="false">
      <c r="A7076" s="4" t="s">
        <v>386</v>
      </c>
      <c r="B7076" s="5" t="s">
        <v>387</v>
      </c>
      <c r="C7076" s="5" t="s">
        <v>388</v>
      </c>
      <c r="D7076" s="4" t="s">
        <v>370</v>
      </c>
      <c r="E7076" s="4" t="s">
        <v>7436</v>
      </c>
      <c r="F7076" s="4" t="s">
        <v>406</v>
      </c>
      <c r="G7076" s="4" t="s">
        <v>7437</v>
      </c>
      <c r="H7076" s="12" t="n">
        <v>1</v>
      </c>
      <c r="I7076" s="4" t="s">
        <v>7036</v>
      </c>
      <c r="J7076" s="4" t="s">
        <v>543</v>
      </c>
      <c r="K7076" s="13" t="n">
        <v>500</v>
      </c>
      <c r="L7076" s="6" t="n">
        <f aca="false">H7076*K7076</f>
        <v>500</v>
      </c>
      <c r="M7076" s="14" t="s">
        <v>410</v>
      </c>
    </row>
    <row r="7077" customFormat="false" ht="15" hidden="false" customHeight="false" outlineLevel="0" collapsed="false">
      <c r="A7077" s="4" t="s">
        <v>386</v>
      </c>
      <c r="B7077" s="5" t="s">
        <v>387</v>
      </c>
      <c r="C7077" s="5" t="s">
        <v>388</v>
      </c>
      <c r="D7077" s="4" t="s">
        <v>370</v>
      </c>
      <c r="E7077" s="4" t="s">
        <v>7370</v>
      </c>
      <c r="F7077" s="4" t="s">
        <v>470</v>
      </c>
      <c r="G7077" s="4" t="s">
        <v>7371</v>
      </c>
      <c r="H7077" s="12" t="n">
        <v>1</v>
      </c>
      <c r="I7077" s="4" t="s">
        <v>7036</v>
      </c>
      <c r="J7077" s="4" t="s">
        <v>543</v>
      </c>
      <c r="K7077" s="13" t="n">
        <v>2800</v>
      </c>
      <c r="L7077" s="6" t="n">
        <f aca="false">H7077*K7077</f>
        <v>2800</v>
      </c>
      <c r="M7077" s="14" t="s">
        <v>410</v>
      </c>
    </row>
    <row r="7078" customFormat="false" ht="15" hidden="false" customHeight="false" outlineLevel="0" collapsed="false">
      <c r="A7078" s="4" t="s">
        <v>386</v>
      </c>
      <c r="B7078" s="5" t="s">
        <v>387</v>
      </c>
      <c r="C7078" s="5" t="s">
        <v>388</v>
      </c>
      <c r="D7078" s="4" t="s">
        <v>370</v>
      </c>
      <c r="E7078" s="4" t="s">
        <v>7438</v>
      </c>
      <c r="F7078" s="4" t="s">
        <v>406</v>
      </c>
      <c r="G7078" s="4" t="s">
        <v>7439</v>
      </c>
      <c r="H7078" s="12" t="n">
        <v>5</v>
      </c>
      <c r="I7078" s="4" t="s">
        <v>7036</v>
      </c>
      <c r="J7078" s="4" t="s">
        <v>543</v>
      </c>
      <c r="K7078" s="13" t="n">
        <v>250</v>
      </c>
      <c r="L7078" s="6" t="n">
        <f aca="false">H7078*K7078</f>
        <v>1250</v>
      </c>
      <c r="M7078" s="14" t="s">
        <v>410</v>
      </c>
    </row>
    <row r="7079" customFormat="false" ht="15" hidden="false" customHeight="false" outlineLevel="0" collapsed="false">
      <c r="A7079" s="4" t="s">
        <v>386</v>
      </c>
      <c r="B7079" s="5" t="s">
        <v>387</v>
      </c>
      <c r="C7079" s="5" t="s">
        <v>388</v>
      </c>
      <c r="D7079" s="4" t="s">
        <v>370</v>
      </c>
      <c r="E7079" s="4" t="s">
        <v>7440</v>
      </c>
      <c r="F7079" s="4" t="s">
        <v>406</v>
      </c>
      <c r="G7079" s="4" t="s">
        <v>7441</v>
      </c>
      <c r="H7079" s="12" t="n">
        <v>3</v>
      </c>
      <c r="I7079" s="4" t="s">
        <v>7036</v>
      </c>
      <c r="J7079" s="4" t="s">
        <v>543</v>
      </c>
      <c r="K7079" s="13" t="n">
        <v>80</v>
      </c>
      <c r="L7079" s="6" t="n">
        <f aca="false">H7079*K7079</f>
        <v>240</v>
      </c>
      <c r="M7079" s="14" t="s">
        <v>410</v>
      </c>
    </row>
    <row r="7080" customFormat="false" ht="15" hidden="false" customHeight="false" outlineLevel="0" collapsed="false">
      <c r="A7080" s="4" t="s">
        <v>386</v>
      </c>
      <c r="B7080" s="5" t="s">
        <v>387</v>
      </c>
      <c r="C7080" s="5" t="s">
        <v>388</v>
      </c>
      <c r="D7080" s="4" t="s">
        <v>370</v>
      </c>
      <c r="E7080" s="4" t="s">
        <v>7442</v>
      </c>
      <c r="F7080" s="4" t="s">
        <v>488</v>
      </c>
      <c r="G7080" s="4" t="s">
        <v>4317</v>
      </c>
      <c r="H7080" s="12" t="n">
        <v>4</v>
      </c>
      <c r="I7080" s="4" t="s">
        <v>7036</v>
      </c>
      <c r="J7080" s="4" t="s">
        <v>475</v>
      </c>
      <c r="K7080" s="13" t="n">
        <v>180</v>
      </c>
      <c r="L7080" s="6" t="n">
        <f aca="false">H7080*K7080</f>
        <v>720</v>
      </c>
      <c r="M7080" s="14" t="s">
        <v>410</v>
      </c>
    </row>
    <row r="7081" customFormat="false" ht="15" hidden="false" customHeight="false" outlineLevel="0" collapsed="false">
      <c r="A7081" s="4" t="s">
        <v>386</v>
      </c>
      <c r="B7081" s="5" t="s">
        <v>387</v>
      </c>
      <c r="C7081" s="5" t="s">
        <v>388</v>
      </c>
      <c r="D7081" s="4" t="s">
        <v>370</v>
      </c>
      <c r="E7081" s="4" t="s">
        <v>7443</v>
      </c>
      <c r="F7081" s="4" t="s">
        <v>488</v>
      </c>
      <c r="G7081" s="4" t="s">
        <v>7444</v>
      </c>
      <c r="H7081" s="12" t="n">
        <v>1</v>
      </c>
      <c r="I7081" s="4" t="s">
        <v>7036</v>
      </c>
      <c r="J7081" s="4" t="s">
        <v>506</v>
      </c>
      <c r="K7081" s="13" t="n">
        <v>150</v>
      </c>
      <c r="L7081" s="6" t="n">
        <f aca="false">H7081*K7081</f>
        <v>150</v>
      </c>
      <c r="M7081" s="14" t="s">
        <v>410</v>
      </c>
    </row>
    <row r="7082" customFormat="false" ht="15" hidden="false" customHeight="false" outlineLevel="0" collapsed="false">
      <c r="A7082" s="4" t="s">
        <v>386</v>
      </c>
      <c r="B7082" s="5" t="s">
        <v>387</v>
      </c>
      <c r="C7082" s="5" t="s">
        <v>388</v>
      </c>
      <c r="D7082" s="4" t="s">
        <v>370</v>
      </c>
      <c r="E7082" s="4" t="s">
        <v>7445</v>
      </c>
      <c r="F7082" s="4" t="s">
        <v>488</v>
      </c>
      <c r="G7082" s="4" t="s">
        <v>7446</v>
      </c>
      <c r="H7082" s="12" t="n">
        <v>15</v>
      </c>
      <c r="I7082" s="4" t="s">
        <v>7036</v>
      </c>
      <c r="J7082" s="4" t="s">
        <v>543</v>
      </c>
      <c r="K7082" s="13" t="n">
        <v>10</v>
      </c>
      <c r="L7082" s="6" t="n">
        <f aca="false">H7082*K7082</f>
        <v>150</v>
      </c>
      <c r="M7082" s="14" t="s">
        <v>410</v>
      </c>
    </row>
    <row r="7083" customFormat="false" ht="15" hidden="false" customHeight="false" outlineLevel="0" collapsed="false">
      <c r="A7083" s="4" t="s">
        <v>386</v>
      </c>
      <c r="B7083" s="5" t="s">
        <v>387</v>
      </c>
      <c r="C7083" s="5" t="s">
        <v>388</v>
      </c>
      <c r="D7083" s="4" t="s">
        <v>370</v>
      </c>
      <c r="E7083" s="4" t="s">
        <v>7689</v>
      </c>
      <c r="F7083" s="4" t="s">
        <v>488</v>
      </c>
      <c r="G7083" s="4" t="s">
        <v>5795</v>
      </c>
      <c r="H7083" s="12" t="n">
        <v>1</v>
      </c>
      <c r="I7083" s="4" t="s">
        <v>7036</v>
      </c>
      <c r="J7083" s="4" t="s">
        <v>807</v>
      </c>
      <c r="K7083" s="13" t="n">
        <v>180</v>
      </c>
      <c r="L7083" s="6" t="n">
        <f aca="false">H7083*K7083</f>
        <v>180</v>
      </c>
      <c r="M7083" s="14" t="s">
        <v>410</v>
      </c>
    </row>
    <row r="7084" customFormat="false" ht="15" hidden="false" customHeight="false" outlineLevel="0" collapsed="false">
      <c r="A7084" s="4" t="s">
        <v>386</v>
      </c>
      <c r="B7084" s="5" t="s">
        <v>387</v>
      </c>
      <c r="C7084" s="5" t="s">
        <v>388</v>
      </c>
      <c r="D7084" s="4" t="s">
        <v>370</v>
      </c>
      <c r="E7084" s="4" t="s">
        <v>7451</v>
      </c>
      <c r="F7084" s="4" t="s">
        <v>470</v>
      </c>
      <c r="G7084" s="4" t="s">
        <v>7452</v>
      </c>
      <c r="H7084" s="12" t="n">
        <v>1</v>
      </c>
      <c r="I7084" s="4" t="s">
        <v>7036</v>
      </c>
      <c r="J7084" s="4" t="s">
        <v>543</v>
      </c>
      <c r="K7084" s="13" t="n">
        <v>250</v>
      </c>
      <c r="L7084" s="6" t="n">
        <f aca="false">H7084*K7084</f>
        <v>250</v>
      </c>
      <c r="M7084" s="14" t="s">
        <v>410</v>
      </c>
    </row>
    <row r="7085" customFormat="false" ht="15" hidden="false" customHeight="false" outlineLevel="0" collapsed="false">
      <c r="A7085" s="4" t="s">
        <v>386</v>
      </c>
      <c r="B7085" s="5" t="s">
        <v>387</v>
      </c>
      <c r="C7085" s="5" t="s">
        <v>388</v>
      </c>
      <c r="D7085" s="4" t="s">
        <v>370</v>
      </c>
      <c r="E7085" s="4" t="s">
        <v>7453</v>
      </c>
      <c r="F7085" s="4" t="s">
        <v>470</v>
      </c>
      <c r="G7085" s="4" t="s">
        <v>7454</v>
      </c>
      <c r="H7085" s="12" t="n">
        <v>1</v>
      </c>
      <c r="I7085" s="4" t="s">
        <v>7036</v>
      </c>
      <c r="J7085" s="4" t="s">
        <v>543</v>
      </c>
      <c r="K7085" s="13" t="n">
        <v>250</v>
      </c>
      <c r="L7085" s="6" t="n">
        <f aca="false">H7085*K7085</f>
        <v>250</v>
      </c>
      <c r="M7085" s="14" t="s">
        <v>410</v>
      </c>
    </row>
    <row r="7086" customFormat="false" ht="15" hidden="false" customHeight="false" outlineLevel="0" collapsed="false">
      <c r="A7086" s="4" t="s">
        <v>386</v>
      </c>
      <c r="B7086" s="5" t="s">
        <v>387</v>
      </c>
      <c r="C7086" s="5" t="s">
        <v>388</v>
      </c>
      <c r="D7086" s="4" t="s">
        <v>370</v>
      </c>
      <c r="E7086" s="4" t="s">
        <v>7455</v>
      </c>
      <c r="F7086" s="4" t="s">
        <v>470</v>
      </c>
      <c r="G7086" s="4" t="s">
        <v>7456</v>
      </c>
      <c r="H7086" s="12" t="n">
        <v>1</v>
      </c>
      <c r="I7086" s="4" t="s">
        <v>7036</v>
      </c>
      <c r="J7086" s="4" t="s">
        <v>543</v>
      </c>
      <c r="K7086" s="13" t="n">
        <v>250</v>
      </c>
      <c r="L7086" s="6" t="n">
        <f aca="false">H7086*K7086</f>
        <v>250</v>
      </c>
      <c r="M7086" s="14" t="s">
        <v>410</v>
      </c>
    </row>
    <row r="7087" customFormat="false" ht="15" hidden="false" customHeight="false" outlineLevel="0" collapsed="false">
      <c r="A7087" s="4" t="s">
        <v>386</v>
      </c>
      <c r="B7087" s="5" t="s">
        <v>387</v>
      </c>
      <c r="C7087" s="5" t="s">
        <v>388</v>
      </c>
      <c r="D7087" s="4" t="s">
        <v>370</v>
      </c>
      <c r="E7087" s="4" t="s">
        <v>620</v>
      </c>
      <c r="F7087" s="4" t="s">
        <v>406</v>
      </c>
      <c r="G7087" s="4" t="s">
        <v>621</v>
      </c>
      <c r="H7087" s="12" t="n">
        <v>4</v>
      </c>
      <c r="I7087" s="4" t="s">
        <v>7036</v>
      </c>
      <c r="J7087" s="4" t="s">
        <v>409</v>
      </c>
      <c r="K7087" s="13" t="n">
        <v>650</v>
      </c>
      <c r="L7087" s="6" t="n">
        <f aca="false">H7087*K7087</f>
        <v>2600</v>
      </c>
      <c r="M7087" s="14" t="s">
        <v>410</v>
      </c>
    </row>
    <row r="7088" customFormat="false" ht="15" hidden="false" customHeight="false" outlineLevel="0" collapsed="false">
      <c r="A7088" s="4" t="s">
        <v>386</v>
      </c>
      <c r="B7088" s="5" t="s">
        <v>387</v>
      </c>
      <c r="C7088" s="5" t="s">
        <v>388</v>
      </c>
      <c r="D7088" s="4" t="s">
        <v>370</v>
      </c>
      <c r="E7088" s="4" t="s">
        <v>730</v>
      </c>
      <c r="F7088" s="4" t="s">
        <v>406</v>
      </c>
      <c r="G7088" s="4" t="s">
        <v>731</v>
      </c>
      <c r="H7088" s="12" t="n">
        <v>4</v>
      </c>
      <c r="I7088" s="4" t="s">
        <v>7036</v>
      </c>
      <c r="J7088" s="4" t="s">
        <v>409</v>
      </c>
      <c r="K7088" s="13" t="n">
        <v>350</v>
      </c>
      <c r="L7088" s="6" t="n">
        <f aca="false">H7088*K7088</f>
        <v>1400</v>
      </c>
      <c r="M7088" s="14" t="s">
        <v>410</v>
      </c>
    </row>
    <row r="7089" customFormat="false" ht="15" hidden="false" customHeight="false" outlineLevel="0" collapsed="false">
      <c r="A7089" s="4" t="s">
        <v>386</v>
      </c>
      <c r="B7089" s="5" t="s">
        <v>387</v>
      </c>
      <c r="C7089" s="5" t="s">
        <v>388</v>
      </c>
      <c r="D7089" s="4" t="s">
        <v>370</v>
      </c>
      <c r="E7089" s="4" t="s">
        <v>7458</v>
      </c>
      <c r="F7089" s="4" t="s">
        <v>406</v>
      </c>
      <c r="G7089" s="4" t="s">
        <v>623</v>
      </c>
      <c r="H7089" s="12" t="n">
        <v>4</v>
      </c>
      <c r="I7089" s="4" t="s">
        <v>7036</v>
      </c>
      <c r="J7089" s="4" t="s">
        <v>409</v>
      </c>
      <c r="K7089" s="13" t="n">
        <v>450</v>
      </c>
      <c r="L7089" s="6" t="n">
        <f aca="false">H7089*K7089</f>
        <v>1800</v>
      </c>
      <c r="M7089" s="14" t="s">
        <v>410</v>
      </c>
    </row>
    <row r="7090" customFormat="false" ht="15" hidden="false" customHeight="false" outlineLevel="0" collapsed="false">
      <c r="A7090" s="4" t="s">
        <v>386</v>
      </c>
      <c r="B7090" s="5" t="s">
        <v>387</v>
      </c>
      <c r="C7090" s="5" t="s">
        <v>388</v>
      </c>
      <c r="D7090" s="4" t="s">
        <v>370</v>
      </c>
      <c r="E7090" s="4" t="s">
        <v>7459</v>
      </c>
      <c r="F7090" s="4" t="s">
        <v>406</v>
      </c>
      <c r="G7090" s="4" t="s">
        <v>7460</v>
      </c>
      <c r="H7090" s="12" t="n">
        <v>2</v>
      </c>
      <c r="I7090" s="4" t="s">
        <v>7036</v>
      </c>
      <c r="J7090" s="4" t="s">
        <v>543</v>
      </c>
      <c r="K7090" s="13" t="n">
        <v>900</v>
      </c>
      <c r="L7090" s="6" t="n">
        <f aca="false">H7090*K7090</f>
        <v>1800</v>
      </c>
      <c r="M7090" s="14" t="s">
        <v>410</v>
      </c>
    </row>
    <row r="7091" customFormat="false" ht="15" hidden="false" customHeight="false" outlineLevel="0" collapsed="false">
      <c r="A7091" s="4" t="s">
        <v>386</v>
      </c>
      <c r="B7091" s="5" t="s">
        <v>387</v>
      </c>
      <c r="C7091" s="5" t="s">
        <v>388</v>
      </c>
      <c r="D7091" s="4" t="s">
        <v>370</v>
      </c>
      <c r="E7091" s="4" t="s">
        <v>7461</v>
      </c>
      <c r="F7091" s="4" t="s">
        <v>406</v>
      </c>
      <c r="G7091" s="4" t="s">
        <v>7462</v>
      </c>
      <c r="H7091" s="12" t="n">
        <v>1</v>
      </c>
      <c r="I7091" s="4" t="s">
        <v>7036</v>
      </c>
      <c r="J7091" s="4" t="s">
        <v>543</v>
      </c>
      <c r="K7091" s="13" t="n">
        <v>700</v>
      </c>
      <c r="L7091" s="6" t="n">
        <f aca="false">H7091*K7091</f>
        <v>700</v>
      </c>
      <c r="M7091" s="14" t="s">
        <v>410</v>
      </c>
    </row>
    <row r="7092" customFormat="false" ht="15" hidden="false" customHeight="false" outlineLevel="0" collapsed="false">
      <c r="A7092" s="4" t="s">
        <v>386</v>
      </c>
      <c r="B7092" s="5" t="s">
        <v>387</v>
      </c>
      <c r="C7092" s="5" t="s">
        <v>388</v>
      </c>
      <c r="D7092" s="4" t="s">
        <v>370</v>
      </c>
      <c r="E7092" s="4" t="s">
        <v>7463</v>
      </c>
      <c r="F7092" s="4" t="s">
        <v>406</v>
      </c>
      <c r="G7092" s="4" t="s">
        <v>7464</v>
      </c>
      <c r="H7092" s="12" t="n">
        <v>1</v>
      </c>
      <c r="I7092" s="4" t="s">
        <v>7036</v>
      </c>
      <c r="J7092" s="4" t="s">
        <v>543</v>
      </c>
      <c r="K7092" s="13" t="n">
        <v>450</v>
      </c>
      <c r="L7092" s="6" t="n">
        <f aca="false">H7092*K7092</f>
        <v>450</v>
      </c>
      <c r="M7092" s="14" t="s">
        <v>410</v>
      </c>
    </row>
    <row r="7093" customFormat="false" ht="15" hidden="false" customHeight="false" outlineLevel="0" collapsed="false">
      <c r="A7093" s="4" t="s">
        <v>386</v>
      </c>
      <c r="B7093" s="5" t="s">
        <v>387</v>
      </c>
      <c r="C7093" s="5" t="s">
        <v>388</v>
      </c>
      <c r="D7093" s="4" t="s">
        <v>370</v>
      </c>
      <c r="E7093" s="4" t="s">
        <v>3156</v>
      </c>
      <c r="F7093" s="4" t="s">
        <v>406</v>
      </c>
      <c r="G7093" s="4" t="s">
        <v>627</v>
      </c>
      <c r="H7093" s="12" t="n">
        <v>2</v>
      </c>
      <c r="I7093" s="4" t="s">
        <v>7036</v>
      </c>
      <c r="J7093" s="4" t="s">
        <v>409</v>
      </c>
      <c r="K7093" s="13" t="n">
        <v>250</v>
      </c>
      <c r="L7093" s="6" t="n">
        <f aca="false">H7093*K7093</f>
        <v>500</v>
      </c>
      <c r="M7093" s="14" t="s">
        <v>410</v>
      </c>
    </row>
    <row r="7094" customFormat="false" ht="15" hidden="false" customHeight="false" outlineLevel="0" collapsed="false">
      <c r="A7094" s="4" t="s">
        <v>386</v>
      </c>
      <c r="B7094" s="5" t="s">
        <v>387</v>
      </c>
      <c r="C7094" s="5" t="s">
        <v>388</v>
      </c>
      <c r="D7094" s="4" t="s">
        <v>370</v>
      </c>
      <c r="E7094" s="4" t="s">
        <v>539</v>
      </c>
      <c r="F7094" s="4" t="s">
        <v>406</v>
      </c>
      <c r="G7094" s="4" t="s">
        <v>540</v>
      </c>
      <c r="H7094" s="12" t="n">
        <v>2</v>
      </c>
      <c r="I7094" s="4" t="s">
        <v>7036</v>
      </c>
      <c r="J7094" s="4" t="s">
        <v>409</v>
      </c>
      <c r="K7094" s="13" t="n">
        <v>250</v>
      </c>
      <c r="L7094" s="6" t="n">
        <f aca="false">H7094*K7094</f>
        <v>500</v>
      </c>
      <c r="M7094" s="14" t="s">
        <v>410</v>
      </c>
    </row>
    <row r="7095" customFormat="false" ht="15" hidden="false" customHeight="false" outlineLevel="0" collapsed="false">
      <c r="A7095" s="4" t="s">
        <v>386</v>
      </c>
      <c r="B7095" s="5" t="s">
        <v>387</v>
      </c>
      <c r="C7095" s="5" t="s">
        <v>388</v>
      </c>
      <c r="D7095" s="4" t="s">
        <v>370</v>
      </c>
      <c r="E7095" s="4" t="s">
        <v>7465</v>
      </c>
      <c r="F7095" s="4" t="s">
        <v>406</v>
      </c>
      <c r="G7095" s="4" t="s">
        <v>7254</v>
      </c>
      <c r="H7095" s="12" t="n">
        <v>2</v>
      </c>
      <c r="I7095" s="4" t="s">
        <v>7036</v>
      </c>
      <c r="J7095" s="4" t="s">
        <v>543</v>
      </c>
      <c r="K7095" s="13" t="n">
        <v>550</v>
      </c>
      <c r="L7095" s="6" t="n">
        <f aca="false">H7095*K7095</f>
        <v>1100</v>
      </c>
      <c r="M7095" s="14" t="s">
        <v>410</v>
      </c>
    </row>
    <row r="7096" customFormat="false" ht="15" hidden="false" customHeight="false" outlineLevel="0" collapsed="false">
      <c r="A7096" s="4" t="s">
        <v>386</v>
      </c>
      <c r="B7096" s="5" t="s">
        <v>387</v>
      </c>
      <c r="C7096" s="5" t="s">
        <v>388</v>
      </c>
      <c r="D7096" s="4" t="s">
        <v>370</v>
      </c>
      <c r="E7096" s="4" t="s">
        <v>7466</v>
      </c>
      <c r="F7096" s="4" t="s">
        <v>406</v>
      </c>
      <c r="G7096" s="4" t="s">
        <v>7467</v>
      </c>
      <c r="H7096" s="12" t="n">
        <v>1</v>
      </c>
      <c r="I7096" s="4" t="s">
        <v>7036</v>
      </c>
      <c r="J7096" s="4" t="s">
        <v>543</v>
      </c>
      <c r="K7096" s="13" t="n">
        <v>600</v>
      </c>
      <c r="L7096" s="6" t="n">
        <f aca="false">H7096*K7096</f>
        <v>600</v>
      </c>
      <c r="M7096" s="14" t="s">
        <v>410</v>
      </c>
    </row>
    <row r="7097" customFormat="false" ht="15" hidden="false" customHeight="false" outlineLevel="0" collapsed="false">
      <c r="A7097" s="4" t="s">
        <v>386</v>
      </c>
      <c r="B7097" s="5" t="s">
        <v>387</v>
      </c>
      <c r="C7097" s="5" t="s">
        <v>388</v>
      </c>
      <c r="D7097" s="4" t="s">
        <v>370</v>
      </c>
      <c r="E7097" s="4" t="s">
        <v>7468</v>
      </c>
      <c r="F7097" s="4" t="s">
        <v>406</v>
      </c>
      <c r="G7097" s="4" t="s">
        <v>7469</v>
      </c>
      <c r="H7097" s="12" t="n">
        <v>1</v>
      </c>
      <c r="I7097" s="4" t="s">
        <v>7036</v>
      </c>
      <c r="J7097" s="4" t="s">
        <v>543</v>
      </c>
      <c r="K7097" s="13" t="n">
        <v>650</v>
      </c>
      <c r="L7097" s="6" t="n">
        <f aca="false">H7097*K7097</f>
        <v>650</v>
      </c>
      <c r="M7097" s="14" t="s">
        <v>410</v>
      </c>
    </row>
    <row r="7098" customFormat="false" ht="15" hidden="false" customHeight="false" outlineLevel="0" collapsed="false">
      <c r="A7098" s="4" t="s">
        <v>386</v>
      </c>
      <c r="B7098" s="5" t="s">
        <v>387</v>
      </c>
      <c r="C7098" s="5" t="s">
        <v>388</v>
      </c>
      <c r="D7098" s="4" t="s">
        <v>370</v>
      </c>
      <c r="E7098" s="4" t="s">
        <v>640</v>
      </c>
      <c r="F7098" s="4" t="s">
        <v>406</v>
      </c>
      <c r="G7098" s="4" t="s">
        <v>641</v>
      </c>
      <c r="H7098" s="12" t="n">
        <v>4</v>
      </c>
      <c r="I7098" s="4" t="s">
        <v>7036</v>
      </c>
      <c r="J7098" s="4" t="s">
        <v>409</v>
      </c>
      <c r="K7098" s="13" t="n">
        <v>180</v>
      </c>
      <c r="L7098" s="6" t="n">
        <f aca="false">H7098*K7098</f>
        <v>720</v>
      </c>
      <c r="M7098" s="14" t="s">
        <v>410</v>
      </c>
    </row>
    <row r="7099" customFormat="false" ht="15" hidden="false" customHeight="false" outlineLevel="0" collapsed="false">
      <c r="A7099" s="4" t="s">
        <v>386</v>
      </c>
      <c r="B7099" s="5" t="s">
        <v>387</v>
      </c>
      <c r="C7099" s="5" t="s">
        <v>388</v>
      </c>
      <c r="D7099" s="4" t="s">
        <v>370</v>
      </c>
      <c r="E7099" s="4" t="s">
        <v>648</v>
      </c>
      <c r="F7099" s="4" t="s">
        <v>406</v>
      </c>
      <c r="G7099" s="4" t="s">
        <v>649</v>
      </c>
      <c r="H7099" s="12" t="n">
        <v>2</v>
      </c>
      <c r="I7099" s="4" t="s">
        <v>7036</v>
      </c>
      <c r="J7099" s="4" t="s">
        <v>409</v>
      </c>
      <c r="K7099" s="13" t="n">
        <v>180</v>
      </c>
      <c r="L7099" s="6" t="n">
        <f aca="false">H7099*K7099</f>
        <v>360</v>
      </c>
      <c r="M7099" s="14" t="s">
        <v>410</v>
      </c>
    </row>
    <row r="7100" customFormat="false" ht="15" hidden="false" customHeight="false" outlineLevel="0" collapsed="false">
      <c r="A7100" s="4" t="s">
        <v>386</v>
      </c>
      <c r="B7100" s="5" t="s">
        <v>387</v>
      </c>
      <c r="C7100" s="5" t="s">
        <v>388</v>
      </c>
      <c r="D7100" s="4" t="s">
        <v>370</v>
      </c>
      <c r="E7100" s="4" t="s">
        <v>7470</v>
      </c>
      <c r="F7100" s="4" t="s">
        <v>406</v>
      </c>
      <c r="G7100" s="4" t="s">
        <v>7471</v>
      </c>
      <c r="H7100" s="12" t="n">
        <v>2</v>
      </c>
      <c r="I7100" s="4" t="s">
        <v>7036</v>
      </c>
      <c r="J7100" s="4" t="s">
        <v>543</v>
      </c>
      <c r="K7100" s="13" t="n">
        <v>450</v>
      </c>
      <c r="L7100" s="6" t="n">
        <f aca="false">H7100*K7100</f>
        <v>900</v>
      </c>
      <c r="M7100" s="14" t="s">
        <v>410</v>
      </c>
    </row>
    <row r="7101" customFormat="false" ht="15" hidden="false" customHeight="false" outlineLevel="0" collapsed="false">
      <c r="A7101" s="4" t="s">
        <v>386</v>
      </c>
      <c r="B7101" s="5" t="s">
        <v>387</v>
      </c>
      <c r="C7101" s="5" t="s">
        <v>388</v>
      </c>
      <c r="D7101" s="4" t="s">
        <v>370</v>
      </c>
      <c r="E7101" s="4" t="s">
        <v>1677</v>
      </c>
      <c r="F7101" s="4" t="s">
        <v>406</v>
      </c>
      <c r="G7101" s="4" t="s">
        <v>1678</v>
      </c>
      <c r="H7101" s="12" t="n">
        <v>1</v>
      </c>
      <c r="I7101" s="4" t="s">
        <v>7036</v>
      </c>
      <c r="J7101" s="4" t="s">
        <v>409</v>
      </c>
      <c r="K7101" s="13" t="n">
        <v>250</v>
      </c>
      <c r="L7101" s="6" t="n">
        <f aca="false">H7101*K7101</f>
        <v>250</v>
      </c>
      <c r="M7101" s="14" t="s">
        <v>410</v>
      </c>
    </row>
    <row r="7102" customFormat="false" ht="15" hidden="false" customHeight="false" outlineLevel="0" collapsed="false">
      <c r="A7102" s="4" t="s">
        <v>386</v>
      </c>
      <c r="B7102" s="5" t="s">
        <v>387</v>
      </c>
      <c r="C7102" s="5" t="s">
        <v>388</v>
      </c>
      <c r="D7102" s="4" t="s">
        <v>370</v>
      </c>
      <c r="E7102" s="4" t="s">
        <v>7472</v>
      </c>
      <c r="F7102" s="4" t="s">
        <v>406</v>
      </c>
      <c r="G7102" s="4" t="s">
        <v>7473</v>
      </c>
      <c r="H7102" s="12" t="n">
        <v>2</v>
      </c>
      <c r="I7102" s="4" t="s">
        <v>7036</v>
      </c>
      <c r="J7102" s="4" t="s">
        <v>543</v>
      </c>
      <c r="K7102" s="13" t="n">
        <v>350</v>
      </c>
      <c r="L7102" s="6" t="n">
        <f aca="false">H7102*K7102</f>
        <v>700</v>
      </c>
      <c r="M7102" s="14" t="s">
        <v>410</v>
      </c>
    </row>
    <row r="7103" customFormat="false" ht="15" hidden="false" customHeight="false" outlineLevel="0" collapsed="false">
      <c r="A7103" s="4" t="s">
        <v>386</v>
      </c>
      <c r="B7103" s="5" t="s">
        <v>387</v>
      </c>
      <c r="C7103" s="5" t="s">
        <v>388</v>
      </c>
      <c r="D7103" s="4" t="s">
        <v>370</v>
      </c>
      <c r="E7103" s="4" t="s">
        <v>7474</v>
      </c>
      <c r="F7103" s="4" t="s">
        <v>406</v>
      </c>
      <c r="G7103" s="4" t="s">
        <v>7475</v>
      </c>
      <c r="H7103" s="12" t="n">
        <v>4</v>
      </c>
      <c r="I7103" s="4" t="s">
        <v>7036</v>
      </c>
      <c r="J7103" s="4" t="s">
        <v>543</v>
      </c>
      <c r="K7103" s="13" t="n">
        <v>200</v>
      </c>
      <c r="L7103" s="6" t="n">
        <f aca="false">H7103*K7103</f>
        <v>800</v>
      </c>
      <c r="M7103" s="14" t="s">
        <v>410</v>
      </c>
    </row>
    <row r="7104" customFormat="false" ht="15" hidden="false" customHeight="false" outlineLevel="0" collapsed="false">
      <c r="A7104" s="4" t="s">
        <v>386</v>
      </c>
      <c r="B7104" s="5" t="s">
        <v>387</v>
      </c>
      <c r="C7104" s="5" t="s">
        <v>388</v>
      </c>
      <c r="D7104" s="4" t="s">
        <v>370</v>
      </c>
      <c r="E7104" s="4" t="s">
        <v>7476</v>
      </c>
      <c r="F7104" s="4" t="s">
        <v>406</v>
      </c>
      <c r="G7104" s="4" t="s">
        <v>7477</v>
      </c>
      <c r="H7104" s="12" t="n">
        <v>2</v>
      </c>
      <c r="I7104" s="4" t="s">
        <v>7036</v>
      </c>
      <c r="J7104" s="4" t="s">
        <v>543</v>
      </c>
      <c r="K7104" s="13" t="n">
        <v>450</v>
      </c>
      <c r="L7104" s="6" t="n">
        <f aca="false">H7104*K7104</f>
        <v>900</v>
      </c>
      <c r="M7104" s="14" t="s">
        <v>410</v>
      </c>
    </row>
    <row r="7105" customFormat="false" ht="15" hidden="false" customHeight="false" outlineLevel="0" collapsed="false">
      <c r="A7105" s="4" t="s">
        <v>386</v>
      </c>
      <c r="B7105" s="5" t="s">
        <v>387</v>
      </c>
      <c r="C7105" s="5" t="s">
        <v>388</v>
      </c>
      <c r="D7105" s="4" t="s">
        <v>370</v>
      </c>
      <c r="E7105" s="4" t="s">
        <v>7478</v>
      </c>
      <c r="F7105" s="4" t="s">
        <v>406</v>
      </c>
      <c r="G7105" s="4" t="s">
        <v>7479</v>
      </c>
      <c r="H7105" s="12" t="n">
        <v>1</v>
      </c>
      <c r="I7105" s="4" t="s">
        <v>7036</v>
      </c>
      <c r="J7105" s="4" t="s">
        <v>543</v>
      </c>
      <c r="K7105" s="13" t="n">
        <v>80</v>
      </c>
      <c r="L7105" s="6" t="n">
        <f aca="false">H7105*K7105</f>
        <v>80</v>
      </c>
      <c r="M7105" s="14" t="s">
        <v>410</v>
      </c>
    </row>
    <row r="7106" customFormat="false" ht="15" hidden="false" customHeight="false" outlineLevel="0" collapsed="false">
      <c r="A7106" s="4" t="s">
        <v>386</v>
      </c>
      <c r="B7106" s="5" t="s">
        <v>387</v>
      </c>
      <c r="C7106" s="5" t="s">
        <v>388</v>
      </c>
      <c r="D7106" s="4" t="s">
        <v>370</v>
      </c>
      <c r="E7106" s="4" t="s">
        <v>7480</v>
      </c>
      <c r="F7106" s="4" t="s">
        <v>406</v>
      </c>
      <c r="G7106" s="4" t="s">
        <v>7481</v>
      </c>
      <c r="H7106" s="12" t="n">
        <v>2</v>
      </c>
      <c r="I7106" s="4" t="s">
        <v>7036</v>
      </c>
      <c r="J7106" s="4" t="s">
        <v>543</v>
      </c>
      <c r="K7106" s="13" t="n">
        <v>250</v>
      </c>
      <c r="L7106" s="6" t="n">
        <f aca="false">H7106*K7106</f>
        <v>500</v>
      </c>
      <c r="M7106" s="14" t="s">
        <v>410</v>
      </c>
    </row>
    <row r="7107" customFormat="false" ht="15" hidden="false" customHeight="false" outlineLevel="0" collapsed="false">
      <c r="A7107" s="4" t="s">
        <v>386</v>
      </c>
      <c r="B7107" s="5" t="s">
        <v>387</v>
      </c>
      <c r="C7107" s="5" t="s">
        <v>388</v>
      </c>
      <c r="D7107" s="4" t="s">
        <v>370</v>
      </c>
      <c r="E7107" s="4" t="s">
        <v>7690</v>
      </c>
      <c r="F7107" s="4" t="s">
        <v>406</v>
      </c>
      <c r="G7107" s="4" t="s">
        <v>7483</v>
      </c>
      <c r="H7107" s="12" t="n">
        <v>2</v>
      </c>
      <c r="I7107" s="4" t="s">
        <v>7036</v>
      </c>
      <c r="J7107" s="4" t="s">
        <v>543</v>
      </c>
      <c r="K7107" s="13" t="n">
        <v>600</v>
      </c>
      <c r="L7107" s="6" t="n">
        <f aca="false">H7107*K7107</f>
        <v>1200</v>
      </c>
      <c r="M7107" s="14" t="s">
        <v>410</v>
      </c>
    </row>
    <row r="7108" customFormat="false" ht="15" hidden="false" customHeight="false" outlineLevel="0" collapsed="false">
      <c r="A7108" s="4" t="s">
        <v>386</v>
      </c>
      <c r="B7108" s="5" t="s">
        <v>387</v>
      </c>
      <c r="C7108" s="5" t="s">
        <v>388</v>
      </c>
      <c r="D7108" s="4" t="s">
        <v>370</v>
      </c>
      <c r="E7108" s="4" t="s">
        <v>777</v>
      </c>
      <c r="F7108" s="4" t="s">
        <v>406</v>
      </c>
      <c r="G7108" s="4" t="s">
        <v>7095</v>
      </c>
      <c r="H7108" s="12" t="n">
        <v>1</v>
      </c>
      <c r="I7108" s="4" t="s">
        <v>7036</v>
      </c>
      <c r="J7108" s="4" t="s">
        <v>409</v>
      </c>
      <c r="K7108" s="13" t="n">
        <v>250</v>
      </c>
      <c r="L7108" s="6" t="n">
        <f aca="false">H7108*K7108</f>
        <v>250</v>
      </c>
      <c r="M7108" s="14" t="s">
        <v>410</v>
      </c>
    </row>
    <row r="7109" customFormat="false" ht="15" hidden="false" customHeight="false" outlineLevel="0" collapsed="false">
      <c r="A7109" s="4" t="s">
        <v>386</v>
      </c>
      <c r="B7109" s="5" t="s">
        <v>387</v>
      </c>
      <c r="C7109" s="5" t="s">
        <v>388</v>
      </c>
      <c r="D7109" s="4" t="s">
        <v>370</v>
      </c>
      <c r="E7109" s="4" t="s">
        <v>4700</v>
      </c>
      <c r="F7109" s="4" t="s">
        <v>406</v>
      </c>
      <c r="G7109" s="4" t="s">
        <v>7691</v>
      </c>
      <c r="H7109" s="12" t="n">
        <v>1</v>
      </c>
      <c r="I7109" s="4" t="s">
        <v>7036</v>
      </c>
      <c r="J7109" s="4" t="s">
        <v>409</v>
      </c>
      <c r="K7109" s="13" t="n">
        <v>1500</v>
      </c>
      <c r="L7109" s="6" t="n">
        <f aca="false">H7109*K7109</f>
        <v>1500</v>
      </c>
      <c r="M7109" s="14" t="s">
        <v>410</v>
      </c>
    </row>
    <row r="7110" customFormat="false" ht="15" hidden="false" customHeight="false" outlineLevel="0" collapsed="false">
      <c r="A7110" s="4" t="s">
        <v>386</v>
      </c>
      <c r="B7110" s="5" t="s">
        <v>387</v>
      </c>
      <c r="C7110" s="5" t="s">
        <v>388</v>
      </c>
      <c r="D7110" s="4" t="s">
        <v>370</v>
      </c>
      <c r="E7110" s="4" t="s">
        <v>7488</v>
      </c>
      <c r="F7110" s="4" t="s">
        <v>406</v>
      </c>
      <c r="G7110" s="4" t="s">
        <v>7489</v>
      </c>
      <c r="H7110" s="12" t="n">
        <v>1</v>
      </c>
      <c r="I7110" s="4" t="s">
        <v>7036</v>
      </c>
      <c r="J7110" s="4" t="s">
        <v>543</v>
      </c>
      <c r="K7110" s="13" t="n">
        <v>450</v>
      </c>
      <c r="L7110" s="6" t="n">
        <f aca="false">H7110*K7110</f>
        <v>450</v>
      </c>
      <c r="M7110" s="14" t="s">
        <v>410</v>
      </c>
    </row>
    <row r="7111" customFormat="false" ht="15" hidden="false" customHeight="false" outlineLevel="0" collapsed="false">
      <c r="A7111" s="4" t="s">
        <v>386</v>
      </c>
      <c r="B7111" s="5" t="s">
        <v>387</v>
      </c>
      <c r="C7111" s="5" t="s">
        <v>388</v>
      </c>
      <c r="D7111" s="4" t="s">
        <v>370</v>
      </c>
      <c r="E7111" s="4" t="s">
        <v>7490</v>
      </c>
      <c r="F7111" s="4" t="s">
        <v>406</v>
      </c>
      <c r="G7111" s="4" t="s">
        <v>7491</v>
      </c>
      <c r="H7111" s="12" t="n">
        <v>4</v>
      </c>
      <c r="I7111" s="4" t="s">
        <v>7036</v>
      </c>
      <c r="J7111" s="4" t="s">
        <v>543</v>
      </c>
      <c r="K7111" s="13" t="n">
        <v>250</v>
      </c>
      <c r="L7111" s="6" t="n">
        <f aca="false">H7111*K7111</f>
        <v>1000</v>
      </c>
      <c r="M7111" s="14" t="s">
        <v>410</v>
      </c>
    </row>
    <row r="7112" customFormat="false" ht="15" hidden="false" customHeight="false" outlineLevel="0" collapsed="false">
      <c r="A7112" s="4" t="s">
        <v>386</v>
      </c>
      <c r="B7112" s="5" t="s">
        <v>387</v>
      </c>
      <c r="C7112" s="5" t="s">
        <v>388</v>
      </c>
      <c r="D7112" s="4" t="s">
        <v>370</v>
      </c>
      <c r="E7112" s="4" t="s">
        <v>7492</v>
      </c>
      <c r="F7112" s="4" t="s">
        <v>488</v>
      </c>
      <c r="G7112" s="4" t="s">
        <v>7493</v>
      </c>
      <c r="H7112" s="12" t="n">
        <v>6</v>
      </c>
      <c r="I7112" s="4" t="s">
        <v>7036</v>
      </c>
      <c r="J7112" s="4" t="s">
        <v>543</v>
      </c>
      <c r="K7112" s="13" t="n">
        <v>60</v>
      </c>
      <c r="L7112" s="6" t="n">
        <f aca="false">H7112*K7112</f>
        <v>360</v>
      </c>
      <c r="M7112" s="14" t="s">
        <v>410</v>
      </c>
    </row>
    <row r="7113" customFormat="false" ht="15" hidden="false" customHeight="false" outlineLevel="0" collapsed="false">
      <c r="A7113" s="4" t="s">
        <v>386</v>
      </c>
      <c r="B7113" s="5" t="s">
        <v>387</v>
      </c>
      <c r="C7113" s="5" t="s">
        <v>388</v>
      </c>
      <c r="D7113" s="4" t="s">
        <v>370</v>
      </c>
      <c r="E7113" s="4" t="s">
        <v>7692</v>
      </c>
      <c r="F7113" s="4" t="s">
        <v>406</v>
      </c>
      <c r="G7113" s="4" t="s">
        <v>7693</v>
      </c>
      <c r="H7113" s="12" t="n">
        <v>1</v>
      </c>
      <c r="I7113" s="4" t="s">
        <v>7036</v>
      </c>
      <c r="J7113" s="4" t="s">
        <v>416</v>
      </c>
      <c r="K7113" s="13" t="n">
        <v>4500</v>
      </c>
      <c r="L7113" s="6" t="n">
        <f aca="false">H7113*K7113</f>
        <v>4500</v>
      </c>
      <c r="M7113" s="14" t="s">
        <v>410</v>
      </c>
    </row>
    <row r="7114" customFormat="false" ht="15" hidden="false" customHeight="false" outlineLevel="0" collapsed="false">
      <c r="A7114" s="4" t="s">
        <v>386</v>
      </c>
      <c r="B7114" s="5" t="s">
        <v>387</v>
      </c>
      <c r="C7114" s="5" t="s">
        <v>388</v>
      </c>
      <c r="D7114" s="4" t="s">
        <v>370</v>
      </c>
      <c r="E7114" s="4" t="s">
        <v>7694</v>
      </c>
      <c r="F7114" s="4" t="s">
        <v>406</v>
      </c>
      <c r="G7114" s="4" t="s">
        <v>7695</v>
      </c>
      <c r="H7114" s="12" t="n">
        <v>1</v>
      </c>
      <c r="I7114" s="4" t="s">
        <v>7036</v>
      </c>
      <c r="J7114" s="4" t="s">
        <v>416</v>
      </c>
      <c r="K7114" s="13" t="n">
        <v>4500</v>
      </c>
      <c r="L7114" s="6" t="n">
        <f aca="false">H7114*K7114</f>
        <v>4500</v>
      </c>
      <c r="M7114" s="14" t="s">
        <v>410</v>
      </c>
    </row>
    <row r="7115" customFormat="false" ht="15" hidden="false" customHeight="false" outlineLevel="0" collapsed="false">
      <c r="A7115" s="4" t="s">
        <v>386</v>
      </c>
      <c r="B7115" s="5" t="s">
        <v>387</v>
      </c>
      <c r="C7115" s="5" t="s">
        <v>388</v>
      </c>
      <c r="D7115" s="4" t="s">
        <v>370</v>
      </c>
      <c r="E7115" s="4" t="s">
        <v>7498</v>
      </c>
      <c r="F7115" s="4" t="s">
        <v>488</v>
      </c>
      <c r="G7115" s="4" t="s">
        <v>7499</v>
      </c>
      <c r="H7115" s="12" t="n">
        <v>25</v>
      </c>
      <c r="I7115" s="4" t="s">
        <v>7036</v>
      </c>
      <c r="J7115" s="4" t="s">
        <v>543</v>
      </c>
      <c r="K7115" s="13" t="n">
        <v>15</v>
      </c>
      <c r="L7115" s="6" t="n">
        <f aca="false">H7115*K7115</f>
        <v>375</v>
      </c>
      <c r="M7115" s="14" t="s">
        <v>410</v>
      </c>
    </row>
    <row r="7116" customFormat="false" ht="15" hidden="false" customHeight="false" outlineLevel="0" collapsed="false">
      <c r="A7116" s="4" t="s">
        <v>386</v>
      </c>
      <c r="B7116" s="5" t="s">
        <v>387</v>
      </c>
      <c r="C7116" s="5" t="s">
        <v>388</v>
      </c>
      <c r="D7116" s="4" t="s">
        <v>370</v>
      </c>
      <c r="E7116" s="4" t="s">
        <v>4419</v>
      </c>
      <c r="F7116" s="4" t="s">
        <v>406</v>
      </c>
      <c r="G7116" s="4" t="s">
        <v>4420</v>
      </c>
      <c r="H7116" s="12" t="n">
        <v>1</v>
      </c>
      <c r="I7116" s="4" t="s">
        <v>7036</v>
      </c>
      <c r="J7116" s="4" t="s">
        <v>409</v>
      </c>
      <c r="K7116" s="13" t="n">
        <v>250</v>
      </c>
      <c r="L7116" s="6" t="n">
        <f aca="false">H7116*K7116</f>
        <v>250</v>
      </c>
      <c r="M7116" s="14" t="s">
        <v>410</v>
      </c>
    </row>
    <row r="7117" customFormat="false" ht="15" hidden="false" customHeight="false" outlineLevel="0" collapsed="false">
      <c r="A7117" s="4" t="s">
        <v>386</v>
      </c>
      <c r="B7117" s="5" t="s">
        <v>387</v>
      </c>
      <c r="C7117" s="5" t="s">
        <v>388</v>
      </c>
      <c r="D7117" s="4" t="s">
        <v>370</v>
      </c>
      <c r="E7117" s="4" t="s">
        <v>3234</v>
      </c>
      <c r="F7117" s="4" t="s">
        <v>406</v>
      </c>
      <c r="G7117" s="4" t="s">
        <v>569</v>
      </c>
      <c r="H7117" s="12" t="n">
        <v>1</v>
      </c>
      <c r="I7117" s="4" t="s">
        <v>7036</v>
      </c>
      <c r="J7117" s="4" t="s">
        <v>409</v>
      </c>
      <c r="K7117" s="13" t="n">
        <v>350</v>
      </c>
      <c r="L7117" s="6" t="n">
        <f aca="false">H7117*K7117</f>
        <v>350</v>
      </c>
      <c r="M7117" s="14" t="s">
        <v>410</v>
      </c>
    </row>
    <row r="7118" customFormat="false" ht="15" hidden="false" customHeight="false" outlineLevel="0" collapsed="false">
      <c r="A7118" s="4" t="s">
        <v>386</v>
      </c>
      <c r="B7118" s="5" t="s">
        <v>387</v>
      </c>
      <c r="C7118" s="5" t="s">
        <v>388</v>
      </c>
      <c r="D7118" s="4" t="s">
        <v>370</v>
      </c>
      <c r="E7118" s="4" t="s">
        <v>7430</v>
      </c>
      <c r="F7118" s="4" t="s">
        <v>406</v>
      </c>
      <c r="G7118" s="4" t="s">
        <v>7431</v>
      </c>
      <c r="H7118" s="12" t="n">
        <v>1</v>
      </c>
      <c r="I7118" s="4" t="s">
        <v>7036</v>
      </c>
      <c r="J7118" s="4" t="s">
        <v>543</v>
      </c>
      <c r="K7118" s="13" t="n">
        <v>120</v>
      </c>
      <c r="L7118" s="6" t="n">
        <f aca="false">H7118*K7118</f>
        <v>120</v>
      </c>
      <c r="M7118" s="14" t="s">
        <v>410</v>
      </c>
    </row>
    <row r="7119" customFormat="false" ht="15" hidden="false" customHeight="false" outlineLevel="0" collapsed="false">
      <c r="A7119" s="4" t="s">
        <v>386</v>
      </c>
      <c r="B7119" s="5" t="s">
        <v>387</v>
      </c>
      <c r="C7119" s="5" t="s">
        <v>388</v>
      </c>
      <c r="D7119" s="4" t="s">
        <v>370</v>
      </c>
      <c r="E7119" s="4" t="s">
        <v>7504</v>
      </c>
      <c r="F7119" s="4" t="s">
        <v>488</v>
      </c>
      <c r="G7119" s="4" t="s">
        <v>7505</v>
      </c>
      <c r="H7119" s="12" t="n">
        <v>1</v>
      </c>
      <c r="I7119" s="4" t="s">
        <v>7036</v>
      </c>
      <c r="J7119" s="4" t="s">
        <v>475</v>
      </c>
      <c r="K7119" s="13" t="n">
        <v>150</v>
      </c>
      <c r="L7119" s="6" t="n">
        <f aca="false">H7119*K7119</f>
        <v>150</v>
      </c>
      <c r="M7119" s="14" t="s">
        <v>410</v>
      </c>
    </row>
    <row r="7120" customFormat="false" ht="15" hidden="false" customHeight="false" outlineLevel="0" collapsed="false">
      <c r="A7120" s="4" t="s">
        <v>386</v>
      </c>
      <c r="B7120" s="5" t="s">
        <v>387</v>
      </c>
      <c r="C7120" s="5" t="s">
        <v>388</v>
      </c>
      <c r="D7120" s="4" t="s">
        <v>370</v>
      </c>
      <c r="E7120" s="4" t="s">
        <v>7696</v>
      </c>
      <c r="F7120" s="4" t="s">
        <v>406</v>
      </c>
      <c r="G7120" s="4" t="s">
        <v>7697</v>
      </c>
      <c r="H7120" s="12" t="n">
        <v>2</v>
      </c>
      <c r="I7120" s="4" t="s">
        <v>7036</v>
      </c>
      <c r="J7120" s="4" t="s">
        <v>543</v>
      </c>
      <c r="K7120" s="13" t="n">
        <v>50</v>
      </c>
      <c r="L7120" s="6" t="n">
        <f aca="false">H7120*K7120</f>
        <v>100</v>
      </c>
      <c r="M7120" s="14" t="s">
        <v>410</v>
      </c>
    </row>
    <row r="7121" customFormat="false" ht="15" hidden="false" customHeight="false" outlineLevel="0" collapsed="false">
      <c r="A7121" s="4" t="s">
        <v>386</v>
      </c>
      <c r="B7121" s="5" t="s">
        <v>387</v>
      </c>
      <c r="C7121" s="5" t="s">
        <v>388</v>
      </c>
      <c r="D7121" s="4" t="s">
        <v>370</v>
      </c>
      <c r="E7121" s="4" t="s">
        <v>7508</v>
      </c>
      <c r="F7121" s="4" t="s">
        <v>470</v>
      </c>
      <c r="G7121" s="4" t="s">
        <v>7509</v>
      </c>
      <c r="H7121" s="12" t="n">
        <v>1</v>
      </c>
      <c r="I7121" s="4" t="s">
        <v>7036</v>
      </c>
      <c r="J7121" s="4" t="s">
        <v>543</v>
      </c>
      <c r="K7121" s="13" t="n">
        <v>250</v>
      </c>
      <c r="L7121" s="6" t="n">
        <f aca="false">H7121*K7121</f>
        <v>250</v>
      </c>
      <c r="M7121" s="14" t="s">
        <v>410</v>
      </c>
    </row>
    <row r="7122" customFormat="false" ht="15" hidden="false" customHeight="false" outlineLevel="0" collapsed="false">
      <c r="A7122" s="4" t="s">
        <v>386</v>
      </c>
      <c r="B7122" s="5" t="s">
        <v>387</v>
      </c>
      <c r="C7122" s="5" t="s">
        <v>388</v>
      </c>
      <c r="D7122" s="4" t="s">
        <v>370</v>
      </c>
      <c r="E7122" s="4" t="s">
        <v>7510</v>
      </c>
      <c r="F7122" s="4" t="s">
        <v>470</v>
      </c>
      <c r="G7122" s="4" t="s">
        <v>7511</v>
      </c>
      <c r="H7122" s="12" t="n">
        <v>1</v>
      </c>
      <c r="I7122" s="4" t="s">
        <v>7036</v>
      </c>
      <c r="J7122" s="4" t="s">
        <v>543</v>
      </c>
      <c r="K7122" s="13" t="n">
        <v>250</v>
      </c>
      <c r="L7122" s="6" t="n">
        <f aca="false">H7122*K7122</f>
        <v>250</v>
      </c>
      <c r="M7122" s="14" t="s">
        <v>410</v>
      </c>
    </row>
    <row r="7123" customFormat="false" ht="15" hidden="false" customHeight="false" outlineLevel="0" collapsed="false">
      <c r="A7123" s="4" t="s">
        <v>386</v>
      </c>
      <c r="B7123" s="5" t="s">
        <v>387</v>
      </c>
      <c r="C7123" s="5" t="s">
        <v>388</v>
      </c>
      <c r="D7123" s="4" t="s">
        <v>370</v>
      </c>
      <c r="E7123" s="4" t="s">
        <v>7698</v>
      </c>
      <c r="F7123" s="4" t="s">
        <v>470</v>
      </c>
      <c r="G7123" s="4" t="s">
        <v>7513</v>
      </c>
      <c r="H7123" s="12" t="n">
        <v>1</v>
      </c>
      <c r="I7123" s="4" t="s">
        <v>7036</v>
      </c>
      <c r="J7123" s="4" t="s">
        <v>543</v>
      </c>
      <c r="K7123" s="13" t="n">
        <v>250</v>
      </c>
      <c r="L7123" s="6" t="n">
        <f aca="false">H7123*K7123</f>
        <v>250</v>
      </c>
      <c r="M7123" s="14" t="s">
        <v>410</v>
      </c>
    </row>
    <row r="7124" customFormat="false" ht="15" hidden="false" customHeight="false" outlineLevel="0" collapsed="false">
      <c r="A7124" s="4" t="s">
        <v>378</v>
      </c>
      <c r="B7124" s="5" t="s">
        <v>382</v>
      </c>
      <c r="C7124" s="5" t="s">
        <v>383</v>
      </c>
      <c r="D7124" s="4" t="s">
        <v>370</v>
      </c>
      <c r="E7124" s="4" t="s">
        <v>3839</v>
      </c>
      <c r="F7124" s="4" t="s">
        <v>406</v>
      </c>
      <c r="G7124" s="4" t="s">
        <v>1061</v>
      </c>
      <c r="H7124" s="12" t="n">
        <v>4</v>
      </c>
      <c r="I7124" s="4" t="s">
        <v>7036</v>
      </c>
      <c r="J7124" s="4" t="s">
        <v>409</v>
      </c>
      <c r="K7124" s="13" t="n">
        <v>45000</v>
      </c>
      <c r="L7124" s="6" t="n">
        <f aca="false">H7124*K7124</f>
        <v>180000</v>
      </c>
      <c r="M7124" s="14" t="s">
        <v>410</v>
      </c>
    </row>
    <row r="7125" customFormat="false" ht="15" hidden="false" customHeight="false" outlineLevel="0" collapsed="false">
      <c r="A7125" s="4" t="s">
        <v>378</v>
      </c>
      <c r="B7125" s="5" t="s">
        <v>382</v>
      </c>
      <c r="C7125" s="5" t="s">
        <v>383</v>
      </c>
      <c r="D7125" s="4" t="s">
        <v>370</v>
      </c>
      <c r="E7125" s="4" t="s">
        <v>7699</v>
      </c>
      <c r="F7125" s="4" t="s">
        <v>406</v>
      </c>
      <c r="G7125" s="4" t="s">
        <v>7700</v>
      </c>
      <c r="H7125" s="12" t="n">
        <v>4</v>
      </c>
      <c r="I7125" s="4" t="s">
        <v>7036</v>
      </c>
      <c r="J7125" s="4" t="s">
        <v>7055</v>
      </c>
      <c r="K7125" s="13" t="n">
        <v>800</v>
      </c>
      <c r="L7125" s="6" t="n">
        <f aca="false">H7125*K7125</f>
        <v>3200</v>
      </c>
      <c r="M7125" s="14" t="s">
        <v>410</v>
      </c>
    </row>
    <row r="7126" customFormat="false" ht="15" hidden="false" customHeight="false" outlineLevel="0" collapsed="false">
      <c r="A7126" s="4" t="s">
        <v>378</v>
      </c>
      <c r="B7126" s="5" t="s">
        <v>382</v>
      </c>
      <c r="C7126" s="5" t="s">
        <v>383</v>
      </c>
      <c r="D7126" s="4" t="s">
        <v>370</v>
      </c>
      <c r="E7126" s="4" t="s">
        <v>1616</v>
      </c>
      <c r="F7126" s="4" t="s">
        <v>406</v>
      </c>
      <c r="G7126" s="4" t="s">
        <v>1617</v>
      </c>
      <c r="H7126" s="12" t="n">
        <v>1</v>
      </c>
      <c r="I7126" s="4" t="s">
        <v>7036</v>
      </c>
      <c r="J7126" s="4" t="s">
        <v>409</v>
      </c>
      <c r="K7126" s="13" t="n">
        <v>12000</v>
      </c>
      <c r="L7126" s="6" t="n">
        <f aca="false">H7126*K7126</f>
        <v>12000</v>
      </c>
      <c r="M7126" s="14" t="s">
        <v>410</v>
      </c>
    </row>
    <row r="7127" customFormat="false" ht="15" hidden="false" customHeight="false" outlineLevel="0" collapsed="false">
      <c r="A7127" s="4" t="s">
        <v>378</v>
      </c>
      <c r="B7127" s="5" t="s">
        <v>382</v>
      </c>
      <c r="C7127" s="5" t="s">
        <v>383</v>
      </c>
      <c r="D7127" s="4" t="s">
        <v>370</v>
      </c>
      <c r="E7127" s="4" t="s">
        <v>1062</v>
      </c>
      <c r="F7127" s="4" t="s">
        <v>406</v>
      </c>
      <c r="G7127" s="4" t="s">
        <v>7701</v>
      </c>
      <c r="H7127" s="12" t="n">
        <v>4</v>
      </c>
      <c r="I7127" s="4" t="s">
        <v>7036</v>
      </c>
      <c r="J7127" s="4" t="s">
        <v>409</v>
      </c>
      <c r="K7127" s="13" t="n">
        <v>3500</v>
      </c>
      <c r="L7127" s="6" t="n">
        <f aca="false">H7127*K7127</f>
        <v>14000</v>
      </c>
      <c r="M7127" s="14" t="s">
        <v>410</v>
      </c>
    </row>
    <row r="7128" customFormat="false" ht="15" hidden="false" customHeight="false" outlineLevel="0" collapsed="false">
      <c r="A7128" s="4" t="s">
        <v>378</v>
      </c>
      <c r="B7128" s="5" t="s">
        <v>382</v>
      </c>
      <c r="C7128" s="5" t="s">
        <v>383</v>
      </c>
      <c r="D7128" s="4" t="s">
        <v>370</v>
      </c>
      <c r="E7128" s="4" t="s">
        <v>7702</v>
      </c>
      <c r="F7128" s="4" t="s">
        <v>470</v>
      </c>
      <c r="G7128" s="4" t="s">
        <v>7703</v>
      </c>
      <c r="H7128" s="12" t="n">
        <v>1</v>
      </c>
      <c r="I7128" s="4" t="s">
        <v>7036</v>
      </c>
      <c r="J7128" s="4" t="s">
        <v>543</v>
      </c>
      <c r="K7128" s="13" t="n">
        <v>3500</v>
      </c>
      <c r="L7128" s="6" t="n">
        <f aca="false">H7128*K7128</f>
        <v>3500</v>
      </c>
      <c r="M7128" s="14" t="s">
        <v>410</v>
      </c>
    </row>
    <row r="7129" customFormat="false" ht="15" hidden="false" customHeight="false" outlineLevel="0" collapsed="false">
      <c r="A7129" s="4" t="s">
        <v>378</v>
      </c>
      <c r="B7129" s="5" t="s">
        <v>382</v>
      </c>
      <c r="C7129" s="5" t="s">
        <v>383</v>
      </c>
      <c r="D7129" s="4" t="s">
        <v>370</v>
      </c>
      <c r="E7129" s="4" t="s">
        <v>7704</v>
      </c>
      <c r="F7129" s="4" t="s">
        <v>470</v>
      </c>
      <c r="G7129" s="4" t="s">
        <v>7705</v>
      </c>
      <c r="H7129" s="12" t="n">
        <v>5</v>
      </c>
      <c r="I7129" s="4" t="s">
        <v>7036</v>
      </c>
      <c r="J7129" s="4" t="s">
        <v>416</v>
      </c>
      <c r="K7129" s="13" t="n">
        <v>1500</v>
      </c>
      <c r="L7129" s="6" t="n">
        <f aca="false">H7129*K7129</f>
        <v>7500</v>
      </c>
      <c r="M7129" s="14" t="s">
        <v>410</v>
      </c>
    </row>
    <row r="7130" customFormat="false" ht="15" hidden="false" customHeight="false" outlineLevel="0" collapsed="false">
      <c r="A7130" s="4" t="s">
        <v>378</v>
      </c>
      <c r="B7130" s="5" t="s">
        <v>382</v>
      </c>
      <c r="C7130" s="5" t="s">
        <v>383</v>
      </c>
      <c r="D7130" s="4" t="s">
        <v>370</v>
      </c>
      <c r="E7130" s="4" t="s">
        <v>7706</v>
      </c>
      <c r="F7130" s="4" t="s">
        <v>470</v>
      </c>
      <c r="G7130" s="4" t="s">
        <v>7707</v>
      </c>
      <c r="H7130" s="12" t="n">
        <v>25</v>
      </c>
      <c r="I7130" s="4" t="s">
        <v>7036</v>
      </c>
      <c r="J7130" s="4" t="s">
        <v>543</v>
      </c>
      <c r="K7130" s="13" t="n">
        <v>700</v>
      </c>
      <c r="L7130" s="6" t="n">
        <f aca="false">H7130*K7130</f>
        <v>17500</v>
      </c>
      <c r="M7130" s="14" t="s">
        <v>410</v>
      </c>
    </row>
    <row r="7131" customFormat="false" ht="15" hidden="false" customHeight="false" outlineLevel="0" collapsed="false">
      <c r="A7131" s="4" t="s">
        <v>378</v>
      </c>
      <c r="B7131" s="5" t="s">
        <v>382</v>
      </c>
      <c r="C7131" s="5" t="s">
        <v>383</v>
      </c>
      <c r="D7131" s="4" t="s">
        <v>370</v>
      </c>
      <c r="E7131" s="4" t="s">
        <v>2183</v>
      </c>
      <c r="F7131" s="4" t="s">
        <v>470</v>
      </c>
      <c r="G7131" s="4" t="s">
        <v>2184</v>
      </c>
      <c r="H7131" s="12" t="n">
        <v>4</v>
      </c>
      <c r="I7131" s="4" t="s">
        <v>7036</v>
      </c>
      <c r="J7131" s="4" t="s">
        <v>409</v>
      </c>
      <c r="K7131" s="13" t="n">
        <v>8500</v>
      </c>
      <c r="L7131" s="6" t="n">
        <f aca="false">H7131*K7131</f>
        <v>34000</v>
      </c>
      <c r="M7131" s="14" t="s">
        <v>410</v>
      </c>
    </row>
    <row r="7132" customFormat="false" ht="23.85" hidden="false" customHeight="false" outlineLevel="0" collapsed="false">
      <c r="A7132" s="4" t="s">
        <v>378</v>
      </c>
      <c r="B7132" s="5" t="s">
        <v>374</v>
      </c>
      <c r="C7132" s="5" t="s">
        <v>379</v>
      </c>
      <c r="D7132" s="4" t="s">
        <v>370</v>
      </c>
      <c r="E7132" s="4" t="s">
        <v>7708</v>
      </c>
      <c r="F7132" s="4" t="s">
        <v>406</v>
      </c>
      <c r="G7132" s="4" t="s">
        <v>7709</v>
      </c>
      <c r="H7132" s="12" t="n">
        <v>4</v>
      </c>
      <c r="I7132" s="4" t="s">
        <v>7036</v>
      </c>
      <c r="J7132" s="4" t="s">
        <v>543</v>
      </c>
      <c r="K7132" s="13" t="n">
        <v>50000</v>
      </c>
      <c r="L7132" s="6" t="n">
        <f aca="false">H7132*K7132</f>
        <v>200000</v>
      </c>
      <c r="M7132" s="14" t="s">
        <v>410</v>
      </c>
    </row>
    <row r="7133" customFormat="false" ht="23.85" hidden="false" customHeight="false" outlineLevel="0" collapsed="false">
      <c r="A7133" s="4" t="s">
        <v>378</v>
      </c>
      <c r="B7133" s="5" t="s">
        <v>374</v>
      </c>
      <c r="C7133" s="5" t="s">
        <v>379</v>
      </c>
      <c r="D7133" s="4" t="s">
        <v>370</v>
      </c>
      <c r="E7133" s="4" t="s">
        <v>7699</v>
      </c>
      <c r="F7133" s="4" t="s">
        <v>406</v>
      </c>
      <c r="G7133" s="4" t="s">
        <v>7700</v>
      </c>
      <c r="H7133" s="12" t="n">
        <v>4</v>
      </c>
      <c r="I7133" s="4" t="s">
        <v>7036</v>
      </c>
      <c r="J7133" s="4" t="s">
        <v>7055</v>
      </c>
      <c r="K7133" s="13" t="n">
        <v>800</v>
      </c>
      <c r="L7133" s="6" t="n">
        <f aca="false">H7133*K7133</f>
        <v>3200</v>
      </c>
      <c r="M7133" s="14" t="s">
        <v>410</v>
      </c>
    </row>
    <row r="7134" customFormat="false" ht="23.85" hidden="false" customHeight="false" outlineLevel="0" collapsed="false">
      <c r="A7134" s="4" t="s">
        <v>378</v>
      </c>
      <c r="B7134" s="5" t="s">
        <v>374</v>
      </c>
      <c r="C7134" s="5" t="s">
        <v>379</v>
      </c>
      <c r="D7134" s="4" t="s">
        <v>370</v>
      </c>
      <c r="E7134" s="4" t="s">
        <v>1062</v>
      </c>
      <c r="F7134" s="4" t="s">
        <v>406</v>
      </c>
      <c r="G7134" s="4" t="s">
        <v>7701</v>
      </c>
      <c r="H7134" s="12" t="n">
        <v>4</v>
      </c>
      <c r="I7134" s="4" t="s">
        <v>7036</v>
      </c>
      <c r="J7134" s="4" t="s">
        <v>409</v>
      </c>
      <c r="K7134" s="13" t="n">
        <v>3500</v>
      </c>
      <c r="L7134" s="6" t="n">
        <f aca="false">H7134*K7134</f>
        <v>14000</v>
      </c>
      <c r="M7134" s="14" t="s">
        <v>410</v>
      </c>
    </row>
    <row r="7135" customFormat="false" ht="23.85" hidden="false" customHeight="false" outlineLevel="0" collapsed="false">
      <c r="A7135" s="4" t="s">
        <v>378</v>
      </c>
      <c r="B7135" s="5" t="s">
        <v>374</v>
      </c>
      <c r="C7135" s="5" t="s">
        <v>379</v>
      </c>
      <c r="D7135" s="4" t="s">
        <v>370</v>
      </c>
      <c r="E7135" s="4" t="s">
        <v>1616</v>
      </c>
      <c r="F7135" s="4" t="s">
        <v>406</v>
      </c>
      <c r="G7135" s="4" t="s">
        <v>1617</v>
      </c>
      <c r="H7135" s="12" t="n">
        <v>1</v>
      </c>
      <c r="I7135" s="4" t="s">
        <v>7036</v>
      </c>
      <c r="J7135" s="4" t="s">
        <v>409</v>
      </c>
      <c r="K7135" s="13" t="n">
        <v>12000</v>
      </c>
      <c r="L7135" s="6" t="n">
        <f aca="false">H7135*K7135</f>
        <v>12000</v>
      </c>
      <c r="M7135" s="14" t="s">
        <v>410</v>
      </c>
    </row>
    <row r="7136" customFormat="false" ht="23.85" hidden="false" customHeight="false" outlineLevel="0" collapsed="false">
      <c r="A7136" s="4" t="s">
        <v>378</v>
      </c>
      <c r="B7136" s="5" t="s">
        <v>374</v>
      </c>
      <c r="C7136" s="5" t="s">
        <v>379</v>
      </c>
      <c r="D7136" s="4" t="s">
        <v>370</v>
      </c>
      <c r="E7136" s="4" t="s">
        <v>7702</v>
      </c>
      <c r="F7136" s="4" t="s">
        <v>470</v>
      </c>
      <c r="G7136" s="4" t="s">
        <v>7703</v>
      </c>
      <c r="H7136" s="12" t="n">
        <v>1</v>
      </c>
      <c r="I7136" s="4" t="s">
        <v>7036</v>
      </c>
      <c r="J7136" s="4" t="s">
        <v>543</v>
      </c>
      <c r="K7136" s="13" t="n">
        <v>3500</v>
      </c>
      <c r="L7136" s="6" t="n">
        <f aca="false">H7136*K7136</f>
        <v>3500</v>
      </c>
      <c r="M7136" s="14" t="s">
        <v>410</v>
      </c>
    </row>
    <row r="7137" customFormat="false" ht="23.85" hidden="false" customHeight="false" outlineLevel="0" collapsed="false">
      <c r="A7137" s="4" t="s">
        <v>378</v>
      </c>
      <c r="B7137" s="5" t="s">
        <v>374</v>
      </c>
      <c r="C7137" s="5" t="s">
        <v>379</v>
      </c>
      <c r="D7137" s="4" t="s">
        <v>370</v>
      </c>
      <c r="E7137" s="4" t="s">
        <v>7710</v>
      </c>
      <c r="F7137" s="4" t="s">
        <v>470</v>
      </c>
      <c r="G7137" s="4" t="s">
        <v>7705</v>
      </c>
      <c r="H7137" s="12" t="n">
        <v>5</v>
      </c>
      <c r="I7137" s="4" t="s">
        <v>7036</v>
      </c>
      <c r="J7137" s="4" t="s">
        <v>416</v>
      </c>
      <c r="K7137" s="13" t="n">
        <v>1500</v>
      </c>
      <c r="L7137" s="6" t="n">
        <f aca="false">H7137*K7137</f>
        <v>7500</v>
      </c>
      <c r="M7137" s="14" t="s">
        <v>410</v>
      </c>
    </row>
    <row r="7138" customFormat="false" ht="23.85" hidden="false" customHeight="false" outlineLevel="0" collapsed="false">
      <c r="A7138" s="4" t="s">
        <v>378</v>
      </c>
      <c r="B7138" s="5" t="s">
        <v>374</v>
      </c>
      <c r="C7138" s="5" t="s">
        <v>379</v>
      </c>
      <c r="D7138" s="4" t="s">
        <v>370</v>
      </c>
      <c r="E7138" s="4" t="s">
        <v>7706</v>
      </c>
      <c r="F7138" s="4" t="s">
        <v>470</v>
      </c>
      <c r="G7138" s="4" t="s">
        <v>7707</v>
      </c>
      <c r="H7138" s="12" t="n">
        <v>24</v>
      </c>
      <c r="I7138" s="4" t="s">
        <v>7036</v>
      </c>
      <c r="J7138" s="4" t="s">
        <v>543</v>
      </c>
      <c r="K7138" s="13" t="n">
        <v>700</v>
      </c>
      <c r="L7138" s="6" t="n">
        <f aca="false">H7138*K7138</f>
        <v>16800</v>
      </c>
      <c r="M7138" s="14" t="s">
        <v>410</v>
      </c>
    </row>
    <row r="7139" customFormat="false" ht="23.85" hidden="false" customHeight="false" outlineLevel="0" collapsed="false">
      <c r="A7139" s="4" t="s">
        <v>378</v>
      </c>
      <c r="B7139" s="5" t="s">
        <v>374</v>
      </c>
      <c r="C7139" s="5" t="s">
        <v>379</v>
      </c>
      <c r="D7139" s="4" t="s">
        <v>370</v>
      </c>
      <c r="E7139" s="4" t="s">
        <v>7711</v>
      </c>
      <c r="F7139" s="4" t="s">
        <v>470</v>
      </c>
      <c r="G7139" s="4" t="s">
        <v>2184</v>
      </c>
      <c r="H7139" s="12" t="n">
        <v>4</v>
      </c>
      <c r="I7139" s="4" t="s">
        <v>7036</v>
      </c>
      <c r="J7139" s="4" t="s">
        <v>409</v>
      </c>
      <c r="K7139" s="13" t="n">
        <v>8500</v>
      </c>
      <c r="L7139" s="6" t="n">
        <f aca="false">H7139*K7139</f>
        <v>34000</v>
      </c>
      <c r="M7139" s="14" t="s">
        <v>410</v>
      </c>
    </row>
    <row r="7140" customFormat="false" ht="15" hidden="false" customHeight="false" outlineLevel="0" collapsed="false">
      <c r="A7140" s="4" t="s">
        <v>378</v>
      </c>
      <c r="B7140" s="5" t="s">
        <v>384</v>
      </c>
      <c r="C7140" s="5" t="s">
        <v>385</v>
      </c>
      <c r="D7140" s="4" t="s">
        <v>370</v>
      </c>
      <c r="E7140" s="4" t="s">
        <v>2163</v>
      </c>
      <c r="F7140" s="4" t="s">
        <v>406</v>
      </c>
      <c r="G7140" s="4" t="s">
        <v>7712</v>
      </c>
      <c r="H7140" s="12" t="n">
        <v>4</v>
      </c>
      <c r="I7140" s="4" t="s">
        <v>7036</v>
      </c>
      <c r="J7140" s="4" t="s">
        <v>409</v>
      </c>
      <c r="K7140" s="13" t="n">
        <v>45000</v>
      </c>
      <c r="L7140" s="6" t="n">
        <f aca="false">H7140*K7140</f>
        <v>180000</v>
      </c>
      <c r="M7140" s="14" t="s">
        <v>410</v>
      </c>
    </row>
    <row r="7141" customFormat="false" ht="15" hidden="false" customHeight="false" outlineLevel="0" collapsed="false">
      <c r="A7141" s="4" t="s">
        <v>378</v>
      </c>
      <c r="B7141" s="5" t="s">
        <v>384</v>
      </c>
      <c r="C7141" s="5" t="s">
        <v>385</v>
      </c>
      <c r="D7141" s="4" t="s">
        <v>370</v>
      </c>
      <c r="E7141" s="4" t="s">
        <v>7699</v>
      </c>
      <c r="F7141" s="4" t="s">
        <v>406</v>
      </c>
      <c r="G7141" s="4" t="s">
        <v>7700</v>
      </c>
      <c r="H7141" s="12" t="n">
        <v>4</v>
      </c>
      <c r="I7141" s="4" t="s">
        <v>7036</v>
      </c>
      <c r="J7141" s="4" t="s">
        <v>7055</v>
      </c>
      <c r="K7141" s="13" t="n">
        <v>800</v>
      </c>
      <c r="L7141" s="6" t="n">
        <f aca="false">H7141*K7141</f>
        <v>3200</v>
      </c>
      <c r="M7141" s="14" t="s">
        <v>410</v>
      </c>
    </row>
    <row r="7142" customFormat="false" ht="15" hidden="false" customHeight="false" outlineLevel="0" collapsed="false">
      <c r="A7142" s="4" t="s">
        <v>378</v>
      </c>
      <c r="B7142" s="5" t="s">
        <v>384</v>
      </c>
      <c r="C7142" s="5" t="s">
        <v>385</v>
      </c>
      <c r="D7142" s="4" t="s">
        <v>370</v>
      </c>
      <c r="E7142" s="4" t="s">
        <v>7702</v>
      </c>
      <c r="F7142" s="4" t="s">
        <v>470</v>
      </c>
      <c r="G7142" s="4" t="s">
        <v>7703</v>
      </c>
      <c r="H7142" s="12" t="n">
        <v>1</v>
      </c>
      <c r="I7142" s="4" t="s">
        <v>7036</v>
      </c>
      <c r="J7142" s="4" t="s">
        <v>543</v>
      </c>
      <c r="K7142" s="13" t="n">
        <v>3500</v>
      </c>
      <c r="L7142" s="6" t="n">
        <f aca="false">H7142*K7142</f>
        <v>3500</v>
      </c>
      <c r="M7142" s="14" t="s">
        <v>410</v>
      </c>
    </row>
    <row r="7143" customFormat="false" ht="15" hidden="false" customHeight="false" outlineLevel="0" collapsed="false">
      <c r="A7143" s="4" t="s">
        <v>378</v>
      </c>
      <c r="B7143" s="5" t="s">
        <v>384</v>
      </c>
      <c r="C7143" s="5" t="s">
        <v>385</v>
      </c>
      <c r="D7143" s="4" t="s">
        <v>370</v>
      </c>
      <c r="E7143" s="4" t="s">
        <v>1616</v>
      </c>
      <c r="F7143" s="4" t="s">
        <v>406</v>
      </c>
      <c r="G7143" s="4" t="s">
        <v>1617</v>
      </c>
      <c r="H7143" s="12" t="n">
        <v>1</v>
      </c>
      <c r="I7143" s="4" t="s">
        <v>7036</v>
      </c>
      <c r="J7143" s="4" t="s">
        <v>409</v>
      </c>
      <c r="K7143" s="13" t="n">
        <v>12000</v>
      </c>
      <c r="L7143" s="6" t="n">
        <f aca="false">H7143*K7143</f>
        <v>12000</v>
      </c>
      <c r="M7143" s="14" t="s">
        <v>410</v>
      </c>
    </row>
    <row r="7144" customFormat="false" ht="15" hidden="false" customHeight="false" outlineLevel="0" collapsed="false">
      <c r="A7144" s="4" t="s">
        <v>378</v>
      </c>
      <c r="B7144" s="5" t="s">
        <v>384</v>
      </c>
      <c r="C7144" s="5" t="s">
        <v>385</v>
      </c>
      <c r="D7144" s="4" t="s">
        <v>370</v>
      </c>
      <c r="E7144" s="4" t="s">
        <v>1423</v>
      </c>
      <c r="F7144" s="4" t="s">
        <v>470</v>
      </c>
      <c r="G7144" s="4" t="s">
        <v>1424</v>
      </c>
      <c r="H7144" s="12" t="n">
        <v>1</v>
      </c>
      <c r="I7144" s="4" t="s">
        <v>7036</v>
      </c>
      <c r="J7144" s="4" t="s">
        <v>409</v>
      </c>
      <c r="K7144" s="13" t="n">
        <v>3500</v>
      </c>
      <c r="L7144" s="6" t="n">
        <f aca="false">H7144*K7144</f>
        <v>3500</v>
      </c>
      <c r="M7144" s="14" t="s">
        <v>410</v>
      </c>
    </row>
    <row r="7145" customFormat="false" ht="15" hidden="false" customHeight="false" outlineLevel="0" collapsed="false">
      <c r="A7145" s="4" t="s">
        <v>378</v>
      </c>
      <c r="B7145" s="5" t="s">
        <v>384</v>
      </c>
      <c r="C7145" s="5" t="s">
        <v>385</v>
      </c>
      <c r="D7145" s="4" t="s">
        <v>370</v>
      </c>
      <c r="E7145" s="4" t="s">
        <v>1697</v>
      </c>
      <c r="F7145" s="4" t="s">
        <v>470</v>
      </c>
      <c r="G7145" s="4" t="s">
        <v>1698</v>
      </c>
      <c r="H7145" s="12" t="n">
        <v>1</v>
      </c>
      <c r="I7145" s="4" t="s">
        <v>7036</v>
      </c>
      <c r="J7145" s="4" t="s">
        <v>409</v>
      </c>
      <c r="K7145" s="13" t="n">
        <v>45000</v>
      </c>
      <c r="L7145" s="6" t="n">
        <f aca="false">H7145*K7145</f>
        <v>45000</v>
      </c>
      <c r="M7145" s="14" t="s">
        <v>410</v>
      </c>
    </row>
    <row r="7146" customFormat="false" ht="15" hidden="false" customHeight="false" outlineLevel="0" collapsed="false">
      <c r="A7146" s="4" t="s">
        <v>378</v>
      </c>
      <c r="B7146" s="5" t="s">
        <v>384</v>
      </c>
      <c r="C7146" s="5" t="s">
        <v>385</v>
      </c>
      <c r="D7146" s="4" t="s">
        <v>370</v>
      </c>
      <c r="E7146" s="4" t="s">
        <v>1062</v>
      </c>
      <c r="F7146" s="4" t="s">
        <v>406</v>
      </c>
      <c r="G7146" s="4" t="s">
        <v>7701</v>
      </c>
      <c r="H7146" s="12" t="n">
        <v>4</v>
      </c>
      <c r="I7146" s="4" t="s">
        <v>7036</v>
      </c>
      <c r="J7146" s="4" t="s">
        <v>409</v>
      </c>
      <c r="K7146" s="13" t="n">
        <v>3500</v>
      </c>
      <c r="L7146" s="6" t="n">
        <f aca="false">H7146*K7146</f>
        <v>14000</v>
      </c>
      <c r="M7146" s="14" t="s">
        <v>410</v>
      </c>
    </row>
    <row r="7147" customFormat="false" ht="15" hidden="false" customHeight="false" outlineLevel="0" collapsed="false">
      <c r="A7147" s="4" t="s">
        <v>378</v>
      </c>
      <c r="B7147" s="5" t="s">
        <v>384</v>
      </c>
      <c r="C7147" s="5" t="s">
        <v>385</v>
      </c>
      <c r="D7147" s="4" t="s">
        <v>370</v>
      </c>
      <c r="E7147" s="4" t="s">
        <v>4026</v>
      </c>
      <c r="F7147" s="4" t="s">
        <v>470</v>
      </c>
      <c r="G7147" s="4" t="s">
        <v>4027</v>
      </c>
      <c r="H7147" s="12" t="n">
        <v>1</v>
      </c>
      <c r="I7147" s="4" t="s">
        <v>7036</v>
      </c>
      <c r="J7147" s="4" t="s">
        <v>543</v>
      </c>
      <c r="K7147" s="13" t="n">
        <v>18000</v>
      </c>
      <c r="L7147" s="6" t="n">
        <f aca="false">H7147*K7147</f>
        <v>18000</v>
      </c>
      <c r="M7147" s="14" t="s">
        <v>410</v>
      </c>
    </row>
    <row r="7148" customFormat="false" ht="15" hidden="false" customHeight="false" outlineLevel="0" collapsed="false">
      <c r="A7148" s="4" t="s">
        <v>378</v>
      </c>
      <c r="B7148" s="5" t="s">
        <v>384</v>
      </c>
      <c r="C7148" s="5" t="s">
        <v>385</v>
      </c>
      <c r="D7148" s="4" t="s">
        <v>370</v>
      </c>
      <c r="E7148" s="4" t="s">
        <v>7713</v>
      </c>
      <c r="F7148" s="4" t="s">
        <v>470</v>
      </c>
      <c r="G7148" s="4" t="s">
        <v>7714</v>
      </c>
      <c r="H7148" s="12" t="n">
        <v>5</v>
      </c>
      <c r="I7148" s="4" t="s">
        <v>7036</v>
      </c>
      <c r="J7148" s="4" t="s">
        <v>543</v>
      </c>
      <c r="K7148" s="13" t="n">
        <v>300</v>
      </c>
      <c r="L7148" s="6" t="n">
        <f aca="false">H7148*K7148</f>
        <v>1500</v>
      </c>
      <c r="M7148" s="14" t="s">
        <v>410</v>
      </c>
    </row>
    <row r="7149" customFormat="false" ht="15" hidden="false" customHeight="false" outlineLevel="0" collapsed="false">
      <c r="A7149" s="4" t="s">
        <v>378</v>
      </c>
      <c r="B7149" s="5" t="s">
        <v>384</v>
      </c>
      <c r="C7149" s="5" t="s">
        <v>385</v>
      </c>
      <c r="D7149" s="4" t="s">
        <v>370</v>
      </c>
      <c r="E7149" s="4" t="s">
        <v>7715</v>
      </c>
      <c r="F7149" s="4" t="s">
        <v>488</v>
      </c>
      <c r="G7149" s="4" t="s">
        <v>7716</v>
      </c>
      <c r="H7149" s="12" t="n">
        <v>5</v>
      </c>
      <c r="I7149" s="4" t="s">
        <v>7036</v>
      </c>
      <c r="J7149" s="4" t="s">
        <v>413</v>
      </c>
      <c r="K7149" s="13" t="n">
        <v>1500</v>
      </c>
      <c r="L7149" s="6" t="n">
        <f aca="false">H7149*K7149</f>
        <v>7500</v>
      </c>
      <c r="M7149" s="14" t="s">
        <v>410</v>
      </c>
    </row>
    <row r="7150" customFormat="false" ht="15" hidden="false" customHeight="false" outlineLevel="0" collapsed="false">
      <c r="A7150" s="4" t="s">
        <v>378</v>
      </c>
      <c r="B7150" s="5" t="s">
        <v>384</v>
      </c>
      <c r="C7150" s="5" t="s">
        <v>385</v>
      </c>
      <c r="D7150" s="4" t="s">
        <v>370</v>
      </c>
      <c r="E7150" s="4" t="s">
        <v>7706</v>
      </c>
      <c r="F7150" s="4" t="s">
        <v>470</v>
      </c>
      <c r="G7150" s="4" t="s">
        <v>7707</v>
      </c>
      <c r="H7150" s="12" t="n">
        <v>25</v>
      </c>
      <c r="I7150" s="4" t="s">
        <v>7036</v>
      </c>
      <c r="J7150" s="4" t="s">
        <v>543</v>
      </c>
      <c r="K7150" s="13" t="n">
        <v>700</v>
      </c>
      <c r="L7150" s="6" t="n">
        <f aca="false">H7150*K7150</f>
        <v>17500</v>
      </c>
      <c r="M7150" s="14" t="s">
        <v>410</v>
      </c>
    </row>
    <row r="7151" customFormat="false" ht="15" hidden="false" customHeight="false" outlineLevel="0" collapsed="false">
      <c r="A7151" s="4" t="s">
        <v>378</v>
      </c>
      <c r="B7151" s="5" t="s">
        <v>384</v>
      </c>
      <c r="C7151" s="5" t="s">
        <v>385</v>
      </c>
      <c r="D7151" s="4" t="s">
        <v>370</v>
      </c>
      <c r="E7151" s="4" t="s">
        <v>2183</v>
      </c>
      <c r="F7151" s="4" t="s">
        <v>470</v>
      </c>
      <c r="G7151" s="4" t="s">
        <v>2184</v>
      </c>
      <c r="H7151" s="12" t="n">
        <v>4</v>
      </c>
      <c r="I7151" s="4" t="s">
        <v>7036</v>
      </c>
      <c r="J7151" s="4" t="s">
        <v>409</v>
      </c>
      <c r="K7151" s="13" t="n">
        <v>8500</v>
      </c>
      <c r="L7151" s="6" t="n">
        <f aca="false">H7151*K7151</f>
        <v>34000</v>
      </c>
      <c r="M7151" s="14" t="s">
        <v>410</v>
      </c>
    </row>
    <row r="7152" customFormat="false" ht="15" hidden="false" customHeight="false" outlineLevel="0" collapsed="false">
      <c r="A7152" s="4" t="s">
        <v>378</v>
      </c>
      <c r="B7152" s="5" t="s">
        <v>380</v>
      </c>
      <c r="C7152" s="5" t="s">
        <v>381</v>
      </c>
      <c r="D7152" s="4" t="s">
        <v>370</v>
      </c>
      <c r="E7152" s="4" t="s">
        <v>7717</v>
      </c>
      <c r="F7152" s="4" t="s">
        <v>470</v>
      </c>
      <c r="G7152" s="4" t="s">
        <v>7718</v>
      </c>
      <c r="H7152" s="12" t="n">
        <v>5</v>
      </c>
      <c r="I7152" s="4" t="s">
        <v>7036</v>
      </c>
      <c r="J7152" s="4" t="s">
        <v>543</v>
      </c>
      <c r="K7152" s="13" t="n">
        <v>350</v>
      </c>
      <c r="L7152" s="6" t="n">
        <f aca="false">H7152*K7152</f>
        <v>1750</v>
      </c>
      <c r="M7152" s="14" t="s">
        <v>410</v>
      </c>
    </row>
    <row r="7153" customFormat="false" ht="15" hidden="false" customHeight="false" outlineLevel="0" collapsed="false">
      <c r="A7153" s="4" t="s">
        <v>378</v>
      </c>
      <c r="B7153" s="5" t="s">
        <v>380</v>
      </c>
      <c r="C7153" s="5" t="s">
        <v>381</v>
      </c>
      <c r="D7153" s="4" t="s">
        <v>370</v>
      </c>
      <c r="E7153" s="4" t="s">
        <v>7719</v>
      </c>
      <c r="F7153" s="4" t="s">
        <v>488</v>
      </c>
      <c r="G7153" s="4" t="s">
        <v>7720</v>
      </c>
      <c r="H7153" s="12" t="n">
        <v>5</v>
      </c>
      <c r="I7153" s="4" t="s">
        <v>7036</v>
      </c>
      <c r="J7153" s="4" t="s">
        <v>7721</v>
      </c>
      <c r="K7153" s="13" t="n">
        <v>300</v>
      </c>
      <c r="L7153" s="6" t="n">
        <f aca="false">H7153*K7153</f>
        <v>1500</v>
      </c>
      <c r="M7153" s="14" t="s">
        <v>410</v>
      </c>
    </row>
    <row r="7154" customFormat="false" ht="15" hidden="false" customHeight="false" outlineLevel="0" collapsed="false">
      <c r="A7154" s="4" t="s">
        <v>378</v>
      </c>
      <c r="B7154" s="5" t="s">
        <v>380</v>
      </c>
      <c r="C7154" s="5" t="s">
        <v>381</v>
      </c>
      <c r="D7154" s="4" t="s">
        <v>370</v>
      </c>
      <c r="E7154" s="4" t="s">
        <v>7722</v>
      </c>
      <c r="F7154" s="4" t="s">
        <v>488</v>
      </c>
      <c r="G7154" s="4" t="s">
        <v>7723</v>
      </c>
      <c r="H7154" s="12" t="n">
        <v>5</v>
      </c>
      <c r="I7154" s="4" t="s">
        <v>7036</v>
      </c>
      <c r="J7154" s="4" t="s">
        <v>416</v>
      </c>
      <c r="K7154" s="13" t="n">
        <v>1200</v>
      </c>
      <c r="L7154" s="6" t="n">
        <f aca="false">H7154*K7154</f>
        <v>6000</v>
      </c>
      <c r="M7154" s="14" t="s">
        <v>410</v>
      </c>
    </row>
    <row r="7155" customFormat="false" ht="15" hidden="false" customHeight="false" outlineLevel="0" collapsed="false">
      <c r="A7155" s="4" t="s">
        <v>378</v>
      </c>
      <c r="B7155" s="5" t="s">
        <v>380</v>
      </c>
      <c r="C7155" s="5" t="s">
        <v>381</v>
      </c>
      <c r="D7155" s="4" t="s">
        <v>370</v>
      </c>
      <c r="E7155" s="4" t="s">
        <v>7724</v>
      </c>
      <c r="F7155" s="4" t="s">
        <v>488</v>
      </c>
      <c r="G7155" s="4" t="s">
        <v>7725</v>
      </c>
      <c r="H7155" s="12" t="n">
        <v>1</v>
      </c>
      <c r="I7155" s="4" t="s">
        <v>7036</v>
      </c>
      <c r="J7155" s="4" t="s">
        <v>503</v>
      </c>
      <c r="K7155" s="13" t="n">
        <v>350</v>
      </c>
      <c r="L7155" s="6" t="n">
        <f aca="false">H7155*K7155</f>
        <v>350</v>
      </c>
      <c r="M7155" s="14" t="s">
        <v>410</v>
      </c>
    </row>
    <row r="7156" customFormat="false" ht="15" hidden="false" customHeight="false" outlineLevel="0" collapsed="false">
      <c r="A7156" s="4" t="s">
        <v>378</v>
      </c>
      <c r="B7156" s="5" t="s">
        <v>380</v>
      </c>
      <c r="C7156" s="5" t="s">
        <v>381</v>
      </c>
      <c r="D7156" s="4" t="s">
        <v>370</v>
      </c>
      <c r="E7156" s="4" t="s">
        <v>7726</v>
      </c>
      <c r="F7156" s="4" t="s">
        <v>488</v>
      </c>
      <c r="G7156" s="4" t="s">
        <v>7727</v>
      </c>
      <c r="H7156" s="12" t="n">
        <v>30</v>
      </c>
      <c r="I7156" s="4" t="s">
        <v>7036</v>
      </c>
      <c r="J7156" s="4" t="s">
        <v>543</v>
      </c>
      <c r="K7156" s="13" t="n">
        <v>250</v>
      </c>
      <c r="L7156" s="6" t="n">
        <f aca="false">H7156*K7156</f>
        <v>7500</v>
      </c>
      <c r="M7156" s="14" t="s">
        <v>410</v>
      </c>
    </row>
    <row r="7157" customFormat="false" ht="15" hidden="false" customHeight="false" outlineLevel="0" collapsed="false">
      <c r="A7157" s="4" t="s">
        <v>378</v>
      </c>
      <c r="B7157" s="5" t="s">
        <v>380</v>
      </c>
      <c r="C7157" s="5" t="s">
        <v>381</v>
      </c>
      <c r="D7157" s="4" t="s">
        <v>370</v>
      </c>
      <c r="E7157" s="4" t="s">
        <v>7728</v>
      </c>
      <c r="F7157" s="4" t="s">
        <v>488</v>
      </c>
      <c r="G7157" s="4" t="s">
        <v>7729</v>
      </c>
      <c r="H7157" s="12" t="n">
        <v>30</v>
      </c>
      <c r="I7157" s="4" t="s">
        <v>7036</v>
      </c>
      <c r="J7157" s="4" t="s">
        <v>543</v>
      </c>
      <c r="K7157" s="13" t="n">
        <v>250</v>
      </c>
      <c r="L7157" s="6" t="n">
        <f aca="false">H7157*K7157</f>
        <v>7500</v>
      </c>
      <c r="M7157" s="14" t="s">
        <v>410</v>
      </c>
    </row>
    <row r="7158" customFormat="false" ht="15" hidden="false" customHeight="false" outlineLevel="0" collapsed="false">
      <c r="A7158" s="4" t="s">
        <v>378</v>
      </c>
      <c r="B7158" s="5" t="s">
        <v>380</v>
      </c>
      <c r="C7158" s="5" t="s">
        <v>381</v>
      </c>
      <c r="D7158" s="4" t="s">
        <v>370</v>
      </c>
      <c r="E7158" s="4" t="s">
        <v>7730</v>
      </c>
      <c r="F7158" s="4" t="s">
        <v>488</v>
      </c>
      <c r="G7158" s="4" t="s">
        <v>7731</v>
      </c>
      <c r="H7158" s="12" t="n">
        <v>10</v>
      </c>
      <c r="I7158" s="4" t="s">
        <v>7036</v>
      </c>
      <c r="J7158" s="4" t="s">
        <v>7732</v>
      </c>
      <c r="K7158" s="13" t="n">
        <v>5</v>
      </c>
      <c r="L7158" s="6" t="n">
        <f aca="false">H7158*K7158</f>
        <v>50</v>
      </c>
      <c r="M7158" s="14" t="s">
        <v>410</v>
      </c>
    </row>
    <row r="7159" customFormat="false" ht="15" hidden="false" customHeight="false" outlineLevel="0" collapsed="false">
      <c r="A7159" s="4" t="s">
        <v>378</v>
      </c>
      <c r="B7159" s="5" t="s">
        <v>380</v>
      </c>
      <c r="C7159" s="5" t="s">
        <v>381</v>
      </c>
      <c r="D7159" s="4" t="s">
        <v>370</v>
      </c>
      <c r="E7159" s="4" t="s">
        <v>7733</v>
      </c>
      <c r="F7159" s="4" t="s">
        <v>488</v>
      </c>
      <c r="G7159" s="4" t="s">
        <v>7734</v>
      </c>
      <c r="H7159" s="12" t="n">
        <v>5</v>
      </c>
      <c r="I7159" s="4" t="s">
        <v>7036</v>
      </c>
      <c r="J7159" s="4" t="s">
        <v>416</v>
      </c>
      <c r="K7159" s="13" t="n">
        <v>900</v>
      </c>
      <c r="L7159" s="6" t="n">
        <f aca="false">H7159*K7159</f>
        <v>4500</v>
      </c>
      <c r="M7159" s="14" t="s">
        <v>410</v>
      </c>
    </row>
    <row r="7160" customFormat="false" ht="15" hidden="false" customHeight="false" outlineLevel="0" collapsed="false">
      <c r="A7160" s="4" t="s">
        <v>378</v>
      </c>
      <c r="B7160" s="5" t="s">
        <v>380</v>
      </c>
      <c r="C7160" s="5" t="s">
        <v>381</v>
      </c>
      <c r="D7160" s="4" t="s">
        <v>370</v>
      </c>
      <c r="E7160" s="4" t="s">
        <v>2249</v>
      </c>
      <c r="F7160" s="4" t="s">
        <v>406</v>
      </c>
      <c r="G7160" s="4" t="s">
        <v>2250</v>
      </c>
      <c r="H7160" s="12" t="n">
        <v>15</v>
      </c>
      <c r="I7160" s="4" t="s">
        <v>7036</v>
      </c>
      <c r="J7160" s="4" t="s">
        <v>409</v>
      </c>
      <c r="K7160" s="13" t="n">
        <v>80</v>
      </c>
      <c r="L7160" s="6" t="n">
        <f aca="false">H7160*K7160</f>
        <v>1200</v>
      </c>
      <c r="M7160" s="14" t="s">
        <v>410</v>
      </c>
    </row>
    <row r="7161" customFormat="false" ht="15" hidden="false" customHeight="false" outlineLevel="0" collapsed="false">
      <c r="A7161" s="4" t="s">
        <v>378</v>
      </c>
      <c r="B7161" s="5" t="s">
        <v>380</v>
      </c>
      <c r="C7161" s="5" t="s">
        <v>381</v>
      </c>
      <c r="D7161" s="4" t="s">
        <v>370</v>
      </c>
      <c r="E7161" s="4" t="s">
        <v>7735</v>
      </c>
      <c r="F7161" s="4" t="s">
        <v>488</v>
      </c>
      <c r="G7161" s="4" t="s">
        <v>7736</v>
      </c>
      <c r="H7161" s="12" t="n">
        <v>30</v>
      </c>
      <c r="I7161" s="4" t="s">
        <v>7036</v>
      </c>
      <c r="J7161" s="4" t="s">
        <v>7737</v>
      </c>
      <c r="K7161" s="13" t="n">
        <v>15</v>
      </c>
      <c r="L7161" s="6" t="n">
        <f aca="false">H7161*K7161</f>
        <v>450</v>
      </c>
      <c r="M7161" s="14" t="s">
        <v>410</v>
      </c>
    </row>
    <row r="7162" customFormat="false" ht="15" hidden="false" customHeight="false" outlineLevel="0" collapsed="false">
      <c r="A7162" s="4" t="s">
        <v>378</v>
      </c>
      <c r="B7162" s="5" t="s">
        <v>380</v>
      </c>
      <c r="C7162" s="5" t="s">
        <v>381</v>
      </c>
      <c r="D7162" s="4" t="s">
        <v>370</v>
      </c>
      <c r="E7162" s="4" t="s">
        <v>7738</v>
      </c>
      <c r="F7162" s="4" t="s">
        <v>488</v>
      </c>
      <c r="G7162" s="4" t="s">
        <v>7739</v>
      </c>
      <c r="H7162" s="12" t="n">
        <v>30</v>
      </c>
      <c r="I7162" s="4" t="s">
        <v>7036</v>
      </c>
      <c r="J7162" s="4" t="s">
        <v>7740</v>
      </c>
      <c r="K7162" s="13" t="n">
        <v>60</v>
      </c>
      <c r="L7162" s="6" t="n">
        <f aca="false">H7162*K7162</f>
        <v>1800</v>
      </c>
      <c r="M7162" s="14" t="s">
        <v>410</v>
      </c>
    </row>
    <row r="7163" customFormat="false" ht="15" hidden="false" customHeight="false" outlineLevel="0" collapsed="false">
      <c r="A7163" s="4" t="s">
        <v>378</v>
      </c>
      <c r="B7163" s="5" t="s">
        <v>380</v>
      </c>
      <c r="C7163" s="5" t="s">
        <v>381</v>
      </c>
      <c r="D7163" s="4" t="s">
        <v>370</v>
      </c>
      <c r="E7163" s="4" t="s">
        <v>7741</v>
      </c>
      <c r="F7163" s="4" t="s">
        <v>488</v>
      </c>
      <c r="G7163" s="4" t="s">
        <v>7742</v>
      </c>
      <c r="H7163" s="12" t="n">
        <v>5</v>
      </c>
      <c r="I7163" s="4" t="s">
        <v>7036</v>
      </c>
      <c r="J7163" s="4" t="s">
        <v>416</v>
      </c>
      <c r="K7163" s="13" t="n">
        <v>1500</v>
      </c>
      <c r="L7163" s="6" t="n">
        <f aca="false">H7163*K7163</f>
        <v>7500</v>
      </c>
      <c r="M7163" s="14" t="s">
        <v>410</v>
      </c>
    </row>
    <row r="7164" customFormat="false" ht="15" hidden="false" customHeight="false" outlineLevel="0" collapsed="false">
      <c r="A7164" s="4" t="s">
        <v>378</v>
      </c>
      <c r="B7164" s="5" t="s">
        <v>380</v>
      </c>
      <c r="C7164" s="5" t="s">
        <v>381</v>
      </c>
      <c r="D7164" s="4" t="s">
        <v>370</v>
      </c>
      <c r="E7164" s="4" t="s">
        <v>7743</v>
      </c>
      <c r="F7164" s="4" t="s">
        <v>406</v>
      </c>
      <c r="G7164" s="4" t="s">
        <v>7744</v>
      </c>
      <c r="H7164" s="12" t="n">
        <v>5</v>
      </c>
      <c r="I7164" s="4" t="s">
        <v>7036</v>
      </c>
      <c r="J7164" s="4" t="s">
        <v>543</v>
      </c>
      <c r="K7164" s="13" t="n">
        <v>350</v>
      </c>
      <c r="L7164" s="6" t="n">
        <f aca="false">H7164*K7164</f>
        <v>1750</v>
      </c>
      <c r="M7164" s="14" t="s">
        <v>410</v>
      </c>
    </row>
    <row r="7165" customFormat="false" ht="15" hidden="false" customHeight="false" outlineLevel="0" collapsed="false">
      <c r="A7165" s="4" t="s">
        <v>378</v>
      </c>
      <c r="B7165" s="5" t="s">
        <v>380</v>
      </c>
      <c r="C7165" s="5" t="s">
        <v>381</v>
      </c>
      <c r="D7165" s="4" t="s">
        <v>370</v>
      </c>
      <c r="E7165" s="4" t="s">
        <v>7745</v>
      </c>
      <c r="F7165" s="4" t="s">
        <v>488</v>
      </c>
      <c r="G7165" s="4" t="s">
        <v>7746</v>
      </c>
      <c r="H7165" s="12" t="n">
        <v>20</v>
      </c>
      <c r="I7165" s="4" t="s">
        <v>7036</v>
      </c>
      <c r="J7165" s="4" t="s">
        <v>506</v>
      </c>
      <c r="K7165" s="13" t="n">
        <v>300</v>
      </c>
      <c r="L7165" s="6" t="n">
        <f aca="false">H7165*K7165</f>
        <v>6000</v>
      </c>
      <c r="M7165" s="14" t="s">
        <v>410</v>
      </c>
    </row>
    <row r="7166" customFormat="false" ht="15" hidden="false" customHeight="false" outlineLevel="0" collapsed="false">
      <c r="A7166" s="4" t="s">
        <v>378</v>
      </c>
      <c r="B7166" s="5" t="s">
        <v>380</v>
      </c>
      <c r="C7166" s="5" t="s">
        <v>381</v>
      </c>
      <c r="D7166" s="4" t="s">
        <v>370</v>
      </c>
      <c r="E7166" s="4" t="s">
        <v>7747</v>
      </c>
      <c r="F7166" s="4" t="s">
        <v>488</v>
      </c>
      <c r="G7166" s="4" t="s">
        <v>7748</v>
      </c>
      <c r="H7166" s="12" t="n">
        <v>2</v>
      </c>
      <c r="I7166" s="4" t="s">
        <v>7036</v>
      </c>
      <c r="J7166" s="4" t="s">
        <v>503</v>
      </c>
      <c r="K7166" s="13" t="n">
        <v>350</v>
      </c>
      <c r="L7166" s="6" t="n">
        <f aca="false">H7166*K7166</f>
        <v>700</v>
      </c>
      <c r="M7166" s="14" t="s">
        <v>410</v>
      </c>
    </row>
    <row r="7167" customFormat="false" ht="15" hidden="false" customHeight="false" outlineLevel="0" collapsed="false">
      <c r="A7167" s="4" t="s">
        <v>378</v>
      </c>
      <c r="B7167" s="5" t="s">
        <v>380</v>
      </c>
      <c r="C7167" s="5" t="s">
        <v>381</v>
      </c>
      <c r="D7167" s="4" t="s">
        <v>370</v>
      </c>
      <c r="E7167" s="4" t="s">
        <v>7749</v>
      </c>
      <c r="F7167" s="4" t="s">
        <v>488</v>
      </c>
      <c r="G7167" s="4" t="s">
        <v>7750</v>
      </c>
      <c r="H7167" s="12" t="n">
        <v>30</v>
      </c>
      <c r="I7167" s="4" t="s">
        <v>7036</v>
      </c>
      <c r="J7167" s="4" t="s">
        <v>796</v>
      </c>
      <c r="K7167" s="13" t="n">
        <v>5</v>
      </c>
      <c r="L7167" s="6" t="n">
        <f aca="false">H7167*K7167</f>
        <v>150</v>
      </c>
      <c r="M7167" s="14" t="s">
        <v>410</v>
      </c>
    </row>
    <row r="7168" customFormat="false" ht="15" hidden="false" customHeight="false" outlineLevel="0" collapsed="false">
      <c r="A7168" s="4" t="s">
        <v>378</v>
      </c>
      <c r="B7168" s="5" t="s">
        <v>380</v>
      </c>
      <c r="C7168" s="5" t="s">
        <v>381</v>
      </c>
      <c r="D7168" s="4" t="s">
        <v>370</v>
      </c>
      <c r="E7168" s="4" t="s">
        <v>7751</v>
      </c>
      <c r="F7168" s="4" t="s">
        <v>488</v>
      </c>
      <c r="G7168" s="4" t="s">
        <v>7752</v>
      </c>
      <c r="H7168" s="12" t="n">
        <v>10</v>
      </c>
      <c r="I7168" s="4" t="s">
        <v>7036</v>
      </c>
      <c r="J7168" s="4" t="s">
        <v>7049</v>
      </c>
      <c r="K7168" s="13" t="n">
        <v>200</v>
      </c>
      <c r="L7168" s="6" t="n">
        <f aca="false">H7168*K7168</f>
        <v>2000</v>
      </c>
      <c r="M7168" s="14" t="s">
        <v>410</v>
      </c>
    </row>
    <row r="7169" customFormat="false" ht="15" hidden="false" customHeight="false" outlineLevel="0" collapsed="false">
      <c r="A7169" s="4" t="s">
        <v>378</v>
      </c>
      <c r="B7169" s="5" t="s">
        <v>380</v>
      </c>
      <c r="C7169" s="5" t="s">
        <v>381</v>
      </c>
      <c r="D7169" s="4" t="s">
        <v>370</v>
      </c>
      <c r="E7169" s="4" t="s">
        <v>7753</v>
      </c>
      <c r="F7169" s="4" t="s">
        <v>488</v>
      </c>
      <c r="G7169" s="4" t="s">
        <v>7754</v>
      </c>
      <c r="H7169" s="12" t="n">
        <v>30</v>
      </c>
      <c r="I7169" s="4" t="s">
        <v>7036</v>
      </c>
      <c r="J7169" s="4" t="s">
        <v>2048</v>
      </c>
      <c r="K7169" s="13" t="n">
        <v>150</v>
      </c>
      <c r="L7169" s="6" t="n">
        <f aca="false">H7169*K7169</f>
        <v>4500</v>
      </c>
      <c r="M7169" s="14" t="s">
        <v>410</v>
      </c>
    </row>
    <row r="7170" customFormat="false" ht="15" hidden="false" customHeight="false" outlineLevel="0" collapsed="false">
      <c r="A7170" s="4" t="s">
        <v>378</v>
      </c>
      <c r="B7170" s="5" t="s">
        <v>380</v>
      </c>
      <c r="C7170" s="5" t="s">
        <v>381</v>
      </c>
      <c r="D7170" s="4" t="s">
        <v>370</v>
      </c>
      <c r="E7170" s="4" t="s">
        <v>7755</v>
      </c>
      <c r="F7170" s="4" t="s">
        <v>406</v>
      </c>
      <c r="G7170" s="4" t="s">
        <v>7756</v>
      </c>
      <c r="H7170" s="12" t="n">
        <v>5</v>
      </c>
      <c r="I7170" s="4" t="s">
        <v>7036</v>
      </c>
      <c r="J7170" s="4" t="s">
        <v>543</v>
      </c>
      <c r="K7170" s="13" t="n">
        <v>1500</v>
      </c>
      <c r="L7170" s="6" t="n">
        <f aca="false">H7170*K7170</f>
        <v>7500</v>
      </c>
      <c r="M7170" s="14" t="s">
        <v>410</v>
      </c>
    </row>
    <row r="7171" customFormat="false" ht="15" hidden="false" customHeight="false" outlineLevel="0" collapsed="false">
      <c r="A7171" s="4" t="s">
        <v>378</v>
      </c>
      <c r="B7171" s="5" t="s">
        <v>380</v>
      </c>
      <c r="C7171" s="5" t="s">
        <v>381</v>
      </c>
      <c r="D7171" s="4" t="s">
        <v>370</v>
      </c>
      <c r="E7171" s="4" t="s">
        <v>7757</v>
      </c>
      <c r="F7171" s="4" t="s">
        <v>406</v>
      </c>
      <c r="G7171" s="4" t="s">
        <v>7758</v>
      </c>
      <c r="H7171" s="12" t="n">
        <v>2</v>
      </c>
      <c r="I7171" s="4" t="s">
        <v>7036</v>
      </c>
      <c r="J7171" s="4" t="s">
        <v>543</v>
      </c>
      <c r="K7171" s="13" t="n">
        <v>4500</v>
      </c>
      <c r="L7171" s="6" t="n">
        <f aca="false">H7171*K7171</f>
        <v>9000</v>
      </c>
      <c r="M7171" s="14" t="s">
        <v>410</v>
      </c>
    </row>
    <row r="7172" customFormat="false" ht="15" hidden="false" customHeight="false" outlineLevel="0" collapsed="false">
      <c r="A7172" s="4" t="s">
        <v>378</v>
      </c>
      <c r="B7172" s="5" t="s">
        <v>380</v>
      </c>
      <c r="C7172" s="5" t="s">
        <v>381</v>
      </c>
      <c r="D7172" s="4" t="s">
        <v>370</v>
      </c>
      <c r="E7172" s="4" t="s">
        <v>7759</v>
      </c>
      <c r="F7172" s="4" t="s">
        <v>488</v>
      </c>
      <c r="G7172" s="4" t="s">
        <v>7760</v>
      </c>
      <c r="H7172" s="12" t="n">
        <v>5</v>
      </c>
      <c r="I7172" s="4" t="s">
        <v>7036</v>
      </c>
      <c r="J7172" s="4" t="s">
        <v>416</v>
      </c>
      <c r="K7172" s="13" t="n">
        <v>2500</v>
      </c>
      <c r="L7172" s="6" t="n">
        <f aca="false">H7172*K7172</f>
        <v>12500</v>
      </c>
      <c r="M7172" s="14" t="s">
        <v>410</v>
      </c>
    </row>
    <row r="7173" customFormat="false" ht="15" hidden="false" customHeight="false" outlineLevel="0" collapsed="false">
      <c r="A7173" s="4" t="s">
        <v>378</v>
      </c>
      <c r="B7173" s="5" t="s">
        <v>380</v>
      </c>
      <c r="C7173" s="5" t="s">
        <v>381</v>
      </c>
      <c r="D7173" s="4" t="s">
        <v>370</v>
      </c>
      <c r="E7173" s="4" t="s">
        <v>7761</v>
      </c>
      <c r="F7173" s="4" t="s">
        <v>488</v>
      </c>
      <c r="G7173" s="4" t="s">
        <v>7762</v>
      </c>
      <c r="H7173" s="12" t="n">
        <v>10</v>
      </c>
      <c r="I7173" s="4" t="s">
        <v>7036</v>
      </c>
      <c r="J7173" s="4" t="s">
        <v>416</v>
      </c>
      <c r="K7173" s="13" t="n">
        <v>1500</v>
      </c>
      <c r="L7173" s="6" t="n">
        <f aca="false">H7173*K7173</f>
        <v>15000</v>
      </c>
      <c r="M7173" s="14" t="s">
        <v>410</v>
      </c>
    </row>
    <row r="7174" customFormat="false" ht="15" hidden="false" customHeight="false" outlineLevel="0" collapsed="false">
      <c r="A7174" s="4" t="s">
        <v>378</v>
      </c>
      <c r="B7174" s="5" t="s">
        <v>380</v>
      </c>
      <c r="C7174" s="5" t="s">
        <v>381</v>
      </c>
      <c r="D7174" s="4" t="s">
        <v>370</v>
      </c>
      <c r="E7174" s="4" t="s">
        <v>7763</v>
      </c>
      <c r="F7174" s="4" t="s">
        <v>488</v>
      </c>
      <c r="G7174" s="4" t="s">
        <v>7764</v>
      </c>
      <c r="H7174" s="12" t="n">
        <v>1</v>
      </c>
      <c r="I7174" s="4" t="s">
        <v>7036</v>
      </c>
      <c r="J7174" s="4" t="s">
        <v>506</v>
      </c>
      <c r="K7174" s="13" t="n">
        <v>500</v>
      </c>
      <c r="L7174" s="6" t="n">
        <f aca="false">H7174*K7174</f>
        <v>500</v>
      </c>
      <c r="M7174" s="14" t="s">
        <v>410</v>
      </c>
    </row>
    <row r="7175" customFormat="false" ht="15" hidden="false" customHeight="false" outlineLevel="0" collapsed="false">
      <c r="A7175" s="4" t="s">
        <v>378</v>
      </c>
      <c r="B7175" s="5" t="s">
        <v>380</v>
      </c>
      <c r="C7175" s="5" t="s">
        <v>381</v>
      </c>
      <c r="D7175" s="4" t="s">
        <v>370</v>
      </c>
      <c r="E7175" s="4" t="s">
        <v>7765</v>
      </c>
      <c r="F7175" s="4" t="s">
        <v>488</v>
      </c>
      <c r="G7175" s="4" t="s">
        <v>5942</v>
      </c>
      <c r="H7175" s="12" t="n">
        <v>10</v>
      </c>
      <c r="I7175" s="4" t="s">
        <v>7036</v>
      </c>
      <c r="J7175" s="4" t="s">
        <v>409</v>
      </c>
      <c r="K7175" s="13" t="n">
        <v>120</v>
      </c>
      <c r="L7175" s="6" t="n">
        <f aca="false">H7175*K7175</f>
        <v>1200</v>
      </c>
      <c r="M7175" s="14" t="s">
        <v>410</v>
      </c>
    </row>
    <row r="7176" customFormat="false" ht="15" hidden="false" customHeight="false" outlineLevel="0" collapsed="false">
      <c r="A7176" s="4" t="s">
        <v>378</v>
      </c>
      <c r="B7176" s="5" t="s">
        <v>380</v>
      </c>
      <c r="C7176" s="5" t="s">
        <v>381</v>
      </c>
      <c r="D7176" s="4" t="s">
        <v>370</v>
      </c>
      <c r="E7176" s="4" t="s">
        <v>7766</v>
      </c>
      <c r="F7176" s="4" t="s">
        <v>488</v>
      </c>
      <c r="G7176" s="4" t="s">
        <v>7767</v>
      </c>
      <c r="H7176" s="12" t="n">
        <v>10</v>
      </c>
      <c r="I7176" s="4" t="s">
        <v>7036</v>
      </c>
      <c r="J7176" s="4" t="s">
        <v>7768</v>
      </c>
      <c r="K7176" s="13" t="n">
        <v>400</v>
      </c>
      <c r="L7176" s="6" t="n">
        <f aca="false">H7176*K7176</f>
        <v>4000</v>
      </c>
      <c r="M7176" s="14" t="s">
        <v>410</v>
      </c>
    </row>
    <row r="7177" customFormat="false" ht="15" hidden="false" customHeight="false" outlineLevel="0" collapsed="false">
      <c r="A7177" s="4" t="s">
        <v>378</v>
      </c>
      <c r="B7177" s="5" t="s">
        <v>380</v>
      </c>
      <c r="C7177" s="5" t="s">
        <v>381</v>
      </c>
      <c r="D7177" s="4" t="s">
        <v>370</v>
      </c>
      <c r="E7177" s="4" t="s">
        <v>7769</v>
      </c>
      <c r="F7177" s="4" t="s">
        <v>488</v>
      </c>
      <c r="G7177" s="4" t="s">
        <v>7770</v>
      </c>
      <c r="H7177" s="12" t="n">
        <v>10</v>
      </c>
      <c r="I7177" s="4" t="s">
        <v>7036</v>
      </c>
      <c r="J7177" s="4" t="s">
        <v>506</v>
      </c>
      <c r="K7177" s="13" t="n">
        <v>800</v>
      </c>
      <c r="L7177" s="6" t="n">
        <f aca="false">H7177*K7177</f>
        <v>8000</v>
      </c>
      <c r="M7177" s="14" t="s">
        <v>410</v>
      </c>
    </row>
    <row r="7178" customFormat="false" ht="15" hidden="false" customHeight="false" outlineLevel="0" collapsed="false">
      <c r="A7178" s="4" t="s">
        <v>378</v>
      </c>
      <c r="B7178" s="5" t="s">
        <v>380</v>
      </c>
      <c r="C7178" s="5" t="s">
        <v>381</v>
      </c>
      <c r="D7178" s="4" t="s">
        <v>370</v>
      </c>
      <c r="E7178" s="4" t="s">
        <v>7771</v>
      </c>
      <c r="F7178" s="4" t="s">
        <v>488</v>
      </c>
      <c r="G7178" s="4" t="s">
        <v>7772</v>
      </c>
      <c r="H7178" s="12" t="n">
        <v>1</v>
      </c>
      <c r="I7178" s="4" t="s">
        <v>7036</v>
      </c>
      <c r="J7178" s="4" t="s">
        <v>416</v>
      </c>
      <c r="K7178" s="13" t="n">
        <v>6000</v>
      </c>
      <c r="L7178" s="6" t="n">
        <f aca="false">H7178*K7178</f>
        <v>6000</v>
      </c>
      <c r="M7178" s="14" t="s">
        <v>410</v>
      </c>
    </row>
    <row r="7179" customFormat="false" ht="15" hidden="false" customHeight="false" outlineLevel="0" collapsed="false">
      <c r="A7179" s="4" t="s">
        <v>378</v>
      </c>
      <c r="B7179" s="5" t="s">
        <v>380</v>
      </c>
      <c r="C7179" s="5" t="s">
        <v>381</v>
      </c>
      <c r="D7179" s="4" t="s">
        <v>370</v>
      </c>
      <c r="E7179" s="4" t="s">
        <v>7773</v>
      </c>
      <c r="F7179" s="4" t="s">
        <v>406</v>
      </c>
      <c r="G7179" s="4" t="s">
        <v>7774</v>
      </c>
      <c r="H7179" s="12" t="n">
        <v>1</v>
      </c>
      <c r="I7179" s="4" t="s">
        <v>7036</v>
      </c>
      <c r="J7179" s="4" t="s">
        <v>543</v>
      </c>
      <c r="K7179" s="13" t="n">
        <v>85000</v>
      </c>
      <c r="L7179" s="6" t="n">
        <f aca="false">H7179*K7179</f>
        <v>85000</v>
      </c>
      <c r="M7179" s="14" t="s">
        <v>410</v>
      </c>
    </row>
    <row r="7180" customFormat="false" ht="15" hidden="false" customHeight="false" outlineLevel="0" collapsed="false">
      <c r="A7180" s="4" t="s">
        <v>378</v>
      </c>
      <c r="B7180" s="5" t="s">
        <v>380</v>
      </c>
      <c r="C7180" s="5" t="s">
        <v>381</v>
      </c>
      <c r="D7180" s="4" t="s">
        <v>370</v>
      </c>
      <c r="E7180" s="4" t="s">
        <v>7775</v>
      </c>
      <c r="F7180" s="4" t="s">
        <v>406</v>
      </c>
      <c r="G7180" s="4" t="s">
        <v>7776</v>
      </c>
      <c r="H7180" s="12" t="n">
        <v>1</v>
      </c>
      <c r="I7180" s="4" t="s">
        <v>7036</v>
      </c>
      <c r="J7180" s="4" t="s">
        <v>543</v>
      </c>
      <c r="K7180" s="13" t="n">
        <v>45000</v>
      </c>
      <c r="L7180" s="6" t="n">
        <f aca="false">H7180*K7180</f>
        <v>45000</v>
      </c>
      <c r="M7180" s="14" t="s">
        <v>410</v>
      </c>
    </row>
    <row r="7181" customFormat="false" ht="15" hidden="false" customHeight="false" outlineLevel="0" collapsed="false">
      <c r="A7181" s="4" t="s">
        <v>378</v>
      </c>
      <c r="B7181" s="5" t="s">
        <v>380</v>
      </c>
      <c r="C7181" s="5" t="s">
        <v>381</v>
      </c>
      <c r="D7181" s="4" t="s">
        <v>370</v>
      </c>
      <c r="E7181" s="4" t="s">
        <v>6358</v>
      </c>
      <c r="F7181" s="4" t="s">
        <v>406</v>
      </c>
      <c r="G7181" s="4" t="s">
        <v>1967</v>
      </c>
      <c r="H7181" s="12" t="n">
        <v>2</v>
      </c>
      <c r="I7181" s="4" t="s">
        <v>7036</v>
      </c>
      <c r="J7181" s="4" t="s">
        <v>409</v>
      </c>
      <c r="K7181" s="13" t="n">
        <v>650</v>
      </c>
      <c r="L7181" s="6" t="n">
        <f aca="false">H7181*K7181</f>
        <v>1300</v>
      </c>
      <c r="M7181" s="14" t="s">
        <v>410</v>
      </c>
    </row>
    <row r="7182" customFormat="false" ht="15" hidden="false" customHeight="false" outlineLevel="0" collapsed="false">
      <c r="A7182" s="4" t="s">
        <v>378</v>
      </c>
      <c r="B7182" s="5" t="s">
        <v>380</v>
      </c>
      <c r="C7182" s="5" t="s">
        <v>381</v>
      </c>
      <c r="D7182" s="4" t="s">
        <v>370</v>
      </c>
      <c r="E7182" s="4" t="s">
        <v>7777</v>
      </c>
      <c r="F7182" s="4" t="s">
        <v>488</v>
      </c>
      <c r="G7182" s="4" t="s">
        <v>7778</v>
      </c>
      <c r="H7182" s="12" t="n">
        <v>10</v>
      </c>
      <c r="I7182" s="4" t="s">
        <v>7036</v>
      </c>
      <c r="J7182" s="4" t="s">
        <v>503</v>
      </c>
      <c r="K7182" s="13" t="n">
        <v>60</v>
      </c>
      <c r="L7182" s="6" t="n">
        <f aca="false">H7182*K7182</f>
        <v>600</v>
      </c>
      <c r="M7182" s="14" t="s">
        <v>410</v>
      </c>
    </row>
    <row r="7183" customFormat="false" ht="15" hidden="false" customHeight="false" outlineLevel="0" collapsed="false">
      <c r="A7183" s="4" t="s">
        <v>378</v>
      </c>
      <c r="B7183" s="5" t="s">
        <v>380</v>
      </c>
      <c r="C7183" s="5" t="s">
        <v>381</v>
      </c>
      <c r="D7183" s="4" t="s">
        <v>370</v>
      </c>
      <c r="E7183" s="4" t="s">
        <v>7779</v>
      </c>
      <c r="F7183" s="4" t="s">
        <v>488</v>
      </c>
      <c r="G7183" s="4" t="s">
        <v>7780</v>
      </c>
      <c r="H7183" s="12" t="n">
        <v>5</v>
      </c>
      <c r="I7183" s="4" t="s">
        <v>7036</v>
      </c>
      <c r="J7183" s="4" t="s">
        <v>416</v>
      </c>
      <c r="K7183" s="13" t="n">
        <v>900</v>
      </c>
      <c r="L7183" s="6" t="n">
        <f aca="false">H7183*K7183</f>
        <v>4500</v>
      </c>
      <c r="M7183" s="14" t="s">
        <v>410</v>
      </c>
    </row>
    <row r="7184" customFormat="false" ht="15" hidden="false" customHeight="false" outlineLevel="0" collapsed="false">
      <c r="A7184" s="4" t="s">
        <v>378</v>
      </c>
      <c r="B7184" s="5" t="s">
        <v>380</v>
      </c>
      <c r="C7184" s="5" t="s">
        <v>381</v>
      </c>
      <c r="D7184" s="4" t="s">
        <v>370</v>
      </c>
      <c r="E7184" s="4" t="s">
        <v>472</v>
      </c>
      <c r="F7184" s="4" t="s">
        <v>488</v>
      </c>
      <c r="G7184" s="4" t="s">
        <v>7781</v>
      </c>
      <c r="H7184" s="12" t="n">
        <v>30</v>
      </c>
      <c r="I7184" s="4" t="s">
        <v>7036</v>
      </c>
      <c r="J7184" s="4" t="s">
        <v>475</v>
      </c>
      <c r="K7184" s="13" t="n">
        <v>20</v>
      </c>
      <c r="L7184" s="6" t="n">
        <f aca="false">H7184*K7184</f>
        <v>600</v>
      </c>
      <c r="M7184" s="14" t="s">
        <v>410</v>
      </c>
    </row>
    <row r="7185" customFormat="false" ht="15" hidden="false" customHeight="false" outlineLevel="0" collapsed="false">
      <c r="A7185" s="4" t="s">
        <v>378</v>
      </c>
      <c r="B7185" s="5" t="s">
        <v>380</v>
      </c>
      <c r="C7185" s="5" t="s">
        <v>381</v>
      </c>
      <c r="D7185" s="4" t="s">
        <v>370</v>
      </c>
      <c r="E7185" s="4" t="s">
        <v>7782</v>
      </c>
      <c r="F7185" s="4" t="s">
        <v>406</v>
      </c>
      <c r="G7185" s="4" t="s">
        <v>7783</v>
      </c>
      <c r="H7185" s="12" t="n">
        <v>5</v>
      </c>
      <c r="I7185" s="4" t="s">
        <v>7036</v>
      </c>
      <c r="J7185" s="4" t="s">
        <v>416</v>
      </c>
      <c r="K7185" s="13" t="n">
        <v>2500</v>
      </c>
      <c r="L7185" s="6" t="n">
        <f aca="false">H7185*K7185</f>
        <v>12500</v>
      </c>
      <c r="M7185" s="14" t="s">
        <v>410</v>
      </c>
    </row>
    <row r="7186" customFormat="false" ht="15" hidden="false" customHeight="false" outlineLevel="0" collapsed="false">
      <c r="A7186" s="4" t="s">
        <v>378</v>
      </c>
      <c r="B7186" s="5" t="s">
        <v>380</v>
      </c>
      <c r="C7186" s="5" t="s">
        <v>381</v>
      </c>
      <c r="D7186" s="4" t="s">
        <v>370</v>
      </c>
      <c r="E7186" s="4" t="s">
        <v>7784</v>
      </c>
      <c r="F7186" s="4" t="s">
        <v>488</v>
      </c>
      <c r="G7186" s="4" t="s">
        <v>7785</v>
      </c>
      <c r="H7186" s="12" t="n">
        <v>5</v>
      </c>
      <c r="I7186" s="4" t="s">
        <v>7036</v>
      </c>
      <c r="J7186" s="4" t="s">
        <v>7786</v>
      </c>
      <c r="K7186" s="13" t="n">
        <v>250</v>
      </c>
      <c r="L7186" s="6" t="n">
        <f aca="false">H7186*K7186</f>
        <v>1250</v>
      </c>
      <c r="M7186" s="14" t="s">
        <v>410</v>
      </c>
    </row>
    <row r="7187" customFormat="false" ht="15" hidden="false" customHeight="false" outlineLevel="0" collapsed="false">
      <c r="A7187" s="4" t="s">
        <v>378</v>
      </c>
      <c r="B7187" s="5" t="s">
        <v>380</v>
      </c>
      <c r="C7187" s="5" t="s">
        <v>381</v>
      </c>
      <c r="D7187" s="4" t="s">
        <v>370</v>
      </c>
      <c r="E7187" s="4" t="s">
        <v>7787</v>
      </c>
      <c r="F7187" s="4" t="s">
        <v>488</v>
      </c>
      <c r="G7187" s="4" t="s">
        <v>7788</v>
      </c>
      <c r="H7187" s="12" t="n">
        <v>10</v>
      </c>
      <c r="I7187" s="4" t="s">
        <v>7036</v>
      </c>
      <c r="J7187" s="4" t="s">
        <v>762</v>
      </c>
      <c r="K7187" s="13" t="n">
        <v>300</v>
      </c>
      <c r="L7187" s="6" t="n">
        <f aca="false">H7187*K7187</f>
        <v>3000</v>
      </c>
      <c r="M7187" s="14" t="s">
        <v>410</v>
      </c>
    </row>
    <row r="7188" customFormat="false" ht="15" hidden="false" customHeight="false" outlineLevel="0" collapsed="false">
      <c r="A7188" s="4" t="s">
        <v>378</v>
      </c>
      <c r="B7188" s="5" t="s">
        <v>380</v>
      </c>
      <c r="C7188" s="5" t="s">
        <v>381</v>
      </c>
      <c r="D7188" s="4" t="s">
        <v>370</v>
      </c>
      <c r="E7188" s="4" t="s">
        <v>3278</v>
      </c>
      <c r="F7188" s="4" t="s">
        <v>406</v>
      </c>
      <c r="G7188" s="4" t="s">
        <v>3279</v>
      </c>
      <c r="H7188" s="12" t="n">
        <v>2</v>
      </c>
      <c r="I7188" s="4" t="s">
        <v>7036</v>
      </c>
      <c r="J7188" s="4" t="s">
        <v>409</v>
      </c>
      <c r="K7188" s="13" t="n">
        <v>25000</v>
      </c>
      <c r="L7188" s="6" t="n">
        <f aca="false">H7188*K7188</f>
        <v>50000</v>
      </c>
      <c r="M7188" s="14" t="s">
        <v>410</v>
      </c>
    </row>
    <row r="7189" customFormat="false" ht="15" hidden="false" customHeight="false" outlineLevel="0" collapsed="false">
      <c r="A7189" s="4" t="s">
        <v>378</v>
      </c>
      <c r="B7189" s="5" t="s">
        <v>380</v>
      </c>
      <c r="C7189" s="5" t="s">
        <v>381</v>
      </c>
      <c r="D7189" s="4" t="s">
        <v>370</v>
      </c>
      <c r="E7189" s="4" t="s">
        <v>3280</v>
      </c>
      <c r="F7189" s="4" t="s">
        <v>406</v>
      </c>
      <c r="G7189" s="4" t="s">
        <v>3281</v>
      </c>
      <c r="H7189" s="12" t="n">
        <v>2</v>
      </c>
      <c r="I7189" s="4" t="s">
        <v>7036</v>
      </c>
      <c r="J7189" s="4" t="s">
        <v>409</v>
      </c>
      <c r="K7189" s="13" t="n">
        <v>18000</v>
      </c>
      <c r="L7189" s="6" t="n">
        <f aca="false">H7189*K7189</f>
        <v>36000</v>
      </c>
      <c r="M7189" s="14" t="s">
        <v>410</v>
      </c>
    </row>
    <row r="7190" customFormat="false" ht="15" hidden="false" customHeight="false" outlineLevel="0" collapsed="false">
      <c r="A7190" s="4" t="s">
        <v>378</v>
      </c>
      <c r="B7190" s="5" t="s">
        <v>380</v>
      </c>
      <c r="C7190" s="5" t="s">
        <v>381</v>
      </c>
      <c r="D7190" s="4" t="s">
        <v>370</v>
      </c>
      <c r="E7190" s="4" t="s">
        <v>4381</v>
      </c>
      <c r="F7190" s="4" t="s">
        <v>406</v>
      </c>
      <c r="G7190" s="4" t="s">
        <v>4382</v>
      </c>
      <c r="H7190" s="12" t="n">
        <v>2</v>
      </c>
      <c r="I7190" s="4" t="s">
        <v>7036</v>
      </c>
      <c r="J7190" s="4" t="s">
        <v>409</v>
      </c>
      <c r="K7190" s="13" t="n">
        <v>18000</v>
      </c>
      <c r="L7190" s="6" t="n">
        <f aca="false">H7190*K7190</f>
        <v>36000</v>
      </c>
      <c r="M7190" s="14" t="s">
        <v>410</v>
      </c>
    </row>
    <row r="7191" customFormat="false" ht="15" hidden="false" customHeight="false" outlineLevel="0" collapsed="false">
      <c r="A7191" s="4" t="s">
        <v>378</v>
      </c>
      <c r="B7191" s="5" t="s">
        <v>380</v>
      </c>
      <c r="C7191" s="5" t="s">
        <v>381</v>
      </c>
      <c r="D7191" s="4" t="s">
        <v>370</v>
      </c>
      <c r="E7191" s="4" t="s">
        <v>7789</v>
      </c>
      <c r="F7191" s="4" t="s">
        <v>470</v>
      </c>
      <c r="G7191" s="4" t="s">
        <v>7790</v>
      </c>
      <c r="H7191" s="12" t="n">
        <v>3</v>
      </c>
      <c r="I7191" s="4" t="s">
        <v>7036</v>
      </c>
      <c r="J7191" s="4" t="s">
        <v>416</v>
      </c>
      <c r="K7191" s="13" t="n">
        <v>1200</v>
      </c>
      <c r="L7191" s="6" t="n">
        <f aca="false">H7191*K7191</f>
        <v>3600</v>
      </c>
      <c r="M7191" s="14" t="s">
        <v>410</v>
      </c>
    </row>
    <row r="7192" customFormat="false" ht="15" hidden="false" customHeight="false" outlineLevel="0" collapsed="false">
      <c r="A7192" s="4" t="s">
        <v>386</v>
      </c>
      <c r="B7192" s="5" t="s">
        <v>387</v>
      </c>
      <c r="C7192" s="5" t="s">
        <v>388</v>
      </c>
      <c r="D7192" s="4" t="s">
        <v>370</v>
      </c>
      <c r="E7192" s="4" t="s">
        <v>7514</v>
      </c>
      <c r="F7192" s="4" t="s">
        <v>470</v>
      </c>
      <c r="G7192" s="4" t="s">
        <v>7515</v>
      </c>
      <c r="H7192" s="12" t="n">
        <v>3</v>
      </c>
      <c r="I7192" s="4" t="s">
        <v>7036</v>
      </c>
      <c r="J7192" s="4" t="s">
        <v>543</v>
      </c>
      <c r="K7192" s="13" t="n">
        <v>3500</v>
      </c>
      <c r="L7192" s="6" t="n">
        <f aca="false">H7192*K7192</f>
        <v>10500</v>
      </c>
      <c r="M7192" s="14" t="s">
        <v>410</v>
      </c>
    </row>
    <row r="7193" customFormat="false" ht="15" hidden="false" customHeight="false" outlineLevel="0" collapsed="false">
      <c r="A7193" s="4" t="s">
        <v>386</v>
      </c>
      <c r="B7193" s="5" t="s">
        <v>387</v>
      </c>
      <c r="C7193" s="5" t="s">
        <v>388</v>
      </c>
      <c r="D7193" s="4" t="s">
        <v>370</v>
      </c>
      <c r="E7193" s="4" t="s">
        <v>7514</v>
      </c>
      <c r="F7193" s="4" t="s">
        <v>470</v>
      </c>
      <c r="G7193" s="4" t="s">
        <v>7515</v>
      </c>
      <c r="H7193" s="12" t="n">
        <v>2</v>
      </c>
      <c r="I7193" s="4" t="s">
        <v>7036</v>
      </c>
      <c r="J7193" s="4" t="s">
        <v>543</v>
      </c>
      <c r="K7193" s="13" t="n">
        <v>3500</v>
      </c>
      <c r="L7193" s="6" t="n">
        <f aca="false">H7193*K7193</f>
        <v>7000</v>
      </c>
      <c r="M7193" s="14" t="s">
        <v>410</v>
      </c>
    </row>
    <row r="7194" customFormat="false" ht="15" hidden="false" customHeight="false" outlineLevel="0" collapsed="false">
      <c r="A7194" s="4" t="s">
        <v>386</v>
      </c>
      <c r="B7194" s="5" t="s">
        <v>387</v>
      </c>
      <c r="C7194" s="5" t="s">
        <v>388</v>
      </c>
      <c r="D7194" s="4" t="s">
        <v>370</v>
      </c>
      <c r="E7194" s="4" t="s">
        <v>7791</v>
      </c>
      <c r="F7194" s="4" t="s">
        <v>470</v>
      </c>
      <c r="G7194" s="4" t="s">
        <v>7792</v>
      </c>
      <c r="H7194" s="12" t="n">
        <v>1</v>
      </c>
      <c r="I7194" s="4" t="s">
        <v>7036</v>
      </c>
      <c r="J7194" s="4" t="s">
        <v>543</v>
      </c>
      <c r="K7194" s="13" t="n">
        <v>12000</v>
      </c>
      <c r="L7194" s="6" t="n">
        <f aca="false">H7194*K7194</f>
        <v>12000</v>
      </c>
      <c r="M7194" s="14" t="s">
        <v>410</v>
      </c>
    </row>
    <row r="7195" customFormat="false" ht="15" hidden="false" customHeight="false" outlineLevel="0" collapsed="false">
      <c r="A7195" s="4" t="s">
        <v>386</v>
      </c>
      <c r="B7195" s="5" t="s">
        <v>387</v>
      </c>
      <c r="C7195" s="5" t="s">
        <v>388</v>
      </c>
      <c r="D7195" s="4" t="s">
        <v>370</v>
      </c>
      <c r="E7195" s="4" t="s">
        <v>7518</v>
      </c>
      <c r="F7195" s="4" t="s">
        <v>470</v>
      </c>
      <c r="G7195" s="4" t="s">
        <v>7519</v>
      </c>
      <c r="H7195" s="12" t="n">
        <v>1</v>
      </c>
      <c r="I7195" s="4" t="s">
        <v>7036</v>
      </c>
      <c r="J7195" s="4" t="s">
        <v>543</v>
      </c>
      <c r="K7195" s="13" t="n">
        <v>8000</v>
      </c>
      <c r="L7195" s="6" t="n">
        <f aca="false">H7195*K7195</f>
        <v>8000</v>
      </c>
      <c r="M7195" s="14" t="s">
        <v>410</v>
      </c>
    </row>
    <row r="7196" customFormat="false" ht="15" hidden="false" customHeight="false" outlineLevel="0" collapsed="false">
      <c r="A7196" s="4" t="s">
        <v>386</v>
      </c>
      <c r="B7196" s="5" t="s">
        <v>387</v>
      </c>
      <c r="C7196" s="5" t="s">
        <v>388</v>
      </c>
      <c r="D7196" s="4" t="s">
        <v>370</v>
      </c>
      <c r="E7196" s="4" t="s">
        <v>7520</v>
      </c>
      <c r="F7196" s="4" t="s">
        <v>470</v>
      </c>
      <c r="G7196" s="4" t="s">
        <v>7521</v>
      </c>
      <c r="H7196" s="12" t="n">
        <v>1</v>
      </c>
      <c r="I7196" s="4" t="s">
        <v>7036</v>
      </c>
      <c r="J7196" s="4" t="s">
        <v>543</v>
      </c>
      <c r="K7196" s="13" t="n">
        <v>15000</v>
      </c>
      <c r="L7196" s="6" t="n">
        <f aca="false">H7196*K7196</f>
        <v>15000</v>
      </c>
      <c r="M7196" s="14" t="s">
        <v>410</v>
      </c>
    </row>
    <row r="7197" customFormat="false" ht="15" hidden="false" customHeight="false" outlineLevel="0" collapsed="false">
      <c r="A7197" s="4" t="s">
        <v>386</v>
      </c>
      <c r="B7197" s="5" t="s">
        <v>387</v>
      </c>
      <c r="C7197" s="5" t="s">
        <v>388</v>
      </c>
      <c r="D7197" s="4" t="s">
        <v>370</v>
      </c>
      <c r="E7197" s="4" t="s">
        <v>7522</v>
      </c>
      <c r="F7197" s="4" t="s">
        <v>470</v>
      </c>
      <c r="G7197" s="4" t="s">
        <v>7523</v>
      </c>
      <c r="H7197" s="12" t="n">
        <v>30</v>
      </c>
      <c r="I7197" s="4" t="s">
        <v>7036</v>
      </c>
      <c r="J7197" s="4" t="s">
        <v>543</v>
      </c>
      <c r="K7197" s="13" t="n">
        <v>900</v>
      </c>
      <c r="L7197" s="6" t="n">
        <f aca="false">H7197*K7197</f>
        <v>27000</v>
      </c>
      <c r="M7197" s="14" t="s">
        <v>410</v>
      </c>
    </row>
    <row r="7198" customFormat="false" ht="15" hidden="false" customHeight="false" outlineLevel="0" collapsed="false">
      <c r="A7198" s="4" t="s">
        <v>386</v>
      </c>
      <c r="B7198" s="5" t="s">
        <v>387</v>
      </c>
      <c r="C7198" s="5" t="s">
        <v>388</v>
      </c>
      <c r="D7198" s="4" t="s">
        <v>370</v>
      </c>
      <c r="E7198" s="4" t="s">
        <v>7524</v>
      </c>
      <c r="F7198" s="4" t="s">
        <v>470</v>
      </c>
      <c r="G7198" s="4" t="s">
        <v>7525</v>
      </c>
      <c r="H7198" s="12" t="n">
        <v>1</v>
      </c>
      <c r="I7198" s="4" t="s">
        <v>7036</v>
      </c>
      <c r="J7198" s="4" t="s">
        <v>543</v>
      </c>
      <c r="K7198" s="13" t="n">
        <v>12000</v>
      </c>
      <c r="L7198" s="6" t="n">
        <f aca="false">H7198*K7198</f>
        <v>12000</v>
      </c>
      <c r="M7198" s="14" t="s">
        <v>410</v>
      </c>
    </row>
    <row r="7199" customFormat="false" ht="15" hidden="false" customHeight="false" outlineLevel="0" collapsed="false">
      <c r="A7199" s="4" t="s">
        <v>386</v>
      </c>
      <c r="B7199" s="5" t="s">
        <v>387</v>
      </c>
      <c r="C7199" s="5" t="s">
        <v>388</v>
      </c>
      <c r="D7199" s="4" t="s">
        <v>370</v>
      </c>
      <c r="E7199" s="4" t="s">
        <v>7526</v>
      </c>
      <c r="F7199" s="4" t="s">
        <v>470</v>
      </c>
      <c r="G7199" s="4" t="s">
        <v>7527</v>
      </c>
      <c r="H7199" s="12" t="n">
        <v>1</v>
      </c>
      <c r="I7199" s="4" t="s">
        <v>7036</v>
      </c>
      <c r="J7199" s="4" t="s">
        <v>543</v>
      </c>
      <c r="K7199" s="13" t="n">
        <v>3500</v>
      </c>
      <c r="L7199" s="6" t="n">
        <f aca="false">H7199*K7199</f>
        <v>3500</v>
      </c>
      <c r="M7199" s="14" t="s">
        <v>410</v>
      </c>
    </row>
  </sheetData>
  <autoFilter ref="A1:M7199"/>
  <hyperlinks>
    <hyperlink ref="M2" r:id="rId1" display="Click here"/>
    <hyperlink ref="M3" r:id="rId2" display="Click here"/>
    <hyperlink ref="M4" r:id="rId3" display="Click here"/>
    <hyperlink ref="M5" r:id="rId4" display="Click here"/>
    <hyperlink ref="M6" r:id="rId5" display="Click here"/>
    <hyperlink ref="M7" r:id="rId6" display="Click here"/>
    <hyperlink ref="M8" r:id="rId7" display="Click here"/>
    <hyperlink ref="M9" r:id="rId8" display="Click here"/>
    <hyperlink ref="M10" r:id="rId9" display="Click here"/>
    <hyperlink ref="M11" r:id="rId10" display="Click here"/>
    <hyperlink ref="M12" r:id="rId11" display="Click here"/>
    <hyperlink ref="M13" r:id="rId12" display="Click here"/>
    <hyperlink ref="M14" r:id="rId13" display="Click here"/>
    <hyperlink ref="M15" r:id="rId14" display="Click here"/>
    <hyperlink ref="M16" r:id="rId15" display="Click here"/>
    <hyperlink ref="M17" r:id="rId16" display="Click here"/>
    <hyperlink ref="M18" r:id="rId17" display="Click here"/>
    <hyperlink ref="M19" r:id="rId18" display="Click here"/>
    <hyperlink ref="M20" r:id="rId19" display="Click here"/>
    <hyperlink ref="M21" r:id="rId20" display="Click here"/>
    <hyperlink ref="M22" r:id="rId21" display="Click here"/>
    <hyperlink ref="M23" r:id="rId22" display="Click here"/>
    <hyperlink ref="M24" r:id="rId23" display="Click here"/>
    <hyperlink ref="M25" r:id="rId24" display="Click here"/>
    <hyperlink ref="M26" r:id="rId25" display="Click here"/>
    <hyperlink ref="M27" r:id="rId26" display="Click here"/>
    <hyperlink ref="M28" r:id="rId27" display="Click here"/>
    <hyperlink ref="M29" r:id="rId28" display="Click here"/>
    <hyperlink ref="M45" r:id="rId29" display="Click here"/>
    <hyperlink ref="M46" r:id="rId30" display="Click here"/>
    <hyperlink ref="M47" r:id="rId31" display="Click here"/>
    <hyperlink ref="M48" r:id="rId32" display="Click here"/>
    <hyperlink ref="M49" r:id="rId33" display="Click here"/>
    <hyperlink ref="M50" r:id="rId34" display="Click here"/>
    <hyperlink ref="M51" r:id="rId35" display="Click here"/>
    <hyperlink ref="M52" r:id="rId36" display="Click here"/>
    <hyperlink ref="M53" r:id="rId37" display="Click here"/>
    <hyperlink ref="M54" r:id="rId38" display="Click here"/>
    <hyperlink ref="M55" r:id="rId39" display="Click here"/>
    <hyperlink ref="M56" r:id="rId40" display="Click here"/>
    <hyperlink ref="M57" r:id="rId41" display="Click here"/>
    <hyperlink ref="M59" r:id="rId42" display="Click here"/>
    <hyperlink ref="M60" r:id="rId43" display="Click here"/>
    <hyperlink ref="M61" r:id="rId44" display="Click here"/>
    <hyperlink ref="M62" r:id="rId45" display="Click here"/>
    <hyperlink ref="M63" r:id="rId46" display="Click here"/>
    <hyperlink ref="M66" r:id="rId47" display="Click here"/>
    <hyperlink ref="M67" r:id="rId48" display="Click here"/>
    <hyperlink ref="M68" r:id="rId49" display="Click here"/>
    <hyperlink ref="M69" r:id="rId50" display="Click here"/>
    <hyperlink ref="M70" r:id="rId51" display="Click here"/>
    <hyperlink ref="M71" r:id="rId52" display="Click here"/>
    <hyperlink ref="M72" r:id="rId53" display="Click here"/>
    <hyperlink ref="M73" r:id="rId54" display="Click here"/>
    <hyperlink ref="M74" r:id="rId55" display="Click here"/>
    <hyperlink ref="M75" r:id="rId56" display="Click here"/>
    <hyperlink ref="M76" r:id="rId57" display="Click here"/>
    <hyperlink ref="M77" r:id="rId58" display="Click here"/>
    <hyperlink ref="M78" r:id="rId59" display="Click here"/>
    <hyperlink ref="M79" r:id="rId60" display="Click here"/>
    <hyperlink ref="M80" r:id="rId61" display="Click here"/>
    <hyperlink ref="M81" r:id="rId62" display="Click here"/>
    <hyperlink ref="M82" r:id="rId63" display="Click here"/>
    <hyperlink ref="M83" r:id="rId64" display="Click here"/>
    <hyperlink ref="M84" r:id="rId65" display="Click here"/>
    <hyperlink ref="M85" r:id="rId66" display="Click here"/>
    <hyperlink ref="M86" r:id="rId67" display="Click here"/>
    <hyperlink ref="M87" r:id="rId68" display="Click here"/>
    <hyperlink ref="M92" r:id="rId69" display="Click here"/>
    <hyperlink ref="M93" r:id="rId70" display="Click here"/>
    <hyperlink ref="M94" r:id="rId71" display="Click here"/>
    <hyperlink ref="M95" r:id="rId72" display="Click here"/>
    <hyperlink ref="M96" r:id="rId73" display="Click here"/>
    <hyperlink ref="M97" r:id="rId74" display="Click here"/>
    <hyperlink ref="M98" r:id="rId75" display="Click here"/>
    <hyperlink ref="M99" r:id="rId76" display="Click here"/>
    <hyperlink ref="M100" r:id="rId77" display="Click here"/>
    <hyperlink ref="M101" r:id="rId78" display="Click here"/>
    <hyperlink ref="M102" r:id="rId79" display="Click here"/>
    <hyperlink ref="M103" r:id="rId80" display="Click here"/>
    <hyperlink ref="M104" r:id="rId81" display="Click here"/>
    <hyperlink ref="M105" r:id="rId82" display="Click here"/>
    <hyperlink ref="M106" r:id="rId83" display="Click here"/>
    <hyperlink ref="M107" r:id="rId84" display="Click here"/>
    <hyperlink ref="M108" r:id="rId85" display="Click here"/>
    <hyperlink ref="M109" r:id="rId86" display="Click here"/>
    <hyperlink ref="M110" r:id="rId87" display="Click here"/>
    <hyperlink ref="M111" r:id="rId88" display="Click here"/>
    <hyperlink ref="M112" r:id="rId89" display="Click here"/>
    <hyperlink ref="M113" r:id="rId90" display="Click here"/>
    <hyperlink ref="M114" r:id="rId91" display="Click here"/>
    <hyperlink ref="M115" r:id="rId92" display="Click here"/>
    <hyperlink ref="M116" r:id="rId93" display="Click here"/>
    <hyperlink ref="M117" r:id="rId94" display="Click here"/>
    <hyperlink ref="M118" r:id="rId95" display="Click here"/>
    <hyperlink ref="M119" r:id="rId96" display="Click here"/>
    <hyperlink ref="M120" r:id="rId97" display="Click here"/>
    <hyperlink ref="M121" r:id="rId98" display="Click here"/>
    <hyperlink ref="M122" r:id="rId99" display="Click here"/>
    <hyperlink ref="M123" r:id="rId100" display="Click here"/>
    <hyperlink ref="M124" r:id="rId101" display="Click here"/>
    <hyperlink ref="M125" r:id="rId102" display="Click here"/>
    <hyperlink ref="M126" r:id="rId103" display="Click here"/>
    <hyperlink ref="M127" r:id="rId104" display="Click here"/>
    <hyperlink ref="M128" r:id="rId105" display="Click here"/>
    <hyperlink ref="M129" r:id="rId106" display="Click here"/>
    <hyperlink ref="M130" r:id="rId107" display="Click here"/>
    <hyperlink ref="M131" r:id="rId108" display="Click here"/>
    <hyperlink ref="M132" r:id="rId109" display="Click here"/>
    <hyperlink ref="M133" r:id="rId110" display="Click here"/>
    <hyperlink ref="M134" r:id="rId111" display="Click here"/>
    <hyperlink ref="M135" r:id="rId112" display="Click here"/>
    <hyperlink ref="M136" r:id="rId113" display="Click here"/>
    <hyperlink ref="M137" r:id="rId114" display="Click here"/>
    <hyperlink ref="M138" r:id="rId115" display="Click here"/>
    <hyperlink ref="M139" r:id="rId116" display="Click here"/>
    <hyperlink ref="M140" r:id="rId117" display="Click here"/>
    <hyperlink ref="M141" r:id="rId118" display="Click here"/>
    <hyperlink ref="M142" r:id="rId119" display="Click here"/>
    <hyperlink ref="M143" r:id="rId120" display="Click here"/>
    <hyperlink ref="M144" r:id="rId121" display="Click here"/>
    <hyperlink ref="M145" r:id="rId122" display="Click here"/>
    <hyperlink ref="M146" r:id="rId123" display="Click here"/>
    <hyperlink ref="M147" r:id="rId124" display="Click here"/>
    <hyperlink ref="M148" r:id="rId125" display="Click here"/>
    <hyperlink ref="M149" r:id="rId126" display="Click here"/>
    <hyperlink ref="M150" r:id="rId127" display="Click here"/>
    <hyperlink ref="M151" r:id="rId128" display="Click here"/>
    <hyperlink ref="M152" r:id="rId129" display="Click here"/>
    <hyperlink ref="M157" r:id="rId130" display="Click here"/>
    <hyperlink ref="M158" r:id="rId131" display="Click here"/>
    <hyperlink ref="M159" r:id="rId132" display="Click here"/>
    <hyperlink ref="M160" r:id="rId133" display="Click here"/>
    <hyperlink ref="M161" r:id="rId134" display="Click here"/>
    <hyperlink ref="M162" r:id="rId135" display="Click here"/>
    <hyperlink ref="M163" r:id="rId136" display="Click here"/>
    <hyperlink ref="M164" r:id="rId137" display="Click here"/>
    <hyperlink ref="M165" r:id="rId138" display="Click here"/>
    <hyperlink ref="M166" r:id="rId139" display="Click here"/>
    <hyperlink ref="M167" r:id="rId140" display="Click here"/>
    <hyperlink ref="M168" r:id="rId141" display="Click here"/>
    <hyperlink ref="M169" r:id="rId142" display="Click here"/>
    <hyperlink ref="M170" r:id="rId143" display="Click here"/>
    <hyperlink ref="M171" r:id="rId144" display="Click here"/>
    <hyperlink ref="M172" r:id="rId145" display="Click here"/>
    <hyperlink ref="M173" r:id="rId146" display="Click here"/>
    <hyperlink ref="M174" r:id="rId147" display="Click here"/>
    <hyperlink ref="M175" r:id="rId148" display="Click here"/>
    <hyperlink ref="M176" r:id="rId149" display="Click here"/>
    <hyperlink ref="M177" r:id="rId150" display="Click here"/>
    <hyperlink ref="M178" r:id="rId151" display="Click here"/>
    <hyperlink ref="M179" r:id="rId152" display="Click here"/>
    <hyperlink ref="M180" r:id="rId153" display="Click here"/>
    <hyperlink ref="M181" r:id="rId154" display="Click here"/>
    <hyperlink ref="M182" r:id="rId155" display="Click here"/>
    <hyperlink ref="M183" r:id="rId156" display="Click here"/>
    <hyperlink ref="M184" r:id="rId157" display="Click here"/>
    <hyperlink ref="M192" r:id="rId158" display="Click here"/>
    <hyperlink ref="M200" r:id="rId159" display="Click here"/>
    <hyperlink ref="M201" r:id="rId160" display="Click here"/>
    <hyperlink ref="M202" r:id="rId161" display="Click here"/>
    <hyperlink ref="M203" r:id="rId162" display="Click here"/>
    <hyperlink ref="M204" r:id="rId163" display="Click here"/>
    <hyperlink ref="M205" r:id="rId164" display="Click here"/>
    <hyperlink ref="M206" r:id="rId165" display="Click here"/>
    <hyperlink ref="M207" r:id="rId166" display="Click here"/>
    <hyperlink ref="M208" r:id="rId167" display="Click here"/>
    <hyperlink ref="M209" r:id="rId168" display="Click here"/>
    <hyperlink ref="M210" r:id="rId169" display="Click here"/>
    <hyperlink ref="M211" r:id="rId170" display="Click here"/>
    <hyperlink ref="M212" r:id="rId171" display="Click here"/>
    <hyperlink ref="M213" r:id="rId172" display="Click here"/>
    <hyperlink ref="M214" r:id="rId173" display="Click here"/>
    <hyperlink ref="M215" r:id="rId174" display="Click here"/>
    <hyperlink ref="M216" r:id="rId175" display="Click here"/>
    <hyperlink ref="M217" r:id="rId176" display="Click here"/>
    <hyperlink ref="M218" r:id="rId177" display="Click here"/>
    <hyperlink ref="M219" r:id="rId178" display="Click here"/>
    <hyperlink ref="M220" r:id="rId179" display="Click here"/>
    <hyperlink ref="M221" r:id="rId180" display="Click here"/>
    <hyperlink ref="M222" r:id="rId181" display="Click here"/>
    <hyperlink ref="M223" r:id="rId182" display="Click here"/>
    <hyperlink ref="M224" r:id="rId183" display="Click here"/>
    <hyperlink ref="M225" r:id="rId184" display="Click here"/>
    <hyperlink ref="M226" r:id="rId185" display="Click here"/>
    <hyperlink ref="M227" r:id="rId186" display="Click here"/>
    <hyperlink ref="M228" r:id="rId187" display="Click here"/>
    <hyperlink ref="M229" r:id="rId188" display="Click here"/>
    <hyperlink ref="M230" r:id="rId189" display="Click here"/>
    <hyperlink ref="M231" r:id="rId190" display="Click here"/>
    <hyperlink ref="M232" r:id="rId191" display="Click here"/>
    <hyperlink ref="M233" r:id="rId192" display="Click here"/>
    <hyperlink ref="M234" r:id="rId193" display="Click here"/>
    <hyperlink ref="M235" r:id="rId194" display="Click here"/>
    <hyperlink ref="M236" r:id="rId195" display="Click here"/>
    <hyperlink ref="M237" r:id="rId196" display="Click here"/>
    <hyperlink ref="M238" r:id="rId197" display="Click here"/>
    <hyperlink ref="M239" r:id="rId198" display="Click here"/>
    <hyperlink ref="M240" r:id="rId199" display="Click here"/>
    <hyperlink ref="M241" r:id="rId200" display="Click here"/>
    <hyperlink ref="M242" r:id="rId201" display="Click here"/>
    <hyperlink ref="M243" r:id="rId202" display="Click here"/>
    <hyperlink ref="M244" r:id="rId203" display="Click here"/>
    <hyperlink ref="M245" r:id="rId204" display="Click here"/>
    <hyperlink ref="M246" r:id="rId205" display="Click here"/>
    <hyperlink ref="M247" r:id="rId206" display="Click here"/>
    <hyperlink ref="M248" r:id="rId207" display="Click here"/>
    <hyperlink ref="M249" r:id="rId208" display="Click here"/>
    <hyperlink ref="M250" r:id="rId209" display="Click here"/>
    <hyperlink ref="M251" r:id="rId210" display="Click here"/>
    <hyperlink ref="M252" r:id="rId211" display="Click here"/>
    <hyperlink ref="M253" r:id="rId212" display="Click here"/>
    <hyperlink ref="M254" r:id="rId213" display="Click here"/>
    <hyperlink ref="M255" r:id="rId214" display="Click here"/>
    <hyperlink ref="M256" r:id="rId215" display="Click here"/>
    <hyperlink ref="M257" r:id="rId216" display="Click here"/>
    <hyperlink ref="M258" r:id="rId217" display="Click here"/>
    <hyperlink ref="M259" r:id="rId218" display="Click here"/>
    <hyperlink ref="M260" r:id="rId219" display="Click here"/>
    <hyperlink ref="M261" r:id="rId220" display="Click here"/>
    <hyperlink ref="M266" r:id="rId221" display="Click here"/>
    <hyperlink ref="M267" r:id="rId222" display="Click here"/>
    <hyperlink ref="M268" r:id="rId223" display="Click here"/>
    <hyperlink ref="M269" r:id="rId224" display="Click here"/>
    <hyperlink ref="M270" r:id="rId225" display="Click here"/>
    <hyperlink ref="M271" r:id="rId226" display="Click here"/>
    <hyperlink ref="M272" r:id="rId227" display="Click here"/>
    <hyperlink ref="M273" r:id="rId228" display="Click here"/>
    <hyperlink ref="M274" r:id="rId229" display="Click here"/>
    <hyperlink ref="M275" r:id="rId230" display="Click here"/>
    <hyperlink ref="M276" r:id="rId231" display="Click here"/>
    <hyperlink ref="M277" r:id="rId232" display="Click here"/>
    <hyperlink ref="M278" r:id="rId233" display="Click here"/>
    <hyperlink ref="M279" r:id="rId234" display="Click here"/>
    <hyperlink ref="M280" r:id="rId235" display="Click here"/>
    <hyperlink ref="M281" r:id="rId236" display="Click here"/>
    <hyperlink ref="M282" r:id="rId237" display="Click here"/>
    <hyperlink ref="M283" r:id="rId238" display="Click here"/>
    <hyperlink ref="M284" r:id="rId239" display="Click here"/>
    <hyperlink ref="M285" r:id="rId240" display="Click here"/>
    <hyperlink ref="M286" r:id="rId241" display="Click here"/>
    <hyperlink ref="M287" r:id="rId242" display="Click here"/>
    <hyperlink ref="M288" r:id="rId243" display="Click here"/>
    <hyperlink ref="M289" r:id="rId244" display="Click here"/>
    <hyperlink ref="M290" r:id="rId245" display="Click here"/>
    <hyperlink ref="M291" r:id="rId246" display="Click here"/>
    <hyperlink ref="M292" r:id="rId247" display="Click here"/>
    <hyperlink ref="M293" r:id="rId248" display="Click here"/>
    <hyperlink ref="M294" r:id="rId249" display="Click here"/>
    <hyperlink ref="M295" r:id="rId250" display="Click here"/>
    <hyperlink ref="M296" r:id="rId251" display="Click here"/>
    <hyperlink ref="M297" r:id="rId252" display="Click here"/>
    <hyperlink ref="M303" r:id="rId253" display="Click here"/>
    <hyperlink ref="M304" r:id="rId254" display="Click here"/>
    <hyperlink ref="M305" r:id="rId255" display="Click here"/>
    <hyperlink ref="M306" r:id="rId256" display="Click here"/>
    <hyperlink ref="M307" r:id="rId257" display="Click here"/>
    <hyperlink ref="M308" r:id="rId258" display="Click here"/>
    <hyperlink ref="M309" r:id="rId259" display="Click here"/>
    <hyperlink ref="M310" r:id="rId260" display="Click here"/>
    <hyperlink ref="M311" r:id="rId261" display="Click here"/>
    <hyperlink ref="M312" r:id="rId262" display="Click here"/>
    <hyperlink ref="M313" r:id="rId263" display="Click here"/>
    <hyperlink ref="M314" r:id="rId264" display="Click here"/>
    <hyperlink ref="M315" r:id="rId265" display="Click here"/>
    <hyperlink ref="M316" r:id="rId266" display="Click here"/>
    <hyperlink ref="M317" r:id="rId267" display="Click here"/>
    <hyperlink ref="M319" r:id="rId268" display="Click here"/>
    <hyperlink ref="M320" r:id="rId269" display="Click here"/>
    <hyperlink ref="M321" r:id="rId270" display="Click here"/>
    <hyperlink ref="M322" r:id="rId271" display="Click here"/>
    <hyperlink ref="M323" r:id="rId272" display="Click here"/>
    <hyperlink ref="M324" r:id="rId273" display="Click here"/>
    <hyperlink ref="M325" r:id="rId274" display="Click here"/>
    <hyperlink ref="M326" r:id="rId275" display="Click here"/>
    <hyperlink ref="M327" r:id="rId276" display="Click here"/>
    <hyperlink ref="M328" r:id="rId277" display="Click here"/>
    <hyperlink ref="M329" r:id="rId278" display="Click here"/>
    <hyperlink ref="M330" r:id="rId279" display="Click here"/>
    <hyperlink ref="M339" r:id="rId280" display="Click here"/>
    <hyperlink ref="M340" r:id="rId281" display="Click here"/>
    <hyperlink ref="M342" r:id="rId282" display="Click here"/>
    <hyperlink ref="M343" r:id="rId283" display="Click here"/>
    <hyperlink ref="M345" r:id="rId284" display="Click here"/>
    <hyperlink ref="M346" r:id="rId285" display="Click here"/>
    <hyperlink ref="M347" r:id="rId286" display="Click here"/>
    <hyperlink ref="M368" r:id="rId287" display="Click here"/>
    <hyperlink ref="M370" r:id="rId288" display="Click here"/>
    <hyperlink ref="M372" r:id="rId289" display="Click here"/>
    <hyperlink ref="M373" r:id="rId290" display="Click here"/>
    <hyperlink ref="M374" r:id="rId291" display="Click here"/>
    <hyperlink ref="M375" r:id="rId292" display="Click here"/>
    <hyperlink ref="M376" r:id="rId293" display="Click here"/>
    <hyperlink ref="M377" r:id="rId294" display="Click here"/>
    <hyperlink ref="M378" r:id="rId295" display="Click here"/>
    <hyperlink ref="M402" r:id="rId296" display="Click here"/>
    <hyperlink ref="M403" r:id="rId297" display="Click here"/>
    <hyperlink ref="M404" r:id="rId298" display="Click here"/>
    <hyperlink ref="M405" r:id="rId299" display="Click here"/>
    <hyperlink ref="M406" r:id="rId300" display="Click here"/>
    <hyperlink ref="M407" r:id="rId301" display="Click here"/>
    <hyperlink ref="M408" r:id="rId302" display="Click here"/>
    <hyperlink ref="M409" r:id="rId303" display="Click here"/>
    <hyperlink ref="M410" r:id="rId304" display="Click here"/>
    <hyperlink ref="M411" r:id="rId305" display="Click here"/>
    <hyperlink ref="M412" r:id="rId306" display="Click here"/>
    <hyperlink ref="M413" r:id="rId307" display="Click here"/>
    <hyperlink ref="M414" r:id="rId308" display="Click here"/>
    <hyperlink ref="M415" r:id="rId309" display="Click here"/>
    <hyperlink ref="M416" r:id="rId310" display="Click here"/>
    <hyperlink ref="M417" r:id="rId311" display="Click here"/>
    <hyperlink ref="M418" r:id="rId312" display="Click here"/>
    <hyperlink ref="M419" r:id="rId313" display="Click here"/>
    <hyperlink ref="M420" r:id="rId314" display="Click here"/>
    <hyperlink ref="M421" r:id="rId315" display="Click here"/>
    <hyperlink ref="M422" r:id="rId316" display="Click here"/>
    <hyperlink ref="M423" r:id="rId317" display="Click here"/>
    <hyperlink ref="M424" r:id="rId318" display="Click here"/>
    <hyperlink ref="M426" r:id="rId319" display="Click here"/>
    <hyperlink ref="M427" r:id="rId320" display="Click here"/>
    <hyperlink ref="M428" r:id="rId321" display="Click here"/>
    <hyperlink ref="M435" r:id="rId322" display="Click here"/>
    <hyperlink ref="M438" r:id="rId323" display="Click here"/>
    <hyperlink ref="M439" r:id="rId324" display="Click here"/>
    <hyperlink ref="M440" r:id="rId325" display="Click here"/>
    <hyperlink ref="M441" r:id="rId326" display="Click here"/>
    <hyperlink ref="M442" r:id="rId327" display="Click here"/>
    <hyperlink ref="M443" r:id="rId328" display="Click here"/>
    <hyperlink ref="M444" r:id="rId329" display="Click here"/>
    <hyperlink ref="M445" r:id="rId330" display="Click here"/>
    <hyperlink ref="M446" r:id="rId331" display="Click here"/>
    <hyperlink ref="M447" r:id="rId332" display="Click here"/>
    <hyperlink ref="M448" r:id="rId333" display="Click here"/>
    <hyperlink ref="M450" r:id="rId334" display="Click here"/>
    <hyperlink ref="M451" r:id="rId335" display="Click here"/>
    <hyperlink ref="M452" r:id="rId336" display="Click here"/>
    <hyperlink ref="M455" r:id="rId337" display="Click here"/>
    <hyperlink ref="M456" r:id="rId338" display="Click here"/>
    <hyperlink ref="M457" r:id="rId339" display="Click here"/>
    <hyperlink ref="M458" r:id="rId340" display="Click here"/>
    <hyperlink ref="M459" r:id="rId341" display="Click here"/>
    <hyperlink ref="M460" r:id="rId342" display="Click here"/>
    <hyperlink ref="M461" r:id="rId343" display="Click here"/>
    <hyperlink ref="M462" r:id="rId344" display="Click here"/>
    <hyperlink ref="M463" r:id="rId345" display="Click here"/>
    <hyperlink ref="M464" r:id="rId346" display="Click here"/>
    <hyperlink ref="M465" r:id="rId347" display="Click here"/>
    <hyperlink ref="M466" r:id="rId348" display="Click here"/>
    <hyperlink ref="M467" r:id="rId349" display="Click here"/>
    <hyperlink ref="M468" r:id="rId350" display="Click here"/>
    <hyperlink ref="M469" r:id="rId351" display="Click here"/>
    <hyperlink ref="M470" r:id="rId352" display="Click here"/>
    <hyperlink ref="M471" r:id="rId353" display="Click here"/>
    <hyperlink ref="M472" r:id="rId354" display="Click here"/>
    <hyperlink ref="M473" r:id="rId355" display="Click here"/>
    <hyperlink ref="M474" r:id="rId356" display="Click here"/>
    <hyperlink ref="M478" r:id="rId357" display="Click here"/>
    <hyperlink ref="M479" r:id="rId358" display="Click here"/>
    <hyperlink ref="M481" r:id="rId359" display="Click here"/>
    <hyperlink ref="M482" r:id="rId360" display="Click here"/>
    <hyperlink ref="M483" r:id="rId361" display="Click here"/>
    <hyperlink ref="M484" r:id="rId362" display="Click here"/>
    <hyperlink ref="M487" r:id="rId363" display="Click here"/>
    <hyperlink ref="M488" r:id="rId364" display="Click here"/>
    <hyperlink ref="M489" r:id="rId365" display="Click here"/>
    <hyperlink ref="M490" r:id="rId366" display="Click here"/>
    <hyperlink ref="M491" r:id="rId367" display="Click here"/>
    <hyperlink ref="M493" r:id="rId368" display="Click here"/>
    <hyperlink ref="M495" r:id="rId369" display="Click here"/>
    <hyperlink ref="M496" r:id="rId370" display="Click here"/>
    <hyperlink ref="M498" r:id="rId371" display="Click here"/>
    <hyperlink ref="M500" r:id="rId372" display="Click here"/>
    <hyperlink ref="M502" r:id="rId373" display="Click here"/>
    <hyperlink ref="M503" r:id="rId374" display="Click here"/>
    <hyperlink ref="M504" r:id="rId375" display="Click here"/>
    <hyperlink ref="M505" r:id="rId376" display="Click here"/>
    <hyperlink ref="M506" r:id="rId377" display="Click here"/>
    <hyperlink ref="M507" r:id="rId378" display="Click here"/>
    <hyperlink ref="M508" r:id="rId379" display="Click here"/>
    <hyperlink ref="M509" r:id="rId380" display="Click here"/>
    <hyperlink ref="M510" r:id="rId381" display="Click here"/>
    <hyperlink ref="M561" r:id="rId382" display="Click here"/>
    <hyperlink ref="M567" r:id="rId383" display="Click here"/>
    <hyperlink ref="M568" r:id="rId384" display="Click here"/>
    <hyperlink ref="M569" r:id="rId385" display="Click here"/>
    <hyperlink ref="M570" r:id="rId386" display="Click here"/>
    <hyperlink ref="M571" r:id="rId387" display="Click here"/>
    <hyperlink ref="M572" r:id="rId388" display="Click here"/>
    <hyperlink ref="M573" r:id="rId389" display="Click here"/>
    <hyperlink ref="M574" r:id="rId390" display="Click here"/>
    <hyperlink ref="M575" r:id="rId391" display="Click here"/>
    <hyperlink ref="M576" r:id="rId392" display="Click here"/>
    <hyperlink ref="M577" r:id="rId393" display="Click here"/>
    <hyperlink ref="M578" r:id="rId394" display="Click here"/>
    <hyperlink ref="M579" r:id="rId395" display="Click here"/>
    <hyperlink ref="M581" r:id="rId396" display="Click here"/>
    <hyperlink ref="M582" r:id="rId397" display="Click here"/>
    <hyperlink ref="M587" r:id="rId398" display="Click here"/>
    <hyperlink ref="M588" r:id="rId399" display="Click here"/>
    <hyperlink ref="M589" r:id="rId400" display="Click here"/>
    <hyperlink ref="M590" r:id="rId401" display="Click here"/>
    <hyperlink ref="M594" r:id="rId402" display="Click here"/>
    <hyperlink ref="M595" r:id="rId403" display="Click here"/>
    <hyperlink ref="M596" r:id="rId404" display="Click here"/>
    <hyperlink ref="M597" r:id="rId405" display="Click here"/>
    <hyperlink ref="M598" r:id="rId406" display="Click here"/>
    <hyperlink ref="M626" r:id="rId407" display="Click here"/>
    <hyperlink ref="M629" r:id="rId408" display="Click here"/>
    <hyperlink ref="M630" r:id="rId409" display="Click here"/>
    <hyperlink ref="M633" r:id="rId410" display="Click here"/>
    <hyperlink ref="M634" r:id="rId411" display="Click here"/>
    <hyperlink ref="M635" r:id="rId412" display="Click here"/>
    <hyperlink ref="M636" r:id="rId413" display="Click here"/>
    <hyperlink ref="M637" r:id="rId414" display="Click here"/>
    <hyperlink ref="M638" r:id="rId415" display="Click here"/>
    <hyperlink ref="M639" r:id="rId416" display="Click here"/>
    <hyperlink ref="M641" r:id="rId417" display="Click here"/>
    <hyperlink ref="M642" r:id="rId418" display="Click here"/>
    <hyperlink ref="M644" r:id="rId419" display="Click here"/>
    <hyperlink ref="M645" r:id="rId420" display="Click here"/>
    <hyperlink ref="M646" r:id="rId421" display="Click here"/>
    <hyperlink ref="M647" r:id="rId422" display="Click here"/>
    <hyperlink ref="M648" r:id="rId423" display="Click here"/>
    <hyperlink ref="M649" r:id="rId424" display="Click here"/>
    <hyperlink ref="M650" r:id="rId425" display="Click here"/>
    <hyperlink ref="M651" r:id="rId426" display="Click here"/>
    <hyperlink ref="M652" r:id="rId427" display="Click here"/>
    <hyperlink ref="M655" r:id="rId428" display="Click here"/>
    <hyperlink ref="M656" r:id="rId429" display="Click here"/>
    <hyperlink ref="M657" r:id="rId430" display="Click here"/>
    <hyperlink ref="M658" r:id="rId431" display="Click here"/>
    <hyperlink ref="M661" r:id="rId432" display="Click here"/>
    <hyperlink ref="M663" r:id="rId433" display="Click here"/>
    <hyperlink ref="M664" r:id="rId434" display="Click here"/>
    <hyperlink ref="M665" r:id="rId435" display="Click here"/>
    <hyperlink ref="M666" r:id="rId436" display="Click here"/>
    <hyperlink ref="M667" r:id="rId437" display="Click here"/>
    <hyperlink ref="M668" r:id="rId438" display="Click here"/>
    <hyperlink ref="M669" r:id="rId439" display="Click here"/>
    <hyperlink ref="M670" r:id="rId440" display="Click here"/>
    <hyperlink ref="M672" r:id="rId441" display="Click here"/>
    <hyperlink ref="M673" r:id="rId442" display="Click here"/>
    <hyperlink ref="M674" r:id="rId443" display="Click here"/>
    <hyperlink ref="M675" r:id="rId444" display="Click here"/>
    <hyperlink ref="M676" r:id="rId445" display="Click here"/>
    <hyperlink ref="M677" r:id="rId446" display="Click here"/>
    <hyperlink ref="M678" r:id="rId447" display="Click here"/>
    <hyperlink ref="M679" r:id="rId448" display="Click here"/>
    <hyperlink ref="M681" r:id="rId449" display="Click here"/>
    <hyperlink ref="M682" r:id="rId450" display="Click here"/>
    <hyperlink ref="M683" r:id="rId451" display="Click here"/>
    <hyperlink ref="M684" r:id="rId452" display="Click here"/>
    <hyperlink ref="M685" r:id="rId453" display="Click here"/>
    <hyperlink ref="M686" r:id="rId454" display="Click here"/>
    <hyperlink ref="M687" r:id="rId455" display="Click here"/>
    <hyperlink ref="M688" r:id="rId456" display="Click here"/>
    <hyperlink ref="M689" r:id="rId457" display="Click here"/>
    <hyperlink ref="M690" r:id="rId458" display="Click here"/>
    <hyperlink ref="M691" r:id="rId459" display="Click here"/>
    <hyperlink ref="M692" r:id="rId460" display="Click here"/>
    <hyperlink ref="M693" r:id="rId461" display="Click here"/>
    <hyperlink ref="M694" r:id="rId462" display="Click here"/>
    <hyperlink ref="M695" r:id="rId463" display="Click here"/>
    <hyperlink ref="M696" r:id="rId464" display="Click here"/>
    <hyperlink ref="M697" r:id="rId465" display="Click here"/>
    <hyperlink ref="M698" r:id="rId466" display="Click here"/>
    <hyperlink ref="M722" r:id="rId467" display="Click here"/>
    <hyperlink ref="M726" r:id="rId468" display="Click here"/>
    <hyperlink ref="M727" r:id="rId469" display="Click here"/>
    <hyperlink ref="M728" r:id="rId470" display="Click here"/>
    <hyperlink ref="M729" r:id="rId471" display="Click here"/>
    <hyperlink ref="M730" r:id="rId472" display="Click here"/>
    <hyperlink ref="M732" r:id="rId473" display="Click here"/>
    <hyperlink ref="M733" r:id="rId474" display="Click here"/>
    <hyperlink ref="M734" r:id="rId475" display="Click here"/>
    <hyperlink ref="M735" r:id="rId476" display="Click here"/>
    <hyperlink ref="M736" r:id="rId477" display="Click here"/>
    <hyperlink ref="M737" r:id="rId478" display="Click here"/>
    <hyperlink ref="M738" r:id="rId479" display="Click here"/>
    <hyperlink ref="M739" r:id="rId480" display="Click here"/>
    <hyperlink ref="M740" r:id="rId481" display="Click here"/>
    <hyperlink ref="M741" r:id="rId482" display="Click here"/>
    <hyperlink ref="M742" r:id="rId483" display="Click here"/>
    <hyperlink ref="M743" r:id="rId484" display="Click here"/>
    <hyperlink ref="M746" r:id="rId485" display="Click here"/>
    <hyperlink ref="M747" r:id="rId486" display="Click here"/>
    <hyperlink ref="M770" r:id="rId487" display="Click here"/>
    <hyperlink ref="M771" r:id="rId488" display="Click here"/>
    <hyperlink ref="M772" r:id="rId489" display="Click here"/>
    <hyperlink ref="M773" r:id="rId490" display="Click here"/>
    <hyperlink ref="M774" r:id="rId491" display="Click here"/>
    <hyperlink ref="M775" r:id="rId492" display="Click here"/>
    <hyperlink ref="M776" r:id="rId493" display="Click here"/>
    <hyperlink ref="M777" r:id="rId494" display="Click here"/>
    <hyperlink ref="M778" r:id="rId495" display="Click here"/>
    <hyperlink ref="M779" r:id="rId496" display="Click here"/>
    <hyperlink ref="M780" r:id="rId497" display="Click here"/>
    <hyperlink ref="M782" r:id="rId498" display="Click here"/>
    <hyperlink ref="M784" r:id="rId499" display="Click here"/>
    <hyperlink ref="M785" r:id="rId500" display="Click here"/>
    <hyperlink ref="M786" r:id="rId501" display="Click here"/>
    <hyperlink ref="M787" r:id="rId502" display="Click here"/>
    <hyperlink ref="M788" r:id="rId503" display="Click here"/>
    <hyperlink ref="M791" r:id="rId504" display="Click here"/>
    <hyperlink ref="M794" r:id="rId505" display="Click here"/>
    <hyperlink ref="M797" r:id="rId506" display="Click here"/>
    <hyperlink ref="M798" r:id="rId507" display="Click here"/>
    <hyperlink ref="M799" r:id="rId508" display="Click here"/>
    <hyperlink ref="M800" r:id="rId509" display="Click here"/>
    <hyperlink ref="M801" r:id="rId510" display="Click here"/>
    <hyperlink ref="M803" r:id="rId511" display="Click here"/>
    <hyperlink ref="M804" r:id="rId512" display="Click here"/>
    <hyperlink ref="M805" r:id="rId513" display="Click here"/>
    <hyperlink ref="M806" r:id="rId514" display="Click here"/>
    <hyperlink ref="M807" r:id="rId515" display="Click here"/>
    <hyperlink ref="M808" r:id="rId516" display="Click here"/>
    <hyperlink ref="M811" r:id="rId517" display="Click here"/>
    <hyperlink ref="M812" r:id="rId518" display="Click here"/>
    <hyperlink ref="M813" r:id="rId519" display="Click here"/>
    <hyperlink ref="M815" r:id="rId520" display="Click here"/>
    <hyperlink ref="M816" r:id="rId521" display="Click here"/>
    <hyperlink ref="M817" r:id="rId522" display="Click here"/>
    <hyperlink ref="M818" r:id="rId523" display="Click here"/>
    <hyperlink ref="M819" r:id="rId524" display="Click here"/>
    <hyperlink ref="M820" r:id="rId525" display="Click here"/>
    <hyperlink ref="M821" r:id="rId526" display="Click here"/>
    <hyperlink ref="M822" r:id="rId527" display="Click here"/>
    <hyperlink ref="M823" r:id="rId528" display="Click here"/>
    <hyperlink ref="M824" r:id="rId529" display="Click here"/>
    <hyperlink ref="M825" r:id="rId530" display="Click here"/>
    <hyperlink ref="M826" r:id="rId531" display="Click here"/>
    <hyperlink ref="M832" r:id="rId532" display="Click here"/>
    <hyperlink ref="M833" r:id="rId533" display="Click here"/>
    <hyperlink ref="M842" r:id="rId534" display="Click here"/>
    <hyperlink ref="M850" r:id="rId535" display="Click here"/>
    <hyperlink ref="M853" r:id="rId536" display="Click here"/>
    <hyperlink ref="M855" r:id="rId537" display="Click here"/>
    <hyperlink ref="M860" r:id="rId538" display="Click here"/>
    <hyperlink ref="M861" r:id="rId539" display="Click here"/>
    <hyperlink ref="M862" r:id="rId540" display="Click here"/>
    <hyperlink ref="M863" r:id="rId541" display="Click here"/>
    <hyperlink ref="M864" r:id="rId542" display="Click here"/>
    <hyperlink ref="M865" r:id="rId543" display="Click here"/>
    <hyperlink ref="M866" r:id="rId544" display="Click here"/>
    <hyperlink ref="M867" r:id="rId545" display="Click here"/>
    <hyperlink ref="M868" r:id="rId546" display="Click here"/>
    <hyperlink ref="M869" r:id="rId547" display="Click here"/>
    <hyperlink ref="M870" r:id="rId548" display="Click here"/>
    <hyperlink ref="M871" r:id="rId549" display="Click here"/>
    <hyperlink ref="M872" r:id="rId550" display="Click here"/>
    <hyperlink ref="M873" r:id="rId551" display="Click here"/>
    <hyperlink ref="M874" r:id="rId552" display="Click here"/>
    <hyperlink ref="M875" r:id="rId553" display="Click here"/>
    <hyperlink ref="M876" r:id="rId554" display="Click here"/>
    <hyperlink ref="M877" r:id="rId555" display="Click here"/>
    <hyperlink ref="M878" r:id="rId556" display="Click here"/>
    <hyperlink ref="M879" r:id="rId557" display="Click here"/>
    <hyperlink ref="M880" r:id="rId558" display="Click here"/>
    <hyperlink ref="M881" r:id="rId559" display="Click here"/>
    <hyperlink ref="M882" r:id="rId560" display="Click here"/>
    <hyperlink ref="M883" r:id="rId561" display="Click here"/>
    <hyperlink ref="M884" r:id="rId562" display="Click here"/>
    <hyperlink ref="M892" r:id="rId563" display="Click here"/>
    <hyperlink ref="M894" r:id="rId564" display="Click here"/>
    <hyperlink ref="M895" r:id="rId565" display="Click here"/>
    <hyperlink ref="M896" r:id="rId566" display="Click here"/>
    <hyperlink ref="M899" r:id="rId567" display="Click here"/>
    <hyperlink ref="M903" r:id="rId568" display="Click here"/>
    <hyperlink ref="M904" r:id="rId569" display="Click here"/>
    <hyperlink ref="M905" r:id="rId570" display="Click here"/>
    <hyperlink ref="M906" r:id="rId571" display="Click here"/>
    <hyperlink ref="M908" r:id="rId572" display="Click here"/>
    <hyperlink ref="M909" r:id="rId573" display="Click here"/>
    <hyperlink ref="M929" r:id="rId574" display="Click here"/>
    <hyperlink ref="M930" r:id="rId575" display="Click here"/>
    <hyperlink ref="M931" r:id="rId576" display="Click here"/>
    <hyperlink ref="M932" r:id="rId577" display="Click here"/>
    <hyperlink ref="M933" r:id="rId578" display="Click here"/>
    <hyperlink ref="M934" r:id="rId579" display="Click here"/>
    <hyperlink ref="M935" r:id="rId580" display="Click here"/>
    <hyperlink ref="M936" r:id="rId581" display="Click here"/>
    <hyperlink ref="M937" r:id="rId582" display="Click here"/>
    <hyperlink ref="M938" r:id="rId583" display="Click here"/>
    <hyperlink ref="M939" r:id="rId584" display="Click here"/>
    <hyperlink ref="M940" r:id="rId585" display="Click here"/>
    <hyperlink ref="M941" r:id="rId586" display="Click here"/>
    <hyperlink ref="M942" r:id="rId587" display="Click here"/>
    <hyperlink ref="M943" r:id="rId588" display="Click here"/>
    <hyperlink ref="M944" r:id="rId589" display="Click here"/>
    <hyperlink ref="M945" r:id="rId590" display="Click here"/>
    <hyperlink ref="M946" r:id="rId591" display="Click here"/>
    <hyperlink ref="M947" r:id="rId592" display="Click here"/>
    <hyperlink ref="M948" r:id="rId593" display="Click here"/>
    <hyperlink ref="M949" r:id="rId594" display="Click here"/>
    <hyperlink ref="M950" r:id="rId595" display="Click here"/>
    <hyperlink ref="M951" r:id="rId596" display="Click here"/>
    <hyperlink ref="M965" r:id="rId597" display="Click here"/>
    <hyperlink ref="M966" r:id="rId598" display="Click here"/>
    <hyperlink ref="M967" r:id="rId599" display="Click here"/>
    <hyperlink ref="M968" r:id="rId600" display="Click here"/>
    <hyperlink ref="M970" r:id="rId601" display="Click here"/>
    <hyperlink ref="M971" r:id="rId602" display="Click here"/>
    <hyperlink ref="M973" r:id="rId603" display="Click here"/>
    <hyperlink ref="M974" r:id="rId604" display="Click here"/>
    <hyperlink ref="M975" r:id="rId605" display="Click here"/>
    <hyperlink ref="M976" r:id="rId606" display="Click here"/>
    <hyperlink ref="M977" r:id="rId607" display="Click here"/>
    <hyperlink ref="M979" r:id="rId608" display="Click here"/>
    <hyperlink ref="M980" r:id="rId609" display="Click here"/>
    <hyperlink ref="M981" r:id="rId610" display="Click here"/>
    <hyperlink ref="M982" r:id="rId611" display="Click here"/>
    <hyperlink ref="M983" r:id="rId612" display="Click here"/>
    <hyperlink ref="M984" r:id="rId613" display="Click here"/>
    <hyperlink ref="M985" r:id="rId614" display="Click here"/>
    <hyperlink ref="M986" r:id="rId615" display="Click here"/>
    <hyperlink ref="M987" r:id="rId616" display="Click here"/>
    <hyperlink ref="M989" r:id="rId617" display="Click here"/>
    <hyperlink ref="M990" r:id="rId618" display="Click here"/>
    <hyperlink ref="M992" r:id="rId619" display="Click here"/>
    <hyperlink ref="M993" r:id="rId620" display="Click here"/>
    <hyperlink ref="M996" r:id="rId621" display="Click here"/>
    <hyperlink ref="M998" r:id="rId622" display="Click here"/>
    <hyperlink ref="M1006" r:id="rId623" display="Click here"/>
    <hyperlink ref="M1008" r:id="rId624" display="Click here"/>
    <hyperlink ref="M1011" r:id="rId625" display="Click here"/>
    <hyperlink ref="M1012" r:id="rId626" display="Click here"/>
    <hyperlink ref="M1013" r:id="rId627" display="Click here"/>
    <hyperlink ref="M1014" r:id="rId628" display="Click here"/>
    <hyperlink ref="M1015" r:id="rId629" display="Click here"/>
    <hyperlink ref="M1016" r:id="rId630" display="Click here"/>
    <hyperlink ref="M1017" r:id="rId631" display="Click here"/>
    <hyperlink ref="M1018" r:id="rId632" display="Click here"/>
    <hyperlink ref="M1019" r:id="rId633" display="Click here"/>
    <hyperlink ref="M1020" r:id="rId634" display="Click here"/>
    <hyperlink ref="M1021" r:id="rId635" display="Click here"/>
    <hyperlink ref="M1023" r:id="rId636" display="Click here"/>
    <hyperlink ref="M1025" r:id="rId637" display="Click here"/>
    <hyperlink ref="M1027" r:id="rId638" display="Click here"/>
    <hyperlink ref="M1028" r:id="rId639" display="Click here"/>
    <hyperlink ref="M1029" r:id="rId640" display="Click here"/>
    <hyperlink ref="M1030" r:id="rId641" display="Click here"/>
    <hyperlink ref="M1031" r:id="rId642" display="Click here"/>
    <hyperlink ref="M1032" r:id="rId643" display="Click here"/>
    <hyperlink ref="M1033" r:id="rId644" display="Click here"/>
    <hyperlink ref="M1034" r:id="rId645" display="Click here"/>
    <hyperlink ref="M1035" r:id="rId646" display="Click here"/>
    <hyperlink ref="M1036" r:id="rId647" display="Click here"/>
    <hyperlink ref="M1037" r:id="rId648" display="Click here"/>
    <hyperlink ref="M1038" r:id="rId649" display="Click here"/>
    <hyperlink ref="M1039" r:id="rId650" display="Click here"/>
    <hyperlink ref="M1040" r:id="rId651" display="Click here"/>
    <hyperlink ref="M1041" r:id="rId652" display="Click here"/>
    <hyperlink ref="M1042" r:id="rId653" display="Click here"/>
    <hyperlink ref="M1043" r:id="rId654" display="Click here"/>
    <hyperlink ref="M1044" r:id="rId655" display="Click here"/>
    <hyperlink ref="M1045" r:id="rId656" display="Click here"/>
    <hyperlink ref="M1046" r:id="rId657" display="Click here"/>
    <hyperlink ref="M1047" r:id="rId658" display="Click here"/>
    <hyperlink ref="M1048" r:id="rId659" display="Click here"/>
    <hyperlink ref="M1049" r:id="rId660" display="Click here"/>
    <hyperlink ref="M1050" r:id="rId661" display="Click here"/>
    <hyperlink ref="M1051" r:id="rId662" display="Click here"/>
    <hyperlink ref="M1052" r:id="rId663" display="Click here"/>
    <hyperlink ref="M1053" r:id="rId664" display="Click here"/>
    <hyperlink ref="M1054" r:id="rId665" display="Click here"/>
    <hyperlink ref="M1055" r:id="rId666" display="Click here"/>
    <hyperlink ref="M1056" r:id="rId667" display="Click here"/>
    <hyperlink ref="M1057" r:id="rId668" display="Click here"/>
    <hyperlink ref="M1058" r:id="rId669" display="Click here"/>
    <hyperlink ref="M1059" r:id="rId670" display="Click here"/>
    <hyperlink ref="M1060" r:id="rId671" display="Click here"/>
    <hyperlink ref="M1061" r:id="rId672" display="Click here"/>
    <hyperlink ref="M1062" r:id="rId673" display="Click here"/>
    <hyperlink ref="M1063" r:id="rId674" display="Click here"/>
    <hyperlink ref="M1064" r:id="rId675" display="Click here"/>
    <hyperlink ref="M1065" r:id="rId676" display="Click here"/>
    <hyperlink ref="M1066" r:id="rId677" display="Click here"/>
    <hyperlink ref="M1067" r:id="rId678" display="Click here"/>
    <hyperlink ref="M1068" r:id="rId679" display="Click here"/>
    <hyperlink ref="M1069" r:id="rId680" display="Click here"/>
    <hyperlink ref="M1070" r:id="rId681" display="Click here"/>
    <hyperlink ref="M1071" r:id="rId682" display="Click here"/>
    <hyperlink ref="M1072" r:id="rId683" display="Click here"/>
    <hyperlink ref="M1073" r:id="rId684" display="Click here"/>
    <hyperlink ref="M1074" r:id="rId685" display="Click here"/>
    <hyperlink ref="M1075" r:id="rId686" display="Click here"/>
    <hyperlink ref="M1105" r:id="rId687" display="Click here"/>
    <hyperlink ref="M1106" r:id="rId688" display="Click here"/>
    <hyperlink ref="M1107" r:id="rId689" display="Click here"/>
    <hyperlink ref="M1108" r:id="rId690" display="Click here"/>
    <hyperlink ref="M1109" r:id="rId691" display="Click here"/>
    <hyperlink ref="M1110" r:id="rId692" display="Click here"/>
    <hyperlink ref="M1111" r:id="rId693" display="Click here"/>
    <hyperlink ref="M1112" r:id="rId694" display="Click here"/>
    <hyperlink ref="M1113" r:id="rId695" display="Click here"/>
    <hyperlink ref="M1114" r:id="rId696" display="Click here"/>
    <hyperlink ref="M1115" r:id="rId697" display="Click here"/>
    <hyperlink ref="M1116" r:id="rId698" display="Click here"/>
    <hyperlink ref="M1117" r:id="rId699" display="Click here"/>
    <hyperlink ref="M1118" r:id="rId700" display="Click here"/>
    <hyperlink ref="M1119" r:id="rId701" display="Click here"/>
    <hyperlink ref="M1120" r:id="rId702" display="Click here"/>
    <hyperlink ref="M1121" r:id="rId703" display="Click here"/>
    <hyperlink ref="M1122" r:id="rId704" display="Click here"/>
    <hyperlink ref="M1123" r:id="rId705" display="Click here"/>
    <hyperlink ref="M1124" r:id="rId706" display="Click here"/>
    <hyperlink ref="M1125" r:id="rId707" display="Click here"/>
    <hyperlink ref="M1126" r:id="rId708" display="Click here"/>
    <hyperlink ref="M1127" r:id="rId709" display="Click here"/>
    <hyperlink ref="M1129" r:id="rId710" display="Click here"/>
    <hyperlink ref="M1130" r:id="rId711" display="Click here"/>
    <hyperlink ref="M1131" r:id="rId712" display="Click here"/>
    <hyperlink ref="M1132" r:id="rId713" display="Click here"/>
    <hyperlink ref="M1133" r:id="rId714" display="Click here"/>
    <hyperlink ref="M1183" r:id="rId715" display="Click here"/>
    <hyperlink ref="M1184" r:id="rId716" display="Click here"/>
    <hyperlink ref="M1186" r:id="rId717" display="Click here"/>
    <hyperlink ref="M1187" r:id="rId718" display="Click here"/>
    <hyperlink ref="M1188" r:id="rId719" display="Click here"/>
    <hyperlink ref="M1189" r:id="rId720" display="Click here"/>
    <hyperlink ref="M1190" r:id="rId721" display="Click here"/>
    <hyperlink ref="M1191" r:id="rId722" display="Click here"/>
    <hyperlink ref="M1192" r:id="rId723" display="Click here"/>
    <hyperlink ref="M1196" r:id="rId724" display="Click here"/>
    <hyperlink ref="M1201" r:id="rId725" display="Click here"/>
    <hyperlink ref="M1202" r:id="rId726" display="Click here"/>
    <hyperlink ref="M1203" r:id="rId727" display="Click here"/>
    <hyperlink ref="M1204" r:id="rId728" display="Click here"/>
    <hyperlink ref="M1213" r:id="rId729" display="Click here"/>
    <hyperlink ref="M1214" r:id="rId730" display="Click here"/>
    <hyperlink ref="M1215" r:id="rId731" display="Click here"/>
    <hyperlink ref="M1216" r:id="rId732" display="Click here"/>
    <hyperlink ref="M1230" r:id="rId733" display="Click here"/>
    <hyperlink ref="M1231" r:id="rId734" display="Click here"/>
    <hyperlink ref="M1243" r:id="rId735" display="Click here"/>
    <hyperlink ref="M1244" r:id="rId736" display="Click here"/>
    <hyperlink ref="M1245" r:id="rId737" display="Click here"/>
    <hyperlink ref="M1246" r:id="rId738" display="Click here"/>
    <hyperlink ref="M1247" r:id="rId739" display="Click here"/>
    <hyperlink ref="M1264" r:id="rId740" display="Click here"/>
    <hyperlink ref="M1265" r:id="rId741" display="Click here"/>
    <hyperlink ref="M1266" r:id="rId742" display="Click here"/>
    <hyperlink ref="M1268" r:id="rId743" display="Click here"/>
    <hyperlink ref="M1269" r:id="rId744" display="Click here"/>
    <hyperlink ref="M1272" r:id="rId745" display="Click here"/>
    <hyperlink ref="M1276" r:id="rId746" display="Click here"/>
    <hyperlink ref="M1282" r:id="rId747" display="Click here"/>
    <hyperlink ref="M1283" r:id="rId748" display="Click here"/>
    <hyperlink ref="M1284" r:id="rId749" display="Click here"/>
    <hyperlink ref="M1285" r:id="rId750" display="Click here"/>
    <hyperlink ref="M1286" r:id="rId751" display="Click here"/>
    <hyperlink ref="M1288" r:id="rId752" display="Click here"/>
    <hyperlink ref="M1289" r:id="rId753" display="Click here"/>
    <hyperlink ref="M1290" r:id="rId754" display="Click here"/>
    <hyperlink ref="M1291" r:id="rId755" display="Click here"/>
    <hyperlink ref="M1292" r:id="rId756" display="Click here"/>
    <hyperlink ref="M1293" r:id="rId757" display="Click here"/>
    <hyperlink ref="M1294" r:id="rId758" display="Click here"/>
    <hyperlink ref="M1299" r:id="rId759" display="Click here"/>
    <hyperlink ref="M1300" r:id="rId760" display="Click here"/>
    <hyperlink ref="M1301" r:id="rId761" display="Click here"/>
    <hyperlink ref="M1302" r:id="rId762" display="Click here"/>
    <hyperlink ref="M1339" r:id="rId763" display="Click here"/>
    <hyperlink ref="M1341" r:id="rId764" display="Click here"/>
    <hyperlink ref="M1342" r:id="rId765" display="Click here"/>
    <hyperlink ref="M1343" r:id="rId766" display="Click here"/>
    <hyperlink ref="M1345" r:id="rId767" display="Click here"/>
    <hyperlink ref="M1346" r:id="rId768" display="Click here"/>
    <hyperlink ref="M1348" r:id="rId769" display="Click here"/>
    <hyperlink ref="M1350" r:id="rId770" display="Click here"/>
    <hyperlink ref="M1351" r:id="rId771" display="Click here"/>
    <hyperlink ref="M1352" r:id="rId772" display="Click here"/>
    <hyperlink ref="M1354" r:id="rId773" display="Click here"/>
    <hyperlink ref="M1359" r:id="rId774" display="Click here"/>
    <hyperlink ref="M1360" r:id="rId775" display="Click here"/>
    <hyperlink ref="M1361" r:id="rId776" display="Click here"/>
    <hyperlink ref="M1362" r:id="rId777" display="Click here"/>
    <hyperlink ref="M1363" r:id="rId778" display="Click here"/>
    <hyperlink ref="M1365" r:id="rId779" display="Click here"/>
    <hyperlink ref="M1366" r:id="rId780" display="Click here"/>
    <hyperlink ref="M1367" r:id="rId781" display="Click here"/>
    <hyperlink ref="M1368" r:id="rId782" display="Click here"/>
    <hyperlink ref="M1369" r:id="rId783" display="Click here"/>
    <hyperlink ref="M1370" r:id="rId784" display="Click here"/>
    <hyperlink ref="M1373" r:id="rId785" display="Click here"/>
    <hyperlink ref="M1374" r:id="rId786" display="Click here"/>
    <hyperlink ref="M1375" r:id="rId787" display="Click here"/>
    <hyperlink ref="M1376" r:id="rId788" display="Click here"/>
    <hyperlink ref="M1377" r:id="rId789" display="Click here"/>
    <hyperlink ref="M1378" r:id="rId790" display="Click here"/>
    <hyperlink ref="M1388" r:id="rId791" display="Click here"/>
    <hyperlink ref="M1413" r:id="rId792" display="Click here"/>
    <hyperlink ref="M1416" r:id="rId793" display="Click here"/>
    <hyperlink ref="M1417" r:id="rId794" display="Click here"/>
    <hyperlink ref="M1418" r:id="rId795" display="Click here"/>
    <hyperlink ref="M1419" r:id="rId796" display="Click here"/>
    <hyperlink ref="M1422" r:id="rId797" display="Click here"/>
    <hyperlink ref="M1423" r:id="rId798" display="Click here"/>
    <hyperlink ref="M1424" r:id="rId799" display="Click here"/>
    <hyperlink ref="M1425" r:id="rId800" display="Click here"/>
    <hyperlink ref="M1426" r:id="rId801" display="Click here"/>
    <hyperlink ref="M1427" r:id="rId802" display="Click here"/>
    <hyperlink ref="M1448" r:id="rId803" display="Click here"/>
    <hyperlink ref="M1450" r:id="rId804" display="Click here"/>
    <hyperlink ref="M1452" r:id="rId805" display="Click here"/>
    <hyperlink ref="M1453" r:id="rId806" display="Click here"/>
    <hyperlink ref="M1455" r:id="rId807" display="Click here"/>
    <hyperlink ref="M1456" r:id="rId808" display="Click here"/>
    <hyperlink ref="M1457" r:id="rId809" display="Click here"/>
    <hyperlink ref="M1466" r:id="rId810" display="Click here"/>
    <hyperlink ref="M1467" r:id="rId811" display="Click here"/>
    <hyperlink ref="M1469" r:id="rId812" display="Click here"/>
    <hyperlink ref="M1470" r:id="rId813" display="Click here"/>
    <hyperlink ref="M1471" r:id="rId814" display="Click here"/>
    <hyperlink ref="M1472" r:id="rId815" display="Click here"/>
    <hyperlink ref="M1474" r:id="rId816" display="Click here"/>
    <hyperlink ref="M1475" r:id="rId817" display="Click here"/>
    <hyperlink ref="M1500" r:id="rId818" display="Click here"/>
    <hyperlink ref="M1501" r:id="rId819" display="Click here"/>
    <hyperlink ref="M1502" r:id="rId820" display="Click here"/>
    <hyperlink ref="M1503" r:id="rId821" display="Click here"/>
    <hyperlink ref="M1504" r:id="rId822" display="Click here"/>
    <hyperlink ref="M1507" r:id="rId823" display="Click here"/>
    <hyperlink ref="M1508" r:id="rId824" display="Click here"/>
    <hyperlink ref="M1509" r:id="rId825" display="Click here"/>
    <hyperlink ref="M1510" r:id="rId826" display="Click here"/>
    <hyperlink ref="M1531" r:id="rId827" display="Click here"/>
    <hyperlink ref="M1533" r:id="rId828" display="Click here"/>
    <hyperlink ref="M1534" r:id="rId829" display="Click here"/>
    <hyperlink ref="M1535" r:id="rId830" display="Click here"/>
    <hyperlink ref="M1536" r:id="rId831" display="Click here"/>
    <hyperlink ref="M1538" r:id="rId832" display="Click here"/>
    <hyperlink ref="M1539" r:id="rId833" display="Click here"/>
    <hyperlink ref="M1540" r:id="rId834" display="Click here"/>
    <hyperlink ref="M1541" r:id="rId835" display="Click here"/>
    <hyperlink ref="M1542" r:id="rId836" display="Click here"/>
    <hyperlink ref="M1564" r:id="rId837" display="Click here"/>
    <hyperlink ref="M1565" r:id="rId838" display="Click here"/>
    <hyperlink ref="M1566" r:id="rId839" display="Click here"/>
    <hyperlink ref="M1567" r:id="rId840" display="Click here"/>
    <hyperlink ref="M1568" r:id="rId841" display="Click here"/>
    <hyperlink ref="M1569" r:id="rId842" display="Click here"/>
    <hyperlink ref="M1570" r:id="rId843" display="Click here"/>
    <hyperlink ref="M1573" r:id="rId844" display="Click here"/>
    <hyperlink ref="M1574" r:id="rId845" display="Click here"/>
    <hyperlink ref="M1575" r:id="rId846" display="Click here"/>
    <hyperlink ref="M1577" r:id="rId847" display="Click here"/>
    <hyperlink ref="M1579" r:id="rId848" display="Click here"/>
    <hyperlink ref="M1580" r:id="rId849" display="Click here"/>
    <hyperlink ref="M1581" r:id="rId850" display="Click here"/>
    <hyperlink ref="M1582" r:id="rId851" display="Click here"/>
    <hyperlink ref="M1583" r:id="rId852" display="Click here"/>
    <hyperlink ref="M1584" r:id="rId853" display="Click here"/>
    <hyperlink ref="M1585" r:id="rId854" display="Click here"/>
    <hyperlink ref="M1586" r:id="rId855" display="Click here"/>
    <hyperlink ref="M1587" r:id="rId856" display="Click here"/>
    <hyperlink ref="M1588" r:id="rId857" display="Click here"/>
    <hyperlink ref="M1589" r:id="rId858" display="Click here"/>
    <hyperlink ref="M1590" r:id="rId859" display="Click here"/>
    <hyperlink ref="M1592" r:id="rId860" display="Click here"/>
    <hyperlink ref="M1593" r:id="rId861" display="Click here"/>
    <hyperlink ref="M1594" r:id="rId862" display="Click here"/>
    <hyperlink ref="M1597" r:id="rId863" display="Click here"/>
    <hyperlink ref="M1599" r:id="rId864" display="Click here"/>
    <hyperlink ref="M1610" r:id="rId865" display="Click here"/>
    <hyperlink ref="M1611" r:id="rId866" display="Click here"/>
    <hyperlink ref="M1612" r:id="rId867" display="Click here"/>
    <hyperlink ref="M1613" r:id="rId868" display="Click here"/>
    <hyperlink ref="M1614" r:id="rId869" display="Click here"/>
    <hyperlink ref="M1615" r:id="rId870" display="Click here"/>
    <hyperlink ref="M1616" r:id="rId871" display="Click here"/>
    <hyperlink ref="M1617" r:id="rId872" display="Click here"/>
    <hyperlink ref="M1618" r:id="rId873" display="Click here"/>
    <hyperlink ref="M1619" r:id="rId874" display="Click here"/>
    <hyperlink ref="M1620" r:id="rId875" display="Click here"/>
    <hyperlink ref="M1621" r:id="rId876" display="Click here"/>
    <hyperlink ref="M1622" r:id="rId877" display="Click here"/>
    <hyperlink ref="M1624" r:id="rId878" display="Click here"/>
    <hyperlink ref="M1625" r:id="rId879" display="Click here"/>
    <hyperlink ref="M1627" r:id="rId880" display="Click here"/>
    <hyperlink ref="M1630" r:id="rId881" display="Click here"/>
    <hyperlink ref="M1632" r:id="rId882" display="Click here"/>
    <hyperlink ref="M1643" r:id="rId883" display="Click here"/>
    <hyperlink ref="M1645" r:id="rId884" display="Click here"/>
    <hyperlink ref="M1646" r:id="rId885" display="Click here"/>
    <hyperlink ref="M1647" r:id="rId886" display="Click here"/>
    <hyperlink ref="M1648" r:id="rId887" display="Click here"/>
    <hyperlink ref="M1649" r:id="rId888" display="Click here"/>
    <hyperlink ref="M1650" r:id="rId889" display="Click here"/>
    <hyperlink ref="M1652" r:id="rId890" display="Click here"/>
    <hyperlink ref="M1653" r:id="rId891" display="Click here"/>
    <hyperlink ref="M1654" r:id="rId892" display="Click here"/>
    <hyperlink ref="M1655" r:id="rId893" display="Click here"/>
    <hyperlink ref="M1657" r:id="rId894" display="Click here"/>
    <hyperlink ref="M1658" r:id="rId895" display="Click here"/>
    <hyperlink ref="M1659" r:id="rId896" display="Click here"/>
    <hyperlink ref="M1660" r:id="rId897" display="Click here"/>
    <hyperlink ref="M1661" r:id="rId898" display="Click here"/>
    <hyperlink ref="M1664" r:id="rId899" display="Click here"/>
    <hyperlink ref="M1665" r:id="rId900" display="Click here"/>
    <hyperlink ref="M1666" r:id="rId901" display="Click here"/>
    <hyperlink ref="M1667" r:id="rId902" display="Click here"/>
    <hyperlink ref="M1668" r:id="rId903" display="Click here"/>
    <hyperlink ref="M1669" r:id="rId904" display="Click here"/>
    <hyperlink ref="M1670" r:id="rId905" display="Click here"/>
    <hyperlink ref="M1671" r:id="rId906" display="Click here"/>
    <hyperlink ref="M1672" r:id="rId907" display="Click here"/>
    <hyperlink ref="M1673" r:id="rId908" display="Click here"/>
    <hyperlink ref="M1674" r:id="rId909" display="Click here"/>
    <hyperlink ref="M1675" r:id="rId910" display="Click here"/>
    <hyperlink ref="M1676" r:id="rId911" display="Click here"/>
    <hyperlink ref="M1677" r:id="rId912" display="Click here"/>
    <hyperlink ref="M1678" r:id="rId913" display="Click here"/>
    <hyperlink ref="M1679" r:id="rId914" display="Click here"/>
    <hyperlink ref="M1680" r:id="rId915" display="Click here"/>
    <hyperlink ref="M1696" r:id="rId916" display="Click here"/>
    <hyperlink ref="M1704" r:id="rId917" display="Click here"/>
    <hyperlink ref="M1707" r:id="rId918" display="Click here"/>
    <hyperlink ref="M1708" r:id="rId919" display="Click here"/>
    <hyperlink ref="M1714" r:id="rId920" display="Click here"/>
    <hyperlink ref="M1715" r:id="rId921" display="Click here"/>
    <hyperlink ref="M1716" r:id="rId922" display="Click here"/>
    <hyperlink ref="M1717" r:id="rId923" display="Click here"/>
    <hyperlink ref="M1718" r:id="rId924" display="Click here"/>
    <hyperlink ref="M1720" r:id="rId925" display="Click here"/>
    <hyperlink ref="M1721" r:id="rId926" display="Click here"/>
    <hyperlink ref="M1722" r:id="rId927" display="Click here"/>
    <hyperlink ref="M1723" r:id="rId928" display="Click here"/>
    <hyperlink ref="M1724" r:id="rId929" display="Click here"/>
    <hyperlink ref="M1725" r:id="rId930" display="Click here"/>
    <hyperlink ref="M1726" r:id="rId931" display="Click here"/>
    <hyperlink ref="M1727" r:id="rId932" display="Click here"/>
    <hyperlink ref="M1728" r:id="rId933" display="Click here"/>
    <hyperlink ref="M1730" r:id="rId934" display="Click here"/>
    <hyperlink ref="M1731" r:id="rId935" display="Click here"/>
    <hyperlink ref="M1732" r:id="rId936" display="Click here"/>
    <hyperlink ref="M1735" r:id="rId937" display="Click here"/>
    <hyperlink ref="M1736" r:id="rId938" display="Click here"/>
    <hyperlink ref="M1737" r:id="rId939" display="Click here"/>
    <hyperlink ref="M1738" r:id="rId940" display="Click here"/>
    <hyperlink ref="M1739" r:id="rId941" display="Click here"/>
    <hyperlink ref="M1740" r:id="rId942" display="Click here"/>
    <hyperlink ref="M1741" r:id="rId943" display="Click here"/>
    <hyperlink ref="M1742" r:id="rId944" display="Click here"/>
    <hyperlink ref="M1743" r:id="rId945" display="Click here"/>
    <hyperlink ref="M1750" r:id="rId946" display="Click here"/>
    <hyperlink ref="M1751" r:id="rId947" display="Click here"/>
    <hyperlink ref="M1752" r:id="rId948" display="Click here"/>
    <hyperlink ref="M1753" r:id="rId949" display="Click here"/>
    <hyperlink ref="M1754" r:id="rId950" display="Click here"/>
    <hyperlink ref="M1755" r:id="rId951" display="Click here"/>
    <hyperlink ref="M1756" r:id="rId952" display="Click here"/>
    <hyperlink ref="M1757" r:id="rId953" display="Click here"/>
    <hyperlink ref="M1758" r:id="rId954" display="Click here"/>
    <hyperlink ref="M1759" r:id="rId955" display="Click here"/>
    <hyperlink ref="M1760" r:id="rId956" display="Click here"/>
    <hyperlink ref="M1761" r:id="rId957" display="Click here"/>
    <hyperlink ref="M1762" r:id="rId958" display="Click here"/>
    <hyperlink ref="M1763" r:id="rId959" display="Click here"/>
    <hyperlink ref="M1764" r:id="rId960" display="Click here"/>
    <hyperlink ref="M1765" r:id="rId961" display="Click here"/>
    <hyperlink ref="M1766" r:id="rId962" display="Click here"/>
    <hyperlink ref="M1770" r:id="rId963" display="Click here"/>
    <hyperlink ref="M1771" r:id="rId964" display="Click here"/>
    <hyperlink ref="M1772" r:id="rId965" display="Click here"/>
    <hyperlink ref="M1773" r:id="rId966" display="Click here"/>
    <hyperlink ref="M1777" r:id="rId967" display="Click here"/>
    <hyperlink ref="M1778" r:id="rId968" display="Click here"/>
    <hyperlink ref="M1779" r:id="rId969" display="Click here"/>
    <hyperlink ref="M1790" r:id="rId970" display="Click here"/>
    <hyperlink ref="M1791" r:id="rId971" display="Click here"/>
    <hyperlink ref="M1792" r:id="rId972" display="Click here"/>
    <hyperlink ref="M1793" r:id="rId973" display="Click here"/>
    <hyperlink ref="M1794" r:id="rId974" display="Click here"/>
    <hyperlink ref="M1795" r:id="rId975" display="Click here"/>
    <hyperlink ref="M1796" r:id="rId976" display="Click here"/>
    <hyperlink ref="M1797" r:id="rId977" display="Click here"/>
    <hyperlink ref="M1798" r:id="rId978" display="Click here"/>
    <hyperlink ref="M1799" r:id="rId979" display="Click here"/>
    <hyperlink ref="M1800" r:id="rId980" display="Click here"/>
    <hyperlink ref="M1801" r:id="rId981" display="Click here"/>
    <hyperlink ref="M1802" r:id="rId982" display="Click here"/>
    <hyperlink ref="M1803" r:id="rId983" display="Click here"/>
    <hyperlink ref="M1804" r:id="rId984" display="Click here"/>
    <hyperlink ref="M1805" r:id="rId985" display="Click here"/>
    <hyperlink ref="M1806" r:id="rId986" display="Click here"/>
    <hyperlink ref="M1807" r:id="rId987" display="Click here"/>
    <hyperlink ref="M1808" r:id="rId988" display="Click here"/>
    <hyperlink ref="M1809" r:id="rId989" display="Click here"/>
    <hyperlink ref="M1810" r:id="rId990" display="Click here"/>
    <hyperlink ref="M1811" r:id="rId991" display="Click here"/>
    <hyperlink ref="M1812" r:id="rId992" display="Click here"/>
    <hyperlink ref="M1813" r:id="rId993" display="Click here"/>
    <hyperlink ref="M1814" r:id="rId994" display="Click here"/>
    <hyperlink ref="M1815" r:id="rId995" display="Click here"/>
    <hyperlink ref="M1816" r:id="rId996" display="Click here"/>
    <hyperlink ref="M1817" r:id="rId997" display="Click here"/>
    <hyperlink ref="M1818" r:id="rId998" display="Click here"/>
    <hyperlink ref="M1819" r:id="rId999" display="Click here"/>
    <hyperlink ref="M1820" r:id="rId1000" display="Click here"/>
    <hyperlink ref="M1821" r:id="rId1001" display="Click here"/>
    <hyperlink ref="M1822" r:id="rId1002" display="Click here"/>
    <hyperlink ref="M1823" r:id="rId1003" display="Click here"/>
    <hyperlink ref="M1824" r:id="rId1004" display="Click here"/>
    <hyperlink ref="M1825" r:id="rId1005" display="Click here"/>
    <hyperlink ref="M1826" r:id="rId1006" display="Click here"/>
    <hyperlink ref="M1827" r:id="rId1007" display="Click here"/>
    <hyperlink ref="M1828" r:id="rId1008" display="Click here"/>
    <hyperlink ref="M1829" r:id="rId1009" display="Click here"/>
    <hyperlink ref="M1832" r:id="rId1010" display="Click here"/>
    <hyperlink ref="M1834" r:id="rId1011" display="Click here"/>
    <hyperlink ref="M1838" r:id="rId1012" display="Click here"/>
    <hyperlink ref="M1839" r:id="rId1013" display="Click here"/>
    <hyperlink ref="M1840" r:id="rId1014" display="Click here"/>
    <hyperlink ref="M1841" r:id="rId1015" display="Click here"/>
    <hyperlink ref="M1842" r:id="rId1016" display="Click here"/>
    <hyperlink ref="M1843" r:id="rId1017" display="Click here"/>
    <hyperlink ref="M1844" r:id="rId1018" display="Click here"/>
    <hyperlink ref="M1845" r:id="rId1019" display="Click here"/>
    <hyperlink ref="M1846" r:id="rId1020" display="Click here"/>
    <hyperlink ref="M1847" r:id="rId1021" display="Click here"/>
    <hyperlink ref="M1848" r:id="rId1022" display="Click here"/>
    <hyperlink ref="M1849" r:id="rId1023" display="Click here"/>
    <hyperlink ref="M1850" r:id="rId1024" display="Click here"/>
    <hyperlink ref="M1851" r:id="rId1025" display="Click here"/>
    <hyperlink ref="M1852" r:id="rId1026" display="Click here"/>
    <hyperlink ref="M1853" r:id="rId1027" display="Click here"/>
    <hyperlink ref="M1854" r:id="rId1028" display="Click here"/>
    <hyperlink ref="M1855" r:id="rId1029" display="Click here"/>
    <hyperlink ref="M1856" r:id="rId1030" display="Click here"/>
    <hyperlink ref="M1857" r:id="rId1031" display="Click here"/>
    <hyperlink ref="M1858" r:id="rId1032" display="Click here"/>
    <hyperlink ref="M1859" r:id="rId1033" display="Click here"/>
    <hyperlink ref="M1860" r:id="rId1034" display="Click here"/>
    <hyperlink ref="M1861" r:id="rId1035" display="Click here"/>
    <hyperlink ref="M1862" r:id="rId1036" display="Click here"/>
    <hyperlink ref="M1863" r:id="rId1037" display="Click here"/>
    <hyperlink ref="M1864" r:id="rId1038" display="Click here"/>
    <hyperlink ref="M1865" r:id="rId1039" display="Click here"/>
    <hyperlink ref="M1866" r:id="rId1040" display="Click here"/>
    <hyperlink ref="M1868" r:id="rId1041" display="Click here"/>
    <hyperlink ref="M1869" r:id="rId1042" display="Click here"/>
    <hyperlink ref="M1870" r:id="rId1043" display="Click here"/>
    <hyperlink ref="M1871" r:id="rId1044" display="Click here"/>
    <hyperlink ref="M1872" r:id="rId1045" display="Click here"/>
    <hyperlink ref="M1873" r:id="rId1046" display="Click here"/>
    <hyperlink ref="M1874" r:id="rId1047" display="Click here"/>
    <hyperlink ref="M1875" r:id="rId1048" display="Click here"/>
    <hyperlink ref="M1876" r:id="rId1049" display="Click here"/>
    <hyperlink ref="M1877" r:id="rId1050" display="Click here"/>
    <hyperlink ref="M1878" r:id="rId1051" display="Click here"/>
    <hyperlink ref="M1879" r:id="rId1052" display="Click here"/>
    <hyperlink ref="M1880" r:id="rId1053" display="Click here"/>
    <hyperlink ref="M1881" r:id="rId1054" display="Click here"/>
    <hyperlink ref="M1882" r:id="rId1055" display="Click here"/>
    <hyperlink ref="M1883" r:id="rId1056" display="Click here"/>
    <hyperlink ref="M1884" r:id="rId1057" display="Click here"/>
    <hyperlink ref="M1885" r:id="rId1058" display="Click here"/>
    <hyperlink ref="M1886" r:id="rId1059" display="Click here"/>
    <hyperlink ref="M1887" r:id="rId1060" display="Click here"/>
    <hyperlink ref="M1888" r:id="rId1061" display="Click here"/>
    <hyperlink ref="M1889" r:id="rId1062" display="Click here"/>
    <hyperlink ref="M1890" r:id="rId1063" display="Click here"/>
    <hyperlink ref="M1891" r:id="rId1064" display="Click here"/>
    <hyperlink ref="M1892" r:id="rId1065" display="Click here"/>
    <hyperlink ref="M1893" r:id="rId1066" display="Click here"/>
    <hyperlink ref="M1894" r:id="rId1067" display="Click here"/>
    <hyperlink ref="M1895" r:id="rId1068" display="Click here"/>
    <hyperlink ref="M1896" r:id="rId1069" display="Click here"/>
    <hyperlink ref="M1897" r:id="rId1070" display="Click here"/>
    <hyperlink ref="M1898" r:id="rId1071" display="Click here"/>
    <hyperlink ref="M1899" r:id="rId1072" display="Click here"/>
    <hyperlink ref="M1900" r:id="rId1073" display="Click here"/>
    <hyperlink ref="M1901" r:id="rId1074" display="Click here"/>
    <hyperlink ref="M1902" r:id="rId1075" display="Click here"/>
    <hyperlink ref="M1903" r:id="rId1076" display="Click here"/>
    <hyperlink ref="M1904" r:id="rId1077" display="Click here"/>
    <hyperlink ref="M1905" r:id="rId1078" display="Click here"/>
    <hyperlink ref="M1906" r:id="rId1079" display="Click here"/>
    <hyperlink ref="M1907" r:id="rId1080" display="Click here"/>
    <hyperlink ref="M1908" r:id="rId1081" display="Click here"/>
    <hyperlink ref="M1909" r:id="rId1082" display="Click here"/>
    <hyperlink ref="M1910" r:id="rId1083" display="Click here"/>
    <hyperlink ref="M1911" r:id="rId1084" display="Click here"/>
    <hyperlink ref="M1912" r:id="rId1085" display="Click here"/>
    <hyperlink ref="M1913" r:id="rId1086" display="Click here"/>
    <hyperlink ref="M1914" r:id="rId1087" display="Click here"/>
    <hyperlink ref="M1915" r:id="rId1088" display="Click here"/>
    <hyperlink ref="M1916" r:id="rId1089" display="Click here"/>
    <hyperlink ref="M1917" r:id="rId1090" display="Click here"/>
    <hyperlink ref="M1933" r:id="rId1091" display="Click here"/>
    <hyperlink ref="M1934" r:id="rId1092" display="Click here"/>
    <hyperlink ref="M1935" r:id="rId1093" display="Click here"/>
    <hyperlink ref="M1936" r:id="rId1094" display="Click here"/>
    <hyperlink ref="M1937" r:id="rId1095" display="Click here"/>
    <hyperlink ref="M1938" r:id="rId1096" display="Click here"/>
    <hyperlink ref="M1939" r:id="rId1097" display="Click here"/>
    <hyperlink ref="M1940" r:id="rId1098" display="Click here"/>
    <hyperlink ref="M1941" r:id="rId1099" display="Click here"/>
    <hyperlink ref="M1942" r:id="rId1100" display="Click here"/>
    <hyperlink ref="M1943" r:id="rId1101" display="Click here"/>
    <hyperlink ref="M1944" r:id="rId1102" display="Click here"/>
    <hyperlink ref="M1945" r:id="rId1103" display="Click here"/>
    <hyperlink ref="M1946" r:id="rId1104" display="Click here"/>
    <hyperlink ref="M1947" r:id="rId1105" display="Click here"/>
    <hyperlink ref="M1948" r:id="rId1106" display="Click here"/>
    <hyperlink ref="M1949" r:id="rId1107" display="Click here"/>
    <hyperlink ref="M1950" r:id="rId1108" display="Click here"/>
    <hyperlink ref="M1951" r:id="rId1109" display="Click here"/>
    <hyperlink ref="M1952" r:id="rId1110" display="Click here"/>
    <hyperlink ref="M1953" r:id="rId1111" display="Click here"/>
    <hyperlink ref="M1954" r:id="rId1112" display="Click here"/>
    <hyperlink ref="M1955" r:id="rId1113" display="Click here"/>
    <hyperlink ref="M1961" r:id="rId1114" display="Click here"/>
    <hyperlink ref="M1962" r:id="rId1115" display="Click here"/>
    <hyperlink ref="M1963" r:id="rId1116" display="Click here"/>
    <hyperlink ref="M1964" r:id="rId1117" display="Click here"/>
    <hyperlink ref="M1965" r:id="rId1118" display="Click here"/>
    <hyperlink ref="M1966" r:id="rId1119" display="Click here"/>
    <hyperlink ref="M1967" r:id="rId1120" display="Click here"/>
    <hyperlink ref="M1968" r:id="rId1121" display="Click here"/>
    <hyperlink ref="M1969" r:id="rId1122" display="Click here"/>
    <hyperlink ref="M1970" r:id="rId1123" display="Click here"/>
    <hyperlink ref="M1971" r:id="rId1124" display="Click here"/>
    <hyperlink ref="M1972" r:id="rId1125" display="Click here"/>
    <hyperlink ref="M1973" r:id="rId1126" display="Click here"/>
    <hyperlink ref="M1974" r:id="rId1127" display="Click here"/>
    <hyperlink ref="M1975" r:id="rId1128" display="Click here"/>
    <hyperlink ref="M1976" r:id="rId1129" display="Click here"/>
    <hyperlink ref="M1977" r:id="rId1130" display="Click here"/>
    <hyperlink ref="M1978" r:id="rId1131" display="Click here"/>
    <hyperlink ref="M1979" r:id="rId1132" display="Click here"/>
    <hyperlink ref="M1980" r:id="rId1133" display="Click here"/>
    <hyperlink ref="M1981" r:id="rId1134" display="Click here"/>
    <hyperlink ref="M1982" r:id="rId1135" display="Click here"/>
    <hyperlink ref="M1983" r:id="rId1136" display="Click here"/>
    <hyperlink ref="M1984" r:id="rId1137" display="Click here"/>
    <hyperlink ref="M1985" r:id="rId1138" display="Click here"/>
    <hyperlink ref="M1986" r:id="rId1139" display="Click here"/>
    <hyperlink ref="M1987" r:id="rId1140" display="Click here"/>
    <hyperlink ref="M1988" r:id="rId1141" display="Click here"/>
    <hyperlink ref="M1989" r:id="rId1142" display="Click here"/>
    <hyperlink ref="M1990" r:id="rId1143" display="Click here"/>
    <hyperlink ref="M1991" r:id="rId1144" display="Click here"/>
    <hyperlink ref="M1992" r:id="rId1145" display="Click here"/>
    <hyperlink ref="M1993" r:id="rId1146" display="Click here"/>
    <hyperlink ref="M1994" r:id="rId1147" display="Click here"/>
    <hyperlink ref="M1995" r:id="rId1148" display="Click here"/>
    <hyperlink ref="M1996" r:id="rId1149" display="Click here"/>
    <hyperlink ref="M1997" r:id="rId1150" display="Click here"/>
    <hyperlink ref="M1998" r:id="rId1151" display="Click here"/>
    <hyperlink ref="M1999" r:id="rId1152" display="Click here"/>
    <hyperlink ref="M2000" r:id="rId1153" display="Click here"/>
    <hyperlink ref="M2001" r:id="rId1154" display="Click here"/>
    <hyperlink ref="M2002" r:id="rId1155" display="Click here"/>
    <hyperlink ref="M2003" r:id="rId1156" display="Click here"/>
    <hyperlink ref="M2004" r:id="rId1157" display="Click here"/>
    <hyperlink ref="M2005" r:id="rId1158" display="Click here"/>
    <hyperlink ref="M2006" r:id="rId1159" display="Click here"/>
    <hyperlink ref="M2007" r:id="rId1160" display="Click here"/>
    <hyperlink ref="M2008" r:id="rId1161" display="Click here"/>
    <hyperlink ref="M2031" r:id="rId1162" display="Click here"/>
    <hyperlink ref="M2032" r:id="rId1163" display="Click here"/>
    <hyperlink ref="M2033" r:id="rId1164" display="Click here"/>
    <hyperlink ref="M2034" r:id="rId1165" display="Click here"/>
    <hyperlink ref="M2035" r:id="rId1166" display="Click here"/>
    <hyperlink ref="M2036" r:id="rId1167" display="Click here"/>
    <hyperlink ref="M2037" r:id="rId1168" display="Click here"/>
    <hyperlink ref="M2038" r:id="rId1169" display="Click here"/>
    <hyperlink ref="M2039" r:id="rId1170" display="Click here"/>
    <hyperlink ref="M2040" r:id="rId1171" display="Click here"/>
    <hyperlink ref="M2041" r:id="rId1172" display="Click here"/>
    <hyperlink ref="M2042" r:id="rId1173" display="Click here"/>
    <hyperlink ref="M2043" r:id="rId1174" display="Click here"/>
    <hyperlink ref="M2044" r:id="rId1175" display="Click here"/>
    <hyperlink ref="M2045" r:id="rId1176" display="Click here"/>
    <hyperlink ref="M2046" r:id="rId1177" display="Click here"/>
    <hyperlink ref="M2047" r:id="rId1178" display="Click here"/>
    <hyperlink ref="M2048" r:id="rId1179" display="Click here"/>
    <hyperlink ref="M2049" r:id="rId1180" display="Click here"/>
    <hyperlink ref="M2050" r:id="rId1181" display="Click here"/>
    <hyperlink ref="M2051" r:id="rId1182" display="Click here"/>
    <hyperlink ref="M2052" r:id="rId1183" display="Click here"/>
    <hyperlink ref="M2053" r:id="rId1184" display="Click here"/>
    <hyperlink ref="M2054" r:id="rId1185" display="Click here"/>
    <hyperlink ref="M2055" r:id="rId1186" display="Click here"/>
    <hyperlink ref="M2056" r:id="rId1187" display="Click here"/>
    <hyperlink ref="M2057" r:id="rId1188" display="Click here"/>
    <hyperlink ref="M2058" r:id="rId1189" display="Click here"/>
    <hyperlink ref="M2059" r:id="rId1190" display="Click here"/>
    <hyperlink ref="M2060" r:id="rId1191" display="Click here"/>
    <hyperlink ref="M2061" r:id="rId1192" display="Click here"/>
    <hyperlink ref="M2062" r:id="rId1193" display="Click here"/>
    <hyperlink ref="M2063" r:id="rId1194" display="Click here"/>
    <hyperlink ref="M2064" r:id="rId1195" display="Click here"/>
    <hyperlink ref="M2065" r:id="rId1196" display="Click here"/>
    <hyperlink ref="M2066" r:id="rId1197" display="Click here"/>
    <hyperlink ref="M2067" r:id="rId1198" display="Click here"/>
    <hyperlink ref="M2068" r:id="rId1199" display="Click here"/>
    <hyperlink ref="M2069" r:id="rId1200" display="Click here"/>
    <hyperlink ref="M2070" r:id="rId1201" display="Click here"/>
    <hyperlink ref="M2071" r:id="rId1202" display="Click here"/>
    <hyperlink ref="M2072" r:id="rId1203" display="Click here"/>
    <hyperlink ref="M2073" r:id="rId1204" display="Click here"/>
    <hyperlink ref="M2074" r:id="rId1205" display="Click here"/>
    <hyperlink ref="M2075" r:id="rId1206" display="Click here"/>
    <hyperlink ref="M2076" r:id="rId1207" display="Click here"/>
    <hyperlink ref="M2077" r:id="rId1208" display="Click here"/>
    <hyperlink ref="M2078" r:id="rId1209" display="Click here"/>
    <hyperlink ref="M2079" r:id="rId1210" display="Click here"/>
    <hyperlink ref="M2080" r:id="rId1211" display="Click here"/>
    <hyperlink ref="M2081" r:id="rId1212" display="Click here"/>
    <hyperlink ref="M2082" r:id="rId1213" display="Click here"/>
    <hyperlink ref="M2083" r:id="rId1214" display="Click here"/>
    <hyperlink ref="M2084" r:id="rId1215" display="Click here"/>
    <hyperlink ref="M2085" r:id="rId1216" display="Click here"/>
    <hyperlink ref="M2086" r:id="rId1217" display="Click here"/>
    <hyperlink ref="M2089" r:id="rId1218" display="Click here"/>
    <hyperlink ref="M2099" r:id="rId1219" display="Click here"/>
    <hyperlink ref="M2100" r:id="rId1220" display="Click here"/>
    <hyperlink ref="M2101" r:id="rId1221" display="Click here"/>
    <hyperlink ref="M2102" r:id="rId1222" display="Click here"/>
    <hyperlink ref="M2103" r:id="rId1223" display="Click here"/>
    <hyperlink ref="M2104" r:id="rId1224" display="Click here"/>
    <hyperlink ref="M2105" r:id="rId1225" display="Click here"/>
    <hyperlink ref="M2106" r:id="rId1226" display="Click here"/>
    <hyperlink ref="M2107" r:id="rId1227" display="Click here"/>
    <hyperlink ref="M2108" r:id="rId1228" display="Click here"/>
    <hyperlink ref="M2109" r:id="rId1229" display="Click here"/>
    <hyperlink ref="M2110" r:id="rId1230" display="Click here"/>
    <hyperlink ref="M2111" r:id="rId1231" display="Click here"/>
    <hyperlink ref="M2112" r:id="rId1232" display="Click here"/>
    <hyperlink ref="M2113" r:id="rId1233" display="Click here"/>
    <hyperlink ref="M2115" r:id="rId1234" display="Click here"/>
    <hyperlink ref="M2116" r:id="rId1235" display="Click here"/>
    <hyperlink ref="M2117" r:id="rId1236" display="Click here"/>
    <hyperlink ref="M2118" r:id="rId1237" display="Click here"/>
    <hyperlink ref="M2119" r:id="rId1238" display="Click here"/>
    <hyperlink ref="M2120" r:id="rId1239" display="Click here"/>
    <hyperlink ref="M2121" r:id="rId1240" display="Click here"/>
    <hyperlink ref="M2122" r:id="rId1241" display="Click here"/>
    <hyperlink ref="M2123" r:id="rId1242" display="Click here"/>
    <hyperlink ref="M2124" r:id="rId1243" display="Click here"/>
    <hyperlink ref="M2125" r:id="rId1244" display="Click here"/>
    <hyperlink ref="M2131" r:id="rId1245" display="Click here"/>
    <hyperlink ref="M2132" r:id="rId1246" display="Click here"/>
    <hyperlink ref="M2133" r:id="rId1247" display="Click here"/>
    <hyperlink ref="M2134" r:id="rId1248" display="Click here"/>
    <hyperlink ref="M2135" r:id="rId1249" display="Click here"/>
    <hyperlink ref="M2136" r:id="rId1250" display="Click here"/>
    <hyperlink ref="M2137" r:id="rId1251" display="Click here"/>
    <hyperlink ref="M2138" r:id="rId1252" display="Click here"/>
    <hyperlink ref="M2139" r:id="rId1253" display="Click here"/>
    <hyperlink ref="M2140" r:id="rId1254" display="Click here"/>
    <hyperlink ref="M2141" r:id="rId1255" display="Click here"/>
    <hyperlink ref="M2142" r:id="rId1256" display="Click here"/>
    <hyperlink ref="M2143" r:id="rId1257" display="Click here"/>
    <hyperlink ref="M2144" r:id="rId1258" display="Click here"/>
    <hyperlink ref="M2145" r:id="rId1259" display="Click here"/>
    <hyperlink ref="M2146" r:id="rId1260" display="Click here"/>
    <hyperlink ref="M2147" r:id="rId1261" display="Click here"/>
    <hyperlink ref="M2148" r:id="rId1262" display="Click here"/>
    <hyperlink ref="M2149" r:id="rId1263" display="Click here"/>
    <hyperlink ref="M2150" r:id="rId1264" display="Click here"/>
    <hyperlink ref="M2151" r:id="rId1265" display="Click here"/>
    <hyperlink ref="M2152" r:id="rId1266" display="Click here"/>
    <hyperlink ref="M2153" r:id="rId1267" display="Click here"/>
    <hyperlink ref="M2154" r:id="rId1268" display="Click here"/>
    <hyperlink ref="M2155" r:id="rId1269" display="Click here"/>
    <hyperlink ref="M2156" r:id="rId1270" display="Click here"/>
    <hyperlink ref="M2157" r:id="rId1271" display="Click here"/>
    <hyperlink ref="M2158" r:id="rId1272" display="Click here"/>
    <hyperlink ref="M2159" r:id="rId1273" display="Click here"/>
    <hyperlink ref="M2160" r:id="rId1274" display="Click here"/>
    <hyperlink ref="M2161" r:id="rId1275" display="Click here"/>
    <hyperlink ref="M2162" r:id="rId1276" display="Click here"/>
    <hyperlink ref="M2163" r:id="rId1277" display="Click here"/>
    <hyperlink ref="M2164" r:id="rId1278" display="Click here"/>
    <hyperlink ref="M2165" r:id="rId1279" display="Click here"/>
    <hyperlink ref="M2166" r:id="rId1280" display="Click here"/>
    <hyperlink ref="M2167" r:id="rId1281" display="Click here"/>
    <hyperlink ref="M2168" r:id="rId1282" display="Click here"/>
    <hyperlink ref="M2169" r:id="rId1283" display="Click here"/>
    <hyperlink ref="M2170" r:id="rId1284" display="Click here"/>
    <hyperlink ref="M2171" r:id="rId1285" display="Click here"/>
    <hyperlink ref="M2180" r:id="rId1286" display="Click here"/>
    <hyperlink ref="M2181" r:id="rId1287" display="Click here"/>
    <hyperlink ref="M2182" r:id="rId1288" display="Click here"/>
    <hyperlink ref="M2183" r:id="rId1289" display="Click here"/>
    <hyperlink ref="M2184" r:id="rId1290" display="Click here"/>
    <hyperlink ref="M2185" r:id="rId1291" display="Click here"/>
    <hyperlink ref="M2186" r:id="rId1292" display="Click here"/>
    <hyperlink ref="M2187" r:id="rId1293" display="Click here"/>
    <hyperlink ref="M2188" r:id="rId1294" display="Click here"/>
    <hyperlink ref="M2189" r:id="rId1295" display="Click here"/>
    <hyperlink ref="M2190" r:id="rId1296" display="Click here"/>
    <hyperlink ref="M2191" r:id="rId1297" display="Click here"/>
    <hyperlink ref="M2192" r:id="rId1298" display="Click here"/>
    <hyperlink ref="M2193" r:id="rId1299" display="Click here"/>
    <hyperlink ref="M2194" r:id="rId1300" display="Click here"/>
    <hyperlink ref="M2195" r:id="rId1301" display="Click here"/>
    <hyperlink ref="M2196" r:id="rId1302" display="Click here"/>
    <hyperlink ref="M2197" r:id="rId1303" display="Click here"/>
    <hyperlink ref="M2198" r:id="rId1304" display="Click here"/>
    <hyperlink ref="M2199" r:id="rId1305" display="Click here"/>
    <hyperlink ref="M2200" r:id="rId1306" display="Click here"/>
    <hyperlink ref="M2201" r:id="rId1307" display="Click here"/>
    <hyperlink ref="M2202" r:id="rId1308" display="Click here"/>
    <hyperlink ref="M2203" r:id="rId1309" display="Click here"/>
    <hyperlink ref="M2209" r:id="rId1310" display="Click here"/>
    <hyperlink ref="M2210" r:id="rId1311" display="Click here"/>
    <hyperlink ref="M2211" r:id="rId1312" display="Click here"/>
    <hyperlink ref="M2212" r:id="rId1313" display="Click here"/>
    <hyperlink ref="M2213" r:id="rId1314" display="Click here"/>
    <hyperlink ref="M2214" r:id="rId1315" display="Click here"/>
    <hyperlink ref="M2215" r:id="rId1316" display="Click here"/>
    <hyperlink ref="M2216" r:id="rId1317" display="Click here"/>
    <hyperlink ref="M2217" r:id="rId1318" display="Click here"/>
    <hyperlink ref="M2218" r:id="rId1319" display="Click here"/>
    <hyperlink ref="M2219" r:id="rId1320" display="Click here"/>
    <hyperlink ref="M2220" r:id="rId1321" display="Click here"/>
    <hyperlink ref="M2221" r:id="rId1322" display="Click here"/>
    <hyperlink ref="M2222" r:id="rId1323" display="Click here"/>
    <hyperlink ref="M2223" r:id="rId1324" display="Click here"/>
    <hyperlink ref="M2224" r:id="rId1325" display="Click here"/>
    <hyperlink ref="M2225" r:id="rId1326" display="Click here"/>
    <hyperlink ref="M2226" r:id="rId1327" display="Click here"/>
    <hyperlink ref="M2227" r:id="rId1328" display="Click here"/>
    <hyperlink ref="M2228" r:id="rId1329" display="Click here"/>
    <hyperlink ref="M2229" r:id="rId1330" display="Click here"/>
    <hyperlink ref="M2230" r:id="rId1331" display="Click here"/>
    <hyperlink ref="M2231" r:id="rId1332" display="Click here"/>
    <hyperlink ref="M2232" r:id="rId1333" display="Click here"/>
    <hyperlink ref="M2233" r:id="rId1334" display="Click here"/>
    <hyperlink ref="M2234" r:id="rId1335" display="Click here"/>
    <hyperlink ref="M2235" r:id="rId1336" display="Click here"/>
    <hyperlink ref="M2236" r:id="rId1337" display="Click here"/>
    <hyperlink ref="M2237" r:id="rId1338" display="Click here"/>
    <hyperlink ref="M2238" r:id="rId1339" display="Click here"/>
    <hyperlink ref="M2239" r:id="rId1340" display="Click here"/>
    <hyperlink ref="M2240" r:id="rId1341" display="Click here"/>
    <hyperlink ref="M2241" r:id="rId1342" display="Click here"/>
    <hyperlink ref="M2242" r:id="rId1343" display="Click here"/>
    <hyperlink ref="M2243" r:id="rId1344" display="Click here"/>
    <hyperlink ref="M2244" r:id="rId1345" display="Click here"/>
    <hyperlink ref="M2245" r:id="rId1346" display="Click here"/>
    <hyperlink ref="M2246" r:id="rId1347" display="Click here"/>
    <hyperlink ref="M2247" r:id="rId1348" display="Click here"/>
    <hyperlink ref="M2248" r:id="rId1349" display="Click here"/>
    <hyperlink ref="M2251" r:id="rId1350" display="Click here"/>
    <hyperlink ref="M2253" r:id="rId1351" display="Click here"/>
    <hyperlink ref="M2254" r:id="rId1352" display="Click here"/>
    <hyperlink ref="M2255" r:id="rId1353" display="Click here"/>
    <hyperlink ref="M2256" r:id="rId1354" display="Click here"/>
    <hyperlink ref="M2257" r:id="rId1355" display="Click here"/>
    <hyperlink ref="M2258" r:id="rId1356" display="Click here"/>
    <hyperlink ref="M2259" r:id="rId1357" display="Click here"/>
    <hyperlink ref="M2260" r:id="rId1358" display="Click here"/>
    <hyperlink ref="M2261" r:id="rId1359" display="Click here"/>
    <hyperlink ref="M2262" r:id="rId1360" display="Click here"/>
    <hyperlink ref="M2263" r:id="rId1361" display="Click here"/>
    <hyperlink ref="M2264" r:id="rId1362" display="Click here"/>
    <hyperlink ref="M2265" r:id="rId1363" display="Click here"/>
    <hyperlink ref="M2266" r:id="rId1364" display="Click here"/>
    <hyperlink ref="M2267" r:id="rId1365" display="Click here"/>
    <hyperlink ref="M2268" r:id="rId1366" display="Click here"/>
    <hyperlink ref="M2269" r:id="rId1367" display="Click here"/>
    <hyperlink ref="M2270" r:id="rId1368" display="Click here"/>
    <hyperlink ref="M2271" r:id="rId1369" display="Click here"/>
    <hyperlink ref="M2272" r:id="rId1370" display="Click here"/>
    <hyperlink ref="M2273" r:id="rId1371" display="Click here"/>
    <hyperlink ref="M2274" r:id="rId1372" display="Click here"/>
    <hyperlink ref="M2279" r:id="rId1373" display="Click here"/>
    <hyperlink ref="M2280" r:id="rId1374" display="Click here"/>
    <hyperlink ref="M2281" r:id="rId1375" display="Click here"/>
    <hyperlink ref="M2282" r:id="rId1376" display="Click here"/>
    <hyperlink ref="M2283" r:id="rId1377" display="Click here"/>
    <hyperlink ref="M2284" r:id="rId1378" display="Click here"/>
    <hyperlink ref="M2285" r:id="rId1379" display="Click here"/>
    <hyperlink ref="M2286" r:id="rId1380" display="Click here"/>
    <hyperlink ref="M2287" r:id="rId1381" display="Click here"/>
    <hyperlink ref="M2288" r:id="rId1382" display="Click here"/>
    <hyperlink ref="M2289" r:id="rId1383" display="Click here"/>
    <hyperlink ref="M2290" r:id="rId1384" display="Click here"/>
    <hyperlink ref="M2291" r:id="rId1385" display="Click here"/>
    <hyperlink ref="M2292" r:id="rId1386" display="Click here"/>
    <hyperlink ref="M2293" r:id="rId1387" display="Click here"/>
    <hyperlink ref="M2294" r:id="rId1388" display="Click here"/>
    <hyperlink ref="M2295" r:id="rId1389" display="Click here"/>
    <hyperlink ref="M2297" r:id="rId1390" display="Click here"/>
    <hyperlink ref="M2298" r:id="rId1391" display="Click here"/>
    <hyperlink ref="M2299" r:id="rId1392" display="Click here"/>
    <hyperlink ref="M2300" r:id="rId1393" display="Click here"/>
    <hyperlink ref="M2301" r:id="rId1394" display="Click here"/>
    <hyperlink ref="M2302" r:id="rId1395" display="Click here"/>
    <hyperlink ref="M2311" r:id="rId1396" display="Click here"/>
    <hyperlink ref="M2312" r:id="rId1397" display="Click here"/>
    <hyperlink ref="M2313" r:id="rId1398" display="Click here"/>
    <hyperlink ref="M2314" r:id="rId1399" display="Click here"/>
    <hyperlink ref="M2315" r:id="rId1400" display="Click here"/>
    <hyperlink ref="M2316" r:id="rId1401" display="Click here"/>
    <hyperlink ref="M2317" r:id="rId1402" display="Click here"/>
    <hyperlink ref="M2318" r:id="rId1403" display="Click here"/>
    <hyperlink ref="M2319" r:id="rId1404" display="Click here"/>
    <hyperlink ref="M2320" r:id="rId1405" display="Click here"/>
    <hyperlink ref="M2321" r:id="rId1406" display="Click here"/>
    <hyperlink ref="M2322" r:id="rId1407" display="Click here"/>
    <hyperlink ref="M2323" r:id="rId1408" display="Click here"/>
    <hyperlink ref="M2324" r:id="rId1409" display="Click here"/>
    <hyperlink ref="M2325" r:id="rId1410" display="Click here"/>
    <hyperlink ref="M2326" r:id="rId1411" display="Click here"/>
    <hyperlink ref="M2327" r:id="rId1412" display="Click here"/>
    <hyperlink ref="M2328" r:id="rId1413" display="Click here"/>
    <hyperlink ref="M2329" r:id="rId1414" display="Click here"/>
    <hyperlink ref="M2330" r:id="rId1415" display="Click here"/>
    <hyperlink ref="M2331" r:id="rId1416" display="Click here"/>
    <hyperlink ref="M2332" r:id="rId1417" display="Click here"/>
    <hyperlink ref="M2333" r:id="rId1418" display="Click here"/>
    <hyperlink ref="M2334" r:id="rId1419" display="Click here"/>
    <hyperlink ref="M2335" r:id="rId1420" display="Click here"/>
    <hyperlink ref="M2336" r:id="rId1421" display="Click here"/>
    <hyperlink ref="M2337" r:id="rId1422" display="Click here"/>
    <hyperlink ref="M2338" r:id="rId1423" display="Click here"/>
    <hyperlink ref="M2339" r:id="rId1424" display="Click here"/>
    <hyperlink ref="M2340" r:id="rId1425" display="Click here"/>
    <hyperlink ref="M2341" r:id="rId1426" display="Click here"/>
    <hyperlink ref="M2347" r:id="rId1427" display="Click here"/>
    <hyperlink ref="M2349" r:id="rId1428" display="Click here"/>
    <hyperlink ref="M2350" r:id="rId1429" display="Click here"/>
    <hyperlink ref="M2351" r:id="rId1430" display="Click here"/>
    <hyperlink ref="M2352" r:id="rId1431" display="Click here"/>
    <hyperlink ref="M2353" r:id="rId1432" display="Click here"/>
    <hyperlink ref="M2354" r:id="rId1433" display="Click here"/>
    <hyperlink ref="M2355" r:id="rId1434" display="Click here"/>
    <hyperlink ref="M2356" r:id="rId1435" display="Click here"/>
    <hyperlink ref="M2357" r:id="rId1436" display="Click here"/>
    <hyperlink ref="M2358" r:id="rId1437" display="Click here"/>
    <hyperlink ref="M2359" r:id="rId1438" display="Click here"/>
    <hyperlink ref="M2360" r:id="rId1439" display="Click here"/>
    <hyperlink ref="M2361" r:id="rId1440" display="Click here"/>
    <hyperlink ref="M2362" r:id="rId1441" display="Click here"/>
    <hyperlink ref="M2363" r:id="rId1442" display="Click here"/>
    <hyperlink ref="M2364" r:id="rId1443" display="Click here"/>
    <hyperlink ref="M2365" r:id="rId1444" display="Click here"/>
    <hyperlink ref="M2366" r:id="rId1445" display="Click here"/>
    <hyperlink ref="M2367" r:id="rId1446" display="Click here"/>
    <hyperlink ref="M2368" r:id="rId1447" display="Click here"/>
    <hyperlink ref="M2369" r:id="rId1448" display="Click here"/>
    <hyperlink ref="M2370" r:id="rId1449" display="Click here"/>
    <hyperlink ref="M2371" r:id="rId1450" display="Click here"/>
    <hyperlink ref="M2374" r:id="rId1451" display="Click here"/>
    <hyperlink ref="M2375" r:id="rId1452" display="Click here"/>
    <hyperlink ref="M2376" r:id="rId1453" display="Click here"/>
    <hyperlink ref="M2377" r:id="rId1454" display="Click here"/>
    <hyperlink ref="M2378" r:id="rId1455" display="Click here"/>
    <hyperlink ref="M2379" r:id="rId1456" display="Click here"/>
    <hyperlink ref="M2380" r:id="rId1457" display="Click here"/>
    <hyperlink ref="M2381" r:id="rId1458" display="Click here"/>
    <hyperlink ref="M2382" r:id="rId1459" display="Click here"/>
    <hyperlink ref="M2383" r:id="rId1460" display="Click here"/>
    <hyperlink ref="M2384" r:id="rId1461" display="Click here"/>
    <hyperlink ref="M2385" r:id="rId1462" display="Click here"/>
    <hyperlink ref="M2386" r:id="rId1463" display="Click here"/>
    <hyperlink ref="M2387" r:id="rId1464" display="Click here"/>
    <hyperlink ref="M2388" r:id="rId1465" display="Click here"/>
    <hyperlink ref="M2389" r:id="rId1466" display="Click here"/>
    <hyperlink ref="M2390" r:id="rId1467" display="Click here"/>
    <hyperlink ref="M2391" r:id="rId1468" display="Click here"/>
    <hyperlink ref="M2392" r:id="rId1469" display="Click here"/>
    <hyperlink ref="M2393" r:id="rId1470" display="Click here"/>
    <hyperlink ref="M2394" r:id="rId1471" display="Click here"/>
    <hyperlink ref="M2395" r:id="rId1472" display="Click here"/>
    <hyperlink ref="M2396" r:id="rId1473" display="Click here"/>
    <hyperlink ref="M2397" r:id="rId1474" display="Click here"/>
    <hyperlink ref="M2398" r:id="rId1475" display="Click here"/>
    <hyperlink ref="M2399" r:id="rId1476" display="Click here"/>
    <hyperlink ref="M2400" r:id="rId1477" display="Click here"/>
    <hyperlink ref="M2401" r:id="rId1478" display="Click here"/>
    <hyperlink ref="M2402" r:id="rId1479" display="Click here"/>
    <hyperlink ref="M2403" r:id="rId1480" display="Click here"/>
    <hyperlink ref="M2404" r:id="rId1481" display="Click here"/>
    <hyperlink ref="M2405" r:id="rId1482" display="Click here"/>
    <hyperlink ref="M2406" r:id="rId1483" display="Click here"/>
    <hyperlink ref="M2407" r:id="rId1484" display="Click here"/>
    <hyperlink ref="M2408" r:id="rId1485" display="Click here"/>
    <hyperlink ref="M2409" r:id="rId1486" display="Click here"/>
    <hyperlink ref="M2410" r:id="rId1487" display="Click here"/>
    <hyperlink ref="M2411" r:id="rId1488" display="Click here"/>
    <hyperlink ref="M2412" r:id="rId1489" display="Click here"/>
    <hyperlink ref="M2413" r:id="rId1490" display="Click here"/>
    <hyperlink ref="M2414" r:id="rId1491" display="Click here"/>
    <hyperlink ref="M2415" r:id="rId1492" display="Click here"/>
    <hyperlink ref="M2416" r:id="rId1493" display="Click here"/>
    <hyperlink ref="M2417" r:id="rId1494" display="Click here"/>
    <hyperlink ref="M2418" r:id="rId1495" display="Click here"/>
    <hyperlink ref="M2419" r:id="rId1496" display="Click here"/>
    <hyperlink ref="M2420" r:id="rId1497" display="Click here"/>
    <hyperlink ref="M2421" r:id="rId1498" display="Click here"/>
    <hyperlink ref="M2422" r:id="rId1499" display="Click here"/>
    <hyperlink ref="M2423" r:id="rId1500" display="Click here"/>
    <hyperlink ref="M2424" r:id="rId1501" display="Click here"/>
    <hyperlink ref="M2425" r:id="rId1502" display="Click here"/>
    <hyperlink ref="M2426" r:id="rId1503" display="Click here"/>
    <hyperlink ref="M2427" r:id="rId1504" display="Click here"/>
    <hyperlink ref="M2428" r:id="rId1505" display="Click here"/>
    <hyperlink ref="M2429" r:id="rId1506" display="Click here"/>
    <hyperlink ref="M2430" r:id="rId1507" display="Click here"/>
    <hyperlink ref="M2431" r:id="rId1508" display="Click here"/>
    <hyperlink ref="M2432" r:id="rId1509" display="Click here"/>
    <hyperlink ref="M2461" r:id="rId1510" display="Click here"/>
    <hyperlink ref="M2464" r:id="rId1511" display="Click here"/>
    <hyperlink ref="M2465" r:id="rId1512" display="Click here"/>
    <hyperlink ref="M2466" r:id="rId1513" display="Click here"/>
    <hyperlink ref="M2468" r:id="rId1514" display="Click here"/>
    <hyperlink ref="M2470" r:id="rId1515" display="Click here"/>
    <hyperlink ref="M2473" r:id="rId1516" display="Click here"/>
    <hyperlink ref="M2474" r:id="rId1517" display="Click here"/>
    <hyperlink ref="M2481" r:id="rId1518" display="Click here"/>
    <hyperlink ref="M2505" r:id="rId1519" display="Click here"/>
    <hyperlink ref="M2506" r:id="rId1520" display="Click here"/>
    <hyperlink ref="M2507" r:id="rId1521" display="Click here"/>
    <hyperlink ref="M2508" r:id="rId1522" display="Click here"/>
    <hyperlink ref="M2509" r:id="rId1523" display="Click here"/>
    <hyperlink ref="M2510" r:id="rId1524" display="Click here"/>
    <hyperlink ref="M2511" r:id="rId1525" display="Click here"/>
    <hyperlink ref="M2512" r:id="rId1526" display="Click here"/>
    <hyperlink ref="M2513" r:id="rId1527" display="Click here"/>
    <hyperlink ref="M2514" r:id="rId1528" display="Click here"/>
    <hyperlink ref="M2515" r:id="rId1529" display="Click here"/>
    <hyperlink ref="M2518" r:id="rId1530" display="Click here"/>
    <hyperlink ref="M2520" r:id="rId1531" display="Click here"/>
    <hyperlink ref="M2522" r:id="rId1532" display="Click here"/>
    <hyperlink ref="M2523" r:id="rId1533" display="Click here"/>
    <hyperlink ref="M2535" r:id="rId1534" display="Click here"/>
    <hyperlink ref="M2542" r:id="rId1535" display="Click here"/>
    <hyperlink ref="M2543" r:id="rId1536" display="Click here"/>
    <hyperlink ref="M2544" r:id="rId1537" display="Click here"/>
    <hyperlink ref="M2545" r:id="rId1538" display="Click here"/>
    <hyperlink ref="M2547" r:id="rId1539" display="Click here"/>
    <hyperlink ref="M2548" r:id="rId1540" display="Click here"/>
    <hyperlink ref="M2565" r:id="rId1541" display="Click here"/>
    <hyperlink ref="M2566" r:id="rId1542" display="Click here"/>
    <hyperlink ref="M2567" r:id="rId1543" display="Click here"/>
    <hyperlink ref="M2568" r:id="rId1544" display="Click here"/>
    <hyperlink ref="M2569" r:id="rId1545" display="Click here"/>
    <hyperlink ref="M2570" r:id="rId1546" display="Click here"/>
    <hyperlink ref="M2571" r:id="rId1547" display="Click here"/>
    <hyperlink ref="M2572" r:id="rId1548" display="Click here"/>
    <hyperlink ref="M2573" r:id="rId1549" display="Click here"/>
    <hyperlink ref="M2574" r:id="rId1550" display="Click here"/>
    <hyperlink ref="M2575" r:id="rId1551" display="Click here"/>
    <hyperlink ref="M2576" r:id="rId1552" display="Click here"/>
    <hyperlink ref="M2577" r:id="rId1553" display="Click here"/>
    <hyperlink ref="M2578" r:id="rId1554" display="Click here"/>
    <hyperlink ref="M2586" r:id="rId1555" display="Click here"/>
    <hyperlink ref="M2587" r:id="rId1556" display="Click here"/>
    <hyperlink ref="M2589" r:id="rId1557" display="Click here"/>
    <hyperlink ref="M2590" r:id="rId1558" display="Click here"/>
    <hyperlink ref="M2591" r:id="rId1559" display="Click here"/>
    <hyperlink ref="M2592" r:id="rId1560" display="Click here"/>
    <hyperlink ref="M2593" r:id="rId1561" display="Click here"/>
    <hyperlink ref="M2595" r:id="rId1562" display="Click here"/>
    <hyperlink ref="M2596" r:id="rId1563" display="Click here"/>
    <hyperlink ref="M2597" r:id="rId1564" display="Click here"/>
    <hyperlink ref="M2598" r:id="rId1565" display="Click here"/>
    <hyperlink ref="M2600" r:id="rId1566" display="Click here"/>
    <hyperlink ref="M2601" r:id="rId1567" display="Click here"/>
    <hyperlink ref="M2602" r:id="rId1568" display="Click here"/>
    <hyperlink ref="M2606" r:id="rId1569" display="Click here"/>
    <hyperlink ref="M2607" r:id="rId1570" display="Click here"/>
    <hyperlink ref="M2608" r:id="rId1571" display="Click here"/>
    <hyperlink ref="M2609" r:id="rId1572" display="Click here"/>
    <hyperlink ref="M2610" r:id="rId1573" display="Click here"/>
    <hyperlink ref="M2611" r:id="rId1574" display="Click here"/>
    <hyperlink ref="M2612" r:id="rId1575" display="Click here"/>
    <hyperlink ref="M2613" r:id="rId1576" display="Click here"/>
    <hyperlink ref="M2664" r:id="rId1577" display="Click here"/>
    <hyperlink ref="M2668" r:id="rId1578" display="Click here"/>
    <hyperlink ref="M2669" r:id="rId1579" display="Click here"/>
    <hyperlink ref="M2671" r:id="rId1580" display="Click here"/>
    <hyperlink ref="M2673" r:id="rId1581" display="Click here"/>
    <hyperlink ref="M2674" r:id="rId1582" display="Click here"/>
    <hyperlink ref="M2675" r:id="rId1583" display="Click here"/>
    <hyperlink ref="M2676" r:id="rId1584" display="Click here"/>
    <hyperlink ref="M2677" r:id="rId1585" display="Click here"/>
    <hyperlink ref="M2678" r:id="rId1586" display="Click here"/>
    <hyperlink ref="M2679" r:id="rId1587" display="Click here"/>
    <hyperlink ref="M2680" r:id="rId1588" display="Click here"/>
    <hyperlink ref="M2681" r:id="rId1589" display="Click here"/>
    <hyperlink ref="M2682" r:id="rId1590" display="Click here"/>
    <hyperlink ref="M2683" r:id="rId1591" display="Click here"/>
    <hyperlink ref="M2684" r:id="rId1592" display="Click here"/>
    <hyperlink ref="M2685" r:id="rId1593" display="Click here"/>
    <hyperlink ref="M2686" r:id="rId1594" display="Click here"/>
    <hyperlink ref="M2687" r:id="rId1595" display="Click here"/>
    <hyperlink ref="M2688" r:id="rId1596" display="Click here"/>
    <hyperlink ref="M2710" r:id="rId1597" display="Click here"/>
    <hyperlink ref="M2711" r:id="rId1598" display="Click here"/>
    <hyperlink ref="M2712" r:id="rId1599" display="Click here"/>
    <hyperlink ref="M2713" r:id="rId1600" display="Click here"/>
    <hyperlink ref="M2714" r:id="rId1601" display="Click here"/>
    <hyperlink ref="M2715" r:id="rId1602" display="Click here"/>
    <hyperlink ref="M2716" r:id="rId1603" display="Click here"/>
    <hyperlink ref="M2717" r:id="rId1604" display="Click here"/>
    <hyperlink ref="M2718" r:id="rId1605" display="Click here"/>
    <hyperlink ref="M2719" r:id="rId1606" display="Click here"/>
    <hyperlink ref="M2720" r:id="rId1607" display="Click here"/>
    <hyperlink ref="M2721" r:id="rId1608" display="Click here"/>
    <hyperlink ref="M2722" r:id="rId1609" display="Click here"/>
    <hyperlink ref="M2723" r:id="rId1610" display="Click here"/>
    <hyperlink ref="M2724" r:id="rId1611" display="Click here"/>
    <hyperlink ref="M2725" r:id="rId1612" display="Click here"/>
    <hyperlink ref="M2726" r:id="rId1613" display="Click here"/>
    <hyperlink ref="M2727" r:id="rId1614" display="Click here"/>
    <hyperlink ref="M2728" r:id="rId1615" display="Click here"/>
    <hyperlink ref="M2729" r:id="rId1616" display="Click here"/>
    <hyperlink ref="M2730" r:id="rId1617" display="Click here"/>
    <hyperlink ref="M2731" r:id="rId1618" display="Click here"/>
    <hyperlink ref="M2732" r:id="rId1619" display="Click here"/>
    <hyperlink ref="M2734" r:id="rId1620" display="Click here"/>
    <hyperlink ref="M2735" r:id="rId1621" display="Click here"/>
    <hyperlink ref="M2737" r:id="rId1622" display="Click here"/>
    <hyperlink ref="M2743" r:id="rId1623" display="Click here"/>
    <hyperlink ref="M2746" r:id="rId1624" display="Click here"/>
    <hyperlink ref="M2747" r:id="rId1625" display="Click here"/>
    <hyperlink ref="M2749" r:id="rId1626" display="Click here"/>
    <hyperlink ref="M2750" r:id="rId1627" display="Click here"/>
    <hyperlink ref="M2751" r:id="rId1628" display="Click here"/>
    <hyperlink ref="M2752" r:id="rId1629" display="Click here"/>
    <hyperlink ref="M2753" r:id="rId1630" display="Click here"/>
    <hyperlink ref="M2754" r:id="rId1631" display="Click here"/>
    <hyperlink ref="M2756" r:id="rId1632" display="Click here"/>
    <hyperlink ref="M2757" r:id="rId1633" display="Click here"/>
    <hyperlink ref="M2758" r:id="rId1634" display="Click here"/>
    <hyperlink ref="M2759" r:id="rId1635" display="Click here"/>
    <hyperlink ref="M2771" r:id="rId1636" display="Click here"/>
    <hyperlink ref="M2772" r:id="rId1637" display="Click here"/>
    <hyperlink ref="M2774" r:id="rId1638" display="Click here"/>
    <hyperlink ref="M2775" r:id="rId1639" display="Click here"/>
    <hyperlink ref="M2806" r:id="rId1640" display="Click here"/>
    <hyperlink ref="M2807" r:id="rId1641" display="Click here"/>
    <hyperlink ref="M2809" r:id="rId1642" display="Click here"/>
    <hyperlink ref="M2811" r:id="rId1643" display="Click here"/>
    <hyperlink ref="M2812" r:id="rId1644" display="Click here"/>
    <hyperlink ref="M2813" r:id="rId1645" display="Click here"/>
    <hyperlink ref="M2814" r:id="rId1646" display="Click here"/>
    <hyperlink ref="M2815" r:id="rId1647" display="Click here"/>
    <hyperlink ref="M2816" r:id="rId1648" display="Click here"/>
    <hyperlink ref="M2817" r:id="rId1649" display="Click here"/>
    <hyperlink ref="M2818" r:id="rId1650" display="Click here"/>
    <hyperlink ref="M2819" r:id="rId1651" display="Click here"/>
    <hyperlink ref="M2820" r:id="rId1652" display="Click here"/>
    <hyperlink ref="M2823" r:id="rId1653" display="Click here"/>
    <hyperlink ref="M2824" r:id="rId1654" display="Click here"/>
    <hyperlink ref="M2825" r:id="rId1655" display="Click here"/>
    <hyperlink ref="M2826" r:id="rId1656" display="Click here"/>
    <hyperlink ref="M2857" r:id="rId1657" display="Click here"/>
    <hyperlink ref="M2858" r:id="rId1658" display="Click here"/>
    <hyperlink ref="M2859" r:id="rId1659" display="Click here"/>
    <hyperlink ref="M2860" r:id="rId1660" display="Click here"/>
    <hyperlink ref="M2861" r:id="rId1661" display="Click here"/>
    <hyperlink ref="M2862" r:id="rId1662" display="Click here"/>
    <hyperlink ref="M2863" r:id="rId1663" display="Click here"/>
    <hyperlink ref="M2864" r:id="rId1664" display="Click here"/>
    <hyperlink ref="M2865" r:id="rId1665" display="Click here"/>
    <hyperlink ref="M2866" r:id="rId1666" display="Click here"/>
    <hyperlink ref="M2867" r:id="rId1667" display="Click here"/>
    <hyperlink ref="M2868" r:id="rId1668" display="Click here"/>
    <hyperlink ref="M2869" r:id="rId1669" display="Click here"/>
    <hyperlink ref="M2870" r:id="rId1670" display="Click here"/>
    <hyperlink ref="M2872" r:id="rId1671" display="Click here"/>
    <hyperlink ref="M2873" r:id="rId1672" display="Click here"/>
    <hyperlink ref="M2874" r:id="rId1673" display="Click here"/>
    <hyperlink ref="M2875" r:id="rId1674" display="Click here"/>
    <hyperlink ref="M2876" r:id="rId1675" display="Click here"/>
    <hyperlink ref="M2877" r:id="rId1676" display="Click here"/>
    <hyperlink ref="M2879" r:id="rId1677" display="Click here"/>
    <hyperlink ref="M2880" r:id="rId1678" display="Click here"/>
    <hyperlink ref="M2881" r:id="rId1679" display="Click here"/>
    <hyperlink ref="M2882" r:id="rId1680" display="Click here"/>
    <hyperlink ref="M2883" r:id="rId1681" display="Click here"/>
    <hyperlink ref="M2884" r:id="rId1682" display="Click here"/>
    <hyperlink ref="M2885" r:id="rId1683" display="Click here"/>
    <hyperlink ref="M2886" r:id="rId1684" display="Click here"/>
    <hyperlink ref="M2887" r:id="rId1685" display="Click here"/>
    <hyperlink ref="M2888" r:id="rId1686" display="Click here"/>
    <hyperlink ref="M2889" r:id="rId1687" display="Click here"/>
    <hyperlink ref="M2890" r:id="rId1688" display="Click here"/>
    <hyperlink ref="M2894" r:id="rId1689" display="Click here"/>
    <hyperlink ref="M2895" r:id="rId1690" display="Click here"/>
    <hyperlink ref="M2896" r:id="rId1691" display="Click here"/>
    <hyperlink ref="M2897" r:id="rId1692" display="Click here"/>
    <hyperlink ref="M2898" r:id="rId1693" display="Click here"/>
    <hyperlink ref="M2899" r:id="rId1694" display="Click here"/>
    <hyperlink ref="M2900" r:id="rId1695" display="Click here"/>
    <hyperlink ref="M2901" r:id="rId1696" display="Click here"/>
    <hyperlink ref="M2902" r:id="rId1697" display="Click here"/>
    <hyperlink ref="M2903" r:id="rId1698" display="Click here"/>
    <hyperlink ref="M2904" r:id="rId1699" display="Click here"/>
    <hyperlink ref="M2905" r:id="rId1700" display="Click here"/>
    <hyperlink ref="M2906" r:id="rId1701" display="Click here"/>
    <hyperlink ref="M2907" r:id="rId1702" display="Click here"/>
    <hyperlink ref="M2909" r:id="rId1703" display="Click here"/>
    <hyperlink ref="M2911" r:id="rId1704" display="Click here"/>
    <hyperlink ref="M2912" r:id="rId1705" display="Click here"/>
    <hyperlink ref="M2914" r:id="rId1706" display="Click here"/>
    <hyperlink ref="M2916" r:id="rId1707" display="Click here"/>
    <hyperlink ref="M2918" r:id="rId1708" display="Click here"/>
    <hyperlink ref="M2919" r:id="rId1709" display="Click here"/>
    <hyperlink ref="M2920" r:id="rId1710" display="Click here"/>
    <hyperlink ref="M2921" r:id="rId1711" display="Click here"/>
    <hyperlink ref="M2922" r:id="rId1712" display="Click here"/>
    <hyperlink ref="M2923" r:id="rId1713" display="Click here"/>
    <hyperlink ref="M2924" r:id="rId1714" display="Click here"/>
    <hyperlink ref="M2925" r:id="rId1715" display="Click here"/>
    <hyperlink ref="M2926" r:id="rId1716" display="Click here"/>
    <hyperlink ref="M2927" r:id="rId1717" display="Click here"/>
    <hyperlink ref="M2928" r:id="rId1718" display="Click here"/>
    <hyperlink ref="M2929" r:id="rId1719" display="Click here"/>
    <hyperlink ref="M2934" r:id="rId1720" display="Click here"/>
    <hyperlink ref="M2975" r:id="rId1721" display="Click here"/>
    <hyperlink ref="M2987" r:id="rId1722" display="Click here"/>
    <hyperlink ref="M2988" r:id="rId1723" display="Click here"/>
    <hyperlink ref="M2989" r:id="rId1724" display="Click here"/>
    <hyperlink ref="M2990" r:id="rId1725" display="Click here"/>
    <hyperlink ref="M2991" r:id="rId1726" display="Click here"/>
    <hyperlink ref="M2992" r:id="rId1727" display="Click here"/>
    <hyperlink ref="M2993" r:id="rId1728" display="Click here"/>
    <hyperlink ref="M2994" r:id="rId1729" display="Click here"/>
    <hyperlink ref="M2995" r:id="rId1730" display="Click here"/>
    <hyperlink ref="M3002" r:id="rId1731" display="Click here"/>
    <hyperlink ref="M3003" r:id="rId1732" display="Click here"/>
    <hyperlink ref="M3004" r:id="rId1733" display="Click here"/>
    <hyperlink ref="M3005" r:id="rId1734" display="Click here"/>
    <hyperlink ref="M3006" r:id="rId1735" display="Click here"/>
    <hyperlink ref="M3007" r:id="rId1736" display="Click here"/>
    <hyperlink ref="M3008" r:id="rId1737" display="Click here"/>
    <hyperlink ref="M3009" r:id="rId1738" display="Click here"/>
    <hyperlink ref="M3010" r:id="rId1739" display="Click here"/>
    <hyperlink ref="M3011" r:id="rId1740" display="Click here"/>
    <hyperlink ref="M3012" r:id="rId1741" display="Click here"/>
    <hyperlink ref="M3013" r:id="rId1742" display="Click here"/>
    <hyperlink ref="M3014" r:id="rId1743" display="Click here"/>
    <hyperlink ref="M3015" r:id="rId1744" display="Click here"/>
    <hyperlink ref="M3016" r:id="rId1745" display="Click here"/>
    <hyperlink ref="M3017" r:id="rId1746" display="Click here"/>
    <hyperlink ref="M3018" r:id="rId1747" display="Click here"/>
    <hyperlink ref="M3020" r:id="rId1748" display="Click here"/>
    <hyperlink ref="M3021" r:id="rId1749" display="Click here"/>
    <hyperlink ref="M3022" r:id="rId1750" display="Click here"/>
    <hyperlink ref="M3023" r:id="rId1751" display="Click here"/>
    <hyperlink ref="M3024" r:id="rId1752" display="Click here"/>
    <hyperlink ref="M3025" r:id="rId1753" display="Click here"/>
    <hyperlink ref="M3026" r:id="rId1754" display="Click here"/>
    <hyperlink ref="M3027" r:id="rId1755" display="Click here"/>
    <hyperlink ref="M3028" r:id="rId1756" display="Click here"/>
    <hyperlink ref="M3029" r:id="rId1757" display="Click here"/>
    <hyperlink ref="M3030" r:id="rId1758" display="Click here"/>
    <hyperlink ref="M3031" r:id="rId1759" display="Click here"/>
    <hyperlink ref="M3035" r:id="rId1760" display="Click here"/>
    <hyperlink ref="M3036" r:id="rId1761" display="Click here"/>
    <hyperlink ref="M3037" r:id="rId1762" display="Click here"/>
    <hyperlink ref="M3038" r:id="rId1763" display="Click here"/>
    <hyperlink ref="M3039" r:id="rId1764" display="Click here"/>
    <hyperlink ref="M3040" r:id="rId1765" display="Click here"/>
    <hyperlink ref="M3041" r:id="rId1766" display="Click here"/>
    <hyperlink ref="M3042" r:id="rId1767" display="Click here"/>
    <hyperlink ref="M3044" r:id="rId1768" display="Click here"/>
    <hyperlink ref="M3046" r:id="rId1769" display="Click here"/>
    <hyperlink ref="M3047" r:id="rId1770" display="Click here"/>
    <hyperlink ref="M3049" r:id="rId1771" display="Click here"/>
    <hyperlink ref="M3051" r:id="rId1772" display="Click here"/>
    <hyperlink ref="M3053" r:id="rId1773" display="Click here"/>
    <hyperlink ref="M3054" r:id="rId1774" display="Click here"/>
    <hyperlink ref="M3055" r:id="rId1775" display="Click here"/>
    <hyperlink ref="M3056" r:id="rId1776" display="Click here"/>
    <hyperlink ref="M3057" r:id="rId1777" display="Click here"/>
    <hyperlink ref="M3058" r:id="rId1778" display="Click here"/>
    <hyperlink ref="M3059" r:id="rId1779" display="Click here"/>
    <hyperlink ref="M3060" r:id="rId1780" display="Click here"/>
    <hyperlink ref="M3100" r:id="rId1781" display="Click here"/>
    <hyperlink ref="M3106" r:id="rId1782" display="Click here"/>
    <hyperlink ref="M3108" r:id="rId1783" display="Click here"/>
    <hyperlink ref="M3109" r:id="rId1784" display="Click here"/>
    <hyperlink ref="M3110" r:id="rId1785" display="Click here"/>
    <hyperlink ref="M3128" r:id="rId1786" display="Click here"/>
    <hyperlink ref="M3146" r:id="rId1787" display="Click here"/>
    <hyperlink ref="M3149" r:id="rId1788" display="Click here"/>
    <hyperlink ref="M3150" r:id="rId1789" display="Click here"/>
    <hyperlink ref="M3153" r:id="rId1790" display="Click here"/>
    <hyperlink ref="M3155" r:id="rId1791" display="Click here"/>
    <hyperlink ref="M3156" r:id="rId1792" display="Click here"/>
    <hyperlink ref="M3157" r:id="rId1793" display="Click here"/>
    <hyperlink ref="M3171" r:id="rId1794" display="Click here"/>
    <hyperlink ref="M3173" r:id="rId1795" display="Click here"/>
    <hyperlink ref="M3175" r:id="rId1796" display="Click here"/>
    <hyperlink ref="M3176" r:id="rId1797" display="Click here"/>
    <hyperlink ref="M3178" r:id="rId1798" display="Click here"/>
    <hyperlink ref="M3191" r:id="rId1799" display="Click here"/>
    <hyperlink ref="M3198" r:id="rId1800" display="Click here"/>
    <hyperlink ref="M3199" r:id="rId1801" display="Click here"/>
    <hyperlink ref="M3200" r:id="rId1802" display="Click here"/>
    <hyperlink ref="M3201" r:id="rId1803" display="Click here"/>
    <hyperlink ref="M3202" r:id="rId1804" display="Click here"/>
    <hyperlink ref="M3203" r:id="rId1805" display="Click here"/>
    <hyperlink ref="M3204" r:id="rId1806" display="Click here"/>
    <hyperlink ref="M3206" r:id="rId1807" display="Click here"/>
    <hyperlink ref="M3209" r:id="rId1808" display="Click here"/>
    <hyperlink ref="M3210" r:id="rId1809" display="Click here"/>
    <hyperlink ref="M3211" r:id="rId1810" display="Click here"/>
    <hyperlink ref="M3212" r:id="rId1811" display="Click here"/>
    <hyperlink ref="M3213" r:id="rId1812" display="Click here"/>
    <hyperlink ref="M3214" r:id="rId1813" display="Click here"/>
    <hyperlink ref="M3215" r:id="rId1814" display="Click here"/>
    <hyperlink ref="M3216" r:id="rId1815" display="Click here"/>
    <hyperlink ref="M3217" r:id="rId1816" display="Click here"/>
    <hyperlink ref="M3220" r:id="rId1817" display="Click here"/>
    <hyperlink ref="M3221" r:id="rId1818" display="Click here"/>
    <hyperlink ref="M3222" r:id="rId1819" display="Click here"/>
    <hyperlink ref="M3223" r:id="rId1820" display="Click here"/>
    <hyperlink ref="M3226" r:id="rId1821" display="Click here"/>
    <hyperlink ref="M3228" r:id="rId1822" display="Click here"/>
    <hyperlink ref="M3229" r:id="rId1823" display="Click here"/>
    <hyperlink ref="M3230" r:id="rId1824" display="Click here"/>
    <hyperlink ref="M3231" r:id="rId1825" display="Click here"/>
    <hyperlink ref="M3232" r:id="rId1826" display="Click here"/>
    <hyperlink ref="M3233" r:id="rId1827" display="Click here"/>
    <hyperlink ref="M3234" r:id="rId1828" display="Click here"/>
    <hyperlink ref="M3235" r:id="rId1829" display="Click here"/>
    <hyperlink ref="M3236" r:id="rId1830" display="Click here"/>
    <hyperlink ref="M3238" r:id="rId1831" display="Click here"/>
    <hyperlink ref="M3239" r:id="rId1832" display="Click here"/>
    <hyperlink ref="M3240" r:id="rId1833" display="Click here"/>
    <hyperlink ref="M3241" r:id="rId1834" display="Click here"/>
    <hyperlink ref="M3242" r:id="rId1835" display="Click here"/>
    <hyperlink ref="M3243" r:id="rId1836" display="Click here"/>
    <hyperlink ref="M3244" r:id="rId1837" display="Click here"/>
    <hyperlink ref="M3246" r:id="rId1838" display="Click here"/>
    <hyperlink ref="M3247" r:id="rId1839" display="Click here"/>
    <hyperlink ref="M3248" r:id="rId1840" display="Click here"/>
    <hyperlink ref="M3249" r:id="rId1841" display="Click here"/>
    <hyperlink ref="M3250" r:id="rId1842" display="Click here"/>
    <hyperlink ref="M3251" r:id="rId1843" display="Click here"/>
    <hyperlink ref="M3252" r:id="rId1844" display="Click here"/>
    <hyperlink ref="M3253" r:id="rId1845" display="Click here"/>
    <hyperlink ref="M3254" r:id="rId1846" display="Click here"/>
    <hyperlink ref="M3255" r:id="rId1847" display="Click here"/>
    <hyperlink ref="M3256" r:id="rId1848" display="Click here"/>
    <hyperlink ref="M3257" r:id="rId1849" display="Click here"/>
    <hyperlink ref="M3258" r:id="rId1850" display="Click here"/>
    <hyperlink ref="M3259" r:id="rId1851" display="Click here"/>
    <hyperlink ref="M3260" r:id="rId1852" display="Click here"/>
    <hyperlink ref="M3261" r:id="rId1853" display="Click here"/>
    <hyperlink ref="M3262" r:id="rId1854" display="Click here"/>
    <hyperlink ref="M3272" r:id="rId1855" display="Click here"/>
    <hyperlink ref="M3273" r:id="rId1856" display="Click here"/>
    <hyperlink ref="M3290" r:id="rId1857" display="Click here"/>
    <hyperlink ref="M3293" r:id="rId1858" display="Click here"/>
    <hyperlink ref="M3294" r:id="rId1859" display="Click here"/>
    <hyperlink ref="M3295" r:id="rId1860" display="Click here"/>
    <hyperlink ref="M3296" r:id="rId1861" display="Click here"/>
    <hyperlink ref="M3297" r:id="rId1862" display="Click here"/>
    <hyperlink ref="M3298" r:id="rId1863" display="Click here"/>
    <hyperlink ref="M3300" r:id="rId1864" display="Click here"/>
    <hyperlink ref="M3302" r:id="rId1865" display="Click here"/>
    <hyperlink ref="M3303" r:id="rId1866" display="Click here"/>
    <hyperlink ref="M3304" r:id="rId1867" display="Click here"/>
    <hyperlink ref="M3305" r:id="rId1868" display="Click here"/>
    <hyperlink ref="M3306" r:id="rId1869" display="Click here"/>
    <hyperlink ref="M3307" r:id="rId1870" display="Click here"/>
    <hyperlink ref="M3310" r:id="rId1871" display="Click here"/>
    <hyperlink ref="M3313" r:id="rId1872" display="Click here"/>
    <hyperlink ref="M3315" r:id="rId1873" display="Click here"/>
    <hyperlink ref="M3316" r:id="rId1874" display="Click here"/>
    <hyperlink ref="M3317" r:id="rId1875" display="Click here"/>
    <hyperlink ref="M3318" r:id="rId1876" display="Click here"/>
    <hyperlink ref="M3320" r:id="rId1877" display="Click here"/>
    <hyperlink ref="M3321" r:id="rId1878" display="Click here"/>
    <hyperlink ref="M3322" r:id="rId1879" display="Click here"/>
    <hyperlink ref="M3324" r:id="rId1880" display="Click here"/>
    <hyperlink ref="M3325" r:id="rId1881" display="Click here"/>
    <hyperlink ref="M3328" r:id="rId1882" display="Click here"/>
    <hyperlink ref="M3329" r:id="rId1883" display="Click here"/>
    <hyperlink ref="M3332" r:id="rId1884" display="Click here"/>
    <hyperlink ref="M3333" r:id="rId1885" display="Click here"/>
    <hyperlink ref="M3334" r:id="rId1886" display="Click here"/>
    <hyperlink ref="M3336" r:id="rId1887" display="Click here"/>
    <hyperlink ref="M3337" r:id="rId1888" display="Click here"/>
    <hyperlink ref="M3338" r:id="rId1889" display="Click here"/>
    <hyperlink ref="M3339" r:id="rId1890" display="Click here"/>
    <hyperlink ref="M3340" r:id="rId1891" display="Click here"/>
    <hyperlink ref="M3341" r:id="rId1892" display="Click here"/>
    <hyperlink ref="M3343" r:id="rId1893" display="Click here"/>
    <hyperlink ref="M3344" r:id="rId1894" display="Click here"/>
    <hyperlink ref="M3345" r:id="rId1895" display="Click here"/>
    <hyperlink ref="M3346" r:id="rId1896" display="Click here"/>
    <hyperlink ref="M3347" r:id="rId1897" display="Click here"/>
    <hyperlink ref="M3348" r:id="rId1898" display="Click here"/>
    <hyperlink ref="M3349" r:id="rId1899" display="Click here"/>
    <hyperlink ref="M3372" r:id="rId1900" display="Click here"/>
    <hyperlink ref="M3376" r:id="rId1901" display="Click here"/>
    <hyperlink ref="M3377" r:id="rId1902" display="Click here"/>
    <hyperlink ref="M3378" r:id="rId1903" display="Click here"/>
    <hyperlink ref="M3379" r:id="rId1904" display="Click here"/>
    <hyperlink ref="M3380" r:id="rId1905" display="Click here"/>
    <hyperlink ref="M3381" r:id="rId1906" display="Click here"/>
    <hyperlink ref="M3382" r:id="rId1907" display="Click here"/>
    <hyperlink ref="M3383" r:id="rId1908" display="Click here"/>
    <hyperlink ref="M3384" r:id="rId1909" display="Click here"/>
    <hyperlink ref="M3385" r:id="rId1910" display="Click here"/>
    <hyperlink ref="M3389" r:id="rId1911" display="Click here"/>
    <hyperlink ref="M3400" r:id="rId1912" display="Click here"/>
    <hyperlink ref="M3401" r:id="rId1913" display="Click here"/>
    <hyperlink ref="M3402" r:id="rId1914" display="Click here"/>
    <hyperlink ref="M3403" r:id="rId1915" display="Click here"/>
    <hyperlink ref="M3404" r:id="rId1916" display="Click here"/>
    <hyperlink ref="M3405" r:id="rId1917" display="Click here"/>
    <hyperlink ref="M3406" r:id="rId1918" display="Click here"/>
    <hyperlink ref="M3408" r:id="rId1919" display="Click here"/>
    <hyperlink ref="M3409" r:id="rId1920" display="Click here"/>
    <hyperlink ref="M3410" r:id="rId1921" display="Click here"/>
    <hyperlink ref="M3411" r:id="rId1922" display="Click here"/>
    <hyperlink ref="M3412" r:id="rId1923" display="Click here"/>
    <hyperlink ref="M3413" r:id="rId1924" display="Click here"/>
    <hyperlink ref="M3427" r:id="rId1925" display="Click here"/>
    <hyperlink ref="M3428" r:id="rId1926" display="Click here"/>
    <hyperlink ref="M3429" r:id="rId1927" display="Click here"/>
    <hyperlink ref="M3430" r:id="rId1928" display="Click here"/>
    <hyperlink ref="M3431" r:id="rId1929" display="Click here"/>
    <hyperlink ref="M3432" r:id="rId1930" display="Click here"/>
    <hyperlink ref="M3433" r:id="rId1931" display="Click here"/>
    <hyperlink ref="M3434" r:id="rId1932" display="Click here"/>
    <hyperlink ref="M3435" r:id="rId1933" display="Click here"/>
    <hyperlink ref="M3437" r:id="rId1934" display="Click here"/>
    <hyperlink ref="M3438" r:id="rId1935" display="Click here"/>
    <hyperlink ref="M3440" r:id="rId1936" display="Click here"/>
    <hyperlink ref="M3441" r:id="rId1937" display="Click here"/>
    <hyperlink ref="M3442" r:id="rId1938" display="Click here"/>
    <hyperlink ref="M3444" r:id="rId1939" display="Click here"/>
    <hyperlink ref="M3445" r:id="rId1940" display="Click here"/>
    <hyperlink ref="M3447" r:id="rId1941" display="Click here"/>
    <hyperlink ref="M3448" r:id="rId1942" display="Click here"/>
    <hyperlink ref="M3449" r:id="rId1943" display="Click here"/>
    <hyperlink ref="M3450" r:id="rId1944" display="Click here"/>
    <hyperlink ref="M3451" r:id="rId1945" display="Click here"/>
    <hyperlink ref="M3453" r:id="rId1946" display="Click here"/>
    <hyperlink ref="M3454" r:id="rId1947" display="Click here"/>
    <hyperlink ref="M3455" r:id="rId1948" display="Click here"/>
    <hyperlink ref="M3456" r:id="rId1949" display="Click here"/>
    <hyperlink ref="M3458" r:id="rId1950" display="Click here"/>
    <hyperlink ref="M3459" r:id="rId1951" display="Click here"/>
    <hyperlink ref="M3460" r:id="rId1952" display="Click here"/>
    <hyperlink ref="M3461" r:id="rId1953" display="Click here"/>
    <hyperlink ref="M3462" r:id="rId1954" display="Click here"/>
    <hyperlink ref="M3465" r:id="rId1955" display="Click here"/>
    <hyperlink ref="M3480" r:id="rId1956" display="Click here"/>
    <hyperlink ref="M3484" r:id="rId1957" display="Click here"/>
    <hyperlink ref="M3485" r:id="rId1958" display="Click here"/>
    <hyperlink ref="M3486" r:id="rId1959" display="Click here"/>
    <hyperlink ref="M3487" r:id="rId1960" display="Click here"/>
    <hyperlink ref="M3488" r:id="rId1961" display="Click here"/>
    <hyperlink ref="M3489" r:id="rId1962" display="Click here"/>
    <hyperlink ref="M3490" r:id="rId1963" display="Click here"/>
    <hyperlink ref="M3491" r:id="rId1964" display="Click here"/>
    <hyperlink ref="M3492" r:id="rId1965" display="Click here"/>
    <hyperlink ref="M3493" r:id="rId1966" display="Click here"/>
    <hyperlink ref="M3494" r:id="rId1967" display="Click here"/>
    <hyperlink ref="M3495" r:id="rId1968" display="Click here"/>
    <hyperlink ref="M3496" r:id="rId1969" display="Click here"/>
    <hyperlink ref="M3497" r:id="rId1970" display="Click here"/>
    <hyperlink ref="M3498" r:id="rId1971" display="Click here"/>
    <hyperlink ref="M3499" r:id="rId1972" display="Click here"/>
    <hyperlink ref="M3500" r:id="rId1973" display="Click here"/>
    <hyperlink ref="M3501" r:id="rId1974" display="Click here"/>
    <hyperlink ref="M3502" r:id="rId1975" display="Click here"/>
    <hyperlink ref="M3504" r:id="rId1976" display="Click here"/>
    <hyperlink ref="M3505" r:id="rId1977" display="Click here"/>
    <hyperlink ref="M3506" r:id="rId1978" display="Click here"/>
    <hyperlink ref="M3507" r:id="rId1979" display="Click here"/>
    <hyperlink ref="M3514" r:id="rId1980" display="Click here"/>
    <hyperlink ref="M3515" r:id="rId1981" display="Click here"/>
    <hyperlink ref="M3516" r:id="rId1982" display="Click here"/>
    <hyperlink ref="M3517" r:id="rId1983" display="Click here"/>
    <hyperlink ref="M3518" r:id="rId1984" display="Click here"/>
    <hyperlink ref="M3519" r:id="rId1985" display="Click here"/>
    <hyperlink ref="M3520" r:id="rId1986" display="Click here"/>
    <hyperlink ref="M3521" r:id="rId1987" display="Click here"/>
    <hyperlink ref="M3522" r:id="rId1988" display="Click here"/>
    <hyperlink ref="M3523" r:id="rId1989" display="Click here"/>
    <hyperlink ref="M3524" r:id="rId1990" display="Click here"/>
    <hyperlink ref="M3525" r:id="rId1991" display="Click here"/>
    <hyperlink ref="M3526" r:id="rId1992" display="Click here"/>
    <hyperlink ref="M3527" r:id="rId1993" display="Click here"/>
    <hyperlink ref="M3528" r:id="rId1994" display="Click here"/>
    <hyperlink ref="M3529" r:id="rId1995" display="Click here"/>
    <hyperlink ref="M3530" r:id="rId1996" display="Click here"/>
    <hyperlink ref="M3531" r:id="rId1997" display="Click here"/>
    <hyperlink ref="M3532" r:id="rId1998" display="Click here"/>
    <hyperlink ref="M3533" r:id="rId1999" display="Click here"/>
    <hyperlink ref="M3534" r:id="rId2000" display="Click here"/>
    <hyperlink ref="M3535" r:id="rId2001" display="Click here"/>
    <hyperlink ref="M3536" r:id="rId2002" display="Click here"/>
    <hyperlink ref="M3537" r:id="rId2003" display="Click here"/>
    <hyperlink ref="M3538" r:id="rId2004" display="Click here"/>
    <hyperlink ref="M3564" r:id="rId2005" display="Click here"/>
    <hyperlink ref="M3565" r:id="rId2006" display="Click here"/>
    <hyperlink ref="M3566" r:id="rId2007" display="Click here"/>
    <hyperlink ref="M3567" r:id="rId2008" display="Click here"/>
    <hyperlink ref="M3568" r:id="rId2009" display="Click here"/>
    <hyperlink ref="M3569" r:id="rId2010" display="Click here"/>
    <hyperlink ref="M3571" r:id="rId2011" display="Click here"/>
    <hyperlink ref="M3572" r:id="rId2012" display="Click here"/>
    <hyperlink ref="M3573" r:id="rId2013" display="Click here"/>
    <hyperlink ref="M3574" r:id="rId2014" display="Click here"/>
    <hyperlink ref="M3575" r:id="rId2015" display="Click here"/>
    <hyperlink ref="M3576" r:id="rId2016" display="Click here"/>
    <hyperlink ref="M3577" r:id="rId2017" display="Click here"/>
    <hyperlink ref="M3579" r:id="rId2018" display="Click here"/>
    <hyperlink ref="M3580" r:id="rId2019" display="Click here"/>
    <hyperlink ref="M3581" r:id="rId2020" display="Click here"/>
    <hyperlink ref="M3582" r:id="rId2021" display="Click here"/>
    <hyperlink ref="M3583" r:id="rId2022" display="Click here"/>
    <hyperlink ref="M3584" r:id="rId2023" display="Click here"/>
    <hyperlink ref="M3585" r:id="rId2024" display="Click here"/>
    <hyperlink ref="M3586" r:id="rId2025" display="Click here"/>
    <hyperlink ref="M3587" r:id="rId2026" display="Click here"/>
    <hyperlink ref="M3589" r:id="rId2027" display="Click here"/>
    <hyperlink ref="M3590" r:id="rId2028" display="Click here"/>
    <hyperlink ref="M3591" r:id="rId2029" display="Click here"/>
    <hyperlink ref="M3604" r:id="rId2030" display="Click here"/>
    <hyperlink ref="M3620" r:id="rId2031" display="Click here"/>
    <hyperlink ref="M3621" r:id="rId2032" display="Click here"/>
    <hyperlink ref="M3622" r:id="rId2033" display="Click here"/>
    <hyperlink ref="M3623" r:id="rId2034" display="Click here"/>
    <hyperlink ref="M3624" r:id="rId2035" display="Click here"/>
    <hyperlink ref="M3625" r:id="rId2036" display="Click here"/>
    <hyperlink ref="M3626" r:id="rId2037" display="Click here"/>
    <hyperlink ref="M3627" r:id="rId2038" display="Click here"/>
    <hyperlink ref="M3628" r:id="rId2039" display="Click here"/>
    <hyperlink ref="M3629" r:id="rId2040" display="Click here"/>
    <hyperlink ref="M3630" r:id="rId2041" display="Click here"/>
    <hyperlink ref="M3631" r:id="rId2042" display="Click here"/>
    <hyperlink ref="M3632" r:id="rId2043" display="Click here"/>
    <hyperlink ref="M3633" r:id="rId2044" display="Click here"/>
    <hyperlink ref="M3634" r:id="rId2045" display="Click here"/>
    <hyperlink ref="M3635" r:id="rId2046" display="Click here"/>
    <hyperlink ref="M3636" r:id="rId2047" display="Click here"/>
    <hyperlink ref="M3637" r:id="rId2048" display="Click here"/>
    <hyperlink ref="M3638" r:id="rId2049" display="Click here"/>
    <hyperlink ref="M3639" r:id="rId2050" display="Click here"/>
    <hyperlink ref="M3641" r:id="rId2051" display="Click here"/>
    <hyperlink ref="M3642" r:id="rId2052" display="Click here"/>
    <hyperlink ref="M3643" r:id="rId2053" display="Click here"/>
    <hyperlink ref="M3644" r:id="rId2054" display="Click here"/>
    <hyperlink ref="M3651" r:id="rId2055" display="Click here"/>
    <hyperlink ref="M3652" r:id="rId2056" display="Click here"/>
    <hyperlink ref="M3653" r:id="rId2057" display="Click here"/>
    <hyperlink ref="M3654" r:id="rId2058" display="Click here"/>
    <hyperlink ref="M3655" r:id="rId2059" display="Click here"/>
    <hyperlink ref="M3656" r:id="rId2060" display="Click here"/>
    <hyperlink ref="M3657" r:id="rId2061" display="Click here"/>
    <hyperlink ref="M3658" r:id="rId2062" display="Click here"/>
    <hyperlink ref="M3659" r:id="rId2063" display="Click here"/>
    <hyperlink ref="M3660" r:id="rId2064" display="Click here"/>
    <hyperlink ref="M3661" r:id="rId2065" display="Click here"/>
    <hyperlink ref="M3662" r:id="rId2066" display="Click here"/>
    <hyperlink ref="M3663" r:id="rId2067" display="Click here"/>
    <hyperlink ref="M3665" r:id="rId2068" display="Click here"/>
    <hyperlink ref="M3666" r:id="rId2069" display="Click here"/>
    <hyperlink ref="M3668" r:id="rId2070" display="Click here"/>
    <hyperlink ref="M3669" r:id="rId2071" display="Click here"/>
    <hyperlink ref="M3671" r:id="rId2072" display="Click here"/>
    <hyperlink ref="M3672" r:id="rId2073" display="Click here"/>
    <hyperlink ref="M3680" r:id="rId2074" display="Click here"/>
    <hyperlink ref="M3682" r:id="rId2075" display="Click here"/>
    <hyperlink ref="M3683" r:id="rId2076" display="Click here"/>
    <hyperlink ref="M3684" r:id="rId2077" display="Click here"/>
    <hyperlink ref="M3687" r:id="rId2078" display="Click here"/>
    <hyperlink ref="M3691" r:id="rId2079" display="Click here"/>
    <hyperlink ref="M3692" r:id="rId2080" display="Click here"/>
    <hyperlink ref="M3693" r:id="rId2081" display="Click here"/>
    <hyperlink ref="M3694" r:id="rId2082" display="Click here"/>
    <hyperlink ref="M3696" r:id="rId2083" display="Click here"/>
    <hyperlink ref="M3697" r:id="rId2084" display="Click here"/>
    <hyperlink ref="M3717" r:id="rId2085" display="Click here"/>
    <hyperlink ref="M3719" r:id="rId2086" display="Click here"/>
    <hyperlink ref="M3729" r:id="rId2087" display="Click here"/>
    <hyperlink ref="M3730" r:id="rId2088" display="Click here"/>
    <hyperlink ref="M3731" r:id="rId2089" display="Click here"/>
    <hyperlink ref="M3733" r:id="rId2090" display="Click here"/>
    <hyperlink ref="M3734" r:id="rId2091" display="Click here"/>
    <hyperlink ref="M3735" r:id="rId2092" display="Click here"/>
    <hyperlink ref="M3736" r:id="rId2093" display="Click here"/>
    <hyperlink ref="M3737" r:id="rId2094" display="Click here"/>
    <hyperlink ref="M3738" r:id="rId2095" display="Click here"/>
    <hyperlink ref="M3739" r:id="rId2096" display="Click here"/>
    <hyperlink ref="M3740" r:id="rId2097" display="Click here"/>
    <hyperlink ref="M3741" r:id="rId2098" display="Click here"/>
    <hyperlink ref="M3742" r:id="rId2099" display="Click here"/>
    <hyperlink ref="M3743" r:id="rId2100" display="Click here"/>
    <hyperlink ref="M3744" r:id="rId2101" display="Click here"/>
    <hyperlink ref="M3745" r:id="rId2102" display="Click here"/>
    <hyperlink ref="M3746" r:id="rId2103" display="Click here"/>
    <hyperlink ref="M3747" r:id="rId2104" display="Click here"/>
    <hyperlink ref="M3748" r:id="rId2105" display="Click here"/>
    <hyperlink ref="M3749" r:id="rId2106" display="Click here"/>
    <hyperlink ref="M3750" r:id="rId2107" display="Click here"/>
    <hyperlink ref="M3751" r:id="rId2108" display="Click here"/>
    <hyperlink ref="M3752" r:id="rId2109" display="Click here"/>
    <hyperlink ref="M3753" r:id="rId2110" display="Click here"/>
    <hyperlink ref="M3754" r:id="rId2111" display="Click here"/>
    <hyperlink ref="M3755" r:id="rId2112" display="Click here"/>
    <hyperlink ref="M3756" r:id="rId2113" display="Click here"/>
    <hyperlink ref="M3757" r:id="rId2114" display="Click here"/>
    <hyperlink ref="M3758" r:id="rId2115" display="Click here"/>
    <hyperlink ref="M3759" r:id="rId2116" display="Click here"/>
    <hyperlink ref="M3760" r:id="rId2117" display="Click here"/>
    <hyperlink ref="M3761" r:id="rId2118" display="Click here"/>
    <hyperlink ref="M3762" r:id="rId2119" display="Click here"/>
    <hyperlink ref="M3763" r:id="rId2120" display="Click here"/>
    <hyperlink ref="M3764" r:id="rId2121" display="Click here"/>
    <hyperlink ref="M3765" r:id="rId2122" display="Click here"/>
    <hyperlink ref="M3766" r:id="rId2123" display="Click here"/>
    <hyperlink ref="M3768" r:id="rId2124" display="Click here"/>
    <hyperlink ref="M3770" r:id="rId2125" display="Click here"/>
    <hyperlink ref="M3771" r:id="rId2126" display="Click here"/>
    <hyperlink ref="M3794" r:id="rId2127" display="Click here"/>
    <hyperlink ref="M3795" r:id="rId2128" display="Click here"/>
    <hyperlink ref="M3796" r:id="rId2129" display="Click here"/>
    <hyperlink ref="M3797" r:id="rId2130" display="Click here"/>
    <hyperlink ref="M3798" r:id="rId2131" display="Click here"/>
    <hyperlink ref="M3799" r:id="rId2132" display="Click here"/>
    <hyperlink ref="M3800" r:id="rId2133" display="Click here"/>
    <hyperlink ref="M3801" r:id="rId2134" display="Click here"/>
    <hyperlink ref="M3802" r:id="rId2135" display="Click here"/>
    <hyperlink ref="M3803" r:id="rId2136" display="Click here"/>
    <hyperlink ref="M3804" r:id="rId2137" display="Click here"/>
    <hyperlink ref="M3805" r:id="rId2138" display="Click here"/>
    <hyperlink ref="M3806" r:id="rId2139" display="Click here"/>
    <hyperlink ref="M3807" r:id="rId2140" display="Click here"/>
    <hyperlink ref="M3808" r:id="rId2141" display="Click here"/>
    <hyperlink ref="M3809" r:id="rId2142" display="Click here"/>
    <hyperlink ref="M3811" r:id="rId2143" display="Click here"/>
    <hyperlink ref="M3812" r:id="rId2144" display="Click here"/>
    <hyperlink ref="M3814" r:id="rId2145" display="Click here"/>
    <hyperlink ref="M3815" r:id="rId2146" display="Click here"/>
    <hyperlink ref="M3816" r:id="rId2147" display="Click here"/>
    <hyperlink ref="M3817" r:id="rId2148" display="Click here"/>
    <hyperlink ref="M3818" r:id="rId2149" display="Click here"/>
    <hyperlink ref="M3819" r:id="rId2150" display="Click here"/>
    <hyperlink ref="M3820" r:id="rId2151" display="Click here"/>
    <hyperlink ref="M3821" r:id="rId2152" display="Click here"/>
    <hyperlink ref="M3822" r:id="rId2153" display="Click here"/>
    <hyperlink ref="M3823" r:id="rId2154" display="Click here"/>
    <hyperlink ref="M3824" r:id="rId2155" display="Click here"/>
    <hyperlink ref="M3825" r:id="rId2156" display="Click here"/>
    <hyperlink ref="M3826" r:id="rId2157" display="Click here"/>
    <hyperlink ref="M3827" r:id="rId2158" display="Click here"/>
    <hyperlink ref="M3828" r:id="rId2159" display="Click here"/>
    <hyperlink ref="M3829" r:id="rId2160" display="Click here"/>
    <hyperlink ref="M3830" r:id="rId2161" display="Click here"/>
    <hyperlink ref="M3831" r:id="rId2162" display="Click here"/>
    <hyperlink ref="M3832" r:id="rId2163" display="Click here"/>
    <hyperlink ref="M3833" r:id="rId2164" display="Click here"/>
    <hyperlink ref="M3834" r:id="rId2165" display="Click here"/>
    <hyperlink ref="M3835" r:id="rId2166" display="Click here"/>
    <hyperlink ref="M3836" r:id="rId2167" display="Click here"/>
    <hyperlink ref="M3837" r:id="rId2168" display="Click here"/>
    <hyperlink ref="M3838" r:id="rId2169" display="Click here"/>
    <hyperlink ref="M3839" r:id="rId2170" display="Click here"/>
    <hyperlink ref="M3843" r:id="rId2171" display="Click here"/>
    <hyperlink ref="M3844" r:id="rId2172" display="Click here"/>
    <hyperlink ref="M3860" r:id="rId2173" display="Click here"/>
    <hyperlink ref="M3861" r:id="rId2174" display="Click here"/>
    <hyperlink ref="M3862" r:id="rId2175" display="Click here"/>
    <hyperlink ref="M3863" r:id="rId2176" display="Click here"/>
    <hyperlink ref="M3864" r:id="rId2177" display="Click here"/>
    <hyperlink ref="M3865" r:id="rId2178" display="Click here"/>
    <hyperlink ref="M3866" r:id="rId2179" display="Click here"/>
    <hyperlink ref="M3867" r:id="rId2180" display="Click here"/>
    <hyperlink ref="M3868" r:id="rId2181" display="Click here"/>
    <hyperlink ref="M3869" r:id="rId2182" display="Click here"/>
    <hyperlink ref="M3870" r:id="rId2183" display="Click here"/>
    <hyperlink ref="M3871" r:id="rId2184" display="Click here"/>
    <hyperlink ref="M3873" r:id="rId2185" display="Click here"/>
    <hyperlink ref="M3874" r:id="rId2186" display="Click here"/>
    <hyperlink ref="M3875" r:id="rId2187" display="Click here"/>
    <hyperlink ref="M3878" r:id="rId2188" display="Click here"/>
    <hyperlink ref="M3879" r:id="rId2189" display="Click here"/>
    <hyperlink ref="M3881" r:id="rId2190" display="Click here"/>
    <hyperlink ref="M3882" r:id="rId2191" display="Click here"/>
    <hyperlink ref="M3883" r:id="rId2192" display="Click here"/>
    <hyperlink ref="M3884" r:id="rId2193" display="Click here"/>
    <hyperlink ref="M3885" r:id="rId2194" display="Click here"/>
    <hyperlink ref="M3886" r:id="rId2195" display="Click here"/>
    <hyperlink ref="M3887" r:id="rId2196" display="Click here"/>
    <hyperlink ref="M3889" r:id="rId2197" display="Click here"/>
    <hyperlink ref="M3890" r:id="rId2198" display="Click here"/>
    <hyperlink ref="M3891" r:id="rId2199" display="Click here"/>
    <hyperlink ref="M3892" r:id="rId2200" display="Click here"/>
    <hyperlink ref="M3893" r:id="rId2201" display="Click here"/>
    <hyperlink ref="M3894" r:id="rId2202" display="Click here"/>
    <hyperlink ref="M3920" r:id="rId2203" display="Click here"/>
    <hyperlink ref="M3933" r:id="rId2204" display="Click here"/>
    <hyperlink ref="M3934" r:id="rId2205" display="Click here"/>
    <hyperlink ref="M3935" r:id="rId2206" display="Click here"/>
    <hyperlink ref="M3936" r:id="rId2207" display="Click here"/>
    <hyperlink ref="M3937" r:id="rId2208" display="Click here"/>
    <hyperlink ref="M3938" r:id="rId2209" display="Click here"/>
    <hyperlink ref="M3939" r:id="rId2210" display="Click here"/>
    <hyperlink ref="M3940" r:id="rId2211" display="Click here"/>
    <hyperlink ref="M3943" r:id="rId2212" display="Click here"/>
    <hyperlink ref="M3944" r:id="rId2213" display="Click here"/>
    <hyperlink ref="M3946" r:id="rId2214" display="Click here"/>
    <hyperlink ref="M3948" r:id="rId2215" display="Click here"/>
    <hyperlink ref="M3949" r:id="rId2216" display="Click here"/>
    <hyperlink ref="M3950" r:id="rId2217" display="Click here"/>
    <hyperlink ref="M3951" r:id="rId2218" display="Click here"/>
    <hyperlink ref="M3952" r:id="rId2219" display="Click here"/>
    <hyperlink ref="M3953" r:id="rId2220" display="Click here"/>
    <hyperlink ref="M3954" r:id="rId2221" display="Click here"/>
    <hyperlink ref="M3955" r:id="rId2222" display="Click here"/>
    <hyperlink ref="M3956" r:id="rId2223" display="Click here"/>
    <hyperlink ref="M3957" r:id="rId2224" display="Click here"/>
    <hyperlink ref="M3958" r:id="rId2225" display="Click here"/>
    <hyperlink ref="M3959" r:id="rId2226" display="Click here"/>
    <hyperlink ref="M3970" r:id="rId2227" display="Click here"/>
    <hyperlink ref="M3975" r:id="rId2228" display="Click here"/>
    <hyperlink ref="M3976" r:id="rId2229" display="Click here"/>
    <hyperlink ref="M3977" r:id="rId2230" display="Click here"/>
    <hyperlink ref="M3978" r:id="rId2231" display="Click here"/>
    <hyperlink ref="M3979" r:id="rId2232" display="Click here"/>
    <hyperlink ref="M3981" r:id="rId2233" display="Click here"/>
    <hyperlink ref="M3982" r:id="rId2234" display="Click here"/>
    <hyperlink ref="M3983" r:id="rId2235" display="Click here"/>
    <hyperlink ref="M3984" r:id="rId2236" display="Click here"/>
    <hyperlink ref="M3985" r:id="rId2237" display="Click here"/>
    <hyperlink ref="M3986" r:id="rId2238" display="Click here"/>
    <hyperlink ref="M3987" r:id="rId2239" display="Click here"/>
    <hyperlink ref="M3988" r:id="rId2240" display="Click here"/>
    <hyperlink ref="M3989" r:id="rId2241" display="Click here"/>
    <hyperlink ref="M3990" r:id="rId2242" display="Click here"/>
    <hyperlink ref="M3991" r:id="rId2243" display="Click here"/>
    <hyperlink ref="M3992" r:id="rId2244" display="Click here"/>
    <hyperlink ref="M3993" r:id="rId2245" display="Click here"/>
    <hyperlink ref="M3994" r:id="rId2246" display="Click here"/>
    <hyperlink ref="M3995" r:id="rId2247" display="Click here"/>
    <hyperlink ref="M3996" r:id="rId2248" display="Click here"/>
    <hyperlink ref="M3997" r:id="rId2249" display="Click here"/>
    <hyperlink ref="M3998" r:id="rId2250" display="Click here"/>
    <hyperlink ref="M3999" r:id="rId2251" display="Click here"/>
    <hyperlink ref="M4000" r:id="rId2252" display="Click here"/>
    <hyperlink ref="M4001" r:id="rId2253" display="Click here"/>
    <hyperlink ref="M4002" r:id="rId2254" display="Click here"/>
    <hyperlink ref="M4003" r:id="rId2255" display="Click here"/>
    <hyperlink ref="M4004" r:id="rId2256" display="Click here"/>
    <hyperlink ref="M4005" r:id="rId2257" display="Click here"/>
    <hyperlink ref="M4006" r:id="rId2258" display="Click here"/>
    <hyperlink ref="M4007" r:id="rId2259" display="Click here"/>
    <hyperlink ref="M4008" r:id="rId2260" display="Click here"/>
    <hyperlink ref="M4009" r:id="rId2261" display="Click here"/>
    <hyperlink ref="M4010" r:id="rId2262" display="Click here"/>
    <hyperlink ref="M4011" r:id="rId2263" display="Click here"/>
    <hyperlink ref="M4012" r:id="rId2264" display="Click here"/>
    <hyperlink ref="M4013" r:id="rId2265" display="Click here"/>
    <hyperlink ref="M4014" r:id="rId2266" display="Click here"/>
    <hyperlink ref="M4015" r:id="rId2267" display="Click here"/>
    <hyperlink ref="M4016" r:id="rId2268" display="Click here"/>
    <hyperlink ref="M4017" r:id="rId2269" display="Click here"/>
    <hyperlink ref="M4018" r:id="rId2270" display="Click here"/>
    <hyperlink ref="M4019" r:id="rId2271" display="Click here"/>
    <hyperlink ref="M4020" r:id="rId2272" display="Click here"/>
    <hyperlink ref="M4021" r:id="rId2273" display="Click here"/>
    <hyperlink ref="M4022" r:id="rId2274" display="Click here"/>
    <hyperlink ref="M4023" r:id="rId2275" display="Click here"/>
    <hyperlink ref="M4024" r:id="rId2276" display="Click here"/>
    <hyperlink ref="M4025" r:id="rId2277" display="Click here"/>
    <hyperlink ref="M4026" r:id="rId2278" display="Click here"/>
    <hyperlink ref="M4027" r:id="rId2279" display="Click here"/>
    <hyperlink ref="M4028" r:id="rId2280" display="Click here"/>
    <hyperlink ref="M4029" r:id="rId2281" display="Click here"/>
    <hyperlink ref="M4030" r:id="rId2282" display="Click here"/>
    <hyperlink ref="M4031" r:id="rId2283" display="Click here"/>
    <hyperlink ref="M4061" r:id="rId2284" display="Click here"/>
    <hyperlink ref="M4062" r:id="rId2285" display="Click here"/>
    <hyperlink ref="M4063" r:id="rId2286" display="Click here"/>
    <hyperlink ref="M4064" r:id="rId2287" display="Click here"/>
    <hyperlink ref="M4065" r:id="rId2288" display="Click here"/>
    <hyperlink ref="M4067" r:id="rId2289" display="Click here"/>
    <hyperlink ref="M4068" r:id="rId2290" display="Click here"/>
    <hyperlink ref="M4069" r:id="rId2291" display="Click here"/>
    <hyperlink ref="M4072" r:id="rId2292" display="Click here"/>
    <hyperlink ref="M4073" r:id="rId2293" display="Click here"/>
    <hyperlink ref="M4074" r:id="rId2294" display="Click here"/>
    <hyperlink ref="M4075" r:id="rId2295" display="Click here"/>
    <hyperlink ref="M4076" r:id="rId2296" display="Click here"/>
    <hyperlink ref="M4077" r:id="rId2297" display="Click here"/>
    <hyperlink ref="M4080" r:id="rId2298" display="Click here"/>
    <hyperlink ref="M4081" r:id="rId2299" display="Click here"/>
    <hyperlink ref="M4082" r:id="rId2300" display="Click here"/>
    <hyperlink ref="M4083" r:id="rId2301" display="Click here"/>
    <hyperlink ref="M4084" r:id="rId2302" display="Click here"/>
    <hyperlink ref="M4085" r:id="rId2303" display="Click here"/>
    <hyperlink ref="M4086" r:id="rId2304" display="Click here"/>
    <hyperlink ref="M4087" r:id="rId2305" display="Click here"/>
    <hyperlink ref="M4088" r:id="rId2306" display="Click here"/>
    <hyperlink ref="M4089" r:id="rId2307" display="Click here"/>
    <hyperlink ref="M4090" r:id="rId2308" display="Click here"/>
    <hyperlink ref="M4091" r:id="rId2309" display="Click here"/>
    <hyperlink ref="M4092" r:id="rId2310" display="Click here"/>
    <hyperlink ref="M4093" r:id="rId2311" display="Click here"/>
    <hyperlink ref="M4094" r:id="rId2312" display="Click here"/>
    <hyperlink ref="M4096" r:id="rId2313" display="Click here"/>
    <hyperlink ref="M4097" r:id="rId2314" display="Click here"/>
    <hyperlink ref="M4098" r:id="rId2315" display="Click here"/>
    <hyperlink ref="M4099" r:id="rId2316" display="Click here"/>
    <hyperlink ref="M4100" r:id="rId2317" display="Click here"/>
    <hyperlink ref="M4101" r:id="rId2318" display="Click here"/>
    <hyperlink ref="M4102" r:id="rId2319" display="Click here"/>
    <hyperlink ref="M4103" r:id="rId2320" display="Click here"/>
    <hyperlink ref="M4104" r:id="rId2321" display="Click here"/>
    <hyperlink ref="M4106" r:id="rId2322" display="Click here"/>
    <hyperlink ref="M4107" r:id="rId2323" display="Click here"/>
    <hyperlink ref="M4109" r:id="rId2324" display="Click here"/>
    <hyperlink ref="M4110" r:id="rId2325" display="Click here"/>
    <hyperlink ref="M4113" r:id="rId2326" display="Click here"/>
    <hyperlink ref="M4114" r:id="rId2327" display="Click here"/>
    <hyperlink ref="M4115" r:id="rId2328" display="Click here"/>
    <hyperlink ref="M4116" r:id="rId2329" display="Click here"/>
    <hyperlink ref="M4117" r:id="rId2330" display="Click here"/>
    <hyperlink ref="M4125" r:id="rId2331" display="Click here"/>
    <hyperlink ref="M4127" r:id="rId2332" display="Click here"/>
    <hyperlink ref="M4128" r:id="rId2333" display="Click here"/>
    <hyperlink ref="M4129" r:id="rId2334" display="Click here"/>
    <hyperlink ref="M4131" r:id="rId2335" display="Click here"/>
    <hyperlink ref="M4132" r:id="rId2336" display="Click here"/>
    <hyperlink ref="M4133" r:id="rId2337" display="Click here"/>
    <hyperlink ref="M4134" r:id="rId2338" display="Click here"/>
    <hyperlink ref="M4135" r:id="rId2339" display="Click here"/>
    <hyperlink ref="M4136" r:id="rId2340" display="Click here"/>
    <hyperlink ref="M4137" r:id="rId2341" display="Click here"/>
    <hyperlink ref="M4139" r:id="rId2342" display="Click here"/>
    <hyperlink ref="M4141" r:id="rId2343" display="Click here"/>
    <hyperlink ref="M4142" r:id="rId2344" display="Click here"/>
    <hyperlink ref="M4143" r:id="rId2345" display="Click here"/>
    <hyperlink ref="M4144" r:id="rId2346" display="Click here"/>
    <hyperlink ref="M4145" r:id="rId2347" display="Click here"/>
    <hyperlink ref="M4146" r:id="rId2348" display="Click here"/>
    <hyperlink ref="M4147" r:id="rId2349" display="Click here"/>
    <hyperlink ref="M4148" r:id="rId2350" display="Click here"/>
    <hyperlink ref="M4149" r:id="rId2351" display="Click here"/>
    <hyperlink ref="M4150" r:id="rId2352" display="Click here"/>
    <hyperlink ref="M4151" r:id="rId2353" display="Click here"/>
    <hyperlink ref="M4152" r:id="rId2354" display="Click here"/>
    <hyperlink ref="M4154" r:id="rId2355" display="Click here"/>
    <hyperlink ref="M4157" r:id="rId2356" display="Click here"/>
    <hyperlink ref="M4158" r:id="rId2357" display="Click here"/>
    <hyperlink ref="M4159" r:id="rId2358" display="Click here"/>
    <hyperlink ref="M4160" r:id="rId2359" display="Click here"/>
    <hyperlink ref="M4161" r:id="rId2360" display="Click here"/>
    <hyperlink ref="M4162" r:id="rId2361" display="Click here"/>
    <hyperlink ref="M4163" r:id="rId2362" display="Click here"/>
    <hyperlink ref="M4164" r:id="rId2363" display="Click here"/>
    <hyperlink ref="M4165" r:id="rId2364" display="Click here"/>
    <hyperlink ref="M4166" r:id="rId2365" display="Click here"/>
    <hyperlink ref="M4167" r:id="rId2366" display="Click here"/>
    <hyperlink ref="M4168" r:id="rId2367" display="Click here"/>
    <hyperlink ref="M4169" r:id="rId2368" display="Click here"/>
    <hyperlink ref="M4170" r:id="rId2369" display="Click here"/>
    <hyperlink ref="M4171" r:id="rId2370" display="Click here"/>
    <hyperlink ref="M4172" r:id="rId2371" display="Click here"/>
    <hyperlink ref="M4173" r:id="rId2372" display="Click here"/>
    <hyperlink ref="M4174" r:id="rId2373" display="Click here"/>
    <hyperlink ref="M4175" r:id="rId2374" display="Click here"/>
    <hyperlink ref="M4176" r:id="rId2375" display="Click here"/>
    <hyperlink ref="M4177" r:id="rId2376" display="Click here"/>
    <hyperlink ref="M4178" r:id="rId2377" display="Click here"/>
    <hyperlink ref="M4179" r:id="rId2378" display="Click here"/>
    <hyperlink ref="M4180" r:id="rId2379" display="Click here"/>
    <hyperlink ref="M4181" r:id="rId2380" display="Click here"/>
    <hyperlink ref="M4182" r:id="rId2381" display="Click here"/>
    <hyperlink ref="M4193" r:id="rId2382" display="Click here"/>
    <hyperlink ref="M4194" r:id="rId2383" display="Click here"/>
    <hyperlink ref="M4195" r:id="rId2384" display="Click here"/>
    <hyperlink ref="M4196" r:id="rId2385" display="Click here"/>
    <hyperlink ref="M4197" r:id="rId2386" display="Click here"/>
    <hyperlink ref="M4198" r:id="rId2387" display="Click here"/>
    <hyperlink ref="M4199" r:id="rId2388" display="Click here"/>
    <hyperlink ref="M4200" r:id="rId2389" display="Click here"/>
    <hyperlink ref="M4201" r:id="rId2390" display="Click here"/>
    <hyperlink ref="M4202" r:id="rId2391" display="Click here"/>
    <hyperlink ref="M4203" r:id="rId2392" display="Click here"/>
    <hyperlink ref="M4204" r:id="rId2393" display="Click here"/>
    <hyperlink ref="M4205" r:id="rId2394" display="Click here"/>
    <hyperlink ref="M4209" r:id="rId2395" display="Click here"/>
    <hyperlink ref="M4212" r:id="rId2396" display="Click here"/>
    <hyperlink ref="M4218" r:id="rId2397" display="Click here"/>
    <hyperlink ref="M4221" r:id="rId2398" display="Click here"/>
    <hyperlink ref="M4222" r:id="rId2399" display="Click here"/>
    <hyperlink ref="M4223" r:id="rId2400" display="Click here"/>
    <hyperlink ref="M4225" r:id="rId2401" display="Click here"/>
    <hyperlink ref="M4226" r:id="rId2402" display="Click here"/>
    <hyperlink ref="M4228" r:id="rId2403" display="Click here"/>
    <hyperlink ref="M4229" r:id="rId2404" display="Click here"/>
    <hyperlink ref="M4230" r:id="rId2405" display="Click here"/>
    <hyperlink ref="M4231" r:id="rId2406" display="Click here"/>
    <hyperlink ref="M4232" r:id="rId2407" display="Click here"/>
    <hyperlink ref="M4233" r:id="rId2408" display="Click here"/>
    <hyperlink ref="M4234" r:id="rId2409" display="Click here"/>
    <hyperlink ref="M4236" r:id="rId2410" display="Click here"/>
    <hyperlink ref="M4237" r:id="rId2411" display="Click here"/>
    <hyperlink ref="M4239" r:id="rId2412" display="Click here"/>
    <hyperlink ref="M4241" r:id="rId2413" display="Click here"/>
    <hyperlink ref="M4269" r:id="rId2414" display="Click here"/>
    <hyperlink ref="M4270" r:id="rId2415" display="Click here"/>
    <hyperlink ref="M4271" r:id="rId2416" display="Click here"/>
    <hyperlink ref="M4275" r:id="rId2417" display="Click here"/>
    <hyperlink ref="M4276" r:id="rId2418" display="Click here"/>
    <hyperlink ref="M4278" r:id="rId2419" display="Click here"/>
    <hyperlink ref="M4283" r:id="rId2420" display="Click here"/>
    <hyperlink ref="M4289" r:id="rId2421" display="Click here"/>
    <hyperlink ref="M4290" r:id="rId2422" display="Click here"/>
    <hyperlink ref="M4291" r:id="rId2423" display="Click here"/>
    <hyperlink ref="M4292" r:id="rId2424" display="Click here"/>
    <hyperlink ref="M4293" r:id="rId2425" display="Click here"/>
    <hyperlink ref="M4294" r:id="rId2426" display="Click here"/>
    <hyperlink ref="M4296" r:id="rId2427" display="Click here"/>
    <hyperlink ref="M4299" r:id="rId2428" display="Click here"/>
    <hyperlink ref="M4300" r:id="rId2429" display="Click here"/>
    <hyperlink ref="M4301" r:id="rId2430" display="Click here"/>
    <hyperlink ref="M4302" r:id="rId2431" display="Click here"/>
    <hyperlink ref="M4305" r:id="rId2432" display="Click here"/>
    <hyperlink ref="M4306" r:id="rId2433" display="Click here"/>
    <hyperlink ref="M4320" r:id="rId2434" display="Click here"/>
    <hyperlink ref="M4321" r:id="rId2435" display="Click here"/>
    <hyperlink ref="M4322" r:id="rId2436" display="Click here"/>
    <hyperlink ref="M4323" r:id="rId2437" display="Click here"/>
    <hyperlink ref="M4324" r:id="rId2438" display="Click here"/>
    <hyperlink ref="M4325" r:id="rId2439" display="Click here"/>
    <hyperlink ref="M4326" r:id="rId2440" display="Click here"/>
    <hyperlink ref="M4327" r:id="rId2441" display="Click here"/>
    <hyperlink ref="M4329" r:id="rId2442" display="Click here"/>
    <hyperlink ref="M4330" r:id="rId2443" display="Click here"/>
    <hyperlink ref="M4331" r:id="rId2444" display="Click here"/>
    <hyperlink ref="M4332" r:id="rId2445" display="Click here"/>
    <hyperlink ref="M4333" r:id="rId2446" display="Click here"/>
    <hyperlink ref="M4335" r:id="rId2447" display="Click here"/>
    <hyperlink ref="M4336" r:id="rId2448" display="Click here"/>
    <hyperlink ref="M4337" r:id="rId2449" display="Click here"/>
    <hyperlink ref="M4338" r:id="rId2450" display="Click here"/>
    <hyperlink ref="M4339" r:id="rId2451" display="Click here"/>
    <hyperlink ref="M4341" r:id="rId2452" display="Click here"/>
    <hyperlink ref="M4342" r:id="rId2453" display="Click here"/>
    <hyperlink ref="M4343" r:id="rId2454" display="Click here"/>
    <hyperlink ref="M4346" r:id="rId2455" display="Click here"/>
    <hyperlink ref="M4347" r:id="rId2456" display="Click here"/>
    <hyperlink ref="M4348" r:id="rId2457" display="Click here"/>
    <hyperlink ref="M4350" r:id="rId2458" display="Click here"/>
    <hyperlink ref="M4351" r:id="rId2459" display="Click here"/>
    <hyperlink ref="M4352" r:id="rId2460" display="Click here"/>
    <hyperlink ref="M4356" r:id="rId2461" display="Click here"/>
    <hyperlink ref="M4357" r:id="rId2462" display="Click here"/>
    <hyperlink ref="M4358" r:id="rId2463" display="Click here"/>
    <hyperlink ref="M4359" r:id="rId2464" display="Click here"/>
    <hyperlink ref="M4360" r:id="rId2465" display="Click here"/>
    <hyperlink ref="M4361" r:id="rId2466" display="Click here"/>
    <hyperlink ref="M4362" r:id="rId2467" display="Click here"/>
    <hyperlink ref="M4363" r:id="rId2468" display="Click here"/>
    <hyperlink ref="M4364" r:id="rId2469" display="Click here"/>
    <hyperlink ref="M4365" r:id="rId2470" display="Click here"/>
    <hyperlink ref="M4366" r:id="rId2471" display="Click here"/>
    <hyperlink ref="M4367" r:id="rId2472" display="Click here"/>
    <hyperlink ref="M4368" r:id="rId2473" display="Click here"/>
    <hyperlink ref="M4369" r:id="rId2474" display="Click here"/>
    <hyperlink ref="M4370" r:id="rId2475" display="Click here"/>
    <hyperlink ref="M4371" r:id="rId2476" display="Click here"/>
    <hyperlink ref="M4372" r:id="rId2477" display="Click here"/>
    <hyperlink ref="M4373" r:id="rId2478" display="Click here"/>
    <hyperlink ref="M4374" r:id="rId2479" display="Click here"/>
    <hyperlink ref="M4398" r:id="rId2480" display="Click here"/>
    <hyperlink ref="M4400" r:id="rId2481" display="Click here"/>
    <hyperlink ref="M4401" r:id="rId2482" display="Click here"/>
    <hyperlink ref="M4403" r:id="rId2483" display="Click here"/>
    <hyperlink ref="M4404" r:id="rId2484" display="Click here"/>
    <hyperlink ref="M4406" r:id="rId2485" display="Click here"/>
    <hyperlink ref="M4407" r:id="rId2486" display="Click here"/>
    <hyperlink ref="M4408" r:id="rId2487" display="Click here"/>
    <hyperlink ref="M4409" r:id="rId2488" display="Click here"/>
    <hyperlink ref="M4411" r:id="rId2489" display="Click here"/>
    <hyperlink ref="M4413" r:id="rId2490" display="Click here"/>
    <hyperlink ref="M4414" r:id="rId2491" display="Click here"/>
    <hyperlink ref="M4415" r:id="rId2492" display="Click here"/>
    <hyperlink ref="M4418" r:id="rId2493" display="Click here"/>
    <hyperlink ref="M4419" r:id="rId2494" display="Click here"/>
    <hyperlink ref="M4420" r:id="rId2495" display="Click here"/>
    <hyperlink ref="M4421" r:id="rId2496" display="Click here"/>
    <hyperlink ref="M4422" r:id="rId2497" display="Click here"/>
    <hyperlink ref="M4423" r:id="rId2498" display="Click here"/>
    <hyperlink ref="M4424" r:id="rId2499" display="Click here"/>
    <hyperlink ref="M4451" r:id="rId2500" display="Click here"/>
    <hyperlink ref="M4454" r:id="rId2501" display="Click here"/>
    <hyperlink ref="M4455" r:id="rId2502" display="Click here"/>
    <hyperlink ref="M4456" r:id="rId2503" display="Click here"/>
    <hyperlink ref="M4457" r:id="rId2504" display="Click here"/>
    <hyperlink ref="M4458" r:id="rId2505" display="Click here"/>
    <hyperlink ref="M4459" r:id="rId2506" display="Click here"/>
    <hyperlink ref="M4460" r:id="rId2507" display="Click here"/>
    <hyperlink ref="M4461" r:id="rId2508" display="Click here"/>
    <hyperlink ref="M4462" r:id="rId2509" display="Click here"/>
    <hyperlink ref="M4463" r:id="rId2510" display="Click here"/>
    <hyperlink ref="M4464" r:id="rId2511" display="Click here"/>
    <hyperlink ref="M4465" r:id="rId2512" display="Click here"/>
    <hyperlink ref="M4466" r:id="rId2513" display="Click here"/>
    <hyperlink ref="M4467" r:id="rId2514" display="Click here"/>
    <hyperlink ref="M4469" r:id="rId2515" display="Click here"/>
    <hyperlink ref="M4470" r:id="rId2516" display="Click here"/>
    <hyperlink ref="M4471" r:id="rId2517" display="Click here"/>
    <hyperlink ref="M4475" r:id="rId2518" display="Click here"/>
    <hyperlink ref="M4476" r:id="rId2519" display="Click here"/>
    <hyperlink ref="M4477" r:id="rId2520" display="Click here"/>
    <hyperlink ref="M4478" r:id="rId2521" display="Click here"/>
    <hyperlink ref="M4479" r:id="rId2522" display="Click here"/>
    <hyperlink ref="M4480" r:id="rId2523" display="Click here"/>
    <hyperlink ref="M4481" r:id="rId2524" display="Click here"/>
    <hyperlink ref="M4482" r:id="rId2525" display="Click here"/>
    <hyperlink ref="M4483" r:id="rId2526" display="Click here"/>
    <hyperlink ref="M4484" r:id="rId2527" display="Click here"/>
    <hyperlink ref="M4485" r:id="rId2528" display="Click here"/>
    <hyperlink ref="M4486" r:id="rId2529" display="Click here"/>
    <hyperlink ref="M4487" r:id="rId2530" display="Click here"/>
    <hyperlink ref="M4488" r:id="rId2531" display="Click here"/>
    <hyperlink ref="M4511" r:id="rId2532" display="Click here"/>
    <hyperlink ref="M4520" r:id="rId2533" display="Click here"/>
    <hyperlink ref="M4523" r:id="rId2534" display="Click here"/>
    <hyperlink ref="M4526" r:id="rId2535" display="Click here"/>
    <hyperlink ref="M4528" r:id="rId2536" display="Click here"/>
    <hyperlink ref="M4530" r:id="rId2537" display="Click here"/>
    <hyperlink ref="M4531" r:id="rId2538" display="Click here"/>
    <hyperlink ref="M4532" r:id="rId2539" display="Click here"/>
    <hyperlink ref="M4533" r:id="rId2540" display="Click here"/>
    <hyperlink ref="M4534" r:id="rId2541" display="Click here"/>
    <hyperlink ref="M4535" r:id="rId2542" display="Click here"/>
    <hyperlink ref="M4536" r:id="rId2543" display="Click here"/>
    <hyperlink ref="M4538" r:id="rId2544" display="Click here"/>
    <hyperlink ref="M4539" r:id="rId2545" display="Click here"/>
    <hyperlink ref="M4540" r:id="rId2546" display="Click here"/>
    <hyperlink ref="M4541" r:id="rId2547" display="Click here"/>
    <hyperlink ref="M4542" r:id="rId2548" display="Click here"/>
    <hyperlink ref="M4548" r:id="rId2549" display="Click here"/>
    <hyperlink ref="M4549" r:id="rId2550" display="Click here"/>
    <hyperlink ref="M4550" r:id="rId2551" display="Click here"/>
    <hyperlink ref="M4551" r:id="rId2552" display="Click here"/>
    <hyperlink ref="M4571" r:id="rId2553" display="Click here"/>
    <hyperlink ref="M4586" r:id="rId2554" display="Click here"/>
    <hyperlink ref="M4587" r:id="rId2555" display="Click here"/>
    <hyperlink ref="M4588" r:id="rId2556" display="Click here"/>
    <hyperlink ref="M4589" r:id="rId2557" display="Click here"/>
    <hyperlink ref="M4590" r:id="rId2558" display="Click here"/>
    <hyperlink ref="M4591" r:id="rId2559" display="Click here"/>
    <hyperlink ref="M4592" r:id="rId2560" display="Click here"/>
    <hyperlink ref="M4593" r:id="rId2561" display="Click here"/>
    <hyperlink ref="M4594" r:id="rId2562" display="Click here"/>
    <hyperlink ref="M4595" r:id="rId2563" display="Click here"/>
    <hyperlink ref="M4596" r:id="rId2564" display="Click here"/>
    <hyperlink ref="M4597" r:id="rId2565" display="Click here"/>
    <hyperlink ref="M4598" r:id="rId2566" display="Click here"/>
    <hyperlink ref="M4599" r:id="rId2567" display="Click here"/>
    <hyperlink ref="M4600" r:id="rId2568" display="Click here"/>
    <hyperlink ref="M4601" r:id="rId2569" display="Click here"/>
    <hyperlink ref="M4602" r:id="rId2570" display="Click here"/>
    <hyperlink ref="M4603" r:id="rId2571" display="Click here"/>
    <hyperlink ref="M4605" r:id="rId2572" display="Click here"/>
    <hyperlink ref="M4607" r:id="rId2573" display="Click here"/>
    <hyperlink ref="M4608" r:id="rId2574" display="Click here"/>
    <hyperlink ref="M4609" r:id="rId2575" display="Click here"/>
    <hyperlink ref="M4610" r:id="rId2576" display="Click here"/>
    <hyperlink ref="M4613" r:id="rId2577" display="Click here"/>
    <hyperlink ref="M4614" r:id="rId2578" display="Click here"/>
    <hyperlink ref="M4615" r:id="rId2579" display="Click here"/>
    <hyperlink ref="M4616" r:id="rId2580" display="Click here"/>
    <hyperlink ref="M4618" r:id="rId2581" display="Click here"/>
    <hyperlink ref="M4619" r:id="rId2582" display="Click here"/>
    <hyperlink ref="M4620" r:id="rId2583" display="Click here"/>
    <hyperlink ref="M4621" r:id="rId2584" display="Click here"/>
    <hyperlink ref="M4622" r:id="rId2585" display="Click here"/>
    <hyperlink ref="M4623" r:id="rId2586" display="Click here"/>
    <hyperlink ref="M4624" r:id="rId2587" display="Click here"/>
    <hyperlink ref="M4626" r:id="rId2588" display="Click here"/>
    <hyperlink ref="M4627" r:id="rId2589" display="Click here"/>
    <hyperlink ref="M4628" r:id="rId2590" display="Click here"/>
    <hyperlink ref="M4629" r:id="rId2591" display="Click here"/>
    <hyperlink ref="M4641" r:id="rId2592" display="Click here"/>
    <hyperlink ref="M4655" r:id="rId2593" display="Click here"/>
    <hyperlink ref="M4656" r:id="rId2594" display="Click here"/>
    <hyperlink ref="M4657" r:id="rId2595" display="Click here"/>
    <hyperlink ref="M4659" r:id="rId2596" display="Click here"/>
    <hyperlink ref="M4660" r:id="rId2597" display="Click here"/>
    <hyperlink ref="M4661" r:id="rId2598" display="Click here"/>
    <hyperlink ref="M4662" r:id="rId2599" display="Click here"/>
    <hyperlink ref="M4663" r:id="rId2600" display="Click here"/>
    <hyperlink ref="M4664" r:id="rId2601" display="Click here"/>
    <hyperlink ref="M4665" r:id="rId2602" display="Click here"/>
    <hyperlink ref="M4666" r:id="rId2603" display="Click here"/>
    <hyperlink ref="M4667" r:id="rId2604" display="Click here"/>
    <hyperlink ref="M4668" r:id="rId2605" display="Click here"/>
    <hyperlink ref="M4669" r:id="rId2606" display="Click here"/>
    <hyperlink ref="M4670" r:id="rId2607" display="Click here"/>
    <hyperlink ref="M4671" r:id="rId2608" display="Click here"/>
    <hyperlink ref="M4672" r:id="rId2609" display="Click here"/>
    <hyperlink ref="M4673" r:id="rId2610" display="Click here"/>
    <hyperlink ref="M4674" r:id="rId2611" display="Click here"/>
    <hyperlink ref="M4675" r:id="rId2612" display="Click here"/>
    <hyperlink ref="M4677" r:id="rId2613" display="Click here"/>
    <hyperlink ref="M4678" r:id="rId2614" display="Click here"/>
    <hyperlink ref="M4679" r:id="rId2615" display="Click here"/>
    <hyperlink ref="M4680" r:id="rId2616" display="Click here"/>
    <hyperlink ref="M4681" r:id="rId2617" display="Click here"/>
    <hyperlink ref="M4682" r:id="rId2618" display="Click here"/>
    <hyperlink ref="M4683" r:id="rId2619" display="Click here"/>
    <hyperlink ref="M4684" r:id="rId2620" display="Click here"/>
    <hyperlink ref="M4685" r:id="rId2621" display="Click here"/>
    <hyperlink ref="M4686" r:id="rId2622" display="Click here"/>
    <hyperlink ref="M4687" r:id="rId2623" display="Click here"/>
    <hyperlink ref="M4690" r:id="rId2624" display="Click here"/>
    <hyperlink ref="M4691" r:id="rId2625" display="Click here"/>
    <hyperlink ref="M4692" r:id="rId2626" display="Click here"/>
    <hyperlink ref="M4693" r:id="rId2627" display="Click here"/>
    <hyperlink ref="M4694" r:id="rId2628" display="Click here"/>
    <hyperlink ref="M4696" r:id="rId2629" display="Click here"/>
    <hyperlink ref="M4697" r:id="rId2630" display="Click here"/>
    <hyperlink ref="M4698" r:id="rId2631" display="Click here"/>
    <hyperlink ref="M4699" r:id="rId2632" display="Click here"/>
    <hyperlink ref="M4700" r:id="rId2633" display="Click here"/>
    <hyperlink ref="M4702" r:id="rId2634" display="Click here"/>
    <hyperlink ref="M4703" r:id="rId2635" display="Click here"/>
    <hyperlink ref="M4704" r:id="rId2636" display="Click here"/>
    <hyperlink ref="M4710" r:id="rId2637" display="Click here"/>
    <hyperlink ref="M4755" r:id="rId2638" display="Click here"/>
    <hyperlink ref="M4756" r:id="rId2639" display="Click here"/>
    <hyperlink ref="M4757" r:id="rId2640" display="Click here"/>
    <hyperlink ref="M4758" r:id="rId2641" display="Click here"/>
    <hyperlink ref="M4759" r:id="rId2642" display="Click here"/>
    <hyperlink ref="M4760" r:id="rId2643" display="Click here"/>
    <hyperlink ref="M4761" r:id="rId2644" display="Click here"/>
    <hyperlink ref="M4762" r:id="rId2645" display="Click here"/>
    <hyperlink ref="M4763" r:id="rId2646" display="Click here"/>
    <hyperlink ref="M4764" r:id="rId2647" display="Click here"/>
    <hyperlink ref="M4765" r:id="rId2648" display="Click here"/>
    <hyperlink ref="M4766" r:id="rId2649" display="Click here"/>
    <hyperlink ref="M4770" r:id="rId2650" display="Click here"/>
    <hyperlink ref="M4771" r:id="rId2651" display="Click here"/>
    <hyperlink ref="M4774" r:id="rId2652" display="Click here"/>
    <hyperlink ref="M4775" r:id="rId2653" display="Click here"/>
    <hyperlink ref="M4777" r:id="rId2654" display="Click here"/>
    <hyperlink ref="M4792" r:id="rId2655" display="Click here"/>
    <hyperlink ref="M4809" r:id="rId2656" display="Click here"/>
    <hyperlink ref="M4811" r:id="rId2657" display="Click here"/>
    <hyperlink ref="M4813" r:id="rId2658" display="Click here"/>
    <hyperlink ref="M4814" r:id="rId2659" display="Click here"/>
    <hyperlink ref="M4815" r:id="rId2660" display="Click here"/>
    <hyperlink ref="M4816" r:id="rId2661" display="Click here"/>
    <hyperlink ref="M4817" r:id="rId2662" display="Click here"/>
    <hyperlink ref="M4821" r:id="rId2663" display="Click here"/>
    <hyperlink ref="M4822" r:id="rId2664" display="Click here"/>
    <hyperlink ref="M4826" r:id="rId2665" display="Click here"/>
    <hyperlink ref="M4827" r:id="rId2666" display="Click here"/>
    <hyperlink ref="M4846" r:id="rId2667" display="Click here"/>
    <hyperlink ref="M4856" r:id="rId2668" display="Click here"/>
    <hyperlink ref="M4857" r:id="rId2669" display="Click here"/>
    <hyperlink ref="M4858" r:id="rId2670" display="Click here"/>
    <hyperlink ref="M4859" r:id="rId2671" display="Click here"/>
    <hyperlink ref="M4861" r:id="rId2672" display="Click here"/>
    <hyperlink ref="M4886" r:id="rId2673" display="Click here"/>
    <hyperlink ref="M4887" r:id="rId2674" display="Click here"/>
    <hyperlink ref="M4888" r:id="rId2675" display="Click here"/>
    <hyperlink ref="M4890" r:id="rId2676" display="Click here"/>
    <hyperlink ref="M4892" r:id="rId2677" display="Click here"/>
    <hyperlink ref="M4893" r:id="rId2678" display="Click here"/>
    <hyperlink ref="M4894" r:id="rId2679" display="Click here"/>
    <hyperlink ref="M4897" r:id="rId2680" display="Click here"/>
    <hyperlink ref="M4898" r:id="rId2681" display="Click here"/>
    <hyperlink ref="M4901" r:id="rId2682" display="Click here"/>
    <hyperlink ref="M4902" r:id="rId2683" display="Click here"/>
    <hyperlink ref="M4903" r:id="rId2684" display="Click here"/>
    <hyperlink ref="M4904" r:id="rId2685" display="Click here"/>
    <hyperlink ref="M4905" r:id="rId2686" display="Click here"/>
    <hyperlink ref="M4906" r:id="rId2687" display="Click here"/>
    <hyperlink ref="M4907" r:id="rId2688" display="Click here"/>
    <hyperlink ref="M4908" r:id="rId2689" display="Click here"/>
    <hyperlink ref="M4909" r:id="rId2690" display="Click here"/>
    <hyperlink ref="M4957" r:id="rId2691" display="Click here"/>
    <hyperlink ref="M4964" r:id="rId2692" display="Click here"/>
    <hyperlink ref="M4967" r:id="rId2693" display="Click here"/>
    <hyperlink ref="M4968" r:id="rId2694" display="Click here"/>
    <hyperlink ref="M4970" r:id="rId2695" display="Click here"/>
    <hyperlink ref="M4971" r:id="rId2696" display="Click here"/>
    <hyperlink ref="M4973" r:id="rId2697" display="Click here"/>
    <hyperlink ref="M4974" r:id="rId2698" display="Click here"/>
    <hyperlink ref="M4975" r:id="rId2699" display="Click here"/>
    <hyperlink ref="M4976" r:id="rId2700" display="Click here"/>
    <hyperlink ref="M4977" r:id="rId2701" display="Click here"/>
    <hyperlink ref="M4978" r:id="rId2702" display="Click here"/>
    <hyperlink ref="M4979" r:id="rId2703" display="Click here"/>
    <hyperlink ref="M4980" r:id="rId2704" display="Click here"/>
    <hyperlink ref="M4981" r:id="rId2705" display="Click here"/>
    <hyperlink ref="M4982" r:id="rId2706" display="Click here"/>
    <hyperlink ref="M4983" r:id="rId2707" display="Click here"/>
    <hyperlink ref="M4984" r:id="rId2708" display="Click here"/>
    <hyperlink ref="M4985" r:id="rId2709" display="Click here"/>
    <hyperlink ref="M4986" r:id="rId2710" display="Click here"/>
    <hyperlink ref="M4987" r:id="rId2711" display="Click here"/>
    <hyperlink ref="M4988" r:id="rId2712" display="Click here"/>
    <hyperlink ref="M4989" r:id="rId2713" display="Click here"/>
    <hyperlink ref="M4990" r:id="rId2714" display="Click here"/>
    <hyperlink ref="M4991" r:id="rId2715" display="Click here"/>
    <hyperlink ref="M4993" r:id="rId2716" display="Click here"/>
    <hyperlink ref="M4995" r:id="rId2717" display="Click here"/>
    <hyperlink ref="M4996" r:id="rId2718" display="Click here"/>
    <hyperlink ref="M4997" r:id="rId2719" display="Click here"/>
    <hyperlink ref="M4998" r:id="rId2720" display="Click here"/>
    <hyperlink ref="M4999" r:id="rId2721" display="Click here"/>
    <hyperlink ref="M5001" r:id="rId2722" display="Click here"/>
    <hyperlink ref="M5002" r:id="rId2723" display="Click here"/>
    <hyperlink ref="M5003" r:id="rId2724" display="Click here"/>
    <hyperlink ref="M5022" r:id="rId2725" display="Click here"/>
    <hyperlink ref="M5023" r:id="rId2726" display="Click here"/>
    <hyperlink ref="M5024" r:id="rId2727" display="Click here"/>
    <hyperlink ref="M5025" r:id="rId2728" display="Click here"/>
    <hyperlink ref="M5034" r:id="rId2729" display="Click here"/>
    <hyperlink ref="M5038" r:id="rId2730" display="Click here"/>
    <hyperlink ref="M5039" r:id="rId2731" display="Click here"/>
    <hyperlink ref="M5049" r:id="rId2732" display="Click here"/>
    <hyperlink ref="M5050" r:id="rId2733" display="Click here"/>
    <hyperlink ref="M5051" r:id="rId2734" display="Click here"/>
    <hyperlink ref="M5055" r:id="rId2735" display="Click here"/>
    <hyperlink ref="M5056" r:id="rId2736" display="Click here"/>
    <hyperlink ref="M5057" r:id="rId2737" display="Click here"/>
    <hyperlink ref="M5059" r:id="rId2738" display="Click here"/>
    <hyperlink ref="M5063" r:id="rId2739" display="Click here"/>
    <hyperlink ref="M5064" r:id="rId2740" display="Click here"/>
    <hyperlink ref="M5065" r:id="rId2741" display="Click here"/>
    <hyperlink ref="M5085" r:id="rId2742" display="Click here"/>
    <hyperlink ref="M5086" r:id="rId2743" display="Click here"/>
    <hyperlink ref="M5088" r:id="rId2744" display="Click here"/>
    <hyperlink ref="M5089" r:id="rId2745" display="Click here"/>
    <hyperlink ref="M5104" r:id="rId2746" display="Click here"/>
    <hyperlink ref="M5109" r:id="rId2747" display="Click here"/>
    <hyperlink ref="M5110" r:id="rId2748" display="Click here"/>
    <hyperlink ref="M5137" r:id="rId2749" display="Click here"/>
    <hyperlink ref="M5138" r:id="rId2750" display="Click here"/>
    <hyperlink ref="M5150" r:id="rId2751" display="Click here"/>
    <hyperlink ref="M5151" r:id="rId2752" display="Click here"/>
    <hyperlink ref="M5152" r:id="rId2753" display="Click here"/>
    <hyperlink ref="M5153" r:id="rId2754" display="Click here"/>
    <hyperlink ref="M5159" r:id="rId2755" display="Click here"/>
    <hyperlink ref="M5160" r:id="rId2756" display="Click here"/>
    <hyperlink ref="M5161" r:id="rId2757" display="Click here"/>
    <hyperlink ref="M5162" r:id="rId2758" display="Click here"/>
    <hyperlink ref="M5186" r:id="rId2759" display="Click here"/>
    <hyperlink ref="M5189" r:id="rId2760" display="Click here"/>
    <hyperlink ref="M5190" r:id="rId2761" display="Click here"/>
    <hyperlink ref="M5191" r:id="rId2762" display="Click here"/>
    <hyperlink ref="M5192" r:id="rId2763" display="Click here"/>
    <hyperlink ref="M5193" r:id="rId2764" display="Click here"/>
    <hyperlink ref="M5194" r:id="rId2765" display="Click here"/>
    <hyperlink ref="M5198" r:id="rId2766" display="Click here"/>
    <hyperlink ref="M5199" r:id="rId2767" display="Click here"/>
    <hyperlink ref="M5202" r:id="rId2768" display="Click here"/>
    <hyperlink ref="M5204" r:id="rId2769" display="Click here"/>
    <hyperlink ref="M5206" r:id="rId2770" display="Click here"/>
    <hyperlink ref="M5207" r:id="rId2771" display="Click here"/>
    <hyperlink ref="M5231" r:id="rId2772" display="Click here"/>
    <hyperlink ref="M5234" r:id="rId2773" display="Click here"/>
    <hyperlink ref="M5237" r:id="rId2774" display="Click here"/>
    <hyperlink ref="M5238" r:id="rId2775" display="Click here"/>
    <hyperlink ref="M5239" r:id="rId2776" display="Click here"/>
    <hyperlink ref="M5240" r:id="rId2777" display="Click here"/>
    <hyperlink ref="M5241" r:id="rId2778" display="Click here"/>
    <hyperlink ref="M5246" r:id="rId2779" display="Click here"/>
    <hyperlink ref="M5250" r:id="rId2780" display="Click here"/>
    <hyperlink ref="M5251" r:id="rId2781" display="Click here"/>
    <hyperlink ref="M5252" r:id="rId2782" display="Click here"/>
    <hyperlink ref="M5253" r:id="rId2783" display="Click here"/>
    <hyperlink ref="M5277" r:id="rId2784" display="Click here"/>
    <hyperlink ref="M5278" r:id="rId2785" display="Click here"/>
    <hyperlink ref="M5279" r:id="rId2786" display="Click here"/>
    <hyperlink ref="M5281" r:id="rId2787" display="Click here"/>
    <hyperlink ref="M5282" r:id="rId2788" display="Click here"/>
    <hyperlink ref="M5283" r:id="rId2789" display="Click here"/>
    <hyperlink ref="M5287" r:id="rId2790" display="Click here"/>
    <hyperlink ref="M5291" r:id="rId2791" display="Click here"/>
    <hyperlink ref="M5294" r:id="rId2792" display="Click here"/>
    <hyperlink ref="M5295" r:id="rId2793" display="Click here"/>
    <hyperlink ref="M5296" r:id="rId2794" display="Click here"/>
    <hyperlink ref="M5297" r:id="rId2795" display="Click here"/>
    <hyperlink ref="M5298" r:id="rId2796" display="Click here"/>
    <hyperlink ref="M5299" r:id="rId2797" display="Click here"/>
    <hyperlink ref="M5301" r:id="rId2798" display="Click here"/>
    <hyperlink ref="M5302" r:id="rId2799" display="Click here"/>
    <hyperlink ref="M5303" r:id="rId2800" display="Click here"/>
    <hyperlink ref="M5304" r:id="rId2801" display="Click here"/>
    <hyperlink ref="M5306" r:id="rId2802" display="Click here"/>
    <hyperlink ref="M5307" r:id="rId2803" display="Click here"/>
    <hyperlink ref="M5308" r:id="rId2804" display="Click here"/>
    <hyperlink ref="M5311" r:id="rId2805" display="Click here"/>
    <hyperlink ref="M5312" r:id="rId2806" display="Click here"/>
    <hyperlink ref="M5313" r:id="rId2807" display="Click here"/>
    <hyperlink ref="M5314" r:id="rId2808" display="Click here"/>
    <hyperlink ref="M5315" r:id="rId2809" display="Click here"/>
    <hyperlink ref="M5316" r:id="rId2810" display="Click here"/>
    <hyperlink ref="M5349" r:id="rId2811" display="Click here"/>
    <hyperlink ref="M5351" r:id="rId2812" display="Click here"/>
    <hyperlink ref="M5352" r:id="rId2813" display="Click here"/>
    <hyperlink ref="M5353" r:id="rId2814" display="Click here"/>
    <hyperlink ref="M5354" r:id="rId2815" display="Click here"/>
    <hyperlink ref="M5355" r:id="rId2816" display="Click here"/>
    <hyperlink ref="M5356" r:id="rId2817" display="Click here"/>
    <hyperlink ref="M5357" r:id="rId2818" display="Click here"/>
    <hyperlink ref="M5358" r:id="rId2819" display="Click here"/>
    <hyperlink ref="M5359" r:id="rId2820" display="Click here"/>
    <hyperlink ref="M5360" r:id="rId2821" display="Click here"/>
    <hyperlink ref="M5361" r:id="rId2822" display="Click here"/>
    <hyperlink ref="M5362" r:id="rId2823" display="Click here"/>
    <hyperlink ref="M5363" r:id="rId2824" display="Click here"/>
    <hyperlink ref="M5364" r:id="rId2825" display="Click here"/>
    <hyperlink ref="M5365" r:id="rId2826" display="Click here"/>
    <hyperlink ref="M5366" r:id="rId2827" display="Click here"/>
    <hyperlink ref="M5367" r:id="rId2828" display="Click here"/>
    <hyperlink ref="M5368" r:id="rId2829" display="Click here"/>
    <hyperlink ref="M5369" r:id="rId2830" display="Click here"/>
    <hyperlink ref="M5370" r:id="rId2831" display="Click here"/>
    <hyperlink ref="M5373" r:id="rId2832" display="Click here"/>
    <hyperlink ref="M5374" r:id="rId2833" display="Click here"/>
    <hyperlink ref="M5375" r:id="rId2834" display="Click here"/>
    <hyperlink ref="M5411" r:id="rId2835" display="Click here"/>
    <hyperlink ref="M5413" r:id="rId2836" display="Click here"/>
    <hyperlink ref="M5414" r:id="rId2837" display="Click here"/>
    <hyperlink ref="M5415" r:id="rId2838" display="Click here"/>
    <hyperlink ref="M5416" r:id="rId2839" display="Click here"/>
    <hyperlink ref="M5419" r:id="rId2840" display="Click here"/>
    <hyperlink ref="M5421" r:id="rId2841" display="Click here"/>
    <hyperlink ref="M5423" r:id="rId2842" display="Click here"/>
    <hyperlink ref="M5433" r:id="rId2843" display="Click here"/>
    <hyperlink ref="M5444" r:id="rId2844" display="Click here"/>
    <hyperlink ref="M5445" r:id="rId2845" display="Click here"/>
    <hyperlink ref="M5446" r:id="rId2846" display="Click here"/>
    <hyperlink ref="M5447" r:id="rId2847" display="Click here"/>
    <hyperlink ref="M5448" r:id="rId2848" display="Click here"/>
    <hyperlink ref="M5450" r:id="rId2849" display="Click here"/>
    <hyperlink ref="M5451" r:id="rId2850" display="Click here"/>
    <hyperlink ref="M5462" r:id="rId2851" display="Click here"/>
    <hyperlink ref="M5464" r:id="rId2852" display="Click here"/>
    <hyperlink ref="M5465" r:id="rId2853" display="Click here"/>
    <hyperlink ref="M5468" r:id="rId2854" display="Click here"/>
    <hyperlink ref="M5470" r:id="rId2855" display="Click here"/>
    <hyperlink ref="M5471" r:id="rId2856" display="Click here"/>
    <hyperlink ref="M5490" r:id="rId2857" display="Click here"/>
    <hyperlink ref="M5491" r:id="rId2858" display="Click here"/>
    <hyperlink ref="M5495" r:id="rId2859" display="Click here"/>
    <hyperlink ref="M5496" r:id="rId2860" display="Click here"/>
    <hyperlink ref="M5497" r:id="rId2861" display="Click here"/>
    <hyperlink ref="M5498" r:id="rId2862" display="Click here"/>
    <hyperlink ref="M5512" r:id="rId2863" display="Click here"/>
    <hyperlink ref="M5513" r:id="rId2864" display="Click here"/>
    <hyperlink ref="M5514" r:id="rId2865" display="Click here"/>
    <hyperlink ref="M5515" r:id="rId2866" display="Click here"/>
    <hyperlink ref="M5516" r:id="rId2867" display="Click here"/>
    <hyperlink ref="M5517" r:id="rId2868" display="Click here"/>
    <hyperlink ref="M5518" r:id="rId2869" display="Click here"/>
    <hyperlink ref="M5519" r:id="rId2870" display="Click here"/>
    <hyperlink ref="M5520" r:id="rId2871" display="Click here"/>
    <hyperlink ref="M5521" r:id="rId2872" display="Click here"/>
    <hyperlink ref="M5522" r:id="rId2873" display="Click here"/>
    <hyperlink ref="M5532" r:id="rId2874" display="Click here"/>
    <hyperlink ref="M5533" r:id="rId2875" display="Click here"/>
    <hyperlink ref="M5534" r:id="rId2876" display="Click here"/>
    <hyperlink ref="M5535" r:id="rId2877" display="Click here"/>
    <hyperlink ref="M5536" r:id="rId2878" display="Click here"/>
    <hyperlink ref="M5537" r:id="rId2879" display="Click here"/>
    <hyperlink ref="M5539" r:id="rId2880" display="Click here"/>
    <hyperlink ref="M5558" r:id="rId2881" display="Click here"/>
    <hyperlink ref="M5559" r:id="rId2882" display="Click here"/>
    <hyperlink ref="M5560" r:id="rId2883" display="Click here"/>
    <hyperlink ref="M5561" r:id="rId2884" display="Click here"/>
    <hyperlink ref="M5576" r:id="rId2885" display="Click here"/>
    <hyperlink ref="M5577" r:id="rId2886" display="Click here"/>
    <hyperlink ref="M5578" r:id="rId2887" display="Click here"/>
    <hyperlink ref="M5579" r:id="rId2888" display="Click here"/>
    <hyperlink ref="M5581" r:id="rId2889" display="Click here"/>
    <hyperlink ref="M5585" r:id="rId2890" display="Click here"/>
    <hyperlink ref="M5586" r:id="rId2891" display="Click here"/>
    <hyperlink ref="M5587" r:id="rId2892" display="Click here"/>
    <hyperlink ref="M5588" r:id="rId2893" display="Click here"/>
    <hyperlink ref="M5591" r:id="rId2894" display="Click here"/>
    <hyperlink ref="M5592" r:id="rId2895" display="Click here"/>
    <hyperlink ref="M5593" r:id="rId2896" display="Click here"/>
    <hyperlink ref="M5594" r:id="rId2897" display="Click here"/>
    <hyperlink ref="M5616" r:id="rId2898" display="Click here"/>
    <hyperlink ref="M5619" r:id="rId2899" display="Click here"/>
    <hyperlink ref="M5622" r:id="rId2900" display="Click here"/>
    <hyperlink ref="M5623" r:id="rId2901" display="Click here"/>
    <hyperlink ref="M5646" r:id="rId2902" display="Click here"/>
    <hyperlink ref="M5648" r:id="rId2903" display="Click here"/>
    <hyperlink ref="M5649" r:id="rId2904" display="Click here"/>
    <hyperlink ref="M5650" r:id="rId2905" display="Click here"/>
    <hyperlink ref="M5653" r:id="rId2906" display="Click here"/>
    <hyperlink ref="M5654" r:id="rId2907" display="Click here"/>
    <hyperlink ref="M5655" r:id="rId2908" display="Click here"/>
    <hyperlink ref="M5656" r:id="rId2909" display="Click here"/>
    <hyperlink ref="M5677" r:id="rId2910" display="Click here"/>
    <hyperlink ref="M5680" r:id="rId2911" display="Click here"/>
    <hyperlink ref="M5681" r:id="rId2912" display="Click here"/>
    <hyperlink ref="M5682" r:id="rId2913" display="Click here"/>
    <hyperlink ref="M5683" r:id="rId2914" display="Click here"/>
    <hyperlink ref="M5684" r:id="rId2915" display="Click here"/>
    <hyperlink ref="M5690" r:id="rId2916" display="Click here"/>
    <hyperlink ref="M5691" r:id="rId2917" display="Click here"/>
    <hyperlink ref="M5694" r:id="rId2918" display="Click here"/>
    <hyperlink ref="M5695" r:id="rId2919" display="Click here"/>
    <hyperlink ref="M5696" r:id="rId2920" display="Click here"/>
    <hyperlink ref="M5697" r:id="rId2921" display="Click here"/>
    <hyperlink ref="M5726" r:id="rId2922" display="Click here"/>
    <hyperlink ref="M5728" r:id="rId2923" display="Click here"/>
    <hyperlink ref="M5730" r:id="rId2924" display="Click here"/>
    <hyperlink ref="M5731" r:id="rId2925" display="Click here"/>
    <hyperlink ref="M5732" r:id="rId2926" display="Click here"/>
    <hyperlink ref="M5734" r:id="rId2927" display="Click here"/>
    <hyperlink ref="M5735" r:id="rId2928" display="Click here"/>
    <hyperlink ref="M5736" r:id="rId2929" display="Click here"/>
    <hyperlink ref="M5737" r:id="rId2930" display="Click here"/>
    <hyperlink ref="M5758" r:id="rId2931" display="Click here"/>
    <hyperlink ref="M5760" r:id="rId2932" display="Click here"/>
    <hyperlink ref="M5761" r:id="rId2933" display="Click here"/>
    <hyperlink ref="M5766" r:id="rId2934" display="Click here"/>
    <hyperlink ref="M5767" r:id="rId2935" display="Click here"/>
    <hyperlink ref="M5768" r:id="rId2936" display="Click here"/>
    <hyperlink ref="M5770" r:id="rId2937" display="Click here"/>
    <hyperlink ref="M5772" r:id="rId2938" display="Click here"/>
    <hyperlink ref="M5775" r:id="rId2939" display="Click here"/>
    <hyperlink ref="M5777" r:id="rId2940" display="Click here"/>
    <hyperlink ref="M5804" r:id="rId2941" display="Click here"/>
    <hyperlink ref="M5805" r:id="rId2942" display="Click here"/>
    <hyperlink ref="M5806" r:id="rId2943" display="Click here"/>
    <hyperlink ref="M5807" r:id="rId2944" display="Click here"/>
    <hyperlink ref="M5808" r:id="rId2945" display="Click here"/>
    <hyperlink ref="M5812" r:id="rId2946" display="Click here"/>
    <hyperlink ref="M5813" r:id="rId2947" display="Click here"/>
    <hyperlink ref="M5814" r:id="rId2948" display="Click here"/>
    <hyperlink ref="M5815" r:id="rId2949" display="Click here"/>
    <hyperlink ref="M5837" r:id="rId2950" display="Click here"/>
    <hyperlink ref="M5838" r:id="rId2951" display="Click here"/>
    <hyperlink ref="M5839" r:id="rId2952" display="Click here"/>
    <hyperlink ref="M5840" r:id="rId2953" display="Click here"/>
    <hyperlink ref="M5844" r:id="rId2954" display="Click here"/>
    <hyperlink ref="M5845" r:id="rId2955" display="Click here"/>
    <hyperlink ref="M5846" r:id="rId2956" display="Click here"/>
    <hyperlink ref="M5847" r:id="rId2957" display="Click here"/>
    <hyperlink ref="M5869" r:id="rId2958" display="Click here"/>
    <hyperlink ref="M5871" r:id="rId2959" display="Click here"/>
    <hyperlink ref="M5873" r:id="rId2960" display="Click here"/>
    <hyperlink ref="M5874" r:id="rId2961" display="Click here"/>
    <hyperlink ref="M5875" r:id="rId2962" display="Click here"/>
    <hyperlink ref="M5876" r:id="rId2963" display="Click here"/>
    <hyperlink ref="M5877" r:id="rId2964" display="Click here"/>
    <hyperlink ref="M5878" r:id="rId2965" display="Click here"/>
    <hyperlink ref="M5879" r:id="rId2966" display="Click here"/>
    <hyperlink ref="M5880" r:id="rId2967" display="Click here"/>
    <hyperlink ref="M5881" r:id="rId2968" display="Click here"/>
    <hyperlink ref="M5882" r:id="rId2969" display="Click here"/>
    <hyperlink ref="M5883" r:id="rId2970" display="Click here"/>
    <hyperlink ref="M5884" r:id="rId2971" display="Click here"/>
    <hyperlink ref="M5885" r:id="rId2972" display="Click here"/>
    <hyperlink ref="M5886" r:id="rId2973" display="Click here"/>
    <hyperlink ref="M5887" r:id="rId2974" display="Click here"/>
    <hyperlink ref="M5888" r:id="rId2975" display="Click here"/>
    <hyperlink ref="M5889" r:id="rId2976" display="Click here"/>
    <hyperlink ref="M5890" r:id="rId2977" display="Click here"/>
    <hyperlink ref="M5891" r:id="rId2978" display="Click here"/>
    <hyperlink ref="M5892" r:id="rId2979" display="Click here"/>
    <hyperlink ref="M5893" r:id="rId2980" display="Click here"/>
    <hyperlink ref="M5894" r:id="rId2981" display="Click here"/>
    <hyperlink ref="M5895" r:id="rId2982" display="Click here"/>
    <hyperlink ref="M5896" r:id="rId2983" display="Click here"/>
    <hyperlink ref="M5897" r:id="rId2984" display="Click here"/>
    <hyperlink ref="M5898" r:id="rId2985" display="Click here"/>
    <hyperlink ref="M5899" r:id="rId2986" display="Click here"/>
    <hyperlink ref="M5900" r:id="rId2987" display="Click here"/>
    <hyperlink ref="M5901" r:id="rId2988" display="Click here"/>
    <hyperlink ref="M5913" r:id="rId2989" display="Click here"/>
    <hyperlink ref="M5914" r:id="rId2990" display="Click here"/>
    <hyperlink ref="M5915" r:id="rId2991" display="Click here"/>
    <hyperlink ref="M5917" r:id="rId2992" display="Click here"/>
    <hyperlink ref="M5919" r:id="rId2993" display="Click here"/>
    <hyperlink ref="M5920" r:id="rId2994" display="Click here"/>
    <hyperlink ref="M5922" r:id="rId2995" display="Click here"/>
    <hyperlink ref="M5923" r:id="rId2996" display="Click here"/>
    <hyperlink ref="M5924" r:id="rId2997" display="Click here"/>
    <hyperlink ref="M5925" r:id="rId2998" display="Click here"/>
    <hyperlink ref="M5926" r:id="rId2999" display="Click here"/>
    <hyperlink ref="M5928" r:id="rId3000" display="Click here"/>
    <hyperlink ref="M5929" r:id="rId3001" display="Click here"/>
    <hyperlink ref="M5930" r:id="rId3002" display="Click here"/>
    <hyperlink ref="M5933" r:id="rId3003" display="Click here"/>
    <hyperlink ref="M5934" r:id="rId3004" display="Click here"/>
    <hyperlink ref="M5937" r:id="rId3005" display="Click here"/>
    <hyperlink ref="M5938" r:id="rId3006" display="Click here"/>
    <hyperlink ref="M5939" r:id="rId3007" display="Click here"/>
    <hyperlink ref="M5940" r:id="rId3008" display="Click here"/>
    <hyperlink ref="M5941" r:id="rId3009" display="Click here"/>
    <hyperlink ref="M5942" r:id="rId3010" display="Click here"/>
    <hyperlink ref="M5943" r:id="rId3011" display="Click here"/>
    <hyperlink ref="M5944" r:id="rId3012" display="Click here"/>
    <hyperlink ref="M5945" r:id="rId3013" display="Click here"/>
    <hyperlink ref="M5946" r:id="rId3014" display="Click here"/>
    <hyperlink ref="M5947" r:id="rId3015" display="Click here"/>
    <hyperlink ref="M5948" r:id="rId3016" display="Click here"/>
    <hyperlink ref="M5950" r:id="rId3017" display="Click here"/>
    <hyperlink ref="M5951" r:id="rId3018" display="Click here"/>
    <hyperlink ref="M5952" r:id="rId3019" display="Click here"/>
    <hyperlink ref="M5954" r:id="rId3020" display="Click here"/>
    <hyperlink ref="M5957" r:id="rId3021" display="Click here"/>
    <hyperlink ref="M5958" r:id="rId3022" display="Click here"/>
    <hyperlink ref="M5959" r:id="rId3023" display="Click here"/>
    <hyperlink ref="M5967" r:id="rId3024" display="Click here"/>
    <hyperlink ref="M5972" r:id="rId3025" display="Click here"/>
    <hyperlink ref="M5973" r:id="rId3026" display="Click here"/>
    <hyperlink ref="M5974" r:id="rId3027" display="Click here"/>
    <hyperlink ref="M5975" r:id="rId3028" display="Click here"/>
    <hyperlink ref="M5976" r:id="rId3029" display="Click here"/>
    <hyperlink ref="M5977" r:id="rId3030" display="Click here"/>
    <hyperlink ref="M5978" r:id="rId3031" display="Click here"/>
    <hyperlink ref="M5979" r:id="rId3032" display="Click here"/>
    <hyperlink ref="M5980" r:id="rId3033" display="Click here"/>
    <hyperlink ref="M5981" r:id="rId3034" display="Click here"/>
    <hyperlink ref="M5982" r:id="rId3035" display="Click here"/>
    <hyperlink ref="M5983" r:id="rId3036" display="Click here"/>
    <hyperlink ref="M5985" r:id="rId3037" display="Click here"/>
    <hyperlink ref="M5986" r:id="rId3038" display="Click here"/>
    <hyperlink ref="M5988" r:id="rId3039" display="Click here"/>
    <hyperlink ref="M5991" r:id="rId3040" display="Click here"/>
    <hyperlink ref="M5993" r:id="rId3041" display="Click here"/>
    <hyperlink ref="M6004" r:id="rId3042" display="Click here"/>
    <hyperlink ref="M6006" r:id="rId3043" display="Click here"/>
    <hyperlink ref="M6007" r:id="rId3044" display="Click here"/>
    <hyperlink ref="M6008" r:id="rId3045" display="Click here"/>
    <hyperlink ref="M6009" r:id="rId3046" display="Click here"/>
    <hyperlink ref="M6010" r:id="rId3047" display="Click here"/>
    <hyperlink ref="M6012" r:id="rId3048" display="Click here"/>
    <hyperlink ref="M6013" r:id="rId3049" display="Click here"/>
    <hyperlink ref="M6014" r:id="rId3050" display="Click here"/>
    <hyperlink ref="M6015" r:id="rId3051" display="Click here"/>
    <hyperlink ref="M6017" r:id="rId3052" display="Click here"/>
    <hyperlink ref="M6018" r:id="rId3053" display="Click here"/>
    <hyperlink ref="M6019" r:id="rId3054" display="Click here"/>
    <hyperlink ref="M6020" r:id="rId3055" display="Click here"/>
    <hyperlink ref="M6021" r:id="rId3056" display="Click here"/>
    <hyperlink ref="M6022" r:id="rId3057" display="Click here"/>
    <hyperlink ref="M6026" r:id="rId3058" display="Click here"/>
    <hyperlink ref="M6028" r:id="rId3059" display="Click here"/>
    <hyperlink ref="M6029" r:id="rId3060" display="Click here"/>
    <hyperlink ref="M6031" r:id="rId3061" display="Click here"/>
    <hyperlink ref="M6032" r:id="rId3062" display="Click here"/>
    <hyperlink ref="M6033" r:id="rId3063" display="Click here"/>
    <hyperlink ref="M6034" r:id="rId3064" display="Click here"/>
    <hyperlink ref="M6037" r:id="rId3065" display="Click here"/>
    <hyperlink ref="M6038" r:id="rId3066" display="Click here"/>
    <hyperlink ref="M6052" r:id="rId3067" display="Click here"/>
    <hyperlink ref="M6056" r:id="rId3068" display="Click here"/>
    <hyperlink ref="M6057" r:id="rId3069" display="Click here"/>
    <hyperlink ref="M6065" r:id="rId3070" display="Click here"/>
    <hyperlink ref="M6066" r:id="rId3071" display="Click here"/>
    <hyperlink ref="M6067" r:id="rId3072" display="Click here"/>
    <hyperlink ref="M6068" r:id="rId3073" display="Click here"/>
    <hyperlink ref="M6069" r:id="rId3074" display="Click here"/>
    <hyperlink ref="M6070" r:id="rId3075" display="Click here"/>
    <hyperlink ref="M6071" r:id="rId3076" display="Click here"/>
    <hyperlink ref="M6072" r:id="rId3077" display="Click here"/>
    <hyperlink ref="M6073" r:id="rId3078" display="Click here"/>
    <hyperlink ref="M6074" r:id="rId3079" display="Click here"/>
    <hyperlink ref="M6075" r:id="rId3080" display="Click here"/>
    <hyperlink ref="M6076" r:id="rId3081" display="Click here"/>
    <hyperlink ref="M6077" r:id="rId3082" display="Click here"/>
    <hyperlink ref="M6078" r:id="rId3083" display="Click here"/>
    <hyperlink ref="M6079" r:id="rId3084" display="Click here"/>
    <hyperlink ref="M6080" r:id="rId3085" display="Click here"/>
    <hyperlink ref="M6082" r:id="rId3086" display="Click here"/>
    <hyperlink ref="M6084" r:id="rId3087" display="Click here"/>
    <hyperlink ref="M6085" r:id="rId3088" display="Click here"/>
    <hyperlink ref="M6087" r:id="rId3089" display="Click here"/>
    <hyperlink ref="M6088" r:id="rId3090" display="Click here"/>
    <hyperlink ref="M6089" r:id="rId3091" display="Click here"/>
    <hyperlink ref="M6090" r:id="rId3092" display="Click here"/>
    <hyperlink ref="M6091" r:id="rId3093" display="Click here"/>
    <hyperlink ref="M6092" r:id="rId3094" display="Click here"/>
    <hyperlink ref="M6093" r:id="rId3095" display="Click here"/>
    <hyperlink ref="M6128" r:id="rId3096" display="Click here"/>
    <hyperlink ref="M6150" r:id="rId3097" display="Click here"/>
    <hyperlink ref="M6151" r:id="rId3098" display="Click here"/>
    <hyperlink ref="M6152" r:id="rId3099" display="Click here"/>
    <hyperlink ref="M6153" r:id="rId3100" display="Click here"/>
    <hyperlink ref="M6154" r:id="rId3101" display="Click here"/>
    <hyperlink ref="M6155" r:id="rId3102" display="Click here"/>
    <hyperlink ref="M6156" r:id="rId3103" display="Click here"/>
    <hyperlink ref="M6163" r:id="rId3104" display="Click here"/>
    <hyperlink ref="M6164" r:id="rId3105" display="Click here"/>
    <hyperlink ref="M6165" r:id="rId3106" display="Click here"/>
    <hyperlink ref="M6166" r:id="rId3107" display="Click here"/>
    <hyperlink ref="M6167" r:id="rId3108" display="Click here"/>
    <hyperlink ref="M6168" r:id="rId3109" display="Click here"/>
    <hyperlink ref="M6169" r:id="rId3110" display="Click here"/>
    <hyperlink ref="M6170" r:id="rId3111" display="Click here"/>
    <hyperlink ref="M6171" r:id="rId3112" display="Click here"/>
    <hyperlink ref="M6172" r:id="rId3113" display="Click here"/>
    <hyperlink ref="M6173" r:id="rId3114" display="Click here"/>
    <hyperlink ref="M6174" r:id="rId3115" display="Click here"/>
    <hyperlink ref="M6175" r:id="rId3116" display="Click here"/>
    <hyperlink ref="M6176" r:id="rId3117" display="Click here"/>
    <hyperlink ref="M6177" r:id="rId3118" display="Click here"/>
    <hyperlink ref="M6178" r:id="rId3119" display="Click here"/>
    <hyperlink ref="M6179" r:id="rId3120" display="Click here"/>
    <hyperlink ref="M6180" r:id="rId3121" display="Click here"/>
    <hyperlink ref="M6184" r:id="rId3122" display="Click here"/>
    <hyperlink ref="M6185" r:id="rId3123" display="Click here"/>
    <hyperlink ref="M6186" r:id="rId3124" display="Click here"/>
    <hyperlink ref="M6187" r:id="rId3125" display="Click here"/>
    <hyperlink ref="M6191" r:id="rId3126" display="Click here"/>
    <hyperlink ref="M6192" r:id="rId3127" display="Click here"/>
    <hyperlink ref="M6193" r:id="rId3128" display="Click here"/>
    <hyperlink ref="M6194" r:id="rId3129" display="Click here"/>
    <hyperlink ref="M6219" r:id="rId3130" display="Click here"/>
    <hyperlink ref="M6220" r:id="rId3131" display="Click here"/>
    <hyperlink ref="M6221" r:id="rId3132" display="Click here"/>
    <hyperlink ref="M6222" r:id="rId3133" display="Click here"/>
    <hyperlink ref="M6223" r:id="rId3134" display="Click here"/>
    <hyperlink ref="M6224" r:id="rId3135" display="Click here"/>
    <hyperlink ref="M6225" r:id="rId3136" display="Click here"/>
    <hyperlink ref="M6226" r:id="rId3137" display="Click here"/>
    <hyperlink ref="M6233" r:id="rId3138" display="Click here"/>
    <hyperlink ref="M6234" r:id="rId3139" display="Click here"/>
    <hyperlink ref="M6235" r:id="rId3140" display="Click here"/>
    <hyperlink ref="M6236" r:id="rId3141" display="Click here"/>
    <hyperlink ref="M6237" r:id="rId3142" display="Click here"/>
    <hyperlink ref="M6238" r:id="rId3143" display="Click here"/>
    <hyperlink ref="M6239" r:id="rId3144" display="Click here"/>
    <hyperlink ref="M6240" r:id="rId3145" display="Click here"/>
    <hyperlink ref="M6241" r:id="rId3146" display="Click here"/>
    <hyperlink ref="M6242" r:id="rId3147" display="Click here"/>
    <hyperlink ref="M6243" r:id="rId3148" display="Click here"/>
    <hyperlink ref="M6244" r:id="rId3149" display="Click here"/>
    <hyperlink ref="M6245" r:id="rId3150" display="Click here"/>
    <hyperlink ref="M6246" r:id="rId3151" display="Click here"/>
    <hyperlink ref="M6247" r:id="rId3152" display="Click here"/>
    <hyperlink ref="M6248" r:id="rId3153" display="Click here"/>
    <hyperlink ref="M6249" r:id="rId3154" display="Click here"/>
    <hyperlink ref="M6250" r:id="rId3155" display="Click here"/>
    <hyperlink ref="M6254" r:id="rId3156" display="Click here"/>
    <hyperlink ref="M6255" r:id="rId3157" display="Click here"/>
    <hyperlink ref="M6256" r:id="rId3158" display="Click here"/>
    <hyperlink ref="M6257" r:id="rId3159" display="Click here"/>
    <hyperlink ref="M6261" r:id="rId3160" display="Click here"/>
    <hyperlink ref="M6262" r:id="rId3161" display="Click here"/>
    <hyperlink ref="M6263" r:id="rId3162" display="Click here"/>
    <hyperlink ref="M6275" r:id="rId3163" display="Click here"/>
    <hyperlink ref="M6278" r:id="rId3164" display="Click here"/>
    <hyperlink ref="M6279" r:id="rId3165" display="Click here"/>
    <hyperlink ref="M6287" r:id="rId3166" display="Click here"/>
    <hyperlink ref="M6288" r:id="rId3167" display="Click here"/>
    <hyperlink ref="M6289" r:id="rId3168" display="Click here"/>
    <hyperlink ref="M6350" r:id="rId3169" display="Click here"/>
    <hyperlink ref="M6351" r:id="rId3170" display="Click here"/>
    <hyperlink ref="M6417" r:id="rId3171" display="Click here"/>
    <hyperlink ref="M6463" r:id="rId3172" display="Click here"/>
    <hyperlink ref="M6514" r:id="rId3173" display="Click here"/>
    <hyperlink ref="M6515" r:id="rId3174" display="Click here"/>
    <hyperlink ref="M6516" r:id="rId3175" display="Click here"/>
    <hyperlink ref="M6517" r:id="rId3176" display="Click here"/>
    <hyperlink ref="M6518" r:id="rId3177" display="Click here"/>
    <hyperlink ref="M6519" r:id="rId3178" display="Click here"/>
    <hyperlink ref="M6520" r:id="rId3179" display="Click here"/>
    <hyperlink ref="M6521" r:id="rId3180" display="Click here"/>
    <hyperlink ref="M6522" r:id="rId3181" display="Click here"/>
    <hyperlink ref="M6523" r:id="rId3182" display="Click here"/>
    <hyperlink ref="M6524" r:id="rId3183" display="Click here"/>
    <hyperlink ref="M6525" r:id="rId3184" display="Click here"/>
    <hyperlink ref="M6526" r:id="rId3185" display="Click here"/>
    <hyperlink ref="M6527" r:id="rId3186" display="Click here"/>
    <hyperlink ref="M6528" r:id="rId3187" display="Click here"/>
    <hyperlink ref="M6529" r:id="rId3188" display="Click here"/>
    <hyperlink ref="M6530" r:id="rId3189" display="Click here"/>
    <hyperlink ref="M6531" r:id="rId3190" display="Click here"/>
    <hyperlink ref="M6532" r:id="rId3191" display="Click here"/>
    <hyperlink ref="M6533" r:id="rId3192" display="Click here"/>
    <hyperlink ref="M6534" r:id="rId3193" display="Click here"/>
    <hyperlink ref="M6535" r:id="rId3194" display="Click here"/>
    <hyperlink ref="M6536" r:id="rId3195" display="Click here"/>
    <hyperlink ref="M6537" r:id="rId3196" display="Click here"/>
    <hyperlink ref="M6538" r:id="rId3197" display="Click here"/>
    <hyperlink ref="M6539" r:id="rId3198" display="Click here"/>
    <hyperlink ref="M6540" r:id="rId3199" display="Click here"/>
    <hyperlink ref="M6541" r:id="rId3200" display="Click here"/>
    <hyperlink ref="M6542" r:id="rId3201" display="Click here"/>
    <hyperlink ref="M6543" r:id="rId3202" display="Click here"/>
    <hyperlink ref="M6544" r:id="rId3203" display="Click here"/>
    <hyperlink ref="M6545" r:id="rId3204" display="Click here"/>
    <hyperlink ref="M6546" r:id="rId3205" display="Click here"/>
    <hyperlink ref="M6547" r:id="rId3206" display="Click here"/>
    <hyperlink ref="M6548" r:id="rId3207" display="Click here"/>
    <hyperlink ref="M6549" r:id="rId3208" display="Click here"/>
    <hyperlink ref="M6550" r:id="rId3209" display="Click here"/>
    <hyperlink ref="M6551" r:id="rId3210" display="Click here"/>
    <hyperlink ref="M6552" r:id="rId3211" display="Click here"/>
    <hyperlink ref="M6553" r:id="rId3212" display="Click here"/>
    <hyperlink ref="M6554" r:id="rId3213" display="Click here"/>
    <hyperlink ref="M6555" r:id="rId3214" display="Click here"/>
    <hyperlink ref="M6556" r:id="rId3215" display="Click here"/>
    <hyperlink ref="M6557" r:id="rId3216" display="Click here"/>
    <hyperlink ref="M6558" r:id="rId3217" display="Click here"/>
    <hyperlink ref="M6559" r:id="rId3218" display="Click here"/>
    <hyperlink ref="M6560" r:id="rId3219" display="Click here"/>
    <hyperlink ref="M6561" r:id="rId3220" display="Click here"/>
    <hyperlink ref="M6562" r:id="rId3221" display="Click here"/>
    <hyperlink ref="M6563" r:id="rId3222" display="Click here"/>
    <hyperlink ref="M6564" r:id="rId3223" display="Click here"/>
    <hyperlink ref="M6565" r:id="rId3224" display="Click here"/>
    <hyperlink ref="M6566" r:id="rId3225" display="Click here"/>
    <hyperlink ref="M6567" r:id="rId3226" display="Click here"/>
    <hyperlink ref="M6568" r:id="rId3227" display="Click here"/>
    <hyperlink ref="M6569" r:id="rId3228" display="Click here"/>
    <hyperlink ref="M6570" r:id="rId3229" display="Click here"/>
    <hyperlink ref="M6571" r:id="rId3230" display="Click here"/>
    <hyperlink ref="M6572" r:id="rId3231" display="Click here"/>
    <hyperlink ref="M6573" r:id="rId3232" display="Click here"/>
    <hyperlink ref="M6574" r:id="rId3233" display="Click here"/>
    <hyperlink ref="M6575" r:id="rId3234" display="Click here"/>
    <hyperlink ref="M6576" r:id="rId3235" display="Click here"/>
    <hyperlink ref="M6577" r:id="rId3236" display="Click here"/>
    <hyperlink ref="M6578" r:id="rId3237" display="Click here"/>
    <hyperlink ref="M6579" r:id="rId3238" display="Click here"/>
    <hyperlink ref="M6580" r:id="rId3239" display="Click here"/>
    <hyperlink ref="M6581" r:id="rId3240" display="Click here"/>
    <hyperlink ref="M6582" r:id="rId3241" display="Click here"/>
    <hyperlink ref="M6583" r:id="rId3242" display="Click here"/>
    <hyperlink ref="M6584" r:id="rId3243" display="Click here"/>
    <hyperlink ref="M6585" r:id="rId3244" display="Click here"/>
    <hyperlink ref="M6586" r:id="rId3245" display="Click here"/>
    <hyperlink ref="M6587" r:id="rId3246" display="Click here"/>
    <hyperlink ref="M6588" r:id="rId3247" display="Click here"/>
    <hyperlink ref="M6589" r:id="rId3248" display="Click here"/>
    <hyperlink ref="M6590" r:id="rId3249" display="Click here"/>
    <hyperlink ref="M6591" r:id="rId3250" display="Click here"/>
    <hyperlink ref="M6592" r:id="rId3251" display="Click here"/>
    <hyperlink ref="M6593" r:id="rId3252" display="Click here"/>
    <hyperlink ref="M6594" r:id="rId3253" display="Click here"/>
    <hyperlink ref="M6595" r:id="rId3254" display="Click here"/>
    <hyperlink ref="M6596" r:id="rId3255" display="Click here"/>
    <hyperlink ref="M6597" r:id="rId3256" display="Click here"/>
    <hyperlink ref="M6598" r:id="rId3257" display="Click here"/>
    <hyperlink ref="M6599" r:id="rId3258" display="Click here"/>
    <hyperlink ref="M6600" r:id="rId3259" display="Click here"/>
    <hyperlink ref="M6601" r:id="rId3260" display="Click here"/>
    <hyperlink ref="M6602" r:id="rId3261" display="Click here"/>
    <hyperlink ref="M6603" r:id="rId3262" display="Click here"/>
    <hyperlink ref="M6604" r:id="rId3263" display="Click here"/>
    <hyperlink ref="M6605" r:id="rId3264" display="Click here"/>
    <hyperlink ref="M6606" r:id="rId3265" display="Click here"/>
    <hyperlink ref="M6607" r:id="rId3266" display="Click here"/>
    <hyperlink ref="M6608" r:id="rId3267" display="Click here"/>
    <hyperlink ref="M6609" r:id="rId3268" display="Click here"/>
    <hyperlink ref="M6610" r:id="rId3269" display="Click here"/>
    <hyperlink ref="M6611" r:id="rId3270" display="Click here"/>
    <hyperlink ref="M6612" r:id="rId3271" display="Click here"/>
    <hyperlink ref="M6613" r:id="rId3272" display="Click here"/>
    <hyperlink ref="M6614" r:id="rId3273" display="Click here"/>
    <hyperlink ref="M6615" r:id="rId3274" display="Click here"/>
    <hyperlink ref="M6616" r:id="rId3275" display="Click here"/>
    <hyperlink ref="M6617" r:id="rId3276" display="Click here"/>
    <hyperlink ref="M6618" r:id="rId3277" display="Click here"/>
    <hyperlink ref="M6619" r:id="rId3278" display="Click here"/>
    <hyperlink ref="M6620" r:id="rId3279" display="Click here"/>
    <hyperlink ref="M6621" r:id="rId3280" display="Click here"/>
    <hyperlink ref="M6622" r:id="rId3281" display="Click here"/>
    <hyperlink ref="M6623" r:id="rId3282" display="Click here"/>
    <hyperlink ref="M6624" r:id="rId3283" display="Click here"/>
    <hyperlink ref="M6625" r:id="rId3284" display="Click here"/>
    <hyperlink ref="M6626" r:id="rId3285" display="Click here"/>
    <hyperlink ref="M6627" r:id="rId3286" display="Click here"/>
    <hyperlink ref="M6628" r:id="rId3287" display="Click here"/>
    <hyperlink ref="M6629" r:id="rId3288" display="Click here"/>
    <hyperlink ref="M6630" r:id="rId3289" display="Click here"/>
    <hyperlink ref="M6631" r:id="rId3290" display="Click here"/>
    <hyperlink ref="M6632" r:id="rId3291" display="Click here"/>
    <hyperlink ref="M6633" r:id="rId3292" display="Click here"/>
    <hyperlink ref="M6634" r:id="rId3293" display="Click here"/>
    <hyperlink ref="M6635" r:id="rId3294" display="Click here"/>
    <hyperlink ref="M6636" r:id="rId3295" display="Click here"/>
    <hyperlink ref="M6637" r:id="rId3296" display="Click here"/>
    <hyperlink ref="M6638" r:id="rId3297" display="Click here"/>
    <hyperlink ref="M6639" r:id="rId3298" display="Click here"/>
    <hyperlink ref="M6640" r:id="rId3299" display="Click here"/>
    <hyperlink ref="M6641" r:id="rId3300" display="Click here"/>
    <hyperlink ref="M6642" r:id="rId3301" display="Click here"/>
    <hyperlink ref="M6643" r:id="rId3302" display="Click here"/>
    <hyperlink ref="M6644" r:id="rId3303" display="Click here"/>
    <hyperlink ref="M6645" r:id="rId3304" display="Click here"/>
    <hyperlink ref="M6646" r:id="rId3305" display="Click here"/>
    <hyperlink ref="M6647" r:id="rId3306" display="Click here"/>
    <hyperlink ref="M6648" r:id="rId3307" display="Click here"/>
    <hyperlink ref="M6649" r:id="rId3308" display="Click here"/>
    <hyperlink ref="M6650" r:id="rId3309" display="Click here"/>
    <hyperlink ref="M6651" r:id="rId3310" display="Click here"/>
    <hyperlink ref="M6652" r:id="rId3311" display="Click here"/>
    <hyperlink ref="M6653" r:id="rId3312" display="Click here"/>
    <hyperlink ref="M6654" r:id="rId3313" display="Click here"/>
    <hyperlink ref="M6655" r:id="rId3314" display="Click here"/>
    <hyperlink ref="M6656" r:id="rId3315" display="Click here"/>
    <hyperlink ref="M6657" r:id="rId3316" display="Click here"/>
    <hyperlink ref="M6658" r:id="rId3317" display="Click here"/>
    <hyperlink ref="M6659" r:id="rId3318" display="Click here"/>
    <hyperlink ref="M6660" r:id="rId3319" display="Click here"/>
    <hyperlink ref="M6661" r:id="rId3320" display="Click here"/>
    <hyperlink ref="M6662" r:id="rId3321" display="Click here"/>
    <hyperlink ref="M6663" r:id="rId3322" display="Click here"/>
    <hyperlink ref="M6664" r:id="rId3323" display="Click here"/>
    <hyperlink ref="M6665" r:id="rId3324" display="Click here"/>
    <hyperlink ref="M6666" r:id="rId3325" display="Click here"/>
    <hyperlink ref="M6667" r:id="rId3326" display="Click here"/>
    <hyperlink ref="M6668" r:id="rId3327" display="Click here"/>
    <hyperlink ref="M6669" r:id="rId3328" display="Click here"/>
    <hyperlink ref="M6670" r:id="rId3329" display="Click here"/>
    <hyperlink ref="M6671" r:id="rId3330" display="Click here"/>
    <hyperlink ref="M6672" r:id="rId3331" display="Click here"/>
    <hyperlink ref="M6673" r:id="rId3332" display="Click here"/>
    <hyperlink ref="M6674" r:id="rId3333" display="Click here"/>
    <hyperlink ref="M6675" r:id="rId3334" display="Click here"/>
    <hyperlink ref="M6676" r:id="rId3335" display="Click here"/>
    <hyperlink ref="M6677" r:id="rId3336" display="Click here"/>
    <hyperlink ref="M6678" r:id="rId3337" display="Click here"/>
    <hyperlink ref="M6679" r:id="rId3338" display="Click here"/>
    <hyperlink ref="M6680" r:id="rId3339" display="Click here"/>
    <hyperlink ref="M6681" r:id="rId3340" display="Click here"/>
    <hyperlink ref="M6682" r:id="rId3341" display="Click here"/>
    <hyperlink ref="M6683" r:id="rId3342" display="Click here"/>
    <hyperlink ref="M6684" r:id="rId3343" display="Click here"/>
    <hyperlink ref="M6685" r:id="rId3344" display="Click here"/>
    <hyperlink ref="M6686" r:id="rId3345" display="Click here"/>
    <hyperlink ref="M6687" r:id="rId3346" display="Click here"/>
    <hyperlink ref="M6688" r:id="rId3347" display="Click here"/>
    <hyperlink ref="M6689" r:id="rId3348" display="Click here"/>
    <hyperlink ref="M6690" r:id="rId3349" display="Click here"/>
    <hyperlink ref="M6691" r:id="rId3350" display="Click here"/>
    <hyperlink ref="M6692" r:id="rId3351" display="Click here"/>
    <hyperlink ref="M6693" r:id="rId3352" display="Click here"/>
    <hyperlink ref="M6694" r:id="rId3353" display="Click here"/>
    <hyperlink ref="M6695" r:id="rId3354" display="Click here"/>
    <hyperlink ref="M6696" r:id="rId3355" display="Click here"/>
    <hyperlink ref="M6697" r:id="rId3356" display="Click here"/>
    <hyperlink ref="M6698" r:id="rId3357" display="Click here"/>
    <hyperlink ref="M6699" r:id="rId3358" display="Click here"/>
    <hyperlink ref="M6700" r:id="rId3359" display="Click here"/>
    <hyperlink ref="M6701" r:id="rId3360" display="Click here"/>
    <hyperlink ref="M6702" r:id="rId3361" display="Click here"/>
    <hyperlink ref="M6703" r:id="rId3362" display="Click here"/>
    <hyperlink ref="M6704" r:id="rId3363" display="Click here"/>
    <hyperlink ref="M6705" r:id="rId3364" display="Click here"/>
    <hyperlink ref="M6706" r:id="rId3365" display="Click here"/>
    <hyperlink ref="M6707" r:id="rId3366" display="Click here"/>
    <hyperlink ref="M6708" r:id="rId3367" display="Click here"/>
    <hyperlink ref="M6709" r:id="rId3368" display="Click here"/>
    <hyperlink ref="M6710" r:id="rId3369" display="Click here"/>
    <hyperlink ref="M6711" r:id="rId3370" display="Click here"/>
    <hyperlink ref="M6712" r:id="rId3371" display="Click here"/>
    <hyperlink ref="M6713" r:id="rId3372" display="Click here"/>
    <hyperlink ref="M6714" r:id="rId3373" display="Click here"/>
    <hyperlink ref="M6715" r:id="rId3374" display="Click here"/>
    <hyperlink ref="M6716" r:id="rId3375" display="Click here"/>
    <hyperlink ref="M6717" r:id="rId3376" display="Click here"/>
    <hyperlink ref="M6718" r:id="rId3377" display="Click here"/>
    <hyperlink ref="M6719" r:id="rId3378" display="Click here"/>
    <hyperlink ref="M6720" r:id="rId3379" display="Click here"/>
    <hyperlink ref="M6721" r:id="rId3380" display="Click here"/>
    <hyperlink ref="M6722" r:id="rId3381" display="Click here"/>
    <hyperlink ref="M6723" r:id="rId3382" display="Click here"/>
    <hyperlink ref="M6724" r:id="rId3383" display="Click here"/>
    <hyperlink ref="M6725" r:id="rId3384" display="Click here"/>
    <hyperlink ref="M6726" r:id="rId3385" display="Click here"/>
    <hyperlink ref="M6727" r:id="rId3386" display="Click here"/>
    <hyperlink ref="M6728" r:id="rId3387" display="Click here"/>
    <hyperlink ref="M6729" r:id="rId3388" display="Click here"/>
    <hyperlink ref="M6730" r:id="rId3389" display="Click here"/>
    <hyperlink ref="M6731" r:id="rId3390" display="Click here"/>
    <hyperlink ref="M6732" r:id="rId3391" display="Click here"/>
    <hyperlink ref="M6733" r:id="rId3392" display="Click here"/>
    <hyperlink ref="M6734" r:id="rId3393" display="Click here"/>
    <hyperlink ref="M6735" r:id="rId3394" display="Click here"/>
    <hyperlink ref="M6736" r:id="rId3395" display="Click here"/>
    <hyperlink ref="M6737" r:id="rId3396" display="Click here"/>
    <hyperlink ref="M6738" r:id="rId3397" display="Click here"/>
    <hyperlink ref="M6739" r:id="rId3398" display="Click here"/>
    <hyperlink ref="M6740" r:id="rId3399" display="Click here"/>
    <hyperlink ref="M6741" r:id="rId3400" display="Click here"/>
    <hyperlink ref="M6742" r:id="rId3401" display="Click here"/>
    <hyperlink ref="M6743" r:id="rId3402" display="Click here"/>
    <hyperlink ref="M6744" r:id="rId3403" display="Click here"/>
    <hyperlink ref="M6745" r:id="rId3404" display="Click here"/>
    <hyperlink ref="M6746" r:id="rId3405" display="Click here"/>
    <hyperlink ref="M6747" r:id="rId3406" display="Click here"/>
    <hyperlink ref="M6748" r:id="rId3407" display="Click here"/>
    <hyperlink ref="M6749" r:id="rId3408" display="Click here"/>
    <hyperlink ref="M6750" r:id="rId3409" display="Click here"/>
    <hyperlink ref="M6751" r:id="rId3410" display="Click here"/>
    <hyperlink ref="M6752" r:id="rId3411" display="Click here"/>
    <hyperlink ref="M6753" r:id="rId3412" display="Click here"/>
    <hyperlink ref="M6754" r:id="rId3413" display="Click here"/>
    <hyperlink ref="M6755" r:id="rId3414" display="Click here"/>
    <hyperlink ref="M6756" r:id="rId3415" display="Click here"/>
    <hyperlink ref="M6757" r:id="rId3416" display="Click here"/>
    <hyperlink ref="M6758" r:id="rId3417" display="Click here"/>
    <hyperlink ref="M6759" r:id="rId3418" display="Click here"/>
    <hyperlink ref="M6760" r:id="rId3419" display="Click here"/>
    <hyperlink ref="M6761" r:id="rId3420" display="Click here"/>
    <hyperlink ref="M6762" r:id="rId3421" display="Click here"/>
    <hyperlink ref="M6763" r:id="rId3422" display="Click here"/>
    <hyperlink ref="M6764" r:id="rId3423" display="Click here"/>
    <hyperlink ref="M6765" r:id="rId3424" display="Click here"/>
    <hyperlink ref="M6766" r:id="rId3425" display="Click here"/>
    <hyperlink ref="M6767" r:id="rId3426" display="Click here"/>
    <hyperlink ref="M6768" r:id="rId3427" display="Click here"/>
    <hyperlink ref="M6769" r:id="rId3428" display="Click here"/>
    <hyperlink ref="M6770" r:id="rId3429" display="Click here"/>
    <hyperlink ref="M6771" r:id="rId3430" display="Click here"/>
    <hyperlink ref="M6772" r:id="rId3431" display="Click here"/>
    <hyperlink ref="M6773" r:id="rId3432" display="Click here"/>
    <hyperlink ref="M6774" r:id="rId3433" display="Click here"/>
    <hyperlink ref="M6775" r:id="rId3434" display="Click here"/>
    <hyperlink ref="M6776" r:id="rId3435" display="Click here"/>
    <hyperlink ref="M6777" r:id="rId3436" display="Click here"/>
    <hyperlink ref="M6778" r:id="rId3437" display="Click here"/>
    <hyperlink ref="M6779" r:id="rId3438" display="Click here"/>
    <hyperlink ref="M6780" r:id="rId3439" display="Click here"/>
    <hyperlink ref="M6781" r:id="rId3440" display="Click here"/>
    <hyperlink ref="M6782" r:id="rId3441" display="Click here"/>
    <hyperlink ref="M6783" r:id="rId3442" display="Click here"/>
    <hyperlink ref="M6784" r:id="rId3443" display="Click here"/>
    <hyperlink ref="M6785" r:id="rId3444" display="Click here"/>
    <hyperlink ref="M6786" r:id="rId3445" display="Click here"/>
    <hyperlink ref="M6787" r:id="rId3446" display="Click here"/>
    <hyperlink ref="M6788" r:id="rId3447" display="Click here"/>
    <hyperlink ref="M6789" r:id="rId3448" display="Click here"/>
    <hyperlink ref="M6790" r:id="rId3449" display="Click here"/>
    <hyperlink ref="M6791" r:id="rId3450" display="Click here"/>
    <hyperlink ref="M6792" r:id="rId3451" display="Click here"/>
    <hyperlink ref="M6793" r:id="rId3452" display="Click here"/>
    <hyperlink ref="M6794" r:id="rId3453" display="Click here"/>
    <hyperlink ref="M6795" r:id="rId3454" display="Click here"/>
    <hyperlink ref="M6796" r:id="rId3455" display="Click here"/>
    <hyperlink ref="M6797" r:id="rId3456" display="Click here"/>
    <hyperlink ref="M6798" r:id="rId3457" display="Click here"/>
    <hyperlink ref="M6799" r:id="rId3458" display="Click here"/>
    <hyperlink ref="M6800" r:id="rId3459" display="Click here"/>
    <hyperlink ref="M6801" r:id="rId3460" display="Click here"/>
    <hyperlink ref="M6802" r:id="rId3461" display="Click here"/>
    <hyperlink ref="M6803" r:id="rId3462" display="Click here"/>
    <hyperlink ref="M6804" r:id="rId3463" display="Click here"/>
    <hyperlink ref="M6805" r:id="rId3464" display="Click here"/>
    <hyperlink ref="M6806" r:id="rId3465" display="Click here"/>
    <hyperlink ref="M6807" r:id="rId3466" display="Click here"/>
    <hyperlink ref="M6808" r:id="rId3467" display="Click here"/>
    <hyperlink ref="M6809" r:id="rId3468" display="Click here"/>
    <hyperlink ref="M6810" r:id="rId3469" display="Click here"/>
    <hyperlink ref="M6811" r:id="rId3470" display="Click here"/>
    <hyperlink ref="M6812" r:id="rId3471" display="Click here"/>
    <hyperlink ref="M6813" r:id="rId3472" display="Click here"/>
    <hyperlink ref="M6814" r:id="rId3473" display="Click here"/>
    <hyperlink ref="M6815" r:id="rId3474" display="Click here"/>
    <hyperlink ref="M6816" r:id="rId3475" display="Click here"/>
    <hyperlink ref="M6817" r:id="rId3476" display="Click here"/>
    <hyperlink ref="M6818" r:id="rId3477" display="Click here"/>
    <hyperlink ref="M6819" r:id="rId3478" display="Click here"/>
    <hyperlink ref="M6820" r:id="rId3479" display="Click here"/>
    <hyperlink ref="M6821" r:id="rId3480" display="Click here"/>
    <hyperlink ref="M6822" r:id="rId3481" display="Click here"/>
    <hyperlink ref="M6823" r:id="rId3482" display="Click here"/>
    <hyperlink ref="M6824" r:id="rId3483" display="Click here"/>
    <hyperlink ref="M6825" r:id="rId3484" display="Click here"/>
    <hyperlink ref="M6826" r:id="rId3485" display="Click here"/>
    <hyperlink ref="M6827" r:id="rId3486" display="Click here"/>
    <hyperlink ref="M6828" r:id="rId3487" display="Click here"/>
    <hyperlink ref="M6829" r:id="rId3488" display="Click here"/>
    <hyperlink ref="M6830" r:id="rId3489" display="Click here"/>
    <hyperlink ref="M6831" r:id="rId3490" display="Click here"/>
    <hyperlink ref="M6832" r:id="rId3491" display="Click here"/>
    <hyperlink ref="M6833" r:id="rId3492" display="Click here"/>
    <hyperlink ref="M6834" r:id="rId3493" display="Click here"/>
    <hyperlink ref="M6835" r:id="rId3494" display="Click here"/>
    <hyperlink ref="M6836" r:id="rId3495" display="Click here"/>
    <hyperlink ref="M6837" r:id="rId3496" display="Click here"/>
    <hyperlink ref="M6838" r:id="rId3497" display="Click here"/>
    <hyperlink ref="M6839" r:id="rId3498" display="Click here"/>
    <hyperlink ref="M6840" r:id="rId3499" display="Click here"/>
    <hyperlink ref="M6841" r:id="rId3500" display="Click here"/>
    <hyperlink ref="M6842" r:id="rId3501" display="Click here"/>
    <hyperlink ref="M6843" r:id="rId3502" display="Click here"/>
    <hyperlink ref="M6844" r:id="rId3503" display="Click here"/>
    <hyperlink ref="M6845" r:id="rId3504" display="Click here"/>
    <hyperlink ref="M6846" r:id="rId3505" display="Click here"/>
    <hyperlink ref="M6847" r:id="rId3506" display="Click here"/>
    <hyperlink ref="M6848" r:id="rId3507" display="Click here"/>
    <hyperlink ref="M6849" r:id="rId3508" display="Click here"/>
    <hyperlink ref="M6850" r:id="rId3509" display="Click here"/>
    <hyperlink ref="M6851" r:id="rId3510" display="Click here"/>
    <hyperlink ref="M6852" r:id="rId3511" display="Click here"/>
    <hyperlink ref="M6853" r:id="rId3512" display="Click here"/>
    <hyperlink ref="M6854" r:id="rId3513" display="Click here"/>
    <hyperlink ref="M6855" r:id="rId3514" display="Click here"/>
    <hyperlink ref="M6856" r:id="rId3515" display="Click here"/>
    <hyperlink ref="M6857" r:id="rId3516" display="Click here"/>
    <hyperlink ref="M6858" r:id="rId3517" display="Click here"/>
    <hyperlink ref="M6859" r:id="rId3518" display="Click here"/>
    <hyperlink ref="M6860" r:id="rId3519" display="Click here"/>
    <hyperlink ref="M6861" r:id="rId3520" display="Click here"/>
    <hyperlink ref="M6862" r:id="rId3521" display="Click here"/>
    <hyperlink ref="M6863" r:id="rId3522" display="Click here"/>
    <hyperlink ref="M6864" r:id="rId3523" display="Click here"/>
    <hyperlink ref="M6865" r:id="rId3524" display="Click here"/>
    <hyperlink ref="M6866" r:id="rId3525" display="Click here"/>
    <hyperlink ref="M6867" r:id="rId3526" display="Click here"/>
    <hyperlink ref="M6868" r:id="rId3527" display="Click here"/>
    <hyperlink ref="M6869" r:id="rId3528" display="Click here"/>
    <hyperlink ref="M6870" r:id="rId3529" display="Click here"/>
    <hyperlink ref="M6871" r:id="rId3530" display="Click here"/>
    <hyperlink ref="M6872" r:id="rId3531" display="Click here"/>
    <hyperlink ref="M6873" r:id="rId3532" display="Click here"/>
    <hyperlink ref="M6874" r:id="rId3533" display="Click here"/>
    <hyperlink ref="M6875" r:id="rId3534" display="Click here"/>
    <hyperlink ref="M6876" r:id="rId3535" display="Click here"/>
    <hyperlink ref="M6877" r:id="rId3536" display="Click here"/>
    <hyperlink ref="M6878" r:id="rId3537" display="Click here"/>
    <hyperlink ref="M6879" r:id="rId3538" display="Click here"/>
    <hyperlink ref="M6880" r:id="rId3539" display="Click here"/>
    <hyperlink ref="M6881" r:id="rId3540" display="Click here"/>
    <hyperlink ref="M6882" r:id="rId3541" display="Click here"/>
    <hyperlink ref="M6883" r:id="rId3542" display="Click here"/>
    <hyperlink ref="M6884" r:id="rId3543" display="Click here"/>
    <hyperlink ref="M6885" r:id="rId3544" display="Click here"/>
    <hyperlink ref="M6886" r:id="rId3545" display="Click here"/>
    <hyperlink ref="M6887" r:id="rId3546" display="Click here"/>
    <hyperlink ref="M6888" r:id="rId3547" display="Click here"/>
    <hyperlink ref="M6889" r:id="rId3548" display="Click here"/>
    <hyperlink ref="M6890" r:id="rId3549" display="Click here"/>
    <hyperlink ref="M6891" r:id="rId3550" display="Click here"/>
    <hyperlink ref="M6892" r:id="rId3551" display="Click here"/>
    <hyperlink ref="M6893" r:id="rId3552" display="Click here"/>
    <hyperlink ref="M6894" r:id="rId3553" display="Click here"/>
    <hyperlink ref="M6895" r:id="rId3554" display="Click here"/>
    <hyperlink ref="M6896" r:id="rId3555" display="Click here"/>
    <hyperlink ref="M6897" r:id="rId3556" display="Click here"/>
    <hyperlink ref="M6898" r:id="rId3557" display="Click here"/>
    <hyperlink ref="M6899" r:id="rId3558" display="Click here"/>
    <hyperlink ref="M6900" r:id="rId3559" display="Click here"/>
    <hyperlink ref="M6901" r:id="rId3560" display="Click here"/>
    <hyperlink ref="M6902" r:id="rId3561" display="Click here"/>
    <hyperlink ref="M6903" r:id="rId3562" display="Click here"/>
    <hyperlink ref="M6904" r:id="rId3563" display="Click here"/>
    <hyperlink ref="M6905" r:id="rId3564" display="Click here"/>
    <hyperlink ref="M6906" r:id="rId3565" display="Click here"/>
    <hyperlink ref="M6907" r:id="rId3566" display="Click here"/>
    <hyperlink ref="M6908" r:id="rId3567" display="Click here"/>
    <hyperlink ref="M6909" r:id="rId3568" display="Click here"/>
    <hyperlink ref="M6910" r:id="rId3569" display="Click here"/>
    <hyperlink ref="M6911" r:id="rId3570" display="Click here"/>
    <hyperlink ref="M6912" r:id="rId3571" display="Click here"/>
    <hyperlink ref="M6913" r:id="rId3572" display="Click here"/>
    <hyperlink ref="M6914" r:id="rId3573" display="Click here"/>
    <hyperlink ref="M6915" r:id="rId3574" display="Click here"/>
    <hyperlink ref="M6916" r:id="rId3575" display="Click here"/>
    <hyperlink ref="M6917" r:id="rId3576" display="Click here"/>
    <hyperlink ref="M6918" r:id="rId3577" display="Click here"/>
    <hyperlink ref="M6919" r:id="rId3578" display="Click here"/>
    <hyperlink ref="M6920" r:id="rId3579" display="Click here"/>
    <hyperlink ref="M6921" r:id="rId3580" display="Click here"/>
    <hyperlink ref="M6922" r:id="rId3581" display="Click here"/>
    <hyperlink ref="M6923" r:id="rId3582" display="Click here"/>
    <hyperlink ref="M6924" r:id="rId3583" display="Click here"/>
    <hyperlink ref="M6925" r:id="rId3584" display="Click here"/>
    <hyperlink ref="M6926" r:id="rId3585" display="Click here"/>
    <hyperlink ref="M6927" r:id="rId3586" display="Click here"/>
    <hyperlink ref="M6928" r:id="rId3587" display="Click here"/>
    <hyperlink ref="M6929" r:id="rId3588" display="Click here"/>
    <hyperlink ref="M6930" r:id="rId3589" display="Click here"/>
    <hyperlink ref="M6931" r:id="rId3590" display="Click here"/>
    <hyperlink ref="M6932" r:id="rId3591" display="Click here"/>
    <hyperlink ref="M6933" r:id="rId3592" display="Click here"/>
    <hyperlink ref="M6934" r:id="rId3593" display="Click here"/>
    <hyperlink ref="M6935" r:id="rId3594" display="Click here"/>
    <hyperlink ref="M6936" r:id="rId3595" display="Click here"/>
    <hyperlink ref="M6937" r:id="rId3596" display="Click here"/>
    <hyperlink ref="M6938" r:id="rId3597" display="Click here"/>
    <hyperlink ref="M6939" r:id="rId3598" display="Click here"/>
    <hyperlink ref="M6940" r:id="rId3599" display="Click here"/>
    <hyperlink ref="M6941" r:id="rId3600" display="Click here"/>
    <hyperlink ref="M6942" r:id="rId3601" display="Click here"/>
    <hyperlink ref="M6943" r:id="rId3602" display="Click here"/>
    <hyperlink ref="M6944" r:id="rId3603" display="Click here"/>
    <hyperlink ref="M6945" r:id="rId3604" display="Click here"/>
    <hyperlink ref="M6946" r:id="rId3605" display="Click here"/>
    <hyperlink ref="M6947" r:id="rId3606" display="Click here"/>
    <hyperlink ref="M6948" r:id="rId3607" display="Click here"/>
    <hyperlink ref="M6949" r:id="rId3608" display="Click here"/>
    <hyperlink ref="M6950" r:id="rId3609" display="Click here"/>
    <hyperlink ref="M6951" r:id="rId3610" display="Click here"/>
    <hyperlink ref="M6952" r:id="rId3611" display="Click here"/>
    <hyperlink ref="M6953" r:id="rId3612" display="Click here"/>
    <hyperlink ref="M6954" r:id="rId3613" display="Click here"/>
    <hyperlink ref="M6955" r:id="rId3614" display="Click here"/>
    <hyperlink ref="M6956" r:id="rId3615" display="Click here"/>
    <hyperlink ref="M6957" r:id="rId3616" display="Click here"/>
    <hyperlink ref="M6958" r:id="rId3617" display="Click here"/>
    <hyperlink ref="M6959" r:id="rId3618" display="Click here"/>
    <hyperlink ref="M6960" r:id="rId3619" display="Click here"/>
    <hyperlink ref="M6961" r:id="rId3620" display="Click here"/>
    <hyperlink ref="M6962" r:id="rId3621" display="Click here"/>
    <hyperlink ref="M6963" r:id="rId3622" display="Click here"/>
    <hyperlink ref="M6964" r:id="rId3623" display="Click here"/>
    <hyperlink ref="M6965" r:id="rId3624" display="Click here"/>
    <hyperlink ref="M6966" r:id="rId3625" display="Click here"/>
    <hyperlink ref="M6967" r:id="rId3626" display="Click here"/>
    <hyperlink ref="M6968" r:id="rId3627" display="Click here"/>
    <hyperlink ref="M6969" r:id="rId3628" display="Click here"/>
    <hyperlink ref="M6970" r:id="rId3629" display="Click here"/>
    <hyperlink ref="M6971" r:id="rId3630" display="Click here"/>
    <hyperlink ref="M6972" r:id="rId3631" display="Click here"/>
    <hyperlink ref="M6973" r:id="rId3632" display="Click here"/>
    <hyperlink ref="M6974" r:id="rId3633" display="Click here"/>
    <hyperlink ref="M6975" r:id="rId3634" display="Click here"/>
    <hyperlink ref="M6976" r:id="rId3635" display="Click here"/>
    <hyperlink ref="M6977" r:id="rId3636" display="Click here"/>
    <hyperlink ref="M6978" r:id="rId3637" display="Click here"/>
    <hyperlink ref="M6979" r:id="rId3638" display="Click here"/>
    <hyperlink ref="M6980" r:id="rId3639" display="Click here"/>
    <hyperlink ref="M6981" r:id="rId3640" display="Click here"/>
    <hyperlink ref="M6982" r:id="rId3641" display="Click here"/>
    <hyperlink ref="M6983" r:id="rId3642" display="Click here"/>
    <hyperlink ref="M6984" r:id="rId3643" display="Click here"/>
    <hyperlink ref="M6985" r:id="rId3644" display="Click here"/>
    <hyperlink ref="M6986" r:id="rId3645" display="Click here"/>
    <hyperlink ref="M6987" r:id="rId3646" display="Click here"/>
    <hyperlink ref="M6988" r:id="rId3647" display="Click here"/>
    <hyperlink ref="M6989" r:id="rId3648" display="Click here"/>
    <hyperlink ref="M6990" r:id="rId3649" display="Click here"/>
    <hyperlink ref="M6991" r:id="rId3650" display="Click here"/>
    <hyperlink ref="M6992" r:id="rId3651" display="Click here"/>
    <hyperlink ref="M6993" r:id="rId3652" display="Click here"/>
    <hyperlink ref="M6994" r:id="rId3653" display="Click here"/>
    <hyperlink ref="M6995" r:id="rId3654" display="Click here"/>
    <hyperlink ref="M6996" r:id="rId3655" display="Click here"/>
    <hyperlink ref="M6997" r:id="rId3656" display="Click here"/>
    <hyperlink ref="M6998" r:id="rId3657" display="Click here"/>
    <hyperlink ref="M6999" r:id="rId3658" display="Click here"/>
    <hyperlink ref="M7000" r:id="rId3659" display="Click here"/>
    <hyperlink ref="M7001" r:id="rId3660" display="Click here"/>
    <hyperlink ref="M7002" r:id="rId3661" display="Click here"/>
    <hyperlink ref="M7003" r:id="rId3662" display="Click here"/>
    <hyperlink ref="M7004" r:id="rId3663" display="Click here"/>
    <hyperlink ref="M7005" r:id="rId3664" display="Click here"/>
    <hyperlink ref="M7006" r:id="rId3665" display="Click here"/>
    <hyperlink ref="M7007" r:id="rId3666" display="Click here"/>
    <hyperlink ref="M7008" r:id="rId3667" display="Click here"/>
    <hyperlink ref="M7009" r:id="rId3668" display="Click here"/>
    <hyperlink ref="M7010" r:id="rId3669" display="Click here"/>
    <hyperlink ref="M7011" r:id="rId3670" display="Click here"/>
    <hyperlink ref="M7012" r:id="rId3671" display="Click here"/>
    <hyperlink ref="M7013" r:id="rId3672" display="Click here"/>
    <hyperlink ref="M7014" r:id="rId3673" display="Click here"/>
    <hyperlink ref="M7015" r:id="rId3674" display="Click here"/>
    <hyperlink ref="M7016" r:id="rId3675" display="Click here"/>
    <hyperlink ref="M7017" r:id="rId3676" display="Click here"/>
    <hyperlink ref="M7018" r:id="rId3677" display="Click here"/>
    <hyperlink ref="M7019" r:id="rId3678" display="Click here"/>
    <hyperlink ref="M7020" r:id="rId3679" display="Click here"/>
    <hyperlink ref="M7021" r:id="rId3680" display="Click here"/>
    <hyperlink ref="M7022" r:id="rId3681" display="Click here"/>
    <hyperlink ref="M7023" r:id="rId3682" display="Click here"/>
    <hyperlink ref="M7024" r:id="rId3683" display="Click here"/>
    <hyperlink ref="M7025" r:id="rId3684" display="Click here"/>
    <hyperlink ref="M7026" r:id="rId3685" display="Click here"/>
    <hyperlink ref="M7027" r:id="rId3686" display="Click here"/>
    <hyperlink ref="M7028" r:id="rId3687" display="Click here"/>
    <hyperlink ref="M7029" r:id="rId3688" display="Click here"/>
    <hyperlink ref="M7030" r:id="rId3689" display="Click here"/>
    <hyperlink ref="M7031" r:id="rId3690" display="Click here"/>
    <hyperlink ref="M7032" r:id="rId3691" display="Click here"/>
    <hyperlink ref="M7033" r:id="rId3692" display="Click here"/>
    <hyperlink ref="M7034" r:id="rId3693" display="Click here"/>
    <hyperlink ref="M7035" r:id="rId3694" display="Click here"/>
    <hyperlink ref="M7036" r:id="rId3695" display="Click here"/>
    <hyperlink ref="M7037" r:id="rId3696" display="Click here"/>
    <hyperlink ref="M7038" r:id="rId3697" display="Click here"/>
    <hyperlink ref="M7039" r:id="rId3698" display="Click here"/>
    <hyperlink ref="M7040" r:id="rId3699" display="Click here"/>
    <hyperlink ref="M7041" r:id="rId3700" display="Click here"/>
    <hyperlink ref="M7042" r:id="rId3701" display="Click here"/>
    <hyperlink ref="M7043" r:id="rId3702" display="Click here"/>
    <hyperlink ref="M7044" r:id="rId3703" display="Click here"/>
    <hyperlink ref="M7045" r:id="rId3704" display="Click here"/>
    <hyperlink ref="M7046" r:id="rId3705" display="Click here"/>
    <hyperlink ref="M7047" r:id="rId3706" display="Click here"/>
    <hyperlink ref="M7048" r:id="rId3707" display="Click here"/>
    <hyperlink ref="M7049" r:id="rId3708" display="Click here"/>
    <hyperlink ref="M7050" r:id="rId3709" display="Click here"/>
    <hyperlink ref="M7051" r:id="rId3710" display="Click here"/>
    <hyperlink ref="M7052" r:id="rId3711" display="Click here"/>
    <hyperlink ref="M7053" r:id="rId3712" display="Click here"/>
    <hyperlink ref="M7054" r:id="rId3713" display="Click here"/>
    <hyperlink ref="M7055" r:id="rId3714" display="Click here"/>
    <hyperlink ref="M7056" r:id="rId3715" display="Click here"/>
    <hyperlink ref="M7057" r:id="rId3716" display="Click here"/>
    <hyperlink ref="M7058" r:id="rId3717" display="Click here"/>
    <hyperlink ref="M7059" r:id="rId3718" display="Click here"/>
    <hyperlink ref="M7060" r:id="rId3719" display="Click here"/>
    <hyperlink ref="M7061" r:id="rId3720" display="Click here"/>
    <hyperlink ref="M7062" r:id="rId3721" display="Click here"/>
    <hyperlink ref="M7063" r:id="rId3722" display="Click here"/>
    <hyperlink ref="M7064" r:id="rId3723" display="Click here"/>
    <hyperlink ref="M7065" r:id="rId3724" display="Click here"/>
    <hyperlink ref="M7066" r:id="rId3725" display="Click here"/>
    <hyperlink ref="M7067" r:id="rId3726" display="Click here"/>
    <hyperlink ref="M7068" r:id="rId3727" display="Click here"/>
    <hyperlink ref="M7069" r:id="rId3728" display="Click here"/>
    <hyperlink ref="M7070" r:id="rId3729" display="Click here"/>
    <hyperlink ref="M7071" r:id="rId3730" display="Click here"/>
    <hyperlink ref="M7072" r:id="rId3731" display="Click here"/>
    <hyperlink ref="M7073" r:id="rId3732" display="Click here"/>
    <hyperlink ref="M7074" r:id="rId3733" display="Click here"/>
    <hyperlink ref="M7075" r:id="rId3734" display="Click here"/>
    <hyperlink ref="M7076" r:id="rId3735" display="Click here"/>
    <hyperlink ref="M7077" r:id="rId3736" display="Click here"/>
    <hyperlink ref="M7078" r:id="rId3737" display="Click here"/>
    <hyperlink ref="M7079" r:id="rId3738" display="Click here"/>
    <hyperlink ref="M7080" r:id="rId3739" display="Click here"/>
    <hyperlink ref="M7081" r:id="rId3740" display="Click here"/>
    <hyperlink ref="M7082" r:id="rId3741" display="Click here"/>
    <hyperlink ref="M7083" r:id="rId3742" display="Click here"/>
    <hyperlink ref="M7084" r:id="rId3743" display="Click here"/>
    <hyperlink ref="M7085" r:id="rId3744" display="Click here"/>
    <hyperlink ref="M7086" r:id="rId3745" display="Click here"/>
    <hyperlink ref="M7087" r:id="rId3746" display="Click here"/>
    <hyperlink ref="M7088" r:id="rId3747" display="Click here"/>
    <hyperlink ref="M7089" r:id="rId3748" display="Click here"/>
    <hyperlink ref="M7090" r:id="rId3749" display="Click here"/>
    <hyperlink ref="M7091" r:id="rId3750" display="Click here"/>
    <hyperlink ref="M7092" r:id="rId3751" display="Click here"/>
    <hyperlink ref="M7093" r:id="rId3752" display="Click here"/>
    <hyperlink ref="M7094" r:id="rId3753" display="Click here"/>
    <hyperlink ref="M7095" r:id="rId3754" display="Click here"/>
    <hyperlink ref="M7096" r:id="rId3755" display="Click here"/>
    <hyperlink ref="M7097" r:id="rId3756" display="Click here"/>
    <hyperlink ref="M7098" r:id="rId3757" display="Click here"/>
    <hyperlink ref="M7099" r:id="rId3758" display="Click here"/>
    <hyperlink ref="M7100" r:id="rId3759" display="Click here"/>
    <hyperlink ref="M7101" r:id="rId3760" display="Click here"/>
    <hyperlink ref="M7102" r:id="rId3761" display="Click here"/>
    <hyperlink ref="M7103" r:id="rId3762" display="Click here"/>
    <hyperlink ref="M7104" r:id="rId3763" display="Click here"/>
    <hyperlink ref="M7105" r:id="rId3764" display="Click here"/>
    <hyperlink ref="M7106" r:id="rId3765" display="Click here"/>
    <hyperlink ref="M7107" r:id="rId3766" display="Click here"/>
    <hyperlink ref="M7108" r:id="rId3767" display="Click here"/>
    <hyperlink ref="M7109" r:id="rId3768" display="Click here"/>
    <hyperlink ref="M7110" r:id="rId3769" display="Click here"/>
    <hyperlink ref="M7111" r:id="rId3770" display="Click here"/>
    <hyperlink ref="M7112" r:id="rId3771" display="Click here"/>
    <hyperlink ref="M7113" r:id="rId3772" display="Click here"/>
    <hyperlink ref="M7114" r:id="rId3773" display="Click here"/>
    <hyperlink ref="M7115" r:id="rId3774" display="Click here"/>
    <hyperlink ref="M7116" r:id="rId3775" display="Click here"/>
    <hyperlink ref="M7117" r:id="rId3776" display="Click here"/>
    <hyperlink ref="M7118" r:id="rId3777" display="Click here"/>
    <hyperlink ref="M7119" r:id="rId3778" display="Click here"/>
    <hyperlink ref="M7120" r:id="rId3779" display="Click here"/>
    <hyperlink ref="M7121" r:id="rId3780" display="Click here"/>
    <hyperlink ref="M7122" r:id="rId3781" display="Click here"/>
    <hyperlink ref="M7123" r:id="rId3782" display="Click here"/>
    <hyperlink ref="M7124" r:id="rId3783" display="Click here"/>
    <hyperlink ref="M7125" r:id="rId3784" display="Click here"/>
    <hyperlink ref="M7126" r:id="rId3785" display="Click here"/>
    <hyperlink ref="M7127" r:id="rId3786" display="Click here"/>
    <hyperlink ref="M7128" r:id="rId3787" display="Click here"/>
    <hyperlink ref="M7129" r:id="rId3788" display="Click here"/>
    <hyperlink ref="M7130" r:id="rId3789" display="Click here"/>
    <hyperlink ref="M7131" r:id="rId3790" display="Click here"/>
    <hyperlink ref="M7132" r:id="rId3791" display="Click here"/>
    <hyperlink ref="M7133" r:id="rId3792" display="Click here"/>
    <hyperlink ref="M7134" r:id="rId3793" display="Click here"/>
    <hyperlink ref="M7135" r:id="rId3794" display="Click here"/>
    <hyperlink ref="M7136" r:id="rId3795" display="Click here"/>
    <hyperlink ref="M7137" r:id="rId3796" display="Click here"/>
    <hyperlink ref="M7138" r:id="rId3797" display="Click here"/>
    <hyperlink ref="M7139" r:id="rId3798" display="Click here"/>
    <hyperlink ref="M7140" r:id="rId3799" display="Click here"/>
    <hyperlink ref="M7141" r:id="rId3800" display="Click here"/>
    <hyperlink ref="M7142" r:id="rId3801" display="Click here"/>
    <hyperlink ref="M7143" r:id="rId3802" display="Click here"/>
    <hyperlink ref="M7144" r:id="rId3803" display="Click here"/>
    <hyperlink ref="M7145" r:id="rId3804" display="Click here"/>
    <hyperlink ref="M7146" r:id="rId3805" display="Click here"/>
    <hyperlink ref="M7147" r:id="rId3806" display="Click here"/>
    <hyperlink ref="M7148" r:id="rId3807" display="Click here"/>
    <hyperlink ref="M7149" r:id="rId3808" display="Click here"/>
    <hyperlink ref="M7150" r:id="rId3809" display="Click here"/>
    <hyperlink ref="M7151" r:id="rId3810" display="Click here"/>
    <hyperlink ref="M7152" r:id="rId3811" display="Click here"/>
    <hyperlink ref="M7153" r:id="rId3812" display="Click here"/>
    <hyperlink ref="M7154" r:id="rId3813" display="Click here"/>
    <hyperlink ref="M7155" r:id="rId3814" display="Click here"/>
    <hyperlink ref="M7156" r:id="rId3815" display="Click here"/>
    <hyperlink ref="M7157" r:id="rId3816" display="Click here"/>
    <hyperlink ref="M7158" r:id="rId3817" display="Click here"/>
    <hyperlink ref="M7159" r:id="rId3818" display="Click here"/>
    <hyperlink ref="M7160" r:id="rId3819" display="Click here"/>
    <hyperlink ref="M7161" r:id="rId3820" display="Click here"/>
    <hyperlink ref="M7162" r:id="rId3821" display="Click here"/>
    <hyperlink ref="M7163" r:id="rId3822" display="Click here"/>
    <hyperlink ref="M7164" r:id="rId3823" display="Click here"/>
    <hyperlink ref="M7165" r:id="rId3824" display="Click here"/>
    <hyperlink ref="M7166" r:id="rId3825" display="Click here"/>
    <hyperlink ref="M7167" r:id="rId3826" display="Click here"/>
    <hyperlink ref="M7168" r:id="rId3827" display="Click here"/>
    <hyperlink ref="M7169" r:id="rId3828" display="Click here"/>
    <hyperlink ref="M7170" r:id="rId3829" display="Click here"/>
    <hyperlink ref="M7171" r:id="rId3830" display="Click here"/>
    <hyperlink ref="M7172" r:id="rId3831" display="Click here"/>
    <hyperlink ref="M7173" r:id="rId3832" display="Click here"/>
    <hyperlink ref="M7174" r:id="rId3833" display="Click here"/>
    <hyperlink ref="M7175" r:id="rId3834" display="Click here"/>
    <hyperlink ref="M7176" r:id="rId3835" display="Click here"/>
    <hyperlink ref="M7177" r:id="rId3836" display="Click here"/>
    <hyperlink ref="M7178" r:id="rId3837" display="Click here"/>
    <hyperlink ref="M7179" r:id="rId3838" display="Click here"/>
    <hyperlink ref="M7180" r:id="rId3839" display="Click here"/>
    <hyperlink ref="M7181" r:id="rId3840" display="Click here"/>
    <hyperlink ref="M7182" r:id="rId3841" display="Click here"/>
    <hyperlink ref="M7183" r:id="rId3842" display="Click here"/>
    <hyperlink ref="M7184" r:id="rId3843" display="Click here"/>
    <hyperlink ref="M7185" r:id="rId3844" display="Click here"/>
    <hyperlink ref="M7186" r:id="rId3845" display="Click here"/>
    <hyperlink ref="M7187" r:id="rId3846" display="Click here"/>
    <hyperlink ref="M7188" r:id="rId3847" display="Click here"/>
    <hyperlink ref="M7189" r:id="rId3848" display="Click here"/>
    <hyperlink ref="M7190" r:id="rId3849" display="Click here"/>
    <hyperlink ref="M7191" r:id="rId3850" display="Click here"/>
    <hyperlink ref="M7192" r:id="rId3851" display="Click here"/>
    <hyperlink ref="M7193" r:id="rId3852" display="Click here"/>
    <hyperlink ref="M7194" r:id="rId3853" display="Click here"/>
    <hyperlink ref="M7195" r:id="rId3854" display="Click here"/>
    <hyperlink ref="M7196" r:id="rId3855" display="Click here"/>
    <hyperlink ref="M7197" r:id="rId3856" display="Click here"/>
    <hyperlink ref="M7198" r:id="rId3857" display="Click here"/>
    <hyperlink ref="M7199" r:id="rId3858" display="Click here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3859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2026-10-16T12:08:21Z</dcterms:created>
  <dc:creator>openpyxl</dc:creator>
  <dc:description/>
  <dc:language>en-US</dc:language>
  <cp:lastModifiedBy/>
  <dcterms:modified xsi:type="dcterms:W3CDTF">2026-10-16T12:08:26Z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
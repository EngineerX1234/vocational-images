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NSDC-AI" sheetId="2" state="visible" r:id="rId4"/>
    <sheet name="NSDC-ARVR" sheetId="3" state="visible" r:id="rId5"/>
    <sheet name="NSDC-FMM" sheetId="4" state="visible" r:id="rId6"/>
    <sheet name="NSDC-MSFC" sheetId="5" state="visible" r:id="rId7"/>
    <sheet name="NVS-MSL" sheetId="6" state="visible" r:id="rId8"/>
    <sheet name="DL-MM" sheetId="7" state="visible" r:id="rId9"/>
    <sheet name="DL-FMM" sheetId="8" state="visible" r:id="rId10"/>
    <sheet name="DL-TAX" sheetId="9" state="visible" r:id="rId11"/>
    <sheet name="DL-MLT" sheetId="10" state="visible" r:id="rId12"/>
  </sheets>
  <definedNames>
    <definedName function="false" hidden="true" localSheetId="7" name="_xlnm._FilterDatabase" vbProcedure="false">'DL-FMM'!$A$4:$K$12</definedName>
    <definedName function="false" hidden="true" localSheetId="9" name="_xlnm._FilterDatabase" vbProcedure="false">'DL-MLT'!$A$4:$K$44</definedName>
    <definedName function="false" hidden="true" localSheetId="6" name="_xlnm._FilterDatabase" vbProcedure="false">'DL-MM'!$A$4:$K$12</definedName>
    <definedName function="false" hidden="true" localSheetId="8" name="_xlnm._FilterDatabase" vbProcedure="false">'DL-TAX'!$A$4:$K$16</definedName>
    <definedName function="false" hidden="true" localSheetId="1" name="_xlnm._FilterDatabase" vbProcedure="false">'NSDC-AI'!$A$4:$K$20</definedName>
    <definedName function="false" hidden="true" localSheetId="2" name="_xlnm._FilterDatabase" vbProcedure="false">'NSDC-ARVR'!$A$4:$K$24</definedName>
    <definedName function="false" hidden="true" localSheetId="3" name="_xlnm._FilterDatabase" vbProcedure="false">'NSDC-FMM'!$A$4:$K$19</definedName>
    <definedName function="false" hidden="true" localSheetId="4" name="_xlnm._FilterDatabase" vbProcedure="false">'NSDC-MSFC'!$A$4:$K$276</definedName>
    <definedName function="false" hidden="true" localSheetId="5" name="_xlnm._FilterDatabase" vbProcedure="false">'NVS-MSL'!$A$4:$K$299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<sst xmlns="http://schemas.openxmlformats.org/spreadsheetml/2006/main" count="4978" uniqueCount="1031">
  <si>
    <t xml:space="preserve">Additional Labs (outside PSSCIVE) - Tools &amp; Equipment with Price</t>
  </si>
  <si>
    <t xml:space="preserve">Source: state/central tender lists (NSDC, Delhi CBSE skill subjects, NVS PM SHRI) - these labs are NOT part of the PSSCIVE curriculum. Prices: approximate Indian market rates (Oct 2026, incl. GST) for budget planning only, not quotations. Qty as given in the tender list (1 if blank).</t>
  </si>
  <si>
    <t xml:space="preserve">Source</t>
  </si>
  <si>
    <t xml:space="preserve">Lab</t>
  </si>
  <si>
    <t xml:space="preserve">Sheet</t>
  </si>
  <si>
    <t xml:space="preserve">No. of items</t>
  </si>
  <si>
    <t xml:space="preserve">Tools &amp; Equipment (INR)</t>
  </si>
  <si>
    <t xml:space="preserve">Other Lab Items (INR)</t>
  </si>
  <si>
    <t xml:space="preserve">Consumables (INR)</t>
  </si>
  <si>
    <t xml:space="preserve">Total (INR)</t>
  </si>
  <si>
    <t xml:space="preserve">Total (INR lakh)</t>
  </si>
  <si>
    <t xml:space="preserve">NSDC</t>
  </si>
  <si>
    <t xml:space="preserve">AI Lab</t>
  </si>
  <si>
    <t xml:space="preserve">NSDC-AI</t>
  </si>
  <si>
    <t xml:space="preserve">AR-VR Lab</t>
  </si>
  <si>
    <t xml:space="preserve">NSDC-ARVR</t>
  </si>
  <si>
    <t xml:space="preserve">Financial Markets Management (FMM) Lab</t>
  </si>
  <si>
    <t xml:space="preserve">NSDC-FMM</t>
  </si>
  <si>
    <t xml:space="preserve">Multi Skills Foundation Course (MSFC) Lab</t>
  </si>
  <si>
    <t xml:space="preserve">NSDC-MSFC</t>
  </si>
  <si>
    <t xml:space="preserve">NVS PM SHRI</t>
  </si>
  <si>
    <t xml:space="preserve">Multi-Skill Lab</t>
  </si>
  <si>
    <t xml:space="preserve">NVS-MSL</t>
  </si>
  <si>
    <t xml:space="preserve">Delhi CBSE</t>
  </si>
  <si>
    <t xml:space="preserve">Multimedia Lab</t>
  </si>
  <si>
    <t xml:space="preserve">DL-MM</t>
  </si>
  <si>
    <t xml:space="preserve">DL-FMM</t>
  </si>
  <si>
    <t xml:space="preserve">Taxation Lab</t>
  </si>
  <si>
    <t xml:space="preserve">DL-TAX</t>
  </si>
  <si>
    <t xml:space="preserve">Medical Diagnostics Lab</t>
  </si>
  <si>
    <t xml:space="preserve">DL-MLT</t>
  </si>
  <si>
    <t xml:space="preserve">GRAND TOTAL</t>
  </si>
  <si>
    <t xml:space="preserve">Why these labs are separate: PSSCIVE (NCERT) designs the Samagra Shiksha school vocational curriculum (26 sectors). NSDC runs its own skilling programmes (AI, AR-VR, MSFC labs), Delhi schools follow CBSE skill subjects (FMM, Taxation, Medical Diagnostics, Multimedia) and NVS PM SHRI has its own Multi-Skill Lab spec.</t>
  </si>
  <si>
    <t xml:space="preserve">Prepared by - Subodh Kumar</t>
  </si>
  <si>
    <t xml:space="preserve">NSDC - AI Lab</t>
  </si>
  <si>
    <t xml:space="preserve">S.No</t>
  </si>
  <si>
    <t xml:space="preserve">Section</t>
  </si>
  <si>
    <t xml:space="preserve">Item</t>
  </si>
  <si>
    <t xml:space="preserve">Specification (as in tender)</t>
  </si>
  <si>
    <t xml:space="preserve">Qty (as in list)</t>
  </si>
  <si>
    <t xml:space="preserve">Qty</t>
  </si>
  <si>
    <t xml:space="preserve">Type</t>
  </si>
  <si>
    <t xml:space="preserve">Unit</t>
  </si>
  <si>
    <t xml:space="preserve">Approx. Unit Price (INR)</t>
  </si>
  <si>
    <t xml:space="preserve">Amount (INR)</t>
  </si>
  <si>
    <t xml:space="preserve">Visual</t>
  </si>
  <si>
    <t xml:space="preserve">-</t>
  </si>
  <si>
    <t xml:space="preserve">Desktop computers</t>
  </si>
  <si>
    <t xml:space="preserve">Processor :Intel Core i5-1235U or Equivalent, upto 4.4 GHz frequency, 10 Cores, 12 Threads, Chipset :Intel Integrated SoC or Equivalent RAM Size (GB) : 8 GB DDR4-2933 MHz RAM (1 x 8 GB), Hard Disk (GB) : 512 GB PCIe® NVMe™ M.2 SSD, Operating System (Pre-Loaded): Windows 11 Home or Equivalent, USB Port 3.0(No.) :1 or more, USB Port 2.0 (No.):1 or more, Network Connectivity :10/100/1000 on board integrated gigabit port, Display: 35.6 cm (14 inch) diagonal, HD (1366 x 768), micro-edge, BrightView, 250 nits, 45% NTSC, Monitor Size (INCHES): 35.6 cm (14) diagonal HD display or higher Warranty (Year) : 1 year (1/1/1) limited warranty includes 1 year of parts and labour. On-site repair. Keyboard: Full-size, jet black keyboard, Pointing Device: Image pad with multi-touch gesture support; Precision Touchpad Support, Wireless: Realtek RTL8821CE-M 802.11a/b/g/n/ac (1x1) Wi- Fi® and Bluetooth® 4.2 combo or Equivalent, Power Supply: 65 W Smart AC power adapter, Battery Type: 3-cell, 41 Wh Li-ion, Energy Efficiency Compliance: EPEAT® registered</t>
  </si>
  <si>
    <t xml:space="preserve">15</t>
  </si>
  <si>
    <t xml:space="preserve">Tools &amp; Equipment</t>
  </si>
  <si>
    <t xml:space="preserve">pcs</t>
  </si>
  <si>
    <t xml:space="preserve">Click here</t>
  </si>
  <si>
    <t xml:space="preserve">Intel Brand or Equivalent Learning Kit</t>
  </si>
  <si>
    <t xml:space="preserve">Plug-n-Play boards pre-loaded with software supporting AI modelling and deployment, IoT, 3D printing and more</t>
  </si>
  <si>
    <t xml:space="preserve">kit</t>
  </si>
  <si>
    <t xml:space="preserve">Printer/Scanner/Xerox</t>
  </si>
  <si>
    <t xml:space="preserve">Brand: HP/Canon Pixma or Equivalent All-In-One Colour Inkjet Printer (Black). Copy,Print,Scan, 16 Mb internal memory. Up to 46 db. Noise level. Output Tray capacity 50 pages. Media Size Supported A4, A5, B5, Letter, Legal, Envelopes, Custom size. Input Tray capacity 100. USB support-Yes. Warranty Period 1 Year 1. Spill-free replenishment system. 2. Operation System : Windows. 3. Print up to 8000 pages with a set of colour ink bottle; Print up to 5000 with a set of black ink bottle. 4. Create borderless brochures, flyers, photos and other documents.</t>
  </si>
  <si>
    <t xml:space="preserve">1</t>
  </si>
  <si>
    <t xml:space="preserve">unit</t>
  </si>
  <si>
    <t xml:space="preserve">Local Area Network</t>
  </si>
  <si>
    <t xml:space="preserve">16 port Network switch. 16-Port 10/100Mbps Desktop/Rackmount Switch, Power Cord, Installation Guide, Rackmount Kit and Rubber Feet. 110 Volts. 801.11ac. Auto-MDIX, IEEE 802.3, Ethernet, Auto-MDI, Fast Ethernet</t>
  </si>
  <si>
    <t xml:space="preserve">Other Lab Items</t>
  </si>
  <si>
    <t xml:space="preserve">Lab Chairs</t>
  </si>
  <si>
    <t xml:space="preserve">Stackable chairs with arms, Dimensions: length 17, width: 17, height:32 (in inches). Material: Polypropylene</t>
  </si>
  <si>
    <t xml:space="preserve">Computer Tables</t>
  </si>
  <si>
    <t xml:space="preserve">Table height :80 CMS, length :70 cms, width :45 cms with key board and CPU shelves Material - Wooden</t>
  </si>
  <si>
    <t xml:space="preserve">White Board</t>
  </si>
  <si>
    <t xml:space="preserve">Material of Board Ceramic Steel Material of Frame Anodized extruded Aluminium alloy hollow section of designation 63400 conforming to IS: 1285 Material of Back Cover Galvanized steel sheets conforming to IS:277 Thickness and Material of back support (conforming to IS:12406) 9 millimetre</t>
  </si>
  <si>
    <t xml:space="preserve">Demonstration Charts</t>
  </si>
  <si>
    <t xml:space="preserve">4" X 3" Ft.</t>
  </si>
  <si>
    <t xml:space="preserve">5</t>
  </si>
  <si>
    <t xml:space="preserve">set</t>
  </si>
  <si>
    <t xml:space="preserve">USB / Pen drive</t>
  </si>
  <si>
    <t xml:space="preserve">Capacity = 8GB each USB</t>
  </si>
  <si>
    <t xml:space="preserve">2</t>
  </si>
  <si>
    <t xml:space="preserve">Consumables</t>
  </si>
  <si>
    <t xml:space="preserve">RJ45 connecters</t>
  </si>
  <si>
    <t xml:space="preserve">Connector used in Ethernet and other data links &amp; cables</t>
  </si>
  <si>
    <t xml:space="preserve">pack of 100</t>
  </si>
  <si>
    <t xml:space="preserve">Anti Virus software</t>
  </si>
  <si>
    <t xml:space="preserve">One license for one laptop computer therefore 15 licenses for 15 computers</t>
  </si>
  <si>
    <t xml:space="preserve">Printer Cartridges (Compatible Printer Type Required)</t>
  </si>
  <si>
    <t xml:space="preserve">GI-790 / HP 3052 PRINTER CATRIDGE 12A (hp) , Brand HP or Equivalent Type of Cartridge/Consumable Toner Ink/Toner/Drum Model number HP 3052 PRINTER CATRIDGE 12A or Equivalent Corresponding Part number/ code HP 3052 PRINTER CATRIDGE 12A or Equivalent</t>
  </si>
  <si>
    <t xml:space="preserve">Fire extinguisher</t>
  </si>
  <si>
    <t xml:space="preserve">Type Stored Pressure Extinguishing Media Powder Based Expellant Medium N2 Based (Stored Pressure) Foam Based Fire Extinguisher Capacity(Litres) 4 Powder Based Fire Extinguisher Capacity (Kg) 4 Carbon Dioxide Based Fire Extinguisher Capacity (Kg) 4.5</t>
  </si>
  <si>
    <t xml:space="preserve">LibreOffice or MS Office or Equivalent</t>
  </si>
  <si>
    <t xml:space="preserve">Latest version - One for each Laptop Computer package</t>
  </si>
  <si>
    <t xml:space="preserve">licence</t>
  </si>
  <si>
    <t xml:space="preserve">Printer Tables</t>
  </si>
  <si>
    <t xml:space="preserve">(H 16 x W 13 x D 12 inches / H 40.6 x W 33 x D 30.5 in cms), Engineered Wood,</t>
  </si>
  <si>
    <t xml:space="preserve">Smart Board</t>
  </si>
  <si>
    <t xml:space="preserve">Panel: Diagonal Size &amp; Resolution-65" or Higher, UHD 3840 × 2160 pixels Light life-50,000 hrs or higher Brightness-400 nits or Higher : Touch screen: Touch technology &amp; Touch Points-Infrared touch, 20 points or Higher Touch response time &amp; Accuracy- &lt; 8 ms or faster, ±1.0 mm or better : Inbuilt Configuration: CPU &amp; Speed- Quad-core A73+ Quad-core A53 or later,2.2 GHz or Higher OS- Android 11.0 or later Memory RAM- 8GB or Higher Memory Storage- 128 GB or Higher : Connectivity: I/O Ports- 1 x VGA, 3 × HDMI 2.0 IN &amp; 1 × HDMI 2.0,Out port, 1 x DP, USB 2.0 × 2 + 3.0 × 2,USB -B x 2, 1 x USB C port, SPDIF x 1,RS232 x 1, LAN Port x 1 : Audio Configuration: Microphone-8 or more Speaker, Subwoofer- 2 × 16 W Speaker &amp; 1 x 16 W Subwoofer : Built-in: Functionalities-PM2.5 Particle sensor, Temperature,Humidity, Air, Motion Sensor, Flicker Free, Low Blue Light Connectivity-Bluetooth, WI Fi, NFC : Software: Functionalities: White Boarding, Wireless Screen Sharing,Quick Access Tool</t>
  </si>
  <si>
    <t xml:space="preserve">TOTAL (approx.)</t>
  </si>
  <si>
    <t xml:space="preserve">NSDC - AR-VR Lab</t>
  </si>
  <si>
    <t xml:space="preserve">VR Standalone Headset</t>
  </si>
  <si>
    <t xml:space="preserve">Headset: 191.5 mm x 102 mm x 142.5 mm (295.5 mm with fully-unfolded strap), 503g; Color: white. Controllers: 90 x 120mm (per controller, including tracking ring with IR LED-based tracking), 126g (per controller, without battery), around 147g (with a AA battery); Around 30 hours of usage from one AA battery; Color: white. Display: IPS LCD, 1832x1920px per year resolution, 90Hz native refresh rate (currently capable of 72Hz, 90Hz coming with software update); around 90-degree field of view (estimated); adjustable IPD - three-position slider - 58mm, 63mm and 68mm Chipset: Qualcomm Snapdragon XR2 (7 nm): Octa- core (1x2.84 GHz Kryo 585 &amp; 3x2.42 GHz Kryo 585 &amp; 4x1.8 GHz Kryo 585); Adreno 650. Memory: 64/256GB 6GB LPDDR5 RAM. OS/Software: based on Android 10, no Google Play Services, uses proprietary store for apps and games; Supports playing PC VR games through link and third-party wireless solutions. Tracking: Supports 6 degrees of freedom (6DoF) head and hand tracking through integrated Insight technology (inside-out tracking); 4 front-facing cameras for visual controller tracking, plus gyroscopes and accelerometers in headset and controllers; Hand tracking (beta). Play space: Stationary and room-scale support, up to around 20m x 20m play area is mappable. Headset Battery: 3,640 mAh (14.0 Wh) lithium-ion (2 to 3 hours of use on a single charge); 10W (5V@2A) charging (around 2.5 hours for a full charge). Audio: Built-in stereo speakers and microphone, 3.5mm audio jack, support for 3D audio. Connectivity: Wi-Fi b/g/n/ac(5)/ax(6), 60 GHz Wi-Fi ay module (currently not in use); Bluetooth 5.0 LE; Type-C USB port, with USB Host support; 3.5mm audio jack.</t>
  </si>
  <si>
    <t xml:space="preserve">10</t>
  </si>
  <si>
    <t xml:space="preserve">Tablets</t>
  </si>
  <si>
    <t xml:space="preserve">10.1" HD (1280x800) display with 400 nits' brightness 3GB RAM, 32GB ROM expandable up to 256 GB, ex-FAT up to 1 TB Octa-core processor with 2.3GHz frequency 8 MP Rear Camera, 5 MP front camera</t>
  </si>
  <si>
    <t xml:space="preserve">Headphones</t>
  </si>
  <si>
    <t xml:space="preserve">Headphone with 3.5mm Jack</t>
  </si>
  <si>
    <t xml:space="preserve">AR Globe Kit</t>
  </si>
  <si>
    <t xml:space="preserve">AR Globe Kit for Education Purposes</t>
  </si>
  <si>
    <t xml:space="preserve">AR Cubes-based</t>
  </si>
  <si>
    <t xml:space="preserve">AR Cube for Educational Experiences</t>
  </si>
  <si>
    <t xml:space="preserve">Laptop for Teacher</t>
  </si>
  <si>
    <t xml:space="preserve">Intel i5 or Equivalent Gen 11+ Processor OR Ryzen 3 3250U+ Processor 16GB RAM 256GB SSD Windows 11 or Equivalent MS Office or Equivalent Office Installed Programming Software Installed 1 Year Extended Warranty</t>
  </si>
  <si>
    <t xml:space="preserve">Projector</t>
  </si>
  <si>
    <t xml:space="preserve">Smart LED Projector with WiFi/BT v5.1, FHD 1080p, Apps, Miracast DLNA/Airplay Support, 5000 Lumen, 30000H lifespan, HDMI, 2X USB Speaker and Remote Control</t>
  </si>
  <si>
    <t xml:space="preserve">Projector Mounting Kit</t>
  </si>
  <si>
    <t xml:space="preserve">Compatible with Projector</t>
  </si>
  <si>
    <t xml:space="preserve">Gaming Chair for Virtual Reality Laboratory</t>
  </si>
  <si>
    <t xml:space="preserve">lumbar support and headrest to accommodate extended usage. Material: High-quality, durable fabric or leather with breathable properties Adjustability: Features should include height adjustment, tilt mechanism, and 360-degree swivel capability. Armrests: Adjustable armrests to support various user activities and preferences. Base and Mobility: Sturdy base with smooth- rolling casters suitable for various floor types. Load Capacity: Must support a minimum weight capacity of 120kg. Compatibility: Should be designed to enhance the virtual reality experience, providing comfort and stability during use.</t>
  </si>
  <si>
    <t xml:space="preserve">Activity Table</t>
  </si>
  <si>
    <t xml:space="preserve">Designed to connect with Chair/Sofa/Recliner and should have storage capacity for VR Headset, Books, Headphone, Tablet</t>
  </si>
  <si>
    <t xml:space="preserve">Teacher Table</t>
  </si>
  <si>
    <t xml:space="preserve">5 x 2 Ft with Drawers</t>
  </si>
  <si>
    <t xml:space="preserve">Cupboard</t>
  </si>
  <si>
    <t xml:space="preserve">Metallic/Wooden with glass doors, W36XD18XH48 inch</t>
  </si>
  <si>
    <t xml:space="preserve">Activity Book for Students - English (Class 6)</t>
  </si>
  <si>
    <t xml:space="preserve">30 Activities Content aligned with NCERT Books of Class 6 in English Language</t>
  </si>
  <si>
    <t xml:space="preserve">copy</t>
  </si>
  <si>
    <t xml:space="preserve">Activity Book for Students - English (Class 7)</t>
  </si>
  <si>
    <t xml:space="preserve">30 Activities Content aligned with NCERT Books of Class 7 in English Language</t>
  </si>
  <si>
    <t xml:space="preserve">Activity Book for Students - English (Class 8)</t>
  </si>
  <si>
    <t xml:space="preserve">30 Activities Content aligned with NCERT Books of Class 8 in English Language</t>
  </si>
  <si>
    <t xml:space="preserve">Activity Book for Students - English (Class 9)</t>
  </si>
  <si>
    <t xml:space="preserve">30 Activities Content aligned with NCERT Books of Class 9 in English Language</t>
  </si>
  <si>
    <t xml:space="preserve">Activity Book for Students - English (Class 10)</t>
  </si>
  <si>
    <t xml:space="preserve">30 Activities Content aligned with NCERT Books of Class 10 in English Language</t>
  </si>
  <si>
    <t xml:space="preserve">Activity Book for Students - English (Class 11)</t>
  </si>
  <si>
    <t xml:space="preserve">30 Activities Content aligned with NCERT Books of Class 11 in English Language</t>
  </si>
  <si>
    <t xml:space="preserve">Software and Content for Teacher</t>
  </si>
  <si>
    <t xml:space="preserve">Software for at least 50 learning modules in VR includes lessons &amp; VR simulations for: Life sciences - Equipment operations, and packaging processes. ALL modules should work on VR, Mobile, Desktop and WebGL platform Painting Simulator - with atleast 4 VR attachments including roller and brush Fire Simulator - powered with physicla simulator Safety module on various safety processes.</t>
  </si>
  <si>
    <t xml:space="preserve">Software and Content for Students</t>
  </si>
  <si>
    <t xml:space="preserve">Oil and Gas Sector Processes for Oil &amp; Gas Terminal, Retail and LPG Bottling Plants For 3 Years</t>
  </si>
  <si>
    <t xml:space="preserve">NSDC - Financial Markets Management (FMM) Lab</t>
  </si>
  <si>
    <t xml:space="preserve">Desktop Computer</t>
  </si>
  <si>
    <t xml:space="preserve">Processor :Intel Pentium Silver N6000 or equivalent, 3.3GHz burst frequency, 4MB L3 Cache, 4 Cores, 4 Threads Chipset :Intel Integrated SoC or equivalent RAM Size (GB) : 8 GB DDR4-2933 MHz RAM (1 x 8 GB) Hard Disk (GB) : 256 GB PCIe® NVMe™ M.2 SSD Operating System (Pre-Loaded): Windows 11 Home or equivalent USB Port 3.0(No.) :1 or more USB Port 2.0 (No.):1 or more Network Connectivity :10/100/1000 on board integrated gigabit port Display: 35.6 cm (14) diagonal, HD (1366 x 768), micro-edge, BrightView, 250 nits, 45% NTSC Monitor Size (INCHES): 35.6 cm (14) diagonal HD display Warranty (Year) : 1 year (1/1/1) limited warranty includes 1 year of parts and labour. On-site repair. Keyboard: Full-size, jet black keyboard Pointing Device: Image pad with multi-touch gesture support; Precision Touchpad Support Wireless: Realtek or Equivalent RTL8821CE-M 802.11a/b/g/n/ac (1x1) Wi-Fi® and Bluetooth® 4.2 combo Power Supply: 65 W Smart AC power adapter Battery Type: 3-cell, 41 Wh Li-ion Energy Efficiency Compliance: EPEAT® registered</t>
  </si>
  <si>
    <t xml:space="preserve">12</t>
  </si>
  <si>
    <t xml:space="preserve">Brand: HP/Canon Pixma or Equivalent All-In-One Colour Inkjet Printer (Black). Copy,Print,Scan, 16 Mb internal memory. Up to 46 db. Noise level. Output Tray capacity 50 pages. Media Size Supported A4, A5, B5, Letter, Legal, Envelopes, Custom size. Input Tray capacity 100. USB support-Yes. Warranty Period 1 Year 1. Spill-free replenishment system. 2. Operation System : Windows or equivalent. 3. Print up to 8000 pages with a set of colour ink bottle; Print up to 5000 with a set of black ink bottle. 4. Create borderless brochures, flyers, photos and other documents.</t>
  </si>
  <si>
    <t xml:space="preserve">30</t>
  </si>
  <si>
    <t xml:space="preserve">Table height :80 CMS, length :70 cms, width :45 cms with key board and CPU shelves</t>
  </si>
  <si>
    <t xml:space="preserve">GI-790 / HP 3052 PRINTER CATRIDGE 12A (hp) , Brand HP or Equivalent Type of Cartridge/Consumable Toner Ink/Toner/Drum Model number HP 3052 PRINTER CATRIDGE 12A or equivalent Corresponding Part number/ code HP 3052 PRINTER CATRIDGE 12A or equivalent</t>
  </si>
  <si>
    <t xml:space="preserve">LibreOffice or MS Office or Equivalent package</t>
  </si>
  <si>
    <t xml:space="preserve">Latest version - One for each Laptop Computer</t>
  </si>
  <si>
    <t xml:space="preserve">NSDC - Multi Skills Foundation Course (MSFC) Lab</t>
  </si>
  <si>
    <t xml:space="preserve">Workshop &amp; Engineering Techniques</t>
  </si>
  <si>
    <t xml:space="preserve">Steel Ruler</t>
  </si>
  <si>
    <t xml:space="preserve">150 mm, 300mm ,1 mtr</t>
  </si>
  <si>
    <t xml:space="preserve">Measuring Tape</t>
  </si>
  <si>
    <t xml:space="preserve">3 and 5 Meter</t>
  </si>
  <si>
    <t xml:space="preserve">Spirit Level Bottle</t>
  </si>
  <si>
    <t xml:space="preserve">0.01 - 0.05mm/met er</t>
  </si>
  <si>
    <t xml:space="preserve">Vernier Caliper</t>
  </si>
  <si>
    <t xml:space="preserve">150mm (LC/0.02mm) &amp; 200mm (LC/0.05mm)</t>
  </si>
  <si>
    <t xml:space="preserve">Vernier Caliper- Digital</t>
  </si>
  <si>
    <t xml:space="preserve">150mm Zhart or (LC/0.02mm) equivalent &amp; 200mm (LC/0.05mm)</t>
  </si>
  <si>
    <t xml:space="preserve">Spring Caliper Inside /Outside /Divider</t>
  </si>
  <si>
    <t xml:space="preserve">6" or 150 mm Length Inside /Outside /Divider</t>
  </si>
  <si>
    <t xml:space="preserve">Out - Side Micromet er</t>
  </si>
  <si>
    <t xml:space="preserve">0-25mm (LC/0.01mm)</t>
  </si>
  <si>
    <t xml:space="preserve">Out - Side Micromet er Digital</t>
  </si>
  <si>
    <t xml:space="preserve">Threading Gauge ( Engineerin g)</t>
  </si>
  <si>
    <t xml:space="preserve">Metric</t>
  </si>
  <si>
    <t xml:space="preserve">Threading Gauge ( Plumbing)</t>
  </si>
  <si>
    <t xml:space="preserve">British</t>
  </si>
  <si>
    <t xml:space="preserve">Radius Gauge</t>
  </si>
  <si>
    <t xml:space="preserve">Try Square</t>
  </si>
  <si>
    <t xml:space="preserve">75mmx100m m</t>
  </si>
  <si>
    <t xml:space="preserve">Tri-square (Welding)</t>
  </si>
  <si>
    <t xml:space="preserve">Blade size 150mm</t>
  </si>
  <si>
    <t xml:space="preserve">Tri-Square (Casting base) (construction and Carpentry)</t>
  </si>
  <si>
    <t xml:space="preserve">Blade Size 600mm</t>
  </si>
  <si>
    <t xml:space="preserve">Scriber</t>
  </si>
  <si>
    <t xml:space="preserve">150 to 200 mm length with double ended - 1 Straight and 1 bend end.</t>
  </si>
  <si>
    <t xml:space="preserve">Claw Hammer</t>
  </si>
  <si>
    <t xml:space="preserve">400 gm TAPARIYA or or Chrome Equivalent Plated Claw Hammer Tubular Steel Handle: With Handle</t>
  </si>
  <si>
    <t xml:space="preserve">Mallet Wooden</t>
  </si>
  <si>
    <t xml:space="preserve">Small Local Brand</t>
  </si>
  <si>
    <t xml:space="preserve">Mallet Plastic</t>
  </si>
  <si>
    <t xml:space="preserve">Medium Local Brand</t>
  </si>
  <si>
    <t xml:space="preserve">Tenon Saw</t>
  </si>
  <si>
    <t xml:space="preserve">10''</t>
  </si>
  <si>
    <t xml:space="preserve">Saw</t>
  </si>
  <si>
    <t xml:space="preserve">18"</t>
  </si>
  <si>
    <t xml:space="preserve">ELECTRIC CIRCULAR SAW</t>
  </si>
  <si>
    <t xml:space="preserve">1050 W Drona or or Equivalent</t>
  </si>
  <si>
    <t xml:space="preserve">Saw small size</t>
  </si>
  <si>
    <t xml:space="preserve">12"</t>
  </si>
  <si>
    <t xml:space="preserve">Diwad Plier / Saw teeth setting plier</t>
  </si>
  <si>
    <t xml:space="preserve">Pistol Type Alloy Steel 15x6 cm</t>
  </si>
  <si>
    <t xml:space="preserve">Hacksaw Frame</t>
  </si>
  <si>
    <t xml:space="preserve">12", fix metal BIPICO or frame. Equivalent</t>
  </si>
  <si>
    <t xml:space="preserve">ADJUSTAB LE HACKSAW FRAME</t>
  </si>
  <si>
    <t xml:space="preserve">40 x 13 x 2.5 Taparia/Ambite Centimeters c/Jet or Equivalent</t>
  </si>
  <si>
    <t xml:space="preserve">Half Round ( Wood rasp File )</t>
  </si>
  <si>
    <t xml:space="preserve">10" JK or Equivalent</t>
  </si>
  <si>
    <t xml:space="preserve">Flat file Rasp )</t>
  </si>
  <si>
    <t xml:space="preserve">Flat file Rough )</t>
  </si>
  <si>
    <t xml:space="preserve">12" JK or Equivalent</t>
  </si>
  <si>
    <t xml:space="preserve">C-Clamps (for carpentry use)</t>
  </si>
  <si>
    <t xml:space="preserve">4" TAPARIYA or Equivalent</t>
  </si>
  <si>
    <t xml:space="preserve">Iron Plane</t>
  </si>
  <si>
    <t xml:space="preserve">5" &amp; 9" AMBIKA or Equivalent</t>
  </si>
  <si>
    <t xml:space="preserve">Firmer Chisel</t>
  </si>
  <si>
    <t xml:space="preserve">Flat, Width 1" &amp; 1/2", Length -8" with Plastic Handle</t>
  </si>
  <si>
    <t xml:space="preserve">Mortise / Chisel /</t>
  </si>
  <si>
    <t xml:space="preserve">Width 1/4" &amp; 1/2" Length -8" with Plastic handle</t>
  </si>
  <si>
    <t xml:space="preserve">Pairing Chisel )</t>
  </si>
  <si>
    <t xml:space="preserve">Width 1" Length -8" with Plastic handle</t>
  </si>
  <si>
    <t xml:space="preserve">Hand Drill Machine</t>
  </si>
  <si>
    <t xml:space="preserve">Size- 1/4 Inch TAPARIYA or Dimensions- Equivalent 15x10x5 cm Weight - 200gm</t>
  </si>
  <si>
    <t xml:space="preserve">Butt Hinges )</t>
  </si>
  <si>
    <t xml:space="preserve">Width-50mm, Length -100 mm</t>
  </si>
  <si>
    <t xml:space="preserve">pair</t>
  </si>
  <si>
    <t xml:space="preserve">Rising Butt Hinges</t>
  </si>
  <si>
    <t xml:space="preserve">T' hinges</t>
  </si>
  <si>
    <t xml:space="preserve">Parliamen t hinge</t>
  </si>
  <si>
    <t xml:space="preserve">Piano Hinges</t>
  </si>
  <si>
    <t xml:space="preserve">Sun mica Cutter</t>
  </si>
  <si>
    <t xml:space="preserve">Half Round AMBIKA or Dimensions - Equivalent 20x2 mm</t>
  </si>
  <si>
    <t xml:space="preserve">Carbound um Stone (Emery)</t>
  </si>
  <si>
    <t xml:space="preserve">6" x 2.5" x 2" JK or Equivalent</t>
  </si>
  <si>
    <t xml:space="preserve">Auger Bit</t>
  </si>
  <si>
    <t xml:space="preserve">1/4" &amp; 1/2"</t>
  </si>
  <si>
    <t xml:space="preserve">Tin Cutter (Tin cutter with spring)</t>
  </si>
  <si>
    <t xml:space="preserve">Small size 12" TAPARIA or Equivalent</t>
  </si>
  <si>
    <t xml:space="preserve">Tin Cutter -Scissor</t>
  </si>
  <si>
    <t xml:space="preserve">12" AMBIKA or Equivalent</t>
  </si>
  <si>
    <t xml:space="preserve">Blow Lamp</t>
  </si>
  <si>
    <t xml:space="preserve">Material - Brass 22x19x22 cm 700 gm</t>
  </si>
  <si>
    <t xml:space="preserve">Soldering Iron (khadya)</t>
  </si>
  <si>
    <t xml:space="preserve">Copper</t>
  </si>
  <si>
    <t xml:space="preserve">Bench Drill Machine (With belt safety guard &amp; on/off switch facility)</t>
  </si>
  <si>
    <t xml:space="preserve">Capacity: 13mm 230V 50Hz , single phase</t>
  </si>
  <si>
    <t xml:space="preserve">HSS Drill set</t>
  </si>
  <si>
    <t xml:space="preserve">4 Mm To 13 JK/MIRANDA or Mm Equivalent</t>
  </si>
  <si>
    <t xml:space="preserve">Center Drill</t>
  </si>
  <si>
    <t xml:space="preserve">2.5 - 6.5 mm 90</t>
  </si>
  <si>
    <t xml:space="preserve">Tap Wrench</t>
  </si>
  <si>
    <t xml:space="preserve">200 mm</t>
  </si>
  <si>
    <t xml:space="preserve">Oil Can</t>
  </si>
  <si>
    <t xml:space="preserve">250 ml</t>
  </si>
  <si>
    <t xml:space="preserve">Machine vice</t>
  </si>
  <si>
    <t xml:space="preserve">100 mm Jaw opening</t>
  </si>
  <si>
    <t xml:space="preserve">Hammers B.P (Hammers ball pain)</t>
  </si>
  <si>
    <t xml:space="preserve">500 Grams JK or Equivalent</t>
  </si>
  <si>
    <t xml:space="preserve">Hammer C.P (hammer cross pain) with handle forged steel</t>
  </si>
  <si>
    <t xml:space="preserve">Flat Chisel</t>
  </si>
  <si>
    <t xml:space="preserve">6" Rasco/AMBIKA / TAPARIA or Equivalent</t>
  </si>
  <si>
    <t xml:space="preserve">File Handle ( Wooden</t>
  </si>
  <si>
    <t xml:space="preserve">Wooden</t>
  </si>
  <si>
    <t xml:space="preserve">Flat Basted File</t>
  </si>
  <si>
    <t xml:space="preserve">10",12" JK SHER or Equivalent</t>
  </si>
  <si>
    <t xml:space="preserve">Flat Smooth File</t>
  </si>
  <si>
    <t xml:space="preserve">12" JK SHER or Equivalent</t>
  </si>
  <si>
    <t xml:space="preserve">Triangular files</t>
  </si>
  <si>
    <t xml:space="preserve">10'' JK SHER or Equivalent</t>
  </si>
  <si>
    <t xml:space="preserve">Round Basted File</t>
  </si>
  <si>
    <t xml:space="preserve">8" JK or Equivalent</t>
  </si>
  <si>
    <t xml:space="preserve">Bench Grinder</t>
  </si>
  <si>
    <t xml:space="preserve">Wheel Diamiter 150 Mm, single phase, 1/2 HP, 230v-50 Hz,</t>
  </si>
  <si>
    <t xml:space="preserve">Electrical hand drill machine</t>
  </si>
  <si>
    <t xml:space="preserve">13 mm, Fiber JKID-13VR / Body Drill BOCSH or Machine, KPT Equivalent</t>
  </si>
  <si>
    <t xml:space="preserve">Bench Vice (Code-U - 301)</t>
  </si>
  <si>
    <t xml:space="preserve">Jaw lenght- VENUS or 100mm, Equivalent</t>
  </si>
  <si>
    <t xml:space="preserve">Open End Wrench/ Spanner SET</t>
  </si>
  <si>
    <t xml:space="preserve">6mm- TAPARIYA or 18mm(Sizes Equivalent mm: 6X7, 8X9, 10X11, 12X13, 14X15, 16X17, )</t>
  </si>
  <si>
    <t xml:space="preserve">Ring Spanner Set</t>
  </si>
  <si>
    <t xml:space="preserve">6-7 To 20-22 TAPARIA or Mm Equivalent</t>
  </si>
  <si>
    <t xml:space="preserve">Tap &amp; Die Set</t>
  </si>
  <si>
    <t xml:space="preserve">6 mm To 12 mm</t>
  </si>
  <si>
    <t xml:space="preserve">Die wrench</t>
  </si>
  <si>
    <t xml:space="preserve">Length 300mm, ID 38mm</t>
  </si>
  <si>
    <t xml:space="preserve">Arc Welding Machine (Transfor mer)</t>
  </si>
  <si>
    <t xml:space="preserve">250Amp / JK or Equivalent single phase (portable machine)</t>
  </si>
  <si>
    <t xml:space="preserve">Cable &amp; Lugs (Welding cable)</t>
  </si>
  <si>
    <t xml:space="preserve">5 Mtr Finolex/Local (welding or Equivalent cable for 250 amp)10 sq. mm.{ 3 Mtr for Holder &amp; 2 Mtr for Arthing</t>
  </si>
  <si>
    <t xml:space="preserve">metre</t>
  </si>
  <si>
    <t xml:space="preserve">Welding / Electrode Holder</t>
  </si>
  <si>
    <t xml:space="preserve">Plastic Handle</t>
  </si>
  <si>
    <t xml:space="preserve">Wire Brush</t>
  </si>
  <si>
    <t xml:space="preserve">Adjustable Wrench (Adjustabl e Spanner )</t>
  </si>
  <si>
    <t xml:space="preserve">10" Tapariya or Equivalent</t>
  </si>
  <si>
    <t xml:space="preserve">Grip-on- pliers</t>
  </si>
  <si>
    <t xml:space="preserve">100mm</t>
  </si>
  <si>
    <t xml:space="preserve">Vise Grip</t>
  </si>
  <si>
    <t xml:space="preserve">7'' J K Tools / AMBIKA or Equivalent</t>
  </si>
  <si>
    <t xml:space="preserve">Trowel (Thapi) Set</t>
  </si>
  <si>
    <t xml:space="preserve">Full set with different sizes</t>
  </si>
  <si>
    <t xml:space="preserve">Trowel (Thapi- Plane)</t>
  </si>
  <si>
    <t xml:space="preserve">Plane sheet for finishing</t>
  </si>
  <si>
    <t xml:space="preserve">Plumb Bob</t>
  </si>
  <si>
    <t xml:space="preserve">Metal</t>
  </si>
  <si>
    <t xml:space="preserve">Line Rope</t>
  </si>
  <si>
    <t xml:space="preserve">15 meter/1 bundle</t>
  </si>
  <si>
    <t xml:space="preserve">bundle</t>
  </si>
  <si>
    <t xml:space="preserve">Sand Sieve</t>
  </si>
  <si>
    <t xml:space="preserve">1.5ft dimeter</t>
  </si>
  <si>
    <t xml:space="preserve">Masonry Drill (Concrete Drill )</t>
  </si>
  <si>
    <t xml:space="preserve">5 mm To 12 JK or Equivalent mm(5 No)</t>
  </si>
  <si>
    <t xml:space="preserve">Bucket ( MS steel bucket )</t>
  </si>
  <si>
    <t xml:space="preserve">Iron 10 liter G.I Bucket</t>
  </si>
  <si>
    <t xml:space="preserve">Ghamelas (MS Steel) (for construction work)</t>
  </si>
  <si>
    <t xml:space="preserve">MS steel / plastic for construction work</t>
  </si>
  <si>
    <t xml:space="preserve">4</t>
  </si>
  <si>
    <t xml:space="preserve">Spade with wooden handle</t>
  </si>
  <si>
    <t xml:space="preserve">74.9 x 24.1 x 6.4 cm Weight - 2kg Wooden Handle</t>
  </si>
  <si>
    <t xml:space="preserve">Pipe Die Set - with D/E Handle(pi pe wrench)</t>
  </si>
  <si>
    <t xml:space="preserve">1/2'' , 3/4'' , AMBIKA or 1" Equivalent</t>
  </si>
  <si>
    <t xml:space="preserve">Pipe Vice</t>
  </si>
  <si>
    <t xml:space="preserve">3" Cap TAPARIA / AMBIKA or Equivalent</t>
  </si>
  <si>
    <t xml:space="preserve">Pipe Wrench</t>
  </si>
  <si>
    <t xml:space="preserve">Water Pump Plier</t>
  </si>
  <si>
    <t xml:space="preserve">10" AMBIKA/TAPAR IYA or Equivalent</t>
  </si>
  <si>
    <t xml:space="preserve">Hack Saw Blade</t>
  </si>
  <si>
    <t xml:space="preserve">12" (300mm) Mirinda or Equivalent</t>
  </si>
  <si>
    <t xml:space="preserve">Safety Helmet</t>
  </si>
  <si>
    <t xml:space="preserve">Medium size PVC</t>
  </si>
  <si>
    <t xml:space="preserve">Safety Goggle</t>
  </si>
  <si>
    <t xml:space="preserve">Medium</t>
  </si>
  <si>
    <t xml:space="preserve">6</t>
  </si>
  <si>
    <t xml:space="preserve">Welding Goggle</t>
  </si>
  <si>
    <t xml:space="preserve">Welding Screen with Head Band</t>
  </si>
  <si>
    <t xml:space="preserve">3</t>
  </si>
  <si>
    <t xml:space="preserve">Overcoat - (Apron- Blue color)</t>
  </si>
  <si>
    <t xml:space="preserve">Material Local Source Polyester + Carbon Fiber Surface Resistivity Standered surface resistivity 1 x 10&gt;6-8 Ω/cm. ESD Area Works Wear ing these Apron are totally esd antisatic area work Design Check Box Stripped Line Collar Type &amp; Pocket Lapel Collar with 3 Pocket Closure Type Chit Button Sleeves Full Sleeves Type Overc oat Jacket Weight 180- 210 GMS Thickness .03 MM(Approx)s mall and Medium size (Blue color)</t>
  </si>
  <si>
    <t xml:space="preserve">Hand Gloves (Welding leather hand gloves)</t>
  </si>
  <si>
    <t xml:space="preserve">Weight : 340 G Size : Length-13.5 inches small Size (leather) Material Polyester, Leather, Cotton Special Feature Protective Padding</t>
  </si>
  <si>
    <t xml:space="preserve">Cotton Hand Gloves (sheet metal work)</t>
  </si>
  <si>
    <t xml:space="preserve">Material: Cotton Colour : YellowCut resistant Gloves nitrile coating</t>
  </si>
  <si>
    <t xml:space="preserve">Hand gloves pairs (constricti on)</t>
  </si>
  <si>
    <t xml:space="preserve">Material: Nylon Size: Free Size Special Feature Cut Resistant</t>
  </si>
  <si>
    <t xml:space="preserve">Welding Apron</t>
  </si>
  <si>
    <t xml:space="preserve">Style: Waist Size: Free Material: Blended</t>
  </si>
  <si>
    <t xml:space="preserve">Rubber Chappals</t>
  </si>
  <si>
    <t xml:space="preserve">Material type: Rubber Closure typeSlip On Heel type: Flat Water resistance levelWater Resistant StyleFlip Flop Strap typeThong Medium Size (14-16 age ) Small and Medium</t>
  </si>
  <si>
    <t xml:space="preserve">First Aid Box</t>
  </si>
  <si>
    <t xml:space="preserve">Cotton, Adhesive Bandage, Gauze roll bandage ,Scissor, Dettol, Antiseptic cream- Soframycin.</t>
  </si>
  <si>
    <t xml:space="preserve">Energy &amp; Environment</t>
  </si>
  <si>
    <t xml:space="preserve">Voltmeter</t>
  </si>
  <si>
    <t xml:space="preserve">10 to 500 V</t>
  </si>
  <si>
    <t xml:space="preserve">Ammeter</t>
  </si>
  <si>
    <t xml:space="preserve">0 to 50 amp</t>
  </si>
  <si>
    <t xml:space="preserve">Wattmeter</t>
  </si>
  <si>
    <t xml:space="preserve">0 to 1500 W</t>
  </si>
  <si>
    <t xml:space="preserve">Frequency Meter</t>
  </si>
  <si>
    <t xml:space="preserve">05 to 65 Hz</t>
  </si>
  <si>
    <t xml:space="preserve">Voltmeter / DIGITAL MULTIMETER</t>
  </si>
  <si>
    <t xml:space="preserve">Non-contact Voltage Detector</t>
  </si>
  <si>
    <t xml:space="preserve">Wire Gauge</t>
  </si>
  <si>
    <t xml:space="preserve">Hydro Meter</t>
  </si>
  <si>
    <t xml:space="preserve">to check gravity for Acid battery</t>
  </si>
  <si>
    <t xml:space="preserve">Fish Tape</t>
  </si>
  <si>
    <t xml:space="preserve">upto 15ft</t>
  </si>
  <si>
    <t xml:space="preserve">Linesman Pliers (Combination Pliers)</t>
  </si>
  <si>
    <t xml:space="preserve">8"</t>
  </si>
  <si>
    <t xml:space="preserve">Long Nose Pliers</t>
  </si>
  <si>
    <t xml:space="preserve">6"</t>
  </si>
  <si>
    <t xml:space="preserve">Side Cutting Player</t>
  </si>
  <si>
    <t xml:space="preserve">Screw Driver Set</t>
  </si>
  <si>
    <t xml:space="preserve">100, 150, 200, 250, 300 mm</t>
  </si>
  <si>
    <t xml:space="preserve">Screw Driver Set / Electrician-Wiremen Set</t>
  </si>
  <si>
    <t xml:space="preserve">Pokar</t>
  </si>
  <si>
    <t xml:space="preserve">Tester</t>
  </si>
  <si>
    <t xml:space="preserve">Taparia or Equivalen t</t>
  </si>
  <si>
    <t xml:space="preserve">Wire Stripper</t>
  </si>
  <si>
    <t xml:space="preserve">Wire Stripper (Automatic)</t>
  </si>
  <si>
    <t xml:space="preserve">Automatic D&amp;V or Equivalen t</t>
  </si>
  <si>
    <t xml:space="preserve">Razor Blade Knife (Utility Knife)</t>
  </si>
  <si>
    <t xml:space="preserve">Hack Saw</t>
  </si>
  <si>
    <t xml:space="preserve">3 Core Flexible Cable ( For Drilling , Grinding , Welding M/c conectine )</t>
  </si>
  <si>
    <t xml:space="preserve">1.5 Sq mm</t>
  </si>
  <si>
    <t xml:space="preserve">Sockets (Assorted) 2 Pin</t>
  </si>
  <si>
    <t xml:space="preserve">2 Pin</t>
  </si>
  <si>
    <t xml:space="preserve">Sockets (Assorted) 3 Pin</t>
  </si>
  <si>
    <t xml:space="preserve">3 Pin</t>
  </si>
  <si>
    <t xml:space="preserve">Plugs (Assorted) Top 2 Pin</t>
  </si>
  <si>
    <t xml:space="preserve">Plugs (Assorted) Top 3 Pin</t>
  </si>
  <si>
    <t xml:space="preserve">Switches</t>
  </si>
  <si>
    <t xml:space="preserve">Set of switches Combo of 12M Plate + 6A Switch x12 Application: Can be used for Living areas with requirement of 12 Light points. Made with high qualityfire retardant virgin polycarbonate material and silver plated conductor components for long lasting switches and sockets. Easy installation / removal of module due to the snap fit feature</t>
  </si>
  <si>
    <t xml:space="preserve">Switches (Assorted) One way</t>
  </si>
  <si>
    <t xml:space="preserve">Switches (Assorted) Two way</t>
  </si>
  <si>
    <t xml:space="preserve">Bell Push Switch</t>
  </si>
  <si>
    <t xml:space="preserve">Lamp Holders (Assorted) Angle</t>
  </si>
  <si>
    <t xml:space="preserve">Lamp Holders (Assorted) Bettle</t>
  </si>
  <si>
    <t xml:space="preserve">Light Emission Diode</t>
  </si>
  <si>
    <t xml:space="preserve">box</t>
  </si>
  <si>
    <t xml:space="preserve">Pull-Push Switch</t>
  </si>
  <si>
    <t xml:space="preserve">Capacitor</t>
  </si>
  <si>
    <t xml:space="preserve">1000uF 25V ±20% Tolerance +105°C Max Temperature..</t>
  </si>
  <si>
    <t xml:space="preserve">Relay</t>
  </si>
  <si>
    <t xml:space="preserve">Earthing Plate</t>
  </si>
  <si>
    <t xml:space="preserve">1 ft. X 1ft.</t>
  </si>
  <si>
    <t xml:space="preserve">Earthing Rod</t>
  </si>
  <si>
    <t xml:space="preserve">Material - Copper Diameter - 17 mm Length - 1 mtr</t>
  </si>
  <si>
    <t xml:space="preserve">Earthing Pipe</t>
  </si>
  <si>
    <t xml:space="preserve">GI Pipe Diameter- 1/2 inch Length - 1 mtr</t>
  </si>
  <si>
    <t xml:space="preserve">Different Type of Fuse</t>
  </si>
  <si>
    <t xml:space="preserve">Miniature Circuit Breaker</t>
  </si>
  <si>
    <t xml:space="preserve">Electric Soldering Iron</t>
  </si>
  <si>
    <t xml:space="preserve">35 watt</t>
  </si>
  <si>
    <t xml:space="preserve">Valve Spanner</t>
  </si>
  <si>
    <t xml:space="preserve">Nozzel/Nippl e spanner</t>
  </si>
  <si>
    <t xml:space="preserve">Wick Stove</t>
  </si>
  <si>
    <t xml:space="preserve">Material - Stainless Steel Model - Regular Packaging Type - Color Box Capacity - 3 Litres Usage/Application - Home Cooking Is It Portable? Yes</t>
  </si>
  <si>
    <t xml:space="preserve">Pressure Stove</t>
  </si>
  <si>
    <t xml:space="preserve">Type: Manual Gas Stove Burner Type: KEROSENE BRASS BURNER Number of Burners: 1 Body Material: Iron Dimension: 20.32 cm x 35.5 cm KEROSENE PRESSURE STOVE, BRASS TANK LEAD, PUMP &amp; PVC WASHER, BURNER CLEANING PIN, KIT</t>
  </si>
  <si>
    <t xml:space="preserve">DOL STARTER</t>
  </si>
  <si>
    <t xml:space="preserve">Single Crompton Phase, 230 or Volt Equivalen t</t>
  </si>
  <si>
    <t xml:space="preserve">WATER PUMP 1 PHASE</t>
  </si>
  <si>
    <t xml:space="preserve">Single Phase , 0.5 HP</t>
  </si>
  <si>
    <t xml:space="preserve">MOTER ELECTRIC 1 PHASE</t>
  </si>
  <si>
    <t xml:space="preserve">Single Phase , 230 volt</t>
  </si>
  <si>
    <t xml:space="preserve">Rotary Switch</t>
  </si>
  <si>
    <t xml:space="preserve">Earthing Wire</t>
  </si>
  <si>
    <t xml:space="preserve">The earth wire shall be made of galvanized steel strands conforming to relevant IS standards. It will have 7 strands of 3.66mm diameter each, with an overall diameter of 10.98mm. 11 Gause</t>
  </si>
  <si>
    <t xml:space="preserve">Electric Wires</t>
  </si>
  <si>
    <t xml:space="preserve">Material: PVC1mm Type: Copper Wire 1 sq mm RYB colour coded</t>
  </si>
  <si>
    <t xml:space="preserve">100</t>
  </si>
  <si>
    <t xml:space="preserve">Electrical Hand Gloves</t>
  </si>
  <si>
    <t xml:space="preserve">11 KVA</t>
  </si>
  <si>
    <t xml:space="preserve">Rubber Matting</t>
  </si>
  <si>
    <t xml:space="preserve">3' x 2'</t>
  </si>
  <si>
    <t xml:space="preserve">Sand Bucket</t>
  </si>
  <si>
    <t xml:space="preserve">10 Ltr</t>
  </si>
  <si>
    <t xml:space="preserve">Fire Extinguisher CO2</t>
  </si>
  <si>
    <t xml:space="preserve">2kg, ABC Types</t>
  </si>
  <si>
    <t xml:space="preserve">Household / Food Processing Kitchen Corner</t>
  </si>
  <si>
    <t xml:space="preserve">Stainless steel Plates</t>
  </si>
  <si>
    <t xml:space="preserve">Stainless Steel (Dia 20cm)</t>
  </si>
  <si>
    <t xml:space="preserve">Sieves )</t>
  </si>
  <si>
    <t xml:space="preserve">Stainless Steel Size- 21x11x10 cm)</t>
  </si>
  <si>
    <t xml:space="preserve">Set of cooking spoon</t>
  </si>
  <si>
    <t xml:space="preserve">Stainless steel</t>
  </si>
  <si>
    <t xml:space="preserve">Stainless steel Containers with Cover (Pot)</t>
  </si>
  <si>
    <t xml:space="preserve">Food grade stainless steel ( Containers of 1 ltr and 2 ltr capacity)</t>
  </si>
  <si>
    <t xml:space="preserve">Steel Bowls</t>
  </si>
  <si>
    <t xml:space="preserve">Dia 6 inch</t>
  </si>
  <si>
    <t xml:space="preserve">Frying Pan (medium)- With Handle</t>
  </si>
  <si>
    <t xml:space="preserve">Stainless stree with copper bottom - medium size (Dia 20cm)</t>
  </si>
  <si>
    <t xml:space="preserve">Grater/ Shredder</t>
  </si>
  <si>
    <t xml:space="preserve">Stainless steel (8 in 1) (8x7.5x18.2 cm)</t>
  </si>
  <si>
    <t xml:space="preserve">Hand Operated Chikki Slicer (Roller), cutter</t>
  </si>
  <si>
    <t xml:space="preserve">Stainless steel (14x160x120 mm)</t>
  </si>
  <si>
    <t xml:space="preserve">Knives</t>
  </si>
  <si>
    <t xml:space="preserve">Stainless Steel (Medium size)</t>
  </si>
  <si>
    <t xml:space="preserve">Polpat and Latan (Roller)</t>
  </si>
  <si>
    <t xml:space="preserve">Wood</t>
  </si>
  <si>
    <t xml:space="preserve">Gas lighter</t>
  </si>
  <si>
    <t xml:space="preserve">stainless Steel - Domestic Use</t>
  </si>
  <si>
    <t xml:space="preserve">Measuring Mug / Cup</t>
  </si>
  <si>
    <t xml:space="preserve">Plastic/ Glass 250ml</t>
  </si>
  <si>
    <t xml:space="preserve">Measuring Spoons</t>
  </si>
  <si>
    <t xml:space="preserve">Plastic</t>
  </si>
  <si>
    <t xml:space="preserve">Mixer (Mixture- Grinder)</t>
  </si>
  <si>
    <t xml:space="preserve">ISI mark Mixer with two grinding containers - 550 Watt</t>
  </si>
  <si>
    <t xml:space="preserve">Pressure Cooker</t>
  </si>
  <si>
    <t xml:space="preserve">Steel / aluminium - 5 ltr</t>
  </si>
  <si>
    <t xml:space="preserve">Scissors</t>
  </si>
  <si>
    <t xml:space="preserve">medium Large - With plastic handle</t>
  </si>
  <si>
    <t xml:space="preserve">Table Spoons</t>
  </si>
  <si>
    <t xml:space="preserve">Single Burner Stove</t>
  </si>
  <si>
    <t xml:space="preserve">ISI Mark - 27x29x9 cm</t>
  </si>
  <si>
    <t xml:space="preserve">Tong /</t>
  </si>
  <si>
    <t xml:space="preserve">Steel -24x3x3 cm</t>
  </si>
  <si>
    <t xml:space="preserve">Vegetable Peeler</t>
  </si>
  <si>
    <t xml:space="preserve">stainless steel - 25x25x43 cm</t>
  </si>
  <si>
    <t xml:space="preserve">Water Container (Jug)</t>
  </si>
  <si>
    <t xml:space="preserve">stainless steel 1 liter capacity</t>
  </si>
  <si>
    <t xml:space="preserve">hindalium container with lid - 3 lit - 3 3</t>
  </si>
  <si>
    <t xml:space="preserve">Hindalium 3 liter</t>
  </si>
  <si>
    <t xml:space="preserve">Dust Pan</t>
  </si>
  <si>
    <t xml:space="preserve">Plastic; Size- medium</t>
  </si>
  <si>
    <t xml:space="preserve">Sieves -</t>
  </si>
  <si>
    <t xml:space="preserve">Plastic with multiple sieving plates- 20x20x5 cm</t>
  </si>
  <si>
    <t xml:space="preserve">Plastic Container -</t>
  </si>
  <si>
    <t xml:space="preserve">0.5 kg, Food grade plastic (Set of 4) - Recommend Cello brand OR equivalent</t>
  </si>
  <si>
    <t xml:space="preserve">Glass container -</t>
  </si>
  <si>
    <t xml:space="preserve">glass with plastic lid - half kg. Capacity</t>
  </si>
  <si>
    <t xml:space="preserve">Digital Kitchen Balance</t>
  </si>
  <si>
    <t xml:space="preserve">ISI Mark with 5 kg capacity- Digital Balance Brand- Glun or Equivalent</t>
  </si>
  <si>
    <t xml:space="preserve">Plastic Bucket</t>
  </si>
  <si>
    <t xml:space="preserve">Plastic -10 ltr capacity</t>
  </si>
  <si>
    <t xml:space="preserve">Plastic Dustbin</t>
  </si>
  <si>
    <t xml:space="preserve">Blood Pressure Measuring (Sphygmomanometer)- Mercury Free</t>
  </si>
  <si>
    <t xml:space="preserve">ISI mark-</t>
  </si>
  <si>
    <t xml:space="preserve">Stethoscope</t>
  </si>
  <si>
    <t xml:space="preserve">ISI mark</t>
  </si>
  <si>
    <t xml:space="preserve">Thermomet er</t>
  </si>
  <si>
    <t xml:space="preserve">Glass - 30x1x1 cm</t>
  </si>
  <si>
    <t xml:space="preserve">Weighing machine )</t>
  </si>
  <si>
    <t xml:space="preserve">ISI mark - 100kg capacity</t>
  </si>
  <si>
    <t xml:space="preserve">First -aid Box</t>
  </si>
  <si>
    <t xml:space="preserve">Beaker</t>
  </si>
  <si>
    <t xml:space="preserve">Made with Glass - 250 ml</t>
  </si>
  <si>
    <t xml:space="preserve">Digital BP machine</t>
  </si>
  <si>
    <t xml:space="preserve">Digital timer</t>
  </si>
  <si>
    <t xml:space="preserve">Digital Candy Thermometer (for taking food temperature</t>
  </si>
  <si>
    <t xml:space="preserve">taking food temperature - Range - (-50 to 300 degree celcius) Brand- Syga or Equivalent</t>
  </si>
  <si>
    <t xml:space="preserve">Wall clock</t>
  </si>
  <si>
    <t xml:space="preserve">Orpat/Citizen or Equivalent</t>
  </si>
  <si>
    <t xml:space="preserve">ISI Mark - 2kg ABC type</t>
  </si>
  <si>
    <t xml:space="preserve">Apron (Cloth)</t>
  </si>
  <si>
    <t xml:space="preserve">Type of Product : Fine Quality Apron Size : 24x36 inch Material :Cotton cotton- medium size - For 14 to 17 years childern</t>
  </si>
  <si>
    <t xml:space="preserve">Dish towels</t>
  </si>
  <si>
    <t xml:space="preserve">Material : Cotton Product Dimensions 70L x 45W Centimeters Style Classic Pattern Striped Special Feature Durability,Lightwei ght Theme Striped</t>
  </si>
  <si>
    <t xml:space="preserve">Hand Gloves</t>
  </si>
  <si>
    <t xml:space="preserve">Length :240 mm Material : Nitrile</t>
  </si>
  <si>
    <t xml:space="preserve">Hand Gloves (Plastic)</t>
  </si>
  <si>
    <t xml:space="preserve">Color : Transparen t Is Consumable : Y Size : Free Size Cotton - medium size - For 14 to 17 years children</t>
  </si>
  <si>
    <t xml:space="preserve">pack</t>
  </si>
  <si>
    <t xml:space="preserve">Head Caps (Cloth)</t>
  </si>
  <si>
    <t xml:space="preserve">Colour Blue Material Disposable Bouffant Pattern Solid 20 GSM - For 14 to 17 years children</t>
  </si>
  <si>
    <t xml:space="preserve">Candles</t>
  </si>
  <si>
    <t xml:space="preserve">Material - WAX medium size - 6 inch</t>
  </si>
  <si>
    <t xml:space="preserve">Aluminum foil Charts</t>
  </si>
  <si>
    <t xml:space="preserve">Material Aluminium, Is Microwaveable Yes 100 mtr</t>
  </si>
  <si>
    <t xml:space="preserve">roll</t>
  </si>
  <si>
    <t xml:space="preserve">Food Pyramid</t>
  </si>
  <si>
    <t xml:space="preserve">Nutrition Chart</t>
  </si>
  <si>
    <t xml:space="preserve">Diseases Chart</t>
  </si>
  <si>
    <t xml:space="preserve">Gardening, Nursery &amp; Agriculture Techniques</t>
  </si>
  <si>
    <t xml:space="preserve">Budding Knife /</t>
  </si>
  <si>
    <t xml:space="preserve">Two stainless steel blades and one brass budder Comfortable nylon grip (Falcone Brand is best) or Equivalent</t>
  </si>
  <si>
    <t xml:space="preserve">Garden Knife</t>
  </si>
  <si>
    <t xml:space="preserve">9 Inch blade with plastic grip. (Falcon Brand or Equivalent)</t>
  </si>
  <si>
    <t xml:space="preserve">Grafting Knife</t>
  </si>
  <si>
    <t xml:space="preserve">One stainless steel blades and Comfortable nylon grip (Falcone Brand or Equivalent)</t>
  </si>
  <si>
    <t xml:space="preserve">Hori Hori Knife (Soil Knife)</t>
  </si>
  <si>
    <t xml:space="preserve">9 Inch blade with wooden handle. (Falcon Brand or Equivalent)</t>
  </si>
  <si>
    <t xml:space="preserve">Tree Cutting Shears</t>
  </si>
  <si>
    <t xml:space="preserve">Blade Length : 10 inch Alloy Steel Material with wooden handle and adjustable screw (Falcon Brand or Equivalent)</t>
  </si>
  <si>
    <t xml:space="preserve">Pruning Sheared / C Cutter</t>
  </si>
  <si>
    <t xml:space="preserve">Blade : Stainless Steel Cutting Size : 15mm with lock nut (Falcon Brand or Equivalent)</t>
  </si>
  <si>
    <t xml:space="preserve">Pruning Knife</t>
  </si>
  <si>
    <t xml:space="preserve">Blade : Stainless Steel Cutting Size : 25mm</t>
  </si>
  <si>
    <t xml:space="preserve">Trowels</t>
  </si>
  <si>
    <t xml:space="preserve">Size : 150mm with plastic handle (Falcon Brand or Equivalent)</t>
  </si>
  <si>
    <t xml:space="preserve">Spade with wooden Handle</t>
  </si>
  <si>
    <t xml:space="preserve">Medium Size blade (6-9inch) with 3 feet wooden handle</t>
  </si>
  <si>
    <t xml:space="preserve">Axe with wooden handle</t>
  </si>
  <si>
    <t xml:space="preserve">Small Size blade (3 inch) with 3 feet wooden handle</t>
  </si>
  <si>
    <t xml:space="preserve">Pickaxe (Tikav) with wooden handle</t>
  </si>
  <si>
    <t xml:space="preserve">Small Size blade (40-100mm) with 3 feet wooden handle</t>
  </si>
  <si>
    <t xml:space="preserve">Khurpi</t>
  </si>
  <si>
    <t xml:space="preserve">Blade length 5 inch. 15x10x5 cm. With straight blade and plastic handle</t>
  </si>
  <si>
    <t xml:space="preserve">Sickle</t>
  </si>
  <si>
    <t xml:space="preserve">Blade length 18 inch with wooden handle and curved blade</t>
  </si>
  <si>
    <t xml:space="preserve">Leaf Rake with Handle</t>
  </si>
  <si>
    <t xml:space="preserve">Blade length (22- 30 inch) with 5 feet wooden handle</t>
  </si>
  <si>
    <t xml:space="preserve">Scissor</t>
  </si>
  <si>
    <t xml:space="preserve">Stainless steel, Size : 200mm</t>
  </si>
  <si>
    <t xml:space="preserve">Watering Can , 8 to 10 Ltr.</t>
  </si>
  <si>
    <t xml:space="preserve">Plastic can 8 to 10 ltr.</t>
  </si>
  <si>
    <t xml:space="preserve">Plastic Ghamale</t>
  </si>
  <si>
    <t xml:space="preserve">Dia 300mm</t>
  </si>
  <si>
    <t xml:space="preserve">Crate</t>
  </si>
  <si>
    <t xml:space="preserve">Virgin Plastic, Size : 533x360x305 mm</t>
  </si>
  <si>
    <t xml:space="preserve">Plastic Jar - 500 ml (Mug)</t>
  </si>
  <si>
    <t xml:space="preserve">Nyasa/Cello/Supr eme or Equivalent</t>
  </si>
  <si>
    <t xml:space="preserve">Plastic Buckets , 10 Ltr</t>
  </si>
  <si>
    <t xml:space="preserve">Spraying , Pump</t>
  </si>
  <si>
    <t xml:space="preserve">Capacity : 2 Ltr with pressure pump</t>
  </si>
  <si>
    <t xml:space="preserve">Measuring 30 meter Tape</t>
  </si>
  <si>
    <t xml:space="preserve">Stainless Steel, Lock Facility</t>
  </si>
  <si>
    <t xml:space="preserve">Weighing 10 kg , Balance Capacity with minimum Division of 0.1 kg.</t>
  </si>
  <si>
    <t xml:space="preserve">ISI Mark with 10 kg capacity (Stainless Steel Pot)</t>
  </si>
  <si>
    <t xml:space="preserve">Animal Digital Thermometer</t>
  </si>
  <si>
    <t xml:space="preserve">Flexible Tip, Waterproof</t>
  </si>
  <si>
    <t xml:space="preserve">Magnifying lens(bi- concave lens)</t>
  </si>
  <si>
    <t xml:space="preserve">10X magnification with Steel frame and PVC handle</t>
  </si>
  <si>
    <t xml:space="preserve">Seeding Trays for Nursery ?( 70 Cavity / holes )</t>
  </si>
  <si>
    <t xml:space="preserve">70 cells in one tray of size 53 x 35 x 5 (L x W X H) in Cms.</t>
  </si>
  <si>
    <t xml:space="preserve">Sprinkler Irrigation Unit ( Lateral pipe 16mm x 20ft , Micro sprinkler &amp; micro jet 05 nos each )</t>
  </si>
  <si>
    <t xml:space="preserve">Complete with Spray Jet, Heads and foggers, Rainport sprinklers, Valves etc</t>
  </si>
  <si>
    <t xml:space="preserve">Drip Irrigation Unit ( Lateral pipe 16mm x 20 ft , Elbow , coupler , T-joint , mini valve, gurment teck, end cap , drip punch 5nos each</t>
  </si>
  <si>
    <t xml:space="preserve">16mm Main Supply Pipe 25mtrs, 4mm Feeder Line Pipe - 40mtrs, 4LPH Drip Emitters - 100pcs, 4mm Pin Connector - 100pcs 5. Emitter Stakes - 100pcs 6. Dummies - 25pcs, Tee Connector - 10pcs, Straight Connector - 10pcs, Elbow Connector - 10pcs, Straight Connector With Tap - 10pcs, End cap - 10pcs, Water Tap Connector, ' S' Hole Puncher, Teflon Tape and Installation Manual</t>
  </si>
  <si>
    <t xml:space="preserve">Grafting transplanting bags</t>
  </si>
  <si>
    <t xml:space="preserve">Waterproof, flexible, scalable, High elongation 4 inch to 8 inch</t>
  </si>
  <si>
    <t xml:space="preserve">25</t>
  </si>
  <si>
    <t xml:space="preserve">Lactometer</t>
  </si>
  <si>
    <t xml:space="preserve">Glass Body checked ND Calibrated with plastic cover box</t>
  </si>
  <si>
    <t xml:space="preserve">Measuring 250ml Cylinder</t>
  </si>
  <si>
    <t xml:space="preserve">Made of Borosilicate</t>
  </si>
  <si>
    <t xml:space="preserve">Beaker 250ml</t>
  </si>
  <si>
    <t xml:space="preserve">Hand Gloves (Long)</t>
  </si>
  <si>
    <t xml:space="preserve">ISI Mark - Medium size (For 14 to 17 years students)</t>
  </si>
  <si>
    <t xml:space="preserve">Mask ( Canvas Mask ) Charts</t>
  </si>
  <si>
    <t xml:space="preserve">ISI Mark (For 14 to 17 years students)</t>
  </si>
  <si>
    <t xml:space="preserve">Irrigation method charts</t>
  </si>
  <si>
    <t xml:space="preserve">Artificial insemination Chart</t>
  </si>
  <si>
    <t xml:space="preserve">Breed charts Cow,Goat,Bull ock</t>
  </si>
  <si>
    <t xml:space="preserve">Display Boards, Tables, Storage &amp; Other Shared Hardware</t>
  </si>
  <si>
    <t xml:space="preserve">Display board for tools display and easy access to students</t>
  </si>
  <si>
    <t xml:space="preserve">4ft*3ft plywood of 18mm thickness with boundary (wooden gota) and blue cloth in the background for contrast. Water Proof ISI Mark plywood To display screw drivers, testers and easy access to students</t>
  </si>
  <si>
    <t xml:space="preserve">4ft*2ft plywood of 18mm thickness with boundary (wooden gota) and blue cloth in the background for contrast. Water Proof ISI Mark plywood To display screw drivers, testers and easy access to students</t>
  </si>
  <si>
    <t xml:space="preserve">Working Table to perform practicals for 15 students</t>
  </si>
  <si>
    <t xml:space="preserve">Steel Frame with Length: 6 ft, Breadth: 4 ft and Height: 30 Inch (2.5 ft) Top: 18 mm commercial ply with lamination/power coating grey/glory blue paint, bottom should be rubberrlevellar</t>
  </si>
  <si>
    <t xml:space="preserve">Machine Table for Machine Installation</t>
  </si>
  <si>
    <t xml:space="preserve">Steel Frame with Length: 4 ft, Breadth: 3 ft and Height: 30 Inch (2.5 ft) Top: 18 mm commercial ply with lamination/power coating grey/glory blue paint, bottom should be rubberrlevellar</t>
  </si>
  <si>
    <t xml:space="preserve">Cupboard for Storage of tools, Raw material and other Resources</t>
  </si>
  <si>
    <t xml:space="preserve">6 ft. Steel/Metal file cabinet with 4 adjustable shelves with lock and key facility, 20 Gauge with 78" x 34 "x19 " (6'6" x 2'10" x 1'7")</t>
  </si>
  <si>
    <t xml:space="preserve">Stools for sitting</t>
  </si>
  <si>
    <t xml:space="preserve">Length: 12 Inch, Breadth: 12 inch, &amp; Height: 20 Inch Top: Perforated sheet with gauge, Steel Frame : 20 mm x 20 mm x 18 Gauge square tube with powder coating in grey paint, bottom should be rubberr levellar (Ntlon )</t>
  </si>
  <si>
    <t xml:space="preserve">Kitchen Table with Drawer and Storage cupboard / Working table</t>
  </si>
  <si>
    <t xml:space="preserve">Length: 5ft, Breadth: 3ft, Height: 30 Inch Steel Frame : 20 mm x 20mm Square tube with 18 gauge , legs rubber bush, color grey with powder coating. Top : GI Top with sink frame with sink, keep empty space below sink. One drawer with lock and key facility and two shelves with two door and half closed from all side. Frame : Steel MS Angle ; L shape 35/5 with grey/glory blue paint.</t>
  </si>
  <si>
    <t xml:space="preserve">Utensil Rack</t>
  </si>
  <si>
    <t xml:space="preserve">Standard Size Utensil Rack to keep kitchen utensils</t>
  </si>
  <si>
    <t xml:space="preserve">Gypsum Screw</t>
  </si>
  <si>
    <t xml:space="preserve">1 Inch</t>
  </si>
  <si>
    <t xml:space="preserve">1.5 Inch</t>
  </si>
  <si>
    <t xml:space="preserve">2 Inch</t>
  </si>
  <si>
    <t xml:space="preserve">3 Inch</t>
  </si>
  <si>
    <t xml:space="preserve">Clamp</t>
  </si>
  <si>
    <t xml:space="preserve">pack of 10</t>
  </si>
  <si>
    <t xml:space="preserve">Nail</t>
  </si>
  <si>
    <t xml:space="preserve">kg</t>
  </si>
  <si>
    <t xml:space="preserve">Hook</t>
  </si>
  <si>
    <t xml:space="preserve">4 Inch (Remarks: To hang the sand buckets)</t>
  </si>
  <si>
    <t xml:space="preserve">Nut Bolt</t>
  </si>
  <si>
    <t xml:space="preserve">3 Inch, 10 mm (Remarks: With washer set)</t>
  </si>
  <si>
    <t xml:space="preserve">3 Inch, 8 mm</t>
  </si>
  <si>
    <t xml:space="preserve">5 Inch, 8 mm</t>
  </si>
  <si>
    <t xml:space="preserve">Floor Marking Tape</t>
  </si>
  <si>
    <t xml:space="preserve">Yellow and Black Colour</t>
  </si>
  <si>
    <t xml:space="preserve">Section Name Plates / Branding Boards</t>
  </si>
  <si>
    <t xml:space="preserve">Multi Skill Foundation Course (MSFC)</t>
  </si>
  <si>
    <t xml:space="preserve">Dimensions: 3x0.75 sq.ft; Poly Vinyl/Sunboard (3mm thickness), Font: Century Gothic, White Border</t>
  </si>
  <si>
    <t xml:space="preserve">Energy &amp; Environment (EE)</t>
  </si>
  <si>
    <t xml:space="preserve">Dimensions: 3x0.5 sq.ft</t>
  </si>
  <si>
    <t xml:space="preserve">Workshop &amp; Engineering Techniques (WET)</t>
  </si>
  <si>
    <t xml:space="preserve">Gardening, Nursery &amp; Agriculture Techniques (GNAT)</t>
  </si>
  <si>
    <t xml:space="preserve">Food Processing Techniques (FPT)</t>
  </si>
  <si>
    <t xml:space="preserve">Resource Corner</t>
  </si>
  <si>
    <t xml:space="preserve">Dimensions: 1x0.33 sq.ft</t>
  </si>
  <si>
    <t xml:space="preserve">Safety Wall</t>
  </si>
  <si>
    <t xml:space="preserve">Fire Extinguisher</t>
  </si>
  <si>
    <t xml:space="preserve">Display Corner</t>
  </si>
  <si>
    <t xml:space="preserve">NVS PM SHRI - Multi-Skill Lab</t>
  </si>
  <si>
    <t xml:space="preserve">Electromechanics and Information Technology</t>
  </si>
  <si>
    <t xml:space="preserve">Computer / Laptop</t>
  </si>
  <si>
    <t xml:space="preserve">Processor: I3, 8Gb Ram, 512Gb SSD</t>
  </si>
  <si>
    <t xml:space="preserve">Microsoft Office</t>
  </si>
  <si>
    <t xml:space="preserve">Ms office for educational usage</t>
  </si>
  <si>
    <t xml:space="preserve">AutoCAD software (to be integrated in computer)</t>
  </si>
  <si>
    <t xml:space="preserve">AutoCAD Software for Education Purpose</t>
  </si>
  <si>
    <t xml:space="preserve">Free</t>
  </si>
  <si>
    <t xml:space="preserve">Battery</t>
  </si>
  <si>
    <t xml:space="preserve">9-12V 2000 to 2500 mAh rechargeable battery</t>
  </si>
  <si>
    <t xml:space="preserve">Battery Charger</t>
  </si>
  <si>
    <t xml:space="preserve">9V Batter Charger</t>
  </si>
  <si>
    <t xml:space="preserve">Power Adaptor</t>
  </si>
  <si>
    <t xml:space="preserve">9v 1Ampear</t>
  </si>
  <si>
    <t xml:space="preserve">Resistor Kit</t>
  </si>
  <si>
    <t xml:space="preserve">One kit contains - 30 carbon film resistors of 20 different resistance values each assorted, packaged together and labelled. Values: 0Ω, 1.5Ω, 4.7Ω, 10Ω, 47Ω, 100Ω, 220Ω, 330Ω, 470Ω, 680Ω, 1kΩ, 2.2kΩ, 3.3kΩ, 4.7kΩ, 10kΩ, 22kΩ, 47kΩ, 100kΩ, 330kΩ, 1MΩ</t>
  </si>
  <si>
    <t xml:space="preserve">Capacitor Kit</t>
  </si>
  <si>
    <t xml:space="preserve">Values: 10pF, 22pF, 100pF, 1nF, 10nF, 100nF, 1µF, 10µF, 100µF, 1000µF</t>
  </si>
  <si>
    <t xml:space="preserve">LDR Module</t>
  </si>
  <si>
    <t xml:space="preserve">5mm/12mm, Photosensitive LDR Light Sensor Module</t>
  </si>
  <si>
    <t xml:space="preserve">20</t>
  </si>
  <si>
    <t xml:space="preserve">Active Buzzer</t>
  </si>
  <si>
    <t xml:space="preserve">Medium Buzzer 5 Volts</t>
  </si>
  <si>
    <t xml:space="preserve">Jumper Cable</t>
  </si>
  <si>
    <t xml:space="preserve">Male-Male - 20 per 10 Students</t>
  </si>
  <si>
    <t xml:space="preserve">80</t>
  </si>
  <si>
    <t xml:space="preserve">Male-Female - 20 per 10 Students</t>
  </si>
  <si>
    <t xml:space="preserve">Female-Female - 20 per 10 Students</t>
  </si>
  <si>
    <t xml:space="preserve">RGB LEDs</t>
  </si>
  <si>
    <t xml:space="preserve">Regular 5mm 3-5 volt Range</t>
  </si>
  <si>
    <t xml:space="preserve">LEDs Multi Color</t>
  </si>
  <si>
    <t xml:space="preserve">Potentiometer</t>
  </si>
  <si>
    <t xml:space="preserve">10K ohm with power cut switch on/off</t>
  </si>
  <si>
    <t xml:space="preserve">Hot glue gun</t>
  </si>
  <si>
    <t xml:space="preserve">Works with standard 0.5inch glue sticks. Temperature - 230 to 280 degree Celsius.</t>
  </si>
  <si>
    <t xml:space="preserve">Digital Multi Meter</t>
  </si>
  <si>
    <t xml:space="preserve">Digital Multi Meter Voltage Current Resistance-7 functions + 19 ranges to cover DC voltage 200mV to 1kV,</t>
  </si>
  <si>
    <t xml:space="preserve">Glue Sticks</t>
  </si>
  <si>
    <t xml:space="preserve">11 mm x 200mm Hot Melt Glue Stick</t>
  </si>
  <si>
    <t xml:space="preserve">Coin Cell</t>
  </si>
  <si>
    <t xml:space="preserve">3.3 Volts</t>
  </si>
  <si>
    <t xml:space="preserve">40</t>
  </si>
  <si>
    <t xml:space="preserve">Conductive Tape or Aluminium Foil</t>
  </si>
  <si>
    <t xml:space="preserve">Copper Tape with medium thickness - Box of 12 pieces or Aluminium Foil used in kitchen for food wrapping 1 KG Roll</t>
  </si>
  <si>
    <t xml:space="preserve">Hook Up Wire</t>
  </si>
  <si>
    <t xml:space="preserve">Red &amp; Black set 100 Meters each</t>
  </si>
  <si>
    <t xml:space="preserve">Battery Holder/Connector</t>
  </si>
  <si>
    <t xml:space="preserve">1x Battery snap connector</t>
  </si>
  <si>
    <t xml:space="preserve">Breadboard</t>
  </si>
  <si>
    <t xml:space="preserve">Solderless 400 pin breadboard</t>
  </si>
  <si>
    <t xml:space="preserve">Humidity Sensor</t>
  </si>
  <si>
    <t xml:space="preserve">Operating range: 20 - 95 % RH Temperature: 0 - 60 Celsius Power supply: 1.5V AC (Max sine) Operating frequency: 500Hz - 2kHz</t>
  </si>
  <si>
    <t xml:space="preserve">IR Sensor</t>
  </si>
  <si>
    <t xml:space="preserve">Board Size 3.2 x 1.4cm Working voltage 3.3 to 5V DC Operating voltage 3.3V: ~23 mA, to 5V: ~43 mA Detection range 2cm - 30cm (Adjustable using potentiometer) Active output level The output is "0" (Low) when an obstacle is detected</t>
  </si>
  <si>
    <t xml:space="preserve">Ultrasonic Sensor Module HC04</t>
  </si>
  <si>
    <t xml:space="preserve">Working Voltage - DC 5V Working current - 15 mA Working Frequency - 40 Hz Range - 1 cm to 4 m Effectual Angle - &lt;15° Measuring Angle - 30° Resolution - 0.3 cm</t>
  </si>
  <si>
    <t xml:space="preserve">Pulse Rate Heart Sensor</t>
  </si>
  <si>
    <t xml:space="preserve">Pulse Rate Sensor Finger Based (finger or earlobe) Working voltage 3-5V</t>
  </si>
  <si>
    <t xml:space="preserve">Sound Sensor</t>
  </si>
  <si>
    <t xml:space="preserve">Sound Sensor Module, Microphones module</t>
  </si>
  <si>
    <t xml:space="preserve">Soil Moisture Sensor</t>
  </si>
  <si>
    <t xml:space="preserve">FC-28 with LM293 comparator Operating Voltage: 3.3V to 5V.</t>
  </si>
  <si>
    <t xml:space="preserve">Rain Drop Sensor</t>
  </si>
  <si>
    <t xml:space="preserve">Rain Sensitive, Rain Drop Detection Sensor Module. Voltage Range: 3.3V to 5.5V. Size: 5mm X 40mm or equivalent.</t>
  </si>
  <si>
    <t xml:space="preserve">Water Depth Sensor</t>
  </si>
  <si>
    <t xml:space="preserve">Detection depth:48mm Input Voltage (V)::2.0V ~ 5.0V Mounting Holes Diameter (mm):2.0mm Output Analog:Waveshare Liquid Level Sensor Fixing hole size:2.0mm Dimensional Accuracy (mm):19.0mm * 63.0mm</t>
  </si>
  <si>
    <t xml:space="preserve">Temperature Sensor</t>
  </si>
  <si>
    <t xml:space="preserve">LM35 Full range temperature sensor. Voltage Range: 4V to 30V. Error: ±0.5°C</t>
  </si>
  <si>
    <t xml:space="preserve">Smoke Sensor</t>
  </si>
  <si>
    <t xml:space="preserve">MQ - 2 Smoke Detection</t>
  </si>
  <si>
    <t xml:space="preserve">Arduino UNO</t>
  </si>
  <si>
    <t xml:space="preserve">ATmega328P - 8 bit AVR family microcontroller, equivalent or better. Operating Voltage: 5V Digital I/O Pins: 14 (of which 6 provide PWM output) PWM Digital I/O Pins: 6 Accessories : Case shell enclosure, compatible USB cable (length - 6 inch or more)</t>
  </si>
  <si>
    <t xml:space="preserve">Tinker Cad Software</t>
  </si>
  <si>
    <t xml:space="preserve">Open Source Online Platform for students to tinker: https://www.tinkercad.com/</t>
  </si>
  <si>
    <t xml:space="preserve">As many computers with Internet Accessibility</t>
  </si>
  <si>
    <t xml:space="preserve">Arduino IDE Software</t>
  </si>
  <si>
    <t xml:space="preserve">Open Source Software for operating Arduino Microcontroller: https://www.arduino.cc/en/software</t>
  </si>
  <si>
    <t xml:space="preserve">As many computers with or without Internet Accessibility</t>
  </si>
  <si>
    <t xml:space="preserve">Water Pump</t>
  </si>
  <si>
    <t xml:space="preserve">DC12V 3W Submersible Water Pump</t>
  </si>
  <si>
    <t xml:space="preserve">LCD Display</t>
  </si>
  <si>
    <t xml:space="preserve">Dot matrix LCD display. 16 characters X 2 lines. I2C</t>
  </si>
  <si>
    <t xml:space="preserve">5V 10A - 2 Channel Relay Module. Compatible with Arduino.</t>
  </si>
  <si>
    <t xml:space="preserve">5V 10A - 1 Channel Relay Module. Compatible with Arduino.</t>
  </si>
  <si>
    <t xml:space="preserve">Servo Motor</t>
  </si>
  <si>
    <t xml:space="preserve">Position Servo Angle based Metal Gear Small Servo Metal Gear Continuous Metal Gear Servo 360 Small Servo Plastic Gear</t>
  </si>
  <si>
    <t xml:space="preserve">DC Motor</t>
  </si>
  <si>
    <t xml:space="preserve">12V DC Gear 150 RPM</t>
  </si>
  <si>
    <t xml:space="preserve">L298P Motor Driver</t>
  </si>
  <si>
    <t xml:space="preserve">L298P Motor Driver Shield or relative Driver Shield</t>
  </si>
  <si>
    <t xml:space="preserve">ESP32</t>
  </si>
  <si>
    <t xml:space="preserve">I2C, 1 wire, plug and play</t>
  </si>
  <si>
    <t xml:space="preserve">7 Segment Display</t>
  </si>
  <si>
    <t xml:space="preserve">LED 4-Digit Display Module Voltage Rating: 2.4V to 5.5V 4-Pin interface: Vcc, Gnd, Data, Clock</t>
  </si>
  <si>
    <t xml:space="preserve">Battery clips with DC Jack</t>
  </si>
  <si>
    <t xml:space="preserve">9-volt battery clips with DC Jack</t>
  </si>
  <si>
    <t xml:space="preserve">Measuring Tape ISI Mark</t>
  </si>
  <si>
    <t xml:space="preserve">3 = 108 and 5= 164 Meter</t>
  </si>
  <si>
    <t xml:space="preserve">0.01 - 0.05mm/meter</t>
  </si>
  <si>
    <t xml:space="preserve">150mm (L C / 0.02mm)</t>
  </si>
  <si>
    <t xml:space="preserve">6" Inside /Outside /Divider(191*6)</t>
  </si>
  <si>
    <t xml:space="preserve">Out - Side Micrometer</t>
  </si>
  <si>
    <t xml:space="preserve">0-25mm (L C / 0.01mm)</t>
  </si>
  <si>
    <t xml:space="preserve">Out - Side Micrometer Digital</t>
  </si>
  <si>
    <t xml:space="preserve">Threading Gauge ( Engineering)</t>
  </si>
  <si>
    <t xml:space="preserve">75mmx100mm</t>
  </si>
  <si>
    <t xml:space="preserve">Blade size 100mm</t>
  </si>
  <si>
    <t xml:space="preserve">400 gm Chrome Plated Claw Hammer Tubular Steel Handle: With Handle</t>
  </si>
  <si>
    <t xml:space="preserve">Small</t>
  </si>
  <si>
    <t xml:space="preserve">1050 W</t>
  </si>
  <si>
    <t xml:space="preserve">40 x 13 x 2.5 Centimeters (adjustable from 250 mm to 300 mm)</t>
  </si>
  <si>
    <t xml:space="preserve">ADJUSTABLE HACKSAW FRAME</t>
  </si>
  <si>
    <t xml:space="preserve">12", fix frame. With pipe frame</t>
  </si>
  <si>
    <t xml:space="preserve">Half Round Wood rasp File</t>
  </si>
  <si>
    <t xml:space="preserve">10"</t>
  </si>
  <si>
    <t xml:space="preserve">Flat file Rasp</t>
  </si>
  <si>
    <t xml:space="preserve">Flat file Rough</t>
  </si>
  <si>
    <t xml:space="preserve">4"</t>
  </si>
  <si>
    <t xml:space="preserve">9"</t>
  </si>
  <si>
    <t xml:space="preserve">5"</t>
  </si>
  <si>
    <t xml:space="preserve">Flat, Width 1" Length -8" with handle</t>
  </si>
  <si>
    <t xml:space="preserve">Flat, Width 1/2", Length -8" with handle</t>
  </si>
  <si>
    <t xml:space="preserve">Mortise Chisel</t>
  </si>
  <si>
    <t xml:space="preserve">Width 1/2" Length -8" with handle</t>
  </si>
  <si>
    <t xml:space="preserve">Width 1/4" Length -8" with handle</t>
  </si>
  <si>
    <t xml:space="preserve">Pairing Chisel</t>
  </si>
  <si>
    <t xml:space="preserve">Width 1" Length -8" with handle</t>
  </si>
  <si>
    <t xml:space="preserve">Size- 1/4 Inch; Dimensions- 15x10x5 cm;Weight - 200gm</t>
  </si>
  <si>
    <t xml:space="preserve">Butt Hinges</t>
  </si>
  <si>
    <t xml:space="preserve">Parliament hinge</t>
  </si>
  <si>
    <t xml:space="preserve">Half Round; Dimensions - 20x2 mm</t>
  </si>
  <si>
    <t xml:space="preserve">Carboundum Stone (Emery)</t>
  </si>
  <si>
    <t xml:space="preserve">6" x 2.5" x 2"</t>
  </si>
  <si>
    <t xml:space="preserve">Small size 10"</t>
  </si>
  <si>
    <t xml:space="preserve">Brass</t>
  </si>
  <si>
    <t xml:space="preserve">4 Mm To 13 Mm</t>
  </si>
  <si>
    <t xml:space="preserve">2.5 - 6.5 mm</t>
  </si>
  <si>
    <t xml:space="preserve">100 mm opening</t>
  </si>
  <si>
    <t xml:space="preserve">500 Grams</t>
  </si>
  <si>
    <t xml:space="preserve">File Handle Wooden</t>
  </si>
  <si>
    <t xml:space="preserve">10",12"</t>
  </si>
  <si>
    <t xml:space="preserve">Wheel Diameter 200 Mm, single phase, 1/2 HP, 230v-50 Hz,</t>
  </si>
  <si>
    <t xml:space="preserve">Electrical hand drill machine MII Class 1 Compliant</t>
  </si>
  <si>
    <t xml:space="preserve">13 mm, Fiber Body Drill Machine, KPT</t>
  </si>
  <si>
    <t xml:space="preserve">Bench Vice (Code-U -301)</t>
  </si>
  <si>
    <t xml:space="preserve">Jaw lenght-100mm,</t>
  </si>
  <si>
    <t xml:space="preserve">6mm-18mm(Sizes mm: 6X7, 8X9, 10X11, 12X13, 14X15, 16X17, )</t>
  </si>
  <si>
    <t xml:space="preserve">6-7 To 20-22 Mm</t>
  </si>
  <si>
    <t xml:space="preserve">Arc Welding Machine (Transformer) NABL test certified</t>
  </si>
  <si>
    <t xml:space="preserve">250Amp / single phase (portable machine)</t>
  </si>
  <si>
    <t xml:space="preserve">5 Mtr (welding cable for 250 amp)10 sq. mm. with earthing cable 1mtr.</t>
  </si>
  <si>
    <t xml:space="preserve">Plastic Handle with 5mtr cable</t>
  </si>
  <si>
    <t xml:space="preserve">Wheel Brush Bristle Material- Brass Bristle Length- 2-3 Inch</t>
  </si>
  <si>
    <t xml:space="preserve">Adjustable Wrench (Adjustable Spanner)</t>
  </si>
  <si>
    <t xml:space="preserve">Grip-on-pliers</t>
  </si>
  <si>
    <t xml:space="preserve">7''</t>
  </si>
  <si>
    <t xml:space="preserve">Full set with different sizes (4",6",8")</t>
  </si>
  <si>
    <t xml:space="preserve">Trowel (Thapi-Plane)</t>
  </si>
  <si>
    <t xml:space="preserve">5 meter/1 bundle</t>
  </si>
  <si>
    <t xml:space="preserve">Masonry Drill (Concrete Drill)</t>
  </si>
  <si>
    <t xml:space="preserve">5 mm to 12 mm (5 No)</t>
  </si>
  <si>
    <t xml:space="preserve">Bucket ( MS steel bucket)</t>
  </si>
  <si>
    <t xml:space="preserve">Iron 10 litre G.I Bucket</t>
  </si>
  <si>
    <t xml:space="preserve">Pipe Die Set - with D/E Handle (pipe wrench)</t>
  </si>
  <si>
    <t xml:space="preserve">1/2'' , 3/4'' , 1"</t>
  </si>
  <si>
    <t xml:space="preserve">3" Cap</t>
  </si>
  <si>
    <t xml:space="preserve">Pipe Wrench BIS certified</t>
  </si>
  <si>
    <t xml:space="preserve">12" (300mm)</t>
  </si>
  <si>
    <t xml:space="preserve">60% black shade</t>
  </si>
  <si>
    <t xml:space="preserve">with white 2 nos. &amp; black 1 nos.</t>
  </si>
  <si>
    <t xml:space="preserve">Overcoat (Apron- Blue color)</t>
  </si>
  <si>
    <t xml:space="preserve">small and Medium size (Blue color)</t>
  </si>
  <si>
    <t xml:space="preserve">small Size (leather)</t>
  </si>
  <si>
    <t xml:space="preserve">Small Size (Cloth)</t>
  </si>
  <si>
    <t xml:space="preserve">Hand gloves pairs (constriction)</t>
  </si>
  <si>
    <t xml:space="preserve">For 14-18 years of students</t>
  </si>
  <si>
    <t xml:space="preserve">Standard</t>
  </si>
  <si>
    <t xml:space="preserve">Medium Size (14-16 age ) Small and Medium</t>
  </si>
  <si>
    <t xml:space="preserve">Cotton, Adhesive Bandage, Gauze roll bandage ,Scissor, Dettol, Antiseptic cream-Soframycin.</t>
  </si>
  <si>
    <t xml:space="preserve">500 volt</t>
  </si>
  <si>
    <t xml:space="preserve">upto 10MTR</t>
  </si>
  <si>
    <t xml:space="preserve">Linesman Pliers ISI Mark,RoHS</t>
  </si>
  <si>
    <t xml:space="preserve">Long Nose Pliers ISI Mark,RoHS</t>
  </si>
  <si>
    <t xml:space="preserve">Side Cutting Plier ISI Mark, RoHS</t>
  </si>
  <si>
    <t xml:space="preserve">Two in one (star &amp;flat) 100, 150, 200, 250, 300 mm</t>
  </si>
  <si>
    <t xml:space="preserve">Medium size</t>
  </si>
  <si>
    <t xml:space="preserve">4", 5" and 6"</t>
  </si>
  <si>
    <t xml:space="preserve">500volt</t>
  </si>
  <si>
    <t xml:space="preserve">Standard Size</t>
  </si>
  <si>
    <t xml:space="preserve">Material - Copper;Diameter - 17 mm;Length - 1 mtr</t>
  </si>
  <si>
    <t xml:space="preserve">GI Pipe;Diameter- 1/2 inch;Length - 1 mtr</t>
  </si>
  <si>
    <t xml:space="preserve">Nozzel/Nipple spanner</t>
  </si>
  <si>
    <t xml:space="preserve">Single phase, 230 Volt</t>
  </si>
  <si>
    <t xml:space="preserve">WATER PUMP 1 PHASE ISI Mark</t>
  </si>
  <si>
    <t xml:space="preserve">Single phase, 0.5HP</t>
  </si>
  <si>
    <t xml:space="preserve">MOTER ELECTRIC 1 PHASE ISI Mark</t>
  </si>
  <si>
    <t xml:space="preserve">11guage</t>
  </si>
  <si>
    <t xml:space="preserve">2.5 sq mm (20mtr each)</t>
  </si>
  <si>
    <t xml:space="preserve">11KV</t>
  </si>
  <si>
    <t xml:space="preserve">3"*2"</t>
  </si>
  <si>
    <t xml:space="preserve">10ltr</t>
  </si>
  <si>
    <t xml:space="preserve">2Kg,ABC type</t>
  </si>
  <si>
    <t xml:space="preserve">Food Processing Techniques &amp; Personal Health &amp; Hygiene</t>
  </si>
  <si>
    <t xml:space="preserve">Stainless Steel</t>
  </si>
  <si>
    <t xml:space="preserve">Sieves</t>
  </si>
  <si>
    <t xml:space="preserve">Dia 6"</t>
  </si>
  <si>
    <t xml:space="preserve">Stainless steel with copper bottom - medium size and two handle</t>
  </si>
  <si>
    <t xml:space="preserve">stainless Steel</t>
  </si>
  <si>
    <t xml:space="preserve">ISI mark Mixer with two grinding containers 800 W</t>
  </si>
  <si>
    <t xml:space="preserve">Pressure Cooker ISI Certified</t>
  </si>
  <si>
    <t xml:space="preserve">Aluminium 5 Ltr</t>
  </si>
  <si>
    <t xml:space="preserve">१ medium १ Large</t>
  </si>
  <si>
    <t xml:space="preserve">ISI Mark with pipe, clip</t>
  </si>
  <si>
    <t xml:space="preserve">Tong</t>
  </si>
  <si>
    <t xml:space="preserve">Steel</t>
  </si>
  <si>
    <t xml:space="preserve">stainless steel</t>
  </si>
  <si>
    <t xml:space="preserve">hindalium container with lid - 3 lit</t>
  </si>
  <si>
    <t xml:space="preserve">Plastic with multiple sieving plates</t>
  </si>
  <si>
    <t xml:space="preserve">Plastic Container</t>
  </si>
  <si>
    <t xml:space="preserve">Food grade plastic (Set of 4) - Recommend Cello brand</t>
  </si>
  <si>
    <t xml:space="preserve">Glass container</t>
  </si>
  <si>
    <t xml:space="preserve">ISI Mark with 1 kg capacity TS-470L</t>
  </si>
  <si>
    <t xml:space="preserve">Thermometer</t>
  </si>
  <si>
    <t xml:space="preserve">Glass</t>
  </si>
  <si>
    <t xml:space="preserve">Weighing machine</t>
  </si>
  <si>
    <t xml:space="preserve">ISI mark OMRON</t>
  </si>
  <si>
    <t xml:space="preserve">for taking food / cooking food temperature - Range - -50 to 300 degree celcius (Digital)</t>
  </si>
  <si>
    <t xml:space="preserve">ISI Mark 2Kg ABC type</t>
  </si>
  <si>
    <t xml:space="preserve">cotton (14 to 17 years children)</t>
  </si>
  <si>
    <t xml:space="preserve">cotton</t>
  </si>
  <si>
    <t xml:space="preserve">Cotton - medium size - For 14 to 17 years children</t>
  </si>
  <si>
    <t xml:space="preserve">medium size (Plastic) - For 14 to 17 years children</t>
  </si>
  <si>
    <t xml:space="preserve">20 GSM - For 14 to 17 years children</t>
  </si>
  <si>
    <t xml:space="preserve">Aluminum foil</t>
  </si>
  <si>
    <t xml:space="preserve">Aluminium, 10 mtr</t>
  </si>
  <si>
    <t xml:space="preserve">[Specification not legible in source PDF - printed in a non-embedded font]</t>
  </si>
  <si>
    <t xml:space="preserve">, ,</t>
  </si>
  <si>
    <t xml:space="preserve">Budding Knife</t>
  </si>
  <si>
    <t xml:space="preserve">Two stainless steel blades and one brass budder Comfortable nylon grip (Falcone Brand is best)</t>
  </si>
  <si>
    <t xml:space="preserve">9 Inch blade with plastic grip. (Falcon Brand)</t>
  </si>
  <si>
    <t xml:space="preserve">One stainless steel blades and Comfortable nylon grip (Falcone Brand)</t>
  </si>
  <si>
    <t xml:space="preserve">9 Inch blade with wooden handle. (Falcon Brand)</t>
  </si>
  <si>
    <t xml:space="preserve">Blade Length : 10 inch Alloy Steel Material with wooden handle and adjustable screw (Falcon Brand)</t>
  </si>
  <si>
    <t xml:space="preserve">Blade : Stainless Steel Cutting Size : 15mm with lock nut (Falcon Brand)</t>
  </si>
  <si>
    <t xml:space="preserve">Blade : Stainless Steel Cutting Size : 25mm (Falcone Brand)</t>
  </si>
  <si>
    <t xml:space="preserve">Size : 150mm with plastic handle (Falcon Brand)</t>
  </si>
  <si>
    <t xml:space="preserve">Blade length (22-30 inch) with 5 feet wooden handle</t>
  </si>
  <si>
    <t xml:space="preserve">Nyasa/Cello/Supreme</t>
  </si>
  <si>
    <t xml:space="preserve">Spraying Pump</t>
  </si>
  <si>
    <t xml:space="preserve">Weighing Balance</t>
  </si>
  <si>
    <t xml:space="preserve">10 kg , Capacity with minimum Division of 0.1 kg.</t>
  </si>
  <si>
    <t xml:space="preserve">Sprinkler Irrigation UTender ( Lateral pipe 16mm x 20ft , Micro sprinkler &amp; micro jet 05 nos each )</t>
  </si>
  <si>
    <t xml:space="preserve">Drip Irrigation UTender ( Lateral pipe 16mm x 20 ft , Elbow , coupler , T- joint , mini valve, gurment teck, end cap , drip punch 5nos each</t>
  </si>
  <si>
    <t xml:space="preserve">Measuring Cylinder</t>
  </si>
  <si>
    <t xml:space="preserve">250ml</t>
  </si>
  <si>
    <t xml:space="preserve">Mask ( Canvas Mask )</t>
  </si>
  <si>
    <t xml:space="preserve">Mask</t>
  </si>
  <si>
    <t xml:space="preserve">Breed charts Cow, Goat, Bullock</t>
  </si>
  <si>
    <t xml:space="preserve">Display Boards, Tables &amp; Storage</t>
  </si>
  <si>
    <t xml:space="preserve">4ft*3ft To display screw drivers, testers and easy access to students</t>
  </si>
  <si>
    <t xml:space="preserve">4ft*2ft To display screw drivers, testers and easy access to students</t>
  </si>
  <si>
    <t xml:space="preserve">Working Table to perform practical for 15 students</t>
  </si>
  <si>
    <t xml:space="preserve">Length: 6 ft, Breadth: 4 ft and Height: 2.5 ft</t>
  </si>
  <si>
    <t xml:space="preserve">Length: 4 ft, Breadth: 3 ft and Height: 2.5 ft</t>
  </si>
  <si>
    <t xml:space="preserve">6 ft. Steel cabinet</t>
  </si>
  <si>
    <t xml:space="preserve">Length: 5ft, Breadth: 3ft, Height: 30 Inch</t>
  </si>
  <si>
    <t xml:space="preserve">Delhi CBSE - Multimedia Lab</t>
  </si>
  <si>
    <t xml:space="preserve">Computer System</t>
  </si>
  <si>
    <t xml:space="preserve">Processor Description Intel Core i5 / AMD Ryzen 5 Processor Generation Minimum 12th Generation for Intel or equivalent (generation or series) for other Processors Graphics Type Integrated Onsite OEM Warranty 5 years Monitor Size 21.5 / 22 / 23.5 / 23.8 inches Operating System Windows 11 Professional (STF version) / Linux RAM Size 8 GB Optical Drive (Optional) DVD RW Keyboard Wired / Wireless Mouse Wired / Wireless Total SSD Capacity 512 GB Other Features • In-Built Speakers • Webcam with 720p/30fps (1280x720 pixels) or above with microphone, Integrated privacy shutter for privacy • Camera management Software - To control the brightness, contrast, sharpness as per the room lighting for better picture clarity. • Certification - Google Meet or Zoom or Microsoft Teams or Webex Certified</t>
  </si>
  <si>
    <t xml:space="preserve">Anti-virus for Computer Systems</t>
  </si>
  <si>
    <t xml:space="preserve">Anti Ransomware, EMAIL Protection, IDS/IPS Protection, FIREWALL Protection, Advanced Device Control, Spam Protection. •Application Control – Blocklist &amp; Safelist, Disk Encryption Management, You Tube Access Controller, Google Access Controller, Asset Management, Installed Software report and change report, Session Activity Monitoring, Data Backup. •Browsing and Phishing Protection, Vulnerability Scan, 3 rd Party App Remover, Web Filtering, Advanced Device Control, Spam Protection, Application Control – Patch Management. •Capability to encrypt USB Pen Drive contents •Solution must have the capability to manage quarantined files centrally through the management console. •Make in India (MII) compliant product with minimum 60% local content as per Meit Y notification dated 6 th December 2019 regarding guidelines for Cyber Security products under Make In India policy. •License must remain valid for at least 1 year from the date of Commissioning of respective Lab</t>
  </si>
  <si>
    <t xml:space="preserve">Printer</t>
  </si>
  <si>
    <t xml:space="preserve">Print Technology -Laser Type of Printing -Mono Paper Size -A4 Print Speed (Mono) -20 PPM or higher Duplex Feature -No Network Connectivity - Optional USB Port -Yes Duty Cycle - Minimum 2000 per Month Onsite OEM Warranty - Minimum 5 years</t>
  </si>
  <si>
    <t xml:space="preserve">UPS</t>
  </si>
  <si>
    <t xml:space="preserve">VAH - Minimum 12 Vx 7 AH Backup Time - Minimum 10 to 15 minutes Other - Warranty shall cover both UPS system and Battery Bank over 5 years Warranty Period</t>
  </si>
  <si>
    <t xml:space="preserve">Internet wifi setup</t>
  </si>
  <si>
    <t xml:space="preserve">4G LTE Router with 5G sim Up to 150 Mbps download speed Ethernet LAN/WAN support Long Range coverage</t>
  </si>
  <si>
    <t xml:space="preserve">Subject Specific TLM (laminated charts)</t>
  </si>
  <si>
    <t xml:space="preserve">Contains: Computer Technology - Thick Laminated Chart Chart Dimensions (approx): 70 X 100 (cm) Material: Paper Category: Chart</t>
  </si>
  <si>
    <t xml:space="preserve">Classroom chairs</t>
  </si>
  <si>
    <t xml:space="preserve">Material-plastic, Size: 47cm x 57cm 87cm(standard),color:black</t>
  </si>
  <si>
    <t xml:space="preserve">Frame Material size Hollow Rectangular Section of size 50x 25x 1.6 Mm thick Frame material of foot rest hollow Rectangular section size 50 x 25 x 1.6 mm thick</t>
  </si>
  <si>
    <t xml:space="preserve">Delhi CBSE - Financial Markets Management (FMM) Lab</t>
  </si>
  <si>
    <t xml:space="preserve">Computer Systems (Desktop Computer)</t>
  </si>
  <si>
    <t xml:space="preserve">•Anti Ransomware, EMAIL Protection, IDS/IPS Protection, FIREWALL Protection, Advanced Device Control, Spam Protection. •Application Control – Blocklist &amp; Safelist, Disk Encryption Management, You Tube Access Controller, Google Access Controller, Asset Management, Installed Software report and change report, Session Activity Monitoring, Data Backup. •Browsing and Phishing Protection, Vulnerability Scan, 3 rd Party App Remover, Web Filtering, Advanced Device Control, Spam Protection, Application Control – Patch Management. •Capability to encrypt USB Pen Drive contents •Solution must have the capability to manage quarantined files centrally through the management console. •Make in India (MII) compliant product with minimum 60% local content as per Meit Y notification dated 6 th December 2019 regarding guidelines for Cyber Security products under Make In India policy. •License must remain valid for at least 1 year from the date of Commissioning of respective Lab</t>
  </si>
  <si>
    <t xml:space="preserve">Subject specific TLM(Laminated Charts)</t>
  </si>
  <si>
    <t xml:space="preserve">Related to stock pattern(Candle stick chart)</t>
  </si>
  <si>
    <t xml:space="preserve">24</t>
  </si>
  <si>
    <t xml:space="preserve">Computer tables</t>
  </si>
  <si>
    <t xml:space="preserve">Delhi CBSE - Taxation Lab</t>
  </si>
  <si>
    <t xml:space="preserve">Computer</t>
  </si>
  <si>
    <t xml:space="preserve">4G LTE Router, Up to 150 Mbps download speed Ethernet LAN/WAN support,Long Range coverage</t>
  </si>
  <si>
    <t xml:space="preserve">5*3 ft</t>
  </si>
  <si>
    <t xml:space="preserve">Native Resolution 1920 x 1080 FHD Max. Supported Resolution 1080p (Max.) RAM 1 GB Quad Core Processor Storage (ROM) 8 GB Wi-Fi Connectivity Dual band Connectivity (2.4GHz &amp; 5GHz) Bluetooth Version v5.0 Display technology LED Lamp Lifespan 50,000h Brightness 10000 Lumens</t>
  </si>
  <si>
    <t xml:space="preserve">Accounting Software</t>
  </si>
  <si>
    <t xml:space="preserve">Tlly prime / education version</t>
  </si>
  <si>
    <t xml:space="preserve">Tax Charts</t>
  </si>
  <si>
    <t xml:space="preserve">Sample documentation kit</t>
  </si>
  <si>
    <t xml:space="preserve">Delhi CBSE - Medical Diagnostics Lab</t>
  </si>
  <si>
    <t xml:space="preserve">Registers for documentation</t>
  </si>
  <si>
    <t xml:space="preserve">Five separate hard-bound A4 registers, minimum 200 numbered pages each, 70 GSM or better paper, durable cover and index pages. Register formats shall cover: (i) sample/accession and rejection log, (ii) reagent and consumable stock/expiry log, (iii) equipment use, cleaning, calibration and maintenance log, (iv) refrigerator/incubator temperature and quality-control log, and (v) biomedical-waste, spill, exposure and incident log. Printing shall be clear and fields shall permit date, time, batch/lot, operator and trainer signature.</t>
  </si>
  <si>
    <t xml:space="preserve">Bio hazard bags for Waste Disposal</t>
  </si>
  <si>
    <t xml:space="preserve">Colour-coded, non-chlorinated, leak-resistant biomedical-waste bags suitable for foot-operated bins; yellow and red categories, assorted 30 L and 60 L sizes, minimum 50 bags per pack. Bags shall be tear resistant, have biohazard symbol and space for source/date marking, and comply with the latest Bio-Medical Waste Management Rules and applicable CPCB guidance. Each supplied unit shall be treated as one pack.</t>
  </si>
  <si>
    <t xml:space="preserve">pack of 50</t>
  </si>
  <si>
    <t xml:space="preserve">Staining solution / reagents / Romanowsky stains</t>
  </si>
  <si>
    <t xml:space="preserve">Ready-to-use Romanowsky staining set comprising Leishman stain and/or Wright-Giemsa/Giemsa stain, laboratory/IVD grade, minimum 100 mL per bottle. Reagents shall give clear nuclear and cytoplasmic differentiation on fixed peripheral-blood smear, and shall be supplied with batch/lot number, certificate of analysis, safety data sheet, storage condition and minimum 12 months residual shelf life at delivery.</t>
  </si>
  <si>
    <t xml:space="preserve">Buffer</t>
  </si>
  <si>
    <t xml:space="preserve">Phosphate buffer solution/tablets for Romanowsky staining, pH 6.8 ±0.05 at 25°C. Ready-to-use pack of minimum 500 mL or tablets/powder sufficient to prepare at least 5 L with distilled water. Pack shall state preparation method, storage condition, batch number and expiry, and be supplied with certificate of analysis and safety data sheet.</t>
  </si>
  <si>
    <t xml:space="preserve">bottle</t>
  </si>
  <si>
    <t xml:space="preserve">RBC pipette</t>
  </si>
  <si>
    <t xml:space="preserve">Thoma-type RBC diluting pipette of uniform-bore borosilicate glass, clearly marked at 0.5, 1 and 101, with red identification bead, durable graduations and leak-free construction. Each pipette shall include a compatible mechanical aspirator/rubber tube with mouthpiece guard or pipette bulb; supply protective storage case and cleaning instructions.</t>
  </si>
  <si>
    <t xml:space="preserve">WBC Pipette</t>
  </si>
  <si>
    <t xml:space="preserve">Thoma-type WBC diluting pipette of uniform-bore borosilicate glass, clearly marked at 0.5, 1 and 11, with white identification bead, durable graduations and leak-free construction. Each pipette shall include a compatible mechanical aspirator/rubber tube with mouthpiece guard or pipette bulb; supply protective storage case and cleaning instructions.</t>
  </si>
  <si>
    <t xml:space="preserve">Pasteur Pipette</t>
  </si>
  <si>
    <t xml:space="preserve">Disposable low-density polyethylene transfer/Pasteur pipette, approximately 3 mL total capacity with integral bulb, clear graduations at least up to 1 mL, chemically resistant, non-pyrogenic and free from visible defects. Each supply unit shall comprise a sealed pack of minimum 100 pipettes; sterile packs shall be provided where the intended exercise requires sterility.</t>
  </si>
  <si>
    <t xml:space="preserve">piece</t>
  </si>
  <si>
    <t xml:space="preserve">Diluting fluids</t>
  </si>
  <si>
    <t xml:space="preserve">Ready-to-use cell-counting diluting-fluid set comprising mercury-free isotonic RBC diluent and WBC diluent equivalent to Turk’s solution, minimum 100 mL each. Fluids shall be filtered, stable and suitable for manual haemocytometer demonstration, with batch/lot number, certificate of analysis, safety data sheet, storage instructions and minimum 12 months residual shelf life.</t>
  </si>
  <si>
    <t xml:space="preserve">Glass tubes</t>
  </si>
  <si>
    <t xml:space="preserve">Laboratory test-tube set made of neutral borosilicate 3.3 glass, transparent, uniform wall, heat and chemical resistant, with fire-polished rim. Each set shall contain tubes in approximately 12 × 75 mm and 15 × 125 mm sizes, minimum 50 tubes of each size, suitable for repeated washing/autoclaving; tubes shall be free from cracks, chips and distortion.</t>
  </si>
  <si>
    <t xml:space="preserve">Urine Testing strips</t>
  </si>
  <si>
    <t xml:space="preserve">Multi-parameter urine reagent strips for qualitative/semi-quantitative determination of at least glucose, protein, ketone, blood, pH, specific gravity, bilirubin, urobilinogen, nitrite and leukocytes. Strips shall have distinct colour chart, reaction time not exceeding 120 seconds, desiccant-protected container, batch number and expiry; minimum 100 strips per vial and at least 12 months residual shelf life.</t>
  </si>
  <si>
    <t xml:space="preserve">strip</t>
  </si>
  <si>
    <t xml:space="preserve">Occult blood strips</t>
  </si>
  <si>
    <t xml:space="preserve">Single-use faecal occult blood test strip/cassette based on immunochromatographic detection of human haemoglobin, with built-in procedural control, individual foil pouch, specimen-collection tube/buffer and illustrated instructions. Kit shall be from a duly licensed manufacturer/importer where applicable, with batch number, stated analytical cut-off, storage range and minimum 12 months residual shelf life.</t>
  </si>
  <si>
    <t xml:space="preserve">test</t>
  </si>
  <si>
    <t xml:space="preserve">Bio hazard bags for Waste Disposal / Blue sharps container for waste disposal</t>
  </si>
  <si>
    <t xml:space="preserve">Biomedical-waste segregation set comprising colour-coded, non-chlorinated yellow/red bags and rigid containers as applicable, plus a WHITE (translucent)—not blue—puncture-proof, leak-proof and tamper-proof sharps container with one-way opening and biohazard marking. Blue rigid container shall be used only for glassware/metal items as prescribed. Capacity approximately 5 L for sharps and 10–30 L for other containers.</t>
  </si>
  <si>
    <t xml:space="preserve">Spirit Lamp</t>
  </si>
  <si>
    <t xml:space="preserve">Laboratory spirit lamp with stable wide base, thick heat-resistant glass or stainless-steel reservoir of approximately 100–150 mL, leak-resistant screw cap, replaceable cotton wick, metal wick tube and flame-snuffer cap. Unit shall be supplied with two spare wicks and operating/safety instructions.</t>
  </si>
  <si>
    <t xml:space="preserve">Glass Slides, coverslips &amp; mounting media</t>
  </si>
  <si>
    <t xml:space="preserve">Microscopy consumable set comprising pre-cleaned glass slides, 75/76 × 25/26 mm and 1.0–1.2 mm thick, with frosted end; No. 1/No. 1.5 cover slips approximately 22 × 22 mm; and clear synthetic mounting medium of minimum 100 mL. Each set shall contain at least 50 slides and 100 cover slips, packed dust- and moisture-free.</t>
  </si>
  <si>
    <t xml:space="preserve">Cedarwood oil</t>
  </si>
  <si>
    <t xml:space="preserve">Microscope immersion oil—cedarwood oil or preferably non-drying synthetic equivalent—with refractive index approximately 1.515 ±0.005 at 23°C, optically clear, low fluorescence and suitable for 100× oil-immersion objectives. Supplied in amber, leak-proof dropper bottle of minimum 100 mL with batch number and expiry/storage details.</t>
  </si>
  <si>
    <t xml:space="preserve">Blotting paper for BT</t>
  </si>
  <si>
    <t xml:space="preserve">High-absorbency, lint-free blotting/filter paper suitable for bleeding-time demonstration, supplied as strips or sheets of uniform thickness; minimum 100 pieces per pack. Paper shall absorb a drop cleanly without excessive spreading and shall be free from dyes, optical brighteners and surface contamination.</t>
  </si>
  <si>
    <t xml:space="preserve">sheet</t>
  </si>
  <si>
    <t xml:space="preserve">Capillary tube for CT</t>
  </si>
  <si>
    <t xml:space="preserve">Non-heparinised glass capillary tubes suitable for clotting-time demonstration, approximately 75 mm length, 1.1–1.2 mm internal diameter, uniform bore and fire-polished ends, supplied in protective vial of minimum 100 tubes with sealing material where required.</t>
  </si>
  <si>
    <t xml:space="preserve">Westergren tubes &amp; sodium citrate reagent</t>
  </si>
  <si>
    <t xml:space="preserve">Westergren ESR set comprising transparent tubes/pipettes of approximately 300 mm overall length with 200 mm graduated scale (0–200 mm), leak-free vertical stand with levelling arrangement and sufficient 3.8% w/v trisodium-citrate reagent. Graduations shall be permanent and easily readable; stand shall hold tubes strictly vertical and be resistant to disinfectants.</t>
  </si>
  <si>
    <t xml:space="preserve">tube</t>
  </si>
  <si>
    <t xml:space="preserve">Sahli's Hemoglobinometer</t>
  </si>
  <si>
    <t xml:space="preserve">Complete Sahli’s acid-haematin haemoglobinometer comprising comparator with non-fading brown-glass standards, graduated Hb tube reading approximately 2–20 g/dL and 20–140%, 20 µL Hb pipette, glass stirrer/dropper, cleaning brush and protective case. Graduations shall be permanent and components replaceable; supply operating instructions and calibration/verification certificate.</t>
  </si>
  <si>
    <t xml:space="preserve">Simple Balance</t>
  </si>
  <si>
    <t xml:space="preserve">Table-top electronic laboratory balance replacing a mechanical simple balance, capacity at least 1,000 g, readability 0.01 g, repeatability ±0.02 g or better, tare/zero function, overload indication, stainless-steel weighing pan and mains plus battery operation. Supply standard test weight, dust cover, user manual and calibration certificate traceable to a NABL-accredited laboratory or equivalent competent calibration facility.</t>
  </si>
  <si>
    <t xml:space="preserve">Staining solution / reagents / Gram stain / AFB stain / KOH stain</t>
  </si>
  <si>
    <t xml:space="preserve">Microbiology staining-reagent set comprising complete Gram stain set (crystal violet, Gram’s iodine, decolouriser and counterstain), AFB stain set (carbol fuchsin, acid-alcohol and methylene-blue counterstain) and ready-to-use 10% KOH preparation, minimum 100 mL of each component. Each container shall carry batch number, expiry, storage condition and hazard label; certificate of analysis and safety data sheet are mandatory.</t>
  </si>
  <si>
    <t xml:space="preserve">Sample Container / Swab sticks / culture bottles / Syringe &amp; Needles</t>
  </si>
  <si>
    <t xml:space="preserve">One training set shall contain: sterile, leak-proof screw-cap polypropylene sample containers (30–60 mL); sterile rayon/polyester swab sticks in labelled transport tubes; sterile culture/sample bottles with tamper-evident cap; single-use Luer-lock syringes in 2, 5 and 10 mL sizes; and matching 21–23 G needles. Items shall be individually packed, batch traceable and within shelf life. For skills practice, also provide blunt training needles and a phlebotomy training pad/arm interface.</t>
  </si>
  <si>
    <t xml:space="preserve">Sterile Loops</t>
  </si>
  <si>
    <t xml:space="preserve">Sterile inoculating-loop set comprising disposable calibrated loops of 1 µL and 10 µL, smooth flexible shaft, gamma/EO sterilised and individually or multi-pack sealed; minimum 100 loops per supplied unit. Alternatively, a nichrome-loop holder with replaceable 2–4 mm loops may be supplied together with an electric loop steriliser.</t>
  </si>
  <si>
    <t xml:space="preserve">Petridish</t>
  </si>
  <si>
    <t xml:space="preserve">Sterile disposable Petri dishes made of optically clear polystyrene, approximately 90 × 15 mm, stackable with vented lid and uniform flat base, supplied in sealed sleeves; minimum 20 dishes per supplied unit. Where reusable dishes are required, provide borosilicate glass dishes of equivalent size certified for autoclaving.</t>
  </si>
  <si>
    <t xml:space="preserve">Antibiotic discs</t>
  </si>
  <si>
    <t xml:space="preserve">Antimicrobial-susceptibility teaching discs, approximately 6 mm diameter, clearly identified by drug code/potency, supplied in moisture-proof cartridge/vial with desiccant and certificate of analysis. Product shall state storage at 2–8°C, expiry and recognised interpretive reference such as current CLSI/EUCAST instructions; each supplied unit shall contain at least 50 discs of one antibiotic.</t>
  </si>
  <si>
    <t xml:space="preserve">cartridge</t>
  </si>
  <si>
    <t xml:space="preserve">Culture media</t>
  </si>
  <si>
    <t xml:space="preserve">Dehydrated or ready-prepared educational culture-media packs covering basic morphology and differentiation, such as nutrient agar, nutrient broth, MacConkey agar and another curriculum-approved medium. Dehydrated packs shall be at least 100 g or ready-poured packs at least 20 plates; each shall have formulation, preparation instructions, batch certificate, sterility/performance test, storage conditions and minimum 12 months residual shelf life.</t>
  </si>
  <si>
    <t xml:space="preserve">Rapid test kits for Malaria, Dengue, HIV, HCV, Typhoid, Pregnancy</t>
  </si>
  <si>
    <t xml:space="preserve">One demonstration set comprising rapid-test kits for malaria, dengue, HIV, HCV, typhoid and pregnancy, preferably non-clinical training simulators. If functional IVD kits are supplied, each shall be from a validly licensed manufacturer/importer as applicable, individually pouched, with built-in control, buffer/accessories, batch number, stated sensitivity/specificity, storage conditions and minimum 12 months residual shelf life; minimum 10 tests per parameter.</t>
  </si>
  <si>
    <t xml:space="preserve">Laminar Flow</t>
  </si>
  <si>
    <t xml:space="preserve">Vertical laminar-airflow clean bench with work zone not less than approximately 900 × 600 × 600 mm, SS 304 work surface, washable pre-filter and HEPA H13/H14 filter having at least 99.97% efficiency at 0.3 µm, ISO Class 5 work zone, uniform airflow approximately 0.3–0.5 m/s, differential-pressure indication, LED illumination, UV lamp with timer/interlock, low-noise blower (≤65 dBA preferred), utility sockets and 230 V AC operation. Supply HEPA integrity/air-velocity test certificate, installation and training.</t>
  </si>
  <si>
    <t xml:space="preserve">Autoclave - separate for media sterilization and waste disposal</t>
  </si>
  <si>
    <t xml:space="preserve">Vertical steam autoclave, usable chamber capacity approximately 35–50 L, SS 304 chamber and lid, working at 121°C and approximately 15 psi, digital/analogue temperature and pressure indication, 0–60 minute timer, pressure-release/safety valve, lid interlock, low-water cut-off, over-temperature protection and SS baskets. Operates on 230 V, 50 Hz supply; provide hydrostatic/electrical-safety test certificate, biological/chemical indicator starter pack, installation, training and minimum one-year warranty.</t>
  </si>
  <si>
    <t xml:space="preserve">Stopwatch</t>
  </si>
  <si>
    <t xml:space="preserve">Digital stopwatch with minimum 1/100-second resolution, cumulative and split/lap timing, at least 24-hour timing capacity, clear LCD, start/stop/reset controls, lanyard, replaceable battery and accuracy of ±0.01% or better. Supply operating instructions and spare battery.</t>
  </si>
  <si>
    <t xml:space="preserve">Normal Saline</t>
  </si>
  <si>
    <t xml:space="preserve">Normal saline, 0.85–0.90% w/v sodium chloride in purified/distilled water, sterile where required, clear and particle free, supplied in sealed 500 mL laboratory/medical-grade bottle. Each bottle shall show concentration, batch number, manufacturing/expiry dates and storage conditions, with minimum 12 months residual shelf life.</t>
  </si>
  <si>
    <t xml:space="preserve">Pipettes Glass - (1 mL, 2 mL, 5 mL, 10 mL)</t>
  </si>
  <si>
    <t xml:space="preserve">Class A or equivalent calibrated borosilicate-glass graduated pipette set comprising 1 mL, 2 mL, 5 mL and 10 mL capacities; permanent graduation, colour-coded capacity marking, chemical resistance and conformity certificate. Each set shall contain five pipettes of each capacity and at least one compatible mechanical pipette filler; chipped or illegible pipettes are not acceptable.</t>
  </si>
  <si>
    <t xml:space="preserve">Gloves</t>
  </si>
  <si>
    <t xml:space="preserve">Powder-free nitrile examination gloves, non-sterile, ambidextrous, latex-free, minimum length 240 mm, textured fingertips, beaded cuff and AQL 1.5 or better. Supply suitable mix of medium and large sizes, manufacturer’s test certificate and compliance with applicable examination-glove standards. Each listed unit shall mean one pair; recurring consumption should preferably be procured in boxes of 100 gloves.</t>
  </si>
  <si>
    <t xml:space="preserve">Beaker / glass flask</t>
  </si>
  <si>
    <t xml:space="preserve">Borosilicate 3.3 laboratory glassware set comprising low-form beakers of 100, 250 and 500 mL and conical flasks of 100, 250 and 500 mL, with clear permanent graduations, pouring spout where applicable and heat/chemical resistance. Each supplied unit shall contain at least one of every stated size; all pieces shall be free from chips, cracks, bubbles and distortion.</t>
  </si>
  <si>
    <t xml:space="preserve">Distilled water</t>
  </si>
  <si>
    <t xml:space="preserve">Laboratory-grade distilled/deionised water, clear and free from visible particles, conductivity not more than 10 µS/cm at 25°C and pH approximately 5.0–7.0, supplied in sealed 5 L HDPE container. Label shall show batch, manufacturing date, test parameters and storage condition; container shall have tamper-evident cap.</t>
  </si>
  <si>
    <t xml:space="preserve">5 L can</t>
  </si>
  <si>
    <t xml:space="preserve">Tissue paper / Filter paper / Cotton</t>
  </si>
  <si>
    <t xml:space="preserve">One consumable packet shall contain: lint-free laboratory tissue, minimum 100 pulls/sheets; qualitative filter paper, minimum 100 circular sheets approximately 90–110 mm diameter; and medical-grade absorbent cotton, minimum 500 g. Materials shall be clean, highly absorbent, free from visible contamination and separately sealed/labeled.</t>
  </si>
  <si>
    <t xml:space="preserve">packet</t>
  </si>
  <si>
    <t xml:space="preserve">Centrifuge</t>
  </si>
  <si>
    <t xml:space="preserve">Bench-top clinical centrifuge with swing-out or fixed-angle rotor for at least 12 × 15 mL tubes, selectable speed approximately 500–4,000 rpm, digital speed/RCF display, timer 1–99 minutes, brushless maintenance-free motor, transparent/secure lid with safety interlock, imbalance detection, over-speed protection and easy-clean chamber. Operates on 230 V, 50 Hz; supply rotor, tube adaptors, user/service manuals, installation, calibration/performance certificate and minimum one-year warranty. Electrical/mechanical safety shall comply with IEC 61010-1 and IEC 61010-2-020 or equivalent.</t>
  </si>
  <si>
    <t xml:space="preserve">Incubator</t>
  </si>
  <si>
    <t xml:space="preserve">Bacteriological laboratory incubator, chamber capacity approximately 50–100 L, temperature range ambient +5°C to at least 60°C, digital PID controller with 0.1°C display, accuracy ±1°C and uniformity ±2°C or better, SS 304 inner chamber, insulated powder-coated outer body, minimum two adjustable shelves, over-temperature protection and 230 V, 50 Hz operation. Supply temperature-mapping/calibration certificate, installation, manual and minimum one-year warranty.</t>
  </si>
  <si>
    <t xml:space="preserve">Refrigerator</t>
  </si>
  <si>
    <t xml:space="preserve">Laboratory refrigerator with usable capacity approximately 200–300 L and controlled temperature range 2–8°C, digital external temperature display, minimum/maximum memory, high/low temperature alarm, keyed door lock, adjustable shelves, CFC-free refrigerant and 230 V, 50 Hz operation. Provide independent calibrated temperature data logger/min-max thermometer, stabiliser where required, temperature-mapping certificate, installation and minimum one-year warranty.</t>
  </si>
  <si>
    <t xml:space="preserve">Tube racks / slide racks</t>
  </si>
  <si>
    <t xml:space="preserve">Laboratory rack set comprising: (i) autoclavable polypropylene or SS 304 test-tube rack with at least 30 holes suitable for 12–18 mm tubes, and (ii) corrosion-resistant microscope-slide staining/drying rack holding at least 30 slides. Racks shall be stable, washable, chemically resistant, clearly labelled and free from sharp edges. Each supplied unit shall contain one rack of each type.</t>
  </si>
</sst>
</file>

<file path=xl/styles.xml><?xml version="1.0" encoding="utf-8"?>
<styleSheet xmlns="http://schemas.openxmlformats.org/spreadsheetml/2006/main">
  <numFmts count="3">
    <numFmt numFmtId="164" formatCode="General"/>
    <numFmt numFmtId="165" formatCode="#,##0"/>
    <numFmt numFmtId="166" formatCode="#,##0.##"/>
  </numFmts>
  <fonts count="16">
    <font>
      <sz val="11"/>
      <color theme="1"/>
      <name val="Calibri"/>
      <family val="2"/>
      <charset val="1"/>
    </font>
    <font>
      <sz val="10"/>
      <name val="Arial"/>
      <family val="0"/>
    </font>
    <font>
      <sz val="10"/>
      <name val="Arial"/>
      <family val="0"/>
    </font>
    <font>
      <sz val="10"/>
      <name val="Arial"/>
      <family val="0"/>
    </font>
    <font>
      <b val="true"/>
      <sz val="15"/>
      <color rgb="FF123B5C"/>
      <name val="Arial"/>
      <family val="0"/>
      <charset val="1"/>
    </font>
    <font>
      <i val="true"/>
      <sz val="9"/>
      <color rgb="FF6B7280"/>
      <name val="Arial"/>
      <family val="0"/>
      <charset val="1"/>
    </font>
    <font>
      <b val="true"/>
      <sz val="11"/>
      <color rgb="FFFFFFFF"/>
      <name val="Arial"/>
      <family val="0"/>
      <charset val="1"/>
    </font>
    <font>
      <sz val="10"/>
      <name val="Arial"/>
      <family val="0"/>
      <charset val="1"/>
    </font>
    <font>
      <sz val="10"/>
      <color rgb="FF0000FF"/>
      <name val="Arial"/>
      <family val="0"/>
      <charset val="1"/>
    </font>
    <font>
      <b val="true"/>
      <sz val="10"/>
      <name val="Arial"/>
      <family val="0"/>
      <charset val="1"/>
    </font>
    <font>
      <i val="true"/>
      <sz val="9"/>
      <name val="Arial"/>
      <family val="0"/>
      <charset val="1"/>
    </font>
    <font>
      <b val="true"/>
      <sz val="14"/>
      <color rgb="FF123B5C"/>
      <name val="Arial"/>
      <family val="0"/>
      <charset val="1"/>
    </font>
    <font>
      <sz val="10"/>
      <color rgb="FF000000"/>
      <name val="Arial"/>
      <family val="0"/>
      <charset val="1"/>
    </font>
    <font>
      <sz val="10"/>
      <color rgb="FF0000FF"/>
      <name val="Arial"/>
      <family val="0"/>
      <charset val="1"/>
    </font>
    <font>
      <u val="single"/>
      <sz val="10"/>
      <color rgb="FF0563C1"/>
      <name val="Arial"/>
      <family val="0"/>
      <charset val="1"/>
    </font>
    <font>
      <b val="true"/>
      <sz val="11"/>
      <name val="Arial"/>
      <family val="0"/>
      <charset val="1"/>
    </font>
  </fonts>
  <fills count="4">
    <fill>
      <patternFill patternType="none"/>
    </fill>
    <fill>
      <patternFill patternType="gray125"/>
    </fill>
    <fill>
      <patternFill patternType="solid">
        <fgColor rgb="FF1E6FA8"/>
        <bgColor rgb="FF0563C1"/>
      </patternFill>
    </fill>
    <fill>
      <patternFill patternType="solid">
        <fgColor rgb="FFE8F0F7"/>
        <bgColor rgb="FFFFFFFF"/>
      </patternFill>
    </fill>
  </fills>
  <borders count="2">
    <border diagonalUp="false" diagonalDown="false">
      <left/>
      <right/>
      <top/>
      <bottom/>
      <diagonal/>
    </border>
    <border diagonalUp="false" diagonalDown="false">
      <left style="thin">
        <color rgb="FFBFC5CC"/>
      </left>
      <right style="thin">
        <color rgb="FFBFC5CC"/>
      </right>
      <top style="thin">
        <color rgb="FFBFC5CC"/>
      </top>
      <bottom style="thin">
        <color rgb="FFBFC5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5" fontId="13" fillId="0" borderId="1" xfId="0" applyFont="true" applyBorder="true" applyAlignment="true" applyProtection="false">
      <alignment horizontal="general" vertical="top" textRotation="0" wrapText="false" indent="0" shrinkToFit="false"/>
      <protection locked="true" hidden="false"/>
    </xf>
    <xf numFmtId="165" fontId="12"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E6FA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6FA8"/>
      <rgbColor rgb="FFBFC5CC"/>
      <rgbColor rgb="FF808080"/>
      <rgbColor rgb="FF9999FF"/>
      <rgbColor rgb="FF993366"/>
      <rgbColor rgb="FFFFFFCC"/>
      <rgbColor rgb="FFE8F0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23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Additional%20Labs%20-%20All%209%20Labs%20(with%20Price).xlsx" TargetMode="External"/><Relationship Id="rId2" Type="http://schemas.openxmlformats.org/officeDocument/2006/relationships/hyperlink" Target="Additional%20Labs%20-%20All%209%20Labs%20(with%20Price).xlsx" TargetMode="External"/><Relationship Id="rId3" Type="http://schemas.openxmlformats.org/officeDocument/2006/relationships/hyperlink" Target="Additional%20Labs%20-%20All%209%20Labs%20(with%20Price).xlsx" TargetMode="External"/><Relationship Id="rId4" Type="http://schemas.openxmlformats.org/officeDocument/2006/relationships/hyperlink" Target="Additional%20Labs%20-%20All%209%20Labs%20(with%20Price).xlsx" TargetMode="External"/><Relationship Id="rId5" Type="http://schemas.openxmlformats.org/officeDocument/2006/relationships/hyperlink" Target="Additional%20Labs%20-%20All%209%20Labs%20(with%20Price).xlsx" TargetMode="External"/><Relationship Id="rId6" Type="http://schemas.openxmlformats.org/officeDocument/2006/relationships/hyperlink" Target="Additional%20Labs%20-%20All%209%20Labs%20(with%20Price).xlsx" TargetMode="External"/><Relationship Id="rId7" Type="http://schemas.openxmlformats.org/officeDocument/2006/relationships/hyperlink" Target="Additional%20Labs%20-%20All%209%20Labs%20(with%20Price).xlsx" TargetMode="External"/><Relationship Id="rId8" Type="http://schemas.openxmlformats.org/officeDocument/2006/relationships/hyperlink" Target="Additional%20Labs%20-%20All%209%20Labs%20(with%20Price).xlsx" TargetMode="External"/><Relationship Id="rId9" Type="http://schemas.openxmlformats.org/officeDocument/2006/relationships/hyperlink" Target="Additional%20Labs%20-%20All%209%20Labs%20(with%20Price).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dn.jsdelivr.net/gh/EngineerX1234/vocational-images@main/tools/batch-20/telecom-desktop-computers.jpg" TargetMode="External"/><Relationship Id="rId2" Type="http://schemas.openxmlformats.org/officeDocument/2006/relationships/hyperlink" Target="https://www.google.com/search?tbm=isch&amp;q=Intel+Brand+or+Equivalent+Learning+Kit" TargetMode="External"/><Relationship Id="rId3" Type="http://schemas.openxmlformats.org/officeDocument/2006/relationships/hyperlink" Target="https://www.google.com/search?tbm=isch&amp;q=Printer%2FScanner%2FXerox" TargetMode="External"/><Relationship Id="rId4" Type="http://schemas.openxmlformats.org/officeDocument/2006/relationships/hyperlink" Target="https://www.google.com/search?tbm=isch&amp;q=Local+Area+Network" TargetMode="External"/><Relationship Id="rId5" Type="http://schemas.openxmlformats.org/officeDocument/2006/relationships/hyperlink" Target="https://www.google.com/search?tbm=isch&amp;q=Lab+Chairs" TargetMode="External"/><Relationship Id="rId6" Type="http://schemas.openxmlformats.org/officeDocument/2006/relationships/hyperlink" Target="https://www.google.com/search?tbm=isch&amp;q=Computer+Tables" TargetMode="External"/><Relationship Id="rId7" Type="http://schemas.openxmlformats.org/officeDocument/2006/relationships/hyperlink" Target="https://www.google.com/search?tbm=isch&amp;q=White+Board" TargetMode="External"/><Relationship Id="rId8" Type="http://schemas.openxmlformats.org/officeDocument/2006/relationships/hyperlink" Target="https://www.google.com/search?tbm=isch&amp;q=Demonstration+Charts" TargetMode="External"/><Relationship Id="rId9" Type="http://schemas.openxmlformats.org/officeDocument/2006/relationships/hyperlink" Target="https://www.google.com/search?tbm=isch&amp;q=USB+%2F+Pen+drive" TargetMode="External"/><Relationship Id="rId10" Type="http://schemas.openxmlformats.org/officeDocument/2006/relationships/hyperlink" Target="https://www.google.com/search?tbm=isch&amp;q=RJ45+connecters" TargetMode="External"/><Relationship Id="rId11" Type="http://schemas.openxmlformats.org/officeDocument/2006/relationships/hyperlink" Target="https://www.google.com/search?tbm=isch&amp;q=Anti+Virus+software" TargetMode="External"/><Relationship Id="rId12" Type="http://schemas.openxmlformats.org/officeDocument/2006/relationships/hyperlink" Target="https://www.google.com/search?tbm=isch&amp;q=Printer+Cartridges+%28Compatible+Printer+Type+Required%29" TargetMode="External"/><Relationship Id="rId13" Type="http://schemas.openxmlformats.org/officeDocument/2006/relationships/hyperlink" Target="https://www.google.com/search?tbm=isch&amp;q=Fire+extinguisher" TargetMode="External"/><Relationship Id="rId14" Type="http://schemas.openxmlformats.org/officeDocument/2006/relationships/hyperlink" Target="https://www.google.com/search?tbm=isch&amp;q=LibreOffice+or+MS+Office+or+Equivalent" TargetMode="External"/><Relationship Id="rId15" Type="http://schemas.openxmlformats.org/officeDocument/2006/relationships/hyperlink" Target="https://www.google.com/search?tbm=isch&amp;q=Printer+Tables" TargetMode="External"/><Relationship Id="rId16" Type="http://schemas.openxmlformats.org/officeDocument/2006/relationships/hyperlink" Target="https://www.google.com/search?tbm=isch&amp;q=Smart+Board" TargetMode="External"/><Relationship Id="rId1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google.com/search?tbm=isch&amp;q=VR+Standalone+Headset" TargetMode="External"/><Relationship Id="rId2" Type="http://schemas.openxmlformats.org/officeDocument/2006/relationships/hyperlink" Target="https://www.google.com/search?tbm=isch&amp;q=Tablets" TargetMode="External"/><Relationship Id="rId3" Type="http://schemas.openxmlformats.org/officeDocument/2006/relationships/hyperlink" Target="https://cdn.jsdelivr.net/gh/EngineerX1234/vocational-images@main/tools/batch-18/media-and-entertainment-headphones.jpg" TargetMode="External"/><Relationship Id="rId4" Type="http://schemas.openxmlformats.org/officeDocument/2006/relationships/hyperlink" Target="https://www.google.com/search?tbm=isch&amp;q=AR+Globe+Kit" TargetMode="External"/><Relationship Id="rId5" Type="http://schemas.openxmlformats.org/officeDocument/2006/relationships/hyperlink" Target="https://www.google.com/search?tbm=isch&amp;q=AR+Cubes-based" TargetMode="External"/><Relationship Id="rId6" Type="http://schemas.openxmlformats.org/officeDocument/2006/relationships/hyperlink" Target="https://www.google.com/search?tbm=isch&amp;q=Laptop+for+Teacher" TargetMode="External"/><Relationship Id="rId7" Type="http://schemas.openxmlformats.org/officeDocument/2006/relationships/hyperlink" Target="https://cdn.jsdelivr.net/gh/EngineerX1234/vocational-images@main/tools/batch-11/electronics-projector.jpg" TargetMode="External"/><Relationship Id="rId8" Type="http://schemas.openxmlformats.org/officeDocument/2006/relationships/hyperlink" Target="https://www.google.com/search?tbm=isch&amp;q=Projector+Mounting+Kit" TargetMode="External"/><Relationship Id="rId9" Type="http://schemas.openxmlformats.org/officeDocument/2006/relationships/hyperlink" Target="https://www.google.com/search?tbm=isch&amp;q=Gaming+Chair+for+Virtual+Reality+Laboratory" TargetMode="External"/><Relationship Id="rId10" Type="http://schemas.openxmlformats.org/officeDocument/2006/relationships/hyperlink" Target="https://www.google.com/search?tbm=isch&amp;q=Activity+Table" TargetMode="External"/><Relationship Id="rId11" Type="http://schemas.openxmlformats.org/officeDocument/2006/relationships/hyperlink" Target="https://www.google.com/search?tbm=isch&amp;q=Teacher+Table" TargetMode="External"/><Relationship Id="rId12" Type="http://schemas.openxmlformats.org/officeDocument/2006/relationships/hyperlink" Target="https://www.google.com/search?tbm=isch&amp;q=Cupboard" TargetMode="External"/><Relationship Id="rId13" Type="http://schemas.openxmlformats.org/officeDocument/2006/relationships/hyperlink" Target="https://www.google.com/search?tbm=isch&amp;q=Activity+Book+for+Students+-+English+%28Class+6%29" TargetMode="External"/><Relationship Id="rId14" Type="http://schemas.openxmlformats.org/officeDocument/2006/relationships/hyperlink" Target="https://www.google.com/search?tbm=isch&amp;q=Activity+Book+for+Students+-+English+%28Class+7%29" TargetMode="External"/><Relationship Id="rId15" Type="http://schemas.openxmlformats.org/officeDocument/2006/relationships/hyperlink" Target="https://www.google.com/search?tbm=isch&amp;q=Activity+Book+for+Students+-+English+%28Class+8%29" TargetMode="External"/><Relationship Id="rId16" Type="http://schemas.openxmlformats.org/officeDocument/2006/relationships/hyperlink" Target="https://www.google.com/search?tbm=isch&amp;q=Activity+Book+for+Students+-+English+%28Class+9%29" TargetMode="External"/><Relationship Id="rId17" Type="http://schemas.openxmlformats.org/officeDocument/2006/relationships/hyperlink" Target="https://www.google.com/search?tbm=isch&amp;q=Activity+Book+for+Students+-+English+%28Class+10%29" TargetMode="External"/><Relationship Id="rId18" Type="http://schemas.openxmlformats.org/officeDocument/2006/relationships/hyperlink" Target="https://www.google.com/search?tbm=isch&amp;q=Activity+Book+for+Students+-+English+%28Class+11%29" TargetMode="External"/><Relationship Id="rId19" Type="http://schemas.openxmlformats.org/officeDocument/2006/relationships/hyperlink" Target="https://www.google.com/search?tbm=isch&amp;q=Software+and+Content+for+Teacher" TargetMode="External"/><Relationship Id="rId20" Type="http://schemas.openxmlformats.org/officeDocument/2006/relationships/hyperlink" Target="https://www.google.com/search?tbm=isch&amp;q=Software+and+Content+for+Students" TargetMode="External"/><Relationship Id="rId2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cdn.jsdelivr.net/gh/EngineerX1234/vocational-images@main/tools/batch-10/electronics-desktop-computer.jpg" TargetMode="External"/><Relationship Id="rId2" Type="http://schemas.openxmlformats.org/officeDocument/2006/relationships/hyperlink" Target="https://www.google.com/search?tbm=isch&amp;q=Printer%2FScanner%2FXerox" TargetMode="External"/><Relationship Id="rId3" Type="http://schemas.openxmlformats.org/officeDocument/2006/relationships/hyperlink" Target="https://www.google.com/search?tbm=isch&amp;q=Local+Area+Network" TargetMode="External"/><Relationship Id="rId4" Type="http://schemas.openxmlformats.org/officeDocument/2006/relationships/hyperlink" Target="https://www.google.com/search?tbm=isch&amp;q=Lab+Chairs" TargetMode="External"/><Relationship Id="rId5" Type="http://schemas.openxmlformats.org/officeDocument/2006/relationships/hyperlink" Target="https://www.google.com/search?tbm=isch&amp;q=Computer+Tables" TargetMode="External"/><Relationship Id="rId6" Type="http://schemas.openxmlformats.org/officeDocument/2006/relationships/hyperlink" Target="https://www.google.com/search?tbm=isch&amp;q=White+Board" TargetMode="External"/><Relationship Id="rId7" Type="http://schemas.openxmlformats.org/officeDocument/2006/relationships/hyperlink" Target="https://www.google.com/search?tbm=isch&amp;q=Demonstration+Charts" TargetMode="External"/><Relationship Id="rId8" Type="http://schemas.openxmlformats.org/officeDocument/2006/relationships/hyperlink" Target="https://www.google.com/search?tbm=isch&amp;q=USB+%2F+Pen+drive" TargetMode="External"/><Relationship Id="rId9" Type="http://schemas.openxmlformats.org/officeDocument/2006/relationships/hyperlink" Target="https://www.google.com/search?tbm=isch&amp;q=RJ45+connecters" TargetMode="External"/><Relationship Id="rId10" Type="http://schemas.openxmlformats.org/officeDocument/2006/relationships/hyperlink" Target="https://www.google.com/search?tbm=isch&amp;q=Anti+Virus+software" TargetMode="External"/><Relationship Id="rId11" Type="http://schemas.openxmlformats.org/officeDocument/2006/relationships/hyperlink" Target="https://www.google.com/search?tbm=isch&amp;q=Printer+Cartridges+%28Compatible+Printer+Type+Required%29" TargetMode="External"/><Relationship Id="rId12" Type="http://schemas.openxmlformats.org/officeDocument/2006/relationships/hyperlink" Target="https://www.google.com/search?tbm=isch&amp;q=Fire+extinguisher" TargetMode="External"/><Relationship Id="rId13" Type="http://schemas.openxmlformats.org/officeDocument/2006/relationships/hyperlink" Target="https://www.google.com/search?tbm=isch&amp;q=LibreOffice+or+MS+Office+or+Equivalent+package" TargetMode="External"/><Relationship Id="rId14" Type="http://schemas.openxmlformats.org/officeDocument/2006/relationships/hyperlink" Target="https://www.google.com/search?tbm=isch&amp;q=Printer+Tables" TargetMode="External"/><Relationship Id="rId15" Type="http://schemas.openxmlformats.org/officeDocument/2006/relationships/hyperlink" Target="https://www.google.com/search?tbm=isch&amp;q=Smart+Board" TargetMode="External"/><Relationship Id="rId16"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google.com/search?tbm=isch&amp;q=Steel+Ruler" TargetMode="External"/><Relationship Id="rId2" Type="http://schemas.openxmlformats.org/officeDocument/2006/relationships/hyperlink" Target="https://cdn.jsdelivr.net/gh/EngineerX1234/vocational-images@main/tools/batch-11/electronics-measuring-tape.jpg" TargetMode="External"/><Relationship Id="rId3" Type="http://schemas.openxmlformats.org/officeDocument/2006/relationships/hyperlink" Target="https://www.google.com/search?tbm=isch&amp;q=Spirit+Level+Bottle" TargetMode="External"/><Relationship Id="rId4" Type="http://schemas.openxmlformats.org/officeDocument/2006/relationships/hyperlink" Target="https://cdn.jsdelivr.net/gh/EngineerX1234/vocational-images@main/tools/batch-05/agriculture-vernier-caliper.jpg" TargetMode="External"/><Relationship Id="rId5" Type="http://schemas.openxmlformats.org/officeDocument/2006/relationships/hyperlink" Target="https://www.google.com/search?tbm=isch&amp;q=Vernier+Caliper-+Digital" TargetMode="External"/><Relationship Id="rId6" Type="http://schemas.openxmlformats.org/officeDocument/2006/relationships/hyperlink" Target="https://www.google.com/search?tbm=isch&amp;q=Spring+Caliper+Inside+%2FOutside+%2FDivider" TargetMode="External"/><Relationship Id="rId7" Type="http://schemas.openxmlformats.org/officeDocument/2006/relationships/hyperlink" Target="https://www.google.com/search?tbm=isch&amp;q=Out+-+Side+Micromet+er" TargetMode="External"/><Relationship Id="rId8" Type="http://schemas.openxmlformats.org/officeDocument/2006/relationships/hyperlink" Target="https://www.google.com/search?tbm=isch&amp;q=Out+-+Side+Micromet+er+Digital" TargetMode="External"/><Relationship Id="rId9" Type="http://schemas.openxmlformats.org/officeDocument/2006/relationships/hyperlink" Target="https://www.google.com/search?tbm=isch&amp;q=Threading+Gauge+%28+Engineerin+g%29" TargetMode="External"/><Relationship Id="rId10" Type="http://schemas.openxmlformats.org/officeDocument/2006/relationships/hyperlink" Target="https://www.google.com/search?tbm=isch&amp;q=Threading+Gauge+%28+Plumbing%29" TargetMode="External"/><Relationship Id="rId11" Type="http://schemas.openxmlformats.org/officeDocument/2006/relationships/hyperlink" Target="https://www.google.com/search?tbm=isch&amp;q=Radius+Gauge" TargetMode="External"/><Relationship Id="rId12" Type="http://schemas.openxmlformats.org/officeDocument/2006/relationships/hyperlink" Target="https://www.google.com/search?tbm=isch&amp;q=Try+Square" TargetMode="External"/><Relationship Id="rId13" Type="http://schemas.openxmlformats.org/officeDocument/2006/relationships/hyperlink" Target="https://www.google.com/search?tbm=isch&amp;q=Tri-square+%28Welding%29" TargetMode="External"/><Relationship Id="rId14" Type="http://schemas.openxmlformats.org/officeDocument/2006/relationships/hyperlink" Target="https://www.google.com/search?tbm=isch&amp;q=Tri-Square+%28Casting+base%29+%28construction+and+Carpentry%29" TargetMode="External"/><Relationship Id="rId15" Type="http://schemas.openxmlformats.org/officeDocument/2006/relationships/hyperlink" Target="https://www.google.com/search?tbm=isch&amp;q=Scriber" TargetMode="External"/><Relationship Id="rId16" Type="http://schemas.openxmlformats.org/officeDocument/2006/relationships/hyperlink" Target="https://www.google.com/search?tbm=isch&amp;q=Claw+Hammer" TargetMode="External"/><Relationship Id="rId17" Type="http://schemas.openxmlformats.org/officeDocument/2006/relationships/hyperlink" Target="https://www.google.com/search?tbm=isch&amp;q=Mallet+Wooden" TargetMode="External"/><Relationship Id="rId18" Type="http://schemas.openxmlformats.org/officeDocument/2006/relationships/hyperlink" Target="https://www.google.com/search?tbm=isch&amp;q=Mallet+Plastic" TargetMode="External"/><Relationship Id="rId19" Type="http://schemas.openxmlformats.org/officeDocument/2006/relationships/hyperlink" Target="https://www.google.com/search?tbm=isch&amp;q=Tenon+Saw" TargetMode="External"/><Relationship Id="rId20" Type="http://schemas.openxmlformats.org/officeDocument/2006/relationships/hyperlink" Target="https://www.google.com/search?tbm=isch&amp;q=Saw" TargetMode="External"/><Relationship Id="rId21" Type="http://schemas.openxmlformats.org/officeDocument/2006/relationships/hyperlink" Target="https://www.google.com/search?tbm=isch&amp;q=ELECTRIC+CIRCULAR+SAW" TargetMode="External"/><Relationship Id="rId22" Type="http://schemas.openxmlformats.org/officeDocument/2006/relationships/hyperlink" Target="https://www.google.com/search?tbm=isch&amp;q=Saw+small+size" TargetMode="External"/><Relationship Id="rId23" Type="http://schemas.openxmlformats.org/officeDocument/2006/relationships/hyperlink" Target="https://www.google.com/search?tbm=isch&amp;q=Diwad+Plier+%2F+Saw+teeth+setting+plier" TargetMode="External"/><Relationship Id="rId24" Type="http://schemas.openxmlformats.org/officeDocument/2006/relationships/hyperlink" Target="https://www.google.com/search?tbm=isch&amp;q=Hacksaw+Frame" TargetMode="External"/><Relationship Id="rId25" Type="http://schemas.openxmlformats.org/officeDocument/2006/relationships/hyperlink" Target="https://www.google.com/search?tbm=isch&amp;q=ADJUSTAB+LE+HACKSAW+FRAME" TargetMode="External"/><Relationship Id="rId26" Type="http://schemas.openxmlformats.org/officeDocument/2006/relationships/hyperlink" Target="https://www.google.com/search?tbm=isch&amp;q=Half+Round+%28+Wood+rasp+File+%29" TargetMode="External"/><Relationship Id="rId27" Type="http://schemas.openxmlformats.org/officeDocument/2006/relationships/hyperlink" Target="https://www.google.com/search?tbm=isch&amp;q=Flat+file+Rasp+%29" TargetMode="External"/><Relationship Id="rId28" Type="http://schemas.openxmlformats.org/officeDocument/2006/relationships/hyperlink" Target="https://www.google.com/search?tbm=isch&amp;q=Flat+file+Rough+%29" TargetMode="External"/><Relationship Id="rId29" Type="http://schemas.openxmlformats.org/officeDocument/2006/relationships/hyperlink" Target="https://www.google.com/search?tbm=isch&amp;q=C-Clamps+%28for+carpentry+use%29" TargetMode="External"/><Relationship Id="rId30" Type="http://schemas.openxmlformats.org/officeDocument/2006/relationships/hyperlink" Target="https://www.google.com/search?tbm=isch&amp;q=Iron+Plane" TargetMode="External"/><Relationship Id="rId31" Type="http://schemas.openxmlformats.org/officeDocument/2006/relationships/hyperlink" Target="https://www.google.com/search?tbm=isch&amp;q=Firmer+Chisel" TargetMode="External"/><Relationship Id="rId32" Type="http://schemas.openxmlformats.org/officeDocument/2006/relationships/hyperlink" Target="https://www.google.com/search?tbm=isch&amp;q=Mortise+%2F+Chisel+%2F" TargetMode="External"/><Relationship Id="rId33" Type="http://schemas.openxmlformats.org/officeDocument/2006/relationships/hyperlink" Target="https://www.google.com/search?tbm=isch&amp;q=Pairing+Chisel+%29" TargetMode="External"/><Relationship Id="rId34" Type="http://schemas.openxmlformats.org/officeDocument/2006/relationships/hyperlink" Target="https://www.google.com/search?tbm=isch&amp;q=Hand+Drill+Machine" TargetMode="External"/><Relationship Id="rId35" Type="http://schemas.openxmlformats.org/officeDocument/2006/relationships/hyperlink" Target="https://www.google.com/search?tbm=isch&amp;q=Butt+Hinges+%29" TargetMode="External"/><Relationship Id="rId36" Type="http://schemas.openxmlformats.org/officeDocument/2006/relationships/hyperlink" Target="https://www.google.com/search?tbm=isch&amp;q=Rising+Butt+Hinges" TargetMode="External"/><Relationship Id="rId37" Type="http://schemas.openxmlformats.org/officeDocument/2006/relationships/hyperlink" Target="https://www.google.com/search?tbm=isch&amp;q=T%27+hinges" TargetMode="External"/><Relationship Id="rId38" Type="http://schemas.openxmlformats.org/officeDocument/2006/relationships/hyperlink" Target="https://www.google.com/search?tbm=isch&amp;q=Parliamen+t+hinge" TargetMode="External"/><Relationship Id="rId39" Type="http://schemas.openxmlformats.org/officeDocument/2006/relationships/hyperlink" Target="https://www.google.com/search?tbm=isch&amp;q=Piano+Hinges" TargetMode="External"/><Relationship Id="rId40" Type="http://schemas.openxmlformats.org/officeDocument/2006/relationships/hyperlink" Target="https://www.google.com/search?tbm=isch&amp;q=Sun+mica+Cutter" TargetMode="External"/><Relationship Id="rId41" Type="http://schemas.openxmlformats.org/officeDocument/2006/relationships/hyperlink" Target="https://www.google.com/search?tbm=isch&amp;q=Carbound+um+Stone+%28Emery%29" TargetMode="External"/><Relationship Id="rId42" Type="http://schemas.openxmlformats.org/officeDocument/2006/relationships/hyperlink" Target="https://www.google.com/search?tbm=isch&amp;q=Auger+Bit" TargetMode="External"/><Relationship Id="rId43" Type="http://schemas.openxmlformats.org/officeDocument/2006/relationships/hyperlink" Target="https://www.google.com/search?tbm=isch&amp;q=Tin+Cutter+%28Tin+cutter+with+spring%29" TargetMode="External"/><Relationship Id="rId44" Type="http://schemas.openxmlformats.org/officeDocument/2006/relationships/hyperlink" Target="https://www.google.com/search?tbm=isch&amp;q=Tin+Cutter+-Scissor" TargetMode="External"/><Relationship Id="rId45" Type="http://schemas.openxmlformats.org/officeDocument/2006/relationships/hyperlink" Target="https://www.google.com/search?tbm=isch&amp;q=Blow+Lamp" TargetMode="External"/><Relationship Id="rId46" Type="http://schemas.openxmlformats.org/officeDocument/2006/relationships/hyperlink" Target="https://www.google.com/search?tbm=isch&amp;q=Soldering+Iron+%28khadya%29" TargetMode="External"/><Relationship Id="rId47" Type="http://schemas.openxmlformats.org/officeDocument/2006/relationships/hyperlink" Target="https://www.google.com/search?tbm=isch&amp;q=Bench+Drill+Machine+%28With+belt+safety+guard+%26+on%2Foff+switch+" TargetMode="External"/><Relationship Id="rId48" Type="http://schemas.openxmlformats.org/officeDocument/2006/relationships/hyperlink" Target="https://www.google.com/search?tbm=isch&amp;q=HSS+Drill+set" TargetMode="External"/><Relationship Id="rId49" Type="http://schemas.openxmlformats.org/officeDocument/2006/relationships/hyperlink" Target="https://www.google.com/search?tbm=isch&amp;q=Center+Drill" TargetMode="External"/><Relationship Id="rId50" Type="http://schemas.openxmlformats.org/officeDocument/2006/relationships/hyperlink" Target="https://www.google.com/search?tbm=isch&amp;q=Tap+Wrench" TargetMode="External"/><Relationship Id="rId51" Type="http://schemas.openxmlformats.org/officeDocument/2006/relationships/hyperlink" Target="https://cdn.jsdelivr.net/gh/EngineerX1234/vocational-images@main/tools/batch-07/automotive-oil-can.jpg" TargetMode="External"/><Relationship Id="rId52" Type="http://schemas.openxmlformats.org/officeDocument/2006/relationships/hyperlink" Target="https://www.google.com/search?tbm=isch&amp;q=Machine+vice" TargetMode="External"/><Relationship Id="rId53" Type="http://schemas.openxmlformats.org/officeDocument/2006/relationships/hyperlink" Target="https://www.google.com/search?tbm=isch&amp;q=Hammers+B.P+%28Hammers+ball+pain%29" TargetMode="External"/><Relationship Id="rId54" Type="http://schemas.openxmlformats.org/officeDocument/2006/relationships/hyperlink" Target="https://www.google.com/search?tbm=isch&amp;q=Hammer+C.P+%28hammer+cross+pain%29+with+handle+forged+steel" TargetMode="External"/><Relationship Id="rId55" Type="http://schemas.openxmlformats.org/officeDocument/2006/relationships/hyperlink" Target="https://www.google.com/search?tbm=isch&amp;q=Flat+Chisel" TargetMode="External"/><Relationship Id="rId56" Type="http://schemas.openxmlformats.org/officeDocument/2006/relationships/hyperlink" Target="https://www.google.com/search?tbm=isch&amp;q=File+Handle+%28+Wooden" TargetMode="External"/><Relationship Id="rId57" Type="http://schemas.openxmlformats.org/officeDocument/2006/relationships/hyperlink" Target="https://www.google.com/search?tbm=isch&amp;q=Flat+Basted+File" TargetMode="External"/><Relationship Id="rId58" Type="http://schemas.openxmlformats.org/officeDocument/2006/relationships/hyperlink" Target="https://www.google.com/search?tbm=isch&amp;q=Flat+Smooth+File" TargetMode="External"/><Relationship Id="rId59" Type="http://schemas.openxmlformats.org/officeDocument/2006/relationships/hyperlink" Target="https://www.google.com/search?tbm=isch&amp;q=Triangular+files" TargetMode="External"/><Relationship Id="rId60" Type="http://schemas.openxmlformats.org/officeDocument/2006/relationships/hyperlink" Target="https://www.google.com/search?tbm=isch&amp;q=Round+Basted+File" TargetMode="External"/><Relationship Id="rId61" Type="http://schemas.openxmlformats.org/officeDocument/2006/relationships/hyperlink" Target="https://www.google.com/search?tbm=isch&amp;q=Bench+Grinder" TargetMode="External"/><Relationship Id="rId62" Type="http://schemas.openxmlformats.org/officeDocument/2006/relationships/hyperlink" Target="https://www.google.com/search?tbm=isch&amp;q=Electrical+hand+drill+machine" TargetMode="External"/><Relationship Id="rId63" Type="http://schemas.openxmlformats.org/officeDocument/2006/relationships/hyperlink" Target="https://www.google.com/search?tbm=isch&amp;q=Bench+Vice+%28Code-U+-+301%29" TargetMode="External"/><Relationship Id="rId64" Type="http://schemas.openxmlformats.org/officeDocument/2006/relationships/hyperlink" Target="https://www.google.com/search?tbm=isch&amp;q=Open+End+Wrench%2F+Spanner+SET" TargetMode="External"/><Relationship Id="rId65" Type="http://schemas.openxmlformats.org/officeDocument/2006/relationships/hyperlink" Target="https://www.google.com/search?tbm=isch&amp;q=Ring+Spanner+Set" TargetMode="External"/><Relationship Id="rId66" Type="http://schemas.openxmlformats.org/officeDocument/2006/relationships/hyperlink" Target="https://www.google.com/search?tbm=isch&amp;q=Tap+%26+Die+Set" TargetMode="External"/><Relationship Id="rId67" Type="http://schemas.openxmlformats.org/officeDocument/2006/relationships/hyperlink" Target="https://www.google.com/search?tbm=isch&amp;q=Die+wrench" TargetMode="External"/><Relationship Id="rId68" Type="http://schemas.openxmlformats.org/officeDocument/2006/relationships/hyperlink" Target="https://www.google.com/search?tbm=isch&amp;q=Arc+Welding+Machine+%28Transfor+mer%29" TargetMode="External"/><Relationship Id="rId69" Type="http://schemas.openxmlformats.org/officeDocument/2006/relationships/hyperlink" Target="https://www.google.com/search?tbm=isch&amp;q=Cable+%26+Lugs+%28Welding+cable%29" TargetMode="External"/><Relationship Id="rId70" Type="http://schemas.openxmlformats.org/officeDocument/2006/relationships/hyperlink" Target="https://www.google.com/search?tbm=isch&amp;q=Welding+%2F+Electrode+Holder" TargetMode="External"/><Relationship Id="rId71" Type="http://schemas.openxmlformats.org/officeDocument/2006/relationships/hyperlink" Target="https://www.google.com/search?tbm=isch&amp;q=Wire+Brush" TargetMode="External"/><Relationship Id="rId72" Type="http://schemas.openxmlformats.org/officeDocument/2006/relationships/hyperlink" Target="https://www.google.com/search?tbm=isch&amp;q=Adjustable+Wrench+%28Adjustabl+e+Spanner+%29" TargetMode="External"/><Relationship Id="rId73" Type="http://schemas.openxmlformats.org/officeDocument/2006/relationships/hyperlink" Target="https://www.google.com/search?tbm=isch&amp;q=Grip-on-+pliers" TargetMode="External"/><Relationship Id="rId74" Type="http://schemas.openxmlformats.org/officeDocument/2006/relationships/hyperlink" Target="https://www.google.com/search?tbm=isch&amp;q=Vise+Grip" TargetMode="External"/><Relationship Id="rId75" Type="http://schemas.openxmlformats.org/officeDocument/2006/relationships/hyperlink" Target="https://www.google.com/search?tbm=isch&amp;q=Trowel+%28Thapi%29+Set" TargetMode="External"/><Relationship Id="rId76" Type="http://schemas.openxmlformats.org/officeDocument/2006/relationships/hyperlink" Target="https://www.google.com/search?tbm=isch&amp;q=Trowel+%28Thapi-+Plane%29" TargetMode="External"/><Relationship Id="rId77" Type="http://schemas.openxmlformats.org/officeDocument/2006/relationships/hyperlink" Target="https://cdn.jsdelivr.net/gh/EngineerX1234/vocational-images@main/tools/batch-11/electronics-plumb-bob.jpg" TargetMode="External"/><Relationship Id="rId78" Type="http://schemas.openxmlformats.org/officeDocument/2006/relationships/hyperlink" Target="https://www.google.com/search?tbm=isch&amp;q=Line+Rope" TargetMode="External"/><Relationship Id="rId79" Type="http://schemas.openxmlformats.org/officeDocument/2006/relationships/hyperlink" Target="https://www.google.com/search?tbm=isch&amp;q=Sand+Sieve" TargetMode="External"/><Relationship Id="rId80" Type="http://schemas.openxmlformats.org/officeDocument/2006/relationships/hyperlink" Target="https://www.google.com/search?tbm=isch&amp;q=Masonry+Drill+%28Concrete+Drill+%29" TargetMode="External"/><Relationship Id="rId81" Type="http://schemas.openxmlformats.org/officeDocument/2006/relationships/hyperlink" Target="https://www.google.com/search?tbm=isch&amp;q=Bucket+%28+MS+steel+bucket+%29" TargetMode="External"/><Relationship Id="rId82" Type="http://schemas.openxmlformats.org/officeDocument/2006/relationships/hyperlink" Target="https://www.google.com/search?tbm=isch&amp;q=Ghamelas+%28MS+Steel%29+%28for+construction+work%29" TargetMode="External"/><Relationship Id="rId83" Type="http://schemas.openxmlformats.org/officeDocument/2006/relationships/hyperlink" Target="https://www.google.com/search?tbm=isch&amp;q=Spade+with+wooden+handle" TargetMode="External"/><Relationship Id="rId84" Type="http://schemas.openxmlformats.org/officeDocument/2006/relationships/hyperlink" Target="https://www.google.com/search?tbm=isch&amp;q=Pipe+Die+Set+-+with+D%2FE+Handle%28pi+pe+wrench%29" TargetMode="External"/><Relationship Id="rId85" Type="http://schemas.openxmlformats.org/officeDocument/2006/relationships/hyperlink" Target="https://cdn.jsdelivr.net/gh/EngineerX1234/vocational-images@main/tools/batch-20/plumbing-pipe-vice.jpg" TargetMode="External"/><Relationship Id="rId86" Type="http://schemas.openxmlformats.org/officeDocument/2006/relationships/hyperlink" Target="https://cdn.jsdelivr.net/gh/EngineerX1234/vocational-images@main/tools/batch-20/plumbing-pipe-wrench.jpg" TargetMode="External"/><Relationship Id="rId87" Type="http://schemas.openxmlformats.org/officeDocument/2006/relationships/hyperlink" Target="https://www.google.com/search?tbm=isch&amp;q=Water+Pump+Plier" TargetMode="External"/><Relationship Id="rId88" Type="http://schemas.openxmlformats.org/officeDocument/2006/relationships/hyperlink" Target="https://www.google.com/search?tbm=isch&amp;q=Hack+Saw+Blade" TargetMode="External"/><Relationship Id="rId89" Type="http://schemas.openxmlformats.org/officeDocument/2006/relationships/hyperlink" Target="https://www.google.com/search?tbm=isch&amp;q=Safety+Helmet" TargetMode="External"/><Relationship Id="rId90" Type="http://schemas.openxmlformats.org/officeDocument/2006/relationships/hyperlink" Target="https://www.google.com/search?tbm=isch&amp;q=Safety+Goggle" TargetMode="External"/><Relationship Id="rId91" Type="http://schemas.openxmlformats.org/officeDocument/2006/relationships/hyperlink" Target="https://www.google.com/search?tbm=isch&amp;q=Welding+Goggle" TargetMode="External"/><Relationship Id="rId92" Type="http://schemas.openxmlformats.org/officeDocument/2006/relationships/hyperlink" Target="https://www.google.com/search?tbm=isch&amp;q=Welding+Screen+with+Head+Band" TargetMode="External"/><Relationship Id="rId93" Type="http://schemas.openxmlformats.org/officeDocument/2006/relationships/hyperlink" Target="https://www.google.com/search?tbm=isch&amp;q=Overcoat+-+%28Apron-+Blue+color%29" TargetMode="External"/><Relationship Id="rId94" Type="http://schemas.openxmlformats.org/officeDocument/2006/relationships/hyperlink" Target="https://www.google.com/search?tbm=isch&amp;q=Hand+Gloves+%28Welding+leather+hand+gloves%29" TargetMode="External"/><Relationship Id="rId95" Type="http://schemas.openxmlformats.org/officeDocument/2006/relationships/hyperlink" Target="https://www.google.com/search?tbm=isch&amp;q=Cotton+Hand+Gloves+%28sheet+metal+work%29" TargetMode="External"/><Relationship Id="rId96" Type="http://schemas.openxmlformats.org/officeDocument/2006/relationships/hyperlink" Target="https://www.google.com/search?tbm=isch&amp;q=Hand+gloves+pairs+%28constricti+on%29" TargetMode="External"/><Relationship Id="rId97" Type="http://schemas.openxmlformats.org/officeDocument/2006/relationships/hyperlink" Target="https://www.google.com/search?tbm=isch&amp;q=Welding+Apron" TargetMode="External"/><Relationship Id="rId98" Type="http://schemas.openxmlformats.org/officeDocument/2006/relationships/hyperlink" Target="https://www.google.com/search?tbm=isch&amp;q=Rubber+Chappals" TargetMode="External"/><Relationship Id="rId99" Type="http://schemas.openxmlformats.org/officeDocument/2006/relationships/hyperlink" Target="https://www.google.com/search?tbm=isch&amp;q=First+Aid+Box" TargetMode="External"/><Relationship Id="rId100" Type="http://schemas.openxmlformats.org/officeDocument/2006/relationships/hyperlink" Target="https://cdn.jsdelivr.net/gh/EngineerX1234/vocational-images@main/tools/batch-11/electronics-voltmeter.jpg" TargetMode="External"/><Relationship Id="rId101" Type="http://schemas.openxmlformats.org/officeDocument/2006/relationships/hyperlink" Target="https://cdn.jsdelivr.net/gh/EngineerX1234/vocational-images@main/tools/batch-10/electronics-ammeter.jpg" TargetMode="External"/><Relationship Id="rId102" Type="http://schemas.openxmlformats.org/officeDocument/2006/relationships/hyperlink" Target="https://cdn.jsdelivr.net/gh/EngineerX1234/vocational-images@main/tools/batch-11/electronics-wattmeter.jpg" TargetMode="External"/><Relationship Id="rId103" Type="http://schemas.openxmlformats.org/officeDocument/2006/relationships/hyperlink" Target="https://cdn.jsdelivr.net/gh/EngineerX1234/vocational-images@main/tools/batch-13/green-jobs-frequency-meter.jpg" TargetMode="External"/><Relationship Id="rId104" Type="http://schemas.openxmlformats.org/officeDocument/2006/relationships/hyperlink" Target="https://www.google.com/search?tbm=isch&amp;q=Voltmeter+%2F+DIGITAL+MULTIMETER" TargetMode="External"/><Relationship Id="rId105" Type="http://schemas.openxmlformats.org/officeDocument/2006/relationships/hyperlink" Target="https://cdn.jsdelivr.net/gh/EngineerX1234/vocational-images@main/tools/batch-11/electronics-non-contact-voltage-detector.jpg" TargetMode="External"/><Relationship Id="rId106" Type="http://schemas.openxmlformats.org/officeDocument/2006/relationships/hyperlink" Target="https://cdn.jsdelivr.net/gh/EngineerX1234/vocational-images@main/tools/batch-11/electronics-wire-gauge.jpg" TargetMode="External"/><Relationship Id="rId107" Type="http://schemas.openxmlformats.org/officeDocument/2006/relationships/hyperlink" Target="https://cdn.jsdelivr.net/gh/EngineerX1234/vocational-images@main/tools/batch-26/agriculture-hydrometer.jpg" TargetMode="External"/><Relationship Id="rId108" Type="http://schemas.openxmlformats.org/officeDocument/2006/relationships/hyperlink" Target="https://www.google.com/search?tbm=isch&amp;q=Fish+Tape" TargetMode="External"/><Relationship Id="rId109" Type="http://schemas.openxmlformats.org/officeDocument/2006/relationships/hyperlink" Target="https://www.google.com/search?tbm=isch&amp;q=Linesman+Pliers+%28Combination+Pliers%29" TargetMode="External"/><Relationship Id="rId110" Type="http://schemas.openxmlformats.org/officeDocument/2006/relationships/hyperlink" Target="https://www.google.com/search?tbm=isch&amp;q=Long+Nose+Pliers" TargetMode="External"/><Relationship Id="rId111" Type="http://schemas.openxmlformats.org/officeDocument/2006/relationships/hyperlink" Target="https://www.google.com/search?tbm=isch&amp;q=Side+Cutting+Player" TargetMode="External"/><Relationship Id="rId112" Type="http://schemas.openxmlformats.org/officeDocument/2006/relationships/hyperlink" Target="https://cdn.jsdelivr.net/gh/EngineerX1234/vocational-images@main/tools/batch-11/electronics-screwdriver-set.jpg" TargetMode="External"/><Relationship Id="rId113" Type="http://schemas.openxmlformats.org/officeDocument/2006/relationships/hyperlink" Target="https://www.google.com/search?tbm=isch&amp;q=Screw+Driver+Set+%2F+Electrician-Wiremen+Set" TargetMode="External"/><Relationship Id="rId114" Type="http://schemas.openxmlformats.org/officeDocument/2006/relationships/hyperlink" Target="https://www.google.com/search?tbm=isch&amp;q=Pokar" TargetMode="External"/><Relationship Id="rId115" Type="http://schemas.openxmlformats.org/officeDocument/2006/relationships/hyperlink" Target="https://www.google.com/search?tbm=isch&amp;q=Tester" TargetMode="External"/><Relationship Id="rId116" Type="http://schemas.openxmlformats.org/officeDocument/2006/relationships/hyperlink" Target="https://cdn.jsdelivr.net/gh/EngineerX1234/vocational-images@main/tools/batch-05/agriculture-wire-stripper.jpg" TargetMode="External"/><Relationship Id="rId117" Type="http://schemas.openxmlformats.org/officeDocument/2006/relationships/hyperlink" Target="https://www.google.com/search?tbm=isch&amp;q=Wire+Stripper+%28Automatic%29" TargetMode="External"/><Relationship Id="rId118" Type="http://schemas.openxmlformats.org/officeDocument/2006/relationships/hyperlink" Target="https://www.google.com/search?tbm=isch&amp;q=Razor+Blade+Knife+%28Utility+Knife%29" TargetMode="External"/><Relationship Id="rId119" Type="http://schemas.openxmlformats.org/officeDocument/2006/relationships/hyperlink" Target="https://cdn.jsdelivr.net/gh/EngineerX1234/vocational-images@main/tools/batch-10/electronics-hacksaw.jpg" TargetMode="External"/><Relationship Id="rId120" Type="http://schemas.openxmlformats.org/officeDocument/2006/relationships/hyperlink" Target="https://www.google.com/search?tbm=isch&amp;q=3+Core+Flexible+Cable+%28+For+Drilling+%2C+Grinding+%2C+Welding+M%2F" TargetMode="External"/><Relationship Id="rId121" Type="http://schemas.openxmlformats.org/officeDocument/2006/relationships/hyperlink" Target="https://www.google.com/search?tbm=isch&amp;q=Sockets+%28Assorted%29+2+Pin" TargetMode="External"/><Relationship Id="rId122" Type="http://schemas.openxmlformats.org/officeDocument/2006/relationships/hyperlink" Target="https://www.google.com/search?tbm=isch&amp;q=Sockets+%28Assorted%29+3+Pin" TargetMode="External"/><Relationship Id="rId123" Type="http://schemas.openxmlformats.org/officeDocument/2006/relationships/hyperlink" Target="https://www.google.com/search?tbm=isch&amp;q=Plugs+%28Assorted%29+Top+2+Pin" TargetMode="External"/><Relationship Id="rId124" Type="http://schemas.openxmlformats.org/officeDocument/2006/relationships/hyperlink" Target="https://www.google.com/search?tbm=isch&amp;q=Plugs+%28Assorted%29+Top+3+Pin" TargetMode="External"/><Relationship Id="rId125" Type="http://schemas.openxmlformats.org/officeDocument/2006/relationships/hyperlink" Target="https://cdn.jsdelivr.net/gh/EngineerX1234/vocational-images@main/tools/batch-11/electronics-switches.jpg" TargetMode="External"/><Relationship Id="rId126" Type="http://schemas.openxmlformats.org/officeDocument/2006/relationships/hyperlink" Target="https://www.google.com/search?tbm=isch&amp;q=Switches+%28Assorted%29+One+way" TargetMode="External"/><Relationship Id="rId127" Type="http://schemas.openxmlformats.org/officeDocument/2006/relationships/hyperlink" Target="https://www.google.com/search?tbm=isch&amp;q=Switches+%28Assorted%29+Two+way" TargetMode="External"/><Relationship Id="rId128" Type="http://schemas.openxmlformats.org/officeDocument/2006/relationships/hyperlink" Target="https://www.google.com/search?tbm=isch&amp;q=Bell+Push+Switch" TargetMode="External"/><Relationship Id="rId129" Type="http://schemas.openxmlformats.org/officeDocument/2006/relationships/hyperlink" Target="https://www.google.com/search?tbm=isch&amp;q=Lamp+Holders+%28Assorted%29+Angle" TargetMode="External"/><Relationship Id="rId130" Type="http://schemas.openxmlformats.org/officeDocument/2006/relationships/hyperlink" Target="https://www.google.com/search?tbm=isch&amp;q=Lamp+Holders+%28Assorted%29+Bettle" TargetMode="External"/><Relationship Id="rId131" Type="http://schemas.openxmlformats.org/officeDocument/2006/relationships/hyperlink" Target="https://www.google.com/search?tbm=isch&amp;q=Light+Emission+Diode" TargetMode="External"/><Relationship Id="rId132" Type="http://schemas.openxmlformats.org/officeDocument/2006/relationships/hyperlink" Target="https://www.google.com/search?tbm=isch&amp;q=Pull-Push+Switch" TargetMode="External"/><Relationship Id="rId133" Type="http://schemas.openxmlformats.org/officeDocument/2006/relationships/hyperlink" Target="https://www.google.com/search?tbm=isch&amp;q=Capacitor" TargetMode="External"/><Relationship Id="rId134" Type="http://schemas.openxmlformats.org/officeDocument/2006/relationships/hyperlink" Target="https://www.google.com/search?tbm=isch&amp;q=Relay" TargetMode="External"/><Relationship Id="rId135" Type="http://schemas.openxmlformats.org/officeDocument/2006/relationships/hyperlink" Target="https://www.google.com/search?tbm=isch&amp;q=Earthing+Plate" TargetMode="External"/><Relationship Id="rId136" Type="http://schemas.openxmlformats.org/officeDocument/2006/relationships/hyperlink" Target="https://www.google.com/search?tbm=isch&amp;q=Earthing+Rod" TargetMode="External"/><Relationship Id="rId137" Type="http://schemas.openxmlformats.org/officeDocument/2006/relationships/hyperlink" Target="https://www.google.com/search?tbm=isch&amp;q=Earthing+Pipe" TargetMode="External"/><Relationship Id="rId138" Type="http://schemas.openxmlformats.org/officeDocument/2006/relationships/hyperlink" Target="https://www.google.com/search?tbm=isch&amp;q=Different+Type+of+Fuse" TargetMode="External"/><Relationship Id="rId139" Type="http://schemas.openxmlformats.org/officeDocument/2006/relationships/hyperlink" Target="https://www.google.com/search?tbm=isch&amp;q=Miniature+Circuit+Breaker" TargetMode="External"/><Relationship Id="rId140" Type="http://schemas.openxmlformats.org/officeDocument/2006/relationships/hyperlink" Target="https://www.google.com/search?tbm=isch&amp;q=Electric+Soldering+Iron" TargetMode="External"/><Relationship Id="rId141" Type="http://schemas.openxmlformats.org/officeDocument/2006/relationships/hyperlink" Target="https://www.google.com/search?tbm=isch&amp;q=Valve+Spanner" TargetMode="External"/><Relationship Id="rId142" Type="http://schemas.openxmlformats.org/officeDocument/2006/relationships/hyperlink" Target="https://www.google.com/search?tbm=isch&amp;q=Nozzel%2FNippl+e+spanner" TargetMode="External"/><Relationship Id="rId143" Type="http://schemas.openxmlformats.org/officeDocument/2006/relationships/hyperlink" Target="https://www.google.com/search?tbm=isch&amp;q=Wick+Stove" TargetMode="External"/><Relationship Id="rId144" Type="http://schemas.openxmlformats.org/officeDocument/2006/relationships/hyperlink" Target="https://www.google.com/search?tbm=isch&amp;q=Pressure+Stove" TargetMode="External"/><Relationship Id="rId145" Type="http://schemas.openxmlformats.org/officeDocument/2006/relationships/hyperlink" Target="https://www.google.com/search?tbm=isch&amp;q=DOL+STARTER" TargetMode="External"/><Relationship Id="rId146" Type="http://schemas.openxmlformats.org/officeDocument/2006/relationships/hyperlink" Target="https://www.google.com/search?tbm=isch&amp;q=WATER+PUMP+1+PHASE" TargetMode="External"/><Relationship Id="rId147" Type="http://schemas.openxmlformats.org/officeDocument/2006/relationships/hyperlink" Target="https://www.google.com/search?tbm=isch&amp;q=MOTER+ELECTRIC+1+PHASE" TargetMode="External"/><Relationship Id="rId148" Type="http://schemas.openxmlformats.org/officeDocument/2006/relationships/hyperlink" Target="https://www.google.com/search?tbm=isch&amp;q=Rotary+Switch" TargetMode="External"/><Relationship Id="rId149" Type="http://schemas.openxmlformats.org/officeDocument/2006/relationships/hyperlink" Target="https://www.google.com/search?tbm=isch&amp;q=Earthing+Wire" TargetMode="External"/><Relationship Id="rId150" Type="http://schemas.openxmlformats.org/officeDocument/2006/relationships/hyperlink" Target="https://www.google.com/search?tbm=isch&amp;q=Electric+Wires" TargetMode="External"/><Relationship Id="rId151" Type="http://schemas.openxmlformats.org/officeDocument/2006/relationships/hyperlink" Target="https://www.google.com/search?tbm=isch&amp;q=Electrical+Hand+Gloves" TargetMode="External"/><Relationship Id="rId152" Type="http://schemas.openxmlformats.org/officeDocument/2006/relationships/hyperlink" Target="https://www.google.com/search?tbm=isch&amp;q=Rubber+Matting" TargetMode="External"/><Relationship Id="rId153" Type="http://schemas.openxmlformats.org/officeDocument/2006/relationships/hyperlink" Target="https://www.google.com/search?tbm=isch&amp;q=Sand+Bucket" TargetMode="External"/><Relationship Id="rId154" Type="http://schemas.openxmlformats.org/officeDocument/2006/relationships/hyperlink" Target="https://www.google.com/search?tbm=isch&amp;q=Fire+Extinguisher+CO2" TargetMode="External"/><Relationship Id="rId155" Type="http://schemas.openxmlformats.org/officeDocument/2006/relationships/hyperlink" Target="https://www.google.com/search?tbm=isch&amp;q=Stainless+steel+Plates" TargetMode="External"/><Relationship Id="rId156" Type="http://schemas.openxmlformats.org/officeDocument/2006/relationships/hyperlink" Target="https://www.google.com/search?tbm=isch&amp;q=Sieves+%29" TargetMode="External"/><Relationship Id="rId157" Type="http://schemas.openxmlformats.org/officeDocument/2006/relationships/hyperlink" Target="https://www.google.com/search?tbm=isch&amp;q=Set+of+cooking+spoon" TargetMode="External"/><Relationship Id="rId158" Type="http://schemas.openxmlformats.org/officeDocument/2006/relationships/hyperlink" Target="https://www.google.com/search?tbm=isch&amp;q=Stainless+steel+Containers+with+Cover+%28Pot%29" TargetMode="External"/><Relationship Id="rId159" Type="http://schemas.openxmlformats.org/officeDocument/2006/relationships/hyperlink" Target="https://www.google.com/search?tbm=isch&amp;q=Steel+Bowls" TargetMode="External"/><Relationship Id="rId160" Type="http://schemas.openxmlformats.org/officeDocument/2006/relationships/hyperlink" Target="https://www.google.com/search?tbm=isch&amp;q=Frying+Pan+%28medium%29-+With+Handle" TargetMode="External"/><Relationship Id="rId161" Type="http://schemas.openxmlformats.org/officeDocument/2006/relationships/hyperlink" Target="https://www.google.com/search?tbm=isch&amp;q=Grater%2F+Shredder" TargetMode="External"/><Relationship Id="rId162" Type="http://schemas.openxmlformats.org/officeDocument/2006/relationships/hyperlink" Target="https://www.google.com/search?tbm=isch&amp;q=Hand+Operated+Chikki+Slicer+%28Roller%29%2C+cutter" TargetMode="External"/><Relationship Id="rId163" Type="http://schemas.openxmlformats.org/officeDocument/2006/relationships/hyperlink" Target="https://www.google.com/search?tbm=isch&amp;q=Knives" TargetMode="External"/><Relationship Id="rId164" Type="http://schemas.openxmlformats.org/officeDocument/2006/relationships/hyperlink" Target="https://www.google.com/search?tbm=isch&amp;q=Polpat+and+Latan+%28Roller%29" TargetMode="External"/><Relationship Id="rId165" Type="http://schemas.openxmlformats.org/officeDocument/2006/relationships/hyperlink" Target="https://www.google.com/search?tbm=isch&amp;q=Gas+lighter" TargetMode="External"/><Relationship Id="rId166" Type="http://schemas.openxmlformats.org/officeDocument/2006/relationships/hyperlink" Target="https://www.google.com/search?tbm=isch&amp;q=Measuring+Mug+%2F+Cup" TargetMode="External"/><Relationship Id="rId167" Type="http://schemas.openxmlformats.org/officeDocument/2006/relationships/hyperlink" Target="https://www.google.com/search?tbm=isch&amp;q=Measuring+Spoons" TargetMode="External"/><Relationship Id="rId168" Type="http://schemas.openxmlformats.org/officeDocument/2006/relationships/hyperlink" Target="https://www.google.com/search?tbm=isch&amp;q=Mixer+%28Mixture-+Grinder%29" TargetMode="External"/><Relationship Id="rId169" Type="http://schemas.openxmlformats.org/officeDocument/2006/relationships/hyperlink" Target="https://www.google.com/search?tbm=isch&amp;q=Pressure+Cooker" TargetMode="External"/><Relationship Id="rId170" Type="http://schemas.openxmlformats.org/officeDocument/2006/relationships/hyperlink" Target="https://cdn.jsdelivr.net/gh/EngineerX1234/vocational-images@main/tools/batch-25/apparel-scissors.jpg" TargetMode="External"/><Relationship Id="rId171" Type="http://schemas.openxmlformats.org/officeDocument/2006/relationships/hyperlink" Target="https://www.google.com/search?tbm=isch&amp;q=Table+Spoons" TargetMode="External"/><Relationship Id="rId172" Type="http://schemas.openxmlformats.org/officeDocument/2006/relationships/hyperlink" Target="https://www.google.com/search?tbm=isch&amp;q=Single+Burner+Stove" TargetMode="External"/><Relationship Id="rId173" Type="http://schemas.openxmlformats.org/officeDocument/2006/relationships/hyperlink" Target="https://www.google.com/search?tbm=isch&amp;q=Tong+%2F" TargetMode="External"/><Relationship Id="rId174" Type="http://schemas.openxmlformats.org/officeDocument/2006/relationships/hyperlink" Target="https://www.google.com/search?tbm=isch&amp;q=Vegetable+Peeler" TargetMode="External"/><Relationship Id="rId175" Type="http://schemas.openxmlformats.org/officeDocument/2006/relationships/hyperlink" Target="https://www.google.com/search?tbm=isch&amp;q=Water+Container+%28Jug%29" TargetMode="External"/><Relationship Id="rId176" Type="http://schemas.openxmlformats.org/officeDocument/2006/relationships/hyperlink" Target="https://www.google.com/search?tbm=isch&amp;q=hindalium+container+with+lid+-+3+lit+-+3+3" TargetMode="External"/><Relationship Id="rId177" Type="http://schemas.openxmlformats.org/officeDocument/2006/relationships/hyperlink" Target="https://cdn.jsdelivr.net/gh/EngineerX1234/vocational-images@main/tools/batch-16/home-management-and-care-giving-dust-pan.jpg" TargetMode="External"/><Relationship Id="rId178" Type="http://schemas.openxmlformats.org/officeDocument/2006/relationships/hyperlink" Target="https://www.google.com/search?tbm=isch&amp;q=Sieves+-" TargetMode="External"/><Relationship Id="rId179" Type="http://schemas.openxmlformats.org/officeDocument/2006/relationships/hyperlink" Target="https://www.google.com/search?tbm=isch&amp;q=Plastic+Container+-" TargetMode="External"/><Relationship Id="rId180" Type="http://schemas.openxmlformats.org/officeDocument/2006/relationships/hyperlink" Target="https://www.google.com/search?tbm=isch&amp;q=Glass+container+-" TargetMode="External"/><Relationship Id="rId181" Type="http://schemas.openxmlformats.org/officeDocument/2006/relationships/hyperlink" Target="https://www.google.com/search?tbm=isch&amp;q=Digital+Kitchen+Balance" TargetMode="External"/><Relationship Id="rId182" Type="http://schemas.openxmlformats.org/officeDocument/2006/relationships/hyperlink" Target="https://www.google.com/search?tbm=isch&amp;q=Plastic+Bucket" TargetMode="External"/><Relationship Id="rId183" Type="http://schemas.openxmlformats.org/officeDocument/2006/relationships/hyperlink" Target="https://www.google.com/search?tbm=isch&amp;q=Plastic+Dustbin" TargetMode="External"/><Relationship Id="rId184" Type="http://schemas.openxmlformats.org/officeDocument/2006/relationships/hyperlink" Target="https://www.google.com/search?tbm=isch&amp;q=Blood+Pressure+Measuring+%28Sphygmomanometer%29-+Mercury+Free" TargetMode="External"/><Relationship Id="rId185" Type="http://schemas.openxmlformats.org/officeDocument/2006/relationships/hyperlink" Target="https://cdn.jsdelivr.net/gh/EngineerX1234/vocational-images@main/tools/batch-17/home-management-and-care-giving-stethoscope.jpg" TargetMode="External"/><Relationship Id="rId186" Type="http://schemas.openxmlformats.org/officeDocument/2006/relationships/hyperlink" Target="https://cdn.jsdelivr.net/gh/EngineerX1234/vocational-images@main/tools/batch-20/private-security-thermometer.jpg" TargetMode="External"/><Relationship Id="rId187" Type="http://schemas.openxmlformats.org/officeDocument/2006/relationships/hyperlink" Target="https://cdn.jsdelivr.net/gh/EngineerX1234/vocational-images@main/tools/batch-13/food-processing-weighing-machine.jpg" TargetMode="External"/><Relationship Id="rId188" Type="http://schemas.openxmlformats.org/officeDocument/2006/relationships/hyperlink" Target="https://www.google.com/search?tbm=isch&amp;q=First+-aid+Box" TargetMode="External"/><Relationship Id="rId189" Type="http://schemas.openxmlformats.org/officeDocument/2006/relationships/hyperlink" Target="https://www.google.com/search?tbm=isch&amp;q=Beaker" TargetMode="External"/><Relationship Id="rId190" Type="http://schemas.openxmlformats.org/officeDocument/2006/relationships/hyperlink" Target="https://www.google.com/search?tbm=isch&amp;q=Digital+BP+machine" TargetMode="External"/><Relationship Id="rId191" Type="http://schemas.openxmlformats.org/officeDocument/2006/relationships/hyperlink" Target="https://www.google.com/search?tbm=isch&amp;q=Digital+timer" TargetMode="External"/><Relationship Id="rId192" Type="http://schemas.openxmlformats.org/officeDocument/2006/relationships/hyperlink" Target="https://www.google.com/search?tbm=isch&amp;q=Digital+Candy+Thermometer+%28for+taking+food+temperature" TargetMode="External"/><Relationship Id="rId193" Type="http://schemas.openxmlformats.org/officeDocument/2006/relationships/hyperlink" Target="https://www.google.com/search?tbm=isch&amp;q=Wall+clock" TargetMode="External"/><Relationship Id="rId194" Type="http://schemas.openxmlformats.org/officeDocument/2006/relationships/hyperlink" Target="https://www.google.com/search?tbm=isch&amp;q=Fire+Extinguisher+CO2" TargetMode="External"/><Relationship Id="rId195" Type="http://schemas.openxmlformats.org/officeDocument/2006/relationships/hyperlink" Target="https://www.google.com/search?tbm=isch&amp;q=Apron+%28Cloth%29" TargetMode="External"/><Relationship Id="rId196" Type="http://schemas.openxmlformats.org/officeDocument/2006/relationships/hyperlink" Target="https://www.google.com/search?tbm=isch&amp;q=Dish+towels" TargetMode="External"/><Relationship Id="rId197" Type="http://schemas.openxmlformats.org/officeDocument/2006/relationships/hyperlink" Target="https://www.google.com/search?tbm=isch&amp;q=Hand+Gloves" TargetMode="External"/><Relationship Id="rId198" Type="http://schemas.openxmlformats.org/officeDocument/2006/relationships/hyperlink" Target="https://www.google.com/search?tbm=isch&amp;q=Hand+Gloves+%28Plastic%29" TargetMode="External"/><Relationship Id="rId199" Type="http://schemas.openxmlformats.org/officeDocument/2006/relationships/hyperlink" Target="https://www.google.com/search?tbm=isch&amp;q=Head+Caps+%28Cloth%29" TargetMode="External"/><Relationship Id="rId200" Type="http://schemas.openxmlformats.org/officeDocument/2006/relationships/hyperlink" Target="https://www.google.com/search?tbm=isch&amp;q=Candles" TargetMode="External"/><Relationship Id="rId201" Type="http://schemas.openxmlformats.org/officeDocument/2006/relationships/hyperlink" Target="https://www.google.com/search?tbm=isch&amp;q=Aluminum+foil+Charts" TargetMode="External"/><Relationship Id="rId202" Type="http://schemas.openxmlformats.org/officeDocument/2006/relationships/hyperlink" Target="https://www.google.com/search?tbm=isch&amp;q=Food+Pyramid" TargetMode="External"/><Relationship Id="rId203" Type="http://schemas.openxmlformats.org/officeDocument/2006/relationships/hyperlink" Target="https://www.google.com/search?tbm=isch&amp;q=Nutrition+Chart" TargetMode="External"/><Relationship Id="rId204" Type="http://schemas.openxmlformats.org/officeDocument/2006/relationships/hyperlink" Target="https://www.google.com/search?tbm=isch&amp;q=Diseases+Chart" TargetMode="External"/><Relationship Id="rId205" Type="http://schemas.openxmlformats.org/officeDocument/2006/relationships/hyperlink" Target="https://cdn.jsdelivr.net/gh/EngineerX1234/vocational-images@main/tools/batch-01/agriculture-budding-knife.jpg" TargetMode="External"/><Relationship Id="rId206" Type="http://schemas.openxmlformats.org/officeDocument/2006/relationships/hyperlink" Target="https://cdn.jsdelivr.net/gh/EngineerX1234/vocational-images@main/tools/batch-23/agriculture-garden-knife.jpg" TargetMode="External"/><Relationship Id="rId207" Type="http://schemas.openxmlformats.org/officeDocument/2006/relationships/hyperlink" Target="https://cdn.jsdelivr.net/gh/EngineerX1234/vocational-images@main/tools/batch-23/agriculture-grafting-knife.jpg" TargetMode="External"/><Relationship Id="rId208" Type="http://schemas.openxmlformats.org/officeDocument/2006/relationships/hyperlink" Target="https://www.google.com/search?tbm=isch&amp;q=Hori+Hori+Knife+%28Soil+Knife%29" TargetMode="External"/><Relationship Id="rId209" Type="http://schemas.openxmlformats.org/officeDocument/2006/relationships/hyperlink" Target="https://www.google.com/search?tbm=isch&amp;q=Tree+Cutting+Shears" TargetMode="External"/><Relationship Id="rId210" Type="http://schemas.openxmlformats.org/officeDocument/2006/relationships/hyperlink" Target="https://www.google.com/search?tbm=isch&amp;q=Pruning+Sheared+%2F+C+Cutter" TargetMode="External"/><Relationship Id="rId211" Type="http://schemas.openxmlformats.org/officeDocument/2006/relationships/hyperlink" Target="https://cdn.jsdelivr.net/gh/EngineerX1234/vocational-images@main/tools/batch-04/agriculture-pruning-knife.jpg" TargetMode="External"/><Relationship Id="rId212" Type="http://schemas.openxmlformats.org/officeDocument/2006/relationships/hyperlink" Target="https://cdn.jsdelivr.net/gh/EngineerX1234/vocational-images@main/tools/batch-05/agriculture-trowels.jpg" TargetMode="External"/><Relationship Id="rId213" Type="http://schemas.openxmlformats.org/officeDocument/2006/relationships/hyperlink" Target="https://www.google.com/search?tbm=isch&amp;q=Spade+with+wooden+Handle" TargetMode="External"/><Relationship Id="rId214" Type="http://schemas.openxmlformats.org/officeDocument/2006/relationships/hyperlink" Target="https://www.google.com/search?tbm=isch&amp;q=Axe+with+wooden+handle" TargetMode="External"/><Relationship Id="rId215" Type="http://schemas.openxmlformats.org/officeDocument/2006/relationships/hyperlink" Target="https://www.google.com/search?tbm=isch&amp;q=Pickaxe+%28Tikav%29+with+wooden+handle" TargetMode="External"/><Relationship Id="rId216" Type="http://schemas.openxmlformats.org/officeDocument/2006/relationships/hyperlink" Target="https://cdn.jsdelivr.net/gh/EngineerX1234/vocational-images@main/tools/batch-26/agriculture-khurpi.jpg" TargetMode="External"/><Relationship Id="rId217" Type="http://schemas.openxmlformats.org/officeDocument/2006/relationships/hyperlink" Target="https://cdn.jsdelivr.net/gh/EngineerX1234/vocational-images@main/tools/batch-24/agriculture-sickle.jpg" TargetMode="External"/><Relationship Id="rId218" Type="http://schemas.openxmlformats.org/officeDocument/2006/relationships/hyperlink" Target="https://www.google.com/search?tbm=isch&amp;q=Leaf+Rake+with+Handle" TargetMode="External"/><Relationship Id="rId219" Type="http://schemas.openxmlformats.org/officeDocument/2006/relationships/hyperlink" Target="https://cdn.jsdelivr.net/gh/EngineerX1234/vocational-images@main/tools/batch-11/electronics-scissor.jpg" TargetMode="External"/><Relationship Id="rId220" Type="http://schemas.openxmlformats.org/officeDocument/2006/relationships/hyperlink" Target="https://www.google.com/search?tbm=isch&amp;q=Watering+Can+%2C+8+to+10+Ltr." TargetMode="External"/><Relationship Id="rId221" Type="http://schemas.openxmlformats.org/officeDocument/2006/relationships/hyperlink" Target="https://www.google.com/search?tbm=isch&amp;q=Plastic+Ghamale" TargetMode="External"/><Relationship Id="rId222" Type="http://schemas.openxmlformats.org/officeDocument/2006/relationships/hyperlink" Target="https://www.google.com/search?tbm=isch&amp;q=Crate" TargetMode="External"/><Relationship Id="rId223" Type="http://schemas.openxmlformats.org/officeDocument/2006/relationships/hyperlink" Target="https://www.google.com/search?tbm=isch&amp;q=Plastic+Jar+-+500+ml+%28Mug%29" TargetMode="External"/><Relationship Id="rId224" Type="http://schemas.openxmlformats.org/officeDocument/2006/relationships/hyperlink" Target="https://www.google.com/search?tbm=isch&amp;q=Plastic+Buckets+%2C+10+Ltr" TargetMode="External"/><Relationship Id="rId225" Type="http://schemas.openxmlformats.org/officeDocument/2006/relationships/hyperlink" Target="https://www.google.com/search?tbm=isch&amp;q=Spraying+%2C+Pump" TargetMode="External"/><Relationship Id="rId226" Type="http://schemas.openxmlformats.org/officeDocument/2006/relationships/hyperlink" Target="https://www.google.com/search?tbm=isch&amp;q=Measuring+30+meter+Tape" TargetMode="External"/><Relationship Id="rId227" Type="http://schemas.openxmlformats.org/officeDocument/2006/relationships/hyperlink" Target="https://www.google.com/search?tbm=isch&amp;q=Weighing+10+kg+%2C+Balance+Capacity+with+minimum+Division+of+0" TargetMode="External"/><Relationship Id="rId228" Type="http://schemas.openxmlformats.org/officeDocument/2006/relationships/hyperlink" Target="https://www.google.com/search?tbm=isch&amp;q=Animal+Digital+Thermometer" TargetMode="External"/><Relationship Id="rId229" Type="http://schemas.openxmlformats.org/officeDocument/2006/relationships/hyperlink" Target="https://www.google.com/search?tbm=isch&amp;q=Magnifying+lens%28bi-+concave+lens%29" TargetMode="External"/><Relationship Id="rId230" Type="http://schemas.openxmlformats.org/officeDocument/2006/relationships/hyperlink" Target="https://www.google.com/search?tbm=isch&amp;q=Seeding+Trays+for+Nursery+%3F%28+70+Cavity+%2F+holes+%29" TargetMode="External"/><Relationship Id="rId231" Type="http://schemas.openxmlformats.org/officeDocument/2006/relationships/hyperlink" Target="https://www.google.com/search?tbm=isch&amp;q=Sprinkler+Irrigation+Unit+%28+Lateral+pipe+16mm+x+20ft+%2C+Micro" TargetMode="External"/><Relationship Id="rId232" Type="http://schemas.openxmlformats.org/officeDocument/2006/relationships/hyperlink" Target="https://www.google.com/search?tbm=isch&amp;q=Drip+Irrigation+Unit+%28+Lateral+pipe+16mm+x+20+ft+%2C+Elbow+%2C+c" TargetMode="External"/><Relationship Id="rId233" Type="http://schemas.openxmlformats.org/officeDocument/2006/relationships/hyperlink" Target="https://www.google.com/search?tbm=isch&amp;q=Grafting+transplanting+bags" TargetMode="External"/><Relationship Id="rId234" Type="http://schemas.openxmlformats.org/officeDocument/2006/relationships/hyperlink" Target="https://cdn.jsdelivr.net/gh/EngineerX1234/vocational-images@main/tools/batch-12/food-processing-lactometer.jpg" TargetMode="External"/><Relationship Id="rId235" Type="http://schemas.openxmlformats.org/officeDocument/2006/relationships/hyperlink" Target="https://www.google.com/search?tbm=isch&amp;q=Measuring+250ml+Cylinder" TargetMode="External"/><Relationship Id="rId236" Type="http://schemas.openxmlformats.org/officeDocument/2006/relationships/hyperlink" Target="https://www.google.com/search?tbm=isch&amp;q=Beaker+250ml" TargetMode="External"/><Relationship Id="rId237" Type="http://schemas.openxmlformats.org/officeDocument/2006/relationships/hyperlink" Target="https://www.google.com/search?tbm=isch&amp;q=Hand+Gloves+%28Long%29" TargetMode="External"/><Relationship Id="rId238" Type="http://schemas.openxmlformats.org/officeDocument/2006/relationships/hyperlink" Target="https://www.google.com/search?tbm=isch&amp;q=Mask+%28+Canvas+Mask+%29+Charts" TargetMode="External"/><Relationship Id="rId239" Type="http://schemas.openxmlformats.org/officeDocument/2006/relationships/hyperlink" Target="https://www.google.com/search?tbm=isch&amp;q=Irrigation+method+charts" TargetMode="External"/><Relationship Id="rId240" Type="http://schemas.openxmlformats.org/officeDocument/2006/relationships/hyperlink" Target="https://www.google.com/search?tbm=isch&amp;q=Artificial+insemination+Chart" TargetMode="External"/><Relationship Id="rId241" Type="http://schemas.openxmlformats.org/officeDocument/2006/relationships/hyperlink" Target="https://www.google.com/search?tbm=isch&amp;q=Breed+charts+Cow%2CGoat%2CBull+ock" TargetMode="External"/><Relationship Id="rId242" Type="http://schemas.openxmlformats.org/officeDocument/2006/relationships/hyperlink" Target="https://www.google.com/search?tbm=isch&amp;q=Display+board+for+tools+display+and+easy+access+to+students" TargetMode="External"/><Relationship Id="rId243" Type="http://schemas.openxmlformats.org/officeDocument/2006/relationships/hyperlink" Target="https://www.google.com/search?tbm=isch&amp;q=Display+board+for+tools+display+and+easy+access+to+students" TargetMode="External"/><Relationship Id="rId244" Type="http://schemas.openxmlformats.org/officeDocument/2006/relationships/hyperlink" Target="https://www.google.com/search?tbm=isch&amp;q=Working+Table+to+perform+practicals+for+15+students" TargetMode="External"/><Relationship Id="rId245" Type="http://schemas.openxmlformats.org/officeDocument/2006/relationships/hyperlink" Target="https://www.google.com/search?tbm=isch&amp;q=Machine+Table+for+Machine+Installation" TargetMode="External"/><Relationship Id="rId246" Type="http://schemas.openxmlformats.org/officeDocument/2006/relationships/hyperlink" Target="https://www.google.com/search?tbm=isch&amp;q=Cupboard+for+Storage+of+tools%2C+Raw+material+and+other+Resour" TargetMode="External"/><Relationship Id="rId247" Type="http://schemas.openxmlformats.org/officeDocument/2006/relationships/hyperlink" Target="https://www.google.com/search?tbm=isch&amp;q=Stools+for+sitting" TargetMode="External"/><Relationship Id="rId248" Type="http://schemas.openxmlformats.org/officeDocument/2006/relationships/hyperlink" Target="https://www.google.com/search?tbm=isch&amp;q=Kitchen+Table+with+Drawer+and+Storage+cupboard+%2F+Working+tab" TargetMode="External"/><Relationship Id="rId249" Type="http://schemas.openxmlformats.org/officeDocument/2006/relationships/hyperlink" Target="https://www.google.com/search?tbm=isch&amp;q=Utensil+Rack" TargetMode="External"/><Relationship Id="rId250" Type="http://schemas.openxmlformats.org/officeDocument/2006/relationships/hyperlink" Target="https://www.google.com/search?tbm=isch&amp;q=Gypsum+Screw" TargetMode="External"/><Relationship Id="rId251" Type="http://schemas.openxmlformats.org/officeDocument/2006/relationships/hyperlink" Target="https://www.google.com/search?tbm=isch&amp;q=Gypsum+Screw" TargetMode="External"/><Relationship Id="rId252" Type="http://schemas.openxmlformats.org/officeDocument/2006/relationships/hyperlink" Target="https://www.google.com/search?tbm=isch&amp;q=Gypsum+Screw" TargetMode="External"/><Relationship Id="rId253" Type="http://schemas.openxmlformats.org/officeDocument/2006/relationships/hyperlink" Target="https://www.google.com/search?tbm=isch&amp;q=Gypsum+Screw" TargetMode="External"/><Relationship Id="rId254" Type="http://schemas.openxmlformats.org/officeDocument/2006/relationships/hyperlink" Target="https://www.google.com/search?tbm=isch&amp;q=Clamp" TargetMode="External"/><Relationship Id="rId255" Type="http://schemas.openxmlformats.org/officeDocument/2006/relationships/hyperlink" Target="https://www.google.com/search?tbm=isch&amp;q=Clamp" TargetMode="External"/><Relationship Id="rId256" Type="http://schemas.openxmlformats.org/officeDocument/2006/relationships/hyperlink" Target="https://www.google.com/search?tbm=isch&amp;q=Clamp" TargetMode="External"/><Relationship Id="rId257" Type="http://schemas.openxmlformats.org/officeDocument/2006/relationships/hyperlink" Target="https://www.google.com/search?tbm=isch&amp;q=Nail" TargetMode="External"/><Relationship Id="rId258" Type="http://schemas.openxmlformats.org/officeDocument/2006/relationships/hyperlink" Target="https://www.google.com/search?tbm=isch&amp;q=Hook" TargetMode="External"/><Relationship Id="rId259" Type="http://schemas.openxmlformats.org/officeDocument/2006/relationships/hyperlink" Target="https://www.google.com/search?tbm=isch&amp;q=Nut+Bolt" TargetMode="External"/><Relationship Id="rId260" Type="http://schemas.openxmlformats.org/officeDocument/2006/relationships/hyperlink" Target="https://www.google.com/search?tbm=isch&amp;q=Nut+Bolt" TargetMode="External"/><Relationship Id="rId261" Type="http://schemas.openxmlformats.org/officeDocument/2006/relationships/hyperlink" Target="https://www.google.com/search?tbm=isch&amp;q=Nut+Bolt" TargetMode="External"/><Relationship Id="rId262" Type="http://schemas.openxmlformats.org/officeDocument/2006/relationships/hyperlink" Target="https://www.google.com/search?tbm=isch&amp;q=Floor+Marking+Tape" TargetMode="External"/><Relationship Id="rId263" Type="http://schemas.openxmlformats.org/officeDocument/2006/relationships/hyperlink" Target="https://www.google.com/search?tbm=isch&amp;q=Multi+Skill+Foundation+Course+%28MSFC%29" TargetMode="External"/><Relationship Id="rId264" Type="http://schemas.openxmlformats.org/officeDocument/2006/relationships/hyperlink" Target="https://www.google.com/search?tbm=isch&amp;q=Energy+%26+Environment+%28EE%29" TargetMode="External"/><Relationship Id="rId265" Type="http://schemas.openxmlformats.org/officeDocument/2006/relationships/hyperlink" Target="https://www.google.com/search?tbm=isch&amp;q=Workshop+%26+Engineering+Techniques+%28WET%29" TargetMode="External"/><Relationship Id="rId266" Type="http://schemas.openxmlformats.org/officeDocument/2006/relationships/hyperlink" Target="https://www.google.com/search?tbm=isch&amp;q=Gardening%2C+Nursery+%26+Agriculture+Techniques+%28GNAT%29" TargetMode="External"/><Relationship Id="rId267" Type="http://schemas.openxmlformats.org/officeDocument/2006/relationships/hyperlink" Target="https://www.google.com/search?tbm=isch&amp;q=Food+Processing+Techniques+%28FPT%29" TargetMode="External"/><Relationship Id="rId268" Type="http://schemas.openxmlformats.org/officeDocument/2006/relationships/hyperlink" Target="https://www.google.com/search?tbm=isch&amp;q=Resource+Corner" TargetMode="External"/><Relationship Id="rId269" Type="http://schemas.openxmlformats.org/officeDocument/2006/relationships/hyperlink" Target="https://www.google.com/search?tbm=isch&amp;q=Safety+Wall" TargetMode="External"/><Relationship Id="rId270" Type="http://schemas.openxmlformats.org/officeDocument/2006/relationships/hyperlink" Target="https://www.google.com/search?tbm=isch&amp;q=First+Aid+Box" TargetMode="External"/><Relationship Id="rId271" Type="http://schemas.openxmlformats.org/officeDocument/2006/relationships/hyperlink" Target="https://www.google.com/search?tbm=isch&amp;q=Fire+Extinguisher" TargetMode="External"/><Relationship Id="rId272" Type="http://schemas.openxmlformats.org/officeDocument/2006/relationships/hyperlink" Target="https://www.google.com/search?tbm=isch&amp;q=Display+Corner" TargetMode="External"/><Relationship Id="rId273"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cdn.jsdelivr.net/gh/EngineerX1234/vocational-images@main/tools/batch-19/physical-education-and-sports-computer-laptop.jpg" TargetMode="External"/><Relationship Id="rId2" Type="http://schemas.openxmlformats.org/officeDocument/2006/relationships/hyperlink" Target="https://www.google.com/search?tbm=isch&amp;q=Microsoft+Office" TargetMode="External"/><Relationship Id="rId3" Type="http://schemas.openxmlformats.org/officeDocument/2006/relationships/hyperlink" Target="https://www.google.com/search?tbm=isch&amp;q=AutoCAD+software+%28to+be+integrated+in+computer%29" TargetMode="External"/><Relationship Id="rId4" Type="http://schemas.openxmlformats.org/officeDocument/2006/relationships/hyperlink" Target="https://cdn.jsdelivr.net/gh/EngineerX1234/vocational-images@main/tools/batch-10/electronics-battery.jpg" TargetMode="External"/><Relationship Id="rId5" Type="http://schemas.openxmlformats.org/officeDocument/2006/relationships/hyperlink" Target="https://cdn.jsdelivr.net/gh/EngineerX1234/vocational-images@main/tools/batch-05/aerospace-and-aviation-battery-charger.jpg" TargetMode="External"/><Relationship Id="rId6" Type="http://schemas.openxmlformats.org/officeDocument/2006/relationships/hyperlink" Target="https://www.google.com/search?tbm=isch&amp;q=Power+Adaptor" TargetMode="External"/><Relationship Id="rId7" Type="http://schemas.openxmlformats.org/officeDocument/2006/relationships/hyperlink" Target="https://www.google.com/search?tbm=isch&amp;q=Resistor+Kit" TargetMode="External"/><Relationship Id="rId8" Type="http://schemas.openxmlformats.org/officeDocument/2006/relationships/hyperlink" Target="https://www.google.com/search?tbm=isch&amp;q=Capacitor+Kit" TargetMode="External"/><Relationship Id="rId9" Type="http://schemas.openxmlformats.org/officeDocument/2006/relationships/hyperlink" Target="https://www.google.com/search?tbm=isch&amp;q=LDR+Module" TargetMode="External"/><Relationship Id="rId10" Type="http://schemas.openxmlformats.org/officeDocument/2006/relationships/hyperlink" Target="https://www.google.com/search?tbm=isch&amp;q=Active+Buzzer" TargetMode="External"/><Relationship Id="rId11" Type="http://schemas.openxmlformats.org/officeDocument/2006/relationships/hyperlink" Target="https://www.google.com/search?tbm=isch&amp;q=Jumper+Cable" TargetMode="External"/><Relationship Id="rId12" Type="http://schemas.openxmlformats.org/officeDocument/2006/relationships/hyperlink" Target="https://www.google.com/search?tbm=isch&amp;q=Jumper+Cable" TargetMode="External"/><Relationship Id="rId13" Type="http://schemas.openxmlformats.org/officeDocument/2006/relationships/hyperlink" Target="https://www.google.com/search?tbm=isch&amp;q=Jumper+Cable" TargetMode="External"/><Relationship Id="rId14" Type="http://schemas.openxmlformats.org/officeDocument/2006/relationships/hyperlink" Target="https://www.google.com/search?tbm=isch&amp;q=RGB+LEDs" TargetMode="External"/><Relationship Id="rId15" Type="http://schemas.openxmlformats.org/officeDocument/2006/relationships/hyperlink" Target="https://www.google.com/search?tbm=isch&amp;q=LEDs+Multi+Color" TargetMode="External"/><Relationship Id="rId16" Type="http://schemas.openxmlformats.org/officeDocument/2006/relationships/hyperlink" Target="https://www.google.com/search?tbm=isch&amp;q=Potentiometer" TargetMode="External"/><Relationship Id="rId17" Type="http://schemas.openxmlformats.org/officeDocument/2006/relationships/hyperlink" Target="https://www.google.com/search?tbm=isch&amp;q=Hot+glue+gun" TargetMode="External"/><Relationship Id="rId18" Type="http://schemas.openxmlformats.org/officeDocument/2006/relationships/hyperlink" Target="https://www.google.com/search?tbm=isch&amp;q=Digital+Multi+Meter" TargetMode="External"/><Relationship Id="rId19" Type="http://schemas.openxmlformats.org/officeDocument/2006/relationships/hyperlink" Target="https://www.google.com/search?tbm=isch&amp;q=Glue+Sticks" TargetMode="External"/><Relationship Id="rId20" Type="http://schemas.openxmlformats.org/officeDocument/2006/relationships/hyperlink" Target="https://www.google.com/search?tbm=isch&amp;q=Coin+Cell" TargetMode="External"/><Relationship Id="rId21" Type="http://schemas.openxmlformats.org/officeDocument/2006/relationships/hyperlink" Target="https://www.google.com/search?tbm=isch&amp;q=Conductive+Tape+or+Aluminium+Foil" TargetMode="External"/><Relationship Id="rId22" Type="http://schemas.openxmlformats.org/officeDocument/2006/relationships/hyperlink" Target="https://www.google.com/search?tbm=isch&amp;q=Hook+Up+Wire" TargetMode="External"/><Relationship Id="rId23" Type="http://schemas.openxmlformats.org/officeDocument/2006/relationships/hyperlink" Target="https://www.google.com/search?tbm=isch&amp;q=Battery+Holder%2FConnector" TargetMode="External"/><Relationship Id="rId24" Type="http://schemas.openxmlformats.org/officeDocument/2006/relationships/hyperlink" Target="https://www.google.com/search?tbm=isch&amp;q=Breadboard" TargetMode="External"/><Relationship Id="rId25" Type="http://schemas.openxmlformats.org/officeDocument/2006/relationships/hyperlink" Target="https://www.google.com/search?tbm=isch&amp;q=Humidity+Sensor" TargetMode="External"/><Relationship Id="rId26" Type="http://schemas.openxmlformats.org/officeDocument/2006/relationships/hyperlink" Target="https://www.google.com/search?tbm=isch&amp;q=IR+Sensor" TargetMode="External"/><Relationship Id="rId27" Type="http://schemas.openxmlformats.org/officeDocument/2006/relationships/hyperlink" Target="https://www.google.com/search?tbm=isch&amp;q=Ultrasonic+Sensor+Module+HC04" TargetMode="External"/><Relationship Id="rId28" Type="http://schemas.openxmlformats.org/officeDocument/2006/relationships/hyperlink" Target="https://www.google.com/search?tbm=isch&amp;q=Pulse+Rate+Heart+Sensor" TargetMode="External"/><Relationship Id="rId29" Type="http://schemas.openxmlformats.org/officeDocument/2006/relationships/hyperlink" Target="https://www.google.com/search?tbm=isch&amp;q=Sound+Sensor" TargetMode="External"/><Relationship Id="rId30" Type="http://schemas.openxmlformats.org/officeDocument/2006/relationships/hyperlink" Target="https://www.google.com/search?tbm=isch&amp;q=Soil+Moisture+Sensor" TargetMode="External"/><Relationship Id="rId31" Type="http://schemas.openxmlformats.org/officeDocument/2006/relationships/hyperlink" Target="https://www.google.com/search?tbm=isch&amp;q=Rain+Drop+Sensor" TargetMode="External"/><Relationship Id="rId32" Type="http://schemas.openxmlformats.org/officeDocument/2006/relationships/hyperlink" Target="https://www.google.com/search?tbm=isch&amp;q=Water+Depth+Sensor" TargetMode="External"/><Relationship Id="rId33" Type="http://schemas.openxmlformats.org/officeDocument/2006/relationships/hyperlink" Target="https://www.google.com/search?tbm=isch&amp;q=Temperature+Sensor" TargetMode="External"/><Relationship Id="rId34" Type="http://schemas.openxmlformats.org/officeDocument/2006/relationships/hyperlink" Target="https://www.google.com/search?tbm=isch&amp;q=Smoke+Sensor" TargetMode="External"/><Relationship Id="rId35" Type="http://schemas.openxmlformats.org/officeDocument/2006/relationships/hyperlink" Target="https://www.google.com/search?tbm=isch&amp;q=Arduino+UNO" TargetMode="External"/><Relationship Id="rId36" Type="http://schemas.openxmlformats.org/officeDocument/2006/relationships/hyperlink" Target="https://www.google.com/search?tbm=isch&amp;q=Tinker+Cad+Software" TargetMode="External"/><Relationship Id="rId37" Type="http://schemas.openxmlformats.org/officeDocument/2006/relationships/hyperlink" Target="https://www.google.com/search?tbm=isch&amp;q=Arduino+IDE+Software" TargetMode="External"/><Relationship Id="rId38" Type="http://schemas.openxmlformats.org/officeDocument/2006/relationships/hyperlink" Target="https://www.google.com/search?tbm=isch&amp;q=Water+Pump" TargetMode="External"/><Relationship Id="rId39" Type="http://schemas.openxmlformats.org/officeDocument/2006/relationships/hyperlink" Target="https://www.google.com/search?tbm=isch&amp;q=LCD+Display" TargetMode="External"/><Relationship Id="rId40" Type="http://schemas.openxmlformats.org/officeDocument/2006/relationships/hyperlink" Target="https://www.google.com/search?tbm=isch&amp;q=Relay" TargetMode="External"/><Relationship Id="rId41" Type="http://schemas.openxmlformats.org/officeDocument/2006/relationships/hyperlink" Target="https://www.google.com/search?tbm=isch&amp;q=Relay" TargetMode="External"/><Relationship Id="rId42" Type="http://schemas.openxmlformats.org/officeDocument/2006/relationships/hyperlink" Target="https://www.google.com/search?tbm=isch&amp;q=Servo+Motor" TargetMode="External"/><Relationship Id="rId43" Type="http://schemas.openxmlformats.org/officeDocument/2006/relationships/hyperlink" Target="https://www.google.com/search?tbm=isch&amp;q=DC+Motor" TargetMode="External"/><Relationship Id="rId44" Type="http://schemas.openxmlformats.org/officeDocument/2006/relationships/hyperlink" Target="https://www.google.com/search?tbm=isch&amp;q=L298P+Motor+Driver" TargetMode="External"/><Relationship Id="rId45" Type="http://schemas.openxmlformats.org/officeDocument/2006/relationships/hyperlink" Target="https://www.google.com/search?tbm=isch&amp;q=ESP32" TargetMode="External"/><Relationship Id="rId46" Type="http://schemas.openxmlformats.org/officeDocument/2006/relationships/hyperlink" Target="https://www.google.com/search?tbm=isch&amp;q=7+Segment+Display" TargetMode="External"/><Relationship Id="rId47" Type="http://schemas.openxmlformats.org/officeDocument/2006/relationships/hyperlink" Target="https://www.google.com/search?tbm=isch&amp;q=Battery+clips+with+DC+Jack" TargetMode="External"/><Relationship Id="rId48" Type="http://schemas.openxmlformats.org/officeDocument/2006/relationships/hyperlink" Target="https://www.google.com/search?tbm=isch&amp;q=Steel+Ruler" TargetMode="External"/><Relationship Id="rId49" Type="http://schemas.openxmlformats.org/officeDocument/2006/relationships/hyperlink" Target="https://www.google.com/search?tbm=isch&amp;q=Measuring+Tape+ISI+Mark" TargetMode="External"/><Relationship Id="rId50" Type="http://schemas.openxmlformats.org/officeDocument/2006/relationships/hyperlink" Target="https://www.google.com/search?tbm=isch&amp;q=Spirit+Level+Bottle" TargetMode="External"/><Relationship Id="rId51" Type="http://schemas.openxmlformats.org/officeDocument/2006/relationships/hyperlink" Target="https://cdn.jsdelivr.net/gh/EngineerX1234/vocational-images@main/tools/batch-05/agriculture-vernier-caliper.jpg" TargetMode="External"/><Relationship Id="rId52" Type="http://schemas.openxmlformats.org/officeDocument/2006/relationships/hyperlink" Target="https://www.google.com/search?tbm=isch&amp;q=Vernier+Caliper-+Digital" TargetMode="External"/><Relationship Id="rId53" Type="http://schemas.openxmlformats.org/officeDocument/2006/relationships/hyperlink" Target="https://www.google.com/search?tbm=isch&amp;q=Spring+Caliper+Inside+%2FOutside+%2FDivider" TargetMode="External"/><Relationship Id="rId54" Type="http://schemas.openxmlformats.org/officeDocument/2006/relationships/hyperlink" Target="https://www.google.com/search?tbm=isch&amp;q=Out+-+Side+Micrometer" TargetMode="External"/><Relationship Id="rId55" Type="http://schemas.openxmlformats.org/officeDocument/2006/relationships/hyperlink" Target="https://www.google.com/search?tbm=isch&amp;q=Out+-+Side+Micrometer+Digital" TargetMode="External"/><Relationship Id="rId56" Type="http://schemas.openxmlformats.org/officeDocument/2006/relationships/hyperlink" Target="https://www.google.com/search?tbm=isch&amp;q=Threading+Gauge+%28+Engineering%29" TargetMode="External"/><Relationship Id="rId57" Type="http://schemas.openxmlformats.org/officeDocument/2006/relationships/hyperlink" Target="https://www.google.com/search?tbm=isch&amp;q=Threading+Gauge+%28+Plumbing%29" TargetMode="External"/><Relationship Id="rId58" Type="http://schemas.openxmlformats.org/officeDocument/2006/relationships/hyperlink" Target="https://www.google.com/search?tbm=isch&amp;q=Radius+Gauge" TargetMode="External"/><Relationship Id="rId59" Type="http://schemas.openxmlformats.org/officeDocument/2006/relationships/hyperlink" Target="https://www.google.com/search?tbm=isch&amp;q=Try+Square" TargetMode="External"/><Relationship Id="rId60" Type="http://schemas.openxmlformats.org/officeDocument/2006/relationships/hyperlink" Target="https://www.google.com/search?tbm=isch&amp;q=Tri-square+%28Welding%29" TargetMode="External"/><Relationship Id="rId61" Type="http://schemas.openxmlformats.org/officeDocument/2006/relationships/hyperlink" Target="https://www.google.com/search?tbm=isch&amp;q=Tri-Square+%28Casting+base%29+%28construction+and+Carpentry%29" TargetMode="External"/><Relationship Id="rId62" Type="http://schemas.openxmlformats.org/officeDocument/2006/relationships/hyperlink" Target="https://www.google.com/search?tbm=isch&amp;q=Scriber" TargetMode="External"/><Relationship Id="rId63" Type="http://schemas.openxmlformats.org/officeDocument/2006/relationships/hyperlink" Target="https://www.google.com/search?tbm=isch&amp;q=Claw+Hammer" TargetMode="External"/><Relationship Id="rId64" Type="http://schemas.openxmlformats.org/officeDocument/2006/relationships/hyperlink" Target="https://www.google.com/search?tbm=isch&amp;q=Mallet+Wooden" TargetMode="External"/><Relationship Id="rId65" Type="http://schemas.openxmlformats.org/officeDocument/2006/relationships/hyperlink" Target="https://www.google.com/search?tbm=isch&amp;q=Mallet+Plastic" TargetMode="External"/><Relationship Id="rId66" Type="http://schemas.openxmlformats.org/officeDocument/2006/relationships/hyperlink" Target="https://www.google.com/search?tbm=isch&amp;q=Tenon+Saw" TargetMode="External"/><Relationship Id="rId67" Type="http://schemas.openxmlformats.org/officeDocument/2006/relationships/hyperlink" Target="https://www.google.com/search?tbm=isch&amp;q=Saw" TargetMode="External"/><Relationship Id="rId68" Type="http://schemas.openxmlformats.org/officeDocument/2006/relationships/hyperlink" Target="https://www.google.com/search?tbm=isch&amp;q=ELECTRIC+CIRCULAR+SAW" TargetMode="External"/><Relationship Id="rId69" Type="http://schemas.openxmlformats.org/officeDocument/2006/relationships/hyperlink" Target="https://www.google.com/search?tbm=isch&amp;q=Saw+small+size" TargetMode="External"/><Relationship Id="rId70" Type="http://schemas.openxmlformats.org/officeDocument/2006/relationships/hyperlink" Target="https://www.google.com/search?tbm=isch&amp;q=Diwad+Plier+%2F+Saw+teeth+setting+plier" TargetMode="External"/><Relationship Id="rId71" Type="http://schemas.openxmlformats.org/officeDocument/2006/relationships/hyperlink" Target="https://www.google.com/search?tbm=isch&amp;q=Hacksaw+Frame" TargetMode="External"/><Relationship Id="rId72" Type="http://schemas.openxmlformats.org/officeDocument/2006/relationships/hyperlink" Target="https://www.google.com/search?tbm=isch&amp;q=ADJUSTABLE+HACKSAW+FRAME" TargetMode="External"/><Relationship Id="rId73" Type="http://schemas.openxmlformats.org/officeDocument/2006/relationships/hyperlink" Target="https://www.google.com/search?tbm=isch&amp;q=Half+Round+Wood+rasp+File" TargetMode="External"/><Relationship Id="rId74" Type="http://schemas.openxmlformats.org/officeDocument/2006/relationships/hyperlink" Target="https://www.google.com/search?tbm=isch&amp;q=Flat+file+Rasp" TargetMode="External"/><Relationship Id="rId75" Type="http://schemas.openxmlformats.org/officeDocument/2006/relationships/hyperlink" Target="https://www.google.com/search?tbm=isch&amp;q=Flat+file+Rough" TargetMode="External"/><Relationship Id="rId76" Type="http://schemas.openxmlformats.org/officeDocument/2006/relationships/hyperlink" Target="https://www.google.com/search?tbm=isch&amp;q=C-Clamps+%28for+carpentry+use%29" TargetMode="External"/><Relationship Id="rId77" Type="http://schemas.openxmlformats.org/officeDocument/2006/relationships/hyperlink" Target="https://www.google.com/search?tbm=isch&amp;q=Iron+Plane" TargetMode="External"/><Relationship Id="rId78" Type="http://schemas.openxmlformats.org/officeDocument/2006/relationships/hyperlink" Target="https://www.google.com/search?tbm=isch&amp;q=Iron+Plane" TargetMode="External"/><Relationship Id="rId79" Type="http://schemas.openxmlformats.org/officeDocument/2006/relationships/hyperlink" Target="https://www.google.com/search?tbm=isch&amp;q=Firmer+Chisel" TargetMode="External"/><Relationship Id="rId80" Type="http://schemas.openxmlformats.org/officeDocument/2006/relationships/hyperlink" Target="https://www.google.com/search?tbm=isch&amp;q=Firmer+Chisel" TargetMode="External"/><Relationship Id="rId81" Type="http://schemas.openxmlformats.org/officeDocument/2006/relationships/hyperlink" Target="https://www.google.com/search?tbm=isch&amp;q=Mortise+Chisel" TargetMode="External"/><Relationship Id="rId82" Type="http://schemas.openxmlformats.org/officeDocument/2006/relationships/hyperlink" Target="https://www.google.com/search?tbm=isch&amp;q=Mortise+Chisel" TargetMode="External"/><Relationship Id="rId83" Type="http://schemas.openxmlformats.org/officeDocument/2006/relationships/hyperlink" Target="https://www.google.com/search?tbm=isch&amp;q=Pairing+Chisel" TargetMode="External"/><Relationship Id="rId84" Type="http://schemas.openxmlformats.org/officeDocument/2006/relationships/hyperlink" Target="https://www.google.com/search?tbm=isch&amp;q=Hand+Drill+Machine" TargetMode="External"/><Relationship Id="rId85" Type="http://schemas.openxmlformats.org/officeDocument/2006/relationships/hyperlink" Target="https://www.google.com/search?tbm=isch&amp;q=Butt+Hinges" TargetMode="External"/><Relationship Id="rId86" Type="http://schemas.openxmlformats.org/officeDocument/2006/relationships/hyperlink" Target="https://www.google.com/search?tbm=isch&amp;q=Rising+Butt+Hinges" TargetMode="External"/><Relationship Id="rId87" Type="http://schemas.openxmlformats.org/officeDocument/2006/relationships/hyperlink" Target="https://www.google.com/search?tbm=isch&amp;q=T%27+hinges" TargetMode="External"/><Relationship Id="rId88" Type="http://schemas.openxmlformats.org/officeDocument/2006/relationships/hyperlink" Target="https://www.google.com/search?tbm=isch&amp;q=Parliament+hinge" TargetMode="External"/><Relationship Id="rId89" Type="http://schemas.openxmlformats.org/officeDocument/2006/relationships/hyperlink" Target="https://www.google.com/search?tbm=isch&amp;q=Piano+Hinges" TargetMode="External"/><Relationship Id="rId90" Type="http://schemas.openxmlformats.org/officeDocument/2006/relationships/hyperlink" Target="https://www.google.com/search?tbm=isch&amp;q=Sun+mica+Cutter" TargetMode="External"/><Relationship Id="rId91" Type="http://schemas.openxmlformats.org/officeDocument/2006/relationships/hyperlink" Target="https://www.google.com/search?tbm=isch&amp;q=Carboundum+Stone+%28Emery%29" TargetMode="External"/><Relationship Id="rId92" Type="http://schemas.openxmlformats.org/officeDocument/2006/relationships/hyperlink" Target="https://www.google.com/search?tbm=isch&amp;q=Auger+Bit" TargetMode="External"/><Relationship Id="rId93" Type="http://schemas.openxmlformats.org/officeDocument/2006/relationships/hyperlink" Target="https://www.google.com/search?tbm=isch&amp;q=Tin+Cutter+%28Tin+cutter+with+spring%29" TargetMode="External"/><Relationship Id="rId94" Type="http://schemas.openxmlformats.org/officeDocument/2006/relationships/hyperlink" Target="https://www.google.com/search?tbm=isch&amp;q=Tin+Cutter+-Scissor" TargetMode="External"/><Relationship Id="rId95" Type="http://schemas.openxmlformats.org/officeDocument/2006/relationships/hyperlink" Target="https://www.google.com/search?tbm=isch&amp;q=Soldering+Iron+%28khadya%29" TargetMode="External"/><Relationship Id="rId96" Type="http://schemas.openxmlformats.org/officeDocument/2006/relationships/hyperlink" Target="https://www.google.com/search?tbm=isch&amp;q=Bench+Drill+Machine+%28With+belt+safety+guard+%26+on%2Foff+switch+" TargetMode="External"/><Relationship Id="rId97" Type="http://schemas.openxmlformats.org/officeDocument/2006/relationships/hyperlink" Target="https://www.google.com/search?tbm=isch&amp;q=HSS+Drill+set" TargetMode="External"/><Relationship Id="rId98" Type="http://schemas.openxmlformats.org/officeDocument/2006/relationships/hyperlink" Target="https://www.google.com/search?tbm=isch&amp;q=Center+Drill" TargetMode="External"/><Relationship Id="rId99" Type="http://schemas.openxmlformats.org/officeDocument/2006/relationships/hyperlink" Target="https://www.google.com/search?tbm=isch&amp;q=Tap+Wrench" TargetMode="External"/><Relationship Id="rId100" Type="http://schemas.openxmlformats.org/officeDocument/2006/relationships/hyperlink" Target="https://cdn.jsdelivr.net/gh/EngineerX1234/vocational-images@main/tools/batch-07/automotive-oil-can.jpg" TargetMode="External"/><Relationship Id="rId101" Type="http://schemas.openxmlformats.org/officeDocument/2006/relationships/hyperlink" Target="https://www.google.com/search?tbm=isch&amp;q=Machine+vice" TargetMode="External"/><Relationship Id="rId102" Type="http://schemas.openxmlformats.org/officeDocument/2006/relationships/hyperlink" Target="https://www.google.com/search?tbm=isch&amp;q=Hammers+B.P+%28Hammers+ball+pain%29" TargetMode="External"/><Relationship Id="rId103" Type="http://schemas.openxmlformats.org/officeDocument/2006/relationships/hyperlink" Target="https://www.google.com/search?tbm=isch&amp;q=Hammer+C.P+%28hammer+cross+pain%29+with+handle+forged+steel" TargetMode="External"/><Relationship Id="rId104" Type="http://schemas.openxmlformats.org/officeDocument/2006/relationships/hyperlink" Target="https://www.google.com/search?tbm=isch&amp;q=Flat+Chisel" TargetMode="External"/><Relationship Id="rId105" Type="http://schemas.openxmlformats.org/officeDocument/2006/relationships/hyperlink" Target="https://www.google.com/search?tbm=isch&amp;q=File+Handle+Wooden" TargetMode="External"/><Relationship Id="rId106" Type="http://schemas.openxmlformats.org/officeDocument/2006/relationships/hyperlink" Target="https://www.google.com/search?tbm=isch&amp;q=Flat+Basted+File" TargetMode="External"/><Relationship Id="rId107" Type="http://schemas.openxmlformats.org/officeDocument/2006/relationships/hyperlink" Target="https://www.google.com/search?tbm=isch&amp;q=Flat+Smooth+File" TargetMode="External"/><Relationship Id="rId108" Type="http://schemas.openxmlformats.org/officeDocument/2006/relationships/hyperlink" Target="https://www.google.com/search?tbm=isch&amp;q=Triangular+files" TargetMode="External"/><Relationship Id="rId109" Type="http://schemas.openxmlformats.org/officeDocument/2006/relationships/hyperlink" Target="https://www.google.com/search?tbm=isch&amp;q=Round+Basted+File" TargetMode="External"/><Relationship Id="rId110" Type="http://schemas.openxmlformats.org/officeDocument/2006/relationships/hyperlink" Target="https://www.google.com/search?tbm=isch&amp;q=Bench+Grinder" TargetMode="External"/><Relationship Id="rId111" Type="http://schemas.openxmlformats.org/officeDocument/2006/relationships/hyperlink" Target="https://www.google.com/search?tbm=isch&amp;q=Electrical+hand+drill+machine+MII+Class+1+Compliant" TargetMode="External"/><Relationship Id="rId112" Type="http://schemas.openxmlformats.org/officeDocument/2006/relationships/hyperlink" Target="https://www.google.com/search?tbm=isch&amp;q=Bench+Vice+%28Code-U+-301%29" TargetMode="External"/><Relationship Id="rId113" Type="http://schemas.openxmlformats.org/officeDocument/2006/relationships/hyperlink" Target="https://www.google.com/search?tbm=isch&amp;q=Open+End+Wrench%2F+Spanner+SET" TargetMode="External"/><Relationship Id="rId114" Type="http://schemas.openxmlformats.org/officeDocument/2006/relationships/hyperlink" Target="https://www.google.com/search?tbm=isch&amp;q=Ring+Spanner+Set" TargetMode="External"/><Relationship Id="rId115" Type="http://schemas.openxmlformats.org/officeDocument/2006/relationships/hyperlink" Target="https://www.google.com/search?tbm=isch&amp;q=Tap+%26+Die+Set" TargetMode="External"/><Relationship Id="rId116" Type="http://schemas.openxmlformats.org/officeDocument/2006/relationships/hyperlink" Target="https://www.google.com/search?tbm=isch&amp;q=Die+wrench" TargetMode="External"/><Relationship Id="rId117" Type="http://schemas.openxmlformats.org/officeDocument/2006/relationships/hyperlink" Target="https://www.google.com/search?tbm=isch&amp;q=Arc+Welding+Machine+%28Transformer%29+NABL+test+certified" TargetMode="External"/><Relationship Id="rId118" Type="http://schemas.openxmlformats.org/officeDocument/2006/relationships/hyperlink" Target="https://www.google.com/search?tbm=isch&amp;q=Cable+%26+Lugs+%28Welding+cable%29" TargetMode="External"/><Relationship Id="rId119" Type="http://schemas.openxmlformats.org/officeDocument/2006/relationships/hyperlink" Target="https://www.google.com/search?tbm=isch&amp;q=Welding+%2F+Electrode+Holder" TargetMode="External"/><Relationship Id="rId120" Type="http://schemas.openxmlformats.org/officeDocument/2006/relationships/hyperlink" Target="https://www.google.com/search?tbm=isch&amp;q=Wire+Brush" TargetMode="External"/><Relationship Id="rId121" Type="http://schemas.openxmlformats.org/officeDocument/2006/relationships/hyperlink" Target="https://www.google.com/search?tbm=isch&amp;q=Adjustable+Wrench+%28Adjustable+Spanner%29" TargetMode="External"/><Relationship Id="rId122" Type="http://schemas.openxmlformats.org/officeDocument/2006/relationships/hyperlink" Target="https://www.google.com/search?tbm=isch&amp;q=Grip-on-pliers" TargetMode="External"/><Relationship Id="rId123" Type="http://schemas.openxmlformats.org/officeDocument/2006/relationships/hyperlink" Target="https://www.google.com/search?tbm=isch&amp;q=Vise+Grip" TargetMode="External"/><Relationship Id="rId124" Type="http://schemas.openxmlformats.org/officeDocument/2006/relationships/hyperlink" Target="https://www.google.com/search?tbm=isch&amp;q=Trowel+%28Thapi%29+Set" TargetMode="External"/><Relationship Id="rId125" Type="http://schemas.openxmlformats.org/officeDocument/2006/relationships/hyperlink" Target="https://www.google.com/search?tbm=isch&amp;q=Trowel+%28Thapi-Plane%29" TargetMode="External"/><Relationship Id="rId126" Type="http://schemas.openxmlformats.org/officeDocument/2006/relationships/hyperlink" Target="https://cdn.jsdelivr.net/gh/EngineerX1234/vocational-images@main/tools/batch-11/electronics-plumb-bob.jpg" TargetMode="External"/><Relationship Id="rId127" Type="http://schemas.openxmlformats.org/officeDocument/2006/relationships/hyperlink" Target="https://www.google.com/search?tbm=isch&amp;q=Line+Rope" TargetMode="External"/><Relationship Id="rId128" Type="http://schemas.openxmlformats.org/officeDocument/2006/relationships/hyperlink" Target="https://www.google.com/search?tbm=isch&amp;q=Sand+Sieve" TargetMode="External"/><Relationship Id="rId129" Type="http://schemas.openxmlformats.org/officeDocument/2006/relationships/hyperlink" Target="https://www.google.com/search?tbm=isch&amp;q=Masonry+Drill+%28Concrete+Drill%29" TargetMode="External"/><Relationship Id="rId130" Type="http://schemas.openxmlformats.org/officeDocument/2006/relationships/hyperlink" Target="https://www.google.com/search?tbm=isch&amp;q=Bucket+%28+MS+steel+bucket%29" TargetMode="External"/><Relationship Id="rId131" Type="http://schemas.openxmlformats.org/officeDocument/2006/relationships/hyperlink" Target="https://www.google.com/search?tbm=isch&amp;q=Ghamelas+%28MS+Steel%29+%28for+construction+work%29" TargetMode="External"/><Relationship Id="rId132" Type="http://schemas.openxmlformats.org/officeDocument/2006/relationships/hyperlink" Target="https://www.google.com/search?tbm=isch&amp;q=Spade+with+wooden+handle" TargetMode="External"/><Relationship Id="rId133" Type="http://schemas.openxmlformats.org/officeDocument/2006/relationships/hyperlink" Target="https://www.google.com/search?tbm=isch&amp;q=Pipe+Die+Set+-+with+D%2FE+Handle+%28pipe+wrench%29" TargetMode="External"/><Relationship Id="rId134" Type="http://schemas.openxmlformats.org/officeDocument/2006/relationships/hyperlink" Target="https://cdn.jsdelivr.net/gh/EngineerX1234/vocational-images@main/tools/batch-20/plumbing-pipe-vice.jpg" TargetMode="External"/><Relationship Id="rId135" Type="http://schemas.openxmlformats.org/officeDocument/2006/relationships/hyperlink" Target="https://www.google.com/search?tbm=isch&amp;q=Pipe+Wrench+BIS+certified" TargetMode="External"/><Relationship Id="rId136" Type="http://schemas.openxmlformats.org/officeDocument/2006/relationships/hyperlink" Target="https://www.google.com/search?tbm=isch&amp;q=Water+Pump+Plier" TargetMode="External"/><Relationship Id="rId137" Type="http://schemas.openxmlformats.org/officeDocument/2006/relationships/hyperlink" Target="https://www.google.com/search?tbm=isch&amp;q=Hack+Saw+Blade" TargetMode="External"/><Relationship Id="rId138" Type="http://schemas.openxmlformats.org/officeDocument/2006/relationships/hyperlink" Target="https://www.google.com/search?tbm=isch&amp;q=Safety+Helmet" TargetMode="External"/><Relationship Id="rId139" Type="http://schemas.openxmlformats.org/officeDocument/2006/relationships/hyperlink" Target="https://www.google.com/search?tbm=isch&amp;q=Safety+Goggle" TargetMode="External"/><Relationship Id="rId140" Type="http://schemas.openxmlformats.org/officeDocument/2006/relationships/hyperlink" Target="https://www.google.com/search?tbm=isch&amp;q=Welding+Goggle" TargetMode="External"/><Relationship Id="rId141" Type="http://schemas.openxmlformats.org/officeDocument/2006/relationships/hyperlink" Target="https://www.google.com/search?tbm=isch&amp;q=Welding+Screen+with+Head+Band" TargetMode="External"/><Relationship Id="rId142" Type="http://schemas.openxmlformats.org/officeDocument/2006/relationships/hyperlink" Target="https://www.google.com/search?tbm=isch&amp;q=Overcoat+%28Apron-+Blue+color%29" TargetMode="External"/><Relationship Id="rId143" Type="http://schemas.openxmlformats.org/officeDocument/2006/relationships/hyperlink" Target="https://www.google.com/search?tbm=isch&amp;q=Hand+Gloves+%28Welding+leather+hand+gloves%29" TargetMode="External"/><Relationship Id="rId144" Type="http://schemas.openxmlformats.org/officeDocument/2006/relationships/hyperlink" Target="https://www.google.com/search?tbm=isch&amp;q=Cotton+Hand+Gloves+%28sheet+metal+work%29" TargetMode="External"/><Relationship Id="rId145" Type="http://schemas.openxmlformats.org/officeDocument/2006/relationships/hyperlink" Target="https://www.google.com/search?tbm=isch&amp;q=Hand+gloves+pairs+%28constriction%29" TargetMode="External"/><Relationship Id="rId146" Type="http://schemas.openxmlformats.org/officeDocument/2006/relationships/hyperlink" Target="https://www.google.com/search?tbm=isch&amp;q=Welding+Apron" TargetMode="External"/><Relationship Id="rId147" Type="http://schemas.openxmlformats.org/officeDocument/2006/relationships/hyperlink" Target="https://www.google.com/search?tbm=isch&amp;q=Rubber+Chappals" TargetMode="External"/><Relationship Id="rId148" Type="http://schemas.openxmlformats.org/officeDocument/2006/relationships/hyperlink" Target="https://www.google.com/search?tbm=isch&amp;q=First+Aid+Box" TargetMode="External"/><Relationship Id="rId149" Type="http://schemas.openxmlformats.org/officeDocument/2006/relationships/hyperlink" Target="https://cdn.jsdelivr.net/gh/EngineerX1234/vocational-images@main/tools/batch-11/electronics-voltmeter.jpg" TargetMode="External"/><Relationship Id="rId150" Type="http://schemas.openxmlformats.org/officeDocument/2006/relationships/hyperlink" Target="https://cdn.jsdelivr.net/gh/EngineerX1234/vocational-images@main/tools/batch-10/electronics-ammeter.jpg" TargetMode="External"/><Relationship Id="rId151" Type="http://schemas.openxmlformats.org/officeDocument/2006/relationships/hyperlink" Target="https://cdn.jsdelivr.net/gh/EngineerX1234/vocational-images@main/tools/batch-11/electronics-wattmeter.jpg" TargetMode="External"/><Relationship Id="rId152" Type="http://schemas.openxmlformats.org/officeDocument/2006/relationships/hyperlink" Target="https://cdn.jsdelivr.net/gh/EngineerX1234/vocational-images@main/tools/batch-13/green-jobs-frequency-meter.jpg" TargetMode="External"/><Relationship Id="rId153" Type="http://schemas.openxmlformats.org/officeDocument/2006/relationships/hyperlink" Target="https://www.google.com/search?tbm=isch&amp;q=Voltmeter+%2F+DIGITAL+MULTIMETER" TargetMode="External"/><Relationship Id="rId154" Type="http://schemas.openxmlformats.org/officeDocument/2006/relationships/hyperlink" Target="https://cdn.jsdelivr.net/gh/EngineerX1234/vocational-images@main/tools/batch-11/electronics-non-contact-voltage-detector.jpg" TargetMode="External"/><Relationship Id="rId155" Type="http://schemas.openxmlformats.org/officeDocument/2006/relationships/hyperlink" Target="https://cdn.jsdelivr.net/gh/EngineerX1234/vocational-images@main/tools/batch-11/electronics-wire-gauge.jpg" TargetMode="External"/><Relationship Id="rId156" Type="http://schemas.openxmlformats.org/officeDocument/2006/relationships/hyperlink" Target="https://cdn.jsdelivr.net/gh/EngineerX1234/vocational-images@main/tools/batch-26/agriculture-hydrometer.jpg" TargetMode="External"/><Relationship Id="rId157" Type="http://schemas.openxmlformats.org/officeDocument/2006/relationships/hyperlink" Target="https://www.google.com/search?tbm=isch&amp;q=Fish+Tape" TargetMode="External"/><Relationship Id="rId158" Type="http://schemas.openxmlformats.org/officeDocument/2006/relationships/hyperlink" Target="https://www.google.com/search?tbm=isch&amp;q=Linesman+Pliers+ISI+Mark%2CRoHS" TargetMode="External"/><Relationship Id="rId159" Type="http://schemas.openxmlformats.org/officeDocument/2006/relationships/hyperlink" Target="https://www.google.com/search?tbm=isch&amp;q=Long+Nose+Pliers+ISI+Mark%2CRoHS" TargetMode="External"/><Relationship Id="rId160" Type="http://schemas.openxmlformats.org/officeDocument/2006/relationships/hyperlink" Target="https://www.google.com/search?tbm=isch&amp;q=Side+Cutting+Plier+ISI+Mark%2C+RoHS" TargetMode="External"/><Relationship Id="rId161" Type="http://schemas.openxmlformats.org/officeDocument/2006/relationships/hyperlink" Target="https://cdn.jsdelivr.net/gh/EngineerX1234/vocational-images@main/tools/batch-11/electronics-screwdriver-set.jpg" TargetMode="External"/><Relationship Id="rId162" Type="http://schemas.openxmlformats.org/officeDocument/2006/relationships/hyperlink" Target="https://www.google.com/search?tbm=isch&amp;q=Screw+Driver+Set+%2F+Electrician-Wiremen+Set" TargetMode="External"/><Relationship Id="rId163" Type="http://schemas.openxmlformats.org/officeDocument/2006/relationships/hyperlink" Target="https://www.google.com/search?tbm=isch&amp;q=Pokar" TargetMode="External"/><Relationship Id="rId164" Type="http://schemas.openxmlformats.org/officeDocument/2006/relationships/hyperlink" Target="https://www.google.com/search?tbm=isch&amp;q=Tester" TargetMode="External"/><Relationship Id="rId165" Type="http://schemas.openxmlformats.org/officeDocument/2006/relationships/hyperlink" Target="https://cdn.jsdelivr.net/gh/EngineerX1234/vocational-images@main/tools/batch-05/agriculture-wire-stripper.jpg" TargetMode="External"/><Relationship Id="rId166" Type="http://schemas.openxmlformats.org/officeDocument/2006/relationships/hyperlink" Target="https://www.google.com/search?tbm=isch&amp;q=Wire+Stripper+%28Automatic%29" TargetMode="External"/><Relationship Id="rId167" Type="http://schemas.openxmlformats.org/officeDocument/2006/relationships/hyperlink" Target="https://www.google.com/search?tbm=isch&amp;q=Razor+Blade+Knife+%28Utility+Knife%29" TargetMode="External"/><Relationship Id="rId168" Type="http://schemas.openxmlformats.org/officeDocument/2006/relationships/hyperlink" Target="https://cdn.jsdelivr.net/gh/EngineerX1234/vocational-images@main/tools/batch-10/electronics-hacksaw.jpg" TargetMode="External"/><Relationship Id="rId169" Type="http://schemas.openxmlformats.org/officeDocument/2006/relationships/hyperlink" Target="https://www.google.com/search?tbm=isch&amp;q=3+Core+Flexible+Cable+%28+For+Drilling+%2C+Grinding+%2C+Welding+M%2F" TargetMode="External"/><Relationship Id="rId170" Type="http://schemas.openxmlformats.org/officeDocument/2006/relationships/hyperlink" Target="https://www.google.com/search?tbm=isch&amp;q=Sockets+%28Assorted%29+2+Pin" TargetMode="External"/><Relationship Id="rId171" Type="http://schemas.openxmlformats.org/officeDocument/2006/relationships/hyperlink" Target="https://www.google.com/search?tbm=isch&amp;q=Sockets+%28Assorted%29+3+Pin" TargetMode="External"/><Relationship Id="rId172" Type="http://schemas.openxmlformats.org/officeDocument/2006/relationships/hyperlink" Target="https://www.google.com/search?tbm=isch&amp;q=Plugs+%28Assorted%29+Top+2+Pin" TargetMode="External"/><Relationship Id="rId173" Type="http://schemas.openxmlformats.org/officeDocument/2006/relationships/hyperlink" Target="https://www.google.com/search?tbm=isch&amp;q=Plugs+%28Assorted%29+Top+3+Pin" TargetMode="External"/><Relationship Id="rId174" Type="http://schemas.openxmlformats.org/officeDocument/2006/relationships/hyperlink" Target="https://cdn.jsdelivr.net/gh/EngineerX1234/vocational-images@main/tools/batch-11/electronics-switches.jpg" TargetMode="External"/><Relationship Id="rId175" Type="http://schemas.openxmlformats.org/officeDocument/2006/relationships/hyperlink" Target="https://www.google.com/search?tbm=isch&amp;q=Switches+%28Assorted%29+One+way" TargetMode="External"/><Relationship Id="rId176" Type="http://schemas.openxmlformats.org/officeDocument/2006/relationships/hyperlink" Target="https://www.google.com/search?tbm=isch&amp;q=Switches+%28Assorted%29+Two+way" TargetMode="External"/><Relationship Id="rId177" Type="http://schemas.openxmlformats.org/officeDocument/2006/relationships/hyperlink" Target="https://www.google.com/search?tbm=isch&amp;q=Bell+Push+Switch" TargetMode="External"/><Relationship Id="rId178" Type="http://schemas.openxmlformats.org/officeDocument/2006/relationships/hyperlink" Target="https://www.google.com/search?tbm=isch&amp;q=Lamp+Holders+%28Assorted%29+Angle" TargetMode="External"/><Relationship Id="rId179" Type="http://schemas.openxmlformats.org/officeDocument/2006/relationships/hyperlink" Target="https://www.google.com/search?tbm=isch&amp;q=Lamp+Holders+%28Assorted%29+Bettle" TargetMode="External"/><Relationship Id="rId180" Type="http://schemas.openxmlformats.org/officeDocument/2006/relationships/hyperlink" Target="https://www.google.com/search?tbm=isch&amp;q=Light+Emission+Diode" TargetMode="External"/><Relationship Id="rId181" Type="http://schemas.openxmlformats.org/officeDocument/2006/relationships/hyperlink" Target="https://www.google.com/search?tbm=isch&amp;q=Pull-Push+Switch" TargetMode="External"/><Relationship Id="rId182" Type="http://schemas.openxmlformats.org/officeDocument/2006/relationships/hyperlink" Target="https://www.google.com/search?tbm=isch&amp;q=Capacitor" TargetMode="External"/><Relationship Id="rId183" Type="http://schemas.openxmlformats.org/officeDocument/2006/relationships/hyperlink" Target="https://www.google.com/search?tbm=isch&amp;q=Relay" TargetMode="External"/><Relationship Id="rId184" Type="http://schemas.openxmlformats.org/officeDocument/2006/relationships/hyperlink" Target="https://www.google.com/search?tbm=isch&amp;q=Earthing+Plate" TargetMode="External"/><Relationship Id="rId185" Type="http://schemas.openxmlformats.org/officeDocument/2006/relationships/hyperlink" Target="https://www.google.com/search?tbm=isch&amp;q=Earthing+Rod" TargetMode="External"/><Relationship Id="rId186" Type="http://schemas.openxmlformats.org/officeDocument/2006/relationships/hyperlink" Target="https://www.google.com/search?tbm=isch&amp;q=Earthing+Pipe" TargetMode="External"/><Relationship Id="rId187" Type="http://schemas.openxmlformats.org/officeDocument/2006/relationships/hyperlink" Target="https://www.google.com/search?tbm=isch&amp;q=Different+Type+of+Fuse" TargetMode="External"/><Relationship Id="rId188" Type="http://schemas.openxmlformats.org/officeDocument/2006/relationships/hyperlink" Target="https://www.google.com/search?tbm=isch&amp;q=Miniature+Circuit+Breaker" TargetMode="External"/><Relationship Id="rId189" Type="http://schemas.openxmlformats.org/officeDocument/2006/relationships/hyperlink" Target="https://www.google.com/search?tbm=isch&amp;q=Electric+Soldering+Iron" TargetMode="External"/><Relationship Id="rId190" Type="http://schemas.openxmlformats.org/officeDocument/2006/relationships/hyperlink" Target="https://www.google.com/search?tbm=isch&amp;q=Valve+Spanner" TargetMode="External"/><Relationship Id="rId191" Type="http://schemas.openxmlformats.org/officeDocument/2006/relationships/hyperlink" Target="https://www.google.com/search?tbm=isch&amp;q=Nozzel%2FNipple+spanner" TargetMode="External"/><Relationship Id="rId192" Type="http://schemas.openxmlformats.org/officeDocument/2006/relationships/hyperlink" Target="https://www.google.com/search?tbm=isch&amp;q=Wick+Stove" TargetMode="External"/><Relationship Id="rId193" Type="http://schemas.openxmlformats.org/officeDocument/2006/relationships/hyperlink" Target="https://www.google.com/search?tbm=isch&amp;q=Pressure+Stove" TargetMode="External"/><Relationship Id="rId194" Type="http://schemas.openxmlformats.org/officeDocument/2006/relationships/hyperlink" Target="https://www.google.com/search?tbm=isch&amp;q=DOL+STARTER" TargetMode="External"/><Relationship Id="rId195" Type="http://schemas.openxmlformats.org/officeDocument/2006/relationships/hyperlink" Target="https://www.google.com/search?tbm=isch&amp;q=WATER+PUMP+1+PHASE+ISI+Mark" TargetMode="External"/><Relationship Id="rId196" Type="http://schemas.openxmlformats.org/officeDocument/2006/relationships/hyperlink" Target="https://www.google.com/search?tbm=isch&amp;q=MOTER+ELECTRIC+1+PHASE+ISI+Mark" TargetMode="External"/><Relationship Id="rId197" Type="http://schemas.openxmlformats.org/officeDocument/2006/relationships/hyperlink" Target="https://www.google.com/search?tbm=isch&amp;q=Rotary+Switch" TargetMode="External"/><Relationship Id="rId198" Type="http://schemas.openxmlformats.org/officeDocument/2006/relationships/hyperlink" Target="https://www.google.com/search?tbm=isch&amp;q=Earthing+Wire" TargetMode="External"/><Relationship Id="rId199" Type="http://schemas.openxmlformats.org/officeDocument/2006/relationships/hyperlink" Target="https://www.google.com/search?tbm=isch&amp;q=Electric+Wires" TargetMode="External"/><Relationship Id="rId200" Type="http://schemas.openxmlformats.org/officeDocument/2006/relationships/hyperlink" Target="https://www.google.com/search?tbm=isch&amp;q=Electrical+Hand+Gloves" TargetMode="External"/><Relationship Id="rId201" Type="http://schemas.openxmlformats.org/officeDocument/2006/relationships/hyperlink" Target="https://www.google.com/search?tbm=isch&amp;q=Rubber+Matting" TargetMode="External"/><Relationship Id="rId202" Type="http://schemas.openxmlformats.org/officeDocument/2006/relationships/hyperlink" Target="https://www.google.com/search?tbm=isch&amp;q=Sand+Bucket" TargetMode="External"/><Relationship Id="rId203" Type="http://schemas.openxmlformats.org/officeDocument/2006/relationships/hyperlink" Target="https://www.google.com/search?tbm=isch&amp;q=Fire+Extinguisher+CO2" TargetMode="External"/><Relationship Id="rId204" Type="http://schemas.openxmlformats.org/officeDocument/2006/relationships/hyperlink" Target="https://www.google.com/search?tbm=isch&amp;q=Stainless+steel+Plates" TargetMode="External"/><Relationship Id="rId205" Type="http://schemas.openxmlformats.org/officeDocument/2006/relationships/hyperlink" Target="https://www.google.com/search?tbm=isch&amp;q=Sieves" TargetMode="External"/><Relationship Id="rId206" Type="http://schemas.openxmlformats.org/officeDocument/2006/relationships/hyperlink" Target="https://www.google.com/search?tbm=isch&amp;q=Set+of+cooking+spoon" TargetMode="External"/><Relationship Id="rId207" Type="http://schemas.openxmlformats.org/officeDocument/2006/relationships/hyperlink" Target="https://www.google.com/search?tbm=isch&amp;q=Stainless+steel+Containers+with+Cover+%28Pot%29" TargetMode="External"/><Relationship Id="rId208" Type="http://schemas.openxmlformats.org/officeDocument/2006/relationships/hyperlink" Target="https://www.google.com/search?tbm=isch&amp;q=Steel+Bowls" TargetMode="External"/><Relationship Id="rId209" Type="http://schemas.openxmlformats.org/officeDocument/2006/relationships/hyperlink" Target="https://www.google.com/search?tbm=isch&amp;q=Frying+Pan+%28medium%29-+With+Handle" TargetMode="External"/><Relationship Id="rId210" Type="http://schemas.openxmlformats.org/officeDocument/2006/relationships/hyperlink" Target="https://www.google.com/search?tbm=isch&amp;q=Grater%2F+Shredder" TargetMode="External"/><Relationship Id="rId211" Type="http://schemas.openxmlformats.org/officeDocument/2006/relationships/hyperlink" Target="https://www.google.com/search?tbm=isch&amp;q=Hand+Operated+Chikki+Slicer+%28Roller%29%2C+cutter" TargetMode="External"/><Relationship Id="rId212" Type="http://schemas.openxmlformats.org/officeDocument/2006/relationships/hyperlink" Target="https://www.google.com/search?tbm=isch&amp;q=Knives" TargetMode="External"/><Relationship Id="rId213" Type="http://schemas.openxmlformats.org/officeDocument/2006/relationships/hyperlink" Target="https://www.google.com/search?tbm=isch&amp;q=Polpat+and+Latan+%28Roller%29" TargetMode="External"/><Relationship Id="rId214" Type="http://schemas.openxmlformats.org/officeDocument/2006/relationships/hyperlink" Target="https://www.google.com/search?tbm=isch&amp;q=Gas+lighter" TargetMode="External"/><Relationship Id="rId215" Type="http://schemas.openxmlformats.org/officeDocument/2006/relationships/hyperlink" Target="https://www.google.com/search?tbm=isch&amp;q=Measuring+Mug+%2F+Cup" TargetMode="External"/><Relationship Id="rId216" Type="http://schemas.openxmlformats.org/officeDocument/2006/relationships/hyperlink" Target="https://www.google.com/search?tbm=isch&amp;q=Measuring+Spoons" TargetMode="External"/><Relationship Id="rId217" Type="http://schemas.openxmlformats.org/officeDocument/2006/relationships/hyperlink" Target="https://www.google.com/search?tbm=isch&amp;q=Mixer+%28Mixture-+Grinder%29" TargetMode="External"/><Relationship Id="rId218" Type="http://schemas.openxmlformats.org/officeDocument/2006/relationships/hyperlink" Target="https://www.google.com/search?tbm=isch&amp;q=Pressure+Cooker+ISI+Certified" TargetMode="External"/><Relationship Id="rId219" Type="http://schemas.openxmlformats.org/officeDocument/2006/relationships/hyperlink" Target="https://cdn.jsdelivr.net/gh/EngineerX1234/vocational-images@main/tools/batch-25/apparel-scissors.jpg" TargetMode="External"/><Relationship Id="rId220" Type="http://schemas.openxmlformats.org/officeDocument/2006/relationships/hyperlink" Target="https://www.google.com/search?tbm=isch&amp;q=Table+Spoons" TargetMode="External"/><Relationship Id="rId221" Type="http://schemas.openxmlformats.org/officeDocument/2006/relationships/hyperlink" Target="https://www.google.com/search?tbm=isch&amp;q=Single+Burner+Stove" TargetMode="External"/><Relationship Id="rId222" Type="http://schemas.openxmlformats.org/officeDocument/2006/relationships/hyperlink" Target="https://www.google.com/search?tbm=isch&amp;q=Tong" TargetMode="External"/><Relationship Id="rId223" Type="http://schemas.openxmlformats.org/officeDocument/2006/relationships/hyperlink" Target="https://www.google.com/search?tbm=isch&amp;q=Vegetable+Peeler" TargetMode="External"/><Relationship Id="rId224" Type="http://schemas.openxmlformats.org/officeDocument/2006/relationships/hyperlink" Target="https://www.google.com/search?tbm=isch&amp;q=Water+Container+%28Jug%29" TargetMode="External"/><Relationship Id="rId225" Type="http://schemas.openxmlformats.org/officeDocument/2006/relationships/hyperlink" Target="https://www.google.com/search?tbm=isch&amp;q=hindalium+container+with+lid+-+3+lit" TargetMode="External"/><Relationship Id="rId226" Type="http://schemas.openxmlformats.org/officeDocument/2006/relationships/hyperlink" Target="https://cdn.jsdelivr.net/gh/EngineerX1234/vocational-images@main/tools/batch-16/home-management-and-care-giving-dust-pan.jpg" TargetMode="External"/><Relationship Id="rId227" Type="http://schemas.openxmlformats.org/officeDocument/2006/relationships/hyperlink" Target="https://www.google.com/search?tbm=isch&amp;q=Sieves" TargetMode="External"/><Relationship Id="rId228" Type="http://schemas.openxmlformats.org/officeDocument/2006/relationships/hyperlink" Target="https://www.google.com/search?tbm=isch&amp;q=Plastic+Container" TargetMode="External"/><Relationship Id="rId229" Type="http://schemas.openxmlformats.org/officeDocument/2006/relationships/hyperlink" Target="https://www.google.com/search?tbm=isch&amp;q=Glass+container" TargetMode="External"/><Relationship Id="rId230" Type="http://schemas.openxmlformats.org/officeDocument/2006/relationships/hyperlink" Target="https://www.google.com/search?tbm=isch&amp;q=Digital+Kitchen+Balance" TargetMode="External"/><Relationship Id="rId231" Type="http://schemas.openxmlformats.org/officeDocument/2006/relationships/hyperlink" Target="https://www.google.com/search?tbm=isch&amp;q=Plastic+Bucket" TargetMode="External"/><Relationship Id="rId232" Type="http://schemas.openxmlformats.org/officeDocument/2006/relationships/hyperlink" Target="https://www.google.com/search?tbm=isch&amp;q=Plastic+Dustbin" TargetMode="External"/><Relationship Id="rId233" Type="http://schemas.openxmlformats.org/officeDocument/2006/relationships/hyperlink" Target="https://cdn.jsdelivr.net/gh/EngineerX1234/vocational-images@main/tools/batch-17/home-management-and-care-giving-stethoscope.jpg" TargetMode="External"/><Relationship Id="rId234" Type="http://schemas.openxmlformats.org/officeDocument/2006/relationships/hyperlink" Target="https://cdn.jsdelivr.net/gh/EngineerX1234/vocational-images@main/tools/batch-20/private-security-thermometer.jpg" TargetMode="External"/><Relationship Id="rId235" Type="http://schemas.openxmlformats.org/officeDocument/2006/relationships/hyperlink" Target="https://cdn.jsdelivr.net/gh/EngineerX1234/vocational-images@main/tools/batch-13/food-processing-weighing-machine.jpg" TargetMode="External"/><Relationship Id="rId236" Type="http://schemas.openxmlformats.org/officeDocument/2006/relationships/hyperlink" Target="https://www.google.com/search?tbm=isch&amp;q=First+-aid+Box" TargetMode="External"/><Relationship Id="rId237" Type="http://schemas.openxmlformats.org/officeDocument/2006/relationships/hyperlink" Target="https://www.google.com/search?tbm=isch&amp;q=Beaker" TargetMode="External"/><Relationship Id="rId238" Type="http://schemas.openxmlformats.org/officeDocument/2006/relationships/hyperlink" Target="https://www.google.com/search?tbm=isch&amp;q=Digital+BP+machine" TargetMode="External"/><Relationship Id="rId239" Type="http://schemas.openxmlformats.org/officeDocument/2006/relationships/hyperlink" Target="https://www.google.com/search?tbm=isch&amp;q=Digital+timer" TargetMode="External"/><Relationship Id="rId240" Type="http://schemas.openxmlformats.org/officeDocument/2006/relationships/hyperlink" Target="https://www.google.com/search?tbm=isch&amp;q=Digital+Candy+Thermometer+%28for+taking+food+temperature" TargetMode="External"/><Relationship Id="rId241" Type="http://schemas.openxmlformats.org/officeDocument/2006/relationships/hyperlink" Target="https://www.google.com/search?tbm=isch&amp;q=Fire+Extinguisher+CO2" TargetMode="External"/><Relationship Id="rId242" Type="http://schemas.openxmlformats.org/officeDocument/2006/relationships/hyperlink" Target="https://www.google.com/search?tbm=isch&amp;q=Apron+%28Cloth%29" TargetMode="External"/><Relationship Id="rId243" Type="http://schemas.openxmlformats.org/officeDocument/2006/relationships/hyperlink" Target="https://www.google.com/search?tbm=isch&amp;q=Dish+towels" TargetMode="External"/><Relationship Id="rId244" Type="http://schemas.openxmlformats.org/officeDocument/2006/relationships/hyperlink" Target="https://www.google.com/search?tbm=isch&amp;q=Hand+Gloves" TargetMode="External"/><Relationship Id="rId245" Type="http://schemas.openxmlformats.org/officeDocument/2006/relationships/hyperlink" Target="https://www.google.com/search?tbm=isch&amp;q=Hand+Gloves+%28Plastic%29" TargetMode="External"/><Relationship Id="rId246" Type="http://schemas.openxmlformats.org/officeDocument/2006/relationships/hyperlink" Target="https://www.google.com/search?tbm=isch&amp;q=Head+Caps+%28Cloth%29" TargetMode="External"/><Relationship Id="rId247" Type="http://schemas.openxmlformats.org/officeDocument/2006/relationships/hyperlink" Target="https://www.google.com/search?tbm=isch&amp;q=Aluminum+foil" TargetMode="External"/><Relationship Id="rId248" Type="http://schemas.openxmlformats.org/officeDocument/2006/relationships/hyperlink" Target="https://www.google.com/search?tbm=isch&amp;q=Food+Pyramid" TargetMode="External"/><Relationship Id="rId249" Type="http://schemas.openxmlformats.org/officeDocument/2006/relationships/hyperlink" Target="https://www.google.com/search?tbm=isch&amp;q=Nutrition+Chart" TargetMode="External"/><Relationship Id="rId250" Type="http://schemas.openxmlformats.org/officeDocument/2006/relationships/hyperlink" Target="https://www.google.com/search?tbm=isch&amp;q=Diseases+Chart" TargetMode="External"/><Relationship Id="rId251" Type="http://schemas.openxmlformats.org/officeDocument/2006/relationships/hyperlink" Target="https://cdn.jsdelivr.net/gh/EngineerX1234/vocational-images@main/tools/batch-01/agriculture-budding-knife.jpg" TargetMode="External"/><Relationship Id="rId252" Type="http://schemas.openxmlformats.org/officeDocument/2006/relationships/hyperlink" Target="https://cdn.jsdelivr.net/gh/EngineerX1234/vocational-images@main/tools/batch-23/agriculture-garden-knife.jpg" TargetMode="External"/><Relationship Id="rId253" Type="http://schemas.openxmlformats.org/officeDocument/2006/relationships/hyperlink" Target="https://cdn.jsdelivr.net/gh/EngineerX1234/vocational-images@main/tools/batch-23/agriculture-grafting-knife.jpg" TargetMode="External"/><Relationship Id="rId254" Type="http://schemas.openxmlformats.org/officeDocument/2006/relationships/hyperlink" Target="https://www.google.com/search?tbm=isch&amp;q=Hori+Hori+Knife+%28Soil+Knife%29" TargetMode="External"/><Relationship Id="rId255" Type="http://schemas.openxmlformats.org/officeDocument/2006/relationships/hyperlink" Target="https://www.google.com/search?tbm=isch&amp;q=Tree+Cutting+Shears" TargetMode="External"/><Relationship Id="rId256" Type="http://schemas.openxmlformats.org/officeDocument/2006/relationships/hyperlink" Target="https://www.google.com/search?tbm=isch&amp;q=Pruning+Sheared+%2F+C+Cutter" TargetMode="External"/><Relationship Id="rId257" Type="http://schemas.openxmlformats.org/officeDocument/2006/relationships/hyperlink" Target="https://cdn.jsdelivr.net/gh/EngineerX1234/vocational-images@main/tools/batch-04/agriculture-pruning-knife.jpg" TargetMode="External"/><Relationship Id="rId258" Type="http://schemas.openxmlformats.org/officeDocument/2006/relationships/hyperlink" Target="https://cdn.jsdelivr.net/gh/EngineerX1234/vocational-images@main/tools/batch-05/agriculture-trowels.jpg" TargetMode="External"/><Relationship Id="rId259" Type="http://schemas.openxmlformats.org/officeDocument/2006/relationships/hyperlink" Target="https://www.google.com/search?tbm=isch&amp;q=Spade+with+wooden+Handle" TargetMode="External"/><Relationship Id="rId260" Type="http://schemas.openxmlformats.org/officeDocument/2006/relationships/hyperlink" Target="https://www.google.com/search?tbm=isch&amp;q=Axe+with+wooden+handle" TargetMode="External"/><Relationship Id="rId261" Type="http://schemas.openxmlformats.org/officeDocument/2006/relationships/hyperlink" Target="https://www.google.com/search?tbm=isch&amp;q=Pickaxe+%28Tikav%29+with+wooden+handle" TargetMode="External"/><Relationship Id="rId262" Type="http://schemas.openxmlformats.org/officeDocument/2006/relationships/hyperlink" Target="https://cdn.jsdelivr.net/gh/EngineerX1234/vocational-images@main/tools/batch-26/agriculture-khurpi.jpg" TargetMode="External"/><Relationship Id="rId263" Type="http://schemas.openxmlformats.org/officeDocument/2006/relationships/hyperlink" Target="https://cdn.jsdelivr.net/gh/EngineerX1234/vocational-images@main/tools/batch-24/agriculture-sickle.jpg" TargetMode="External"/><Relationship Id="rId264" Type="http://schemas.openxmlformats.org/officeDocument/2006/relationships/hyperlink" Target="https://www.google.com/search?tbm=isch&amp;q=Leaf+Rake+with+Handle" TargetMode="External"/><Relationship Id="rId265" Type="http://schemas.openxmlformats.org/officeDocument/2006/relationships/hyperlink" Target="https://cdn.jsdelivr.net/gh/EngineerX1234/vocational-images@main/tools/batch-11/electronics-scissor.jpg" TargetMode="External"/><Relationship Id="rId266" Type="http://schemas.openxmlformats.org/officeDocument/2006/relationships/hyperlink" Target="https://www.google.com/search?tbm=isch&amp;q=Watering+Can+%2C+8+to+10+Ltr." TargetMode="External"/><Relationship Id="rId267" Type="http://schemas.openxmlformats.org/officeDocument/2006/relationships/hyperlink" Target="https://www.google.com/search?tbm=isch&amp;q=Plastic+Ghamale" TargetMode="External"/><Relationship Id="rId268" Type="http://schemas.openxmlformats.org/officeDocument/2006/relationships/hyperlink" Target="https://www.google.com/search?tbm=isch&amp;q=Crate" TargetMode="External"/><Relationship Id="rId269" Type="http://schemas.openxmlformats.org/officeDocument/2006/relationships/hyperlink" Target="https://www.google.com/search?tbm=isch&amp;q=Plastic+Jar+-+500+ml+%28Mug%29" TargetMode="External"/><Relationship Id="rId270" Type="http://schemas.openxmlformats.org/officeDocument/2006/relationships/hyperlink" Target="https://www.google.com/search?tbm=isch&amp;q=Plastic+Buckets+%2C+10+Ltr" TargetMode="External"/><Relationship Id="rId271" Type="http://schemas.openxmlformats.org/officeDocument/2006/relationships/hyperlink" Target="https://www.google.com/search?tbm=isch&amp;q=Spraying+Pump" TargetMode="External"/><Relationship Id="rId272" Type="http://schemas.openxmlformats.org/officeDocument/2006/relationships/hyperlink" Target="https://cdn.jsdelivr.net/gh/EngineerX1234/vocational-images@main/tools/batch-11/electronics-measuring-tape.jpg" TargetMode="External"/><Relationship Id="rId273" Type="http://schemas.openxmlformats.org/officeDocument/2006/relationships/hyperlink" Target="https://cdn.jsdelivr.net/gh/EngineerX1234/vocational-images@main/tools/batch-13/food-processing-weighing-balance.jpg" TargetMode="External"/><Relationship Id="rId274" Type="http://schemas.openxmlformats.org/officeDocument/2006/relationships/hyperlink" Target="https://www.google.com/search?tbm=isch&amp;q=Animal+Digital+Thermometer" TargetMode="External"/><Relationship Id="rId275" Type="http://schemas.openxmlformats.org/officeDocument/2006/relationships/hyperlink" Target="https://www.google.com/search?tbm=isch&amp;q=Magnifying+lens%28bi-+concave+lens%29" TargetMode="External"/><Relationship Id="rId276" Type="http://schemas.openxmlformats.org/officeDocument/2006/relationships/hyperlink" Target="https://www.google.com/search?tbm=isch&amp;q=Seeding+Trays+for+Nursery+%3F%28+70+Cavity+%2F+holes+%29" TargetMode="External"/><Relationship Id="rId277" Type="http://schemas.openxmlformats.org/officeDocument/2006/relationships/hyperlink" Target="https://www.google.com/search?tbm=isch&amp;q=Sprinkler+Irrigation+UTender+%28+Lateral+pipe+16mm+x+20ft+%2C+Mi" TargetMode="External"/><Relationship Id="rId278" Type="http://schemas.openxmlformats.org/officeDocument/2006/relationships/hyperlink" Target="https://www.google.com/search?tbm=isch&amp;q=Drip+Irrigation+UTender+%28+Lateral+pipe+16mm+x+20+ft+%2C+Elbow+" TargetMode="External"/><Relationship Id="rId279" Type="http://schemas.openxmlformats.org/officeDocument/2006/relationships/hyperlink" Target="https://www.google.com/search?tbm=isch&amp;q=Grafting+transplanting+bags" TargetMode="External"/><Relationship Id="rId280" Type="http://schemas.openxmlformats.org/officeDocument/2006/relationships/hyperlink" Target="https://cdn.jsdelivr.net/gh/EngineerX1234/vocational-images@main/tools/batch-12/food-processing-lactometer.jpg" TargetMode="External"/><Relationship Id="rId281" Type="http://schemas.openxmlformats.org/officeDocument/2006/relationships/hyperlink" Target="https://cdn.jsdelivr.net/gh/EngineerX1234/vocational-images@main/tools/batch-12/food-processing-measuring-cylinder.jpg" TargetMode="External"/><Relationship Id="rId282" Type="http://schemas.openxmlformats.org/officeDocument/2006/relationships/hyperlink" Target="https://www.google.com/search?tbm=isch&amp;q=Beaker" TargetMode="External"/><Relationship Id="rId283" Type="http://schemas.openxmlformats.org/officeDocument/2006/relationships/hyperlink" Target="https://www.google.com/search?tbm=isch&amp;q=Hand+Gloves+%28Long%29" TargetMode="External"/><Relationship Id="rId284" Type="http://schemas.openxmlformats.org/officeDocument/2006/relationships/hyperlink" Target="https://www.google.com/search?tbm=isch&amp;q=Mask+%28+Canvas+Mask+%29" TargetMode="External"/><Relationship Id="rId285" Type="http://schemas.openxmlformats.org/officeDocument/2006/relationships/hyperlink" Target="https://www.google.com/search?tbm=isch&amp;q=Irrigation+method+charts" TargetMode="External"/><Relationship Id="rId286" Type="http://schemas.openxmlformats.org/officeDocument/2006/relationships/hyperlink" Target="https://www.google.com/search?tbm=isch&amp;q=Artificial+insemination+Chart" TargetMode="External"/><Relationship Id="rId287" Type="http://schemas.openxmlformats.org/officeDocument/2006/relationships/hyperlink" Target="https://www.google.com/search?tbm=isch&amp;q=Breed+charts+Cow%2C+Goat%2C+Bullock" TargetMode="External"/><Relationship Id="rId288" Type="http://schemas.openxmlformats.org/officeDocument/2006/relationships/hyperlink" Target="https://www.google.com/search?tbm=isch&amp;q=Display+board+for+tools+display+and+easy+access+to+students" TargetMode="External"/><Relationship Id="rId289" Type="http://schemas.openxmlformats.org/officeDocument/2006/relationships/hyperlink" Target="https://www.google.com/search?tbm=isch&amp;q=Display+board+for+tools+display+and+easy+access+to+students" TargetMode="External"/><Relationship Id="rId290" Type="http://schemas.openxmlformats.org/officeDocument/2006/relationships/hyperlink" Target="https://www.google.com/search?tbm=isch&amp;q=Working+Table+to+perform+practical+for+15+students" TargetMode="External"/><Relationship Id="rId291" Type="http://schemas.openxmlformats.org/officeDocument/2006/relationships/hyperlink" Target="https://www.google.com/search?tbm=isch&amp;q=Machine+Table+for+Machine+Installation" TargetMode="External"/><Relationship Id="rId292" Type="http://schemas.openxmlformats.org/officeDocument/2006/relationships/hyperlink" Target="https://www.google.com/search?tbm=isch&amp;q=Cupboard+for+Storage+of+tools%2C+Raw+material+and+other+Resour" TargetMode="External"/><Relationship Id="rId293" Type="http://schemas.openxmlformats.org/officeDocument/2006/relationships/hyperlink" Target="https://www.google.com/search?tbm=isch&amp;q=Stools+for+sitting" TargetMode="External"/><Relationship Id="rId294" Type="http://schemas.openxmlformats.org/officeDocument/2006/relationships/hyperlink" Target="https://www.google.com/search?tbm=isch&amp;q=Kitchen+Table+with+Drawer+and+Storage+cupboard+%2F+Working+tab" TargetMode="External"/><Relationship Id="rId295" Type="http://schemas.openxmlformats.org/officeDocument/2006/relationships/hyperlink" Target="https://www.google.com/search?tbm=isch&amp;q=Utensil+Rack" TargetMode="External"/><Relationship Id="rId296"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cdn.jsdelivr.net/gh/EngineerX1234/vocational-images@main/tools/batch-09/construction-computer-system.jpg" TargetMode="External"/><Relationship Id="rId2" Type="http://schemas.openxmlformats.org/officeDocument/2006/relationships/hyperlink" Target="https://www.google.com/search?tbm=isch&amp;q=Anti-virus+for+Computer+Systems" TargetMode="External"/><Relationship Id="rId3" Type="http://schemas.openxmlformats.org/officeDocument/2006/relationships/hyperlink" Target="https://cdn.jsdelivr.net/gh/EngineerX1234/vocational-images@main/tools/batch-17/it-ites-printer.jpg" TargetMode="External"/><Relationship Id="rId4" Type="http://schemas.openxmlformats.org/officeDocument/2006/relationships/hyperlink" Target="https://cdn.jsdelivr.net/gh/EngineerX1234/vocational-images@main/tools/batch-11/electronics-ups.jpg" TargetMode="External"/><Relationship Id="rId5" Type="http://schemas.openxmlformats.org/officeDocument/2006/relationships/hyperlink" Target="https://www.google.com/search?tbm=isch&amp;q=Internet+wifi+setup" TargetMode="External"/><Relationship Id="rId6" Type="http://schemas.openxmlformats.org/officeDocument/2006/relationships/hyperlink" Target="https://www.google.com/search?tbm=isch&amp;q=Subject+Specific+TLM+%28laminated+charts%29" TargetMode="External"/><Relationship Id="rId7" Type="http://schemas.openxmlformats.org/officeDocument/2006/relationships/hyperlink" Target="https://www.google.com/search?tbm=isch&amp;q=Classroom+chairs" TargetMode="External"/><Relationship Id="rId8" Type="http://schemas.openxmlformats.org/officeDocument/2006/relationships/hyperlink" Target="https://www.google.com/search?tbm=isch&amp;q=Computer+Tables" TargetMode="External"/><Relationship Id="rId9"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www.google.com/search?tbm=isch&amp;q=Computer+Systems+%28Desktop+Computer%29" TargetMode="External"/><Relationship Id="rId2" Type="http://schemas.openxmlformats.org/officeDocument/2006/relationships/hyperlink" Target="https://www.google.com/search?tbm=isch&amp;q=Anti-virus+for+Computer+Systems" TargetMode="External"/><Relationship Id="rId3" Type="http://schemas.openxmlformats.org/officeDocument/2006/relationships/hyperlink" Target="https://cdn.jsdelivr.net/gh/EngineerX1234/vocational-images@main/tools/batch-11/electronics-ups.jpg" TargetMode="External"/><Relationship Id="rId4" Type="http://schemas.openxmlformats.org/officeDocument/2006/relationships/hyperlink" Target="https://cdn.jsdelivr.net/gh/EngineerX1234/vocational-images@main/tools/batch-17/it-ites-printer.jpg" TargetMode="External"/><Relationship Id="rId5" Type="http://schemas.openxmlformats.org/officeDocument/2006/relationships/hyperlink" Target="https://www.google.com/search?tbm=isch&amp;q=Internet+wifi+setup" TargetMode="External"/><Relationship Id="rId6" Type="http://schemas.openxmlformats.org/officeDocument/2006/relationships/hyperlink" Target="https://www.google.com/search?tbm=isch&amp;q=Subject+specific+TLM%28Laminated+Charts%29" TargetMode="External"/><Relationship Id="rId7" Type="http://schemas.openxmlformats.org/officeDocument/2006/relationships/hyperlink" Target="https://www.google.com/search?tbm=isch&amp;q=Classroom+chairs" TargetMode="External"/><Relationship Id="rId8" Type="http://schemas.openxmlformats.org/officeDocument/2006/relationships/hyperlink" Target="https://www.google.com/search?tbm=isch&amp;q=Computer+tables" TargetMode="External"/><Relationship Id="rId9"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s://cdn.jsdelivr.net/gh/EngineerX1234/vocational-images@main/tools/batch-18/media-and-entertainment-computer.jpg" TargetMode="External"/><Relationship Id="rId2" Type="http://schemas.openxmlformats.org/officeDocument/2006/relationships/hyperlink" Target="https://www.google.com/search?tbm=isch&amp;q=Anti-virus+for+Computer+Systems" TargetMode="External"/><Relationship Id="rId3" Type="http://schemas.openxmlformats.org/officeDocument/2006/relationships/hyperlink" Target="https://www.google.com/search?tbm=isch&amp;q=Internet+wifi+setup" TargetMode="External"/><Relationship Id="rId4" Type="http://schemas.openxmlformats.org/officeDocument/2006/relationships/hyperlink" Target="https://cdn.jsdelivr.net/gh/EngineerX1234/vocational-images@main/tools/batch-17/it-ites-printer.jpg" TargetMode="External"/><Relationship Id="rId5" Type="http://schemas.openxmlformats.org/officeDocument/2006/relationships/hyperlink" Target="https://www.google.com/search?tbm=isch&amp;q=White+Board" TargetMode="External"/><Relationship Id="rId6" Type="http://schemas.openxmlformats.org/officeDocument/2006/relationships/hyperlink" Target="https://cdn.jsdelivr.net/gh/EngineerX1234/vocational-images@main/tools/batch-11/electronics-projector.jpg" TargetMode="External"/><Relationship Id="rId7" Type="http://schemas.openxmlformats.org/officeDocument/2006/relationships/hyperlink" Target="https://cdn.jsdelivr.net/gh/EngineerX1234/vocational-images@main/tools/batch-11/electronics-ups.jpg" TargetMode="External"/><Relationship Id="rId8" Type="http://schemas.openxmlformats.org/officeDocument/2006/relationships/hyperlink" Target="https://www.google.com/search?tbm=isch&amp;q=Accounting+Software" TargetMode="External"/><Relationship Id="rId9" Type="http://schemas.openxmlformats.org/officeDocument/2006/relationships/hyperlink" Target="https://www.google.com/search?tbm=isch&amp;q=Tax+Charts" TargetMode="External"/><Relationship Id="rId10" Type="http://schemas.openxmlformats.org/officeDocument/2006/relationships/hyperlink" Target="https://www.google.com/search?tbm=isch&amp;q=Sample+documentation+kit" TargetMode="External"/><Relationship Id="rId11" Type="http://schemas.openxmlformats.org/officeDocument/2006/relationships/hyperlink" Target="https://www.google.com/search?tbm=isch&amp;q=Classroom+chairs" TargetMode="External"/><Relationship Id="rId12" Type="http://schemas.openxmlformats.org/officeDocument/2006/relationships/hyperlink" Target="https://www.google.com/search?tbm=isch&amp;q=Computer+Tables" TargetMode="External"/><Relationship Id="rId13"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https://www.google.com/search?tbm=isch&amp;q=Registers+for+documentation" TargetMode="External"/><Relationship Id="rId2" Type="http://schemas.openxmlformats.org/officeDocument/2006/relationships/hyperlink" Target="https://www.google.com/search?tbm=isch&amp;q=Bio+hazard+bags+for+Waste+Disposal" TargetMode="External"/><Relationship Id="rId3" Type="http://schemas.openxmlformats.org/officeDocument/2006/relationships/hyperlink" Target="https://www.google.com/search?tbm=isch&amp;q=Staining+solution+%2F+reagents+%2F+Romanowsky+stains" TargetMode="External"/><Relationship Id="rId4" Type="http://schemas.openxmlformats.org/officeDocument/2006/relationships/hyperlink" Target="https://www.google.com/search?tbm=isch&amp;q=Buffer" TargetMode="External"/><Relationship Id="rId5" Type="http://schemas.openxmlformats.org/officeDocument/2006/relationships/hyperlink" Target="https://www.google.com/search?tbm=isch&amp;q=RBC+pipette" TargetMode="External"/><Relationship Id="rId6" Type="http://schemas.openxmlformats.org/officeDocument/2006/relationships/hyperlink" Target="https://www.google.com/search?tbm=isch&amp;q=WBC+Pipette" TargetMode="External"/><Relationship Id="rId7" Type="http://schemas.openxmlformats.org/officeDocument/2006/relationships/hyperlink" Target="https://www.google.com/search?tbm=isch&amp;q=Pasteur+Pipette" TargetMode="External"/><Relationship Id="rId8" Type="http://schemas.openxmlformats.org/officeDocument/2006/relationships/hyperlink" Target="https://www.google.com/search?tbm=isch&amp;q=Diluting+fluids" TargetMode="External"/><Relationship Id="rId9" Type="http://schemas.openxmlformats.org/officeDocument/2006/relationships/hyperlink" Target="https://cdn.jsdelivr.net/gh/EngineerX1234/vocational-images@main/tools/batch-17/logistics-glass-tubes.jpg" TargetMode="External"/><Relationship Id="rId10" Type="http://schemas.openxmlformats.org/officeDocument/2006/relationships/hyperlink" Target="https://www.google.com/search?tbm=isch&amp;q=Urine+Testing+strips" TargetMode="External"/><Relationship Id="rId11" Type="http://schemas.openxmlformats.org/officeDocument/2006/relationships/hyperlink" Target="https://www.google.com/search?tbm=isch&amp;q=Occult+blood+strips" TargetMode="External"/><Relationship Id="rId12" Type="http://schemas.openxmlformats.org/officeDocument/2006/relationships/hyperlink" Target="https://www.google.com/search?tbm=isch&amp;q=Bio+hazard+bags+for+Waste+Disposal+%2F+Blue+sharps+container+f" TargetMode="External"/><Relationship Id="rId13" Type="http://schemas.openxmlformats.org/officeDocument/2006/relationships/hyperlink" Target="https://www.google.com/search?tbm=isch&amp;q=Spirit+Lamp" TargetMode="External"/><Relationship Id="rId14" Type="http://schemas.openxmlformats.org/officeDocument/2006/relationships/hyperlink" Target="https://www.google.com/search?tbm=isch&amp;q=Glass+Slides%2C+coverslips+%26+mounting+media" TargetMode="External"/><Relationship Id="rId15" Type="http://schemas.openxmlformats.org/officeDocument/2006/relationships/hyperlink" Target="https://www.google.com/search?tbm=isch&amp;q=Cedarwood+oil" TargetMode="External"/><Relationship Id="rId16" Type="http://schemas.openxmlformats.org/officeDocument/2006/relationships/hyperlink" Target="https://www.google.com/search?tbm=isch&amp;q=Blotting+paper+for+BT" TargetMode="External"/><Relationship Id="rId17" Type="http://schemas.openxmlformats.org/officeDocument/2006/relationships/hyperlink" Target="https://www.google.com/search?tbm=isch&amp;q=Capillary+tube+for+CT" TargetMode="External"/><Relationship Id="rId18" Type="http://schemas.openxmlformats.org/officeDocument/2006/relationships/hyperlink" Target="https://www.google.com/search?tbm=isch&amp;q=Westergren+tubes+%26+sodium+citrate+reagent" TargetMode="External"/><Relationship Id="rId19" Type="http://schemas.openxmlformats.org/officeDocument/2006/relationships/hyperlink" Target="https://www.google.com/search?tbm=isch&amp;q=Sahli%27s+Hemoglobinometer" TargetMode="External"/><Relationship Id="rId20" Type="http://schemas.openxmlformats.org/officeDocument/2006/relationships/hyperlink" Target="https://www.google.com/search?tbm=isch&amp;q=Simple+Balance" TargetMode="External"/><Relationship Id="rId21" Type="http://schemas.openxmlformats.org/officeDocument/2006/relationships/hyperlink" Target="https://www.google.com/search?tbm=isch&amp;q=Staining+solution+%2F+reagents+%2F+Gram+stain+%2F+AFB+stain+%2F+KOH+" TargetMode="External"/><Relationship Id="rId22" Type="http://schemas.openxmlformats.org/officeDocument/2006/relationships/hyperlink" Target="https://www.google.com/search?tbm=isch&amp;q=Sample+Container+%2F+Swab+sticks+%2F+culture+bottles+%2F+Syringe+%26" TargetMode="External"/><Relationship Id="rId23" Type="http://schemas.openxmlformats.org/officeDocument/2006/relationships/hyperlink" Target="https://www.google.com/search?tbm=isch&amp;q=Sterile+Loops" TargetMode="External"/><Relationship Id="rId24" Type="http://schemas.openxmlformats.org/officeDocument/2006/relationships/hyperlink" Target="https://cdn.jsdelivr.net/gh/EngineerX1234/vocational-images@main/tools/batch-17/logistics-petri-dish.jpg" TargetMode="External"/><Relationship Id="rId25" Type="http://schemas.openxmlformats.org/officeDocument/2006/relationships/hyperlink" Target="https://www.google.com/search?tbm=isch&amp;q=Antibiotic+discs" TargetMode="External"/><Relationship Id="rId26" Type="http://schemas.openxmlformats.org/officeDocument/2006/relationships/hyperlink" Target="https://www.google.com/search?tbm=isch&amp;q=Culture+media" TargetMode="External"/><Relationship Id="rId27" Type="http://schemas.openxmlformats.org/officeDocument/2006/relationships/hyperlink" Target="https://www.google.com/search?tbm=isch&amp;q=Rapid+test+kits+for+Malaria%2C+Dengue%2C+HIV%2C+HCV%2C+Typhoid%2C+Preg" TargetMode="External"/><Relationship Id="rId28" Type="http://schemas.openxmlformats.org/officeDocument/2006/relationships/hyperlink" Target="https://www.google.com/search?tbm=isch&amp;q=Laminar+Flow" TargetMode="External"/><Relationship Id="rId29" Type="http://schemas.openxmlformats.org/officeDocument/2006/relationships/hyperlink" Target="https://www.google.com/search?tbm=isch&amp;q=Autoclave+-+separate+for+media+sterilization+and+waste+dispo" TargetMode="External"/><Relationship Id="rId30" Type="http://schemas.openxmlformats.org/officeDocument/2006/relationships/hyperlink" Target="https://cdn.jsdelivr.net/gh/EngineerX1234/vocational-images@main/tools/batch-19/physical-education-and-sports-stopwatch.jpg" TargetMode="External"/><Relationship Id="rId31" Type="http://schemas.openxmlformats.org/officeDocument/2006/relationships/hyperlink" Target="https://www.google.com/search?tbm=isch&amp;q=Normal+Saline" TargetMode="External"/><Relationship Id="rId32" Type="http://schemas.openxmlformats.org/officeDocument/2006/relationships/hyperlink" Target="https://www.google.com/search?tbm=isch&amp;q=Pipettes+Glass+-+%281+mL%2C+2+mL%2C+5+mL%2C+10+mL%29" TargetMode="External"/><Relationship Id="rId33" Type="http://schemas.openxmlformats.org/officeDocument/2006/relationships/hyperlink" Target="https://www.google.com/search?tbm=isch&amp;q=Gloves" TargetMode="External"/><Relationship Id="rId34" Type="http://schemas.openxmlformats.org/officeDocument/2006/relationships/hyperlink" Target="https://www.google.com/search?tbm=isch&amp;q=Beaker+%2F+glass+flask" TargetMode="External"/><Relationship Id="rId35" Type="http://schemas.openxmlformats.org/officeDocument/2006/relationships/hyperlink" Target="https://www.google.com/search?tbm=isch&amp;q=Distilled+water" TargetMode="External"/><Relationship Id="rId36" Type="http://schemas.openxmlformats.org/officeDocument/2006/relationships/hyperlink" Target="https://www.google.com/search?tbm=isch&amp;q=Tissue+paper+%2F+Filter+paper+%2F+Cotton" TargetMode="External"/><Relationship Id="rId37" Type="http://schemas.openxmlformats.org/officeDocument/2006/relationships/hyperlink" Target="https://cdn.jsdelivr.net/gh/EngineerX1234/vocational-images@main/tools/batch-12/food-processing-centrifuge.jpg" TargetMode="External"/><Relationship Id="rId38" Type="http://schemas.openxmlformats.org/officeDocument/2006/relationships/hyperlink" Target="https://cdn.jsdelivr.net/gh/EngineerX1234/vocational-images@main/tools/batch-26/agriculture-incubator.jpg" TargetMode="External"/><Relationship Id="rId39" Type="http://schemas.openxmlformats.org/officeDocument/2006/relationships/hyperlink" Target="https://cdn.jsdelivr.net/gh/EngineerX1234/vocational-images@main/tools/batch-13/food-processing-refrigerator.jpg" TargetMode="External"/><Relationship Id="rId40" Type="http://schemas.openxmlformats.org/officeDocument/2006/relationships/hyperlink" Target="https://www.google.com/search?tbm=isch&amp;q=Tube+racks+%2F+slide+racks" TargetMode="External"/><Relationship Id="rId4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14"/>
    <col collapsed="false" customWidth="true" hidden="false" outlineLevel="0" max="4" min="4" style="0" width="10"/>
    <col collapsed="false" customWidth="true" hidden="false" outlineLevel="0" max="6" min="5" style="0" width="18"/>
    <col collapsed="false" customWidth="true" hidden="false" outlineLevel="0" max="8" min="7" style="0" width="16"/>
    <col collapsed="false" customWidth="true" hidden="false" outlineLevel="0" max="9" min="9" style="0" width="12"/>
  </cols>
  <sheetData>
    <row r="1" customFormat="false" ht="18.5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s">
        <v>11</v>
      </c>
      <c r="B5" s="4" t="s">
        <v>12</v>
      </c>
      <c r="C5" s="5" t="s">
        <v>13</v>
      </c>
      <c r="D5" s="4" t="n">
        <v>16</v>
      </c>
      <c r="E5" s="6" t="n">
        <f aca="false">SUMIF('NSDC-AI'!$G$5:$G$20,"Tools &amp; Equipment",'NSDC-AI'!$J$5:$J$20)</f>
        <v>1537500</v>
      </c>
      <c r="F5" s="6" t="n">
        <f aca="false">SUMIF('NSDC-AI'!$G$5:$G$20,"Other Lab Items",'NSDC-AI'!$J$5:$J$20)</f>
        <v>180750</v>
      </c>
      <c r="G5" s="6" t="n">
        <f aca="false">SUMIF('NSDC-AI'!$G$5:$G$20,"Consumables",'NSDC-AI'!$J$5:$J$20)</f>
        <v>1200</v>
      </c>
      <c r="H5" s="6" t="n">
        <f aca="false">SUM(E5:G5)</f>
        <v>1719450</v>
      </c>
      <c r="I5" s="7" t="n">
        <f aca="false">ROUND(H5/100000,2)</f>
        <v>17.19</v>
      </c>
    </row>
    <row r="6" customFormat="false" ht="15" hidden="false" customHeight="false" outlineLevel="0" collapsed="false">
      <c r="A6" s="4" t="s">
        <v>11</v>
      </c>
      <c r="B6" s="4" t="s">
        <v>14</v>
      </c>
      <c r="C6" s="5" t="s">
        <v>15</v>
      </c>
      <c r="D6" s="4" t="n">
        <v>20</v>
      </c>
      <c r="E6" s="6" t="n">
        <f aca="false">SUMIF('NSDC-ARVR'!$G$5:$G$24,"Tools &amp; Equipment",'NSDC-ARVR'!$J$5:$J$24)</f>
        <v>676500</v>
      </c>
      <c r="F6" s="6" t="n">
        <f aca="false">SUMIF('NSDC-ARVR'!$G$5:$G$24,"Other Lab Items",'NSDC-ARVR'!$J$5:$J$24)</f>
        <v>312800</v>
      </c>
      <c r="G6" s="6" t="n">
        <f aca="false">SUMIF('NSDC-ARVR'!$G$5:$G$24,"Consumables",'NSDC-ARVR'!$J$5:$J$24)</f>
        <v>0</v>
      </c>
      <c r="H6" s="6" t="n">
        <f aca="false">SUM(E6:G6)</f>
        <v>989300</v>
      </c>
      <c r="I6" s="7" t="n">
        <f aca="false">ROUND(H6/100000,2)</f>
        <v>9.89</v>
      </c>
    </row>
    <row r="7" customFormat="false" ht="15" hidden="false" customHeight="false" outlineLevel="0" collapsed="false">
      <c r="A7" s="4" t="s">
        <v>11</v>
      </c>
      <c r="B7" s="4" t="s">
        <v>16</v>
      </c>
      <c r="C7" s="5" t="s">
        <v>17</v>
      </c>
      <c r="D7" s="4" t="n">
        <v>15</v>
      </c>
      <c r="E7" s="6" t="n">
        <f aca="false">SUMIF('NSDC-FMM'!$G$5:$G$19,"Tools &amp; Equipment",'NSDC-FMM'!$J$5:$J$19)</f>
        <v>558000</v>
      </c>
      <c r="F7" s="6" t="n">
        <f aca="false">SUMIF('NSDC-FMM'!$G$5:$G$19,"Other Lab Items",'NSDC-FMM'!$J$5:$J$19)</f>
        <v>523750</v>
      </c>
      <c r="G7" s="6" t="n">
        <f aca="false">SUMIF('NSDC-FMM'!$G$5:$G$19,"Consumables",'NSDC-FMM'!$J$5:$J$19)</f>
        <v>8200</v>
      </c>
      <c r="H7" s="6" t="n">
        <f aca="false">SUM(E7:G7)</f>
        <v>1089950</v>
      </c>
      <c r="I7" s="7" t="n">
        <f aca="false">ROUND(H7/100000,2)</f>
        <v>10.9</v>
      </c>
    </row>
    <row r="8" customFormat="false" ht="15" hidden="false" customHeight="false" outlineLevel="0" collapsed="false">
      <c r="A8" s="4" t="s">
        <v>11</v>
      </c>
      <c r="B8" s="4" t="s">
        <v>18</v>
      </c>
      <c r="C8" s="5" t="s">
        <v>19</v>
      </c>
      <c r="D8" s="4" t="n">
        <v>272</v>
      </c>
      <c r="E8" s="6" t="n">
        <f aca="false">SUMIF('NSDC-MSFC'!$G$5:$G$276,"Tools &amp; Equipment",'NSDC-MSFC'!$J$5:$J$276)</f>
        <v>237420</v>
      </c>
      <c r="F8" s="6" t="n">
        <f aca="false">SUMIF('NSDC-MSFC'!$G$5:$G$276,"Other Lab Items",'NSDC-MSFC'!$J$5:$J$276)</f>
        <v>126750</v>
      </c>
      <c r="G8" s="6" t="n">
        <f aca="false">SUMIF('NSDC-MSFC'!$G$5:$G$276,"Consumables",'NSDC-MSFC'!$J$5:$J$276)</f>
        <v>12065</v>
      </c>
      <c r="H8" s="6" t="n">
        <f aca="false">SUM(E8:G8)</f>
        <v>376235</v>
      </c>
      <c r="I8" s="7" t="n">
        <f aca="false">ROUND(H8/100000,2)</f>
        <v>3.76</v>
      </c>
    </row>
    <row r="9" customFormat="false" ht="15" hidden="false" customHeight="false" outlineLevel="0" collapsed="false">
      <c r="A9" s="4" t="s">
        <v>20</v>
      </c>
      <c r="B9" s="4" t="s">
        <v>21</v>
      </c>
      <c r="C9" s="5" t="s">
        <v>22</v>
      </c>
      <c r="D9" s="4" t="n">
        <v>295</v>
      </c>
      <c r="E9" s="6" t="n">
        <f aca="false">SUMIF('NVS-MSL'!$G$5:$G$299,"Tools &amp; Equipment",'NVS-MSL'!$J$5:$J$299)</f>
        <v>320670</v>
      </c>
      <c r="F9" s="6" t="n">
        <f aca="false">SUMIF('NVS-MSL'!$G$5:$G$299,"Other Lab Items",'NVS-MSL'!$J$5:$J$299)</f>
        <v>108850</v>
      </c>
      <c r="G9" s="6" t="n">
        <f aca="false">SUMIF('NVS-MSL'!$G$5:$G$299,"Consumables",'NVS-MSL'!$J$5:$J$299)</f>
        <v>19405</v>
      </c>
      <c r="H9" s="6" t="n">
        <f aca="false">SUM(E9:G9)</f>
        <v>448925</v>
      </c>
      <c r="I9" s="7" t="n">
        <f aca="false">ROUND(H9/100000,2)</f>
        <v>4.49</v>
      </c>
    </row>
    <row r="10" customFormat="false" ht="15" hidden="false" customHeight="false" outlineLevel="0" collapsed="false">
      <c r="A10" s="4" t="s">
        <v>23</v>
      </c>
      <c r="B10" s="4" t="s">
        <v>24</v>
      </c>
      <c r="C10" s="5" t="s">
        <v>25</v>
      </c>
      <c r="D10" s="4" t="n">
        <v>8</v>
      </c>
      <c r="E10" s="6" t="n">
        <f aca="false">SUMIF('DL-MM'!$G$5:$G$12,"Tools &amp; Equipment",'DL-MM'!$J$5:$J$12)</f>
        <v>209200</v>
      </c>
      <c r="F10" s="6" t="n">
        <f aca="false">SUMIF('DL-MM'!$G$5:$G$12,"Other Lab Items",'DL-MM'!$J$5:$J$12)</f>
        <v>62500</v>
      </c>
      <c r="G10" s="6" t="n">
        <f aca="false">SUMIF('DL-MM'!$G$5:$G$12,"Consumables",'DL-MM'!$J$5:$J$12)</f>
        <v>0</v>
      </c>
      <c r="H10" s="6" t="n">
        <f aca="false">SUM(E10:G10)</f>
        <v>271700</v>
      </c>
      <c r="I10" s="7" t="n">
        <f aca="false">ROUND(H10/100000,2)</f>
        <v>2.72</v>
      </c>
    </row>
    <row r="11" customFormat="false" ht="15" hidden="false" customHeight="false" outlineLevel="0" collapsed="false">
      <c r="A11" s="4" t="s">
        <v>23</v>
      </c>
      <c r="B11" s="4" t="s">
        <v>16</v>
      </c>
      <c r="C11" s="5" t="s">
        <v>26</v>
      </c>
      <c r="D11" s="4" t="n">
        <v>8</v>
      </c>
      <c r="E11" s="6" t="n">
        <f aca="false">SUMIF('DL-FMM'!$G$5:$G$12,"Tools &amp; Equipment",'DL-FMM'!$J$5:$J$12)</f>
        <v>229200</v>
      </c>
      <c r="F11" s="6" t="n">
        <f aca="false">SUMIF('DL-FMM'!$G$5:$G$12,"Other Lab Items",'DL-FMM'!$J$5:$J$12)</f>
        <v>61800</v>
      </c>
      <c r="G11" s="6" t="n">
        <f aca="false">SUMIF('DL-FMM'!$G$5:$G$12,"Consumables",'DL-FMM'!$J$5:$J$12)</f>
        <v>0</v>
      </c>
      <c r="H11" s="6" t="n">
        <f aca="false">SUM(E11:G11)</f>
        <v>291000</v>
      </c>
      <c r="I11" s="7" t="n">
        <f aca="false">ROUND(H11/100000,2)</f>
        <v>2.91</v>
      </c>
    </row>
    <row r="12" customFormat="false" ht="15" hidden="false" customHeight="false" outlineLevel="0" collapsed="false">
      <c r="A12" s="4" t="s">
        <v>23</v>
      </c>
      <c r="B12" s="4" t="s">
        <v>27</v>
      </c>
      <c r="C12" s="5" t="s">
        <v>28</v>
      </c>
      <c r="D12" s="4" t="n">
        <v>12</v>
      </c>
      <c r="E12" s="6" t="n">
        <f aca="false">SUMIF('DL-TAX'!$G$5:$G$16,"Tools &amp; Equipment",'DL-TAX'!$J$5:$J$16)</f>
        <v>209200</v>
      </c>
      <c r="F12" s="6" t="n">
        <f aca="false">SUMIF('DL-TAX'!$G$5:$G$16,"Other Lab Items",'DL-TAX'!$J$5:$J$16)</f>
        <v>123000</v>
      </c>
      <c r="G12" s="6" t="n">
        <f aca="false">SUMIF('DL-TAX'!$G$5:$G$16,"Consumables",'DL-TAX'!$J$5:$J$16)</f>
        <v>7500</v>
      </c>
      <c r="H12" s="6" t="n">
        <f aca="false">SUM(E12:G12)</f>
        <v>339700</v>
      </c>
      <c r="I12" s="7" t="n">
        <f aca="false">ROUND(H12/100000,2)</f>
        <v>3.4</v>
      </c>
    </row>
    <row r="13" customFormat="false" ht="15" hidden="false" customHeight="false" outlineLevel="0" collapsed="false">
      <c r="A13" s="4" t="s">
        <v>23</v>
      </c>
      <c r="B13" s="4" t="s">
        <v>29</v>
      </c>
      <c r="C13" s="5" t="s">
        <v>30</v>
      </c>
      <c r="D13" s="4" t="n">
        <v>40</v>
      </c>
      <c r="E13" s="6" t="n">
        <f aca="false">SUMIF('DL-MLT'!$G$5:$G$44,"Tools &amp; Equipment",'DL-MLT'!$J$5:$J$44)</f>
        <v>285250</v>
      </c>
      <c r="F13" s="6" t="n">
        <f aca="false">SUMIF('DL-MLT'!$G$5:$G$44,"Other Lab Items",'DL-MLT'!$J$5:$J$44)</f>
        <v>5350</v>
      </c>
      <c r="G13" s="6" t="n">
        <f aca="false">SUMIF('DL-MLT'!$G$5:$G$44,"Consumables",'DL-MLT'!$J$5:$J$44)</f>
        <v>107650</v>
      </c>
      <c r="H13" s="6" t="n">
        <f aca="false">SUM(E13:G13)</f>
        <v>398250</v>
      </c>
      <c r="I13" s="7" t="n">
        <f aca="false">ROUND(H13/100000,2)</f>
        <v>3.98</v>
      </c>
    </row>
    <row r="14" customFormat="false" ht="15" hidden="false" customHeight="false" outlineLevel="0" collapsed="false">
      <c r="A14" s="8" t="s">
        <v>31</v>
      </c>
      <c r="B14" s="8"/>
      <c r="C14" s="8"/>
      <c r="D14" s="8" t="n">
        <f aca="false">SUM(D5:D13)</f>
        <v>686</v>
      </c>
      <c r="E14" s="9" t="n">
        <f aca="false">SUM(E5:E13)</f>
        <v>4262940</v>
      </c>
      <c r="F14" s="9" t="n">
        <f aca="false">SUM(F5:F13)</f>
        <v>1505550</v>
      </c>
      <c r="G14" s="9" t="n">
        <f aca="false">SUM(G5:G13)</f>
        <v>156020</v>
      </c>
      <c r="H14" s="9" t="n">
        <f aca="false">SUM(H5:H13)</f>
        <v>5924510</v>
      </c>
      <c r="I14" s="10" t="n">
        <f aca="false">ROUND(H14/100000,2)</f>
        <v>59.25</v>
      </c>
    </row>
    <row r="16" customFormat="false" ht="15" hidden="false" customHeight="false" outlineLevel="0" collapsed="false">
      <c r="A16" s="11" t="s">
        <v>32</v>
      </c>
    </row>
    <row r="17" customFormat="false" ht="15" hidden="false" customHeight="false" outlineLevel="0" collapsed="false">
      <c r="A17" s="2" t="s">
        <v>33</v>
      </c>
    </row>
  </sheetData>
  <hyperlinks>
    <hyperlink ref="C5" r:id="rId1" location="'NSDC-AI'!A1" display="NSDC-AI"/>
    <hyperlink ref="C6" r:id="rId2" location="'NSDC-ARVR'!A1" display="NSDC-ARVR"/>
    <hyperlink ref="C7" r:id="rId3" location="'NSDC-FMM'!A1" display="NSDC-FMM"/>
    <hyperlink ref="C8" r:id="rId4" location="'NSDC-MSFC'!A1" display="NSDC-MSFC"/>
    <hyperlink ref="C9" r:id="rId5" location="'NVS-MSL'!A1" display="NVS-MSL"/>
    <hyperlink ref="C10" r:id="rId6" location="'DL-MM'!A1" display="DL-MM"/>
    <hyperlink ref="C11" r:id="rId7" location="'DL-FMM'!A1" display="DL-FMM"/>
    <hyperlink ref="C12" r:id="rId8" location="'DL-TAX'!A1" display="DL-TAX"/>
    <hyperlink ref="C13" r:id="rId9" location="'DL-MLT'!A1" display="DL-ML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34</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180.55" hidden="false" customHeight="false" outlineLevel="0" collapsed="false">
      <c r="A5" s="13" t="n">
        <v>1</v>
      </c>
      <c r="B5" s="14" t="s">
        <v>46</v>
      </c>
      <c r="C5" s="14" t="s">
        <v>47</v>
      </c>
      <c r="D5" s="14" t="s">
        <v>48</v>
      </c>
      <c r="E5" s="13" t="s">
        <v>49</v>
      </c>
      <c r="F5" s="15" t="n">
        <v>15</v>
      </c>
      <c r="G5" s="13" t="s">
        <v>50</v>
      </c>
      <c r="H5" s="13" t="s">
        <v>51</v>
      </c>
      <c r="I5" s="16" t="n">
        <v>55000</v>
      </c>
      <c r="J5" s="17" t="n">
        <f aca="false">F5*I5</f>
        <v>825000</v>
      </c>
      <c r="K5" s="18" t="s">
        <v>52</v>
      </c>
    </row>
    <row r="6" customFormat="false" ht="23.85" hidden="false" customHeight="false" outlineLevel="0" collapsed="false">
      <c r="A6" s="13" t="n">
        <v>2</v>
      </c>
      <c r="B6" s="14" t="s">
        <v>46</v>
      </c>
      <c r="C6" s="14" t="s">
        <v>53</v>
      </c>
      <c r="D6" s="14" t="s">
        <v>54</v>
      </c>
      <c r="E6" s="13" t="s">
        <v>49</v>
      </c>
      <c r="F6" s="15" t="n">
        <v>15</v>
      </c>
      <c r="G6" s="13" t="s">
        <v>50</v>
      </c>
      <c r="H6" s="13" t="s">
        <v>55</v>
      </c>
      <c r="I6" s="16" t="n">
        <v>25000</v>
      </c>
      <c r="J6" s="17" t="n">
        <f aca="false">F6*I6</f>
        <v>375000</v>
      </c>
      <c r="K6" s="18" t="s">
        <v>52</v>
      </c>
    </row>
    <row r="7" customFormat="false" ht="91" hidden="false" customHeight="false" outlineLevel="0" collapsed="false">
      <c r="A7" s="13" t="n">
        <v>3</v>
      </c>
      <c r="B7" s="14" t="s">
        <v>46</v>
      </c>
      <c r="C7" s="14" t="s">
        <v>56</v>
      </c>
      <c r="D7" s="14" t="s">
        <v>57</v>
      </c>
      <c r="E7" s="13" t="s">
        <v>58</v>
      </c>
      <c r="F7" s="15" t="n">
        <v>1</v>
      </c>
      <c r="G7" s="13" t="s">
        <v>50</v>
      </c>
      <c r="H7" s="13" t="s">
        <v>59</v>
      </c>
      <c r="I7" s="16" t="n">
        <v>18000</v>
      </c>
      <c r="J7" s="17" t="n">
        <f aca="false">F7*I7</f>
        <v>18000</v>
      </c>
      <c r="K7" s="18" t="s">
        <v>52</v>
      </c>
    </row>
    <row r="8" customFormat="false" ht="46.25" hidden="false" customHeight="false" outlineLevel="0" collapsed="false">
      <c r="A8" s="13" t="n">
        <v>4</v>
      </c>
      <c r="B8" s="14" t="s">
        <v>46</v>
      </c>
      <c r="C8" s="14" t="s">
        <v>60</v>
      </c>
      <c r="D8" s="14" t="s">
        <v>61</v>
      </c>
      <c r="E8" s="13" t="s">
        <v>58</v>
      </c>
      <c r="F8" s="15" t="n">
        <v>1</v>
      </c>
      <c r="G8" s="13" t="s">
        <v>62</v>
      </c>
      <c r="H8" s="13" t="s">
        <v>59</v>
      </c>
      <c r="I8" s="16" t="n">
        <v>4500</v>
      </c>
      <c r="J8" s="17" t="n">
        <f aca="false">F8*I8</f>
        <v>4500</v>
      </c>
      <c r="K8" s="18" t="s">
        <v>52</v>
      </c>
    </row>
    <row r="9" customFormat="false" ht="23.85" hidden="false" customHeight="false" outlineLevel="0" collapsed="false">
      <c r="A9" s="13" t="n">
        <v>5</v>
      </c>
      <c r="B9" s="14" t="s">
        <v>46</v>
      </c>
      <c r="C9" s="14" t="s">
        <v>63</v>
      </c>
      <c r="D9" s="14" t="s">
        <v>64</v>
      </c>
      <c r="E9" s="13" t="s">
        <v>49</v>
      </c>
      <c r="F9" s="15" t="n">
        <v>15</v>
      </c>
      <c r="G9" s="13" t="s">
        <v>62</v>
      </c>
      <c r="H9" s="13" t="s">
        <v>59</v>
      </c>
      <c r="I9" s="16" t="n">
        <v>1800</v>
      </c>
      <c r="J9" s="17" t="n">
        <f aca="false">F9*I9</f>
        <v>27000</v>
      </c>
      <c r="K9" s="18" t="s">
        <v>52</v>
      </c>
    </row>
    <row r="10" customFormat="false" ht="23.85" hidden="false" customHeight="false" outlineLevel="0" collapsed="false">
      <c r="A10" s="13" t="n">
        <v>6</v>
      </c>
      <c r="B10" s="14" t="s">
        <v>46</v>
      </c>
      <c r="C10" s="14" t="s">
        <v>65</v>
      </c>
      <c r="D10" s="14" t="s">
        <v>66</v>
      </c>
      <c r="E10" s="13" t="s">
        <v>49</v>
      </c>
      <c r="F10" s="15" t="n">
        <v>15</v>
      </c>
      <c r="G10" s="13" t="s">
        <v>50</v>
      </c>
      <c r="H10" s="13" t="s">
        <v>51</v>
      </c>
      <c r="I10" s="16" t="n">
        <v>8500</v>
      </c>
      <c r="J10" s="17" t="n">
        <f aca="false">F10*I10</f>
        <v>127500</v>
      </c>
      <c r="K10" s="18" t="s">
        <v>52</v>
      </c>
    </row>
    <row r="11" customFormat="false" ht="57.45" hidden="false" customHeight="false" outlineLevel="0" collapsed="false">
      <c r="A11" s="13" t="n">
        <v>7</v>
      </c>
      <c r="B11" s="14" t="s">
        <v>46</v>
      </c>
      <c r="C11" s="14" t="s">
        <v>67</v>
      </c>
      <c r="D11" s="14" t="s">
        <v>68</v>
      </c>
      <c r="E11" s="13" t="s">
        <v>58</v>
      </c>
      <c r="F11" s="15" t="n">
        <v>1</v>
      </c>
      <c r="G11" s="13" t="s">
        <v>62</v>
      </c>
      <c r="H11" s="13" t="s">
        <v>51</v>
      </c>
      <c r="I11" s="16" t="n">
        <v>3500</v>
      </c>
      <c r="J11" s="17" t="n">
        <f aca="false">F11*I11</f>
        <v>3500</v>
      </c>
      <c r="K11" s="18" t="s">
        <v>52</v>
      </c>
    </row>
    <row r="12" customFormat="false" ht="15" hidden="false" customHeight="false" outlineLevel="0" collapsed="false">
      <c r="A12" s="13" t="n">
        <v>8</v>
      </c>
      <c r="B12" s="14" t="s">
        <v>46</v>
      </c>
      <c r="C12" s="14" t="s">
        <v>69</v>
      </c>
      <c r="D12" s="14" t="s">
        <v>70</v>
      </c>
      <c r="E12" s="13" t="s">
        <v>71</v>
      </c>
      <c r="F12" s="15" t="n">
        <v>5</v>
      </c>
      <c r="G12" s="13" t="s">
        <v>62</v>
      </c>
      <c r="H12" s="13" t="s">
        <v>72</v>
      </c>
      <c r="I12" s="16" t="n">
        <v>850</v>
      </c>
      <c r="J12" s="17" t="n">
        <f aca="false">F12*I12</f>
        <v>4250</v>
      </c>
      <c r="K12" s="18" t="s">
        <v>52</v>
      </c>
    </row>
    <row r="13" customFormat="false" ht="15" hidden="false" customHeight="false" outlineLevel="0" collapsed="false">
      <c r="A13" s="13" t="n">
        <v>9</v>
      </c>
      <c r="B13" s="14" t="s">
        <v>46</v>
      </c>
      <c r="C13" s="14" t="s">
        <v>73</v>
      </c>
      <c r="D13" s="14" t="s">
        <v>74</v>
      </c>
      <c r="E13" s="13" t="s">
        <v>75</v>
      </c>
      <c r="F13" s="15" t="n">
        <v>2</v>
      </c>
      <c r="G13" s="13" t="s">
        <v>76</v>
      </c>
      <c r="H13" s="13" t="s">
        <v>59</v>
      </c>
      <c r="I13" s="16" t="n">
        <v>350</v>
      </c>
      <c r="J13" s="17" t="n">
        <f aca="false">F13*I13</f>
        <v>700</v>
      </c>
      <c r="K13" s="18" t="s">
        <v>52</v>
      </c>
    </row>
    <row r="14" customFormat="false" ht="15" hidden="false" customHeight="false" outlineLevel="0" collapsed="false">
      <c r="A14" s="13" t="n">
        <v>10</v>
      </c>
      <c r="B14" s="14" t="s">
        <v>46</v>
      </c>
      <c r="C14" s="14" t="s">
        <v>77</v>
      </c>
      <c r="D14" s="14" t="s">
        <v>78</v>
      </c>
      <c r="E14" s="13" t="s">
        <v>58</v>
      </c>
      <c r="F14" s="15" t="n">
        <v>1</v>
      </c>
      <c r="G14" s="13" t="s">
        <v>76</v>
      </c>
      <c r="H14" s="13" t="s">
        <v>79</v>
      </c>
      <c r="I14" s="16" t="n">
        <v>500</v>
      </c>
      <c r="J14" s="17" t="n">
        <f aca="false">F14*I14</f>
        <v>500</v>
      </c>
      <c r="K14" s="18" t="s">
        <v>52</v>
      </c>
    </row>
    <row r="15" customFormat="false" ht="23.85" hidden="false" customHeight="false" outlineLevel="0" collapsed="false">
      <c r="A15" s="13" t="n">
        <v>11</v>
      </c>
      <c r="B15" s="14" t="s">
        <v>46</v>
      </c>
      <c r="C15" s="14" t="s">
        <v>80</v>
      </c>
      <c r="D15" s="14" t="s">
        <v>81</v>
      </c>
      <c r="E15" s="13" t="s">
        <v>49</v>
      </c>
      <c r="F15" s="15" t="n">
        <v>15</v>
      </c>
      <c r="G15" s="13" t="s">
        <v>62</v>
      </c>
      <c r="H15" s="13" t="s">
        <v>59</v>
      </c>
      <c r="I15" s="16" t="n">
        <v>1200</v>
      </c>
      <c r="J15" s="17" t="n">
        <f aca="false">F15*I15</f>
        <v>18000</v>
      </c>
      <c r="K15" s="18" t="s">
        <v>52</v>
      </c>
    </row>
    <row r="16" customFormat="false" ht="46.25" hidden="false" customHeight="false" outlineLevel="0" collapsed="false">
      <c r="A16" s="13" t="n">
        <v>12</v>
      </c>
      <c r="B16" s="14" t="s">
        <v>46</v>
      </c>
      <c r="C16" s="14" t="s">
        <v>82</v>
      </c>
      <c r="D16" s="14" t="s">
        <v>83</v>
      </c>
      <c r="E16" s="13" t="s">
        <v>58</v>
      </c>
      <c r="F16" s="15" t="n">
        <v>1</v>
      </c>
      <c r="G16" s="13" t="s">
        <v>50</v>
      </c>
      <c r="H16" s="13" t="s">
        <v>59</v>
      </c>
      <c r="I16" s="16" t="n">
        <v>3500</v>
      </c>
      <c r="J16" s="17" t="n">
        <f aca="false">F16*I16</f>
        <v>3500</v>
      </c>
      <c r="K16" s="18" t="s">
        <v>52</v>
      </c>
    </row>
    <row r="17" customFormat="false" ht="46.25" hidden="false" customHeight="false" outlineLevel="0" collapsed="false">
      <c r="A17" s="13" t="n">
        <v>13</v>
      </c>
      <c r="B17" s="14" t="s">
        <v>46</v>
      </c>
      <c r="C17" s="14" t="s">
        <v>84</v>
      </c>
      <c r="D17" s="14" t="s">
        <v>85</v>
      </c>
      <c r="E17" s="13" t="s">
        <v>58</v>
      </c>
      <c r="F17" s="15" t="n">
        <v>1</v>
      </c>
      <c r="G17" s="13" t="s">
        <v>62</v>
      </c>
      <c r="H17" s="13" t="s">
        <v>51</v>
      </c>
      <c r="I17" s="16" t="n">
        <v>3500</v>
      </c>
      <c r="J17" s="17" t="n">
        <f aca="false">F17*I17</f>
        <v>3500</v>
      </c>
      <c r="K17" s="18" t="s">
        <v>52</v>
      </c>
    </row>
    <row r="18" customFormat="false" ht="15" hidden="false" customHeight="false" outlineLevel="0" collapsed="false">
      <c r="A18" s="13" t="n">
        <v>14</v>
      </c>
      <c r="B18" s="14" t="s">
        <v>46</v>
      </c>
      <c r="C18" s="14" t="s">
        <v>86</v>
      </c>
      <c r="D18" s="14" t="s">
        <v>87</v>
      </c>
      <c r="E18" s="13" t="s">
        <v>49</v>
      </c>
      <c r="F18" s="15" t="n">
        <v>15</v>
      </c>
      <c r="G18" s="13" t="s">
        <v>62</v>
      </c>
      <c r="H18" s="13" t="s">
        <v>88</v>
      </c>
      <c r="I18" s="16" t="n">
        <v>8000</v>
      </c>
      <c r="J18" s="17" t="n">
        <f aca="false">F18*I18</f>
        <v>120000</v>
      </c>
      <c r="K18" s="18" t="s">
        <v>52</v>
      </c>
    </row>
    <row r="19" customFormat="false" ht="23.85" hidden="false" customHeight="false" outlineLevel="0" collapsed="false">
      <c r="A19" s="13" t="n">
        <v>15</v>
      </c>
      <c r="B19" s="14" t="s">
        <v>46</v>
      </c>
      <c r="C19" s="14" t="s">
        <v>89</v>
      </c>
      <c r="D19" s="14" t="s">
        <v>90</v>
      </c>
      <c r="E19" s="13" t="s">
        <v>58</v>
      </c>
      <c r="F19" s="15" t="n">
        <v>1</v>
      </c>
      <c r="G19" s="13" t="s">
        <v>50</v>
      </c>
      <c r="H19" s="13" t="s">
        <v>51</v>
      </c>
      <c r="I19" s="16" t="n">
        <v>8500</v>
      </c>
      <c r="J19" s="17" t="n">
        <f aca="false">F19*I19</f>
        <v>8500</v>
      </c>
      <c r="K19" s="18" t="s">
        <v>52</v>
      </c>
    </row>
    <row r="20" customFormat="false" ht="169.4" hidden="false" customHeight="false" outlineLevel="0" collapsed="false">
      <c r="A20" s="13" t="n">
        <v>16</v>
      </c>
      <c r="B20" s="14" t="s">
        <v>46</v>
      </c>
      <c r="C20" s="14" t="s">
        <v>91</v>
      </c>
      <c r="D20" s="14" t="s">
        <v>92</v>
      </c>
      <c r="E20" s="13" t="s">
        <v>58</v>
      </c>
      <c r="F20" s="15" t="n">
        <v>1</v>
      </c>
      <c r="G20" s="13" t="s">
        <v>50</v>
      </c>
      <c r="H20" s="13" t="s">
        <v>51</v>
      </c>
      <c r="I20" s="16" t="n">
        <v>180000</v>
      </c>
      <c r="J20" s="17" t="n">
        <f aca="false">F20*I20</f>
        <v>180000</v>
      </c>
      <c r="K20" s="18" t="s">
        <v>52</v>
      </c>
    </row>
    <row r="21" customFormat="false" ht="15" hidden="false" customHeight="false" outlineLevel="0" collapsed="false">
      <c r="A21" s="19"/>
      <c r="B21" s="19"/>
      <c r="C21" s="19" t="s">
        <v>93</v>
      </c>
      <c r="D21" s="19"/>
      <c r="E21" s="19"/>
      <c r="F21" s="19"/>
      <c r="G21" s="19"/>
      <c r="H21" s="19"/>
      <c r="I21" s="19"/>
      <c r="J21" s="20" t="n">
        <f aca="false">SUM(J5:J20)</f>
        <v>1719450</v>
      </c>
      <c r="K21" s="19"/>
    </row>
    <row r="23" customFormat="false" ht="15" hidden="false" customHeight="false" outlineLevel="0" collapsed="false">
      <c r="A23" s="2" t="s">
        <v>33</v>
      </c>
    </row>
  </sheetData>
  <autoFilter ref="A4:K20"/>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 ref="K17" r:id="rId13" display="Click here"/>
    <hyperlink ref="K18" r:id="rId14" display="Click here"/>
    <hyperlink ref="K19" r:id="rId15" display="Click here"/>
    <hyperlink ref="K20" r:id="rId16"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94</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281.3" hidden="false" customHeight="false" outlineLevel="0" collapsed="false">
      <c r="A5" s="13" t="n">
        <v>1</v>
      </c>
      <c r="B5" s="14" t="s">
        <v>46</v>
      </c>
      <c r="C5" s="14" t="s">
        <v>95</v>
      </c>
      <c r="D5" s="14" t="s">
        <v>96</v>
      </c>
      <c r="E5" s="13" t="s">
        <v>97</v>
      </c>
      <c r="F5" s="15" t="n">
        <v>10</v>
      </c>
      <c r="G5" s="13" t="s">
        <v>50</v>
      </c>
      <c r="H5" s="13" t="s">
        <v>59</v>
      </c>
      <c r="I5" s="16" t="n">
        <v>35000</v>
      </c>
      <c r="J5" s="17" t="n">
        <f aca="false">F5*I5</f>
        <v>350000</v>
      </c>
      <c r="K5" s="18" t="s">
        <v>52</v>
      </c>
    </row>
    <row r="6" customFormat="false" ht="35.05" hidden="false" customHeight="false" outlineLevel="0" collapsed="false">
      <c r="A6" s="13" t="n">
        <v>2</v>
      </c>
      <c r="B6" s="14" t="s">
        <v>46</v>
      </c>
      <c r="C6" s="14" t="s">
        <v>98</v>
      </c>
      <c r="D6" s="14" t="s">
        <v>99</v>
      </c>
      <c r="E6" s="13" t="s">
        <v>97</v>
      </c>
      <c r="F6" s="15" t="n">
        <v>10</v>
      </c>
      <c r="G6" s="13" t="s">
        <v>50</v>
      </c>
      <c r="H6" s="13" t="s">
        <v>59</v>
      </c>
      <c r="I6" s="16" t="n">
        <v>12000</v>
      </c>
      <c r="J6" s="17" t="n">
        <f aca="false">F6*I6</f>
        <v>120000</v>
      </c>
      <c r="K6" s="18" t="s">
        <v>52</v>
      </c>
    </row>
    <row r="7" customFormat="false" ht="15" hidden="false" customHeight="false" outlineLevel="0" collapsed="false">
      <c r="A7" s="13" t="n">
        <v>3</v>
      </c>
      <c r="B7" s="14" t="s">
        <v>46</v>
      </c>
      <c r="C7" s="14" t="s">
        <v>100</v>
      </c>
      <c r="D7" s="14" t="s">
        <v>101</v>
      </c>
      <c r="E7" s="13" t="s">
        <v>97</v>
      </c>
      <c r="F7" s="15" t="n">
        <v>10</v>
      </c>
      <c r="G7" s="13" t="s">
        <v>50</v>
      </c>
      <c r="H7" s="13" t="s">
        <v>51</v>
      </c>
      <c r="I7" s="16" t="n">
        <v>4500</v>
      </c>
      <c r="J7" s="17" t="n">
        <f aca="false">F7*I7</f>
        <v>45000</v>
      </c>
      <c r="K7" s="18" t="s">
        <v>52</v>
      </c>
    </row>
    <row r="8" customFormat="false" ht="15" hidden="false" customHeight="false" outlineLevel="0" collapsed="false">
      <c r="A8" s="13" t="n">
        <v>4</v>
      </c>
      <c r="B8" s="14" t="s">
        <v>46</v>
      </c>
      <c r="C8" s="14" t="s">
        <v>102</v>
      </c>
      <c r="D8" s="14" t="s">
        <v>103</v>
      </c>
      <c r="E8" s="13" t="s">
        <v>97</v>
      </c>
      <c r="F8" s="15" t="n">
        <v>10</v>
      </c>
      <c r="G8" s="13" t="s">
        <v>50</v>
      </c>
      <c r="H8" s="13" t="s">
        <v>55</v>
      </c>
      <c r="I8" s="16" t="n">
        <v>3500</v>
      </c>
      <c r="J8" s="17" t="n">
        <f aca="false">F8*I8</f>
        <v>35000</v>
      </c>
      <c r="K8" s="18" t="s">
        <v>52</v>
      </c>
    </row>
    <row r="9" customFormat="false" ht="15" hidden="false" customHeight="false" outlineLevel="0" collapsed="false">
      <c r="A9" s="13" t="n">
        <v>5</v>
      </c>
      <c r="B9" s="14" t="s">
        <v>46</v>
      </c>
      <c r="C9" s="14" t="s">
        <v>104</v>
      </c>
      <c r="D9" s="14" t="s">
        <v>105</v>
      </c>
      <c r="E9" s="13" t="s">
        <v>97</v>
      </c>
      <c r="F9" s="15" t="n">
        <v>10</v>
      </c>
      <c r="G9" s="13" t="s">
        <v>50</v>
      </c>
      <c r="H9" s="13" t="s">
        <v>55</v>
      </c>
      <c r="I9" s="16" t="n">
        <v>2500</v>
      </c>
      <c r="J9" s="17" t="n">
        <f aca="false">F9*I9</f>
        <v>25000</v>
      </c>
      <c r="K9" s="18" t="s">
        <v>52</v>
      </c>
    </row>
    <row r="10" customFormat="false" ht="46.25" hidden="false" customHeight="false" outlineLevel="0" collapsed="false">
      <c r="A10" s="13" t="n">
        <v>6</v>
      </c>
      <c r="B10" s="14" t="s">
        <v>46</v>
      </c>
      <c r="C10" s="14" t="s">
        <v>106</v>
      </c>
      <c r="D10" s="14" t="s">
        <v>107</v>
      </c>
      <c r="E10" s="13" t="s">
        <v>58</v>
      </c>
      <c r="F10" s="15" t="n">
        <v>1</v>
      </c>
      <c r="G10" s="13" t="s">
        <v>50</v>
      </c>
      <c r="H10" s="13" t="s">
        <v>59</v>
      </c>
      <c r="I10" s="16" t="n">
        <v>55000</v>
      </c>
      <c r="J10" s="17" t="n">
        <f aca="false">F10*I10</f>
        <v>55000</v>
      </c>
      <c r="K10" s="18" t="s">
        <v>52</v>
      </c>
    </row>
    <row r="11" customFormat="false" ht="35.05" hidden="false" customHeight="false" outlineLevel="0" collapsed="false">
      <c r="A11" s="13" t="n">
        <v>7</v>
      </c>
      <c r="B11" s="14" t="s">
        <v>46</v>
      </c>
      <c r="C11" s="14" t="s">
        <v>108</v>
      </c>
      <c r="D11" s="14" t="s">
        <v>109</v>
      </c>
      <c r="E11" s="13" t="s">
        <v>58</v>
      </c>
      <c r="F11" s="15" t="n">
        <v>1</v>
      </c>
      <c r="G11" s="13" t="s">
        <v>50</v>
      </c>
      <c r="H11" s="13" t="s">
        <v>51</v>
      </c>
      <c r="I11" s="16" t="n">
        <v>45000</v>
      </c>
      <c r="J11" s="17" t="n">
        <f aca="false">F11*I11</f>
        <v>45000</v>
      </c>
      <c r="K11" s="18" t="s">
        <v>52</v>
      </c>
    </row>
    <row r="12" customFormat="false" ht="15" hidden="false" customHeight="false" outlineLevel="0" collapsed="false">
      <c r="A12" s="13" t="n">
        <v>8</v>
      </c>
      <c r="B12" s="14" t="s">
        <v>46</v>
      </c>
      <c r="C12" s="14" t="s">
        <v>110</v>
      </c>
      <c r="D12" s="14" t="s">
        <v>111</v>
      </c>
      <c r="E12" s="13" t="s">
        <v>58</v>
      </c>
      <c r="F12" s="15" t="n">
        <v>1</v>
      </c>
      <c r="G12" s="13" t="s">
        <v>50</v>
      </c>
      <c r="H12" s="13" t="s">
        <v>59</v>
      </c>
      <c r="I12" s="16" t="n">
        <v>1500</v>
      </c>
      <c r="J12" s="17" t="n">
        <f aca="false">F12*I12</f>
        <v>1500</v>
      </c>
      <c r="K12" s="18" t="s">
        <v>52</v>
      </c>
    </row>
    <row r="13" customFormat="false" ht="102.2" hidden="false" customHeight="false" outlineLevel="0" collapsed="false">
      <c r="A13" s="13" t="n">
        <v>9</v>
      </c>
      <c r="B13" s="14" t="s">
        <v>46</v>
      </c>
      <c r="C13" s="14" t="s">
        <v>112</v>
      </c>
      <c r="D13" s="14" t="s">
        <v>113</v>
      </c>
      <c r="E13" s="13" t="s">
        <v>97</v>
      </c>
      <c r="F13" s="15" t="n">
        <v>10</v>
      </c>
      <c r="G13" s="13" t="s">
        <v>62</v>
      </c>
      <c r="H13" s="13" t="s">
        <v>59</v>
      </c>
      <c r="I13" s="16" t="n">
        <v>9000</v>
      </c>
      <c r="J13" s="17" t="n">
        <f aca="false">F13*I13</f>
        <v>90000</v>
      </c>
      <c r="K13" s="18" t="s">
        <v>52</v>
      </c>
    </row>
    <row r="14" customFormat="false" ht="23.85" hidden="false" customHeight="false" outlineLevel="0" collapsed="false">
      <c r="A14" s="13" t="n">
        <v>10</v>
      </c>
      <c r="B14" s="14" t="s">
        <v>46</v>
      </c>
      <c r="C14" s="14" t="s">
        <v>114</v>
      </c>
      <c r="D14" s="14" t="s">
        <v>115</v>
      </c>
      <c r="E14" s="13" t="s">
        <v>97</v>
      </c>
      <c r="F14" s="15" t="n">
        <v>10</v>
      </c>
      <c r="G14" s="13" t="s">
        <v>62</v>
      </c>
      <c r="H14" s="13" t="s">
        <v>59</v>
      </c>
      <c r="I14" s="16" t="n">
        <v>4500</v>
      </c>
      <c r="J14" s="17" t="n">
        <f aca="false">F14*I14</f>
        <v>45000</v>
      </c>
      <c r="K14" s="18" t="s">
        <v>52</v>
      </c>
    </row>
    <row r="15" customFormat="false" ht="15" hidden="false" customHeight="false" outlineLevel="0" collapsed="false">
      <c r="A15" s="13" t="n">
        <v>11</v>
      </c>
      <c r="B15" s="14" t="s">
        <v>46</v>
      </c>
      <c r="C15" s="14" t="s">
        <v>116</v>
      </c>
      <c r="D15" s="14" t="s">
        <v>117</v>
      </c>
      <c r="E15" s="13" t="s">
        <v>58</v>
      </c>
      <c r="F15" s="15" t="n">
        <v>1</v>
      </c>
      <c r="G15" s="13" t="s">
        <v>62</v>
      </c>
      <c r="H15" s="13" t="s">
        <v>59</v>
      </c>
      <c r="I15" s="16" t="n">
        <v>9000</v>
      </c>
      <c r="J15" s="17" t="n">
        <f aca="false">F15*I15</f>
        <v>9000</v>
      </c>
      <c r="K15" s="18" t="s">
        <v>52</v>
      </c>
    </row>
    <row r="16" customFormat="false" ht="15" hidden="false" customHeight="false" outlineLevel="0" collapsed="false">
      <c r="A16" s="13" t="n">
        <v>12</v>
      </c>
      <c r="B16" s="14" t="s">
        <v>46</v>
      </c>
      <c r="C16" s="14" t="s">
        <v>118</v>
      </c>
      <c r="D16" s="14" t="s">
        <v>119</v>
      </c>
      <c r="E16" s="13" t="s">
        <v>75</v>
      </c>
      <c r="F16" s="15" t="n">
        <v>2</v>
      </c>
      <c r="G16" s="13" t="s">
        <v>62</v>
      </c>
      <c r="H16" s="13" t="s">
        <v>51</v>
      </c>
      <c r="I16" s="16" t="n">
        <v>8500</v>
      </c>
      <c r="J16" s="17" t="n">
        <f aca="false">F16*I16</f>
        <v>17000</v>
      </c>
      <c r="K16" s="18" t="s">
        <v>52</v>
      </c>
    </row>
    <row r="17" customFormat="false" ht="23.85" hidden="false" customHeight="false" outlineLevel="0" collapsed="false">
      <c r="A17" s="13" t="n">
        <v>13</v>
      </c>
      <c r="B17" s="14" t="s">
        <v>46</v>
      </c>
      <c r="C17" s="14" t="s">
        <v>120</v>
      </c>
      <c r="D17" s="14" t="s">
        <v>121</v>
      </c>
      <c r="E17" s="13" t="s">
        <v>58</v>
      </c>
      <c r="F17" s="15" t="n">
        <v>1</v>
      </c>
      <c r="G17" s="13" t="s">
        <v>62</v>
      </c>
      <c r="H17" s="13" t="s">
        <v>122</v>
      </c>
      <c r="I17" s="16" t="n">
        <v>300</v>
      </c>
      <c r="J17" s="17" t="n">
        <f aca="false">F17*I17</f>
        <v>300</v>
      </c>
      <c r="K17" s="18" t="s">
        <v>52</v>
      </c>
    </row>
    <row r="18" customFormat="false" ht="23.85" hidden="false" customHeight="false" outlineLevel="0" collapsed="false">
      <c r="A18" s="13" t="n">
        <v>14</v>
      </c>
      <c r="B18" s="14" t="s">
        <v>46</v>
      </c>
      <c r="C18" s="14" t="s">
        <v>123</v>
      </c>
      <c r="D18" s="14" t="s">
        <v>124</v>
      </c>
      <c r="E18" s="13" t="s">
        <v>58</v>
      </c>
      <c r="F18" s="15" t="n">
        <v>1</v>
      </c>
      <c r="G18" s="13" t="s">
        <v>62</v>
      </c>
      <c r="H18" s="13" t="s">
        <v>122</v>
      </c>
      <c r="I18" s="16" t="n">
        <v>300</v>
      </c>
      <c r="J18" s="17" t="n">
        <f aca="false">F18*I18</f>
        <v>300</v>
      </c>
      <c r="K18" s="18" t="s">
        <v>52</v>
      </c>
    </row>
    <row r="19" customFormat="false" ht="23.85" hidden="false" customHeight="false" outlineLevel="0" collapsed="false">
      <c r="A19" s="13" t="n">
        <v>15</v>
      </c>
      <c r="B19" s="14" t="s">
        <v>46</v>
      </c>
      <c r="C19" s="14" t="s">
        <v>125</v>
      </c>
      <c r="D19" s="14" t="s">
        <v>126</v>
      </c>
      <c r="E19" s="13" t="s">
        <v>58</v>
      </c>
      <c r="F19" s="15" t="n">
        <v>1</v>
      </c>
      <c r="G19" s="13" t="s">
        <v>62</v>
      </c>
      <c r="H19" s="13" t="s">
        <v>122</v>
      </c>
      <c r="I19" s="16" t="n">
        <v>300</v>
      </c>
      <c r="J19" s="17" t="n">
        <f aca="false">F19*I19</f>
        <v>300</v>
      </c>
      <c r="K19" s="18" t="s">
        <v>52</v>
      </c>
    </row>
    <row r="20" customFormat="false" ht="23.85" hidden="false" customHeight="false" outlineLevel="0" collapsed="false">
      <c r="A20" s="13" t="n">
        <v>16</v>
      </c>
      <c r="B20" s="14" t="s">
        <v>46</v>
      </c>
      <c r="C20" s="14" t="s">
        <v>127</v>
      </c>
      <c r="D20" s="14" t="s">
        <v>128</v>
      </c>
      <c r="E20" s="13" t="s">
        <v>58</v>
      </c>
      <c r="F20" s="15" t="n">
        <v>1</v>
      </c>
      <c r="G20" s="13" t="s">
        <v>62</v>
      </c>
      <c r="H20" s="13" t="s">
        <v>122</v>
      </c>
      <c r="I20" s="16" t="n">
        <v>300</v>
      </c>
      <c r="J20" s="17" t="n">
        <f aca="false">F20*I20</f>
        <v>300</v>
      </c>
      <c r="K20" s="18" t="s">
        <v>52</v>
      </c>
    </row>
    <row r="21" customFormat="false" ht="23.85" hidden="false" customHeight="false" outlineLevel="0" collapsed="false">
      <c r="A21" s="13" t="n">
        <v>17</v>
      </c>
      <c r="B21" s="14" t="s">
        <v>46</v>
      </c>
      <c r="C21" s="14" t="s">
        <v>129</v>
      </c>
      <c r="D21" s="14" t="s">
        <v>130</v>
      </c>
      <c r="E21" s="13" t="s">
        <v>58</v>
      </c>
      <c r="F21" s="15" t="n">
        <v>1</v>
      </c>
      <c r="G21" s="13" t="s">
        <v>62</v>
      </c>
      <c r="H21" s="13" t="s">
        <v>122</v>
      </c>
      <c r="I21" s="16" t="n">
        <v>300</v>
      </c>
      <c r="J21" s="17" t="n">
        <f aca="false">F21*I21</f>
        <v>300</v>
      </c>
      <c r="K21" s="18" t="s">
        <v>52</v>
      </c>
    </row>
    <row r="22" customFormat="false" ht="23.85" hidden="false" customHeight="false" outlineLevel="0" collapsed="false">
      <c r="A22" s="13" t="n">
        <v>18</v>
      </c>
      <c r="B22" s="14" t="s">
        <v>46</v>
      </c>
      <c r="C22" s="14" t="s">
        <v>131</v>
      </c>
      <c r="D22" s="14" t="s">
        <v>132</v>
      </c>
      <c r="E22" s="13" t="s">
        <v>58</v>
      </c>
      <c r="F22" s="15" t="n">
        <v>1</v>
      </c>
      <c r="G22" s="13" t="s">
        <v>62</v>
      </c>
      <c r="H22" s="13" t="s">
        <v>122</v>
      </c>
      <c r="I22" s="16" t="n">
        <v>300</v>
      </c>
      <c r="J22" s="17" t="n">
        <f aca="false">F22*I22</f>
        <v>300</v>
      </c>
      <c r="K22" s="18" t="s">
        <v>52</v>
      </c>
    </row>
    <row r="23" customFormat="false" ht="68.65" hidden="false" customHeight="false" outlineLevel="0" collapsed="false">
      <c r="A23" s="13" t="n">
        <v>19</v>
      </c>
      <c r="B23" s="14" t="s">
        <v>46</v>
      </c>
      <c r="C23" s="14" t="s">
        <v>133</v>
      </c>
      <c r="D23" s="14" t="s">
        <v>134</v>
      </c>
      <c r="E23" s="13" t="s">
        <v>58</v>
      </c>
      <c r="F23" s="15" t="n">
        <v>1</v>
      </c>
      <c r="G23" s="13" t="s">
        <v>62</v>
      </c>
      <c r="H23" s="13" t="s">
        <v>88</v>
      </c>
      <c r="I23" s="16" t="n">
        <v>75000</v>
      </c>
      <c r="J23" s="17" t="n">
        <f aca="false">F23*I23</f>
        <v>75000</v>
      </c>
      <c r="K23" s="18" t="s">
        <v>52</v>
      </c>
    </row>
    <row r="24" customFormat="false" ht="23.85" hidden="false" customHeight="false" outlineLevel="0" collapsed="false">
      <c r="A24" s="13" t="n">
        <v>20</v>
      </c>
      <c r="B24" s="14" t="s">
        <v>46</v>
      </c>
      <c r="C24" s="14" t="s">
        <v>135</v>
      </c>
      <c r="D24" s="14" t="s">
        <v>136</v>
      </c>
      <c r="E24" s="13" t="s">
        <v>58</v>
      </c>
      <c r="F24" s="15" t="n">
        <v>1</v>
      </c>
      <c r="G24" s="13" t="s">
        <v>62</v>
      </c>
      <c r="H24" s="13" t="s">
        <v>88</v>
      </c>
      <c r="I24" s="16" t="n">
        <v>75000</v>
      </c>
      <c r="J24" s="17" t="n">
        <f aca="false">F24*I24</f>
        <v>75000</v>
      </c>
      <c r="K24" s="18" t="s">
        <v>52</v>
      </c>
    </row>
    <row r="25" customFormat="false" ht="15" hidden="false" customHeight="false" outlineLevel="0" collapsed="false">
      <c r="A25" s="19"/>
      <c r="B25" s="19"/>
      <c r="C25" s="19" t="s">
        <v>93</v>
      </c>
      <c r="D25" s="19"/>
      <c r="E25" s="19"/>
      <c r="F25" s="19"/>
      <c r="G25" s="19"/>
      <c r="H25" s="19"/>
      <c r="I25" s="19"/>
      <c r="J25" s="20" t="n">
        <f aca="false">SUM(J5:J24)</f>
        <v>989300</v>
      </c>
      <c r="K25" s="19"/>
    </row>
    <row r="27" customFormat="false" ht="15" hidden="false" customHeight="false" outlineLevel="0" collapsed="false">
      <c r="A27" s="2" t="s">
        <v>33</v>
      </c>
    </row>
  </sheetData>
  <autoFilter ref="A4:K24"/>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 ref="K17" r:id="rId13" display="Click here"/>
    <hyperlink ref="K18" r:id="rId14" display="Click here"/>
    <hyperlink ref="K19" r:id="rId15" display="Click here"/>
    <hyperlink ref="K20" r:id="rId16" display="Click here"/>
    <hyperlink ref="K21" r:id="rId17" display="Click here"/>
    <hyperlink ref="K22" r:id="rId18" display="Click here"/>
    <hyperlink ref="K23" r:id="rId19" display="Click here"/>
    <hyperlink ref="K24" r:id="rId20"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137</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180.55" hidden="false" customHeight="false" outlineLevel="0" collapsed="false">
      <c r="A5" s="13" t="n">
        <v>1</v>
      </c>
      <c r="B5" s="14" t="s">
        <v>46</v>
      </c>
      <c r="C5" s="14" t="s">
        <v>138</v>
      </c>
      <c r="D5" s="14" t="s">
        <v>139</v>
      </c>
      <c r="E5" s="13" t="s">
        <v>140</v>
      </c>
      <c r="F5" s="15" t="n">
        <v>12</v>
      </c>
      <c r="G5" s="13" t="s">
        <v>50</v>
      </c>
      <c r="H5" s="13" t="s">
        <v>51</v>
      </c>
      <c r="I5" s="16" t="n">
        <v>45000</v>
      </c>
      <c r="J5" s="17" t="n">
        <f aca="false">F5*I5</f>
        <v>540000</v>
      </c>
      <c r="K5" s="18" t="s">
        <v>52</v>
      </c>
    </row>
    <row r="6" customFormat="false" ht="102.2" hidden="false" customHeight="false" outlineLevel="0" collapsed="false">
      <c r="A6" s="13" t="n">
        <v>2</v>
      </c>
      <c r="B6" s="14" t="s">
        <v>46</v>
      </c>
      <c r="C6" s="14" t="s">
        <v>56</v>
      </c>
      <c r="D6" s="14" t="s">
        <v>141</v>
      </c>
      <c r="E6" s="13" t="s">
        <v>58</v>
      </c>
      <c r="F6" s="15" t="n">
        <v>1</v>
      </c>
      <c r="G6" s="13" t="s">
        <v>50</v>
      </c>
      <c r="H6" s="13" t="s">
        <v>59</v>
      </c>
      <c r="I6" s="16" t="n">
        <v>18000</v>
      </c>
      <c r="J6" s="17" t="n">
        <f aca="false">F6*I6</f>
        <v>18000</v>
      </c>
      <c r="K6" s="18" t="s">
        <v>52</v>
      </c>
    </row>
    <row r="7" customFormat="false" ht="46.25" hidden="false" customHeight="false" outlineLevel="0" collapsed="false">
      <c r="A7" s="13" t="n">
        <v>3</v>
      </c>
      <c r="B7" s="14" t="s">
        <v>46</v>
      </c>
      <c r="C7" s="14" t="s">
        <v>60</v>
      </c>
      <c r="D7" s="14" t="s">
        <v>61</v>
      </c>
      <c r="E7" s="13" t="s">
        <v>58</v>
      </c>
      <c r="F7" s="15" t="n">
        <v>1</v>
      </c>
      <c r="G7" s="13" t="s">
        <v>62</v>
      </c>
      <c r="H7" s="13" t="s">
        <v>59</v>
      </c>
      <c r="I7" s="16" t="n">
        <v>4500</v>
      </c>
      <c r="J7" s="17" t="n">
        <f aca="false">F7*I7</f>
        <v>4500</v>
      </c>
      <c r="K7" s="18" t="s">
        <v>52</v>
      </c>
    </row>
    <row r="8" customFormat="false" ht="23.85" hidden="false" customHeight="false" outlineLevel="0" collapsed="false">
      <c r="A8" s="13" t="n">
        <v>4</v>
      </c>
      <c r="B8" s="14" t="s">
        <v>46</v>
      </c>
      <c r="C8" s="14" t="s">
        <v>63</v>
      </c>
      <c r="D8" s="14" t="s">
        <v>64</v>
      </c>
      <c r="E8" s="13" t="s">
        <v>142</v>
      </c>
      <c r="F8" s="15" t="n">
        <v>30</v>
      </c>
      <c r="G8" s="13" t="s">
        <v>62</v>
      </c>
      <c r="H8" s="13" t="s">
        <v>59</v>
      </c>
      <c r="I8" s="16" t="n">
        <v>1800</v>
      </c>
      <c r="J8" s="17" t="n">
        <f aca="false">F8*I8</f>
        <v>54000</v>
      </c>
      <c r="K8" s="18" t="s">
        <v>52</v>
      </c>
    </row>
    <row r="9" customFormat="false" ht="23.85" hidden="false" customHeight="false" outlineLevel="0" collapsed="false">
      <c r="A9" s="13" t="n">
        <v>5</v>
      </c>
      <c r="B9" s="14" t="s">
        <v>46</v>
      </c>
      <c r="C9" s="14" t="s">
        <v>65</v>
      </c>
      <c r="D9" s="14" t="s">
        <v>143</v>
      </c>
      <c r="E9" s="13" t="s">
        <v>49</v>
      </c>
      <c r="F9" s="15" t="n">
        <v>15</v>
      </c>
      <c r="G9" s="13" t="s">
        <v>62</v>
      </c>
      <c r="H9" s="13" t="s">
        <v>51</v>
      </c>
      <c r="I9" s="16" t="n">
        <v>8500</v>
      </c>
      <c r="J9" s="17" t="n">
        <f aca="false">F9*I9</f>
        <v>127500</v>
      </c>
      <c r="K9" s="18" t="s">
        <v>52</v>
      </c>
    </row>
    <row r="10" customFormat="false" ht="57.45" hidden="false" customHeight="false" outlineLevel="0" collapsed="false">
      <c r="A10" s="13" t="n">
        <v>6</v>
      </c>
      <c r="B10" s="14" t="s">
        <v>46</v>
      </c>
      <c r="C10" s="14" t="s">
        <v>67</v>
      </c>
      <c r="D10" s="14" t="s">
        <v>68</v>
      </c>
      <c r="E10" s="13" t="s">
        <v>58</v>
      </c>
      <c r="F10" s="15" t="n">
        <v>1</v>
      </c>
      <c r="G10" s="13" t="s">
        <v>62</v>
      </c>
      <c r="H10" s="13" t="s">
        <v>51</v>
      </c>
      <c r="I10" s="16" t="n">
        <v>3500</v>
      </c>
      <c r="J10" s="17" t="n">
        <f aca="false">F10*I10</f>
        <v>3500</v>
      </c>
      <c r="K10" s="18" t="s">
        <v>52</v>
      </c>
    </row>
    <row r="11" customFormat="false" ht="15" hidden="false" customHeight="false" outlineLevel="0" collapsed="false">
      <c r="A11" s="13" t="n">
        <v>7</v>
      </c>
      <c r="B11" s="14" t="s">
        <v>46</v>
      </c>
      <c r="C11" s="14" t="s">
        <v>69</v>
      </c>
      <c r="D11" s="14" t="s">
        <v>70</v>
      </c>
      <c r="E11" s="13" t="s">
        <v>71</v>
      </c>
      <c r="F11" s="15" t="n">
        <v>5</v>
      </c>
      <c r="G11" s="13" t="s">
        <v>62</v>
      </c>
      <c r="H11" s="13" t="s">
        <v>72</v>
      </c>
      <c r="I11" s="16" t="n">
        <v>850</v>
      </c>
      <c r="J11" s="17" t="n">
        <f aca="false">F11*I11</f>
        <v>4250</v>
      </c>
      <c r="K11" s="18" t="s">
        <v>52</v>
      </c>
    </row>
    <row r="12" customFormat="false" ht="15" hidden="false" customHeight="false" outlineLevel="0" collapsed="false">
      <c r="A12" s="13" t="n">
        <v>8</v>
      </c>
      <c r="B12" s="14" t="s">
        <v>46</v>
      </c>
      <c r="C12" s="14" t="s">
        <v>73</v>
      </c>
      <c r="D12" s="14" t="s">
        <v>74</v>
      </c>
      <c r="E12" s="13" t="s">
        <v>75</v>
      </c>
      <c r="F12" s="15" t="n">
        <v>2</v>
      </c>
      <c r="G12" s="13" t="s">
        <v>76</v>
      </c>
      <c r="H12" s="13" t="s">
        <v>59</v>
      </c>
      <c r="I12" s="16" t="n">
        <v>350</v>
      </c>
      <c r="J12" s="17" t="n">
        <f aca="false">F12*I12</f>
        <v>700</v>
      </c>
      <c r="K12" s="18" t="s">
        <v>52</v>
      </c>
    </row>
    <row r="13" customFormat="false" ht="15" hidden="false" customHeight="false" outlineLevel="0" collapsed="false">
      <c r="A13" s="13" t="n">
        <v>9</v>
      </c>
      <c r="B13" s="14" t="s">
        <v>46</v>
      </c>
      <c r="C13" s="14" t="s">
        <v>77</v>
      </c>
      <c r="D13" s="14" t="s">
        <v>78</v>
      </c>
      <c r="E13" s="13" t="s">
        <v>58</v>
      </c>
      <c r="F13" s="15" t="n">
        <v>1</v>
      </c>
      <c r="G13" s="13" t="s">
        <v>76</v>
      </c>
      <c r="H13" s="13" t="s">
        <v>79</v>
      </c>
      <c r="I13" s="16" t="n">
        <v>500</v>
      </c>
      <c r="J13" s="17" t="n">
        <f aca="false">F13*I13</f>
        <v>500</v>
      </c>
      <c r="K13" s="18" t="s">
        <v>52</v>
      </c>
    </row>
    <row r="14" customFormat="false" ht="23.85" hidden="false" customHeight="false" outlineLevel="0" collapsed="false">
      <c r="A14" s="13" t="n">
        <v>10</v>
      </c>
      <c r="B14" s="14" t="s">
        <v>46</v>
      </c>
      <c r="C14" s="14" t="s">
        <v>80</v>
      </c>
      <c r="D14" s="14" t="s">
        <v>81</v>
      </c>
      <c r="E14" s="13" t="s">
        <v>49</v>
      </c>
      <c r="F14" s="15" t="n">
        <v>15</v>
      </c>
      <c r="G14" s="13" t="s">
        <v>62</v>
      </c>
      <c r="H14" s="13" t="s">
        <v>59</v>
      </c>
      <c r="I14" s="16" t="n">
        <v>1200</v>
      </c>
      <c r="J14" s="17" t="n">
        <f aca="false">F14*I14</f>
        <v>18000</v>
      </c>
      <c r="K14" s="18" t="s">
        <v>52</v>
      </c>
    </row>
    <row r="15" customFormat="false" ht="46.25" hidden="false" customHeight="false" outlineLevel="0" collapsed="false">
      <c r="A15" s="13" t="n">
        <v>11</v>
      </c>
      <c r="B15" s="14" t="s">
        <v>46</v>
      </c>
      <c r="C15" s="14" t="s">
        <v>82</v>
      </c>
      <c r="D15" s="14" t="s">
        <v>144</v>
      </c>
      <c r="E15" s="13" t="s">
        <v>75</v>
      </c>
      <c r="F15" s="15" t="n">
        <v>2</v>
      </c>
      <c r="G15" s="13" t="s">
        <v>76</v>
      </c>
      <c r="H15" s="13" t="s">
        <v>59</v>
      </c>
      <c r="I15" s="16" t="n">
        <v>3500</v>
      </c>
      <c r="J15" s="17" t="n">
        <f aca="false">F15*I15</f>
        <v>7000</v>
      </c>
      <c r="K15" s="18" t="s">
        <v>52</v>
      </c>
    </row>
    <row r="16" customFormat="false" ht="46.25" hidden="false" customHeight="false" outlineLevel="0" collapsed="false">
      <c r="A16" s="13" t="n">
        <v>12</v>
      </c>
      <c r="B16" s="14" t="s">
        <v>46</v>
      </c>
      <c r="C16" s="14" t="s">
        <v>84</v>
      </c>
      <c r="D16" s="14" t="s">
        <v>85</v>
      </c>
      <c r="E16" s="13" t="s">
        <v>58</v>
      </c>
      <c r="F16" s="15" t="n">
        <v>1</v>
      </c>
      <c r="G16" s="13" t="s">
        <v>62</v>
      </c>
      <c r="H16" s="13" t="s">
        <v>51</v>
      </c>
      <c r="I16" s="16" t="n">
        <v>3500</v>
      </c>
      <c r="J16" s="17" t="n">
        <f aca="false">F16*I16</f>
        <v>3500</v>
      </c>
      <c r="K16" s="18" t="s">
        <v>52</v>
      </c>
    </row>
    <row r="17" customFormat="false" ht="23.85" hidden="false" customHeight="false" outlineLevel="0" collapsed="false">
      <c r="A17" s="13" t="n">
        <v>13</v>
      </c>
      <c r="B17" s="14" t="s">
        <v>46</v>
      </c>
      <c r="C17" s="14" t="s">
        <v>145</v>
      </c>
      <c r="D17" s="14" t="s">
        <v>146</v>
      </c>
      <c r="E17" s="13" t="s">
        <v>49</v>
      </c>
      <c r="F17" s="15" t="n">
        <v>15</v>
      </c>
      <c r="G17" s="13" t="s">
        <v>62</v>
      </c>
      <c r="H17" s="13" t="s">
        <v>88</v>
      </c>
      <c r="I17" s="16" t="n">
        <v>8000</v>
      </c>
      <c r="J17" s="17" t="n">
        <f aca="false">F17*I17</f>
        <v>120000</v>
      </c>
      <c r="K17" s="18" t="s">
        <v>52</v>
      </c>
    </row>
    <row r="18" customFormat="false" ht="23.85" hidden="false" customHeight="false" outlineLevel="0" collapsed="false">
      <c r="A18" s="13" t="n">
        <v>14</v>
      </c>
      <c r="B18" s="14" t="s">
        <v>46</v>
      </c>
      <c r="C18" s="14" t="s">
        <v>89</v>
      </c>
      <c r="D18" s="14" t="s">
        <v>90</v>
      </c>
      <c r="E18" s="13" t="s">
        <v>58</v>
      </c>
      <c r="F18" s="15" t="n">
        <v>1</v>
      </c>
      <c r="G18" s="13" t="s">
        <v>62</v>
      </c>
      <c r="H18" s="13" t="s">
        <v>51</v>
      </c>
      <c r="I18" s="16" t="n">
        <v>8500</v>
      </c>
      <c r="J18" s="17" t="n">
        <f aca="false">F18*I18</f>
        <v>8500</v>
      </c>
      <c r="K18" s="18" t="s">
        <v>52</v>
      </c>
    </row>
    <row r="19" customFormat="false" ht="169.4" hidden="false" customHeight="false" outlineLevel="0" collapsed="false">
      <c r="A19" s="13" t="n">
        <v>15</v>
      </c>
      <c r="B19" s="14" t="s">
        <v>46</v>
      </c>
      <c r="C19" s="14" t="s">
        <v>91</v>
      </c>
      <c r="D19" s="14" t="s">
        <v>92</v>
      </c>
      <c r="E19" s="13" t="s">
        <v>58</v>
      </c>
      <c r="F19" s="15" t="n">
        <v>1</v>
      </c>
      <c r="G19" s="13" t="s">
        <v>62</v>
      </c>
      <c r="H19" s="13" t="s">
        <v>51</v>
      </c>
      <c r="I19" s="16" t="n">
        <v>180000</v>
      </c>
      <c r="J19" s="17" t="n">
        <f aca="false">F19*I19</f>
        <v>180000</v>
      </c>
      <c r="K19" s="18" t="s">
        <v>52</v>
      </c>
    </row>
    <row r="20" customFormat="false" ht="15" hidden="false" customHeight="false" outlineLevel="0" collapsed="false">
      <c r="A20" s="19"/>
      <c r="B20" s="19"/>
      <c r="C20" s="19" t="s">
        <v>93</v>
      </c>
      <c r="D20" s="19"/>
      <c r="E20" s="19"/>
      <c r="F20" s="19"/>
      <c r="G20" s="19"/>
      <c r="H20" s="19"/>
      <c r="I20" s="19"/>
      <c r="J20" s="20" t="n">
        <f aca="false">SUM(J5:J19)</f>
        <v>1089950</v>
      </c>
      <c r="K20" s="19"/>
    </row>
    <row r="22" customFormat="false" ht="15" hidden="false" customHeight="false" outlineLevel="0" collapsed="false">
      <c r="A22" s="2" t="s">
        <v>33</v>
      </c>
    </row>
  </sheetData>
  <autoFilter ref="A4:K19"/>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 ref="K17" r:id="rId13" display="Click here"/>
    <hyperlink ref="K18" r:id="rId14" display="Click here"/>
    <hyperlink ref="K19" r:id="rId15"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147</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23.85" hidden="false" customHeight="false" outlineLevel="0" collapsed="false">
      <c r="A5" s="13" t="n">
        <v>1</v>
      </c>
      <c r="B5" s="14" t="s">
        <v>148</v>
      </c>
      <c r="C5" s="14" t="s">
        <v>149</v>
      </c>
      <c r="D5" s="14" t="s">
        <v>150</v>
      </c>
      <c r="E5" s="13" t="s">
        <v>75</v>
      </c>
      <c r="F5" s="15" t="n">
        <v>2</v>
      </c>
      <c r="G5" s="13" t="s">
        <v>50</v>
      </c>
      <c r="H5" s="13" t="s">
        <v>72</v>
      </c>
      <c r="I5" s="16" t="n">
        <v>450</v>
      </c>
      <c r="J5" s="17" t="n">
        <f aca="false">F5*I5</f>
        <v>900</v>
      </c>
      <c r="K5" s="18" t="s">
        <v>52</v>
      </c>
    </row>
    <row r="6" customFormat="false" ht="23.85" hidden="false" customHeight="false" outlineLevel="0" collapsed="false">
      <c r="A6" s="13" t="n">
        <v>2</v>
      </c>
      <c r="B6" s="14" t="s">
        <v>148</v>
      </c>
      <c r="C6" s="14" t="s">
        <v>151</v>
      </c>
      <c r="D6" s="14" t="s">
        <v>152</v>
      </c>
      <c r="E6" s="13" t="s">
        <v>75</v>
      </c>
      <c r="F6" s="15" t="n">
        <v>2</v>
      </c>
      <c r="G6" s="13" t="s">
        <v>50</v>
      </c>
      <c r="H6" s="13" t="s">
        <v>51</v>
      </c>
      <c r="I6" s="16" t="n">
        <v>250</v>
      </c>
      <c r="J6" s="17" t="n">
        <f aca="false">F6*I6</f>
        <v>500</v>
      </c>
      <c r="K6" s="18" t="s">
        <v>52</v>
      </c>
    </row>
    <row r="7" customFormat="false" ht="23.85" hidden="false" customHeight="false" outlineLevel="0" collapsed="false">
      <c r="A7" s="13" t="n">
        <v>3</v>
      </c>
      <c r="B7" s="14" t="s">
        <v>148</v>
      </c>
      <c r="C7" s="14" t="s">
        <v>153</v>
      </c>
      <c r="D7" s="14" t="s">
        <v>154</v>
      </c>
      <c r="E7" s="13" t="s">
        <v>58</v>
      </c>
      <c r="F7" s="15" t="n">
        <v>1</v>
      </c>
      <c r="G7" s="13" t="s">
        <v>50</v>
      </c>
      <c r="H7" s="13" t="s">
        <v>59</v>
      </c>
      <c r="I7" s="16" t="n">
        <v>350</v>
      </c>
      <c r="J7" s="17" t="n">
        <f aca="false">F7*I7</f>
        <v>350</v>
      </c>
      <c r="K7" s="18" t="s">
        <v>52</v>
      </c>
    </row>
    <row r="8" customFormat="false" ht="23.85" hidden="false" customHeight="false" outlineLevel="0" collapsed="false">
      <c r="A8" s="13" t="n">
        <v>4</v>
      </c>
      <c r="B8" s="14" t="s">
        <v>148</v>
      </c>
      <c r="C8" s="14" t="s">
        <v>155</v>
      </c>
      <c r="D8" s="14" t="s">
        <v>156</v>
      </c>
      <c r="E8" s="13" t="s">
        <v>58</v>
      </c>
      <c r="F8" s="15" t="n">
        <v>1</v>
      </c>
      <c r="G8" s="13" t="s">
        <v>50</v>
      </c>
      <c r="H8" s="13" t="s">
        <v>51</v>
      </c>
      <c r="I8" s="16" t="n">
        <v>1200</v>
      </c>
      <c r="J8" s="17" t="n">
        <f aca="false">F8*I8</f>
        <v>1200</v>
      </c>
      <c r="K8" s="18" t="s">
        <v>52</v>
      </c>
    </row>
    <row r="9" customFormat="false" ht="23.85" hidden="false" customHeight="false" outlineLevel="0" collapsed="false">
      <c r="A9" s="13" t="n">
        <v>5</v>
      </c>
      <c r="B9" s="14" t="s">
        <v>148</v>
      </c>
      <c r="C9" s="14" t="s">
        <v>157</v>
      </c>
      <c r="D9" s="14" t="s">
        <v>158</v>
      </c>
      <c r="E9" s="13" t="s">
        <v>58</v>
      </c>
      <c r="F9" s="15" t="n">
        <v>1</v>
      </c>
      <c r="G9" s="13" t="s">
        <v>50</v>
      </c>
      <c r="H9" s="13" t="s">
        <v>59</v>
      </c>
      <c r="I9" s="16" t="n">
        <v>2500</v>
      </c>
      <c r="J9" s="17" t="n">
        <f aca="false">F9*I9</f>
        <v>2500</v>
      </c>
      <c r="K9" s="18" t="s">
        <v>52</v>
      </c>
    </row>
    <row r="10" customFormat="false" ht="23.85" hidden="false" customHeight="false" outlineLevel="0" collapsed="false">
      <c r="A10" s="13" t="n">
        <v>6</v>
      </c>
      <c r="B10" s="14" t="s">
        <v>148</v>
      </c>
      <c r="C10" s="14" t="s">
        <v>159</v>
      </c>
      <c r="D10" s="14" t="s">
        <v>160</v>
      </c>
      <c r="E10" s="13" t="s">
        <v>75</v>
      </c>
      <c r="F10" s="15" t="n">
        <v>2</v>
      </c>
      <c r="G10" s="13" t="s">
        <v>50</v>
      </c>
      <c r="H10" s="13" t="s">
        <v>72</v>
      </c>
      <c r="I10" s="16" t="n">
        <v>600</v>
      </c>
      <c r="J10" s="17" t="n">
        <f aca="false">F10*I10</f>
        <v>1200</v>
      </c>
      <c r="K10" s="18" t="s">
        <v>52</v>
      </c>
    </row>
    <row r="11" customFormat="false" ht="23.85" hidden="false" customHeight="false" outlineLevel="0" collapsed="false">
      <c r="A11" s="13" t="n">
        <v>7</v>
      </c>
      <c r="B11" s="14" t="s">
        <v>148</v>
      </c>
      <c r="C11" s="14" t="s">
        <v>161</v>
      </c>
      <c r="D11" s="14" t="s">
        <v>162</v>
      </c>
      <c r="E11" s="13" t="s">
        <v>58</v>
      </c>
      <c r="F11" s="15" t="n">
        <v>1</v>
      </c>
      <c r="G11" s="13" t="s">
        <v>50</v>
      </c>
      <c r="H11" s="13" t="s">
        <v>59</v>
      </c>
      <c r="I11" s="16" t="n">
        <v>1800</v>
      </c>
      <c r="J11" s="17" t="n">
        <f aca="false">F11*I11</f>
        <v>1800</v>
      </c>
      <c r="K11" s="18" t="s">
        <v>52</v>
      </c>
    </row>
    <row r="12" customFormat="false" ht="23.85" hidden="false" customHeight="false" outlineLevel="0" collapsed="false">
      <c r="A12" s="13" t="n">
        <v>8</v>
      </c>
      <c r="B12" s="14" t="s">
        <v>148</v>
      </c>
      <c r="C12" s="14" t="s">
        <v>163</v>
      </c>
      <c r="D12" s="14" t="s">
        <v>162</v>
      </c>
      <c r="E12" s="13" t="s">
        <v>58</v>
      </c>
      <c r="F12" s="15" t="n">
        <v>1</v>
      </c>
      <c r="G12" s="13" t="s">
        <v>50</v>
      </c>
      <c r="H12" s="13" t="s">
        <v>59</v>
      </c>
      <c r="I12" s="16" t="n">
        <v>4500</v>
      </c>
      <c r="J12" s="17" t="n">
        <f aca="false">F12*I12</f>
        <v>4500</v>
      </c>
      <c r="K12" s="18" t="s">
        <v>52</v>
      </c>
    </row>
    <row r="13" customFormat="false" ht="23.85" hidden="false" customHeight="false" outlineLevel="0" collapsed="false">
      <c r="A13" s="13" t="n">
        <v>9</v>
      </c>
      <c r="B13" s="14" t="s">
        <v>148</v>
      </c>
      <c r="C13" s="14" t="s">
        <v>164</v>
      </c>
      <c r="D13" s="14" t="s">
        <v>165</v>
      </c>
      <c r="E13" s="13" t="s">
        <v>75</v>
      </c>
      <c r="F13" s="15" t="n">
        <v>2</v>
      </c>
      <c r="G13" s="13" t="s">
        <v>50</v>
      </c>
      <c r="H13" s="13" t="s">
        <v>59</v>
      </c>
      <c r="I13" s="16" t="n">
        <v>350</v>
      </c>
      <c r="J13" s="17" t="n">
        <f aca="false">F13*I13</f>
        <v>700</v>
      </c>
      <c r="K13" s="18" t="s">
        <v>52</v>
      </c>
    </row>
    <row r="14" customFormat="false" ht="23.85" hidden="false" customHeight="false" outlineLevel="0" collapsed="false">
      <c r="A14" s="13" t="n">
        <v>10</v>
      </c>
      <c r="B14" s="14" t="s">
        <v>148</v>
      </c>
      <c r="C14" s="14" t="s">
        <v>166</v>
      </c>
      <c r="D14" s="14" t="s">
        <v>167</v>
      </c>
      <c r="E14" s="13" t="s">
        <v>75</v>
      </c>
      <c r="F14" s="15" t="n">
        <v>2</v>
      </c>
      <c r="G14" s="13" t="s">
        <v>50</v>
      </c>
      <c r="H14" s="13" t="s">
        <v>59</v>
      </c>
      <c r="I14" s="16" t="n">
        <v>350</v>
      </c>
      <c r="J14" s="17" t="n">
        <f aca="false">F14*I14</f>
        <v>700</v>
      </c>
      <c r="K14" s="18" t="s">
        <v>52</v>
      </c>
    </row>
    <row r="15" customFormat="false" ht="23.85" hidden="false" customHeight="false" outlineLevel="0" collapsed="false">
      <c r="A15" s="13" t="n">
        <v>11</v>
      </c>
      <c r="B15" s="14" t="s">
        <v>148</v>
      </c>
      <c r="C15" s="14" t="s">
        <v>168</v>
      </c>
      <c r="D15" s="14" t="s">
        <v>165</v>
      </c>
      <c r="E15" s="13" t="s">
        <v>75</v>
      </c>
      <c r="F15" s="15" t="n">
        <v>2</v>
      </c>
      <c r="G15" s="13" t="s">
        <v>50</v>
      </c>
      <c r="H15" s="13" t="s">
        <v>72</v>
      </c>
      <c r="I15" s="16" t="n">
        <v>450</v>
      </c>
      <c r="J15" s="17" t="n">
        <f aca="false">F15*I15</f>
        <v>900</v>
      </c>
      <c r="K15" s="18" t="s">
        <v>52</v>
      </c>
    </row>
    <row r="16" customFormat="false" ht="23.85" hidden="false" customHeight="false" outlineLevel="0" collapsed="false">
      <c r="A16" s="13" t="n">
        <v>12</v>
      </c>
      <c r="B16" s="14" t="s">
        <v>148</v>
      </c>
      <c r="C16" s="14" t="s">
        <v>169</v>
      </c>
      <c r="D16" s="14" t="s">
        <v>170</v>
      </c>
      <c r="E16" s="13" t="s">
        <v>58</v>
      </c>
      <c r="F16" s="15" t="n">
        <v>1</v>
      </c>
      <c r="G16" s="13" t="s">
        <v>50</v>
      </c>
      <c r="H16" s="13" t="s">
        <v>59</v>
      </c>
      <c r="I16" s="16" t="n">
        <v>250</v>
      </c>
      <c r="J16" s="17" t="n">
        <f aca="false">F16*I16</f>
        <v>250</v>
      </c>
      <c r="K16" s="18" t="s">
        <v>52</v>
      </c>
    </row>
    <row r="17" customFormat="false" ht="23.85" hidden="false" customHeight="false" outlineLevel="0" collapsed="false">
      <c r="A17" s="13" t="n">
        <v>13</v>
      </c>
      <c r="B17" s="14" t="s">
        <v>148</v>
      </c>
      <c r="C17" s="14" t="s">
        <v>171</v>
      </c>
      <c r="D17" s="14" t="s">
        <v>172</v>
      </c>
      <c r="E17" s="13" t="s">
        <v>58</v>
      </c>
      <c r="F17" s="15" t="n">
        <v>1</v>
      </c>
      <c r="G17" s="13" t="s">
        <v>50</v>
      </c>
      <c r="H17" s="13" t="s">
        <v>59</v>
      </c>
      <c r="I17" s="16" t="n">
        <v>300</v>
      </c>
      <c r="J17" s="17" t="n">
        <f aca="false">F17*I17</f>
        <v>300</v>
      </c>
      <c r="K17" s="18" t="s">
        <v>52</v>
      </c>
    </row>
    <row r="18" customFormat="false" ht="23.85" hidden="false" customHeight="false" outlineLevel="0" collapsed="false">
      <c r="A18" s="13" t="n">
        <v>14</v>
      </c>
      <c r="B18" s="14" t="s">
        <v>148</v>
      </c>
      <c r="C18" s="14" t="s">
        <v>173</v>
      </c>
      <c r="D18" s="14" t="s">
        <v>174</v>
      </c>
      <c r="E18" s="13" t="s">
        <v>58</v>
      </c>
      <c r="F18" s="15" t="n">
        <v>1</v>
      </c>
      <c r="G18" s="13" t="s">
        <v>50</v>
      </c>
      <c r="H18" s="13" t="s">
        <v>59</v>
      </c>
      <c r="I18" s="16" t="n">
        <v>650</v>
      </c>
      <c r="J18" s="17" t="n">
        <f aca="false">F18*I18</f>
        <v>650</v>
      </c>
      <c r="K18" s="18" t="s">
        <v>52</v>
      </c>
    </row>
    <row r="19" customFormat="false" ht="23.85" hidden="false" customHeight="false" outlineLevel="0" collapsed="false">
      <c r="A19" s="13" t="n">
        <v>15</v>
      </c>
      <c r="B19" s="14" t="s">
        <v>148</v>
      </c>
      <c r="C19" s="14" t="s">
        <v>175</v>
      </c>
      <c r="D19" s="14" t="s">
        <v>176</v>
      </c>
      <c r="E19" s="13" t="s">
        <v>58</v>
      </c>
      <c r="F19" s="15" t="n">
        <v>1</v>
      </c>
      <c r="G19" s="13" t="s">
        <v>50</v>
      </c>
      <c r="H19" s="13" t="s">
        <v>59</v>
      </c>
      <c r="I19" s="16" t="n">
        <v>150</v>
      </c>
      <c r="J19" s="17" t="n">
        <f aca="false">F19*I19</f>
        <v>150</v>
      </c>
      <c r="K19" s="18" t="s">
        <v>52</v>
      </c>
    </row>
    <row r="20" customFormat="false" ht="23.85" hidden="false" customHeight="false" outlineLevel="0" collapsed="false">
      <c r="A20" s="13" t="n">
        <v>16</v>
      </c>
      <c r="B20" s="14" t="s">
        <v>148</v>
      </c>
      <c r="C20" s="14" t="s">
        <v>177</v>
      </c>
      <c r="D20" s="14" t="s">
        <v>178</v>
      </c>
      <c r="E20" s="13" t="s">
        <v>58</v>
      </c>
      <c r="F20" s="15" t="n">
        <v>1</v>
      </c>
      <c r="G20" s="13" t="s">
        <v>50</v>
      </c>
      <c r="H20" s="13" t="s">
        <v>59</v>
      </c>
      <c r="I20" s="16" t="n">
        <v>450</v>
      </c>
      <c r="J20" s="17" t="n">
        <f aca="false">F20*I20</f>
        <v>450</v>
      </c>
      <c r="K20" s="18" t="s">
        <v>52</v>
      </c>
    </row>
    <row r="21" customFormat="false" ht="23.85" hidden="false" customHeight="false" outlineLevel="0" collapsed="false">
      <c r="A21" s="13" t="n">
        <v>17</v>
      </c>
      <c r="B21" s="14" t="s">
        <v>148</v>
      </c>
      <c r="C21" s="14" t="s">
        <v>179</v>
      </c>
      <c r="D21" s="14" t="s">
        <v>180</v>
      </c>
      <c r="E21" s="13" t="s">
        <v>58</v>
      </c>
      <c r="F21" s="15" t="n">
        <v>1</v>
      </c>
      <c r="G21" s="13" t="s">
        <v>50</v>
      </c>
      <c r="H21" s="13" t="s">
        <v>59</v>
      </c>
      <c r="I21" s="16" t="n">
        <v>200</v>
      </c>
      <c r="J21" s="17" t="n">
        <f aca="false">F21*I21</f>
        <v>200</v>
      </c>
      <c r="K21" s="18" t="s">
        <v>52</v>
      </c>
    </row>
    <row r="22" customFormat="false" ht="23.85" hidden="false" customHeight="false" outlineLevel="0" collapsed="false">
      <c r="A22" s="13" t="n">
        <v>18</v>
      </c>
      <c r="B22" s="14" t="s">
        <v>148</v>
      </c>
      <c r="C22" s="14" t="s">
        <v>181</v>
      </c>
      <c r="D22" s="14" t="s">
        <v>182</v>
      </c>
      <c r="E22" s="13" t="s">
        <v>58</v>
      </c>
      <c r="F22" s="15" t="n">
        <v>1</v>
      </c>
      <c r="G22" s="13" t="s">
        <v>50</v>
      </c>
      <c r="H22" s="13" t="s">
        <v>59</v>
      </c>
      <c r="I22" s="16" t="n">
        <v>250</v>
      </c>
      <c r="J22" s="17" t="n">
        <f aca="false">F22*I22</f>
        <v>250</v>
      </c>
      <c r="K22" s="18" t="s">
        <v>52</v>
      </c>
    </row>
    <row r="23" customFormat="false" ht="23.85" hidden="false" customHeight="false" outlineLevel="0" collapsed="false">
      <c r="A23" s="13" t="n">
        <v>19</v>
      </c>
      <c r="B23" s="14" t="s">
        <v>148</v>
      </c>
      <c r="C23" s="14" t="s">
        <v>183</v>
      </c>
      <c r="D23" s="14" t="s">
        <v>184</v>
      </c>
      <c r="E23" s="13" t="s">
        <v>58</v>
      </c>
      <c r="F23" s="15" t="n">
        <v>1</v>
      </c>
      <c r="G23" s="13" t="s">
        <v>50</v>
      </c>
      <c r="H23" s="13" t="s">
        <v>59</v>
      </c>
      <c r="I23" s="16" t="n">
        <v>450</v>
      </c>
      <c r="J23" s="17" t="n">
        <f aca="false">F23*I23</f>
        <v>450</v>
      </c>
      <c r="K23" s="18" t="s">
        <v>52</v>
      </c>
    </row>
    <row r="24" customFormat="false" ht="23.85" hidden="false" customHeight="false" outlineLevel="0" collapsed="false">
      <c r="A24" s="13" t="n">
        <v>20</v>
      </c>
      <c r="B24" s="14" t="s">
        <v>148</v>
      </c>
      <c r="C24" s="14" t="s">
        <v>185</v>
      </c>
      <c r="D24" s="14" t="s">
        <v>186</v>
      </c>
      <c r="E24" s="13" t="s">
        <v>58</v>
      </c>
      <c r="F24" s="15" t="n">
        <v>1</v>
      </c>
      <c r="G24" s="13" t="s">
        <v>50</v>
      </c>
      <c r="H24" s="13" t="s">
        <v>59</v>
      </c>
      <c r="I24" s="16" t="n">
        <v>550</v>
      </c>
      <c r="J24" s="17" t="n">
        <f aca="false">F24*I24</f>
        <v>550</v>
      </c>
      <c r="K24" s="18" t="s">
        <v>52</v>
      </c>
    </row>
    <row r="25" customFormat="false" ht="23.85" hidden="false" customHeight="false" outlineLevel="0" collapsed="false">
      <c r="A25" s="13" t="n">
        <v>21</v>
      </c>
      <c r="B25" s="14" t="s">
        <v>148</v>
      </c>
      <c r="C25" s="14" t="s">
        <v>187</v>
      </c>
      <c r="D25" s="14" t="s">
        <v>188</v>
      </c>
      <c r="E25" s="13" t="s">
        <v>58</v>
      </c>
      <c r="F25" s="15" t="n">
        <v>1</v>
      </c>
      <c r="G25" s="13" t="s">
        <v>50</v>
      </c>
      <c r="H25" s="13" t="s">
        <v>59</v>
      </c>
      <c r="I25" s="16" t="n">
        <v>5500</v>
      </c>
      <c r="J25" s="17" t="n">
        <f aca="false">F25*I25</f>
        <v>5500</v>
      </c>
      <c r="K25" s="18" t="s">
        <v>52</v>
      </c>
    </row>
    <row r="26" customFormat="false" ht="23.85" hidden="false" customHeight="false" outlineLevel="0" collapsed="false">
      <c r="A26" s="13" t="n">
        <v>22</v>
      </c>
      <c r="B26" s="14" t="s">
        <v>148</v>
      </c>
      <c r="C26" s="14" t="s">
        <v>189</v>
      </c>
      <c r="D26" s="14" t="s">
        <v>190</v>
      </c>
      <c r="E26" s="13" t="s">
        <v>75</v>
      </c>
      <c r="F26" s="15" t="n">
        <v>2</v>
      </c>
      <c r="G26" s="13" t="s">
        <v>50</v>
      </c>
      <c r="H26" s="13" t="s">
        <v>59</v>
      </c>
      <c r="I26" s="16" t="n">
        <v>350</v>
      </c>
      <c r="J26" s="17" t="n">
        <f aca="false">F26*I26</f>
        <v>700</v>
      </c>
      <c r="K26" s="18" t="s">
        <v>52</v>
      </c>
    </row>
    <row r="27" customFormat="false" ht="23.85" hidden="false" customHeight="false" outlineLevel="0" collapsed="false">
      <c r="A27" s="13" t="n">
        <v>23</v>
      </c>
      <c r="B27" s="14" t="s">
        <v>148</v>
      </c>
      <c r="C27" s="14" t="s">
        <v>191</v>
      </c>
      <c r="D27" s="14" t="s">
        <v>192</v>
      </c>
      <c r="E27" s="13" t="s">
        <v>58</v>
      </c>
      <c r="F27" s="15" t="n">
        <v>1</v>
      </c>
      <c r="G27" s="13" t="s">
        <v>50</v>
      </c>
      <c r="H27" s="13" t="s">
        <v>59</v>
      </c>
      <c r="I27" s="16" t="n">
        <v>350</v>
      </c>
      <c r="J27" s="17" t="n">
        <f aca="false">F27*I27</f>
        <v>350</v>
      </c>
      <c r="K27" s="18" t="s">
        <v>52</v>
      </c>
    </row>
    <row r="28" customFormat="false" ht="23.85" hidden="false" customHeight="false" outlineLevel="0" collapsed="false">
      <c r="A28" s="13" t="n">
        <v>24</v>
      </c>
      <c r="B28" s="14" t="s">
        <v>148</v>
      </c>
      <c r="C28" s="14" t="s">
        <v>193</v>
      </c>
      <c r="D28" s="14" t="s">
        <v>194</v>
      </c>
      <c r="E28" s="13" t="s">
        <v>58</v>
      </c>
      <c r="F28" s="15" t="n">
        <v>1</v>
      </c>
      <c r="G28" s="13" t="s">
        <v>50</v>
      </c>
      <c r="H28" s="13" t="s">
        <v>59</v>
      </c>
      <c r="I28" s="16" t="n">
        <v>350</v>
      </c>
      <c r="J28" s="17" t="n">
        <f aca="false">F28*I28</f>
        <v>350</v>
      </c>
      <c r="K28" s="18" t="s">
        <v>52</v>
      </c>
    </row>
    <row r="29" customFormat="false" ht="23.85" hidden="false" customHeight="false" outlineLevel="0" collapsed="false">
      <c r="A29" s="13" t="n">
        <v>25</v>
      </c>
      <c r="B29" s="14" t="s">
        <v>148</v>
      </c>
      <c r="C29" s="14" t="s">
        <v>195</v>
      </c>
      <c r="D29" s="14" t="s">
        <v>196</v>
      </c>
      <c r="E29" s="13" t="s">
        <v>58</v>
      </c>
      <c r="F29" s="15" t="n">
        <v>1</v>
      </c>
      <c r="G29" s="13" t="s">
        <v>50</v>
      </c>
      <c r="H29" s="13" t="s">
        <v>59</v>
      </c>
      <c r="I29" s="16" t="n">
        <v>450</v>
      </c>
      <c r="J29" s="17" t="n">
        <f aca="false">F29*I29</f>
        <v>450</v>
      </c>
      <c r="K29" s="18" t="s">
        <v>52</v>
      </c>
    </row>
    <row r="30" customFormat="false" ht="23.85" hidden="false" customHeight="false" outlineLevel="0" collapsed="false">
      <c r="A30" s="13" t="n">
        <v>26</v>
      </c>
      <c r="B30" s="14" t="s">
        <v>148</v>
      </c>
      <c r="C30" s="14" t="s">
        <v>197</v>
      </c>
      <c r="D30" s="14" t="s">
        <v>198</v>
      </c>
      <c r="E30" s="13" t="s">
        <v>58</v>
      </c>
      <c r="F30" s="15" t="n">
        <v>1</v>
      </c>
      <c r="G30" s="13" t="s">
        <v>50</v>
      </c>
      <c r="H30" s="13" t="s">
        <v>59</v>
      </c>
      <c r="I30" s="16" t="n">
        <v>350</v>
      </c>
      <c r="J30" s="17" t="n">
        <f aca="false">F30*I30</f>
        <v>350</v>
      </c>
      <c r="K30" s="18" t="s">
        <v>52</v>
      </c>
    </row>
    <row r="31" customFormat="false" ht="23.85" hidden="false" customHeight="false" outlineLevel="0" collapsed="false">
      <c r="A31" s="13" t="n">
        <v>27</v>
      </c>
      <c r="B31" s="14" t="s">
        <v>148</v>
      </c>
      <c r="C31" s="14" t="s">
        <v>199</v>
      </c>
      <c r="D31" s="14" t="s">
        <v>198</v>
      </c>
      <c r="E31" s="13" t="s">
        <v>58</v>
      </c>
      <c r="F31" s="15" t="n">
        <v>1</v>
      </c>
      <c r="G31" s="13" t="s">
        <v>50</v>
      </c>
      <c r="H31" s="13" t="s">
        <v>59</v>
      </c>
      <c r="I31" s="16" t="n">
        <v>350</v>
      </c>
      <c r="J31" s="17" t="n">
        <f aca="false">F31*I31</f>
        <v>350</v>
      </c>
      <c r="K31" s="18" t="s">
        <v>52</v>
      </c>
    </row>
    <row r="32" customFormat="false" ht="23.85" hidden="false" customHeight="false" outlineLevel="0" collapsed="false">
      <c r="A32" s="13" t="n">
        <v>28</v>
      </c>
      <c r="B32" s="14" t="s">
        <v>148</v>
      </c>
      <c r="C32" s="14" t="s">
        <v>200</v>
      </c>
      <c r="D32" s="14" t="s">
        <v>201</v>
      </c>
      <c r="E32" s="13" t="s">
        <v>58</v>
      </c>
      <c r="F32" s="15" t="n">
        <v>1</v>
      </c>
      <c r="G32" s="13" t="s">
        <v>50</v>
      </c>
      <c r="H32" s="13" t="s">
        <v>59</v>
      </c>
      <c r="I32" s="16" t="n">
        <v>450</v>
      </c>
      <c r="J32" s="17" t="n">
        <f aca="false">F32*I32</f>
        <v>450</v>
      </c>
      <c r="K32" s="18" t="s">
        <v>52</v>
      </c>
    </row>
    <row r="33" customFormat="false" ht="23.85" hidden="false" customHeight="false" outlineLevel="0" collapsed="false">
      <c r="A33" s="13" t="n">
        <v>29</v>
      </c>
      <c r="B33" s="14" t="s">
        <v>148</v>
      </c>
      <c r="C33" s="14" t="s">
        <v>202</v>
      </c>
      <c r="D33" s="14" t="s">
        <v>203</v>
      </c>
      <c r="E33" s="13" t="s">
        <v>58</v>
      </c>
      <c r="F33" s="15" t="n">
        <v>1</v>
      </c>
      <c r="G33" s="13" t="s">
        <v>50</v>
      </c>
      <c r="H33" s="13" t="s">
        <v>59</v>
      </c>
      <c r="I33" s="16" t="n">
        <v>250</v>
      </c>
      <c r="J33" s="17" t="n">
        <f aca="false">F33*I33</f>
        <v>250</v>
      </c>
      <c r="K33" s="18" t="s">
        <v>52</v>
      </c>
    </row>
    <row r="34" customFormat="false" ht="23.85" hidden="false" customHeight="false" outlineLevel="0" collapsed="false">
      <c r="A34" s="13" t="n">
        <v>30</v>
      </c>
      <c r="B34" s="14" t="s">
        <v>148</v>
      </c>
      <c r="C34" s="14" t="s">
        <v>204</v>
      </c>
      <c r="D34" s="14" t="s">
        <v>205</v>
      </c>
      <c r="E34" s="13" t="s">
        <v>75</v>
      </c>
      <c r="F34" s="15" t="n">
        <v>2</v>
      </c>
      <c r="G34" s="13" t="s">
        <v>50</v>
      </c>
      <c r="H34" s="13" t="s">
        <v>72</v>
      </c>
      <c r="I34" s="16" t="n">
        <v>1800</v>
      </c>
      <c r="J34" s="17" t="n">
        <f aca="false">F34*I34</f>
        <v>3600</v>
      </c>
      <c r="K34" s="18" t="s">
        <v>52</v>
      </c>
    </row>
    <row r="35" customFormat="false" ht="23.85" hidden="false" customHeight="false" outlineLevel="0" collapsed="false">
      <c r="A35" s="13" t="n">
        <v>31</v>
      </c>
      <c r="B35" s="14" t="s">
        <v>148</v>
      </c>
      <c r="C35" s="14" t="s">
        <v>206</v>
      </c>
      <c r="D35" s="14" t="s">
        <v>207</v>
      </c>
      <c r="E35" s="13" t="s">
        <v>58</v>
      </c>
      <c r="F35" s="15" t="n">
        <v>1</v>
      </c>
      <c r="G35" s="13" t="s">
        <v>50</v>
      </c>
      <c r="H35" s="13" t="s">
        <v>72</v>
      </c>
      <c r="I35" s="16" t="n">
        <v>450</v>
      </c>
      <c r="J35" s="17" t="n">
        <f aca="false">F35*I35</f>
        <v>450</v>
      </c>
      <c r="K35" s="18" t="s">
        <v>52</v>
      </c>
    </row>
    <row r="36" customFormat="false" ht="23.85" hidden="false" customHeight="false" outlineLevel="0" collapsed="false">
      <c r="A36" s="13" t="n">
        <v>32</v>
      </c>
      <c r="B36" s="14" t="s">
        <v>148</v>
      </c>
      <c r="C36" s="14" t="s">
        <v>208</v>
      </c>
      <c r="D36" s="14" t="s">
        <v>209</v>
      </c>
      <c r="E36" s="13" t="s">
        <v>58</v>
      </c>
      <c r="F36" s="15" t="n">
        <v>1</v>
      </c>
      <c r="G36" s="13" t="s">
        <v>50</v>
      </c>
      <c r="H36" s="13" t="s">
        <v>72</v>
      </c>
      <c r="I36" s="16" t="n">
        <v>450</v>
      </c>
      <c r="J36" s="17" t="n">
        <f aca="false">F36*I36</f>
        <v>450</v>
      </c>
      <c r="K36" s="18" t="s">
        <v>52</v>
      </c>
    </row>
    <row r="37" customFormat="false" ht="23.85" hidden="false" customHeight="false" outlineLevel="0" collapsed="false">
      <c r="A37" s="13" t="n">
        <v>33</v>
      </c>
      <c r="B37" s="14" t="s">
        <v>148</v>
      </c>
      <c r="C37" s="14" t="s">
        <v>210</v>
      </c>
      <c r="D37" s="14" t="s">
        <v>211</v>
      </c>
      <c r="E37" s="13" t="s">
        <v>58</v>
      </c>
      <c r="F37" s="15" t="n">
        <v>1</v>
      </c>
      <c r="G37" s="13" t="s">
        <v>50</v>
      </c>
      <c r="H37" s="13" t="s">
        <v>59</v>
      </c>
      <c r="I37" s="16" t="n">
        <v>300</v>
      </c>
      <c r="J37" s="17" t="n">
        <f aca="false">F37*I37</f>
        <v>300</v>
      </c>
      <c r="K37" s="18" t="s">
        <v>52</v>
      </c>
    </row>
    <row r="38" customFormat="false" ht="23.85" hidden="false" customHeight="false" outlineLevel="0" collapsed="false">
      <c r="A38" s="13" t="n">
        <v>34</v>
      </c>
      <c r="B38" s="14" t="s">
        <v>148</v>
      </c>
      <c r="C38" s="14" t="s">
        <v>212</v>
      </c>
      <c r="D38" s="14" t="s">
        <v>213</v>
      </c>
      <c r="E38" s="13" t="s">
        <v>58</v>
      </c>
      <c r="F38" s="15" t="n">
        <v>1</v>
      </c>
      <c r="G38" s="13" t="s">
        <v>50</v>
      </c>
      <c r="H38" s="13" t="s">
        <v>59</v>
      </c>
      <c r="I38" s="16" t="n">
        <v>650</v>
      </c>
      <c r="J38" s="17" t="n">
        <f aca="false">F38*I38</f>
        <v>650</v>
      </c>
      <c r="K38" s="18" t="s">
        <v>52</v>
      </c>
    </row>
    <row r="39" customFormat="false" ht="23.85" hidden="false" customHeight="false" outlineLevel="0" collapsed="false">
      <c r="A39" s="13" t="n">
        <v>35</v>
      </c>
      <c r="B39" s="14" t="s">
        <v>148</v>
      </c>
      <c r="C39" s="14" t="s">
        <v>214</v>
      </c>
      <c r="D39" s="14" t="s">
        <v>215</v>
      </c>
      <c r="E39" s="13" t="s">
        <v>58</v>
      </c>
      <c r="F39" s="15" t="n">
        <v>1</v>
      </c>
      <c r="G39" s="13" t="s">
        <v>50</v>
      </c>
      <c r="H39" s="13" t="s">
        <v>216</v>
      </c>
      <c r="I39" s="16" t="n">
        <v>80</v>
      </c>
      <c r="J39" s="17" t="n">
        <f aca="false">F39*I39</f>
        <v>80</v>
      </c>
      <c r="K39" s="18" t="s">
        <v>52</v>
      </c>
    </row>
    <row r="40" customFormat="false" ht="23.85" hidden="false" customHeight="false" outlineLevel="0" collapsed="false">
      <c r="A40" s="13" t="n">
        <v>36</v>
      </c>
      <c r="B40" s="14" t="s">
        <v>148</v>
      </c>
      <c r="C40" s="14" t="s">
        <v>217</v>
      </c>
      <c r="D40" s="14" t="s">
        <v>215</v>
      </c>
      <c r="E40" s="13" t="s">
        <v>58</v>
      </c>
      <c r="F40" s="15" t="n">
        <v>1</v>
      </c>
      <c r="G40" s="13" t="s">
        <v>50</v>
      </c>
      <c r="H40" s="13" t="s">
        <v>216</v>
      </c>
      <c r="I40" s="16" t="n">
        <v>120</v>
      </c>
      <c r="J40" s="17" t="n">
        <f aca="false">F40*I40</f>
        <v>120</v>
      </c>
      <c r="K40" s="18" t="s">
        <v>52</v>
      </c>
    </row>
    <row r="41" customFormat="false" ht="23.85" hidden="false" customHeight="false" outlineLevel="0" collapsed="false">
      <c r="A41" s="13" t="n">
        <v>37</v>
      </c>
      <c r="B41" s="14" t="s">
        <v>148</v>
      </c>
      <c r="C41" s="14" t="s">
        <v>218</v>
      </c>
      <c r="D41" s="14" t="s">
        <v>215</v>
      </c>
      <c r="E41" s="13" t="s">
        <v>58</v>
      </c>
      <c r="F41" s="15" t="n">
        <v>1</v>
      </c>
      <c r="G41" s="13" t="s">
        <v>50</v>
      </c>
      <c r="H41" s="13" t="s">
        <v>216</v>
      </c>
      <c r="I41" s="16" t="n">
        <v>90</v>
      </c>
      <c r="J41" s="17" t="n">
        <f aca="false">F41*I41</f>
        <v>90</v>
      </c>
      <c r="K41" s="18" t="s">
        <v>52</v>
      </c>
    </row>
    <row r="42" customFormat="false" ht="23.85" hidden="false" customHeight="false" outlineLevel="0" collapsed="false">
      <c r="A42" s="13" t="n">
        <v>38</v>
      </c>
      <c r="B42" s="14" t="s">
        <v>148</v>
      </c>
      <c r="C42" s="14" t="s">
        <v>219</v>
      </c>
      <c r="D42" s="14" t="s">
        <v>215</v>
      </c>
      <c r="E42" s="13" t="s">
        <v>58</v>
      </c>
      <c r="F42" s="15" t="n">
        <v>1</v>
      </c>
      <c r="G42" s="13" t="s">
        <v>50</v>
      </c>
      <c r="H42" s="13" t="s">
        <v>216</v>
      </c>
      <c r="I42" s="16" t="n">
        <v>120</v>
      </c>
      <c r="J42" s="17" t="n">
        <f aca="false">F42*I42</f>
        <v>120</v>
      </c>
      <c r="K42" s="18" t="s">
        <v>52</v>
      </c>
    </row>
    <row r="43" customFormat="false" ht="23.85" hidden="false" customHeight="false" outlineLevel="0" collapsed="false">
      <c r="A43" s="13" t="n">
        <v>39</v>
      </c>
      <c r="B43" s="14" t="s">
        <v>148</v>
      </c>
      <c r="C43" s="14" t="s">
        <v>220</v>
      </c>
      <c r="D43" s="14" t="s">
        <v>215</v>
      </c>
      <c r="E43" s="13" t="s">
        <v>58</v>
      </c>
      <c r="F43" s="15" t="n">
        <v>1</v>
      </c>
      <c r="G43" s="13" t="s">
        <v>50</v>
      </c>
      <c r="H43" s="13" t="s">
        <v>59</v>
      </c>
      <c r="I43" s="16" t="n">
        <v>250</v>
      </c>
      <c r="J43" s="17" t="n">
        <f aca="false">F43*I43</f>
        <v>250</v>
      </c>
      <c r="K43" s="18" t="s">
        <v>52</v>
      </c>
    </row>
    <row r="44" customFormat="false" ht="23.85" hidden="false" customHeight="false" outlineLevel="0" collapsed="false">
      <c r="A44" s="13" t="n">
        <v>40</v>
      </c>
      <c r="B44" s="14" t="s">
        <v>148</v>
      </c>
      <c r="C44" s="14" t="s">
        <v>221</v>
      </c>
      <c r="D44" s="14" t="s">
        <v>222</v>
      </c>
      <c r="E44" s="13" t="s">
        <v>58</v>
      </c>
      <c r="F44" s="15" t="n">
        <v>1</v>
      </c>
      <c r="G44" s="13" t="s">
        <v>50</v>
      </c>
      <c r="H44" s="13" t="s">
        <v>59</v>
      </c>
      <c r="I44" s="16" t="n">
        <v>150</v>
      </c>
      <c r="J44" s="17" t="n">
        <f aca="false">F44*I44</f>
        <v>150</v>
      </c>
      <c r="K44" s="18" t="s">
        <v>52</v>
      </c>
    </row>
    <row r="45" customFormat="false" ht="23.85" hidden="false" customHeight="false" outlineLevel="0" collapsed="false">
      <c r="A45" s="13" t="n">
        <v>41</v>
      </c>
      <c r="B45" s="14" t="s">
        <v>148</v>
      </c>
      <c r="C45" s="14" t="s">
        <v>223</v>
      </c>
      <c r="D45" s="14" t="s">
        <v>224</v>
      </c>
      <c r="E45" s="13" t="s">
        <v>58</v>
      </c>
      <c r="F45" s="15" t="n">
        <v>1</v>
      </c>
      <c r="G45" s="13" t="s">
        <v>50</v>
      </c>
      <c r="H45" s="13" t="s">
        <v>59</v>
      </c>
      <c r="I45" s="16" t="n">
        <v>250</v>
      </c>
      <c r="J45" s="17" t="n">
        <f aca="false">F45*I45</f>
        <v>250</v>
      </c>
      <c r="K45" s="18" t="s">
        <v>52</v>
      </c>
    </row>
    <row r="46" customFormat="false" ht="23.85" hidden="false" customHeight="false" outlineLevel="0" collapsed="false">
      <c r="A46" s="13" t="n">
        <v>42</v>
      </c>
      <c r="B46" s="14" t="s">
        <v>148</v>
      </c>
      <c r="C46" s="14" t="s">
        <v>225</v>
      </c>
      <c r="D46" s="14" t="s">
        <v>226</v>
      </c>
      <c r="E46" s="13" t="s">
        <v>58</v>
      </c>
      <c r="F46" s="15" t="n">
        <v>1</v>
      </c>
      <c r="G46" s="13" t="s">
        <v>50</v>
      </c>
      <c r="H46" s="13" t="s">
        <v>72</v>
      </c>
      <c r="I46" s="16" t="n">
        <v>450</v>
      </c>
      <c r="J46" s="17" t="n">
        <f aca="false">F46*I46</f>
        <v>450</v>
      </c>
      <c r="K46" s="18" t="s">
        <v>52</v>
      </c>
    </row>
    <row r="47" customFormat="false" ht="23.85" hidden="false" customHeight="false" outlineLevel="0" collapsed="false">
      <c r="A47" s="13" t="n">
        <v>43</v>
      </c>
      <c r="B47" s="14" t="s">
        <v>148</v>
      </c>
      <c r="C47" s="14" t="s">
        <v>227</v>
      </c>
      <c r="D47" s="14" t="s">
        <v>228</v>
      </c>
      <c r="E47" s="13" t="s">
        <v>75</v>
      </c>
      <c r="F47" s="15" t="n">
        <v>2</v>
      </c>
      <c r="G47" s="13" t="s">
        <v>50</v>
      </c>
      <c r="H47" s="13" t="s">
        <v>59</v>
      </c>
      <c r="I47" s="16" t="n">
        <v>450</v>
      </c>
      <c r="J47" s="17" t="n">
        <f aca="false">F47*I47</f>
        <v>900</v>
      </c>
      <c r="K47" s="18" t="s">
        <v>52</v>
      </c>
    </row>
    <row r="48" customFormat="false" ht="23.85" hidden="false" customHeight="false" outlineLevel="0" collapsed="false">
      <c r="A48" s="13" t="n">
        <v>44</v>
      </c>
      <c r="B48" s="14" t="s">
        <v>148</v>
      </c>
      <c r="C48" s="14" t="s">
        <v>229</v>
      </c>
      <c r="D48" s="14" t="s">
        <v>230</v>
      </c>
      <c r="E48" s="13" t="s">
        <v>75</v>
      </c>
      <c r="F48" s="15" t="n">
        <v>2</v>
      </c>
      <c r="G48" s="13" t="s">
        <v>50</v>
      </c>
      <c r="H48" s="13" t="s">
        <v>59</v>
      </c>
      <c r="I48" s="16" t="n">
        <v>400</v>
      </c>
      <c r="J48" s="17" t="n">
        <f aca="false">F48*I48</f>
        <v>800</v>
      </c>
      <c r="K48" s="18" t="s">
        <v>52</v>
      </c>
    </row>
    <row r="49" customFormat="false" ht="23.85" hidden="false" customHeight="false" outlineLevel="0" collapsed="false">
      <c r="A49" s="13" t="n">
        <v>45</v>
      </c>
      <c r="B49" s="14" t="s">
        <v>148</v>
      </c>
      <c r="C49" s="14" t="s">
        <v>231</v>
      </c>
      <c r="D49" s="14" t="s">
        <v>232</v>
      </c>
      <c r="E49" s="13" t="s">
        <v>58</v>
      </c>
      <c r="F49" s="15" t="n">
        <v>1</v>
      </c>
      <c r="G49" s="13" t="s">
        <v>50</v>
      </c>
      <c r="H49" s="13" t="s">
        <v>59</v>
      </c>
      <c r="I49" s="16" t="n">
        <v>1500</v>
      </c>
      <c r="J49" s="17" t="n">
        <f aca="false">F49*I49</f>
        <v>1500</v>
      </c>
      <c r="K49" s="18" t="s">
        <v>52</v>
      </c>
    </row>
    <row r="50" customFormat="false" ht="23.85" hidden="false" customHeight="false" outlineLevel="0" collapsed="false">
      <c r="A50" s="13" t="n">
        <v>46</v>
      </c>
      <c r="B50" s="14" t="s">
        <v>148</v>
      </c>
      <c r="C50" s="14" t="s">
        <v>233</v>
      </c>
      <c r="D50" s="14" t="s">
        <v>234</v>
      </c>
      <c r="E50" s="13" t="s">
        <v>58</v>
      </c>
      <c r="F50" s="15" t="n">
        <v>1</v>
      </c>
      <c r="G50" s="13" t="s">
        <v>50</v>
      </c>
      <c r="H50" s="13" t="s">
        <v>59</v>
      </c>
      <c r="I50" s="16" t="n">
        <v>350</v>
      </c>
      <c r="J50" s="17" t="n">
        <f aca="false">F50*I50</f>
        <v>350</v>
      </c>
      <c r="K50" s="18" t="s">
        <v>52</v>
      </c>
    </row>
    <row r="51" customFormat="false" ht="23.85" hidden="false" customHeight="false" outlineLevel="0" collapsed="false">
      <c r="A51" s="13" t="n">
        <v>47</v>
      </c>
      <c r="B51" s="14" t="s">
        <v>148</v>
      </c>
      <c r="C51" s="14" t="s">
        <v>235</v>
      </c>
      <c r="D51" s="14" t="s">
        <v>236</v>
      </c>
      <c r="E51" s="13" t="s">
        <v>58</v>
      </c>
      <c r="F51" s="15" t="n">
        <v>1</v>
      </c>
      <c r="G51" s="13" t="s">
        <v>50</v>
      </c>
      <c r="H51" s="13" t="s">
        <v>59</v>
      </c>
      <c r="I51" s="16" t="n">
        <v>14000</v>
      </c>
      <c r="J51" s="17" t="n">
        <f aca="false">F51*I51</f>
        <v>14000</v>
      </c>
      <c r="K51" s="18" t="s">
        <v>52</v>
      </c>
    </row>
    <row r="52" customFormat="false" ht="23.85" hidden="false" customHeight="false" outlineLevel="0" collapsed="false">
      <c r="A52" s="13" t="n">
        <v>48</v>
      </c>
      <c r="B52" s="14" t="s">
        <v>148</v>
      </c>
      <c r="C52" s="14" t="s">
        <v>237</v>
      </c>
      <c r="D52" s="14" t="s">
        <v>238</v>
      </c>
      <c r="E52" s="13" t="s">
        <v>58</v>
      </c>
      <c r="F52" s="15" t="n">
        <v>1</v>
      </c>
      <c r="G52" s="13" t="s">
        <v>50</v>
      </c>
      <c r="H52" s="13" t="s">
        <v>72</v>
      </c>
      <c r="I52" s="16" t="n">
        <v>1500</v>
      </c>
      <c r="J52" s="17" t="n">
        <f aca="false">F52*I52</f>
        <v>1500</v>
      </c>
      <c r="K52" s="18" t="s">
        <v>52</v>
      </c>
    </row>
    <row r="53" customFormat="false" ht="23.85" hidden="false" customHeight="false" outlineLevel="0" collapsed="false">
      <c r="A53" s="13" t="n">
        <v>49</v>
      </c>
      <c r="B53" s="14" t="s">
        <v>148</v>
      </c>
      <c r="C53" s="14" t="s">
        <v>239</v>
      </c>
      <c r="D53" s="14" t="s">
        <v>240</v>
      </c>
      <c r="E53" s="13" t="s">
        <v>58</v>
      </c>
      <c r="F53" s="15" t="n">
        <v>1</v>
      </c>
      <c r="G53" s="13" t="s">
        <v>50</v>
      </c>
      <c r="H53" s="13" t="s">
        <v>72</v>
      </c>
      <c r="I53" s="16" t="n">
        <v>450</v>
      </c>
      <c r="J53" s="17" t="n">
        <f aca="false">F53*I53</f>
        <v>450</v>
      </c>
      <c r="K53" s="18" t="s">
        <v>52</v>
      </c>
    </row>
    <row r="54" customFormat="false" ht="23.85" hidden="false" customHeight="false" outlineLevel="0" collapsed="false">
      <c r="A54" s="13" t="n">
        <v>50</v>
      </c>
      <c r="B54" s="14" t="s">
        <v>148</v>
      </c>
      <c r="C54" s="14" t="s">
        <v>241</v>
      </c>
      <c r="D54" s="14" t="s">
        <v>242</v>
      </c>
      <c r="E54" s="13" t="s">
        <v>58</v>
      </c>
      <c r="F54" s="15" t="n">
        <v>1</v>
      </c>
      <c r="G54" s="13" t="s">
        <v>50</v>
      </c>
      <c r="H54" s="13" t="s">
        <v>59</v>
      </c>
      <c r="I54" s="16" t="n">
        <v>350</v>
      </c>
      <c r="J54" s="17" t="n">
        <f aca="false">F54*I54</f>
        <v>350</v>
      </c>
      <c r="K54" s="18" t="s">
        <v>52</v>
      </c>
    </row>
    <row r="55" customFormat="false" ht="23.85" hidden="false" customHeight="false" outlineLevel="0" collapsed="false">
      <c r="A55" s="13" t="n">
        <v>51</v>
      </c>
      <c r="B55" s="14" t="s">
        <v>148</v>
      </c>
      <c r="C55" s="14" t="s">
        <v>243</v>
      </c>
      <c r="D55" s="14" t="s">
        <v>244</v>
      </c>
      <c r="E55" s="13" t="s">
        <v>58</v>
      </c>
      <c r="F55" s="15" t="n">
        <v>1</v>
      </c>
      <c r="G55" s="13" t="s">
        <v>50</v>
      </c>
      <c r="H55" s="13" t="s">
        <v>51</v>
      </c>
      <c r="I55" s="16" t="n">
        <v>180</v>
      </c>
      <c r="J55" s="17" t="n">
        <f aca="false">F55*I55</f>
        <v>180</v>
      </c>
      <c r="K55" s="18" t="s">
        <v>52</v>
      </c>
    </row>
    <row r="56" customFormat="false" ht="23.85" hidden="false" customHeight="false" outlineLevel="0" collapsed="false">
      <c r="A56" s="13" t="n">
        <v>52</v>
      </c>
      <c r="B56" s="14" t="s">
        <v>148</v>
      </c>
      <c r="C56" s="14" t="s">
        <v>245</v>
      </c>
      <c r="D56" s="14" t="s">
        <v>246</v>
      </c>
      <c r="E56" s="13" t="s">
        <v>58</v>
      </c>
      <c r="F56" s="15" t="n">
        <v>1</v>
      </c>
      <c r="G56" s="13" t="s">
        <v>50</v>
      </c>
      <c r="H56" s="13" t="s">
        <v>59</v>
      </c>
      <c r="I56" s="16" t="n">
        <v>1500</v>
      </c>
      <c r="J56" s="17" t="n">
        <f aca="false">F56*I56</f>
        <v>1500</v>
      </c>
      <c r="K56" s="18" t="s">
        <v>52</v>
      </c>
    </row>
    <row r="57" customFormat="false" ht="23.85" hidden="false" customHeight="false" outlineLevel="0" collapsed="false">
      <c r="A57" s="13" t="n">
        <v>53</v>
      </c>
      <c r="B57" s="14" t="s">
        <v>148</v>
      </c>
      <c r="C57" s="14" t="s">
        <v>247</v>
      </c>
      <c r="D57" s="14" t="s">
        <v>248</v>
      </c>
      <c r="E57" s="13" t="s">
        <v>58</v>
      </c>
      <c r="F57" s="15" t="n">
        <v>1</v>
      </c>
      <c r="G57" s="13" t="s">
        <v>50</v>
      </c>
      <c r="H57" s="13" t="s">
        <v>59</v>
      </c>
      <c r="I57" s="16" t="n">
        <v>450</v>
      </c>
      <c r="J57" s="17" t="n">
        <f aca="false">F57*I57</f>
        <v>450</v>
      </c>
      <c r="K57" s="18" t="s">
        <v>52</v>
      </c>
    </row>
    <row r="58" customFormat="false" ht="23.85" hidden="false" customHeight="false" outlineLevel="0" collapsed="false">
      <c r="A58" s="13" t="n">
        <v>54</v>
      </c>
      <c r="B58" s="14" t="s">
        <v>148</v>
      </c>
      <c r="C58" s="14" t="s">
        <v>249</v>
      </c>
      <c r="D58" s="14" t="s">
        <v>248</v>
      </c>
      <c r="E58" s="13" t="s">
        <v>58</v>
      </c>
      <c r="F58" s="15" t="n">
        <v>1</v>
      </c>
      <c r="G58" s="13" t="s">
        <v>50</v>
      </c>
      <c r="H58" s="13" t="s">
        <v>59</v>
      </c>
      <c r="I58" s="16" t="n">
        <v>450</v>
      </c>
      <c r="J58" s="17" t="n">
        <f aca="false">F58*I58</f>
        <v>450</v>
      </c>
      <c r="K58" s="18" t="s">
        <v>52</v>
      </c>
    </row>
    <row r="59" customFormat="false" ht="23.85" hidden="false" customHeight="false" outlineLevel="0" collapsed="false">
      <c r="A59" s="13" t="n">
        <v>55</v>
      </c>
      <c r="B59" s="14" t="s">
        <v>148</v>
      </c>
      <c r="C59" s="14" t="s">
        <v>250</v>
      </c>
      <c r="D59" s="14" t="s">
        <v>251</v>
      </c>
      <c r="E59" s="13" t="s">
        <v>58</v>
      </c>
      <c r="F59" s="15" t="n">
        <v>1</v>
      </c>
      <c r="G59" s="13" t="s">
        <v>50</v>
      </c>
      <c r="H59" s="13" t="s">
        <v>59</v>
      </c>
      <c r="I59" s="16" t="n">
        <v>180</v>
      </c>
      <c r="J59" s="17" t="n">
        <f aca="false">F59*I59</f>
        <v>180</v>
      </c>
      <c r="K59" s="18" t="s">
        <v>52</v>
      </c>
    </row>
    <row r="60" customFormat="false" ht="23.85" hidden="false" customHeight="false" outlineLevel="0" collapsed="false">
      <c r="A60" s="13" t="n">
        <v>56</v>
      </c>
      <c r="B60" s="14" t="s">
        <v>148</v>
      </c>
      <c r="C60" s="14" t="s">
        <v>252</v>
      </c>
      <c r="D60" s="14" t="s">
        <v>253</v>
      </c>
      <c r="E60" s="13" t="s">
        <v>49</v>
      </c>
      <c r="F60" s="15" t="n">
        <v>15</v>
      </c>
      <c r="G60" s="13" t="s">
        <v>50</v>
      </c>
      <c r="H60" s="13" t="s">
        <v>59</v>
      </c>
      <c r="I60" s="16" t="n">
        <v>30</v>
      </c>
      <c r="J60" s="17" t="n">
        <f aca="false">F60*I60</f>
        <v>450</v>
      </c>
      <c r="K60" s="18" t="s">
        <v>52</v>
      </c>
    </row>
    <row r="61" customFormat="false" ht="23.85" hidden="false" customHeight="false" outlineLevel="0" collapsed="false">
      <c r="A61" s="13" t="n">
        <v>57</v>
      </c>
      <c r="B61" s="14" t="s">
        <v>148</v>
      </c>
      <c r="C61" s="14" t="s">
        <v>254</v>
      </c>
      <c r="D61" s="14" t="s">
        <v>255</v>
      </c>
      <c r="E61" s="13" t="s">
        <v>58</v>
      </c>
      <c r="F61" s="15" t="n">
        <v>1</v>
      </c>
      <c r="G61" s="13" t="s">
        <v>50</v>
      </c>
      <c r="H61" s="13" t="s">
        <v>72</v>
      </c>
      <c r="I61" s="16" t="n">
        <v>900</v>
      </c>
      <c r="J61" s="17" t="n">
        <f aca="false">F61*I61</f>
        <v>900</v>
      </c>
      <c r="K61" s="18" t="s">
        <v>52</v>
      </c>
    </row>
    <row r="62" customFormat="false" ht="23.85" hidden="false" customHeight="false" outlineLevel="0" collapsed="false">
      <c r="A62" s="13" t="n">
        <v>58</v>
      </c>
      <c r="B62" s="14" t="s">
        <v>148</v>
      </c>
      <c r="C62" s="14" t="s">
        <v>256</v>
      </c>
      <c r="D62" s="14" t="s">
        <v>257</v>
      </c>
      <c r="E62" s="13" t="s">
        <v>58</v>
      </c>
      <c r="F62" s="15" t="n">
        <v>1</v>
      </c>
      <c r="G62" s="13" t="s">
        <v>50</v>
      </c>
      <c r="H62" s="13" t="s">
        <v>59</v>
      </c>
      <c r="I62" s="16" t="n">
        <v>450</v>
      </c>
      <c r="J62" s="17" t="n">
        <f aca="false">F62*I62</f>
        <v>450</v>
      </c>
      <c r="K62" s="18" t="s">
        <v>52</v>
      </c>
    </row>
    <row r="63" customFormat="false" ht="23.85" hidden="false" customHeight="false" outlineLevel="0" collapsed="false">
      <c r="A63" s="13" t="n">
        <v>59</v>
      </c>
      <c r="B63" s="14" t="s">
        <v>148</v>
      </c>
      <c r="C63" s="14" t="s">
        <v>258</v>
      </c>
      <c r="D63" s="14" t="s">
        <v>259</v>
      </c>
      <c r="E63" s="13" t="s">
        <v>58</v>
      </c>
      <c r="F63" s="15" t="n">
        <v>1</v>
      </c>
      <c r="G63" s="13" t="s">
        <v>50</v>
      </c>
      <c r="H63" s="13" t="s">
        <v>59</v>
      </c>
      <c r="I63" s="16" t="n">
        <v>300</v>
      </c>
      <c r="J63" s="17" t="n">
        <f aca="false">F63*I63</f>
        <v>300</v>
      </c>
      <c r="K63" s="18" t="s">
        <v>52</v>
      </c>
    </row>
    <row r="64" customFormat="false" ht="23.85" hidden="false" customHeight="false" outlineLevel="0" collapsed="false">
      <c r="A64" s="13" t="n">
        <v>60</v>
      </c>
      <c r="B64" s="14" t="s">
        <v>148</v>
      </c>
      <c r="C64" s="14" t="s">
        <v>260</v>
      </c>
      <c r="D64" s="14" t="s">
        <v>261</v>
      </c>
      <c r="E64" s="13" t="s">
        <v>58</v>
      </c>
      <c r="F64" s="15" t="n">
        <v>1</v>
      </c>
      <c r="G64" s="13" t="s">
        <v>50</v>
      </c>
      <c r="H64" s="13" t="s">
        <v>59</v>
      </c>
      <c r="I64" s="16" t="n">
        <v>300</v>
      </c>
      <c r="J64" s="17" t="n">
        <f aca="false">F64*I64</f>
        <v>300</v>
      </c>
      <c r="K64" s="18" t="s">
        <v>52</v>
      </c>
    </row>
    <row r="65" customFormat="false" ht="23.85" hidden="false" customHeight="false" outlineLevel="0" collapsed="false">
      <c r="A65" s="13" t="n">
        <v>61</v>
      </c>
      <c r="B65" s="14" t="s">
        <v>148</v>
      </c>
      <c r="C65" s="14" t="s">
        <v>262</v>
      </c>
      <c r="D65" s="14" t="s">
        <v>263</v>
      </c>
      <c r="E65" s="13" t="s">
        <v>58</v>
      </c>
      <c r="F65" s="15" t="n">
        <v>1</v>
      </c>
      <c r="G65" s="13" t="s">
        <v>50</v>
      </c>
      <c r="H65" s="13" t="s">
        <v>59</v>
      </c>
      <c r="I65" s="16" t="n">
        <v>4500</v>
      </c>
      <c r="J65" s="17" t="n">
        <f aca="false">F65*I65</f>
        <v>4500</v>
      </c>
      <c r="K65" s="18" t="s">
        <v>52</v>
      </c>
    </row>
    <row r="66" customFormat="false" ht="23.85" hidden="false" customHeight="false" outlineLevel="0" collapsed="false">
      <c r="A66" s="13" t="n">
        <v>62</v>
      </c>
      <c r="B66" s="14" t="s">
        <v>148</v>
      </c>
      <c r="C66" s="14" t="s">
        <v>264</v>
      </c>
      <c r="D66" s="14" t="s">
        <v>265</v>
      </c>
      <c r="E66" s="13" t="s">
        <v>58</v>
      </c>
      <c r="F66" s="15" t="n">
        <v>1</v>
      </c>
      <c r="G66" s="13" t="s">
        <v>50</v>
      </c>
      <c r="H66" s="13" t="s">
        <v>59</v>
      </c>
      <c r="I66" s="16" t="n">
        <v>3500</v>
      </c>
      <c r="J66" s="17" t="n">
        <f aca="false">F66*I66</f>
        <v>3500</v>
      </c>
      <c r="K66" s="18" t="s">
        <v>52</v>
      </c>
    </row>
    <row r="67" customFormat="false" ht="23.85" hidden="false" customHeight="false" outlineLevel="0" collapsed="false">
      <c r="A67" s="13" t="n">
        <v>63</v>
      </c>
      <c r="B67" s="14" t="s">
        <v>148</v>
      </c>
      <c r="C67" s="14" t="s">
        <v>266</v>
      </c>
      <c r="D67" s="14" t="s">
        <v>267</v>
      </c>
      <c r="E67" s="13" t="s">
        <v>75</v>
      </c>
      <c r="F67" s="15" t="n">
        <v>2</v>
      </c>
      <c r="G67" s="13" t="s">
        <v>50</v>
      </c>
      <c r="H67" s="13" t="s">
        <v>59</v>
      </c>
      <c r="I67" s="16" t="n">
        <v>2500</v>
      </c>
      <c r="J67" s="17" t="n">
        <f aca="false">F67*I67</f>
        <v>5000</v>
      </c>
      <c r="K67" s="18" t="s">
        <v>52</v>
      </c>
    </row>
    <row r="68" customFormat="false" ht="23.85" hidden="false" customHeight="false" outlineLevel="0" collapsed="false">
      <c r="A68" s="13" t="n">
        <v>64</v>
      </c>
      <c r="B68" s="14" t="s">
        <v>148</v>
      </c>
      <c r="C68" s="14" t="s">
        <v>268</v>
      </c>
      <c r="D68" s="14" t="s">
        <v>269</v>
      </c>
      <c r="E68" s="13" t="s">
        <v>58</v>
      </c>
      <c r="F68" s="15" t="n">
        <v>1</v>
      </c>
      <c r="G68" s="13" t="s">
        <v>50</v>
      </c>
      <c r="H68" s="13" t="s">
        <v>72</v>
      </c>
      <c r="I68" s="16" t="n">
        <v>1200</v>
      </c>
      <c r="J68" s="17" t="n">
        <f aca="false">F68*I68</f>
        <v>1200</v>
      </c>
      <c r="K68" s="18" t="s">
        <v>52</v>
      </c>
    </row>
    <row r="69" customFormat="false" ht="23.85" hidden="false" customHeight="false" outlineLevel="0" collapsed="false">
      <c r="A69" s="13" t="n">
        <v>65</v>
      </c>
      <c r="B69" s="14" t="s">
        <v>148</v>
      </c>
      <c r="C69" s="14" t="s">
        <v>270</v>
      </c>
      <c r="D69" s="14" t="s">
        <v>271</v>
      </c>
      <c r="E69" s="13" t="s">
        <v>58</v>
      </c>
      <c r="F69" s="15" t="n">
        <v>1</v>
      </c>
      <c r="G69" s="13" t="s">
        <v>50</v>
      </c>
      <c r="H69" s="13" t="s">
        <v>72</v>
      </c>
      <c r="I69" s="16" t="n">
        <v>1500</v>
      </c>
      <c r="J69" s="17" t="n">
        <f aca="false">F69*I69</f>
        <v>1500</v>
      </c>
      <c r="K69" s="18" t="s">
        <v>52</v>
      </c>
    </row>
    <row r="70" customFormat="false" ht="23.85" hidden="false" customHeight="false" outlineLevel="0" collapsed="false">
      <c r="A70" s="13" t="n">
        <v>66</v>
      </c>
      <c r="B70" s="14" t="s">
        <v>148</v>
      </c>
      <c r="C70" s="14" t="s">
        <v>272</v>
      </c>
      <c r="D70" s="14" t="s">
        <v>273</v>
      </c>
      <c r="E70" s="13" t="s">
        <v>58</v>
      </c>
      <c r="F70" s="15" t="n">
        <v>1</v>
      </c>
      <c r="G70" s="13" t="s">
        <v>50</v>
      </c>
      <c r="H70" s="13" t="s">
        <v>72</v>
      </c>
      <c r="I70" s="16" t="n">
        <v>2500</v>
      </c>
      <c r="J70" s="17" t="n">
        <f aca="false">F70*I70</f>
        <v>2500</v>
      </c>
      <c r="K70" s="18" t="s">
        <v>52</v>
      </c>
    </row>
    <row r="71" customFormat="false" ht="23.85" hidden="false" customHeight="false" outlineLevel="0" collapsed="false">
      <c r="A71" s="13" t="n">
        <v>67</v>
      </c>
      <c r="B71" s="14" t="s">
        <v>148</v>
      </c>
      <c r="C71" s="14" t="s">
        <v>274</v>
      </c>
      <c r="D71" s="14" t="s">
        <v>275</v>
      </c>
      <c r="E71" s="13" t="s">
        <v>58</v>
      </c>
      <c r="F71" s="15" t="n">
        <v>1</v>
      </c>
      <c r="G71" s="13" t="s">
        <v>50</v>
      </c>
      <c r="H71" s="13" t="s">
        <v>59</v>
      </c>
      <c r="I71" s="16" t="n">
        <v>450</v>
      </c>
      <c r="J71" s="17" t="n">
        <f aca="false">F71*I71</f>
        <v>450</v>
      </c>
      <c r="K71" s="18" t="s">
        <v>52</v>
      </c>
    </row>
    <row r="72" customFormat="false" ht="23.85" hidden="false" customHeight="false" outlineLevel="0" collapsed="false">
      <c r="A72" s="13" t="n">
        <v>68</v>
      </c>
      <c r="B72" s="14" t="s">
        <v>148</v>
      </c>
      <c r="C72" s="14" t="s">
        <v>276</v>
      </c>
      <c r="D72" s="14" t="s">
        <v>277</v>
      </c>
      <c r="E72" s="13" t="s">
        <v>58</v>
      </c>
      <c r="F72" s="15" t="n">
        <v>1</v>
      </c>
      <c r="G72" s="13" t="s">
        <v>50</v>
      </c>
      <c r="H72" s="13" t="s">
        <v>59</v>
      </c>
      <c r="I72" s="16" t="n">
        <v>12000</v>
      </c>
      <c r="J72" s="17" t="n">
        <f aca="false">F72*I72</f>
        <v>12000</v>
      </c>
      <c r="K72" s="18" t="s">
        <v>52</v>
      </c>
    </row>
    <row r="73" customFormat="false" ht="23.85" hidden="false" customHeight="false" outlineLevel="0" collapsed="false">
      <c r="A73" s="13" t="n">
        <v>69</v>
      </c>
      <c r="B73" s="14" t="s">
        <v>148</v>
      </c>
      <c r="C73" s="14" t="s">
        <v>278</v>
      </c>
      <c r="D73" s="14" t="s">
        <v>279</v>
      </c>
      <c r="E73" s="13" t="s">
        <v>58</v>
      </c>
      <c r="F73" s="15" t="n">
        <v>1</v>
      </c>
      <c r="G73" s="13" t="s">
        <v>50</v>
      </c>
      <c r="H73" s="13" t="s">
        <v>280</v>
      </c>
      <c r="I73" s="16" t="n">
        <v>250</v>
      </c>
      <c r="J73" s="17" t="n">
        <f aca="false">F73*I73</f>
        <v>250</v>
      </c>
      <c r="K73" s="18" t="s">
        <v>52</v>
      </c>
    </row>
    <row r="74" customFormat="false" ht="23.85" hidden="false" customHeight="false" outlineLevel="0" collapsed="false">
      <c r="A74" s="13" t="n">
        <v>70</v>
      </c>
      <c r="B74" s="14" t="s">
        <v>148</v>
      </c>
      <c r="C74" s="14" t="s">
        <v>281</v>
      </c>
      <c r="D74" s="14" t="s">
        <v>282</v>
      </c>
      <c r="E74" s="13" t="s">
        <v>58</v>
      </c>
      <c r="F74" s="15" t="n">
        <v>1</v>
      </c>
      <c r="G74" s="13" t="s">
        <v>50</v>
      </c>
      <c r="H74" s="13" t="s">
        <v>59</v>
      </c>
      <c r="I74" s="16" t="n">
        <v>350</v>
      </c>
      <c r="J74" s="17" t="n">
        <f aca="false">F74*I74</f>
        <v>350</v>
      </c>
      <c r="K74" s="18" t="s">
        <v>52</v>
      </c>
    </row>
    <row r="75" customFormat="false" ht="23.85" hidden="false" customHeight="false" outlineLevel="0" collapsed="false">
      <c r="A75" s="13" t="n">
        <v>71</v>
      </c>
      <c r="B75" s="14" t="s">
        <v>148</v>
      </c>
      <c r="C75" s="14" t="s">
        <v>283</v>
      </c>
      <c r="D75" s="14" t="s">
        <v>46</v>
      </c>
      <c r="E75" s="13" t="s">
        <v>75</v>
      </c>
      <c r="F75" s="15" t="n">
        <v>2</v>
      </c>
      <c r="G75" s="13" t="s">
        <v>50</v>
      </c>
      <c r="H75" s="13" t="s">
        <v>59</v>
      </c>
      <c r="I75" s="16" t="n">
        <v>100</v>
      </c>
      <c r="J75" s="17" t="n">
        <f aca="false">F75*I75</f>
        <v>200</v>
      </c>
      <c r="K75" s="18" t="s">
        <v>52</v>
      </c>
    </row>
    <row r="76" customFormat="false" ht="23.85" hidden="false" customHeight="false" outlineLevel="0" collapsed="false">
      <c r="A76" s="13" t="n">
        <v>72</v>
      </c>
      <c r="B76" s="14" t="s">
        <v>148</v>
      </c>
      <c r="C76" s="14" t="s">
        <v>284</v>
      </c>
      <c r="D76" s="14" t="s">
        <v>285</v>
      </c>
      <c r="E76" s="13" t="s">
        <v>75</v>
      </c>
      <c r="F76" s="15" t="n">
        <v>2</v>
      </c>
      <c r="G76" s="13" t="s">
        <v>50</v>
      </c>
      <c r="H76" s="13" t="s">
        <v>59</v>
      </c>
      <c r="I76" s="16" t="n">
        <v>450</v>
      </c>
      <c r="J76" s="17" t="n">
        <f aca="false">F76*I76</f>
        <v>900</v>
      </c>
      <c r="K76" s="18" t="s">
        <v>52</v>
      </c>
    </row>
    <row r="77" customFormat="false" ht="23.85" hidden="false" customHeight="false" outlineLevel="0" collapsed="false">
      <c r="A77" s="13" t="n">
        <v>73</v>
      </c>
      <c r="B77" s="14" t="s">
        <v>148</v>
      </c>
      <c r="C77" s="14" t="s">
        <v>286</v>
      </c>
      <c r="D77" s="14" t="s">
        <v>287</v>
      </c>
      <c r="E77" s="13" t="s">
        <v>58</v>
      </c>
      <c r="F77" s="15" t="n">
        <v>1</v>
      </c>
      <c r="G77" s="13" t="s">
        <v>50</v>
      </c>
      <c r="H77" s="13" t="s">
        <v>59</v>
      </c>
      <c r="I77" s="16" t="n">
        <v>250</v>
      </c>
      <c r="J77" s="17" t="n">
        <f aca="false">F77*I77</f>
        <v>250</v>
      </c>
      <c r="K77" s="18" t="s">
        <v>52</v>
      </c>
    </row>
    <row r="78" customFormat="false" ht="23.85" hidden="false" customHeight="false" outlineLevel="0" collapsed="false">
      <c r="A78" s="13" t="n">
        <v>74</v>
      </c>
      <c r="B78" s="14" t="s">
        <v>148</v>
      </c>
      <c r="C78" s="14" t="s">
        <v>288</v>
      </c>
      <c r="D78" s="14" t="s">
        <v>289</v>
      </c>
      <c r="E78" s="13" t="s">
        <v>58</v>
      </c>
      <c r="F78" s="15" t="n">
        <v>1</v>
      </c>
      <c r="G78" s="13" t="s">
        <v>50</v>
      </c>
      <c r="H78" s="13" t="s">
        <v>59</v>
      </c>
      <c r="I78" s="16" t="n">
        <v>450</v>
      </c>
      <c r="J78" s="17" t="n">
        <f aca="false">F78*I78</f>
        <v>450</v>
      </c>
      <c r="K78" s="18" t="s">
        <v>52</v>
      </c>
    </row>
    <row r="79" customFormat="false" ht="23.85" hidden="false" customHeight="false" outlineLevel="0" collapsed="false">
      <c r="A79" s="13" t="n">
        <v>75</v>
      </c>
      <c r="B79" s="14" t="s">
        <v>148</v>
      </c>
      <c r="C79" s="14" t="s">
        <v>290</v>
      </c>
      <c r="D79" s="14" t="s">
        <v>291</v>
      </c>
      <c r="E79" s="13" t="s">
        <v>58</v>
      </c>
      <c r="F79" s="15" t="n">
        <v>1</v>
      </c>
      <c r="G79" s="13" t="s">
        <v>50</v>
      </c>
      <c r="H79" s="13" t="s">
        <v>72</v>
      </c>
      <c r="I79" s="16" t="n">
        <v>900</v>
      </c>
      <c r="J79" s="17" t="n">
        <f aca="false">F79*I79</f>
        <v>900</v>
      </c>
      <c r="K79" s="18" t="s">
        <v>52</v>
      </c>
    </row>
    <row r="80" customFormat="false" ht="23.85" hidden="false" customHeight="false" outlineLevel="0" collapsed="false">
      <c r="A80" s="13" t="n">
        <v>76</v>
      </c>
      <c r="B80" s="14" t="s">
        <v>148</v>
      </c>
      <c r="C80" s="14" t="s">
        <v>292</v>
      </c>
      <c r="D80" s="14" t="s">
        <v>293</v>
      </c>
      <c r="E80" s="13" t="s">
        <v>58</v>
      </c>
      <c r="F80" s="15" t="n">
        <v>1</v>
      </c>
      <c r="G80" s="13" t="s">
        <v>50</v>
      </c>
      <c r="H80" s="13" t="s">
        <v>59</v>
      </c>
      <c r="I80" s="16" t="n">
        <v>300</v>
      </c>
      <c r="J80" s="17" t="n">
        <f aca="false">F80*I80</f>
        <v>300</v>
      </c>
      <c r="K80" s="18" t="s">
        <v>52</v>
      </c>
    </row>
    <row r="81" customFormat="false" ht="23.85" hidden="false" customHeight="false" outlineLevel="0" collapsed="false">
      <c r="A81" s="13" t="n">
        <v>77</v>
      </c>
      <c r="B81" s="14" t="s">
        <v>148</v>
      </c>
      <c r="C81" s="14" t="s">
        <v>294</v>
      </c>
      <c r="D81" s="14" t="s">
        <v>295</v>
      </c>
      <c r="E81" s="13" t="s">
        <v>58</v>
      </c>
      <c r="F81" s="15" t="n">
        <v>1</v>
      </c>
      <c r="G81" s="13" t="s">
        <v>50</v>
      </c>
      <c r="H81" s="13" t="s">
        <v>51</v>
      </c>
      <c r="I81" s="16" t="n">
        <v>350</v>
      </c>
      <c r="J81" s="17" t="n">
        <f aca="false">F81*I81</f>
        <v>350</v>
      </c>
      <c r="K81" s="18" t="s">
        <v>52</v>
      </c>
    </row>
    <row r="82" customFormat="false" ht="23.85" hidden="false" customHeight="false" outlineLevel="0" collapsed="false">
      <c r="A82" s="13" t="n">
        <v>78</v>
      </c>
      <c r="B82" s="14" t="s">
        <v>148</v>
      </c>
      <c r="C82" s="14" t="s">
        <v>296</v>
      </c>
      <c r="D82" s="14" t="s">
        <v>297</v>
      </c>
      <c r="E82" s="13" t="s">
        <v>58</v>
      </c>
      <c r="F82" s="15" t="n">
        <v>1</v>
      </c>
      <c r="G82" s="13" t="s">
        <v>50</v>
      </c>
      <c r="H82" s="13" t="s">
        <v>298</v>
      </c>
      <c r="I82" s="16" t="n">
        <v>150</v>
      </c>
      <c r="J82" s="17" t="n">
        <f aca="false">F82*I82</f>
        <v>150</v>
      </c>
      <c r="K82" s="18" t="s">
        <v>52</v>
      </c>
    </row>
    <row r="83" customFormat="false" ht="23.85" hidden="false" customHeight="false" outlineLevel="0" collapsed="false">
      <c r="A83" s="13" t="n">
        <v>79</v>
      </c>
      <c r="B83" s="14" t="s">
        <v>148</v>
      </c>
      <c r="C83" s="14" t="s">
        <v>299</v>
      </c>
      <c r="D83" s="14" t="s">
        <v>300</v>
      </c>
      <c r="E83" s="13" t="s">
        <v>58</v>
      </c>
      <c r="F83" s="15" t="n">
        <v>1</v>
      </c>
      <c r="G83" s="13" t="s">
        <v>50</v>
      </c>
      <c r="H83" s="13" t="s">
        <v>59</v>
      </c>
      <c r="I83" s="16" t="n">
        <v>450</v>
      </c>
      <c r="J83" s="17" t="n">
        <f aca="false">F83*I83</f>
        <v>450</v>
      </c>
      <c r="K83" s="18" t="s">
        <v>52</v>
      </c>
    </row>
    <row r="84" customFormat="false" ht="23.85" hidden="false" customHeight="false" outlineLevel="0" collapsed="false">
      <c r="A84" s="13" t="n">
        <v>80</v>
      </c>
      <c r="B84" s="14" t="s">
        <v>148</v>
      </c>
      <c r="C84" s="14" t="s">
        <v>301</v>
      </c>
      <c r="D84" s="14" t="s">
        <v>302</v>
      </c>
      <c r="E84" s="13" t="s">
        <v>58</v>
      </c>
      <c r="F84" s="15" t="n">
        <v>1</v>
      </c>
      <c r="G84" s="13" t="s">
        <v>50</v>
      </c>
      <c r="H84" s="13" t="s">
        <v>72</v>
      </c>
      <c r="I84" s="16" t="n">
        <v>600</v>
      </c>
      <c r="J84" s="17" t="n">
        <f aca="false">F84*I84</f>
        <v>600</v>
      </c>
      <c r="K84" s="18" t="s">
        <v>52</v>
      </c>
    </row>
    <row r="85" customFormat="false" ht="23.85" hidden="false" customHeight="false" outlineLevel="0" collapsed="false">
      <c r="A85" s="13" t="n">
        <v>81</v>
      </c>
      <c r="B85" s="14" t="s">
        <v>148</v>
      </c>
      <c r="C85" s="14" t="s">
        <v>303</v>
      </c>
      <c r="D85" s="14" t="s">
        <v>304</v>
      </c>
      <c r="E85" s="13" t="s">
        <v>75</v>
      </c>
      <c r="F85" s="15" t="n">
        <v>2</v>
      </c>
      <c r="G85" s="13" t="s">
        <v>50</v>
      </c>
      <c r="H85" s="13" t="s">
        <v>59</v>
      </c>
      <c r="I85" s="16" t="n">
        <v>450</v>
      </c>
      <c r="J85" s="17" t="n">
        <f aca="false">F85*I85</f>
        <v>900</v>
      </c>
      <c r="K85" s="18" t="s">
        <v>52</v>
      </c>
    </row>
    <row r="86" customFormat="false" ht="23.85" hidden="false" customHeight="false" outlineLevel="0" collapsed="false">
      <c r="A86" s="13" t="n">
        <v>82</v>
      </c>
      <c r="B86" s="14" t="s">
        <v>148</v>
      </c>
      <c r="C86" s="14" t="s">
        <v>305</v>
      </c>
      <c r="D86" s="14" t="s">
        <v>306</v>
      </c>
      <c r="E86" s="13" t="s">
        <v>307</v>
      </c>
      <c r="F86" s="15" t="n">
        <v>4</v>
      </c>
      <c r="G86" s="13" t="s">
        <v>50</v>
      </c>
      <c r="H86" s="13" t="s">
        <v>59</v>
      </c>
      <c r="I86" s="16" t="n">
        <v>300</v>
      </c>
      <c r="J86" s="17" t="n">
        <f aca="false">F86*I86</f>
        <v>1200</v>
      </c>
      <c r="K86" s="18" t="s">
        <v>52</v>
      </c>
    </row>
    <row r="87" customFormat="false" ht="23.85" hidden="false" customHeight="false" outlineLevel="0" collapsed="false">
      <c r="A87" s="13" t="n">
        <v>83</v>
      </c>
      <c r="B87" s="14" t="s">
        <v>148</v>
      </c>
      <c r="C87" s="14" t="s">
        <v>308</v>
      </c>
      <c r="D87" s="14" t="s">
        <v>309</v>
      </c>
      <c r="E87" s="13" t="s">
        <v>75</v>
      </c>
      <c r="F87" s="15" t="n">
        <v>2</v>
      </c>
      <c r="G87" s="13" t="s">
        <v>50</v>
      </c>
      <c r="H87" s="13" t="s">
        <v>59</v>
      </c>
      <c r="I87" s="16" t="n">
        <v>550</v>
      </c>
      <c r="J87" s="17" t="n">
        <f aca="false">F87*I87</f>
        <v>1100</v>
      </c>
      <c r="K87" s="18" t="s">
        <v>52</v>
      </c>
    </row>
    <row r="88" customFormat="false" ht="23.85" hidden="false" customHeight="false" outlineLevel="0" collapsed="false">
      <c r="A88" s="13" t="n">
        <v>84</v>
      </c>
      <c r="B88" s="14" t="s">
        <v>148</v>
      </c>
      <c r="C88" s="14" t="s">
        <v>310</v>
      </c>
      <c r="D88" s="14" t="s">
        <v>311</v>
      </c>
      <c r="E88" s="13" t="s">
        <v>58</v>
      </c>
      <c r="F88" s="15" t="n">
        <v>1</v>
      </c>
      <c r="G88" s="13" t="s">
        <v>50</v>
      </c>
      <c r="H88" s="13" t="s">
        <v>72</v>
      </c>
      <c r="I88" s="16" t="n">
        <v>3500</v>
      </c>
      <c r="J88" s="17" t="n">
        <f aca="false">F88*I88</f>
        <v>3500</v>
      </c>
      <c r="K88" s="18" t="s">
        <v>52</v>
      </c>
    </row>
    <row r="89" customFormat="false" ht="23.85" hidden="false" customHeight="false" outlineLevel="0" collapsed="false">
      <c r="A89" s="13" t="n">
        <v>85</v>
      </c>
      <c r="B89" s="14" t="s">
        <v>148</v>
      </c>
      <c r="C89" s="14" t="s">
        <v>312</v>
      </c>
      <c r="D89" s="14" t="s">
        <v>313</v>
      </c>
      <c r="E89" s="13" t="s">
        <v>58</v>
      </c>
      <c r="F89" s="15" t="n">
        <v>1</v>
      </c>
      <c r="G89" s="13" t="s">
        <v>50</v>
      </c>
      <c r="H89" s="13" t="s">
        <v>51</v>
      </c>
      <c r="I89" s="16" t="n">
        <v>3500</v>
      </c>
      <c r="J89" s="17" t="n">
        <f aca="false">F89*I89</f>
        <v>3500</v>
      </c>
      <c r="K89" s="18" t="s">
        <v>52</v>
      </c>
    </row>
    <row r="90" customFormat="false" ht="23.85" hidden="false" customHeight="false" outlineLevel="0" collapsed="false">
      <c r="A90" s="13" t="n">
        <v>86</v>
      </c>
      <c r="B90" s="14" t="s">
        <v>148</v>
      </c>
      <c r="C90" s="14" t="s">
        <v>314</v>
      </c>
      <c r="D90" s="14" t="s">
        <v>230</v>
      </c>
      <c r="E90" s="13" t="s">
        <v>58</v>
      </c>
      <c r="F90" s="15" t="n">
        <v>1</v>
      </c>
      <c r="G90" s="13" t="s">
        <v>50</v>
      </c>
      <c r="H90" s="13" t="s">
        <v>51</v>
      </c>
      <c r="I90" s="16" t="n">
        <v>1800</v>
      </c>
      <c r="J90" s="17" t="n">
        <f aca="false">F90*I90</f>
        <v>1800</v>
      </c>
      <c r="K90" s="18" t="s">
        <v>52</v>
      </c>
    </row>
    <row r="91" customFormat="false" ht="23.85" hidden="false" customHeight="false" outlineLevel="0" collapsed="false">
      <c r="A91" s="13" t="n">
        <v>87</v>
      </c>
      <c r="B91" s="14" t="s">
        <v>148</v>
      </c>
      <c r="C91" s="14" t="s">
        <v>315</v>
      </c>
      <c r="D91" s="14" t="s">
        <v>316</v>
      </c>
      <c r="E91" s="13" t="s">
        <v>58</v>
      </c>
      <c r="F91" s="15" t="n">
        <v>1</v>
      </c>
      <c r="G91" s="13" t="s">
        <v>50</v>
      </c>
      <c r="H91" s="13" t="s">
        <v>59</v>
      </c>
      <c r="I91" s="16" t="n">
        <v>400</v>
      </c>
      <c r="J91" s="17" t="n">
        <f aca="false">F91*I91</f>
        <v>400</v>
      </c>
      <c r="K91" s="18" t="s">
        <v>52</v>
      </c>
    </row>
    <row r="92" customFormat="false" ht="23.85" hidden="false" customHeight="false" outlineLevel="0" collapsed="false">
      <c r="A92" s="13" t="n">
        <v>88</v>
      </c>
      <c r="B92" s="14" t="s">
        <v>148</v>
      </c>
      <c r="C92" s="14" t="s">
        <v>317</v>
      </c>
      <c r="D92" s="14" t="s">
        <v>318</v>
      </c>
      <c r="E92" s="13" t="s">
        <v>142</v>
      </c>
      <c r="F92" s="15" t="n">
        <v>30</v>
      </c>
      <c r="G92" s="13" t="s">
        <v>76</v>
      </c>
      <c r="H92" s="13" t="s">
        <v>59</v>
      </c>
      <c r="I92" s="16" t="n">
        <v>40</v>
      </c>
      <c r="J92" s="17" t="n">
        <f aca="false">F92*I92</f>
        <v>1200</v>
      </c>
      <c r="K92" s="18" t="s">
        <v>52</v>
      </c>
    </row>
    <row r="93" customFormat="false" ht="23.85" hidden="false" customHeight="false" outlineLevel="0" collapsed="false">
      <c r="A93" s="13" t="n">
        <v>89</v>
      </c>
      <c r="B93" s="14" t="s">
        <v>148</v>
      </c>
      <c r="C93" s="14" t="s">
        <v>319</v>
      </c>
      <c r="D93" s="14" t="s">
        <v>320</v>
      </c>
      <c r="E93" s="13" t="s">
        <v>307</v>
      </c>
      <c r="F93" s="15" t="n">
        <v>4</v>
      </c>
      <c r="G93" s="13" t="s">
        <v>50</v>
      </c>
      <c r="H93" s="13" t="s">
        <v>51</v>
      </c>
      <c r="I93" s="16" t="n">
        <v>850</v>
      </c>
      <c r="J93" s="17" t="n">
        <f aca="false">F93*I93</f>
        <v>3400</v>
      </c>
      <c r="K93" s="18" t="s">
        <v>52</v>
      </c>
    </row>
    <row r="94" customFormat="false" ht="23.85" hidden="false" customHeight="false" outlineLevel="0" collapsed="false">
      <c r="A94" s="13" t="n">
        <v>90</v>
      </c>
      <c r="B94" s="14" t="s">
        <v>148</v>
      </c>
      <c r="C94" s="14" t="s">
        <v>321</v>
      </c>
      <c r="D94" s="14" t="s">
        <v>322</v>
      </c>
      <c r="E94" s="13" t="s">
        <v>323</v>
      </c>
      <c r="F94" s="15" t="n">
        <v>6</v>
      </c>
      <c r="G94" s="13" t="s">
        <v>50</v>
      </c>
      <c r="H94" s="13" t="s">
        <v>59</v>
      </c>
      <c r="I94" s="16" t="n">
        <v>150</v>
      </c>
      <c r="J94" s="17" t="n">
        <f aca="false">F94*I94</f>
        <v>900</v>
      </c>
      <c r="K94" s="18" t="s">
        <v>52</v>
      </c>
    </row>
    <row r="95" customFormat="false" ht="23.85" hidden="false" customHeight="false" outlineLevel="0" collapsed="false">
      <c r="A95" s="13" t="n">
        <v>91</v>
      </c>
      <c r="B95" s="14" t="s">
        <v>148</v>
      </c>
      <c r="C95" s="14" t="s">
        <v>324</v>
      </c>
      <c r="D95" s="14" t="s">
        <v>46</v>
      </c>
      <c r="E95" s="13" t="s">
        <v>97</v>
      </c>
      <c r="F95" s="15" t="n">
        <v>10</v>
      </c>
      <c r="G95" s="13" t="s">
        <v>50</v>
      </c>
      <c r="H95" s="13" t="s">
        <v>59</v>
      </c>
      <c r="I95" s="16" t="n">
        <v>200</v>
      </c>
      <c r="J95" s="17" t="n">
        <f aca="false">F95*I95</f>
        <v>2000</v>
      </c>
      <c r="K95" s="18" t="s">
        <v>52</v>
      </c>
    </row>
    <row r="96" customFormat="false" ht="23.85" hidden="false" customHeight="false" outlineLevel="0" collapsed="false">
      <c r="A96" s="13" t="n">
        <v>92</v>
      </c>
      <c r="B96" s="14" t="s">
        <v>148</v>
      </c>
      <c r="C96" s="14" t="s">
        <v>325</v>
      </c>
      <c r="D96" s="14" t="s">
        <v>46</v>
      </c>
      <c r="E96" s="13" t="s">
        <v>326</v>
      </c>
      <c r="F96" s="15" t="n">
        <v>3</v>
      </c>
      <c r="G96" s="13" t="s">
        <v>50</v>
      </c>
      <c r="H96" s="13" t="s">
        <v>59</v>
      </c>
      <c r="I96" s="16" t="n">
        <v>450</v>
      </c>
      <c r="J96" s="17" t="n">
        <f aca="false">F96*I96</f>
        <v>1350</v>
      </c>
      <c r="K96" s="18" t="s">
        <v>52</v>
      </c>
    </row>
    <row r="97" customFormat="false" ht="79.85" hidden="false" customHeight="false" outlineLevel="0" collapsed="false">
      <c r="A97" s="13" t="n">
        <v>93</v>
      </c>
      <c r="B97" s="14" t="s">
        <v>148</v>
      </c>
      <c r="C97" s="14" t="s">
        <v>327</v>
      </c>
      <c r="D97" s="14" t="s">
        <v>328</v>
      </c>
      <c r="E97" s="13" t="s">
        <v>49</v>
      </c>
      <c r="F97" s="15" t="n">
        <v>15</v>
      </c>
      <c r="G97" s="13" t="s">
        <v>50</v>
      </c>
      <c r="H97" s="13" t="s">
        <v>59</v>
      </c>
      <c r="I97" s="16" t="n">
        <v>450</v>
      </c>
      <c r="J97" s="17" t="n">
        <f aca="false">F97*I97</f>
        <v>6750</v>
      </c>
      <c r="K97" s="18" t="s">
        <v>52</v>
      </c>
    </row>
    <row r="98" customFormat="false" ht="23.85" hidden="false" customHeight="false" outlineLevel="0" collapsed="false">
      <c r="A98" s="13" t="n">
        <v>94</v>
      </c>
      <c r="B98" s="14" t="s">
        <v>148</v>
      </c>
      <c r="C98" s="14" t="s">
        <v>329</v>
      </c>
      <c r="D98" s="14" t="s">
        <v>330</v>
      </c>
      <c r="E98" s="13" t="s">
        <v>307</v>
      </c>
      <c r="F98" s="15" t="n">
        <v>4</v>
      </c>
      <c r="G98" s="13" t="s">
        <v>76</v>
      </c>
      <c r="H98" s="13" t="s">
        <v>216</v>
      </c>
      <c r="I98" s="16" t="n">
        <v>450</v>
      </c>
      <c r="J98" s="17" t="n">
        <f aca="false">F98*I98</f>
        <v>1800</v>
      </c>
      <c r="K98" s="18" t="s">
        <v>52</v>
      </c>
    </row>
    <row r="99" customFormat="false" ht="23.85" hidden="false" customHeight="false" outlineLevel="0" collapsed="false">
      <c r="A99" s="13" t="n">
        <v>95</v>
      </c>
      <c r="B99" s="14" t="s">
        <v>148</v>
      </c>
      <c r="C99" s="14" t="s">
        <v>331</v>
      </c>
      <c r="D99" s="14" t="s">
        <v>332</v>
      </c>
      <c r="E99" s="13" t="s">
        <v>307</v>
      </c>
      <c r="F99" s="15" t="n">
        <v>4</v>
      </c>
      <c r="G99" s="13" t="s">
        <v>76</v>
      </c>
      <c r="H99" s="13" t="s">
        <v>216</v>
      </c>
      <c r="I99" s="16" t="n">
        <v>80</v>
      </c>
      <c r="J99" s="17" t="n">
        <f aca="false">F99*I99</f>
        <v>320</v>
      </c>
      <c r="K99" s="18" t="s">
        <v>52</v>
      </c>
    </row>
    <row r="100" customFormat="false" ht="23.85" hidden="false" customHeight="false" outlineLevel="0" collapsed="false">
      <c r="A100" s="13" t="n">
        <v>96</v>
      </c>
      <c r="B100" s="14" t="s">
        <v>148</v>
      </c>
      <c r="C100" s="14" t="s">
        <v>333</v>
      </c>
      <c r="D100" s="14" t="s">
        <v>334</v>
      </c>
      <c r="E100" s="13" t="s">
        <v>75</v>
      </c>
      <c r="F100" s="15" t="n">
        <v>2</v>
      </c>
      <c r="G100" s="13" t="s">
        <v>76</v>
      </c>
      <c r="H100" s="13" t="s">
        <v>216</v>
      </c>
      <c r="I100" s="16" t="n">
        <v>120</v>
      </c>
      <c r="J100" s="17" t="n">
        <f aca="false">F100*I100</f>
        <v>240</v>
      </c>
      <c r="K100" s="18" t="s">
        <v>52</v>
      </c>
    </row>
    <row r="101" customFormat="false" ht="23.85" hidden="false" customHeight="false" outlineLevel="0" collapsed="false">
      <c r="A101" s="13" t="n">
        <v>97</v>
      </c>
      <c r="B101" s="14" t="s">
        <v>148</v>
      </c>
      <c r="C101" s="14" t="s">
        <v>335</v>
      </c>
      <c r="D101" s="14" t="s">
        <v>336</v>
      </c>
      <c r="E101" s="13" t="s">
        <v>307</v>
      </c>
      <c r="F101" s="15" t="n">
        <v>4</v>
      </c>
      <c r="G101" s="13" t="s">
        <v>50</v>
      </c>
      <c r="H101" s="13" t="s">
        <v>59</v>
      </c>
      <c r="I101" s="16" t="n">
        <v>500</v>
      </c>
      <c r="J101" s="17" t="n">
        <f aca="false">F101*I101</f>
        <v>2000</v>
      </c>
      <c r="K101" s="18" t="s">
        <v>52</v>
      </c>
    </row>
    <row r="102" customFormat="false" ht="35.05" hidden="false" customHeight="false" outlineLevel="0" collapsed="false">
      <c r="A102" s="13" t="n">
        <v>98</v>
      </c>
      <c r="B102" s="14" t="s">
        <v>148</v>
      </c>
      <c r="C102" s="14" t="s">
        <v>337</v>
      </c>
      <c r="D102" s="14" t="s">
        <v>338</v>
      </c>
      <c r="E102" s="13" t="s">
        <v>140</v>
      </c>
      <c r="F102" s="15" t="n">
        <v>12</v>
      </c>
      <c r="G102" s="13" t="s">
        <v>50</v>
      </c>
      <c r="H102" s="13" t="s">
        <v>216</v>
      </c>
      <c r="I102" s="16" t="n">
        <v>200</v>
      </c>
      <c r="J102" s="17" t="n">
        <f aca="false">F102*I102</f>
        <v>2400</v>
      </c>
      <c r="K102" s="18" t="s">
        <v>52</v>
      </c>
    </row>
    <row r="103" customFormat="false" ht="23.85" hidden="false" customHeight="false" outlineLevel="0" collapsed="false">
      <c r="A103" s="13" t="n">
        <v>99</v>
      </c>
      <c r="B103" s="14" t="s">
        <v>148</v>
      </c>
      <c r="C103" s="14" t="s">
        <v>339</v>
      </c>
      <c r="D103" s="14" t="s">
        <v>340</v>
      </c>
      <c r="E103" s="13" t="s">
        <v>58</v>
      </c>
      <c r="F103" s="15" t="n">
        <v>1</v>
      </c>
      <c r="G103" s="13" t="s">
        <v>62</v>
      </c>
      <c r="H103" s="13" t="s">
        <v>55</v>
      </c>
      <c r="I103" s="16" t="n">
        <v>450</v>
      </c>
      <c r="J103" s="17" t="n">
        <f aca="false">F103*I103</f>
        <v>450</v>
      </c>
      <c r="K103" s="18" t="s">
        <v>52</v>
      </c>
    </row>
    <row r="104" customFormat="false" ht="15" hidden="false" customHeight="false" outlineLevel="0" collapsed="false">
      <c r="A104" s="13" t="n">
        <v>100</v>
      </c>
      <c r="B104" s="14" t="s">
        <v>341</v>
      </c>
      <c r="C104" s="14" t="s">
        <v>342</v>
      </c>
      <c r="D104" s="14" t="s">
        <v>343</v>
      </c>
      <c r="E104" s="13" t="s">
        <v>58</v>
      </c>
      <c r="F104" s="15" t="n">
        <v>1</v>
      </c>
      <c r="G104" s="13" t="s">
        <v>50</v>
      </c>
      <c r="H104" s="13" t="s">
        <v>51</v>
      </c>
      <c r="I104" s="16" t="n">
        <v>650</v>
      </c>
      <c r="J104" s="17" t="n">
        <f aca="false">F104*I104</f>
        <v>650</v>
      </c>
      <c r="K104" s="18" t="s">
        <v>52</v>
      </c>
    </row>
    <row r="105" customFormat="false" ht="15" hidden="false" customHeight="false" outlineLevel="0" collapsed="false">
      <c r="A105" s="13" t="n">
        <v>101</v>
      </c>
      <c r="B105" s="14" t="s">
        <v>341</v>
      </c>
      <c r="C105" s="14" t="s">
        <v>344</v>
      </c>
      <c r="D105" s="14" t="s">
        <v>345</v>
      </c>
      <c r="E105" s="13" t="s">
        <v>58</v>
      </c>
      <c r="F105" s="15" t="n">
        <v>1</v>
      </c>
      <c r="G105" s="13" t="s">
        <v>50</v>
      </c>
      <c r="H105" s="13" t="s">
        <v>51</v>
      </c>
      <c r="I105" s="16" t="n">
        <v>1800</v>
      </c>
      <c r="J105" s="17" t="n">
        <f aca="false">F105*I105</f>
        <v>1800</v>
      </c>
      <c r="K105" s="18" t="s">
        <v>52</v>
      </c>
    </row>
    <row r="106" customFormat="false" ht="15" hidden="false" customHeight="false" outlineLevel="0" collapsed="false">
      <c r="A106" s="13" t="n">
        <v>102</v>
      </c>
      <c r="B106" s="14" t="s">
        <v>341</v>
      </c>
      <c r="C106" s="14" t="s">
        <v>346</v>
      </c>
      <c r="D106" s="14" t="s">
        <v>347</v>
      </c>
      <c r="E106" s="13" t="s">
        <v>58</v>
      </c>
      <c r="F106" s="15" t="n">
        <v>1</v>
      </c>
      <c r="G106" s="13" t="s">
        <v>50</v>
      </c>
      <c r="H106" s="13" t="s">
        <v>59</v>
      </c>
      <c r="I106" s="16" t="n">
        <v>2500</v>
      </c>
      <c r="J106" s="17" t="n">
        <f aca="false">F106*I106</f>
        <v>2500</v>
      </c>
      <c r="K106" s="18" t="s">
        <v>52</v>
      </c>
    </row>
    <row r="107" customFormat="false" ht="15" hidden="false" customHeight="false" outlineLevel="0" collapsed="false">
      <c r="A107" s="13" t="n">
        <v>103</v>
      </c>
      <c r="B107" s="14" t="s">
        <v>341</v>
      </c>
      <c r="C107" s="14" t="s">
        <v>348</v>
      </c>
      <c r="D107" s="14" t="s">
        <v>349</v>
      </c>
      <c r="E107" s="13" t="s">
        <v>58</v>
      </c>
      <c r="F107" s="15" t="n">
        <v>1</v>
      </c>
      <c r="G107" s="13" t="s">
        <v>50</v>
      </c>
      <c r="H107" s="13" t="s">
        <v>51</v>
      </c>
      <c r="I107" s="16" t="n">
        <v>1800</v>
      </c>
      <c r="J107" s="17" t="n">
        <f aca="false">F107*I107</f>
        <v>1800</v>
      </c>
      <c r="K107" s="18" t="s">
        <v>52</v>
      </c>
    </row>
    <row r="108" customFormat="false" ht="15" hidden="false" customHeight="false" outlineLevel="0" collapsed="false">
      <c r="A108" s="13" t="n">
        <v>104</v>
      </c>
      <c r="B108" s="14" t="s">
        <v>341</v>
      </c>
      <c r="C108" s="14" t="s">
        <v>350</v>
      </c>
      <c r="D108" s="14" t="s">
        <v>46</v>
      </c>
      <c r="E108" s="13" t="s">
        <v>58</v>
      </c>
      <c r="F108" s="15" t="n">
        <v>1</v>
      </c>
      <c r="G108" s="13" t="s">
        <v>50</v>
      </c>
      <c r="H108" s="13" t="s">
        <v>59</v>
      </c>
      <c r="I108" s="16" t="n">
        <v>1200</v>
      </c>
      <c r="J108" s="17" t="n">
        <f aca="false">F108*I108</f>
        <v>1200</v>
      </c>
      <c r="K108" s="18" t="s">
        <v>52</v>
      </c>
    </row>
    <row r="109" customFormat="false" ht="15" hidden="false" customHeight="false" outlineLevel="0" collapsed="false">
      <c r="A109" s="13" t="n">
        <v>105</v>
      </c>
      <c r="B109" s="14" t="s">
        <v>341</v>
      </c>
      <c r="C109" s="14" t="s">
        <v>351</v>
      </c>
      <c r="D109" s="14" t="s">
        <v>46</v>
      </c>
      <c r="E109" s="13" t="s">
        <v>58</v>
      </c>
      <c r="F109" s="15" t="n">
        <v>1</v>
      </c>
      <c r="G109" s="13" t="s">
        <v>50</v>
      </c>
      <c r="H109" s="13" t="s">
        <v>51</v>
      </c>
      <c r="I109" s="16" t="n">
        <v>650</v>
      </c>
      <c r="J109" s="17" t="n">
        <f aca="false">F109*I109</f>
        <v>650</v>
      </c>
      <c r="K109" s="18" t="s">
        <v>52</v>
      </c>
    </row>
    <row r="110" customFormat="false" ht="15" hidden="false" customHeight="false" outlineLevel="0" collapsed="false">
      <c r="A110" s="13" t="n">
        <v>106</v>
      </c>
      <c r="B110" s="14" t="s">
        <v>341</v>
      </c>
      <c r="C110" s="14" t="s">
        <v>352</v>
      </c>
      <c r="D110" s="14" t="s">
        <v>46</v>
      </c>
      <c r="E110" s="13" t="s">
        <v>75</v>
      </c>
      <c r="F110" s="15" t="n">
        <v>2</v>
      </c>
      <c r="G110" s="13" t="s">
        <v>50</v>
      </c>
      <c r="H110" s="13" t="s">
        <v>51</v>
      </c>
      <c r="I110" s="16" t="n">
        <v>650</v>
      </c>
      <c r="J110" s="17" t="n">
        <f aca="false">F110*I110</f>
        <v>1300</v>
      </c>
      <c r="K110" s="18" t="s">
        <v>52</v>
      </c>
    </row>
    <row r="111" customFormat="false" ht="15" hidden="false" customHeight="false" outlineLevel="0" collapsed="false">
      <c r="A111" s="13" t="n">
        <v>107</v>
      </c>
      <c r="B111" s="14" t="s">
        <v>341</v>
      </c>
      <c r="C111" s="14" t="s">
        <v>353</v>
      </c>
      <c r="D111" s="14" t="s">
        <v>354</v>
      </c>
      <c r="E111" s="13" t="s">
        <v>58</v>
      </c>
      <c r="F111" s="15" t="n">
        <v>1</v>
      </c>
      <c r="G111" s="13" t="s">
        <v>50</v>
      </c>
      <c r="H111" s="13" t="s">
        <v>51</v>
      </c>
      <c r="I111" s="16" t="n">
        <v>450</v>
      </c>
      <c r="J111" s="17" t="n">
        <f aca="false">F111*I111</f>
        <v>450</v>
      </c>
      <c r="K111" s="18" t="s">
        <v>52</v>
      </c>
    </row>
    <row r="112" customFormat="false" ht="15" hidden="false" customHeight="false" outlineLevel="0" collapsed="false">
      <c r="A112" s="13" t="n">
        <v>108</v>
      </c>
      <c r="B112" s="14" t="s">
        <v>341</v>
      </c>
      <c r="C112" s="14" t="s">
        <v>355</v>
      </c>
      <c r="D112" s="14" t="s">
        <v>356</v>
      </c>
      <c r="E112" s="13" t="s">
        <v>58</v>
      </c>
      <c r="F112" s="15" t="n">
        <v>1</v>
      </c>
      <c r="G112" s="13" t="s">
        <v>50</v>
      </c>
      <c r="H112" s="13" t="s">
        <v>59</v>
      </c>
      <c r="I112" s="16" t="n">
        <v>450</v>
      </c>
      <c r="J112" s="17" t="n">
        <f aca="false">F112*I112</f>
        <v>450</v>
      </c>
      <c r="K112" s="18" t="s">
        <v>52</v>
      </c>
    </row>
    <row r="113" customFormat="false" ht="15" hidden="false" customHeight="false" outlineLevel="0" collapsed="false">
      <c r="A113" s="13" t="n">
        <v>109</v>
      </c>
      <c r="B113" s="14" t="s">
        <v>341</v>
      </c>
      <c r="C113" s="14" t="s">
        <v>357</v>
      </c>
      <c r="D113" s="14" t="s">
        <v>358</v>
      </c>
      <c r="E113" s="13" t="s">
        <v>75</v>
      </c>
      <c r="F113" s="15" t="n">
        <v>2</v>
      </c>
      <c r="G113" s="13" t="s">
        <v>50</v>
      </c>
      <c r="H113" s="13" t="s">
        <v>59</v>
      </c>
      <c r="I113" s="16" t="n">
        <v>350</v>
      </c>
      <c r="J113" s="17" t="n">
        <f aca="false">F113*I113</f>
        <v>700</v>
      </c>
      <c r="K113" s="18" t="s">
        <v>52</v>
      </c>
    </row>
    <row r="114" customFormat="false" ht="15" hidden="false" customHeight="false" outlineLevel="0" collapsed="false">
      <c r="A114" s="13" t="n">
        <v>110</v>
      </c>
      <c r="B114" s="14" t="s">
        <v>341</v>
      </c>
      <c r="C114" s="14" t="s">
        <v>359</v>
      </c>
      <c r="D114" s="14" t="s">
        <v>360</v>
      </c>
      <c r="E114" s="13" t="s">
        <v>75</v>
      </c>
      <c r="F114" s="15" t="n">
        <v>2</v>
      </c>
      <c r="G114" s="13" t="s">
        <v>50</v>
      </c>
      <c r="H114" s="13" t="s">
        <v>59</v>
      </c>
      <c r="I114" s="16" t="n">
        <v>250</v>
      </c>
      <c r="J114" s="17" t="n">
        <f aca="false">F114*I114</f>
        <v>500</v>
      </c>
      <c r="K114" s="18" t="s">
        <v>52</v>
      </c>
    </row>
    <row r="115" customFormat="false" ht="15" hidden="false" customHeight="false" outlineLevel="0" collapsed="false">
      <c r="A115" s="13" t="n">
        <v>111</v>
      </c>
      <c r="B115" s="14" t="s">
        <v>341</v>
      </c>
      <c r="C115" s="14" t="s">
        <v>361</v>
      </c>
      <c r="D115" s="14" t="s">
        <v>360</v>
      </c>
      <c r="E115" s="13" t="s">
        <v>75</v>
      </c>
      <c r="F115" s="15" t="n">
        <v>2</v>
      </c>
      <c r="G115" s="13" t="s">
        <v>50</v>
      </c>
      <c r="H115" s="13" t="s">
        <v>59</v>
      </c>
      <c r="I115" s="16" t="n">
        <v>250</v>
      </c>
      <c r="J115" s="17" t="n">
        <f aca="false">F115*I115</f>
        <v>500</v>
      </c>
      <c r="K115" s="18" t="s">
        <v>52</v>
      </c>
    </row>
    <row r="116" customFormat="false" ht="15" hidden="false" customHeight="false" outlineLevel="0" collapsed="false">
      <c r="A116" s="13" t="n">
        <v>112</v>
      </c>
      <c r="B116" s="14" t="s">
        <v>341</v>
      </c>
      <c r="C116" s="14" t="s">
        <v>362</v>
      </c>
      <c r="D116" s="14" t="s">
        <v>363</v>
      </c>
      <c r="E116" s="13" t="s">
        <v>58</v>
      </c>
      <c r="F116" s="15" t="n">
        <v>1</v>
      </c>
      <c r="G116" s="13" t="s">
        <v>50</v>
      </c>
      <c r="H116" s="13" t="s">
        <v>72</v>
      </c>
      <c r="I116" s="16" t="n">
        <v>1200</v>
      </c>
      <c r="J116" s="17" t="n">
        <f aca="false">F116*I116</f>
        <v>1200</v>
      </c>
      <c r="K116" s="18" t="s">
        <v>52</v>
      </c>
    </row>
    <row r="117" customFormat="false" ht="23.85" hidden="false" customHeight="false" outlineLevel="0" collapsed="false">
      <c r="A117" s="13" t="n">
        <v>113</v>
      </c>
      <c r="B117" s="14" t="s">
        <v>341</v>
      </c>
      <c r="C117" s="14" t="s">
        <v>364</v>
      </c>
      <c r="D117" s="14" t="s">
        <v>46</v>
      </c>
      <c r="E117" s="13" t="s">
        <v>58</v>
      </c>
      <c r="F117" s="15" t="n">
        <v>1</v>
      </c>
      <c r="G117" s="13" t="s">
        <v>50</v>
      </c>
      <c r="H117" s="13" t="s">
        <v>72</v>
      </c>
      <c r="I117" s="16" t="n">
        <v>1500</v>
      </c>
      <c r="J117" s="17" t="n">
        <f aca="false">F117*I117</f>
        <v>1500</v>
      </c>
      <c r="K117" s="18" t="s">
        <v>52</v>
      </c>
    </row>
    <row r="118" customFormat="false" ht="15" hidden="false" customHeight="false" outlineLevel="0" collapsed="false">
      <c r="A118" s="13" t="n">
        <v>114</v>
      </c>
      <c r="B118" s="14" t="s">
        <v>341</v>
      </c>
      <c r="C118" s="14" t="s">
        <v>365</v>
      </c>
      <c r="D118" s="14" t="s">
        <v>46</v>
      </c>
      <c r="E118" s="13" t="s">
        <v>58</v>
      </c>
      <c r="F118" s="15" t="n">
        <v>1</v>
      </c>
      <c r="G118" s="13" t="s">
        <v>50</v>
      </c>
      <c r="H118" s="13" t="s">
        <v>59</v>
      </c>
      <c r="I118" s="16" t="n">
        <v>80</v>
      </c>
      <c r="J118" s="17" t="n">
        <f aca="false">F118*I118</f>
        <v>80</v>
      </c>
      <c r="K118" s="18" t="s">
        <v>52</v>
      </c>
    </row>
    <row r="119" customFormat="false" ht="15" hidden="false" customHeight="false" outlineLevel="0" collapsed="false">
      <c r="A119" s="13" t="n">
        <v>115</v>
      </c>
      <c r="B119" s="14" t="s">
        <v>341</v>
      </c>
      <c r="C119" s="14" t="s">
        <v>366</v>
      </c>
      <c r="D119" s="14" t="s">
        <v>367</v>
      </c>
      <c r="E119" s="13" t="s">
        <v>307</v>
      </c>
      <c r="F119" s="15" t="n">
        <v>4</v>
      </c>
      <c r="G119" s="13" t="s">
        <v>50</v>
      </c>
      <c r="H119" s="13" t="s">
        <v>51</v>
      </c>
      <c r="I119" s="16" t="n">
        <v>350</v>
      </c>
      <c r="J119" s="17" t="n">
        <f aca="false">F119*I119</f>
        <v>1400</v>
      </c>
      <c r="K119" s="18" t="s">
        <v>52</v>
      </c>
    </row>
    <row r="120" customFormat="false" ht="15" hidden="false" customHeight="false" outlineLevel="0" collapsed="false">
      <c r="A120" s="13" t="n">
        <v>116</v>
      </c>
      <c r="B120" s="14" t="s">
        <v>341</v>
      </c>
      <c r="C120" s="14" t="s">
        <v>368</v>
      </c>
      <c r="D120" s="14" t="s">
        <v>46</v>
      </c>
      <c r="E120" s="13" t="s">
        <v>75</v>
      </c>
      <c r="F120" s="15" t="n">
        <v>2</v>
      </c>
      <c r="G120" s="13" t="s">
        <v>50</v>
      </c>
      <c r="H120" s="13" t="s">
        <v>51</v>
      </c>
      <c r="I120" s="16" t="n">
        <v>450</v>
      </c>
      <c r="J120" s="17" t="n">
        <f aca="false">F120*I120</f>
        <v>900</v>
      </c>
      <c r="K120" s="18" t="s">
        <v>52</v>
      </c>
    </row>
    <row r="121" customFormat="false" ht="15" hidden="false" customHeight="false" outlineLevel="0" collapsed="false">
      <c r="A121" s="13" t="n">
        <v>117</v>
      </c>
      <c r="B121" s="14" t="s">
        <v>341</v>
      </c>
      <c r="C121" s="14" t="s">
        <v>369</v>
      </c>
      <c r="D121" s="14" t="s">
        <v>370</v>
      </c>
      <c r="E121" s="13" t="s">
        <v>75</v>
      </c>
      <c r="F121" s="15" t="n">
        <v>2</v>
      </c>
      <c r="G121" s="13" t="s">
        <v>50</v>
      </c>
      <c r="H121" s="13" t="s">
        <v>59</v>
      </c>
      <c r="I121" s="16" t="n">
        <v>900</v>
      </c>
      <c r="J121" s="17" t="n">
        <f aca="false">F121*I121</f>
        <v>1800</v>
      </c>
      <c r="K121" s="18" t="s">
        <v>52</v>
      </c>
    </row>
    <row r="122" customFormat="false" ht="15" hidden="false" customHeight="false" outlineLevel="0" collapsed="false">
      <c r="A122" s="13" t="n">
        <v>118</v>
      </c>
      <c r="B122" s="14" t="s">
        <v>341</v>
      </c>
      <c r="C122" s="14" t="s">
        <v>371</v>
      </c>
      <c r="D122" s="14" t="s">
        <v>46</v>
      </c>
      <c r="E122" s="13" t="s">
        <v>75</v>
      </c>
      <c r="F122" s="15" t="n">
        <v>2</v>
      </c>
      <c r="G122" s="13" t="s">
        <v>50</v>
      </c>
      <c r="H122" s="13" t="s">
        <v>59</v>
      </c>
      <c r="I122" s="16" t="n">
        <v>100</v>
      </c>
      <c r="J122" s="17" t="n">
        <f aca="false">F122*I122</f>
        <v>200</v>
      </c>
      <c r="K122" s="18" t="s">
        <v>52</v>
      </c>
    </row>
    <row r="123" customFormat="false" ht="15" hidden="false" customHeight="false" outlineLevel="0" collapsed="false">
      <c r="A123" s="13" t="n">
        <v>119</v>
      </c>
      <c r="B123" s="14" t="s">
        <v>341</v>
      </c>
      <c r="C123" s="14" t="s">
        <v>372</v>
      </c>
      <c r="D123" s="14" t="s">
        <v>46</v>
      </c>
      <c r="E123" s="13" t="s">
        <v>58</v>
      </c>
      <c r="F123" s="15" t="n">
        <v>1</v>
      </c>
      <c r="G123" s="13" t="s">
        <v>50</v>
      </c>
      <c r="H123" s="13" t="s">
        <v>51</v>
      </c>
      <c r="I123" s="16" t="n">
        <v>450</v>
      </c>
      <c r="J123" s="17" t="n">
        <f aca="false">F123*I123</f>
        <v>450</v>
      </c>
      <c r="K123" s="18" t="s">
        <v>52</v>
      </c>
    </row>
    <row r="124" customFormat="false" ht="23.85" hidden="false" customHeight="false" outlineLevel="0" collapsed="false">
      <c r="A124" s="13" t="n">
        <v>120</v>
      </c>
      <c r="B124" s="14" t="s">
        <v>341</v>
      </c>
      <c r="C124" s="14" t="s">
        <v>373</v>
      </c>
      <c r="D124" s="14" t="s">
        <v>374</v>
      </c>
      <c r="E124" s="13" t="s">
        <v>307</v>
      </c>
      <c r="F124" s="15" t="n">
        <v>4</v>
      </c>
      <c r="G124" s="13" t="s">
        <v>50</v>
      </c>
      <c r="H124" s="13" t="s">
        <v>280</v>
      </c>
      <c r="I124" s="16" t="n">
        <v>80</v>
      </c>
      <c r="J124" s="17" t="n">
        <f aca="false">F124*I124</f>
        <v>320</v>
      </c>
      <c r="K124" s="18" t="s">
        <v>52</v>
      </c>
    </row>
    <row r="125" customFormat="false" ht="15" hidden="false" customHeight="false" outlineLevel="0" collapsed="false">
      <c r="A125" s="13" t="n">
        <v>121</v>
      </c>
      <c r="B125" s="14" t="s">
        <v>341</v>
      </c>
      <c r="C125" s="14" t="s">
        <v>375</v>
      </c>
      <c r="D125" s="14" t="s">
        <v>376</v>
      </c>
      <c r="E125" s="13" t="s">
        <v>97</v>
      </c>
      <c r="F125" s="15" t="n">
        <v>10</v>
      </c>
      <c r="G125" s="13" t="s">
        <v>50</v>
      </c>
      <c r="H125" s="13" t="s">
        <v>59</v>
      </c>
      <c r="I125" s="16" t="n">
        <v>60</v>
      </c>
      <c r="J125" s="17" t="n">
        <f aca="false">F125*I125</f>
        <v>600</v>
      </c>
      <c r="K125" s="18" t="s">
        <v>52</v>
      </c>
    </row>
    <row r="126" customFormat="false" ht="15" hidden="false" customHeight="false" outlineLevel="0" collapsed="false">
      <c r="A126" s="13" t="n">
        <v>122</v>
      </c>
      <c r="B126" s="14" t="s">
        <v>341</v>
      </c>
      <c r="C126" s="14" t="s">
        <v>377</v>
      </c>
      <c r="D126" s="14" t="s">
        <v>378</v>
      </c>
      <c r="E126" s="13" t="s">
        <v>97</v>
      </c>
      <c r="F126" s="15" t="n">
        <v>10</v>
      </c>
      <c r="G126" s="13" t="s">
        <v>50</v>
      </c>
      <c r="H126" s="13" t="s">
        <v>59</v>
      </c>
      <c r="I126" s="16" t="n">
        <v>80</v>
      </c>
      <c r="J126" s="17" t="n">
        <f aca="false">F126*I126</f>
        <v>800</v>
      </c>
      <c r="K126" s="18" t="s">
        <v>52</v>
      </c>
    </row>
    <row r="127" customFormat="false" ht="15" hidden="false" customHeight="false" outlineLevel="0" collapsed="false">
      <c r="A127" s="13" t="n">
        <v>123</v>
      </c>
      <c r="B127" s="14" t="s">
        <v>341</v>
      </c>
      <c r="C127" s="14" t="s">
        <v>379</v>
      </c>
      <c r="D127" s="14" t="s">
        <v>376</v>
      </c>
      <c r="E127" s="13" t="s">
        <v>97</v>
      </c>
      <c r="F127" s="15" t="n">
        <v>10</v>
      </c>
      <c r="G127" s="13" t="s">
        <v>50</v>
      </c>
      <c r="H127" s="13" t="s">
        <v>59</v>
      </c>
      <c r="I127" s="16" t="n">
        <v>40</v>
      </c>
      <c r="J127" s="17" t="n">
        <f aca="false">F127*I127</f>
        <v>400</v>
      </c>
      <c r="K127" s="18" t="s">
        <v>52</v>
      </c>
    </row>
    <row r="128" customFormat="false" ht="15" hidden="false" customHeight="false" outlineLevel="0" collapsed="false">
      <c r="A128" s="13" t="n">
        <v>124</v>
      </c>
      <c r="B128" s="14" t="s">
        <v>341</v>
      </c>
      <c r="C128" s="14" t="s">
        <v>380</v>
      </c>
      <c r="D128" s="14" t="s">
        <v>378</v>
      </c>
      <c r="E128" s="13" t="s">
        <v>97</v>
      </c>
      <c r="F128" s="15" t="n">
        <v>10</v>
      </c>
      <c r="G128" s="13" t="s">
        <v>50</v>
      </c>
      <c r="H128" s="13" t="s">
        <v>59</v>
      </c>
      <c r="I128" s="16" t="n">
        <v>60</v>
      </c>
      <c r="J128" s="17" t="n">
        <f aca="false">F128*I128</f>
        <v>600</v>
      </c>
      <c r="K128" s="18" t="s">
        <v>52</v>
      </c>
    </row>
    <row r="129" customFormat="false" ht="57.45" hidden="false" customHeight="false" outlineLevel="0" collapsed="false">
      <c r="A129" s="13" t="n">
        <v>125</v>
      </c>
      <c r="B129" s="14" t="s">
        <v>341</v>
      </c>
      <c r="C129" s="14" t="s">
        <v>381</v>
      </c>
      <c r="D129" s="14" t="s">
        <v>382</v>
      </c>
      <c r="E129" s="13" t="s">
        <v>58</v>
      </c>
      <c r="F129" s="15" t="n">
        <v>1</v>
      </c>
      <c r="G129" s="13" t="s">
        <v>50</v>
      </c>
      <c r="H129" s="13" t="s">
        <v>51</v>
      </c>
      <c r="I129" s="16" t="n">
        <v>180</v>
      </c>
      <c r="J129" s="17" t="n">
        <f aca="false">F129*I129</f>
        <v>180</v>
      </c>
      <c r="K129" s="18" t="s">
        <v>52</v>
      </c>
    </row>
    <row r="130" customFormat="false" ht="15" hidden="false" customHeight="false" outlineLevel="0" collapsed="false">
      <c r="A130" s="13" t="n">
        <v>126</v>
      </c>
      <c r="B130" s="14" t="s">
        <v>341</v>
      </c>
      <c r="C130" s="14" t="s">
        <v>383</v>
      </c>
      <c r="D130" s="14" t="s">
        <v>46</v>
      </c>
      <c r="E130" s="13" t="s">
        <v>97</v>
      </c>
      <c r="F130" s="15" t="n">
        <v>10</v>
      </c>
      <c r="G130" s="13" t="s">
        <v>50</v>
      </c>
      <c r="H130" s="13" t="s">
        <v>59</v>
      </c>
      <c r="I130" s="16" t="n">
        <v>40</v>
      </c>
      <c r="J130" s="17" t="n">
        <f aca="false">F130*I130</f>
        <v>400</v>
      </c>
      <c r="K130" s="18" t="s">
        <v>52</v>
      </c>
    </row>
    <row r="131" customFormat="false" ht="15" hidden="false" customHeight="false" outlineLevel="0" collapsed="false">
      <c r="A131" s="13" t="n">
        <v>127</v>
      </c>
      <c r="B131" s="14" t="s">
        <v>341</v>
      </c>
      <c r="C131" s="14" t="s">
        <v>384</v>
      </c>
      <c r="D131" s="14" t="s">
        <v>46</v>
      </c>
      <c r="E131" s="13" t="s">
        <v>97</v>
      </c>
      <c r="F131" s="15" t="n">
        <v>10</v>
      </c>
      <c r="G131" s="13" t="s">
        <v>50</v>
      </c>
      <c r="H131" s="13" t="s">
        <v>59</v>
      </c>
      <c r="I131" s="16" t="n">
        <v>60</v>
      </c>
      <c r="J131" s="17" t="n">
        <f aca="false">F131*I131</f>
        <v>600</v>
      </c>
      <c r="K131" s="18" t="s">
        <v>52</v>
      </c>
    </row>
    <row r="132" customFormat="false" ht="15" hidden="false" customHeight="false" outlineLevel="0" collapsed="false">
      <c r="A132" s="13" t="n">
        <v>128</v>
      </c>
      <c r="B132" s="14" t="s">
        <v>341</v>
      </c>
      <c r="C132" s="14" t="s">
        <v>385</v>
      </c>
      <c r="D132" s="14" t="s">
        <v>46</v>
      </c>
      <c r="E132" s="13" t="s">
        <v>75</v>
      </c>
      <c r="F132" s="15" t="n">
        <v>2</v>
      </c>
      <c r="G132" s="13" t="s">
        <v>50</v>
      </c>
      <c r="H132" s="13" t="s">
        <v>59</v>
      </c>
      <c r="I132" s="16" t="n">
        <v>80</v>
      </c>
      <c r="J132" s="17" t="n">
        <f aca="false">F132*I132</f>
        <v>160</v>
      </c>
      <c r="K132" s="18" t="s">
        <v>52</v>
      </c>
    </row>
    <row r="133" customFormat="false" ht="15" hidden="false" customHeight="false" outlineLevel="0" collapsed="false">
      <c r="A133" s="13" t="n">
        <v>129</v>
      </c>
      <c r="B133" s="14" t="s">
        <v>341</v>
      </c>
      <c r="C133" s="14" t="s">
        <v>386</v>
      </c>
      <c r="D133" s="14" t="s">
        <v>46</v>
      </c>
      <c r="E133" s="13" t="s">
        <v>71</v>
      </c>
      <c r="F133" s="15" t="n">
        <v>5</v>
      </c>
      <c r="G133" s="13" t="s">
        <v>50</v>
      </c>
      <c r="H133" s="13" t="s">
        <v>59</v>
      </c>
      <c r="I133" s="16" t="n">
        <v>50</v>
      </c>
      <c r="J133" s="17" t="n">
        <f aca="false">F133*I133</f>
        <v>250</v>
      </c>
      <c r="K133" s="18" t="s">
        <v>52</v>
      </c>
    </row>
    <row r="134" customFormat="false" ht="15" hidden="false" customHeight="false" outlineLevel="0" collapsed="false">
      <c r="A134" s="13" t="n">
        <v>130</v>
      </c>
      <c r="B134" s="14" t="s">
        <v>341</v>
      </c>
      <c r="C134" s="14" t="s">
        <v>387</v>
      </c>
      <c r="D134" s="14" t="s">
        <v>46</v>
      </c>
      <c r="E134" s="13" t="s">
        <v>71</v>
      </c>
      <c r="F134" s="15" t="n">
        <v>5</v>
      </c>
      <c r="G134" s="13" t="s">
        <v>50</v>
      </c>
      <c r="H134" s="13" t="s">
        <v>59</v>
      </c>
      <c r="I134" s="16" t="n">
        <v>50</v>
      </c>
      <c r="J134" s="17" t="n">
        <f aca="false">F134*I134</f>
        <v>250</v>
      </c>
      <c r="K134" s="18" t="s">
        <v>52</v>
      </c>
    </row>
    <row r="135" customFormat="false" ht="15" hidden="false" customHeight="false" outlineLevel="0" collapsed="false">
      <c r="A135" s="13" t="n">
        <v>131</v>
      </c>
      <c r="B135" s="14" t="s">
        <v>341</v>
      </c>
      <c r="C135" s="14" t="s">
        <v>388</v>
      </c>
      <c r="D135" s="14" t="s">
        <v>46</v>
      </c>
      <c r="E135" s="13" t="s">
        <v>58</v>
      </c>
      <c r="F135" s="15" t="n">
        <v>1</v>
      </c>
      <c r="G135" s="13" t="s">
        <v>50</v>
      </c>
      <c r="H135" s="13" t="s">
        <v>389</v>
      </c>
      <c r="I135" s="16" t="n">
        <v>250</v>
      </c>
      <c r="J135" s="17" t="n">
        <f aca="false">F135*I135</f>
        <v>250</v>
      </c>
      <c r="K135" s="18" t="s">
        <v>52</v>
      </c>
    </row>
    <row r="136" customFormat="false" ht="15" hidden="false" customHeight="false" outlineLevel="0" collapsed="false">
      <c r="A136" s="13" t="n">
        <v>132</v>
      </c>
      <c r="B136" s="14" t="s">
        <v>341</v>
      </c>
      <c r="C136" s="14" t="s">
        <v>390</v>
      </c>
      <c r="D136" s="14" t="s">
        <v>46</v>
      </c>
      <c r="E136" s="13" t="s">
        <v>58</v>
      </c>
      <c r="F136" s="15" t="n">
        <v>1</v>
      </c>
      <c r="G136" s="13" t="s">
        <v>50</v>
      </c>
      <c r="H136" s="13" t="s">
        <v>59</v>
      </c>
      <c r="I136" s="16" t="n">
        <v>60</v>
      </c>
      <c r="J136" s="17" t="n">
        <f aca="false">F136*I136</f>
        <v>60</v>
      </c>
      <c r="K136" s="18" t="s">
        <v>52</v>
      </c>
    </row>
    <row r="137" customFormat="false" ht="15" hidden="false" customHeight="false" outlineLevel="0" collapsed="false">
      <c r="A137" s="13" t="n">
        <v>133</v>
      </c>
      <c r="B137" s="14" t="s">
        <v>341</v>
      </c>
      <c r="C137" s="14" t="s">
        <v>391</v>
      </c>
      <c r="D137" s="14" t="s">
        <v>392</v>
      </c>
      <c r="E137" s="13" t="s">
        <v>75</v>
      </c>
      <c r="F137" s="15" t="n">
        <v>2</v>
      </c>
      <c r="G137" s="13" t="s">
        <v>50</v>
      </c>
      <c r="H137" s="13" t="s">
        <v>59</v>
      </c>
      <c r="I137" s="16" t="n">
        <v>30</v>
      </c>
      <c r="J137" s="17" t="n">
        <f aca="false">F137*I137</f>
        <v>60</v>
      </c>
      <c r="K137" s="18" t="s">
        <v>52</v>
      </c>
    </row>
    <row r="138" customFormat="false" ht="15" hidden="false" customHeight="false" outlineLevel="0" collapsed="false">
      <c r="A138" s="13" t="n">
        <v>134</v>
      </c>
      <c r="B138" s="14" t="s">
        <v>341</v>
      </c>
      <c r="C138" s="14" t="s">
        <v>393</v>
      </c>
      <c r="D138" s="14" t="s">
        <v>46</v>
      </c>
      <c r="E138" s="13" t="s">
        <v>58</v>
      </c>
      <c r="F138" s="15" t="n">
        <v>1</v>
      </c>
      <c r="G138" s="13" t="s">
        <v>50</v>
      </c>
      <c r="H138" s="13" t="s">
        <v>59</v>
      </c>
      <c r="I138" s="16" t="n">
        <v>150</v>
      </c>
      <c r="J138" s="17" t="n">
        <f aca="false">F138*I138</f>
        <v>150</v>
      </c>
      <c r="K138" s="18" t="s">
        <v>52</v>
      </c>
    </row>
    <row r="139" customFormat="false" ht="15" hidden="false" customHeight="false" outlineLevel="0" collapsed="false">
      <c r="A139" s="13" t="n">
        <v>135</v>
      </c>
      <c r="B139" s="14" t="s">
        <v>341</v>
      </c>
      <c r="C139" s="14" t="s">
        <v>394</v>
      </c>
      <c r="D139" s="14" t="s">
        <v>395</v>
      </c>
      <c r="E139" s="13" t="s">
        <v>75</v>
      </c>
      <c r="F139" s="15" t="n">
        <v>2</v>
      </c>
      <c r="G139" s="13" t="s">
        <v>50</v>
      </c>
      <c r="H139" s="13" t="s">
        <v>59</v>
      </c>
      <c r="I139" s="16" t="n">
        <v>1800</v>
      </c>
      <c r="J139" s="17" t="n">
        <f aca="false">F139*I139</f>
        <v>3600</v>
      </c>
      <c r="K139" s="18" t="s">
        <v>52</v>
      </c>
    </row>
    <row r="140" customFormat="false" ht="15" hidden="false" customHeight="false" outlineLevel="0" collapsed="false">
      <c r="A140" s="13" t="n">
        <v>136</v>
      </c>
      <c r="B140" s="14" t="s">
        <v>341</v>
      </c>
      <c r="C140" s="14" t="s">
        <v>396</v>
      </c>
      <c r="D140" s="14" t="s">
        <v>397</v>
      </c>
      <c r="E140" s="13" t="s">
        <v>75</v>
      </c>
      <c r="F140" s="15" t="n">
        <v>2</v>
      </c>
      <c r="G140" s="13" t="s">
        <v>50</v>
      </c>
      <c r="H140" s="13" t="s">
        <v>51</v>
      </c>
      <c r="I140" s="16" t="n">
        <v>850</v>
      </c>
      <c r="J140" s="17" t="n">
        <f aca="false">F140*I140</f>
        <v>1700</v>
      </c>
      <c r="K140" s="18" t="s">
        <v>52</v>
      </c>
    </row>
    <row r="141" customFormat="false" ht="15" hidden="false" customHeight="false" outlineLevel="0" collapsed="false">
      <c r="A141" s="13" t="n">
        <v>137</v>
      </c>
      <c r="B141" s="14" t="s">
        <v>341</v>
      </c>
      <c r="C141" s="14" t="s">
        <v>398</v>
      </c>
      <c r="D141" s="14" t="s">
        <v>399</v>
      </c>
      <c r="E141" s="13" t="s">
        <v>75</v>
      </c>
      <c r="F141" s="15" t="n">
        <v>2</v>
      </c>
      <c r="G141" s="13" t="s">
        <v>50</v>
      </c>
      <c r="H141" s="13" t="s">
        <v>59</v>
      </c>
      <c r="I141" s="16" t="n">
        <v>450</v>
      </c>
      <c r="J141" s="17" t="n">
        <f aca="false">F141*I141</f>
        <v>900</v>
      </c>
      <c r="K141" s="18" t="s">
        <v>52</v>
      </c>
    </row>
    <row r="142" customFormat="false" ht="15" hidden="false" customHeight="false" outlineLevel="0" collapsed="false">
      <c r="A142" s="13" t="n">
        <v>138</v>
      </c>
      <c r="B142" s="14" t="s">
        <v>341</v>
      </c>
      <c r="C142" s="14" t="s">
        <v>400</v>
      </c>
      <c r="D142" s="14" t="s">
        <v>46</v>
      </c>
      <c r="E142" s="13" t="s">
        <v>58</v>
      </c>
      <c r="F142" s="15" t="n">
        <v>1</v>
      </c>
      <c r="G142" s="13" t="s">
        <v>50</v>
      </c>
      <c r="H142" s="13" t="s">
        <v>72</v>
      </c>
      <c r="I142" s="16" t="n">
        <v>500</v>
      </c>
      <c r="J142" s="17" t="n">
        <f aca="false">F142*I142</f>
        <v>500</v>
      </c>
      <c r="K142" s="18" t="s">
        <v>52</v>
      </c>
    </row>
    <row r="143" customFormat="false" ht="15" hidden="false" customHeight="false" outlineLevel="0" collapsed="false">
      <c r="A143" s="13" t="n">
        <v>139</v>
      </c>
      <c r="B143" s="14" t="s">
        <v>341</v>
      </c>
      <c r="C143" s="14" t="s">
        <v>401</v>
      </c>
      <c r="D143" s="14" t="s">
        <v>46</v>
      </c>
      <c r="E143" s="13" t="s">
        <v>75</v>
      </c>
      <c r="F143" s="15" t="n">
        <v>2</v>
      </c>
      <c r="G143" s="13" t="s">
        <v>50</v>
      </c>
      <c r="H143" s="13" t="s">
        <v>59</v>
      </c>
      <c r="I143" s="16" t="n">
        <v>250</v>
      </c>
      <c r="J143" s="17" t="n">
        <f aca="false">F143*I143</f>
        <v>500</v>
      </c>
      <c r="K143" s="18" t="s">
        <v>52</v>
      </c>
    </row>
    <row r="144" customFormat="false" ht="15" hidden="false" customHeight="false" outlineLevel="0" collapsed="false">
      <c r="A144" s="13" t="n">
        <v>140</v>
      </c>
      <c r="B144" s="14" t="s">
        <v>341</v>
      </c>
      <c r="C144" s="14" t="s">
        <v>402</v>
      </c>
      <c r="D144" s="14" t="s">
        <v>403</v>
      </c>
      <c r="E144" s="13" t="s">
        <v>75</v>
      </c>
      <c r="F144" s="15" t="n">
        <v>2</v>
      </c>
      <c r="G144" s="13" t="s">
        <v>50</v>
      </c>
      <c r="H144" s="13" t="s">
        <v>59</v>
      </c>
      <c r="I144" s="16" t="n">
        <v>350</v>
      </c>
      <c r="J144" s="17" t="n">
        <f aca="false">F144*I144</f>
        <v>700</v>
      </c>
      <c r="K144" s="18" t="s">
        <v>52</v>
      </c>
    </row>
    <row r="145" customFormat="false" ht="15" hidden="false" customHeight="false" outlineLevel="0" collapsed="false">
      <c r="A145" s="13" t="n">
        <v>141</v>
      </c>
      <c r="B145" s="14" t="s">
        <v>341</v>
      </c>
      <c r="C145" s="14" t="s">
        <v>404</v>
      </c>
      <c r="D145" s="14" t="s">
        <v>46</v>
      </c>
      <c r="E145" s="13" t="s">
        <v>58</v>
      </c>
      <c r="F145" s="15" t="n">
        <v>1</v>
      </c>
      <c r="G145" s="13" t="s">
        <v>50</v>
      </c>
      <c r="H145" s="13" t="s">
        <v>59</v>
      </c>
      <c r="I145" s="16" t="n">
        <v>300</v>
      </c>
      <c r="J145" s="17" t="n">
        <f aca="false">F145*I145</f>
        <v>300</v>
      </c>
      <c r="K145" s="18" t="s">
        <v>52</v>
      </c>
    </row>
    <row r="146" customFormat="false" ht="15" hidden="false" customHeight="false" outlineLevel="0" collapsed="false">
      <c r="A146" s="13" t="n">
        <v>142</v>
      </c>
      <c r="B146" s="14" t="s">
        <v>341</v>
      </c>
      <c r="C146" s="14" t="s">
        <v>405</v>
      </c>
      <c r="D146" s="14" t="s">
        <v>46</v>
      </c>
      <c r="E146" s="13" t="s">
        <v>58</v>
      </c>
      <c r="F146" s="15" t="n">
        <v>1</v>
      </c>
      <c r="G146" s="13" t="s">
        <v>50</v>
      </c>
      <c r="H146" s="13" t="s">
        <v>59</v>
      </c>
      <c r="I146" s="16" t="n">
        <v>200</v>
      </c>
      <c r="J146" s="17" t="n">
        <f aca="false">F146*I146</f>
        <v>200</v>
      </c>
      <c r="K146" s="18" t="s">
        <v>52</v>
      </c>
    </row>
    <row r="147" customFormat="false" ht="23.85" hidden="false" customHeight="false" outlineLevel="0" collapsed="false">
      <c r="A147" s="13" t="n">
        <v>143</v>
      </c>
      <c r="B147" s="14" t="s">
        <v>341</v>
      </c>
      <c r="C147" s="14" t="s">
        <v>406</v>
      </c>
      <c r="D147" s="14" t="s">
        <v>407</v>
      </c>
      <c r="E147" s="13" t="s">
        <v>58</v>
      </c>
      <c r="F147" s="15" t="n">
        <v>1</v>
      </c>
      <c r="G147" s="13" t="s">
        <v>50</v>
      </c>
      <c r="H147" s="13" t="s">
        <v>59</v>
      </c>
      <c r="I147" s="16" t="n">
        <v>900</v>
      </c>
      <c r="J147" s="17" t="n">
        <f aca="false">F147*I147</f>
        <v>900</v>
      </c>
      <c r="K147" s="18" t="s">
        <v>52</v>
      </c>
    </row>
    <row r="148" customFormat="false" ht="46.25" hidden="false" customHeight="false" outlineLevel="0" collapsed="false">
      <c r="A148" s="13" t="n">
        <v>144</v>
      </c>
      <c r="B148" s="14" t="s">
        <v>341</v>
      </c>
      <c r="C148" s="14" t="s">
        <v>408</v>
      </c>
      <c r="D148" s="14" t="s">
        <v>409</v>
      </c>
      <c r="E148" s="13" t="s">
        <v>58</v>
      </c>
      <c r="F148" s="15" t="n">
        <v>1</v>
      </c>
      <c r="G148" s="13" t="s">
        <v>50</v>
      </c>
      <c r="H148" s="13" t="s">
        <v>59</v>
      </c>
      <c r="I148" s="16" t="n">
        <v>1500</v>
      </c>
      <c r="J148" s="17" t="n">
        <f aca="false">F148*I148</f>
        <v>1500</v>
      </c>
      <c r="K148" s="18" t="s">
        <v>52</v>
      </c>
    </row>
    <row r="149" customFormat="false" ht="15" hidden="false" customHeight="false" outlineLevel="0" collapsed="false">
      <c r="A149" s="13" t="n">
        <v>145</v>
      </c>
      <c r="B149" s="14" t="s">
        <v>341</v>
      </c>
      <c r="C149" s="14" t="s">
        <v>410</v>
      </c>
      <c r="D149" s="14" t="s">
        <v>411</v>
      </c>
      <c r="E149" s="13" t="s">
        <v>58</v>
      </c>
      <c r="F149" s="15" t="n">
        <v>1</v>
      </c>
      <c r="G149" s="13" t="s">
        <v>50</v>
      </c>
      <c r="H149" s="13" t="s">
        <v>59</v>
      </c>
      <c r="I149" s="16" t="n">
        <v>2500</v>
      </c>
      <c r="J149" s="17" t="n">
        <f aca="false">F149*I149</f>
        <v>2500</v>
      </c>
      <c r="K149" s="18" t="s">
        <v>52</v>
      </c>
    </row>
    <row r="150" customFormat="false" ht="15" hidden="false" customHeight="false" outlineLevel="0" collapsed="false">
      <c r="A150" s="13" t="n">
        <v>146</v>
      </c>
      <c r="B150" s="14" t="s">
        <v>341</v>
      </c>
      <c r="C150" s="14" t="s">
        <v>412</v>
      </c>
      <c r="D150" s="14" t="s">
        <v>413</v>
      </c>
      <c r="E150" s="13" t="s">
        <v>58</v>
      </c>
      <c r="F150" s="15" t="n">
        <v>1</v>
      </c>
      <c r="G150" s="13" t="s">
        <v>50</v>
      </c>
      <c r="H150" s="13" t="s">
        <v>59</v>
      </c>
      <c r="I150" s="16" t="n">
        <v>5500</v>
      </c>
      <c r="J150" s="17" t="n">
        <f aca="false">F150*I150</f>
        <v>5500</v>
      </c>
      <c r="K150" s="18" t="s">
        <v>52</v>
      </c>
    </row>
    <row r="151" customFormat="false" ht="15" hidden="false" customHeight="false" outlineLevel="0" collapsed="false">
      <c r="A151" s="13" t="n">
        <v>147</v>
      </c>
      <c r="B151" s="14" t="s">
        <v>341</v>
      </c>
      <c r="C151" s="14" t="s">
        <v>414</v>
      </c>
      <c r="D151" s="14" t="s">
        <v>415</v>
      </c>
      <c r="E151" s="13" t="s">
        <v>58</v>
      </c>
      <c r="F151" s="15" t="n">
        <v>1</v>
      </c>
      <c r="G151" s="13" t="s">
        <v>50</v>
      </c>
      <c r="H151" s="13" t="s">
        <v>59</v>
      </c>
      <c r="I151" s="16" t="n">
        <v>4500</v>
      </c>
      <c r="J151" s="17" t="n">
        <f aca="false">F151*I151</f>
        <v>4500</v>
      </c>
      <c r="K151" s="18" t="s">
        <v>52</v>
      </c>
    </row>
    <row r="152" customFormat="false" ht="15" hidden="false" customHeight="false" outlineLevel="0" collapsed="false">
      <c r="A152" s="13" t="n">
        <v>148</v>
      </c>
      <c r="B152" s="14" t="s">
        <v>341</v>
      </c>
      <c r="C152" s="14" t="s">
        <v>416</v>
      </c>
      <c r="D152" s="14" t="s">
        <v>46</v>
      </c>
      <c r="E152" s="13" t="s">
        <v>58</v>
      </c>
      <c r="F152" s="15" t="n">
        <v>1</v>
      </c>
      <c r="G152" s="13" t="s">
        <v>50</v>
      </c>
      <c r="H152" s="13" t="s">
        <v>59</v>
      </c>
      <c r="I152" s="16" t="n">
        <v>250</v>
      </c>
      <c r="J152" s="17" t="n">
        <f aca="false">F152*I152</f>
        <v>250</v>
      </c>
      <c r="K152" s="18" t="s">
        <v>52</v>
      </c>
    </row>
    <row r="153" customFormat="false" ht="35.05" hidden="false" customHeight="false" outlineLevel="0" collapsed="false">
      <c r="A153" s="13" t="n">
        <v>149</v>
      </c>
      <c r="B153" s="14" t="s">
        <v>341</v>
      </c>
      <c r="C153" s="14" t="s">
        <v>417</v>
      </c>
      <c r="D153" s="14" t="s">
        <v>418</v>
      </c>
      <c r="E153" s="13" t="s">
        <v>71</v>
      </c>
      <c r="F153" s="15" t="n">
        <v>5</v>
      </c>
      <c r="G153" s="13" t="s">
        <v>76</v>
      </c>
      <c r="H153" s="13" t="s">
        <v>280</v>
      </c>
      <c r="I153" s="16" t="n">
        <v>60</v>
      </c>
      <c r="J153" s="17" t="n">
        <f aca="false">F153*I153</f>
        <v>300</v>
      </c>
      <c r="K153" s="18" t="s">
        <v>52</v>
      </c>
    </row>
    <row r="154" customFormat="false" ht="15" hidden="false" customHeight="false" outlineLevel="0" collapsed="false">
      <c r="A154" s="13" t="n">
        <v>150</v>
      </c>
      <c r="B154" s="14" t="s">
        <v>341</v>
      </c>
      <c r="C154" s="14" t="s">
        <v>419</v>
      </c>
      <c r="D154" s="14" t="s">
        <v>420</v>
      </c>
      <c r="E154" s="13" t="s">
        <v>421</v>
      </c>
      <c r="F154" s="15" t="n">
        <v>100</v>
      </c>
      <c r="G154" s="13" t="s">
        <v>76</v>
      </c>
      <c r="H154" s="13" t="s">
        <v>280</v>
      </c>
      <c r="I154" s="16" t="n">
        <v>20</v>
      </c>
      <c r="J154" s="17" t="n">
        <f aca="false">F154*I154</f>
        <v>2000</v>
      </c>
      <c r="K154" s="18" t="s">
        <v>52</v>
      </c>
    </row>
    <row r="155" customFormat="false" ht="15" hidden="false" customHeight="false" outlineLevel="0" collapsed="false">
      <c r="A155" s="13" t="n">
        <v>151</v>
      </c>
      <c r="B155" s="14" t="s">
        <v>341</v>
      </c>
      <c r="C155" s="14" t="s">
        <v>422</v>
      </c>
      <c r="D155" s="14" t="s">
        <v>423</v>
      </c>
      <c r="E155" s="13" t="s">
        <v>75</v>
      </c>
      <c r="F155" s="15" t="n">
        <v>2</v>
      </c>
      <c r="G155" s="13" t="s">
        <v>76</v>
      </c>
      <c r="H155" s="13" t="s">
        <v>216</v>
      </c>
      <c r="I155" s="16" t="n">
        <v>1200</v>
      </c>
      <c r="J155" s="17" t="n">
        <f aca="false">F155*I155</f>
        <v>2400</v>
      </c>
      <c r="K155" s="18" t="s">
        <v>52</v>
      </c>
    </row>
    <row r="156" customFormat="false" ht="15" hidden="false" customHeight="false" outlineLevel="0" collapsed="false">
      <c r="A156" s="13" t="n">
        <v>152</v>
      </c>
      <c r="B156" s="14" t="s">
        <v>341</v>
      </c>
      <c r="C156" s="14" t="s">
        <v>424</v>
      </c>
      <c r="D156" s="14" t="s">
        <v>425</v>
      </c>
      <c r="E156" s="13" t="s">
        <v>75</v>
      </c>
      <c r="F156" s="15" t="n">
        <v>2</v>
      </c>
      <c r="G156" s="13" t="s">
        <v>50</v>
      </c>
      <c r="H156" s="13" t="s">
        <v>59</v>
      </c>
      <c r="I156" s="16" t="n">
        <v>900</v>
      </c>
      <c r="J156" s="17" t="n">
        <f aca="false">F156*I156</f>
        <v>1800</v>
      </c>
      <c r="K156" s="18" t="s">
        <v>52</v>
      </c>
    </row>
    <row r="157" customFormat="false" ht="15" hidden="false" customHeight="false" outlineLevel="0" collapsed="false">
      <c r="A157" s="13" t="n">
        <v>153</v>
      </c>
      <c r="B157" s="14" t="s">
        <v>341</v>
      </c>
      <c r="C157" s="14" t="s">
        <v>426</v>
      </c>
      <c r="D157" s="14" t="s">
        <v>427</v>
      </c>
      <c r="E157" s="13" t="s">
        <v>75</v>
      </c>
      <c r="F157" s="15" t="n">
        <v>2</v>
      </c>
      <c r="G157" s="13" t="s">
        <v>50</v>
      </c>
      <c r="H157" s="13" t="s">
        <v>59</v>
      </c>
      <c r="I157" s="16" t="n">
        <v>450</v>
      </c>
      <c r="J157" s="17" t="n">
        <f aca="false">F157*I157</f>
        <v>900</v>
      </c>
      <c r="K157" s="18" t="s">
        <v>52</v>
      </c>
    </row>
    <row r="158" customFormat="false" ht="15" hidden="false" customHeight="false" outlineLevel="0" collapsed="false">
      <c r="A158" s="13" t="n">
        <v>154</v>
      </c>
      <c r="B158" s="14" t="s">
        <v>341</v>
      </c>
      <c r="C158" s="14" t="s">
        <v>428</v>
      </c>
      <c r="D158" s="14" t="s">
        <v>429</v>
      </c>
      <c r="E158" s="13" t="s">
        <v>58</v>
      </c>
      <c r="F158" s="15" t="n">
        <v>1</v>
      </c>
      <c r="G158" s="13" t="s">
        <v>62</v>
      </c>
      <c r="H158" s="13" t="s">
        <v>59</v>
      </c>
      <c r="I158" s="16" t="n">
        <v>2800</v>
      </c>
      <c r="J158" s="17" t="n">
        <f aca="false">F158*I158</f>
        <v>2800</v>
      </c>
      <c r="K158" s="18" t="s">
        <v>52</v>
      </c>
    </row>
    <row r="159" customFormat="false" ht="23.85" hidden="false" customHeight="false" outlineLevel="0" collapsed="false">
      <c r="A159" s="13" t="n">
        <v>155</v>
      </c>
      <c r="B159" s="14" t="s">
        <v>430</v>
      </c>
      <c r="C159" s="14" t="s">
        <v>431</v>
      </c>
      <c r="D159" s="14" t="s">
        <v>432</v>
      </c>
      <c r="E159" s="13" t="s">
        <v>75</v>
      </c>
      <c r="F159" s="15" t="n">
        <v>2</v>
      </c>
      <c r="G159" s="13" t="s">
        <v>50</v>
      </c>
      <c r="H159" s="13" t="s">
        <v>59</v>
      </c>
      <c r="I159" s="16" t="n">
        <v>150</v>
      </c>
      <c r="J159" s="17" t="n">
        <f aca="false">F159*I159</f>
        <v>300</v>
      </c>
      <c r="K159" s="18" t="s">
        <v>52</v>
      </c>
    </row>
    <row r="160" customFormat="false" ht="23.85" hidden="false" customHeight="false" outlineLevel="0" collapsed="false">
      <c r="A160" s="13" t="n">
        <v>156</v>
      </c>
      <c r="B160" s="14" t="s">
        <v>430</v>
      </c>
      <c r="C160" s="14" t="s">
        <v>433</v>
      </c>
      <c r="D160" s="14" t="s">
        <v>434</v>
      </c>
      <c r="E160" s="13" t="s">
        <v>58</v>
      </c>
      <c r="F160" s="15" t="n">
        <v>1</v>
      </c>
      <c r="G160" s="13" t="s">
        <v>50</v>
      </c>
      <c r="H160" s="13" t="s">
        <v>59</v>
      </c>
      <c r="I160" s="16" t="n">
        <v>250</v>
      </c>
      <c r="J160" s="17" t="n">
        <f aca="false">F160*I160</f>
        <v>250</v>
      </c>
      <c r="K160" s="18" t="s">
        <v>52</v>
      </c>
    </row>
    <row r="161" customFormat="false" ht="23.85" hidden="false" customHeight="false" outlineLevel="0" collapsed="false">
      <c r="A161" s="13" t="n">
        <v>157</v>
      </c>
      <c r="B161" s="14" t="s">
        <v>430</v>
      </c>
      <c r="C161" s="14" t="s">
        <v>435</v>
      </c>
      <c r="D161" s="14" t="s">
        <v>436</v>
      </c>
      <c r="E161" s="13" t="s">
        <v>58</v>
      </c>
      <c r="F161" s="15" t="n">
        <v>1</v>
      </c>
      <c r="G161" s="13" t="s">
        <v>50</v>
      </c>
      <c r="H161" s="13" t="s">
        <v>72</v>
      </c>
      <c r="I161" s="16" t="n">
        <v>450</v>
      </c>
      <c r="J161" s="17" t="n">
        <f aca="false">F161*I161</f>
        <v>450</v>
      </c>
      <c r="K161" s="18" t="s">
        <v>52</v>
      </c>
    </row>
    <row r="162" customFormat="false" ht="23.85" hidden="false" customHeight="false" outlineLevel="0" collapsed="false">
      <c r="A162" s="13" t="n">
        <v>158</v>
      </c>
      <c r="B162" s="14" t="s">
        <v>430</v>
      </c>
      <c r="C162" s="14" t="s">
        <v>437</v>
      </c>
      <c r="D162" s="14" t="s">
        <v>438</v>
      </c>
      <c r="E162" s="13" t="s">
        <v>58</v>
      </c>
      <c r="F162" s="15" t="n">
        <v>1</v>
      </c>
      <c r="G162" s="13" t="s">
        <v>50</v>
      </c>
      <c r="H162" s="13" t="s">
        <v>72</v>
      </c>
      <c r="I162" s="16" t="n">
        <v>900</v>
      </c>
      <c r="J162" s="17" t="n">
        <f aca="false">F162*I162</f>
        <v>900</v>
      </c>
      <c r="K162" s="18" t="s">
        <v>52</v>
      </c>
    </row>
    <row r="163" customFormat="false" ht="23.85" hidden="false" customHeight="false" outlineLevel="0" collapsed="false">
      <c r="A163" s="13" t="n">
        <v>159</v>
      </c>
      <c r="B163" s="14" t="s">
        <v>430</v>
      </c>
      <c r="C163" s="14" t="s">
        <v>439</v>
      </c>
      <c r="D163" s="14" t="s">
        <v>440</v>
      </c>
      <c r="E163" s="13" t="s">
        <v>75</v>
      </c>
      <c r="F163" s="15" t="n">
        <v>2</v>
      </c>
      <c r="G163" s="13" t="s">
        <v>50</v>
      </c>
      <c r="H163" s="13" t="s">
        <v>59</v>
      </c>
      <c r="I163" s="16" t="n">
        <v>80</v>
      </c>
      <c r="J163" s="17" t="n">
        <f aca="false">F163*I163</f>
        <v>160</v>
      </c>
      <c r="K163" s="18" t="s">
        <v>52</v>
      </c>
    </row>
    <row r="164" customFormat="false" ht="23.85" hidden="false" customHeight="false" outlineLevel="0" collapsed="false">
      <c r="A164" s="13" t="n">
        <v>160</v>
      </c>
      <c r="B164" s="14" t="s">
        <v>430</v>
      </c>
      <c r="C164" s="14" t="s">
        <v>441</v>
      </c>
      <c r="D164" s="14" t="s">
        <v>442</v>
      </c>
      <c r="E164" s="13" t="s">
        <v>58</v>
      </c>
      <c r="F164" s="15" t="n">
        <v>1</v>
      </c>
      <c r="G164" s="13" t="s">
        <v>50</v>
      </c>
      <c r="H164" s="13" t="s">
        <v>59</v>
      </c>
      <c r="I164" s="16" t="n">
        <v>900</v>
      </c>
      <c r="J164" s="17" t="n">
        <f aca="false">F164*I164</f>
        <v>900</v>
      </c>
      <c r="K164" s="18" t="s">
        <v>52</v>
      </c>
    </row>
    <row r="165" customFormat="false" ht="23.85" hidden="false" customHeight="false" outlineLevel="0" collapsed="false">
      <c r="A165" s="13" t="n">
        <v>161</v>
      </c>
      <c r="B165" s="14" t="s">
        <v>430</v>
      </c>
      <c r="C165" s="14" t="s">
        <v>443</v>
      </c>
      <c r="D165" s="14" t="s">
        <v>444</v>
      </c>
      <c r="E165" s="13" t="s">
        <v>58</v>
      </c>
      <c r="F165" s="15" t="n">
        <v>1</v>
      </c>
      <c r="G165" s="13" t="s">
        <v>50</v>
      </c>
      <c r="H165" s="13" t="s">
        <v>59</v>
      </c>
      <c r="I165" s="16" t="n">
        <v>350</v>
      </c>
      <c r="J165" s="17" t="n">
        <f aca="false">F165*I165</f>
        <v>350</v>
      </c>
      <c r="K165" s="18" t="s">
        <v>52</v>
      </c>
    </row>
    <row r="166" customFormat="false" ht="23.85" hidden="false" customHeight="false" outlineLevel="0" collapsed="false">
      <c r="A166" s="13" t="n">
        <v>162</v>
      </c>
      <c r="B166" s="14" t="s">
        <v>430</v>
      </c>
      <c r="C166" s="14" t="s">
        <v>445</v>
      </c>
      <c r="D166" s="14" t="s">
        <v>446</v>
      </c>
      <c r="E166" s="13" t="s">
        <v>58</v>
      </c>
      <c r="F166" s="15" t="n">
        <v>1</v>
      </c>
      <c r="G166" s="13" t="s">
        <v>50</v>
      </c>
      <c r="H166" s="13" t="s">
        <v>59</v>
      </c>
      <c r="I166" s="16" t="n">
        <v>1500</v>
      </c>
      <c r="J166" s="17" t="n">
        <f aca="false">F166*I166</f>
        <v>1500</v>
      </c>
      <c r="K166" s="18" t="s">
        <v>52</v>
      </c>
    </row>
    <row r="167" customFormat="false" ht="23.85" hidden="false" customHeight="false" outlineLevel="0" collapsed="false">
      <c r="A167" s="13" t="n">
        <v>163</v>
      </c>
      <c r="B167" s="14" t="s">
        <v>430</v>
      </c>
      <c r="C167" s="14" t="s">
        <v>447</v>
      </c>
      <c r="D167" s="14" t="s">
        <v>448</v>
      </c>
      <c r="E167" s="13" t="s">
        <v>75</v>
      </c>
      <c r="F167" s="15" t="n">
        <v>2</v>
      </c>
      <c r="G167" s="13" t="s">
        <v>50</v>
      </c>
      <c r="H167" s="13" t="s">
        <v>59</v>
      </c>
      <c r="I167" s="16" t="n">
        <v>150</v>
      </c>
      <c r="J167" s="17" t="n">
        <f aca="false">F167*I167</f>
        <v>300</v>
      </c>
      <c r="K167" s="18" t="s">
        <v>52</v>
      </c>
    </row>
    <row r="168" customFormat="false" ht="23.85" hidden="false" customHeight="false" outlineLevel="0" collapsed="false">
      <c r="A168" s="13" t="n">
        <v>164</v>
      </c>
      <c r="B168" s="14" t="s">
        <v>430</v>
      </c>
      <c r="C168" s="14" t="s">
        <v>449</v>
      </c>
      <c r="D168" s="14" t="s">
        <v>450</v>
      </c>
      <c r="E168" s="13" t="s">
        <v>58</v>
      </c>
      <c r="F168" s="15" t="n">
        <v>1</v>
      </c>
      <c r="G168" s="13" t="s">
        <v>50</v>
      </c>
      <c r="H168" s="13" t="s">
        <v>72</v>
      </c>
      <c r="I168" s="16" t="n">
        <v>350</v>
      </c>
      <c r="J168" s="17" t="n">
        <f aca="false">F168*I168</f>
        <v>350</v>
      </c>
      <c r="K168" s="18" t="s">
        <v>52</v>
      </c>
    </row>
    <row r="169" customFormat="false" ht="23.85" hidden="false" customHeight="false" outlineLevel="0" collapsed="false">
      <c r="A169" s="13" t="n">
        <v>165</v>
      </c>
      <c r="B169" s="14" t="s">
        <v>430</v>
      </c>
      <c r="C169" s="14" t="s">
        <v>451</v>
      </c>
      <c r="D169" s="14" t="s">
        <v>452</v>
      </c>
      <c r="E169" s="13" t="s">
        <v>58</v>
      </c>
      <c r="F169" s="15" t="n">
        <v>1</v>
      </c>
      <c r="G169" s="13" t="s">
        <v>50</v>
      </c>
      <c r="H169" s="13" t="s">
        <v>59</v>
      </c>
      <c r="I169" s="16" t="n">
        <v>150</v>
      </c>
      <c r="J169" s="17" t="n">
        <f aca="false">F169*I169</f>
        <v>150</v>
      </c>
      <c r="K169" s="18" t="s">
        <v>52</v>
      </c>
    </row>
    <row r="170" customFormat="false" ht="23.85" hidden="false" customHeight="false" outlineLevel="0" collapsed="false">
      <c r="A170" s="13" t="n">
        <v>166</v>
      </c>
      <c r="B170" s="14" t="s">
        <v>430</v>
      </c>
      <c r="C170" s="14" t="s">
        <v>453</v>
      </c>
      <c r="D170" s="14" t="s">
        <v>454</v>
      </c>
      <c r="E170" s="13" t="s">
        <v>58</v>
      </c>
      <c r="F170" s="15" t="n">
        <v>1</v>
      </c>
      <c r="G170" s="13" t="s">
        <v>50</v>
      </c>
      <c r="H170" s="13" t="s">
        <v>59</v>
      </c>
      <c r="I170" s="16" t="n">
        <v>150</v>
      </c>
      <c r="J170" s="17" t="n">
        <f aca="false">F170*I170</f>
        <v>150</v>
      </c>
      <c r="K170" s="18" t="s">
        <v>52</v>
      </c>
    </row>
    <row r="171" customFormat="false" ht="23.85" hidden="false" customHeight="false" outlineLevel="0" collapsed="false">
      <c r="A171" s="13" t="n">
        <v>167</v>
      </c>
      <c r="B171" s="14" t="s">
        <v>430</v>
      </c>
      <c r="C171" s="14" t="s">
        <v>455</v>
      </c>
      <c r="D171" s="14" t="s">
        <v>456</v>
      </c>
      <c r="E171" s="13" t="s">
        <v>58</v>
      </c>
      <c r="F171" s="15" t="n">
        <v>1</v>
      </c>
      <c r="G171" s="13" t="s">
        <v>50</v>
      </c>
      <c r="H171" s="13" t="s">
        <v>72</v>
      </c>
      <c r="I171" s="16" t="n">
        <v>150</v>
      </c>
      <c r="J171" s="17" t="n">
        <f aca="false">F171*I171</f>
        <v>150</v>
      </c>
      <c r="K171" s="18" t="s">
        <v>52</v>
      </c>
    </row>
    <row r="172" customFormat="false" ht="23.85" hidden="false" customHeight="false" outlineLevel="0" collapsed="false">
      <c r="A172" s="13" t="n">
        <v>168</v>
      </c>
      <c r="B172" s="14" t="s">
        <v>430</v>
      </c>
      <c r="C172" s="14" t="s">
        <v>457</v>
      </c>
      <c r="D172" s="14" t="s">
        <v>458</v>
      </c>
      <c r="E172" s="13" t="s">
        <v>58</v>
      </c>
      <c r="F172" s="15" t="n">
        <v>1</v>
      </c>
      <c r="G172" s="13" t="s">
        <v>50</v>
      </c>
      <c r="H172" s="13" t="s">
        <v>59</v>
      </c>
      <c r="I172" s="16" t="n">
        <v>3500</v>
      </c>
      <c r="J172" s="17" t="n">
        <f aca="false">F172*I172</f>
        <v>3500</v>
      </c>
      <c r="K172" s="18" t="s">
        <v>52</v>
      </c>
    </row>
    <row r="173" customFormat="false" ht="23.85" hidden="false" customHeight="false" outlineLevel="0" collapsed="false">
      <c r="A173" s="13" t="n">
        <v>169</v>
      </c>
      <c r="B173" s="14" t="s">
        <v>430</v>
      </c>
      <c r="C173" s="14" t="s">
        <v>459</v>
      </c>
      <c r="D173" s="14" t="s">
        <v>460</v>
      </c>
      <c r="E173" s="13" t="s">
        <v>58</v>
      </c>
      <c r="F173" s="15" t="n">
        <v>1</v>
      </c>
      <c r="G173" s="13" t="s">
        <v>50</v>
      </c>
      <c r="H173" s="13" t="s">
        <v>59</v>
      </c>
      <c r="I173" s="16" t="n">
        <v>1800</v>
      </c>
      <c r="J173" s="17" t="n">
        <f aca="false">F173*I173</f>
        <v>1800</v>
      </c>
      <c r="K173" s="18" t="s">
        <v>52</v>
      </c>
    </row>
    <row r="174" customFormat="false" ht="23.85" hidden="false" customHeight="false" outlineLevel="0" collapsed="false">
      <c r="A174" s="13" t="n">
        <v>170</v>
      </c>
      <c r="B174" s="14" t="s">
        <v>430</v>
      </c>
      <c r="C174" s="14" t="s">
        <v>461</v>
      </c>
      <c r="D174" s="14" t="s">
        <v>462</v>
      </c>
      <c r="E174" s="13" t="s">
        <v>58</v>
      </c>
      <c r="F174" s="15" t="n">
        <v>1</v>
      </c>
      <c r="G174" s="13" t="s">
        <v>50</v>
      </c>
      <c r="H174" s="13" t="s">
        <v>72</v>
      </c>
      <c r="I174" s="16" t="n">
        <v>850</v>
      </c>
      <c r="J174" s="17" t="n">
        <f aca="false">F174*I174</f>
        <v>850</v>
      </c>
      <c r="K174" s="18" t="s">
        <v>52</v>
      </c>
    </row>
    <row r="175" customFormat="false" ht="23.85" hidden="false" customHeight="false" outlineLevel="0" collapsed="false">
      <c r="A175" s="13" t="n">
        <v>171</v>
      </c>
      <c r="B175" s="14" t="s">
        <v>430</v>
      </c>
      <c r="C175" s="14" t="s">
        <v>463</v>
      </c>
      <c r="D175" s="14" t="s">
        <v>436</v>
      </c>
      <c r="E175" s="13" t="s">
        <v>323</v>
      </c>
      <c r="F175" s="15" t="n">
        <v>6</v>
      </c>
      <c r="G175" s="13" t="s">
        <v>50</v>
      </c>
      <c r="H175" s="13" t="s">
        <v>59</v>
      </c>
      <c r="I175" s="16" t="n">
        <v>40</v>
      </c>
      <c r="J175" s="17" t="n">
        <f aca="false">F175*I175</f>
        <v>240</v>
      </c>
      <c r="K175" s="18" t="s">
        <v>52</v>
      </c>
    </row>
    <row r="176" customFormat="false" ht="23.85" hidden="false" customHeight="false" outlineLevel="0" collapsed="false">
      <c r="A176" s="13" t="n">
        <v>172</v>
      </c>
      <c r="B176" s="14" t="s">
        <v>430</v>
      </c>
      <c r="C176" s="14" t="s">
        <v>464</v>
      </c>
      <c r="D176" s="14" t="s">
        <v>465</v>
      </c>
      <c r="E176" s="13" t="s">
        <v>58</v>
      </c>
      <c r="F176" s="15" t="n">
        <v>1</v>
      </c>
      <c r="G176" s="13" t="s">
        <v>50</v>
      </c>
      <c r="H176" s="13" t="s">
        <v>59</v>
      </c>
      <c r="I176" s="16" t="n">
        <v>1500</v>
      </c>
      <c r="J176" s="17" t="n">
        <f aca="false">F176*I176</f>
        <v>1500</v>
      </c>
      <c r="K176" s="18" t="s">
        <v>52</v>
      </c>
    </row>
    <row r="177" customFormat="false" ht="23.85" hidden="false" customHeight="false" outlineLevel="0" collapsed="false">
      <c r="A177" s="13" t="n">
        <v>173</v>
      </c>
      <c r="B177" s="14" t="s">
        <v>430</v>
      </c>
      <c r="C177" s="14" t="s">
        <v>466</v>
      </c>
      <c r="D177" s="14" t="s">
        <v>467</v>
      </c>
      <c r="E177" s="13" t="s">
        <v>58</v>
      </c>
      <c r="F177" s="15" t="n">
        <v>1</v>
      </c>
      <c r="G177" s="13" t="s">
        <v>50</v>
      </c>
      <c r="H177" s="13" t="s">
        <v>59</v>
      </c>
      <c r="I177" s="16" t="n">
        <v>150</v>
      </c>
      <c r="J177" s="17" t="n">
        <f aca="false">F177*I177</f>
        <v>150</v>
      </c>
      <c r="K177" s="18" t="s">
        <v>52</v>
      </c>
    </row>
    <row r="178" customFormat="false" ht="23.85" hidden="false" customHeight="false" outlineLevel="0" collapsed="false">
      <c r="A178" s="13" t="n">
        <v>174</v>
      </c>
      <c r="B178" s="14" t="s">
        <v>430</v>
      </c>
      <c r="C178" s="14" t="s">
        <v>468</v>
      </c>
      <c r="D178" s="14" t="s">
        <v>469</v>
      </c>
      <c r="E178" s="13" t="s">
        <v>75</v>
      </c>
      <c r="F178" s="15" t="n">
        <v>2</v>
      </c>
      <c r="G178" s="13" t="s">
        <v>50</v>
      </c>
      <c r="H178" s="13" t="s">
        <v>59</v>
      </c>
      <c r="I178" s="16" t="n">
        <v>60</v>
      </c>
      <c r="J178" s="17" t="n">
        <f aca="false">F178*I178</f>
        <v>120</v>
      </c>
      <c r="K178" s="18" t="s">
        <v>52</v>
      </c>
    </row>
    <row r="179" customFormat="false" ht="23.85" hidden="false" customHeight="false" outlineLevel="0" collapsed="false">
      <c r="A179" s="13" t="n">
        <v>175</v>
      </c>
      <c r="B179" s="14" t="s">
        <v>430</v>
      </c>
      <c r="C179" s="14" t="s">
        <v>470</v>
      </c>
      <c r="D179" s="14" t="s">
        <v>471</v>
      </c>
      <c r="E179" s="13" t="s">
        <v>58</v>
      </c>
      <c r="F179" s="15" t="n">
        <v>1</v>
      </c>
      <c r="G179" s="13" t="s">
        <v>50</v>
      </c>
      <c r="H179" s="13" t="s">
        <v>59</v>
      </c>
      <c r="I179" s="16" t="n">
        <v>350</v>
      </c>
      <c r="J179" s="17" t="n">
        <f aca="false">F179*I179</f>
        <v>350</v>
      </c>
      <c r="K179" s="18" t="s">
        <v>52</v>
      </c>
    </row>
    <row r="180" customFormat="false" ht="23.85" hidden="false" customHeight="false" outlineLevel="0" collapsed="false">
      <c r="A180" s="13" t="n">
        <v>176</v>
      </c>
      <c r="B180" s="14" t="s">
        <v>430</v>
      </c>
      <c r="C180" s="14" t="s">
        <v>472</v>
      </c>
      <c r="D180" s="14" t="s">
        <v>473</v>
      </c>
      <c r="E180" s="13" t="s">
        <v>58</v>
      </c>
      <c r="F180" s="15" t="n">
        <v>1</v>
      </c>
      <c r="G180" s="13" t="s">
        <v>50</v>
      </c>
      <c r="H180" s="13" t="s">
        <v>59</v>
      </c>
      <c r="I180" s="16" t="n">
        <v>500</v>
      </c>
      <c r="J180" s="17" t="n">
        <f aca="false">F180*I180</f>
        <v>500</v>
      </c>
      <c r="K180" s="18" t="s">
        <v>52</v>
      </c>
    </row>
    <row r="181" customFormat="false" ht="23.85" hidden="false" customHeight="false" outlineLevel="0" collapsed="false">
      <c r="A181" s="13" t="n">
        <v>177</v>
      </c>
      <c r="B181" s="14" t="s">
        <v>430</v>
      </c>
      <c r="C181" s="14" t="s">
        <v>474</v>
      </c>
      <c r="D181" s="14" t="s">
        <v>475</v>
      </c>
      <c r="E181" s="13" t="s">
        <v>58</v>
      </c>
      <c r="F181" s="15" t="n">
        <v>1</v>
      </c>
      <c r="G181" s="13" t="s">
        <v>50</v>
      </c>
      <c r="H181" s="13" t="s">
        <v>51</v>
      </c>
      <c r="I181" s="16" t="n">
        <v>120</v>
      </c>
      <c r="J181" s="17" t="n">
        <f aca="false">F181*I181</f>
        <v>120</v>
      </c>
      <c r="K181" s="18" t="s">
        <v>52</v>
      </c>
    </row>
    <row r="182" customFormat="false" ht="23.85" hidden="false" customHeight="false" outlineLevel="0" collapsed="false">
      <c r="A182" s="13" t="n">
        <v>178</v>
      </c>
      <c r="B182" s="14" t="s">
        <v>430</v>
      </c>
      <c r="C182" s="14" t="s">
        <v>476</v>
      </c>
      <c r="D182" s="14" t="s">
        <v>477</v>
      </c>
      <c r="E182" s="13" t="s">
        <v>58</v>
      </c>
      <c r="F182" s="15" t="n">
        <v>1</v>
      </c>
      <c r="G182" s="13" t="s">
        <v>50</v>
      </c>
      <c r="H182" s="13" t="s">
        <v>59</v>
      </c>
      <c r="I182" s="16" t="n">
        <v>250</v>
      </c>
      <c r="J182" s="17" t="n">
        <f aca="false">F182*I182</f>
        <v>250</v>
      </c>
      <c r="K182" s="18" t="s">
        <v>52</v>
      </c>
    </row>
    <row r="183" customFormat="false" ht="23.85" hidden="false" customHeight="false" outlineLevel="0" collapsed="false">
      <c r="A183" s="13" t="n">
        <v>179</v>
      </c>
      <c r="B183" s="14" t="s">
        <v>430</v>
      </c>
      <c r="C183" s="14" t="s">
        <v>478</v>
      </c>
      <c r="D183" s="14" t="s">
        <v>479</v>
      </c>
      <c r="E183" s="13" t="s">
        <v>307</v>
      </c>
      <c r="F183" s="15" t="n">
        <v>4</v>
      </c>
      <c r="G183" s="13" t="s">
        <v>50</v>
      </c>
      <c r="H183" s="13" t="s">
        <v>59</v>
      </c>
      <c r="I183" s="16" t="n">
        <v>150</v>
      </c>
      <c r="J183" s="17" t="n">
        <f aca="false">F183*I183</f>
        <v>600</v>
      </c>
      <c r="K183" s="18" t="s">
        <v>52</v>
      </c>
    </row>
    <row r="184" customFormat="false" ht="23.85" hidden="false" customHeight="false" outlineLevel="0" collapsed="false">
      <c r="A184" s="13" t="n">
        <v>180</v>
      </c>
      <c r="B184" s="14" t="s">
        <v>430</v>
      </c>
      <c r="C184" s="14" t="s">
        <v>480</v>
      </c>
      <c r="D184" s="14" t="s">
        <v>481</v>
      </c>
      <c r="E184" s="13" t="s">
        <v>75</v>
      </c>
      <c r="F184" s="15" t="n">
        <v>2</v>
      </c>
      <c r="G184" s="13" t="s">
        <v>50</v>
      </c>
      <c r="H184" s="13" t="s">
        <v>59</v>
      </c>
      <c r="I184" s="16" t="n">
        <v>200</v>
      </c>
      <c r="J184" s="17" t="n">
        <f aca="false">F184*I184</f>
        <v>400</v>
      </c>
      <c r="K184" s="18" t="s">
        <v>52</v>
      </c>
    </row>
    <row r="185" customFormat="false" ht="23.85" hidden="false" customHeight="false" outlineLevel="0" collapsed="false">
      <c r="A185" s="13" t="n">
        <v>181</v>
      </c>
      <c r="B185" s="14" t="s">
        <v>430</v>
      </c>
      <c r="C185" s="14" t="s">
        <v>482</v>
      </c>
      <c r="D185" s="14" t="s">
        <v>483</v>
      </c>
      <c r="E185" s="13" t="s">
        <v>58</v>
      </c>
      <c r="F185" s="15" t="n">
        <v>1</v>
      </c>
      <c r="G185" s="13" t="s">
        <v>50</v>
      </c>
      <c r="H185" s="13" t="s">
        <v>59</v>
      </c>
      <c r="I185" s="16" t="n">
        <v>1200</v>
      </c>
      <c r="J185" s="17" t="n">
        <f aca="false">F185*I185</f>
        <v>1200</v>
      </c>
      <c r="K185" s="18" t="s">
        <v>52</v>
      </c>
    </row>
    <row r="186" customFormat="false" ht="23.85" hidden="false" customHeight="false" outlineLevel="0" collapsed="false">
      <c r="A186" s="13" t="n">
        <v>182</v>
      </c>
      <c r="B186" s="14" t="s">
        <v>430</v>
      </c>
      <c r="C186" s="14" t="s">
        <v>484</v>
      </c>
      <c r="D186" s="14" t="s">
        <v>485</v>
      </c>
      <c r="E186" s="13" t="s">
        <v>58</v>
      </c>
      <c r="F186" s="15" t="n">
        <v>1</v>
      </c>
      <c r="G186" s="13" t="s">
        <v>50</v>
      </c>
      <c r="H186" s="13" t="s">
        <v>59</v>
      </c>
      <c r="I186" s="16" t="n">
        <v>250</v>
      </c>
      <c r="J186" s="17" t="n">
        <f aca="false">F186*I186</f>
        <v>250</v>
      </c>
      <c r="K186" s="18" t="s">
        <v>52</v>
      </c>
    </row>
    <row r="187" customFormat="false" ht="23.85" hidden="false" customHeight="false" outlineLevel="0" collapsed="false">
      <c r="A187" s="13" t="n">
        <v>183</v>
      </c>
      <c r="B187" s="14" t="s">
        <v>430</v>
      </c>
      <c r="C187" s="14" t="s">
        <v>486</v>
      </c>
      <c r="D187" s="14" t="s">
        <v>456</v>
      </c>
      <c r="E187" s="13" t="s">
        <v>58</v>
      </c>
      <c r="F187" s="15" t="n">
        <v>1</v>
      </c>
      <c r="G187" s="13" t="s">
        <v>62</v>
      </c>
      <c r="H187" s="13" t="s">
        <v>59</v>
      </c>
      <c r="I187" s="16" t="n">
        <v>300</v>
      </c>
      <c r="J187" s="17" t="n">
        <f aca="false">F187*I187</f>
        <v>300</v>
      </c>
      <c r="K187" s="18" t="s">
        <v>52</v>
      </c>
    </row>
    <row r="188" customFormat="false" ht="23.85" hidden="false" customHeight="false" outlineLevel="0" collapsed="false">
      <c r="A188" s="13" t="n">
        <v>184</v>
      </c>
      <c r="B188" s="14" t="s">
        <v>430</v>
      </c>
      <c r="C188" s="14" t="s">
        <v>487</v>
      </c>
      <c r="D188" s="14" t="s">
        <v>488</v>
      </c>
      <c r="E188" s="13" t="s">
        <v>58</v>
      </c>
      <c r="F188" s="15" t="n">
        <v>1</v>
      </c>
      <c r="G188" s="13" t="s">
        <v>50</v>
      </c>
      <c r="H188" s="13" t="s">
        <v>59</v>
      </c>
      <c r="I188" s="16" t="n">
        <v>1800</v>
      </c>
      <c r="J188" s="17" t="n">
        <f aca="false">F188*I188</f>
        <v>1800</v>
      </c>
      <c r="K188" s="18" t="s">
        <v>52</v>
      </c>
    </row>
    <row r="189" customFormat="false" ht="23.85" hidden="false" customHeight="false" outlineLevel="0" collapsed="false">
      <c r="A189" s="13" t="n">
        <v>185</v>
      </c>
      <c r="B189" s="14" t="s">
        <v>430</v>
      </c>
      <c r="C189" s="14" t="s">
        <v>489</v>
      </c>
      <c r="D189" s="14" t="s">
        <v>490</v>
      </c>
      <c r="E189" s="13" t="s">
        <v>58</v>
      </c>
      <c r="F189" s="15" t="n">
        <v>1</v>
      </c>
      <c r="G189" s="13" t="s">
        <v>50</v>
      </c>
      <c r="H189" s="13" t="s">
        <v>51</v>
      </c>
      <c r="I189" s="16" t="n">
        <v>1200</v>
      </c>
      <c r="J189" s="17" t="n">
        <f aca="false">F189*I189</f>
        <v>1200</v>
      </c>
      <c r="K189" s="18" t="s">
        <v>52</v>
      </c>
    </row>
    <row r="190" customFormat="false" ht="23.85" hidden="false" customHeight="false" outlineLevel="0" collapsed="false">
      <c r="A190" s="13" t="n">
        <v>186</v>
      </c>
      <c r="B190" s="14" t="s">
        <v>430</v>
      </c>
      <c r="C190" s="14" t="s">
        <v>491</v>
      </c>
      <c r="D190" s="14" t="s">
        <v>492</v>
      </c>
      <c r="E190" s="13" t="s">
        <v>58</v>
      </c>
      <c r="F190" s="15" t="n">
        <v>1</v>
      </c>
      <c r="G190" s="13" t="s">
        <v>50</v>
      </c>
      <c r="H190" s="13" t="s">
        <v>51</v>
      </c>
      <c r="I190" s="16" t="n">
        <v>250</v>
      </c>
      <c r="J190" s="17" t="n">
        <f aca="false">F190*I190</f>
        <v>250</v>
      </c>
      <c r="K190" s="18" t="s">
        <v>52</v>
      </c>
    </row>
    <row r="191" customFormat="false" ht="23.85" hidden="false" customHeight="false" outlineLevel="0" collapsed="false">
      <c r="A191" s="13" t="n">
        <v>187</v>
      </c>
      <c r="B191" s="14" t="s">
        <v>430</v>
      </c>
      <c r="C191" s="14" t="s">
        <v>493</v>
      </c>
      <c r="D191" s="14" t="s">
        <v>494</v>
      </c>
      <c r="E191" s="13" t="s">
        <v>58</v>
      </c>
      <c r="F191" s="15" t="n">
        <v>1</v>
      </c>
      <c r="G191" s="13" t="s">
        <v>50</v>
      </c>
      <c r="H191" s="13" t="s">
        <v>51</v>
      </c>
      <c r="I191" s="16" t="n">
        <v>2500</v>
      </c>
      <c r="J191" s="17" t="n">
        <f aca="false">F191*I191</f>
        <v>2500</v>
      </c>
      <c r="K191" s="18" t="s">
        <v>52</v>
      </c>
    </row>
    <row r="192" customFormat="false" ht="23.85" hidden="false" customHeight="false" outlineLevel="0" collapsed="false">
      <c r="A192" s="13" t="n">
        <v>188</v>
      </c>
      <c r="B192" s="14" t="s">
        <v>430</v>
      </c>
      <c r="C192" s="14" t="s">
        <v>495</v>
      </c>
      <c r="D192" s="14" t="s">
        <v>490</v>
      </c>
      <c r="E192" s="13" t="s">
        <v>58</v>
      </c>
      <c r="F192" s="15" t="n">
        <v>1</v>
      </c>
      <c r="G192" s="13" t="s">
        <v>50</v>
      </c>
      <c r="H192" s="13" t="s">
        <v>55</v>
      </c>
      <c r="I192" s="16" t="n">
        <v>450</v>
      </c>
      <c r="J192" s="17" t="n">
        <f aca="false">F192*I192</f>
        <v>450</v>
      </c>
      <c r="K192" s="18" t="s">
        <v>52</v>
      </c>
    </row>
    <row r="193" customFormat="false" ht="23.85" hidden="false" customHeight="false" outlineLevel="0" collapsed="false">
      <c r="A193" s="13" t="n">
        <v>189</v>
      </c>
      <c r="B193" s="14" t="s">
        <v>430</v>
      </c>
      <c r="C193" s="14" t="s">
        <v>496</v>
      </c>
      <c r="D193" s="14" t="s">
        <v>497</v>
      </c>
      <c r="E193" s="13" t="s">
        <v>58</v>
      </c>
      <c r="F193" s="15" t="n">
        <v>1</v>
      </c>
      <c r="G193" s="13" t="s">
        <v>50</v>
      </c>
      <c r="H193" s="13" t="s">
        <v>59</v>
      </c>
      <c r="I193" s="16" t="n">
        <v>120</v>
      </c>
      <c r="J193" s="17" t="n">
        <f aca="false">F193*I193</f>
        <v>120</v>
      </c>
      <c r="K193" s="18" t="s">
        <v>52</v>
      </c>
    </row>
    <row r="194" customFormat="false" ht="23.85" hidden="false" customHeight="false" outlineLevel="0" collapsed="false">
      <c r="A194" s="13" t="n">
        <v>190</v>
      </c>
      <c r="B194" s="14" t="s">
        <v>430</v>
      </c>
      <c r="C194" s="14" t="s">
        <v>498</v>
      </c>
      <c r="D194" s="14" t="s">
        <v>490</v>
      </c>
      <c r="E194" s="13" t="s">
        <v>58</v>
      </c>
      <c r="F194" s="15" t="n">
        <v>1</v>
      </c>
      <c r="G194" s="13" t="s">
        <v>50</v>
      </c>
      <c r="H194" s="13" t="s">
        <v>59</v>
      </c>
      <c r="I194" s="16" t="n">
        <v>1800</v>
      </c>
      <c r="J194" s="17" t="n">
        <f aca="false">F194*I194</f>
        <v>1800</v>
      </c>
      <c r="K194" s="18" t="s">
        <v>52</v>
      </c>
    </row>
    <row r="195" customFormat="false" ht="23.85" hidden="false" customHeight="false" outlineLevel="0" collapsed="false">
      <c r="A195" s="13" t="n">
        <v>191</v>
      </c>
      <c r="B195" s="14" t="s">
        <v>430</v>
      </c>
      <c r="C195" s="14" t="s">
        <v>499</v>
      </c>
      <c r="D195" s="14" t="s">
        <v>490</v>
      </c>
      <c r="E195" s="13" t="s">
        <v>58</v>
      </c>
      <c r="F195" s="15" t="n">
        <v>1</v>
      </c>
      <c r="G195" s="13" t="s">
        <v>50</v>
      </c>
      <c r="H195" s="13" t="s">
        <v>59</v>
      </c>
      <c r="I195" s="16" t="n">
        <v>350</v>
      </c>
      <c r="J195" s="17" t="n">
        <f aca="false">F195*I195</f>
        <v>350</v>
      </c>
      <c r="K195" s="18" t="s">
        <v>52</v>
      </c>
    </row>
    <row r="196" customFormat="false" ht="23.85" hidden="false" customHeight="false" outlineLevel="0" collapsed="false">
      <c r="A196" s="13" t="n">
        <v>192</v>
      </c>
      <c r="B196" s="14" t="s">
        <v>430</v>
      </c>
      <c r="C196" s="14" t="s">
        <v>500</v>
      </c>
      <c r="D196" s="14" t="s">
        <v>501</v>
      </c>
      <c r="E196" s="13" t="s">
        <v>58</v>
      </c>
      <c r="F196" s="15" t="n">
        <v>1</v>
      </c>
      <c r="G196" s="13" t="s">
        <v>50</v>
      </c>
      <c r="H196" s="13" t="s">
        <v>59</v>
      </c>
      <c r="I196" s="16" t="n">
        <v>500</v>
      </c>
      <c r="J196" s="17" t="n">
        <f aca="false">F196*I196</f>
        <v>500</v>
      </c>
      <c r="K196" s="18" t="s">
        <v>52</v>
      </c>
    </row>
    <row r="197" customFormat="false" ht="23.85" hidden="false" customHeight="false" outlineLevel="0" collapsed="false">
      <c r="A197" s="13" t="n">
        <v>193</v>
      </c>
      <c r="B197" s="14" t="s">
        <v>430</v>
      </c>
      <c r="C197" s="14" t="s">
        <v>502</v>
      </c>
      <c r="D197" s="14" t="s">
        <v>503</v>
      </c>
      <c r="E197" s="13" t="s">
        <v>58</v>
      </c>
      <c r="F197" s="15" t="n">
        <v>1</v>
      </c>
      <c r="G197" s="13" t="s">
        <v>62</v>
      </c>
      <c r="H197" s="13" t="s">
        <v>51</v>
      </c>
      <c r="I197" s="16" t="n">
        <v>450</v>
      </c>
      <c r="J197" s="17" t="n">
        <f aca="false">F197*I197</f>
        <v>450</v>
      </c>
      <c r="K197" s="18" t="s">
        <v>52</v>
      </c>
    </row>
    <row r="198" customFormat="false" ht="23.85" hidden="false" customHeight="false" outlineLevel="0" collapsed="false">
      <c r="A198" s="13" t="n">
        <v>194</v>
      </c>
      <c r="B198" s="14" t="s">
        <v>430</v>
      </c>
      <c r="C198" s="14" t="s">
        <v>428</v>
      </c>
      <c r="D198" s="14" t="s">
        <v>504</v>
      </c>
      <c r="E198" s="13" t="s">
        <v>58</v>
      </c>
      <c r="F198" s="15" t="n">
        <v>1</v>
      </c>
      <c r="G198" s="13" t="s">
        <v>62</v>
      </c>
      <c r="H198" s="13" t="s">
        <v>59</v>
      </c>
      <c r="I198" s="16" t="n">
        <v>2800</v>
      </c>
      <c r="J198" s="17" t="n">
        <f aca="false">F198*I198</f>
        <v>2800</v>
      </c>
      <c r="K198" s="18" t="s">
        <v>52</v>
      </c>
    </row>
    <row r="199" customFormat="false" ht="23.85" hidden="false" customHeight="false" outlineLevel="0" collapsed="false">
      <c r="A199" s="13" t="n">
        <v>195</v>
      </c>
      <c r="B199" s="14" t="s">
        <v>430</v>
      </c>
      <c r="C199" s="14" t="s">
        <v>505</v>
      </c>
      <c r="D199" s="14" t="s">
        <v>506</v>
      </c>
      <c r="E199" s="13" t="s">
        <v>71</v>
      </c>
      <c r="F199" s="15" t="n">
        <v>5</v>
      </c>
      <c r="G199" s="13" t="s">
        <v>50</v>
      </c>
      <c r="H199" s="13" t="s">
        <v>59</v>
      </c>
      <c r="I199" s="16" t="n">
        <v>250</v>
      </c>
      <c r="J199" s="17" t="n">
        <f aca="false">F199*I199</f>
        <v>1250</v>
      </c>
      <c r="K199" s="18" t="s">
        <v>52</v>
      </c>
    </row>
    <row r="200" customFormat="false" ht="35.05" hidden="false" customHeight="false" outlineLevel="0" collapsed="false">
      <c r="A200" s="13" t="n">
        <v>196</v>
      </c>
      <c r="B200" s="14" t="s">
        <v>430</v>
      </c>
      <c r="C200" s="14" t="s">
        <v>507</v>
      </c>
      <c r="D200" s="14" t="s">
        <v>508</v>
      </c>
      <c r="E200" s="13" t="s">
        <v>326</v>
      </c>
      <c r="F200" s="15" t="n">
        <v>3</v>
      </c>
      <c r="G200" s="13" t="s">
        <v>50</v>
      </c>
      <c r="H200" s="13" t="s">
        <v>59</v>
      </c>
      <c r="I200" s="16" t="n">
        <v>80</v>
      </c>
      <c r="J200" s="17" t="n">
        <f aca="false">F200*I200</f>
        <v>240</v>
      </c>
      <c r="K200" s="18" t="s">
        <v>52</v>
      </c>
    </row>
    <row r="201" customFormat="false" ht="23.85" hidden="false" customHeight="false" outlineLevel="0" collapsed="false">
      <c r="A201" s="13" t="n">
        <v>197</v>
      </c>
      <c r="B201" s="14" t="s">
        <v>430</v>
      </c>
      <c r="C201" s="14" t="s">
        <v>509</v>
      </c>
      <c r="D201" s="14" t="s">
        <v>510</v>
      </c>
      <c r="E201" s="13" t="s">
        <v>307</v>
      </c>
      <c r="F201" s="15" t="n">
        <v>4</v>
      </c>
      <c r="G201" s="13" t="s">
        <v>76</v>
      </c>
      <c r="H201" s="13" t="s">
        <v>216</v>
      </c>
      <c r="I201" s="16" t="n">
        <v>180</v>
      </c>
      <c r="J201" s="17" t="n">
        <f aca="false">F201*I201</f>
        <v>720</v>
      </c>
      <c r="K201" s="18" t="s">
        <v>52</v>
      </c>
    </row>
    <row r="202" customFormat="false" ht="23.85" hidden="false" customHeight="false" outlineLevel="0" collapsed="false">
      <c r="A202" s="13" t="n">
        <v>198</v>
      </c>
      <c r="B202" s="14" t="s">
        <v>430</v>
      </c>
      <c r="C202" s="14" t="s">
        <v>511</v>
      </c>
      <c r="D202" s="14" t="s">
        <v>512</v>
      </c>
      <c r="E202" s="13" t="s">
        <v>58</v>
      </c>
      <c r="F202" s="15" t="n">
        <v>1</v>
      </c>
      <c r="G202" s="13" t="s">
        <v>76</v>
      </c>
      <c r="H202" s="13" t="s">
        <v>513</v>
      </c>
      <c r="I202" s="16" t="n">
        <v>150</v>
      </c>
      <c r="J202" s="17" t="n">
        <f aca="false">F202*I202</f>
        <v>150</v>
      </c>
      <c r="K202" s="18" t="s">
        <v>52</v>
      </c>
    </row>
    <row r="203" customFormat="false" ht="23.85" hidden="false" customHeight="false" outlineLevel="0" collapsed="false">
      <c r="A203" s="13" t="n">
        <v>199</v>
      </c>
      <c r="B203" s="14" t="s">
        <v>430</v>
      </c>
      <c r="C203" s="14" t="s">
        <v>514</v>
      </c>
      <c r="D203" s="14" t="s">
        <v>515</v>
      </c>
      <c r="E203" s="13" t="s">
        <v>49</v>
      </c>
      <c r="F203" s="15" t="n">
        <v>15</v>
      </c>
      <c r="G203" s="13" t="s">
        <v>76</v>
      </c>
      <c r="H203" s="13" t="s">
        <v>59</v>
      </c>
      <c r="I203" s="16" t="n">
        <v>10</v>
      </c>
      <c r="J203" s="17" t="n">
        <f aca="false">F203*I203</f>
        <v>150</v>
      </c>
      <c r="K203" s="18" t="s">
        <v>52</v>
      </c>
    </row>
    <row r="204" customFormat="false" ht="23.85" hidden="false" customHeight="false" outlineLevel="0" collapsed="false">
      <c r="A204" s="13" t="n">
        <v>200</v>
      </c>
      <c r="B204" s="14" t="s">
        <v>430</v>
      </c>
      <c r="C204" s="14" t="s">
        <v>516</v>
      </c>
      <c r="D204" s="14" t="s">
        <v>517</v>
      </c>
      <c r="E204" s="13" t="s">
        <v>58</v>
      </c>
      <c r="F204" s="15" t="n">
        <v>1</v>
      </c>
      <c r="G204" s="13" t="s">
        <v>76</v>
      </c>
      <c r="H204" s="13" t="s">
        <v>59</v>
      </c>
      <c r="I204" s="16" t="n">
        <v>30</v>
      </c>
      <c r="J204" s="17" t="n">
        <f aca="false">F204*I204</f>
        <v>30</v>
      </c>
      <c r="K204" s="18" t="s">
        <v>52</v>
      </c>
    </row>
    <row r="205" customFormat="false" ht="23.85" hidden="false" customHeight="false" outlineLevel="0" collapsed="false">
      <c r="A205" s="13" t="n">
        <v>201</v>
      </c>
      <c r="B205" s="14" t="s">
        <v>430</v>
      </c>
      <c r="C205" s="14" t="s">
        <v>518</v>
      </c>
      <c r="D205" s="14" t="s">
        <v>519</v>
      </c>
      <c r="E205" s="13" t="s">
        <v>58</v>
      </c>
      <c r="F205" s="15" t="n">
        <v>1</v>
      </c>
      <c r="G205" s="13" t="s">
        <v>62</v>
      </c>
      <c r="H205" s="13" t="s">
        <v>520</v>
      </c>
      <c r="I205" s="16" t="n">
        <v>450</v>
      </c>
      <c r="J205" s="17" t="n">
        <f aca="false">F205*I205</f>
        <v>450</v>
      </c>
      <c r="K205" s="18" t="s">
        <v>52</v>
      </c>
    </row>
    <row r="206" customFormat="false" ht="23.85" hidden="false" customHeight="false" outlineLevel="0" collapsed="false">
      <c r="A206" s="13" t="n">
        <v>202</v>
      </c>
      <c r="B206" s="14" t="s">
        <v>430</v>
      </c>
      <c r="C206" s="14" t="s">
        <v>521</v>
      </c>
      <c r="D206" s="14" t="s">
        <v>46</v>
      </c>
      <c r="E206" s="13" t="s">
        <v>58</v>
      </c>
      <c r="F206" s="15" t="n">
        <v>1</v>
      </c>
      <c r="G206" s="13" t="s">
        <v>62</v>
      </c>
      <c r="H206" s="13" t="s">
        <v>59</v>
      </c>
      <c r="I206" s="16" t="n">
        <v>250</v>
      </c>
      <c r="J206" s="17" t="n">
        <f aca="false">F206*I206</f>
        <v>250</v>
      </c>
      <c r="K206" s="18" t="s">
        <v>52</v>
      </c>
    </row>
    <row r="207" customFormat="false" ht="23.85" hidden="false" customHeight="false" outlineLevel="0" collapsed="false">
      <c r="A207" s="13" t="n">
        <v>203</v>
      </c>
      <c r="B207" s="14" t="s">
        <v>430</v>
      </c>
      <c r="C207" s="14" t="s">
        <v>522</v>
      </c>
      <c r="D207" s="14" t="s">
        <v>46</v>
      </c>
      <c r="E207" s="13" t="s">
        <v>58</v>
      </c>
      <c r="F207" s="15" t="n">
        <v>1</v>
      </c>
      <c r="G207" s="13" t="s">
        <v>62</v>
      </c>
      <c r="H207" s="13" t="s">
        <v>59</v>
      </c>
      <c r="I207" s="16" t="n">
        <v>250</v>
      </c>
      <c r="J207" s="17" t="n">
        <f aca="false">F207*I207</f>
        <v>250</v>
      </c>
      <c r="K207" s="18" t="s">
        <v>52</v>
      </c>
    </row>
    <row r="208" customFormat="false" ht="23.85" hidden="false" customHeight="false" outlineLevel="0" collapsed="false">
      <c r="A208" s="13" t="n">
        <v>204</v>
      </c>
      <c r="B208" s="14" t="s">
        <v>430</v>
      </c>
      <c r="C208" s="14" t="s">
        <v>523</v>
      </c>
      <c r="D208" s="14" t="s">
        <v>46</v>
      </c>
      <c r="E208" s="13" t="s">
        <v>58</v>
      </c>
      <c r="F208" s="15" t="n">
        <v>1</v>
      </c>
      <c r="G208" s="13" t="s">
        <v>62</v>
      </c>
      <c r="H208" s="13" t="s">
        <v>59</v>
      </c>
      <c r="I208" s="16" t="n">
        <v>250</v>
      </c>
      <c r="J208" s="17" t="n">
        <f aca="false">F208*I208</f>
        <v>250</v>
      </c>
      <c r="K208" s="18" t="s">
        <v>52</v>
      </c>
    </row>
    <row r="209" customFormat="false" ht="23.85" hidden="false" customHeight="false" outlineLevel="0" collapsed="false">
      <c r="A209" s="13" t="n">
        <v>205</v>
      </c>
      <c r="B209" s="14" t="s">
        <v>524</v>
      </c>
      <c r="C209" s="14" t="s">
        <v>525</v>
      </c>
      <c r="D209" s="14" t="s">
        <v>526</v>
      </c>
      <c r="E209" s="13" t="s">
        <v>307</v>
      </c>
      <c r="F209" s="15" t="n">
        <v>4</v>
      </c>
      <c r="G209" s="13" t="s">
        <v>50</v>
      </c>
      <c r="H209" s="13" t="s">
        <v>51</v>
      </c>
      <c r="I209" s="16" t="n">
        <v>650</v>
      </c>
      <c r="J209" s="17" t="n">
        <f aca="false">F209*I209</f>
        <v>2600</v>
      </c>
      <c r="K209" s="18" t="s">
        <v>52</v>
      </c>
    </row>
    <row r="210" customFormat="false" ht="23.85" hidden="false" customHeight="false" outlineLevel="0" collapsed="false">
      <c r="A210" s="13" t="n">
        <v>206</v>
      </c>
      <c r="B210" s="14" t="s">
        <v>524</v>
      </c>
      <c r="C210" s="14" t="s">
        <v>527</v>
      </c>
      <c r="D210" s="14" t="s">
        <v>528</v>
      </c>
      <c r="E210" s="13" t="s">
        <v>307</v>
      </c>
      <c r="F210" s="15" t="n">
        <v>4</v>
      </c>
      <c r="G210" s="13" t="s">
        <v>50</v>
      </c>
      <c r="H210" s="13" t="s">
        <v>51</v>
      </c>
      <c r="I210" s="16" t="n">
        <v>350</v>
      </c>
      <c r="J210" s="17" t="n">
        <f aca="false">F210*I210</f>
        <v>1400</v>
      </c>
      <c r="K210" s="18" t="s">
        <v>52</v>
      </c>
    </row>
    <row r="211" customFormat="false" ht="23.85" hidden="false" customHeight="false" outlineLevel="0" collapsed="false">
      <c r="A211" s="13" t="n">
        <v>207</v>
      </c>
      <c r="B211" s="14" t="s">
        <v>524</v>
      </c>
      <c r="C211" s="14" t="s">
        <v>529</v>
      </c>
      <c r="D211" s="14" t="s">
        <v>530</v>
      </c>
      <c r="E211" s="13" t="s">
        <v>307</v>
      </c>
      <c r="F211" s="15" t="n">
        <v>4</v>
      </c>
      <c r="G211" s="13" t="s">
        <v>50</v>
      </c>
      <c r="H211" s="13" t="s">
        <v>51</v>
      </c>
      <c r="I211" s="16" t="n">
        <v>450</v>
      </c>
      <c r="J211" s="17" t="n">
        <f aca="false">F211*I211</f>
        <v>1800</v>
      </c>
      <c r="K211" s="18" t="s">
        <v>52</v>
      </c>
    </row>
    <row r="212" customFormat="false" ht="23.85" hidden="false" customHeight="false" outlineLevel="0" collapsed="false">
      <c r="A212" s="13" t="n">
        <v>208</v>
      </c>
      <c r="B212" s="14" t="s">
        <v>524</v>
      </c>
      <c r="C212" s="14" t="s">
        <v>531</v>
      </c>
      <c r="D212" s="14" t="s">
        <v>532</v>
      </c>
      <c r="E212" s="13" t="s">
        <v>75</v>
      </c>
      <c r="F212" s="15" t="n">
        <v>2</v>
      </c>
      <c r="G212" s="13" t="s">
        <v>50</v>
      </c>
      <c r="H212" s="13" t="s">
        <v>59</v>
      </c>
      <c r="I212" s="16" t="n">
        <v>900</v>
      </c>
      <c r="J212" s="17" t="n">
        <f aca="false">F212*I212</f>
        <v>1800</v>
      </c>
      <c r="K212" s="18" t="s">
        <v>52</v>
      </c>
    </row>
    <row r="213" customFormat="false" ht="23.85" hidden="false" customHeight="false" outlineLevel="0" collapsed="false">
      <c r="A213" s="13" t="n">
        <v>209</v>
      </c>
      <c r="B213" s="14" t="s">
        <v>524</v>
      </c>
      <c r="C213" s="14" t="s">
        <v>533</v>
      </c>
      <c r="D213" s="14" t="s">
        <v>534</v>
      </c>
      <c r="E213" s="13" t="s">
        <v>58</v>
      </c>
      <c r="F213" s="15" t="n">
        <v>1</v>
      </c>
      <c r="G213" s="13" t="s">
        <v>50</v>
      </c>
      <c r="H213" s="13" t="s">
        <v>59</v>
      </c>
      <c r="I213" s="16" t="n">
        <v>700</v>
      </c>
      <c r="J213" s="17" t="n">
        <f aca="false">F213*I213</f>
        <v>700</v>
      </c>
      <c r="K213" s="18" t="s">
        <v>52</v>
      </c>
    </row>
    <row r="214" customFormat="false" ht="23.85" hidden="false" customHeight="false" outlineLevel="0" collapsed="false">
      <c r="A214" s="13" t="n">
        <v>210</v>
      </c>
      <c r="B214" s="14" t="s">
        <v>524</v>
      </c>
      <c r="C214" s="14" t="s">
        <v>535</v>
      </c>
      <c r="D214" s="14" t="s">
        <v>536</v>
      </c>
      <c r="E214" s="13" t="s">
        <v>58</v>
      </c>
      <c r="F214" s="15" t="n">
        <v>1</v>
      </c>
      <c r="G214" s="13" t="s">
        <v>50</v>
      </c>
      <c r="H214" s="13" t="s">
        <v>59</v>
      </c>
      <c r="I214" s="16" t="n">
        <v>450</v>
      </c>
      <c r="J214" s="17" t="n">
        <f aca="false">F214*I214</f>
        <v>450</v>
      </c>
      <c r="K214" s="18" t="s">
        <v>52</v>
      </c>
    </row>
    <row r="215" customFormat="false" ht="23.85" hidden="false" customHeight="false" outlineLevel="0" collapsed="false">
      <c r="A215" s="13" t="n">
        <v>211</v>
      </c>
      <c r="B215" s="14" t="s">
        <v>524</v>
      </c>
      <c r="C215" s="14" t="s">
        <v>537</v>
      </c>
      <c r="D215" s="14" t="s">
        <v>538</v>
      </c>
      <c r="E215" s="13" t="s">
        <v>75</v>
      </c>
      <c r="F215" s="15" t="n">
        <v>2</v>
      </c>
      <c r="G215" s="13" t="s">
        <v>50</v>
      </c>
      <c r="H215" s="13" t="s">
        <v>51</v>
      </c>
      <c r="I215" s="16" t="n">
        <v>250</v>
      </c>
      <c r="J215" s="17" t="n">
        <f aca="false">F215*I215</f>
        <v>500</v>
      </c>
      <c r="K215" s="18" t="s">
        <v>52</v>
      </c>
    </row>
    <row r="216" customFormat="false" ht="23.85" hidden="false" customHeight="false" outlineLevel="0" collapsed="false">
      <c r="A216" s="13" t="n">
        <v>212</v>
      </c>
      <c r="B216" s="14" t="s">
        <v>524</v>
      </c>
      <c r="C216" s="14" t="s">
        <v>539</v>
      </c>
      <c r="D216" s="14" t="s">
        <v>540</v>
      </c>
      <c r="E216" s="13" t="s">
        <v>75</v>
      </c>
      <c r="F216" s="15" t="n">
        <v>2</v>
      </c>
      <c r="G216" s="13" t="s">
        <v>50</v>
      </c>
      <c r="H216" s="13" t="s">
        <v>51</v>
      </c>
      <c r="I216" s="16" t="n">
        <v>250</v>
      </c>
      <c r="J216" s="17" t="n">
        <f aca="false">F216*I216</f>
        <v>500</v>
      </c>
      <c r="K216" s="18" t="s">
        <v>52</v>
      </c>
    </row>
    <row r="217" customFormat="false" ht="23.85" hidden="false" customHeight="false" outlineLevel="0" collapsed="false">
      <c r="A217" s="13" t="n">
        <v>213</v>
      </c>
      <c r="B217" s="14" t="s">
        <v>524</v>
      </c>
      <c r="C217" s="14" t="s">
        <v>541</v>
      </c>
      <c r="D217" s="14" t="s">
        <v>542</v>
      </c>
      <c r="E217" s="13" t="s">
        <v>75</v>
      </c>
      <c r="F217" s="15" t="n">
        <v>2</v>
      </c>
      <c r="G217" s="13" t="s">
        <v>50</v>
      </c>
      <c r="H217" s="13" t="s">
        <v>59</v>
      </c>
      <c r="I217" s="16" t="n">
        <v>550</v>
      </c>
      <c r="J217" s="17" t="n">
        <f aca="false">F217*I217</f>
        <v>1100</v>
      </c>
      <c r="K217" s="18" t="s">
        <v>52</v>
      </c>
    </row>
    <row r="218" customFormat="false" ht="23.85" hidden="false" customHeight="false" outlineLevel="0" collapsed="false">
      <c r="A218" s="13" t="n">
        <v>214</v>
      </c>
      <c r="B218" s="14" t="s">
        <v>524</v>
      </c>
      <c r="C218" s="14" t="s">
        <v>543</v>
      </c>
      <c r="D218" s="14" t="s">
        <v>544</v>
      </c>
      <c r="E218" s="13" t="s">
        <v>58</v>
      </c>
      <c r="F218" s="15" t="n">
        <v>1</v>
      </c>
      <c r="G218" s="13" t="s">
        <v>50</v>
      </c>
      <c r="H218" s="13" t="s">
        <v>59</v>
      </c>
      <c r="I218" s="16" t="n">
        <v>600</v>
      </c>
      <c r="J218" s="17" t="n">
        <f aca="false">F218*I218</f>
        <v>600</v>
      </c>
      <c r="K218" s="18" t="s">
        <v>52</v>
      </c>
    </row>
    <row r="219" customFormat="false" ht="23.85" hidden="false" customHeight="false" outlineLevel="0" collapsed="false">
      <c r="A219" s="13" t="n">
        <v>215</v>
      </c>
      <c r="B219" s="14" t="s">
        <v>524</v>
      </c>
      <c r="C219" s="14" t="s">
        <v>545</v>
      </c>
      <c r="D219" s="14" t="s">
        <v>546</v>
      </c>
      <c r="E219" s="13" t="s">
        <v>58</v>
      </c>
      <c r="F219" s="15" t="n">
        <v>1</v>
      </c>
      <c r="G219" s="13" t="s">
        <v>50</v>
      </c>
      <c r="H219" s="13" t="s">
        <v>59</v>
      </c>
      <c r="I219" s="16" t="n">
        <v>650</v>
      </c>
      <c r="J219" s="17" t="n">
        <f aca="false">F219*I219</f>
        <v>650</v>
      </c>
      <c r="K219" s="18" t="s">
        <v>52</v>
      </c>
    </row>
    <row r="220" customFormat="false" ht="23.85" hidden="false" customHeight="false" outlineLevel="0" collapsed="false">
      <c r="A220" s="13" t="n">
        <v>216</v>
      </c>
      <c r="B220" s="14" t="s">
        <v>524</v>
      </c>
      <c r="C220" s="14" t="s">
        <v>547</v>
      </c>
      <c r="D220" s="14" t="s">
        <v>548</v>
      </c>
      <c r="E220" s="13" t="s">
        <v>307</v>
      </c>
      <c r="F220" s="15" t="n">
        <v>4</v>
      </c>
      <c r="G220" s="13" t="s">
        <v>50</v>
      </c>
      <c r="H220" s="13" t="s">
        <v>51</v>
      </c>
      <c r="I220" s="16" t="n">
        <v>180</v>
      </c>
      <c r="J220" s="17" t="n">
        <f aca="false">F220*I220</f>
        <v>720</v>
      </c>
      <c r="K220" s="18" t="s">
        <v>52</v>
      </c>
    </row>
    <row r="221" customFormat="false" ht="23.85" hidden="false" customHeight="false" outlineLevel="0" collapsed="false">
      <c r="A221" s="13" t="n">
        <v>217</v>
      </c>
      <c r="B221" s="14" t="s">
        <v>524</v>
      </c>
      <c r="C221" s="14" t="s">
        <v>549</v>
      </c>
      <c r="D221" s="14" t="s">
        <v>550</v>
      </c>
      <c r="E221" s="13" t="s">
        <v>75</v>
      </c>
      <c r="F221" s="15" t="n">
        <v>2</v>
      </c>
      <c r="G221" s="13" t="s">
        <v>50</v>
      </c>
      <c r="H221" s="13" t="s">
        <v>51</v>
      </c>
      <c r="I221" s="16" t="n">
        <v>180</v>
      </c>
      <c r="J221" s="17" t="n">
        <f aca="false">F221*I221</f>
        <v>360</v>
      </c>
      <c r="K221" s="18" t="s">
        <v>52</v>
      </c>
    </row>
    <row r="222" customFormat="false" ht="23.85" hidden="false" customHeight="false" outlineLevel="0" collapsed="false">
      <c r="A222" s="13" t="n">
        <v>218</v>
      </c>
      <c r="B222" s="14" t="s">
        <v>524</v>
      </c>
      <c r="C222" s="14" t="s">
        <v>551</v>
      </c>
      <c r="D222" s="14" t="s">
        <v>552</v>
      </c>
      <c r="E222" s="13" t="s">
        <v>75</v>
      </c>
      <c r="F222" s="15" t="n">
        <v>2</v>
      </c>
      <c r="G222" s="13" t="s">
        <v>50</v>
      </c>
      <c r="H222" s="13" t="s">
        <v>59</v>
      </c>
      <c r="I222" s="16" t="n">
        <v>450</v>
      </c>
      <c r="J222" s="17" t="n">
        <f aca="false">F222*I222</f>
        <v>900</v>
      </c>
      <c r="K222" s="18" t="s">
        <v>52</v>
      </c>
    </row>
    <row r="223" customFormat="false" ht="23.85" hidden="false" customHeight="false" outlineLevel="0" collapsed="false">
      <c r="A223" s="13" t="n">
        <v>219</v>
      </c>
      <c r="B223" s="14" t="s">
        <v>524</v>
      </c>
      <c r="C223" s="14" t="s">
        <v>553</v>
      </c>
      <c r="D223" s="14" t="s">
        <v>554</v>
      </c>
      <c r="E223" s="13" t="s">
        <v>58</v>
      </c>
      <c r="F223" s="15" t="n">
        <v>1</v>
      </c>
      <c r="G223" s="13" t="s">
        <v>50</v>
      </c>
      <c r="H223" s="13" t="s">
        <v>51</v>
      </c>
      <c r="I223" s="16" t="n">
        <v>250</v>
      </c>
      <c r="J223" s="17" t="n">
        <f aca="false">F223*I223</f>
        <v>250</v>
      </c>
      <c r="K223" s="18" t="s">
        <v>52</v>
      </c>
    </row>
    <row r="224" customFormat="false" ht="23.85" hidden="false" customHeight="false" outlineLevel="0" collapsed="false">
      <c r="A224" s="13" t="n">
        <v>220</v>
      </c>
      <c r="B224" s="14" t="s">
        <v>524</v>
      </c>
      <c r="C224" s="14" t="s">
        <v>555</v>
      </c>
      <c r="D224" s="14" t="s">
        <v>556</v>
      </c>
      <c r="E224" s="13" t="s">
        <v>75</v>
      </c>
      <c r="F224" s="15" t="n">
        <v>2</v>
      </c>
      <c r="G224" s="13" t="s">
        <v>50</v>
      </c>
      <c r="H224" s="13" t="s">
        <v>59</v>
      </c>
      <c r="I224" s="16" t="n">
        <v>350</v>
      </c>
      <c r="J224" s="17" t="n">
        <f aca="false">F224*I224</f>
        <v>700</v>
      </c>
      <c r="K224" s="18" t="s">
        <v>52</v>
      </c>
    </row>
    <row r="225" customFormat="false" ht="23.85" hidden="false" customHeight="false" outlineLevel="0" collapsed="false">
      <c r="A225" s="13" t="n">
        <v>221</v>
      </c>
      <c r="B225" s="14" t="s">
        <v>524</v>
      </c>
      <c r="C225" s="14" t="s">
        <v>557</v>
      </c>
      <c r="D225" s="14" t="s">
        <v>558</v>
      </c>
      <c r="E225" s="13" t="s">
        <v>307</v>
      </c>
      <c r="F225" s="15" t="n">
        <v>4</v>
      </c>
      <c r="G225" s="13" t="s">
        <v>50</v>
      </c>
      <c r="H225" s="13" t="s">
        <v>59</v>
      </c>
      <c r="I225" s="16" t="n">
        <v>200</v>
      </c>
      <c r="J225" s="17" t="n">
        <f aca="false">F225*I225</f>
        <v>800</v>
      </c>
      <c r="K225" s="18" t="s">
        <v>52</v>
      </c>
    </row>
    <row r="226" customFormat="false" ht="23.85" hidden="false" customHeight="false" outlineLevel="0" collapsed="false">
      <c r="A226" s="13" t="n">
        <v>222</v>
      </c>
      <c r="B226" s="14" t="s">
        <v>524</v>
      </c>
      <c r="C226" s="14" t="s">
        <v>559</v>
      </c>
      <c r="D226" s="14" t="s">
        <v>560</v>
      </c>
      <c r="E226" s="13" t="s">
        <v>75</v>
      </c>
      <c r="F226" s="15" t="n">
        <v>2</v>
      </c>
      <c r="G226" s="13" t="s">
        <v>50</v>
      </c>
      <c r="H226" s="13" t="s">
        <v>59</v>
      </c>
      <c r="I226" s="16" t="n">
        <v>450</v>
      </c>
      <c r="J226" s="17" t="n">
        <f aca="false">F226*I226</f>
        <v>900</v>
      </c>
      <c r="K226" s="18" t="s">
        <v>52</v>
      </c>
    </row>
    <row r="227" customFormat="false" ht="23.85" hidden="false" customHeight="false" outlineLevel="0" collapsed="false">
      <c r="A227" s="13" t="n">
        <v>223</v>
      </c>
      <c r="B227" s="14" t="s">
        <v>524</v>
      </c>
      <c r="C227" s="14" t="s">
        <v>561</v>
      </c>
      <c r="D227" s="14" t="s">
        <v>562</v>
      </c>
      <c r="E227" s="13" t="s">
        <v>58</v>
      </c>
      <c r="F227" s="15" t="n">
        <v>1</v>
      </c>
      <c r="G227" s="13" t="s">
        <v>50</v>
      </c>
      <c r="H227" s="13" t="s">
        <v>59</v>
      </c>
      <c r="I227" s="16" t="n">
        <v>80</v>
      </c>
      <c r="J227" s="17" t="n">
        <f aca="false">F227*I227</f>
        <v>80</v>
      </c>
      <c r="K227" s="18" t="s">
        <v>52</v>
      </c>
    </row>
    <row r="228" customFormat="false" ht="23.85" hidden="false" customHeight="false" outlineLevel="0" collapsed="false">
      <c r="A228" s="13" t="n">
        <v>224</v>
      </c>
      <c r="B228" s="14" t="s">
        <v>524</v>
      </c>
      <c r="C228" s="14" t="s">
        <v>563</v>
      </c>
      <c r="D228" s="14" t="s">
        <v>562</v>
      </c>
      <c r="E228" s="13" t="s">
        <v>75</v>
      </c>
      <c r="F228" s="15" t="n">
        <v>2</v>
      </c>
      <c r="G228" s="13" t="s">
        <v>50</v>
      </c>
      <c r="H228" s="13" t="s">
        <v>59</v>
      </c>
      <c r="I228" s="16" t="n">
        <v>250</v>
      </c>
      <c r="J228" s="17" t="n">
        <f aca="false">F228*I228</f>
        <v>500</v>
      </c>
      <c r="K228" s="18" t="s">
        <v>52</v>
      </c>
    </row>
    <row r="229" customFormat="false" ht="23.85" hidden="false" customHeight="false" outlineLevel="0" collapsed="false">
      <c r="A229" s="13" t="n">
        <v>225</v>
      </c>
      <c r="B229" s="14" t="s">
        <v>524</v>
      </c>
      <c r="C229" s="14" t="s">
        <v>564</v>
      </c>
      <c r="D229" s="14" t="s">
        <v>565</v>
      </c>
      <c r="E229" s="13" t="s">
        <v>75</v>
      </c>
      <c r="F229" s="15" t="n">
        <v>2</v>
      </c>
      <c r="G229" s="13" t="s">
        <v>50</v>
      </c>
      <c r="H229" s="13" t="s">
        <v>59</v>
      </c>
      <c r="I229" s="16" t="n">
        <v>600</v>
      </c>
      <c r="J229" s="17" t="n">
        <f aca="false">F229*I229</f>
        <v>1200</v>
      </c>
      <c r="K229" s="18" t="s">
        <v>52</v>
      </c>
    </row>
    <row r="230" customFormat="false" ht="23.85" hidden="false" customHeight="false" outlineLevel="0" collapsed="false">
      <c r="A230" s="13" t="n">
        <v>226</v>
      </c>
      <c r="B230" s="14" t="s">
        <v>524</v>
      </c>
      <c r="C230" s="14" t="s">
        <v>566</v>
      </c>
      <c r="D230" s="14" t="s">
        <v>567</v>
      </c>
      <c r="E230" s="13" t="s">
        <v>58</v>
      </c>
      <c r="F230" s="15" t="n">
        <v>1</v>
      </c>
      <c r="G230" s="13" t="s">
        <v>50</v>
      </c>
      <c r="H230" s="13" t="s">
        <v>59</v>
      </c>
      <c r="I230" s="16" t="n">
        <v>600</v>
      </c>
      <c r="J230" s="17" t="n">
        <f aca="false">F230*I230</f>
        <v>600</v>
      </c>
      <c r="K230" s="18" t="s">
        <v>52</v>
      </c>
    </row>
    <row r="231" customFormat="false" ht="23.85" hidden="false" customHeight="false" outlineLevel="0" collapsed="false">
      <c r="A231" s="13" t="n">
        <v>227</v>
      </c>
      <c r="B231" s="14" t="s">
        <v>524</v>
      </c>
      <c r="C231" s="14" t="s">
        <v>568</v>
      </c>
      <c r="D231" s="14" t="s">
        <v>569</v>
      </c>
      <c r="E231" s="13" t="s">
        <v>58</v>
      </c>
      <c r="F231" s="15" t="n">
        <v>1</v>
      </c>
      <c r="G231" s="13" t="s">
        <v>50</v>
      </c>
      <c r="H231" s="13" t="s">
        <v>59</v>
      </c>
      <c r="I231" s="16" t="n">
        <v>1500</v>
      </c>
      <c r="J231" s="17" t="n">
        <f aca="false">F231*I231</f>
        <v>1500</v>
      </c>
      <c r="K231" s="18" t="s">
        <v>52</v>
      </c>
    </row>
    <row r="232" customFormat="false" ht="23.85" hidden="false" customHeight="false" outlineLevel="0" collapsed="false">
      <c r="A232" s="13" t="n">
        <v>228</v>
      </c>
      <c r="B232" s="14" t="s">
        <v>524</v>
      </c>
      <c r="C232" s="14" t="s">
        <v>570</v>
      </c>
      <c r="D232" s="14" t="s">
        <v>571</v>
      </c>
      <c r="E232" s="13" t="s">
        <v>58</v>
      </c>
      <c r="F232" s="15" t="n">
        <v>1</v>
      </c>
      <c r="G232" s="13" t="s">
        <v>50</v>
      </c>
      <c r="H232" s="13" t="s">
        <v>59</v>
      </c>
      <c r="I232" s="16" t="n">
        <v>450</v>
      </c>
      <c r="J232" s="17" t="n">
        <f aca="false">F232*I232</f>
        <v>450</v>
      </c>
      <c r="K232" s="18" t="s">
        <v>52</v>
      </c>
    </row>
    <row r="233" customFormat="false" ht="23.85" hidden="false" customHeight="false" outlineLevel="0" collapsed="false">
      <c r="A233" s="13" t="n">
        <v>229</v>
      </c>
      <c r="B233" s="14" t="s">
        <v>524</v>
      </c>
      <c r="C233" s="14" t="s">
        <v>572</v>
      </c>
      <c r="D233" s="14" t="s">
        <v>573</v>
      </c>
      <c r="E233" s="13" t="s">
        <v>307</v>
      </c>
      <c r="F233" s="15" t="n">
        <v>4</v>
      </c>
      <c r="G233" s="13" t="s">
        <v>50</v>
      </c>
      <c r="H233" s="13" t="s">
        <v>59</v>
      </c>
      <c r="I233" s="16" t="n">
        <v>250</v>
      </c>
      <c r="J233" s="17" t="n">
        <f aca="false">F233*I233</f>
        <v>1000</v>
      </c>
      <c r="K233" s="18" t="s">
        <v>52</v>
      </c>
    </row>
    <row r="234" customFormat="false" ht="23.85" hidden="false" customHeight="false" outlineLevel="0" collapsed="false">
      <c r="A234" s="13" t="n">
        <v>230</v>
      </c>
      <c r="B234" s="14" t="s">
        <v>524</v>
      </c>
      <c r="C234" s="14" t="s">
        <v>574</v>
      </c>
      <c r="D234" s="14" t="s">
        <v>575</v>
      </c>
      <c r="E234" s="13" t="s">
        <v>323</v>
      </c>
      <c r="F234" s="15" t="n">
        <v>6</v>
      </c>
      <c r="G234" s="13" t="s">
        <v>76</v>
      </c>
      <c r="H234" s="13" t="s">
        <v>59</v>
      </c>
      <c r="I234" s="16" t="n">
        <v>60</v>
      </c>
      <c r="J234" s="17" t="n">
        <f aca="false">F234*I234</f>
        <v>360</v>
      </c>
      <c r="K234" s="18" t="s">
        <v>52</v>
      </c>
    </row>
    <row r="235" customFormat="false" ht="35.05" hidden="false" customHeight="false" outlineLevel="0" collapsed="false">
      <c r="A235" s="13" t="n">
        <v>231</v>
      </c>
      <c r="B235" s="14" t="s">
        <v>524</v>
      </c>
      <c r="C235" s="14" t="s">
        <v>576</v>
      </c>
      <c r="D235" s="14" t="s">
        <v>577</v>
      </c>
      <c r="E235" s="13" t="s">
        <v>58</v>
      </c>
      <c r="F235" s="15" t="n">
        <v>1</v>
      </c>
      <c r="G235" s="13" t="s">
        <v>50</v>
      </c>
      <c r="H235" s="13" t="s">
        <v>72</v>
      </c>
      <c r="I235" s="16" t="n">
        <v>4500</v>
      </c>
      <c r="J235" s="17" t="n">
        <f aca="false">F235*I235</f>
        <v>4500</v>
      </c>
      <c r="K235" s="18" t="s">
        <v>52</v>
      </c>
    </row>
    <row r="236" customFormat="false" ht="68.65" hidden="false" customHeight="false" outlineLevel="0" collapsed="false">
      <c r="A236" s="13" t="n">
        <v>232</v>
      </c>
      <c r="B236" s="14" t="s">
        <v>524</v>
      </c>
      <c r="C236" s="14" t="s">
        <v>578</v>
      </c>
      <c r="D236" s="14" t="s">
        <v>579</v>
      </c>
      <c r="E236" s="13" t="s">
        <v>58</v>
      </c>
      <c r="F236" s="15" t="n">
        <v>1</v>
      </c>
      <c r="G236" s="13" t="s">
        <v>50</v>
      </c>
      <c r="H236" s="13" t="s">
        <v>72</v>
      </c>
      <c r="I236" s="16" t="n">
        <v>4500</v>
      </c>
      <c r="J236" s="17" t="n">
        <f aca="false">F236*I236</f>
        <v>4500</v>
      </c>
      <c r="K236" s="18" t="s">
        <v>52</v>
      </c>
    </row>
    <row r="237" customFormat="false" ht="23.85" hidden="false" customHeight="false" outlineLevel="0" collapsed="false">
      <c r="A237" s="13" t="n">
        <v>233</v>
      </c>
      <c r="B237" s="14" t="s">
        <v>524</v>
      </c>
      <c r="C237" s="14" t="s">
        <v>580</v>
      </c>
      <c r="D237" s="14" t="s">
        <v>581</v>
      </c>
      <c r="E237" s="13" t="s">
        <v>582</v>
      </c>
      <c r="F237" s="15" t="n">
        <v>25</v>
      </c>
      <c r="G237" s="13" t="s">
        <v>76</v>
      </c>
      <c r="H237" s="13" t="s">
        <v>59</v>
      </c>
      <c r="I237" s="16" t="n">
        <v>15</v>
      </c>
      <c r="J237" s="17" t="n">
        <f aca="false">F237*I237</f>
        <v>375</v>
      </c>
      <c r="K237" s="18" t="s">
        <v>52</v>
      </c>
    </row>
    <row r="238" customFormat="false" ht="23.85" hidden="false" customHeight="false" outlineLevel="0" collapsed="false">
      <c r="A238" s="13" t="n">
        <v>234</v>
      </c>
      <c r="B238" s="14" t="s">
        <v>524</v>
      </c>
      <c r="C238" s="14" t="s">
        <v>583</v>
      </c>
      <c r="D238" s="14" t="s">
        <v>584</v>
      </c>
      <c r="E238" s="13" t="s">
        <v>58</v>
      </c>
      <c r="F238" s="15" t="n">
        <v>1</v>
      </c>
      <c r="G238" s="13" t="s">
        <v>50</v>
      </c>
      <c r="H238" s="13" t="s">
        <v>51</v>
      </c>
      <c r="I238" s="16" t="n">
        <v>250</v>
      </c>
      <c r="J238" s="17" t="n">
        <f aca="false">F238*I238</f>
        <v>250</v>
      </c>
      <c r="K238" s="18" t="s">
        <v>52</v>
      </c>
    </row>
    <row r="239" customFormat="false" ht="23.85" hidden="false" customHeight="false" outlineLevel="0" collapsed="false">
      <c r="A239" s="13" t="n">
        <v>235</v>
      </c>
      <c r="B239" s="14" t="s">
        <v>524</v>
      </c>
      <c r="C239" s="14" t="s">
        <v>585</v>
      </c>
      <c r="D239" s="14" t="s">
        <v>586</v>
      </c>
      <c r="E239" s="13" t="s">
        <v>58</v>
      </c>
      <c r="F239" s="15" t="n">
        <v>1</v>
      </c>
      <c r="G239" s="13" t="s">
        <v>50</v>
      </c>
      <c r="H239" s="13" t="s">
        <v>59</v>
      </c>
      <c r="I239" s="16" t="n">
        <v>180</v>
      </c>
      <c r="J239" s="17" t="n">
        <f aca="false">F239*I239</f>
        <v>180</v>
      </c>
      <c r="K239" s="18" t="s">
        <v>52</v>
      </c>
    </row>
    <row r="240" customFormat="false" ht="23.85" hidden="false" customHeight="false" outlineLevel="0" collapsed="false">
      <c r="A240" s="13" t="n">
        <v>236</v>
      </c>
      <c r="B240" s="14" t="s">
        <v>524</v>
      </c>
      <c r="C240" s="14" t="s">
        <v>587</v>
      </c>
      <c r="D240" s="14" t="s">
        <v>586</v>
      </c>
      <c r="E240" s="13" t="s">
        <v>58</v>
      </c>
      <c r="F240" s="15" t="n">
        <v>1</v>
      </c>
      <c r="G240" s="13" t="s">
        <v>50</v>
      </c>
      <c r="H240" s="13" t="s">
        <v>59</v>
      </c>
      <c r="I240" s="16" t="n">
        <v>120</v>
      </c>
      <c r="J240" s="17" t="n">
        <f aca="false">F240*I240</f>
        <v>120</v>
      </c>
      <c r="K240" s="18" t="s">
        <v>52</v>
      </c>
    </row>
    <row r="241" customFormat="false" ht="23.85" hidden="false" customHeight="false" outlineLevel="0" collapsed="false">
      <c r="A241" s="13" t="n">
        <v>237</v>
      </c>
      <c r="B241" s="14" t="s">
        <v>524</v>
      </c>
      <c r="C241" s="14" t="s">
        <v>588</v>
      </c>
      <c r="D241" s="14" t="s">
        <v>589</v>
      </c>
      <c r="E241" s="13" t="s">
        <v>58</v>
      </c>
      <c r="F241" s="15" t="n">
        <v>1</v>
      </c>
      <c r="G241" s="13" t="s">
        <v>76</v>
      </c>
      <c r="H241" s="13" t="s">
        <v>216</v>
      </c>
      <c r="I241" s="16" t="n">
        <v>150</v>
      </c>
      <c r="J241" s="17" t="n">
        <f aca="false">F241*I241</f>
        <v>150</v>
      </c>
      <c r="K241" s="18" t="s">
        <v>52</v>
      </c>
    </row>
    <row r="242" customFormat="false" ht="23.85" hidden="false" customHeight="false" outlineLevel="0" collapsed="false">
      <c r="A242" s="13" t="n">
        <v>238</v>
      </c>
      <c r="B242" s="14" t="s">
        <v>524</v>
      </c>
      <c r="C242" s="14" t="s">
        <v>590</v>
      </c>
      <c r="D242" s="14" t="s">
        <v>591</v>
      </c>
      <c r="E242" s="13" t="s">
        <v>75</v>
      </c>
      <c r="F242" s="15" t="n">
        <v>2</v>
      </c>
      <c r="G242" s="13" t="s">
        <v>62</v>
      </c>
      <c r="H242" s="13" t="s">
        <v>59</v>
      </c>
      <c r="I242" s="16" t="n">
        <v>200</v>
      </c>
      <c r="J242" s="17" t="n">
        <f aca="false">F242*I242</f>
        <v>400</v>
      </c>
      <c r="K242" s="18" t="s">
        <v>52</v>
      </c>
    </row>
    <row r="243" customFormat="false" ht="23.85" hidden="false" customHeight="false" outlineLevel="0" collapsed="false">
      <c r="A243" s="13" t="n">
        <v>239</v>
      </c>
      <c r="B243" s="14" t="s">
        <v>524</v>
      </c>
      <c r="C243" s="14" t="s">
        <v>592</v>
      </c>
      <c r="D243" s="14" t="s">
        <v>46</v>
      </c>
      <c r="E243" s="13" t="s">
        <v>58</v>
      </c>
      <c r="F243" s="15" t="n">
        <v>1</v>
      </c>
      <c r="G243" s="13" t="s">
        <v>62</v>
      </c>
      <c r="H243" s="13" t="s">
        <v>59</v>
      </c>
      <c r="I243" s="16" t="n">
        <v>250</v>
      </c>
      <c r="J243" s="17" t="n">
        <f aca="false">F243*I243</f>
        <v>250</v>
      </c>
      <c r="K243" s="18" t="s">
        <v>52</v>
      </c>
    </row>
    <row r="244" customFormat="false" ht="23.85" hidden="false" customHeight="false" outlineLevel="0" collapsed="false">
      <c r="A244" s="13" t="n">
        <v>240</v>
      </c>
      <c r="B244" s="14" t="s">
        <v>524</v>
      </c>
      <c r="C244" s="14" t="s">
        <v>593</v>
      </c>
      <c r="D244" s="14" t="s">
        <v>46</v>
      </c>
      <c r="E244" s="13" t="s">
        <v>58</v>
      </c>
      <c r="F244" s="15" t="n">
        <v>1</v>
      </c>
      <c r="G244" s="13" t="s">
        <v>62</v>
      </c>
      <c r="H244" s="13" t="s">
        <v>59</v>
      </c>
      <c r="I244" s="16" t="n">
        <v>250</v>
      </c>
      <c r="J244" s="17" t="n">
        <f aca="false">F244*I244</f>
        <v>250</v>
      </c>
      <c r="K244" s="18" t="s">
        <v>52</v>
      </c>
    </row>
    <row r="245" customFormat="false" ht="23.85" hidden="false" customHeight="false" outlineLevel="0" collapsed="false">
      <c r="A245" s="13" t="n">
        <v>241</v>
      </c>
      <c r="B245" s="14" t="s">
        <v>524</v>
      </c>
      <c r="C245" s="14" t="s">
        <v>594</v>
      </c>
      <c r="D245" s="14" t="s">
        <v>46</v>
      </c>
      <c r="E245" s="13" t="s">
        <v>58</v>
      </c>
      <c r="F245" s="15" t="n">
        <v>1</v>
      </c>
      <c r="G245" s="13" t="s">
        <v>62</v>
      </c>
      <c r="H245" s="13" t="s">
        <v>59</v>
      </c>
      <c r="I245" s="16" t="n">
        <v>250</v>
      </c>
      <c r="J245" s="17" t="n">
        <f aca="false">F245*I245</f>
        <v>250</v>
      </c>
      <c r="K245" s="18" t="s">
        <v>52</v>
      </c>
    </row>
    <row r="246" customFormat="false" ht="35.05" hidden="false" customHeight="false" outlineLevel="0" collapsed="false">
      <c r="A246" s="13" t="n">
        <v>242</v>
      </c>
      <c r="B246" s="14" t="s">
        <v>595</v>
      </c>
      <c r="C246" s="14" t="s">
        <v>596</v>
      </c>
      <c r="D246" s="14" t="s">
        <v>597</v>
      </c>
      <c r="E246" s="13" t="s">
        <v>326</v>
      </c>
      <c r="F246" s="15" t="n">
        <v>3</v>
      </c>
      <c r="G246" s="13" t="s">
        <v>62</v>
      </c>
      <c r="H246" s="13" t="s">
        <v>59</v>
      </c>
      <c r="I246" s="16" t="n">
        <v>3500</v>
      </c>
      <c r="J246" s="17" t="n">
        <f aca="false">F246*I246</f>
        <v>10500</v>
      </c>
      <c r="K246" s="18" t="s">
        <v>52</v>
      </c>
    </row>
    <row r="247" customFormat="false" ht="35.05" hidden="false" customHeight="false" outlineLevel="0" collapsed="false">
      <c r="A247" s="13" t="n">
        <v>243</v>
      </c>
      <c r="B247" s="14" t="s">
        <v>595</v>
      </c>
      <c r="C247" s="14" t="s">
        <v>596</v>
      </c>
      <c r="D247" s="14" t="s">
        <v>598</v>
      </c>
      <c r="E247" s="13" t="s">
        <v>75</v>
      </c>
      <c r="F247" s="15" t="n">
        <v>2</v>
      </c>
      <c r="G247" s="13" t="s">
        <v>62</v>
      </c>
      <c r="H247" s="13" t="s">
        <v>59</v>
      </c>
      <c r="I247" s="16" t="n">
        <v>3500</v>
      </c>
      <c r="J247" s="17" t="n">
        <f aca="false">F247*I247</f>
        <v>7000</v>
      </c>
      <c r="K247" s="18" t="s">
        <v>52</v>
      </c>
    </row>
    <row r="248" customFormat="false" ht="35.05" hidden="false" customHeight="false" outlineLevel="0" collapsed="false">
      <c r="A248" s="13" t="n">
        <v>244</v>
      </c>
      <c r="B248" s="14" t="s">
        <v>595</v>
      </c>
      <c r="C248" s="14" t="s">
        <v>599</v>
      </c>
      <c r="D248" s="14" t="s">
        <v>600</v>
      </c>
      <c r="E248" s="13" t="s">
        <v>58</v>
      </c>
      <c r="F248" s="15" t="n">
        <v>1</v>
      </c>
      <c r="G248" s="13" t="s">
        <v>62</v>
      </c>
      <c r="H248" s="13" t="s">
        <v>59</v>
      </c>
      <c r="I248" s="16" t="n">
        <v>12000</v>
      </c>
      <c r="J248" s="17" t="n">
        <f aca="false">F248*I248</f>
        <v>12000</v>
      </c>
      <c r="K248" s="18" t="s">
        <v>52</v>
      </c>
    </row>
    <row r="249" customFormat="false" ht="35.05" hidden="false" customHeight="false" outlineLevel="0" collapsed="false">
      <c r="A249" s="13" t="n">
        <v>245</v>
      </c>
      <c r="B249" s="14" t="s">
        <v>595</v>
      </c>
      <c r="C249" s="14" t="s">
        <v>601</v>
      </c>
      <c r="D249" s="14" t="s">
        <v>602</v>
      </c>
      <c r="E249" s="13" t="s">
        <v>58</v>
      </c>
      <c r="F249" s="15" t="n">
        <v>1</v>
      </c>
      <c r="G249" s="13" t="s">
        <v>62</v>
      </c>
      <c r="H249" s="13" t="s">
        <v>59</v>
      </c>
      <c r="I249" s="16" t="n">
        <v>8000</v>
      </c>
      <c r="J249" s="17" t="n">
        <f aca="false">F249*I249</f>
        <v>8000</v>
      </c>
      <c r="K249" s="18" t="s">
        <v>52</v>
      </c>
    </row>
    <row r="250" customFormat="false" ht="35.05" hidden="false" customHeight="false" outlineLevel="0" collapsed="false">
      <c r="A250" s="13" t="n">
        <v>246</v>
      </c>
      <c r="B250" s="14" t="s">
        <v>595</v>
      </c>
      <c r="C250" s="14" t="s">
        <v>603</v>
      </c>
      <c r="D250" s="14" t="s">
        <v>604</v>
      </c>
      <c r="E250" s="13" t="s">
        <v>75</v>
      </c>
      <c r="F250" s="15" t="n">
        <v>2</v>
      </c>
      <c r="G250" s="13" t="s">
        <v>62</v>
      </c>
      <c r="H250" s="13" t="s">
        <v>59</v>
      </c>
      <c r="I250" s="16" t="n">
        <v>15000</v>
      </c>
      <c r="J250" s="17" t="n">
        <f aca="false">F250*I250</f>
        <v>30000</v>
      </c>
      <c r="K250" s="18" t="s">
        <v>52</v>
      </c>
    </row>
    <row r="251" customFormat="false" ht="35.05" hidden="false" customHeight="false" outlineLevel="0" collapsed="false">
      <c r="A251" s="13" t="n">
        <v>247</v>
      </c>
      <c r="B251" s="14" t="s">
        <v>595</v>
      </c>
      <c r="C251" s="14" t="s">
        <v>605</v>
      </c>
      <c r="D251" s="14" t="s">
        <v>606</v>
      </c>
      <c r="E251" s="13" t="s">
        <v>142</v>
      </c>
      <c r="F251" s="15" t="n">
        <v>30</v>
      </c>
      <c r="G251" s="13" t="s">
        <v>62</v>
      </c>
      <c r="H251" s="13" t="s">
        <v>59</v>
      </c>
      <c r="I251" s="16" t="n">
        <v>900</v>
      </c>
      <c r="J251" s="17" t="n">
        <f aca="false">F251*I251</f>
        <v>27000</v>
      </c>
      <c r="K251" s="18" t="s">
        <v>52</v>
      </c>
    </row>
    <row r="252" customFormat="false" ht="68.65" hidden="false" customHeight="false" outlineLevel="0" collapsed="false">
      <c r="A252" s="13" t="n">
        <v>248</v>
      </c>
      <c r="B252" s="14" t="s">
        <v>595</v>
      </c>
      <c r="C252" s="14" t="s">
        <v>607</v>
      </c>
      <c r="D252" s="14" t="s">
        <v>608</v>
      </c>
      <c r="E252" s="13" t="s">
        <v>58</v>
      </c>
      <c r="F252" s="15" t="n">
        <v>1</v>
      </c>
      <c r="G252" s="13" t="s">
        <v>62</v>
      </c>
      <c r="H252" s="13" t="s">
        <v>59</v>
      </c>
      <c r="I252" s="16" t="n">
        <v>12000</v>
      </c>
      <c r="J252" s="17" t="n">
        <f aca="false">F252*I252</f>
        <v>12000</v>
      </c>
      <c r="K252" s="18" t="s">
        <v>52</v>
      </c>
    </row>
    <row r="253" customFormat="false" ht="35.05" hidden="false" customHeight="false" outlineLevel="0" collapsed="false">
      <c r="A253" s="13" t="n">
        <v>249</v>
      </c>
      <c r="B253" s="14" t="s">
        <v>595</v>
      </c>
      <c r="C253" s="14" t="s">
        <v>609</v>
      </c>
      <c r="D253" s="14" t="s">
        <v>610</v>
      </c>
      <c r="E253" s="13" t="s">
        <v>58</v>
      </c>
      <c r="F253" s="15" t="n">
        <v>1</v>
      </c>
      <c r="G253" s="13" t="s">
        <v>62</v>
      </c>
      <c r="H253" s="13" t="s">
        <v>59</v>
      </c>
      <c r="I253" s="16" t="n">
        <v>3500</v>
      </c>
      <c r="J253" s="17" t="n">
        <f aca="false">F253*I253</f>
        <v>3500</v>
      </c>
      <c r="K253" s="18" t="s">
        <v>52</v>
      </c>
    </row>
    <row r="254" customFormat="false" ht="35.05" hidden="false" customHeight="false" outlineLevel="0" collapsed="false">
      <c r="A254" s="13" t="n">
        <v>250</v>
      </c>
      <c r="B254" s="14" t="s">
        <v>595</v>
      </c>
      <c r="C254" s="14" t="s">
        <v>611</v>
      </c>
      <c r="D254" s="14" t="s">
        <v>612</v>
      </c>
      <c r="E254" s="13" t="s">
        <v>58</v>
      </c>
      <c r="F254" s="15" t="n">
        <v>1</v>
      </c>
      <c r="G254" s="13" t="s">
        <v>76</v>
      </c>
      <c r="H254" s="13" t="s">
        <v>79</v>
      </c>
      <c r="I254" s="16" t="n">
        <v>150</v>
      </c>
      <c r="J254" s="17" t="n">
        <f aca="false">F254*I254</f>
        <v>150</v>
      </c>
      <c r="K254" s="18" t="s">
        <v>52</v>
      </c>
    </row>
    <row r="255" customFormat="false" ht="35.05" hidden="false" customHeight="false" outlineLevel="0" collapsed="false">
      <c r="A255" s="13" t="n">
        <v>251</v>
      </c>
      <c r="B255" s="14" t="s">
        <v>595</v>
      </c>
      <c r="C255" s="14" t="s">
        <v>611</v>
      </c>
      <c r="D255" s="14" t="s">
        <v>613</v>
      </c>
      <c r="E255" s="13" t="s">
        <v>58</v>
      </c>
      <c r="F255" s="15" t="n">
        <v>1</v>
      </c>
      <c r="G255" s="13" t="s">
        <v>76</v>
      </c>
      <c r="H255" s="13" t="s">
        <v>79</v>
      </c>
      <c r="I255" s="16" t="n">
        <v>150</v>
      </c>
      <c r="J255" s="17" t="n">
        <f aca="false">F255*I255</f>
        <v>150</v>
      </c>
      <c r="K255" s="18" t="s">
        <v>52</v>
      </c>
    </row>
    <row r="256" customFormat="false" ht="35.05" hidden="false" customHeight="false" outlineLevel="0" collapsed="false">
      <c r="A256" s="13" t="n">
        <v>252</v>
      </c>
      <c r="B256" s="14" t="s">
        <v>595</v>
      </c>
      <c r="C256" s="14" t="s">
        <v>611</v>
      </c>
      <c r="D256" s="14" t="s">
        <v>614</v>
      </c>
      <c r="E256" s="13" t="s">
        <v>58</v>
      </c>
      <c r="F256" s="15" t="n">
        <v>1</v>
      </c>
      <c r="G256" s="13" t="s">
        <v>76</v>
      </c>
      <c r="H256" s="13" t="s">
        <v>79</v>
      </c>
      <c r="I256" s="16" t="n">
        <v>150</v>
      </c>
      <c r="J256" s="17" t="n">
        <f aca="false">F256*I256</f>
        <v>150</v>
      </c>
      <c r="K256" s="18" t="s">
        <v>52</v>
      </c>
    </row>
    <row r="257" customFormat="false" ht="35.05" hidden="false" customHeight="false" outlineLevel="0" collapsed="false">
      <c r="A257" s="13" t="n">
        <v>253</v>
      </c>
      <c r="B257" s="14" t="s">
        <v>595</v>
      </c>
      <c r="C257" s="14" t="s">
        <v>611</v>
      </c>
      <c r="D257" s="14" t="s">
        <v>615</v>
      </c>
      <c r="E257" s="13" t="s">
        <v>58</v>
      </c>
      <c r="F257" s="15" t="n">
        <v>1</v>
      </c>
      <c r="G257" s="13" t="s">
        <v>76</v>
      </c>
      <c r="H257" s="13" t="s">
        <v>79</v>
      </c>
      <c r="I257" s="16" t="n">
        <v>150</v>
      </c>
      <c r="J257" s="17" t="n">
        <f aca="false">F257*I257</f>
        <v>150</v>
      </c>
      <c r="K257" s="18" t="s">
        <v>52</v>
      </c>
    </row>
    <row r="258" customFormat="false" ht="35.05" hidden="false" customHeight="false" outlineLevel="0" collapsed="false">
      <c r="A258" s="13" t="n">
        <v>254</v>
      </c>
      <c r="B258" s="14" t="s">
        <v>595</v>
      </c>
      <c r="C258" s="14" t="s">
        <v>616</v>
      </c>
      <c r="D258" s="14" t="s">
        <v>612</v>
      </c>
      <c r="E258" s="13" t="s">
        <v>58</v>
      </c>
      <c r="F258" s="15" t="n">
        <v>1</v>
      </c>
      <c r="G258" s="13" t="s">
        <v>76</v>
      </c>
      <c r="H258" s="13" t="s">
        <v>617</v>
      </c>
      <c r="I258" s="16" t="n">
        <v>100</v>
      </c>
      <c r="J258" s="17" t="n">
        <f aca="false">F258*I258</f>
        <v>100</v>
      </c>
      <c r="K258" s="18" t="s">
        <v>52</v>
      </c>
    </row>
    <row r="259" customFormat="false" ht="35.05" hidden="false" customHeight="false" outlineLevel="0" collapsed="false">
      <c r="A259" s="13" t="n">
        <v>255</v>
      </c>
      <c r="B259" s="14" t="s">
        <v>595</v>
      </c>
      <c r="C259" s="14" t="s">
        <v>616</v>
      </c>
      <c r="D259" s="14" t="s">
        <v>614</v>
      </c>
      <c r="E259" s="13" t="s">
        <v>58</v>
      </c>
      <c r="F259" s="15" t="n">
        <v>1</v>
      </c>
      <c r="G259" s="13" t="s">
        <v>76</v>
      </c>
      <c r="H259" s="13" t="s">
        <v>617</v>
      </c>
      <c r="I259" s="16" t="n">
        <v>100</v>
      </c>
      <c r="J259" s="17" t="n">
        <f aca="false">F259*I259</f>
        <v>100</v>
      </c>
      <c r="K259" s="18" t="s">
        <v>52</v>
      </c>
    </row>
    <row r="260" customFormat="false" ht="35.05" hidden="false" customHeight="false" outlineLevel="0" collapsed="false">
      <c r="A260" s="13" t="n">
        <v>256</v>
      </c>
      <c r="B260" s="14" t="s">
        <v>595</v>
      </c>
      <c r="C260" s="14" t="s">
        <v>616</v>
      </c>
      <c r="D260" s="14" t="s">
        <v>615</v>
      </c>
      <c r="E260" s="13" t="s">
        <v>58</v>
      </c>
      <c r="F260" s="15" t="n">
        <v>1</v>
      </c>
      <c r="G260" s="13" t="s">
        <v>76</v>
      </c>
      <c r="H260" s="13" t="s">
        <v>617</v>
      </c>
      <c r="I260" s="16" t="n">
        <v>100</v>
      </c>
      <c r="J260" s="17" t="n">
        <f aca="false">F260*I260</f>
        <v>100</v>
      </c>
      <c r="K260" s="18" t="s">
        <v>52</v>
      </c>
    </row>
    <row r="261" customFormat="false" ht="35.05" hidden="false" customHeight="false" outlineLevel="0" collapsed="false">
      <c r="A261" s="13" t="n">
        <v>257</v>
      </c>
      <c r="B261" s="14" t="s">
        <v>595</v>
      </c>
      <c r="C261" s="14" t="s">
        <v>618</v>
      </c>
      <c r="D261" s="14" t="s">
        <v>612</v>
      </c>
      <c r="E261" s="13" t="s">
        <v>58</v>
      </c>
      <c r="F261" s="15" t="n">
        <v>1</v>
      </c>
      <c r="G261" s="13" t="s">
        <v>76</v>
      </c>
      <c r="H261" s="13" t="s">
        <v>619</v>
      </c>
      <c r="I261" s="16" t="n">
        <v>120</v>
      </c>
      <c r="J261" s="17" t="n">
        <f aca="false">F261*I261</f>
        <v>120</v>
      </c>
      <c r="K261" s="18" t="s">
        <v>52</v>
      </c>
    </row>
    <row r="262" customFormat="false" ht="35.05" hidden="false" customHeight="false" outlineLevel="0" collapsed="false">
      <c r="A262" s="13" t="n">
        <v>258</v>
      </c>
      <c r="B262" s="14" t="s">
        <v>595</v>
      </c>
      <c r="C262" s="14" t="s">
        <v>620</v>
      </c>
      <c r="D262" s="14" t="s">
        <v>621</v>
      </c>
      <c r="E262" s="13" t="s">
        <v>58</v>
      </c>
      <c r="F262" s="15" t="n">
        <v>1</v>
      </c>
      <c r="G262" s="13" t="s">
        <v>50</v>
      </c>
      <c r="H262" s="13" t="s">
        <v>59</v>
      </c>
      <c r="I262" s="16" t="n">
        <v>30</v>
      </c>
      <c r="J262" s="17" t="n">
        <f aca="false">F262*I262</f>
        <v>30</v>
      </c>
      <c r="K262" s="18" t="s">
        <v>52</v>
      </c>
    </row>
    <row r="263" customFormat="false" ht="35.05" hidden="false" customHeight="false" outlineLevel="0" collapsed="false">
      <c r="A263" s="13" t="n">
        <v>259</v>
      </c>
      <c r="B263" s="14" t="s">
        <v>595</v>
      </c>
      <c r="C263" s="14" t="s">
        <v>622</v>
      </c>
      <c r="D263" s="14" t="s">
        <v>623</v>
      </c>
      <c r="E263" s="13" t="s">
        <v>58</v>
      </c>
      <c r="F263" s="15" t="n">
        <v>1</v>
      </c>
      <c r="G263" s="13" t="s">
        <v>76</v>
      </c>
      <c r="H263" s="13" t="s">
        <v>617</v>
      </c>
      <c r="I263" s="16" t="n">
        <v>200</v>
      </c>
      <c r="J263" s="17" t="n">
        <f aca="false">F263*I263</f>
        <v>200</v>
      </c>
      <c r="K263" s="18" t="s">
        <v>52</v>
      </c>
    </row>
    <row r="264" customFormat="false" ht="35.05" hidden="false" customHeight="false" outlineLevel="0" collapsed="false">
      <c r="A264" s="13" t="n">
        <v>260</v>
      </c>
      <c r="B264" s="14" t="s">
        <v>595</v>
      </c>
      <c r="C264" s="14" t="s">
        <v>622</v>
      </c>
      <c r="D264" s="14" t="s">
        <v>624</v>
      </c>
      <c r="E264" s="13" t="s">
        <v>58</v>
      </c>
      <c r="F264" s="15" t="n">
        <v>1</v>
      </c>
      <c r="G264" s="13" t="s">
        <v>76</v>
      </c>
      <c r="H264" s="13" t="s">
        <v>617</v>
      </c>
      <c r="I264" s="16" t="n">
        <v>200</v>
      </c>
      <c r="J264" s="17" t="n">
        <f aca="false">F264*I264</f>
        <v>200</v>
      </c>
      <c r="K264" s="18" t="s">
        <v>52</v>
      </c>
    </row>
    <row r="265" customFormat="false" ht="35.05" hidden="false" customHeight="false" outlineLevel="0" collapsed="false">
      <c r="A265" s="13" t="n">
        <v>261</v>
      </c>
      <c r="B265" s="14" t="s">
        <v>595</v>
      </c>
      <c r="C265" s="14" t="s">
        <v>622</v>
      </c>
      <c r="D265" s="14" t="s">
        <v>625</v>
      </c>
      <c r="E265" s="13" t="s">
        <v>58</v>
      </c>
      <c r="F265" s="15" t="n">
        <v>1</v>
      </c>
      <c r="G265" s="13" t="s">
        <v>76</v>
      </c>
      <c r="H265" s="13" t="s">
        <v>617</v>
      </c>
      <c r="I265" s="16" t="n">
        <v>200</v>
      </c>
      <c r="J265" s="17" t="n">
        <f aca="false">F265*I265</f>
        <v>200</v>
      </c>
      <c r="K265" s="18" t="s">
        <v>52</v>
      </c>
    </row>
    <row r="266" customFormat="false" ht="35.05" hidden="false" customHeight="false" outlineLevel="0" collapsed="false">
      <c r="A266" s="13" t="n">
        <v>262</v>
      </c>
      <c r="B266" s="14" t="s">
        <v>595</v>
      </c>
      <c r="C266" s="14" t="s">
        <v>626</v>
      </c>
      <c r="D266" s="14" t="s">
        <v>627</v>
      </c>
      <c r="E266" s="13" t="s">
        <v>58</v>
      </c>
      <c r="F266" s="15" t="n">
        <v>1</v>
      </c>
      <c r="G266" s="13" t="s">
        <v>76</v>
      </c>
      <c r="H266" s="13" t="s">
        <v>520</v>
      </c>
      <c r="I266" s="16" t="n">
        <v>250</v>
      </c>
      <c r="J266" s="17" t="n">
        <f aca="false">F266*I266</f>
        <v>250</v>
      </c>
      <c r="K266" s="18" t="s">
        <v>52</v>
      </c>
    </row>
    <row r="267" customFormat="false" ht="23.85" hidden="false" customHeight="false" outlineLevel="0" collapsed="false">
      <c r="A267" s="13" t="n">
        <v>263</v>
      </c>
      <c r="B267" s="14" t="s">
        <v>628</v>
      </c>
      <c r="C267" s="14" t="s">
        <v>629</v>
      </c>
      <c r="D267" s="14" t="s">
        <v>630</v>
      </c>
      <c r="E267" s="13" t="s">
        <v>58</v>
      </c>
      <c r="F267" s="15" t="n">
        <v>1</v>
      </c>
      <c r="G267" s="13" t="s">
        <v>62</v>
      </c>
      <c r="H267" s="13" t="s">
        <v>59</v>
      </c>
      <c r="I267" s="16" t="n">
        <v>900</v>
      </c>
      <c r="J267" s="17" t="n">
        <f aca="false">F267*I267</f>
        <v>900</v>
      </c>
      <c r="K267" s="18" t="s">
        <v>52</v>
      </c>
    </row>
    <row r="268" customFormat="false" ht="23.85" hidden="false" customHeight="false" outlineLevel="0" collapsed="false">
      <c r="A268" s="13" t="n">
        <v>264</v>
      </c>
      <c r="B268" s="14" t="s">
        <v>628</v>
      </c>
      <c r="C268" s="14" t="s">
        <v>631</v>
      </c>
      <c r="D268" s="14" t="s">
        <v>632</v>
      </c>
      <c r="E268" s="13" t="s">
        <v>58</v>
      </c>
      <c r="F268" s="15" t="n">
        <v>1</v>
      </c>
      <c r="G268" s="13" t="s">
        <v>62</v>
      </c>
      <c r="H268" s="13" t="s">
        <v>59</v>
      </c>
      <c r="I268" s="16" t="n">
        <v>500</v>
      </c>
      <c r="J268" s="17" t="n">
        <f aca="false">F268*I268</f>
        <v>500</v>
      </c>
      <c r="K268" s="18" t="s">
        <v>52</v>
      </c>
    </row>
    <row r="269" customFormat="false" ht="23.85" hidden="false" customHeight="false" outlineLevel="0" collapsed="false">
      <c r="A269" s="13" t="n">
        <v>265</v>
      </c>
      <c r="B269" s="14" t="s">
        <v>628</v>
      </c>
      <c r="C269" s="14" t="s">
        <v>633</v>
      </c>
      <c r="D269" s="14" t="s">
        <v>632</v>
      </c>
      <c r="E269" s="13" t="s">
        <v>58</v>
      </c>
      <c r="F269" s="15" t="n">
        <v>1</v>
      </c>
      <c r="G269" s="13" t="s">
        <v>62</v>
      </c>
      <c r="H269" s="13" t="s">
        <v>59</v>
      </c>
      <c r="I269" s="16" t="n">
        <v>500</v>
      </c>
      <c r="J269" s="17" t="n">
        <f aca="false">F269*I269</f>
        <v>500</v>
      </c>
      <c r="K269" s="18" t="s">
        <v>52</v>
      </c>
    </row>
    <row r="270" customFormat="false" ht="23.85" hidden="false" customHeight="false" outlineLevel="0" collapsed="false">
      <c r="A270" s="13" t="n">
        <v>266</v>
      </c>
      <c r="B270" s="14" t="s">
        <v>628</v>
      </c>
      <c r="C270" s="14" t="s">
        <v>634</v>
      </c>
      <c r="D270" s="14" t="s">
        <v>632</v>
      </c>
      <c r="E270" s="13" t="s">
        <v>58</v>
      </c>
      <c r="F270" s="15" t="n">
        <v>1</v>
      </c>
      <c r="G270" s="13" t="s">
        <v>62</v>
      </c>
      <c r="H270" s="13" t="s">
        <v>59</v>
      </c>
      <c r="I270" s="16" t="n">
        <v>500</v>
      </c>
      <c r="J270" s="17" t="n">
        <f aca="false">F270*I270</f>
        <v>500</v>
      </c>
      <c r="K270" s="18" t="s">
        <v>52</v>
      </c>
    </row>
    <row r="271" customFormat="false" ht="23.85" hidden="false" customHeight="false" outlineLevel="0" collapsed="false">
      <c r="A271" s="13" t="n">
        <v>267</v>
      </c>
      <c r="B271" s="14" t="s">
        <v>628</v>
      </c>
      <c r="C271" s="14" t="s">
        <v>635</v>
      </c>
      <c r="D271" s="14" t="s">
        <v>632</v>
      </c>
      <c r="E271" s="13" t="s">
        <v>58</v>
      </c>
      <c r="F271" s="15" t="n">
        <v>1</v>
      </c>
      <c r="G271" s="13" t="s">
        <v>62</v>
      </c>
      <c r="H271" s="13" t="s">
        <v>59</v>
      </c>
      <c r="I271" s="16" t="n">
        <v>500</v>
      </c>
      <c r="J271" s="17" t="n">
        <f aca="false">F271*I271</f>
        <v>500</v>
      </c>
      <c r="K271" s="18" t="s">
        <v>52</v>
      </c>
    </row>
    <row r="272" customFormat="false" ht="23.85" hidden="false" customHeight="false" outlineLevel="0" collapsed="false">
      <c r="A272" s="13" t="n">
        <v>268</v>
      </c>
      <c r="B272" s="14" t="s">
        <v>628</v>
      </c>
      <c r="C272" s="14" t="s">
        <v>636</v>
      </c>
      <c r="D272" s="14" t="s">
        <v>637</v>
      </c>
      <c r="E272" s="13" t="s">
        <v>58</v>
      </c>
      <c r="F272" s="15" t="n">
        <v>1</v>
      </c>
      <c r="G272" s="13" t="s">
        <v>62</v>
      </c>
      <c r="H272" s="13" t="s">
        <v>59</v>
      </c>
      <c r="I272" s="16" t="n">
        <v>250</v>
      </c>
      <c r="J272" s="17" t="n">
        <f aca="false">F272*I272</f>
        <v>250</v>
      </c>
      <c r="K272" s="18" t="s">
        <v>52</v>
      </c>
    </row>
    <row r="273" customFormat="false" ht="23.85" hidden="false" customHeight="false" outlineLevel="0" collapsed="false">
      <c r="A273" s="13" t="n">
        <v>269</v>
      </c>
      <c r="B273" s="14" t="s">
        <v>628</v>
      </c>
      <c r="C273" s="14" t="s">
        <v>638</v>
      </c>
      <c r="D273" s="14" t="s">
        <v>637</v>
      </c>
      <c r="E273" s="13" t="s">
        <v>58</v>
      </c>
      <c r="F273" s="15" t="n">
        <v>1</v>
      </c>
      <c r="G273" s="13" t="s">
        <v>62</v>
      </c>
      <c r="H273" s="13" t="s">
        <v>59</v>
      </c>
      <c r="I273" s="16" t="n">
        <v>250</v>
      </c>
      <c r="J273" s="17" t="n">
        <f aca="false">F273*I273</f>
        <v>250</v>
      </c>
      <c r="K273" s="18" t="s">
        <v>52</v>
      </c>
    </row>
    <row r="274" customFormat="false" ht="23.85" hidden="false" customHeight="false" outlineLevel="0" collapsed="false">
      <c r="A274" s="13" t="n">
        <v>270</v>
      </c>
      <c r="B274" s="14" t="s">
        <v>628</v>
      </c>
      <c r="C274" s="14" t="s">
        <v>339</v>
      </c>
      <c r="D274" s="14" t="s">
        <v>637</v>
      </c>
      <c r="E274" s="13" t="s">
        <v>58</v>
      </c>
      <c r="F274" s="15" t="n">
        <v>1</v>
      </c>
      <c r="G274" s="13" t="s">
        <v>62</v>
      </c>
      <c r="H274" s="13" t="s">
        <v>55</v>
      </c>
      <c r="I274" s="16" t="n">
        <v>450</v>
      </c>
      <c r="J274" s="17" t="n">
        <f aca="false">F274*I274</f>
        <v>450</v>
      </c>
      <c r="K274" s="18" t="s">
        <v>52</v>
      </c>
    </row>
    <row r="275" customFormat="false" ht="23.85" hidden="false" customHeight="false" outlineLevel="0" collapsed="false">
      <c r="A275" s="13" t="n">
        <v>271</v>
      </c>
      <c r="B275" s="14" t="s">
        <v>628</v>
      </c>
      <c r="C275" s="14" t="s">
        <v>639</v>
      </c>
      <c r="D275" s="14" t="s">
        <v>637</v>
      </c>
      <c r="E275" s="13" t="s">
        <v>58</v>
      </c>
      <c r="F275" s="15" t="n">
        <v>1</v>
      </c>
      <c r="G275" s="13" t="s">
        <v>62</v>
      </c>
      <c r="H275" s="13" t="s">
        <v>51</v>
      </c>
      <c r="I275" s="16" t="n">
        <v>3500</v>
      </c>
      <c r="J275" s="17" t="n">
        <f aca="false">F275*I275</f>
        <v>3500</v>
      </c>
      <c r="K275" s="18" t="s">
        <v>52</v>
      </c>
    </row>
    <row r="276" customFormat="false" ht="23.85" hidden="false" customHeight="false" outlineLevel="0" collapsed="false">
      <c r="A276" s="13" t="n">
        <v>272</v>
      </c>
      <c r="B276" s="14" t="s">
        <v>628</v>
      </c>
      <c r="C276" s="14" t="s">
        <v>640</v>
      </c>
      <c r="D276" s="14" t="s">
        <v>637</v>
      </c>
      <c r="E276" s="13" t="s">
        <v>58</v>
      </c>
      <c r="F276" s="15" t="n">
        <v>1</v>
      </c>
      <c r="G276" s="13" t="s">
        <v>62</v>
      </c>
      <c r="H276" s="13" t="s">
        <v>59</v>
      </c>
      <c r="I276" s="16" t="n">
        <v>250</v>
      </c>
      <c r="J276" s="17" t="n">
        <f aca="false">F276*I276</f>
        <v>250</v>
      </c>
      <c r="K276" s="18" t="s">
        <v>52</v>
      </c>
    </row>
    <row r="277" customFormat="false" ht="15" hidden="false" customHeight="false" outlineLevel="0" collapsed="false">
      <c r="A277" s="19"/>
      <c r="B277" s="19"/>
      <c r="C277" s="19" t="s">
        <v>93</v>
      </c>
      <c r="D277" s="19"/>
      <c r="E277" s="19"/>
      <c r="F277" s="19"/>
      <c r="G277" s="19"/>
      <c r="H277" s="19"/>
      <c r="I277" s="19"/>
      <c r="J277" s="20" t="n">
        <f aca="false">SUM(J5:J276)</f>
        <v>376235</v>
      </c>
      <c r="K277" s="19"/>
    </row>
    <row r="279" customFormat="false" ht="15" hidden="false" customHeight="false" outlineLevel="0" collapsed="false">
      <c r="A279" s="2" t="s">
        <v>33</v>
      </c>
    </row>
  </sheetData>
  <autoFilter ref="A4:K276"/>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 ref="K17" r:id="rId13" display="Click here"/>
    <hyperlink ref="K18" r:id="rId14" display="Click here"/>
    <hyperlink ref="K19" r:id="rId15" display="Click here"/>
    <hyperlink ref="K20" r:id="rId16" display="Click here"/>
    <hyperlink ref="K21" r:id="rId17" display="Click here"/>
    <hyperlink ref="K22" r:id="rId18" display="Click here"/>
    <hyperlink ref="K23" r:id="rId19" display="Click here"/>
    <hyperlink ref="K24" r:id="rId20" display="Click here"/>
    <hyperlink ref="K25" r:id="rId21" display="Click here"/>
    <hyperlink ref="K26" r:id="rId22" display="Click here"/>
    <hyperlink ref="K27" r:id="rId23" display="Click here"/>
    <hyperlink ref="K28" r:id="rId24" display="Click here"/>
    <hyperlink ref="K29" r:id="rId25" display="Click here"/>
    <hyperlink ref="K30" r:id="rId26" display="Click here"/>
    <hyperlink ref="K31" r:id="rId27" display="Click here"/>
    <hyperlink ref="K32" r:id="rId28" display="Click here"/>
    <hyperlink ref="K33" r:id="rId29" display="Click here"/>
    <hyperlink ref="K34" r:id="rId30" display="Click here"/>
    <hyperlink ref="K35" r:id="rId31" display="Click here"/>
    <hyperlink ref="K36" r:id="rId32" display="Click here"/>
    <hyperlink ref="K37" r:id="rId33" display="Click here"/>
    <hyperlink ref="K38" r:id="rId34" display="Click here"/>
    <hyperlink ref="K39" r:id="rId35" display="Click here"/>
    <hyperlink ref="K40" r:id="rId36" display="Click here"/>
    <hyperlink ref="K41" r:id="rId37" display="Click here"/>
    <hyperlink ref="K42" r:id="rId38" display="Click here"/>
    <hyperlink ref="K43" r:id="rId39" display="Click here"/>
    <hyperlink ref="K44" r:id="rId40" display="Click here"/>
    <hyperlink ref="K45" r:id="rId41" display="Click here"/>
    <hyperlink ref="K46" r:id="rId42" display="Click here"/>
    <hyperlink ref="K47" r:id="rId43" display="Click here"/>
    <hyperlink ref="K48" r:id="rId44" display="Click here"/>
    <hyperlink ref="K49" r:id="rId45" display="Click here"/>
    <hyperlink ref="K50" r:id="rId46" display="Click here"/>
    <hyperlink ref="K51" r:id="rId47" display="Click here"/>
    <hyperlink ref="K52" r:id="rId48" display="Click here"/>
    <hyperlink ref="K53" r:id="rId49" display="Click here"/>
    <hyperlink ref="K54" r:id="rId50" display="Click here"/>
    <hyperlink ref="K55" r:id="rId51" display="Click here"/>
    <hyperlink ref="K56" r:id="rId52" display="Click here"/>
    <hyperlink ref="K57" r:id="rId53" display="Click here"/>
    <hyperlink ref="K58" r:id="rId54" display="Click here"/>
    <hyperlink ref="K59" r:id="rId55" display="Click here"/>
    <hyperlink ref="K60" r:id="rId56" display="Click here"/>
    <hyperlink ref="K61" r:id="rId57" display="Click here"/>
    <hyperlink ref="K62" r:id="rId58" display="Click here"/>
    <hyperlink ref="K63" r:id="rId59" display="Click here"/>
    <hyperlink ref="K64" r:id="rId60" display="Click here"/>
    <hyperlink ref="K65" r:id="rId61" display="Click here"/>
    <hyperlink ref="K66" r:id="rId62" display="Click here"/>
    <hyperlink ref="K67" r:id="rId63" display="Click here"/>
    <hyperlink ref="K68" r:id="rId64" display="Click here"/>
    <hyperlink ref="K69" r:id="rId65" display="Click here"/>
    <hyperlink ref="K70" r:id="rId66" display="Click here"/>
    <hyperlink ref="K71" r:id="rId67" display="Click here"/>
    <hyperlink ref="K72" r:id="rId68" display="Click here"/>
    <hyperlink ref="K73" r:id="rId69" display="Click here"/>
    <hyperlink ref="K74" r:id="rId70" display="Click here"/>
    <hyperlink ref="K75" r:id="rId71" display="Click here"/>
    <hyperlink ref="K76" r:id="rId72" display="Click here"/>
    <hyperlink ref="K77" r:id="rId73" display="Click here"/>
    <hyperlink ref="K78" r:id="rId74" display="Click here"/>
    <hyperlink ref="K79" r:id="rId75" display="Click here"/>
    <hyperlink ref="K80" r:id="rId76" display="Click here"/>
    <hyperlink ref="K81" r:id="rId77" display="Click here"/>
    <hyperlink ref="K82" r:id="rId78" display="Click here"/>
    <hyperlink ref="K83" r:id="rId79" display="Click here"/>
    <hyperlink ref="K84" r:id="rId80" display="Click here"/>
    <hyperlink ref="K85" r:id="rId81" display="Click here"/>
    <hyperlink ref="K86" r:id="rId82" display="Click here"/>
    <hyperlink ref="K87" r:id="rId83" display="Click here"/>
    <hyperlink ref="K88" r:id="rId84" display="Click here"/>
    <hyperlink ref="K89" r:id="rId85" display="Click here"/>
    <hyperlink ref="K90" r:id="rId86" display="Click here"/>
    <hyperlink ref="K91" r:id="rId87" display="Click here"/>
    <hyperlink ref="K92" r:id="rId88" display="Click here"/>
    <hyperlink ref="K93" r:id="rId89" display="Click here"/>
    <hyperlink ref="K94" r:id="rId90" display="Click here"/>
    <hyperlink ref="K95" r:id="rId91" display="Click here"/>
    <hyperlink ref="K96" r:id="rId92" display="Click here"/>
    <hyperlink ref="K97" r:id="rId93" display="Click here"/>
    <hyperlink ref="K98" r:id="rId94" display="Click here"/>
    <hyperlink ref="K99" r:id="rId95" display="Click here"/>
    <hyperlink ref="K100" r:id="rId96" display="Click here"/>
    <hyperlink ref="K101" r:id="rId97" display="Click here"/>
    <hyperlink ref="K102" r:id="rId98" display="Click here"/>
    <hyperlink ref="K103" r:id="rId99" display="Click here"/>
    <hyperlink ref="K104" r:id="rId100" display="Click here"/>
    <hyperlink ref="K105" r:id="rId101" display="Click here"/>
    <hyperlink ref="K106" r:id="rId102" display="Click here"/>
    <hyperlink ref="K107" r:id="rId103" display="Click here"/>
    <hyperlink ref="K108" r:id="rId104" display="Click here"/>
    <hyperlink ref="K109" r:id="rId105" display="Click here"/>
    <hyperlink ref="K110" r:id="rId106" display="Click here"/>
    <hyperlink ref="K111" r:id="rId107" display="Click here"/>
    <hyperlink ref="K112" r:id="rId108" display="Click here"/>
    <hyperlink ref="K113" r:id="rId109" display="Click here"/>
    <hyperlink ref="K114" r:id="rId110" display="Click here"/>
    <hyperlink ref="K115" r:id="rId111" display="Click here"/>
    <hyperlink ref="K116" r:id="rId112" display="Click here"/>
    <hyperlink ref="K117" r:id="rId113" display="Click here"/>
    <hyperlink ref="K118" r:id="rId114" display="Click here"/>
    <hyperlink ref="K119" r:id="rId115" display="Click here"/>
    <hyperlink ref="K120" r:id="rId116" display="Click here"/>
    <hyperlink ref="K121" r:id="rId117" display="Click here"/>
    <hyperlink ref="K122" r:id="rId118" display="Click here"/>
    <hyperlink ref="K123" r:id="rId119" display="Click here"/>
    <hyperlink ref="K124" r:id="rId120" display="Click here"/>
    <hyperlink ref="K125" r:id="rId121" display="Click here"/>
    <hyperlink ref="K126" r:id="rId122" display="Click here"/>
    <hyperlink ref="K127" r:id="rId123" display="Click here"/>
    <hyperlink ref="K128" r:id="rId124" display="Click here"/>
    <hyperlink ref="K129" r:id="rId125" display="Click here"/>
    <hyperlink ref="K130" r:id="rId126" display="Click here"/>
    <hyperlink ref="K131" r:id="rId127" display="Click here"/>
    <hyperlink ref="K132" r:id="rId128" display="Click here"/>
    <hyperlink ref="K133" r:id="rId129" display="Click here"/>
    <hyperlink ref="K134" r:id="rId130" display="Click here"/>
    <hyperlink ref="K135" r:id="rId131" display="Click here"/>
    <hyperlink ref="K136" r:id="rId132" display="Click here"/>
    <hyperlink ref="K137" r:id="rId133" display="Click here"/>
    <hyperlink ref="K138" r:id="rId134" display="Click here"/>
    <hyperlink ref="K139" r:id="rId135" display="Click here"/>
    <hyperlink ref="K140" r:id="rId136" display="Click here"/>
    <hyperlink ref="K141" r:id="rId137" display="Click here"/>
    <hyperlink ref="K142" r:id="rId138" display="Click here"/>
    <hyperlink ref="K143" r:id="rId139" display="Click here"/>
    <hyperlink ref="K144" r:id="rId140" display="Click here"/>
    <hyperlink ref="K145" r:id="rId141" display="Click here"/>
    <hyperlink ref="K146" r:id="rId142" display="Click here"/>
    <hyperlink ref="K147" r:id="rId143" display="Click here"/>
    <hyperlink ref="K148" r:id="rId144" display="Click here"/>
    <hyperlink ref="K149" r:id="rId145" display="Click here"/>
    <hyperlink ref="K150" r:id="rId146" display="Click here"/>
    <hyperlink ref="K151" r:id="rId147" display="Click here"/>
    <hyperlink ref="K152" r:id="rId148" display="Click here"/>
    <hyperlink ref="K153" r:id="rId149" display="Click here"/>
    <hyperlink ref="K154" r:id="rId150" display="Click here"/>
    <hyperlink ref="K155" r:id="rId151" display="Click here"/>
    <hyperlink ref="K156" r:id="rId152" display="Click here"/>
    <hyperlink ref="K157" r:id="rId153" display="Click here"/>
    <hyperlink ref="K158" r:id="rId154" display="Click here"/>
    <hyperlink ref="K159" r:id="rId155" display="Click here"/>
    <hyperlink ref="K160" r:id="rId156" display="Click here"/>
    <hyperlink ref="K161" r:id="rId157" display="Click here"/>
    <hyperlink ref="K162" r:id="rId158" display="Click here"/>
    <hyperlink ref="K163" r:id="rId159" display="Click here"/>
    <hyperlink ref="K164" r:id="rId160" display="Click here"/>
    <hyperlink ref="K165" r:id="rId161" display="Click here"/>
    <hyperlink ref="K166" r:id="rId162" display="Click here"/>
    <hyperlink ref="K167" r:id="rId163" display="Click here"/>
    <hyperlink ref="K168" r:id="rId164" display="Click here"/>
    <hyperlink ref="K169" r:id="rId165" display="Click here"/>
    <hyperlink ref="K170" r:id="rId166" display="Click here"/>
    <hyperlink ref="K171" r:id="rId167" display="Click here"/>
    <hyperlink ref="K172" r:id="rId168" display="Click here"/>
    <hyperlink ref="K173" r:id="rId169" display="Click here"/>
    <hyperlink ref="K174" r:id="rId170" display="Click here"/>
    <hyperlink ref="K175" r:id="rId171" display="Click here"/>
    <hyperlink ref="K176" r:id="rId172" display="Click here"/>
    <hyperlink ref="K177" r:id="rId173" display="Click here"/>
    <hyperlink ref="K178" r:id="rId174" display="Click here"/>
    <hyperlink ref="K179" r:id="rId175" display="Click here"/>
    <hyperlink ref="K180" r:id="rId176" display="Click here"/>
    <hyperlink ref="K181" r:id="rId177" display="Click here"/>
    <hyperlink ref="K182" r:id="rId178" display="Click here"/>
    <hyperlink ref="K183" r:id="rId179" display="Click here"/>
    <hyperlink ref="K184" r:id="rId180" display="Click here"/>
    <hyperlink ref="K185" r:id="rId181" display="Click here"/>
    <hyperlink ref="K186" r:id="rId182" display="Click here"/>
    <hyperlink ref="K187" r:id="rId183" display="Click here"/>
    <hyperlink ref="K188" r:id="rId184" display="Click here"/>
    <hyperlink ref="K189" r:id="rId185" display="Click here"/>
    <hyperlink ref="K190" r:id="rId186" display="Click here"/>
    <hyperlink ref="K191" r:id="rId187" display="Click here"/>
    <hyperlink ref="K192" r:id="rId188" display="Click here"/>
    <hyperlink ref="K193" r:id="rId189" display="Click here"/>
    <hyperlink ref="K194" r:id="rId190" display="Click here"/>
    <hyperlink ref="K195" r:id="rId191" display="Click here"/>
    <hyperlink ref="K196" r:id="rId192" display="Click here"/>
    <hyperlink ref="K197" r:id="rId193" display="Click here"/>
    <hyperlink ref="K198" r:id="rId194" display="Click here"/>
    <hyperlink ref="K199" r:id="rId195" display="Click here"/>
    <hyperlink ref="K200" r:id="rId196" display="Click here"/>
    <hyperlink ref="K201" r:id="rId197" display="Click here"/>
    <hyperlink ref="K202" r:id="rId198" display="Click here"/>
    <hyperlink ref="K203" r:id="rId199" display="Click here"/>
    <hyperlink ref="K204" r:id="rId200" display="Click here"/>
    <hyperlink ref="K205" r:id="rId201" display="Click here"/>
    <hyperlink ref="K206" r:id="rId202" display="Click here"/>
    <hyperlink ref="K207" r:id="rId203" display="Click here"/>
    <hyperlink ref="K208" r:id="rId204" display="Click here"/>
    <hyperlink ref="K209" r:id="rId205" display="Click here"/>
    <hyperlink ref="K210" r:id="rId206" display="Click here"/>
    <hyperlink ref="K211" r:id="rId207" display="Click here"/>
    <hyperlink ref="K212" r:id="rId208" display="Click here"/>
    <hyperlink ref="K213" r:id="rId209" display="Click here"/>
    <hyperlink ref="K214" r:id="rId210" display="Click here"/>
    <hyperlink ref="K215" r:id="rId211" display="Click here"/>
    <hyperlink ref="K216" r:id="rId212" display="Click here"/>
    <hyperlink ref="K217" r:id="rId213" display="Click here"/>
    <hyperlink ref="K218" r:id="rId214" display="Click here"/>
    <hyperlink ref="K219" r:id="rId215" display="Click here"/>
    <hyperlink ref="K220" r:id="rId216" display="Click here"/>
    <hyperlink ref="K221" r:id="rId217" display="Click here"/>
    <hyperlink ref="K222" r:id="rId218" display="Click here"/>
    <hyperlink ref="K223" r:id="rId219" display="Click here"/>
    <hyperlink ref="K224" r:id="rId220" display="Click here"/>
    <hyperlink ref="K225" r:id="rId221" display="Click here"/>
    <hyperlink ref="K226" r:id="rId222" display="Click here"/>
    <hyperlink ref="K227" r:id="rId223" display="Click here"/>
    <hyperlink ref="K228" r:id="rId224" display="Click here"/>
    <hyperlink ref="K229" r:id="rId225" display="Click here"/>
    <hyperlink ref="K230" r:id="rId226" display="Click here"/>
    <hyperlink ref="K231" r:id="rId227" display="Click here"/>
    <hyperlink ref="K232" r:id="rId228" display="Click here"/>
    <hyperlink ref="K233" r:id="rId229" display="Click here"/>
    <hyperlink ref="K234" r:id="rId230" display="Click here"/>
    <hyperlink ref="K235" r:id="rId231" display="Click here"/>
    <hyperlink ref="K236" r:id="rId232" display="Click here"/>
    <hyperlink ref="K237" r:id="rId233" display="Click here"/>
    <hyperlink ref="K238" r:id="rId234" display="Click here"/>
    <hyperlink ref="K239" r:id="rId235" display="Click here"/>
    <hyperlink ref="K240" r:id="rId236" display="Click here"/>
    <hyperlink ref="K241" r:id="rId237" display="Click here"/>
    <hyperlink ref="K242" r:id="rId238" display="Click here"/>
    <hyperlink ref="K243" r:id="rId239" display="Click here"/>
    <hyperlink ref="K244" r:id="rId240" display="Click here"/>
    <hyperlink ref="K245" r:id="rId241" display="Click here"/>
    <hyperlink ref="K246" r:id="rId242" display="Click here"/>
    <hyperlink ref="K247" r:id="rId243" display="Click here"/>
    <hyperlink ref="K248" r:id="rId244" display="Click here"/>
    <hyperlink ref="K249" r:id="rId245" display="Click here"/>
    <hyperlink ref="K250" r:id="rId246" display="Click here"/>
    <hyperlink ref="K251" r:id="rId247" display="Click here"/>
    <hyperlink ref="K252" r:id="rId248" display="Click here"/>
    <hyperlink ref="K253" r:id="rId249" display="Click here"/>
    <hyperlink ref="K254" r:id="rId250" display="Click here"/>
    <hyperlink ref="K255" r:id="rId251" display="Click here"/>
    <hyperlink ref="K256" r:id="rId252" display="Click here"/>
    <hyperlink ref="K257" r:id="rId253" display="Click here"/>
    <hyperlink ref="K258" r:id="rId254" display="Click here"/>
    <hyperlink ref="K259" r:id="rId255" display="Click here"/>
    <hyperlink ref="K260" r:id="rId256" display="Click here"/>
    <hyperlink ref="K261" r:id="rId257" display="Click here"/>
    <hyperlink ref="K262" r:id="rId258" display="Click here"/>
    <hyperlink ref="K263" r:id="rId259" display="Click here"/>
    <hyperlink ref="K264" r:id="rId260" display="Click here"/>
    <hyperlink ref="K265" r:id="rId261" display="Click here"/>
    <hyperlink ref="K266" r:id="rId262" display="Click here"/>
    <hyperlink ref="K267" r:id="rId263" display="Click here"/>
    <hyperlink ref="K268" r:id="rId264" display="Click here"/>
    <hyperlink ref="K269" r:id="rId265" display="Click here"/>
    <hyperlink ref="K270" r:id="rId266" display="Click here"/>
    <hyperlink ref="K271" r:id="rId267" display="Click here"/>
    <hyperlink ref="K272" r:id="rId268" display="Click here"/>
    <hyperlink ref="K273" r:id="rId269" display="Click here"/>
    <hyperlink ref="K274" r:id="rId270" display="Click here"/>
    <hyperlink ref="K275" r:id="rId271" display="Click here"/>
    <hyperlink ref="K276" r:id="rId272"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7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641</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23.85" hidden="false" customHeight="false" outlineLevel="0" collapsed="false">
      <c r="A5" s="13" t="n">
        <v>1</v>
      </c>
      <c r="B5" s="14" t="s">
        <v>642</v>
      </c>
      <c r="C5" s="14" t="s">
        <v>643</v>
      </c>
      <c r="D5" s="14" t="s">
        <v>644</v>
      </c>
      <c r="E5" s="13" t="s">
        <v>58</v>
      </c>
      <c r="F5" s="15" t="n">
        <v>1</v>
      </c>
      <c r="G5" s="13" t="s">
        <v>50</v>
      </c>
      <c r="H5" s="13" t="s">
        <v>59</v>
      </c>
      <c r="I5" s="16" t="n">
        <v>42000</v>
      </c>
      <c r="J5" s="17" t="n">
        <f aca="false">F5*I5</f>
        <v>42000</v>
      </c>
      <c r="K5" s="18" t="s">
        <v>52</v>
      </c>
    </row>
    <row r="6" customFormat="false" ht="23.85" hidden="false" customHeight="false" outlineLevel="0" collapsed="false">
      <c r="A6" s="13" t="n">
        <v>2</v>
      </c>
      <c r="B6" s="14" t="s">
        <v>642</v>
      </c>
      <c r="C6" s="14" t="s">
        <v>645</v>
      </c>
      <c r="D6" s="14" t="s">
        <v>646</v>
      </c>
      <c r="E6" s="13" t="s">
        <v>58</v>
      </c>
      <c r="F6" s="15" t="n">
        <v>1</v>
      </c>
      <c r="G6" s="13" t="s">
        <v>62</v>
      </c>
      <c r="H6" s="13" t="s">
        <v>88</v>
      </c>
      <c r="I6" s="16" t="n">
        <v>6000</v>
      </c>
      <c r="J6" s="17" t="n">
        <f aca="false">F6*I6</f>
        <v>6000</v>
      </c>
      <c r="K6" s="18" t="s">
        <v>52</v>
      </c>
    </row>
    <row r="7" customFormat="false" ht="23.85" hidden="false" customHeight="false" outlineLevel="0" collapsed="false">
      <c r="A7" s="13" t="n">
        <v>3</v>
      </c>
      <c r="B7" s="14" t="s">
        <v>642</v>
      </c>
      <c r="C7" s="14" t="s">
        <v>647</v>
      </c>
      <c r="D7" s="14" t="s">
        <v>648</v>
      </c>
      <c r="E7" s="13" t="s">
        <v>58</v>
      </c>
      <c r="F7" s="15" t="n">
        <v>1</v>
      </c>
      <c r="G7" s="13" t="s">
        <v>62</v>
      </c>
      <c r="H7" s="13" t="s">
        <v>649</v>
      </c>
      <c r="I7" s="16" t="n">
        <v>0</v>
      </c>
      <c r="J7" s="17" t="n">
        <f aca="false">F7*I7</f>
        <v>0</v>
      </c>
      <c r="K7" s="18" t="s">
        <v>52</v>
      </c>
    </row>
    <row r="8" customFormat="false" ht="23.85" hidden="false" customHeight="false" outlineLevel="0" collapsed="false">
      <c r="A8" s="13" t="n">
        <v>4</v>
      </c>
      <c r="B8" s="14" t="s">
        <v>642</v>
      </c>
      <c r="C8" s="14" t="s">
        <v>650</v>
      </c>
      <c r="D8" s="14" t="s">
        <v>651</v>
      </c>
      <c r="E8" s="13" t="s">
        <v>323</v>
      </c>
      <c r="F8" s="15" t="n">
        <v>6</v>
      </c>
      <c r="G8" s="13" t="s">
        <v>50</v>
      </c>
      <c r="H8" s="13" t="s">
        <v>51</v>
      </c>
      <c r="I8" s="16" t="n">
        <v>450</v>
      </c>
      <c r="J8" s="17" t="n">
        <f aca="false">F8*I8</f>
        <v>2700</v>
      </c>
      <c r="K8" s="18" t="s">
        <v>52</v>
      </c>
    </row>
    <row r="9" customFormat="false" ht="23.85" hidden="false" customHeight="false" outlineLevel="0" collapsed="false">
      <c r="A9" s="13" t="n">
        <v>5</v>
      </c>
      <c r="B9" s="14" t="s">
        <v>642</v>
      </c>
      <c r="C9" s="14" t="s">
        <v>652</v>
      </c>
      <c r="D9" s="14" t="s">
        <v>653</v>
      </c>
      <c r="E9" s="13" t="s">
        <v>75</v>
      </c>
      <c r="F9" s="15" t="n">
        <v>2</v>
      </c>
      <c r="G9" s="13" t="s">
        <v>50</v>
      </c>
      <c r="H9" s="13" t="s">
        <v>51</v>
      </c>
      <c r="I9" s="16" t="n">
        <v>600</v>
      </c>
      <c r="J9" s="17" t="n">
        <f aca="false">F9*I9</f>
        <v>1200</v>
      </c>
      <c r="K9" s="18" t="s">
        <v>52</v>
      </c>
    </row>
    <row r="10" customFormat="false" ht="23.85" hidden="false" customHeight="false" outlineLevel="0" collapsed="false">
      <c r="A10" s="13" t="n">
        <v>6</v>
      </c>
      <c r="B10" s="14" t="s">
        <v>642</v>
      </c>
      <c r="C10" s="14" t="s">
        <v>654</v>
      </c>
      <c r="D10" s="14" t="s">
        <v>655</v>
      </c>
      <c r="E10" s="13" t="s">
        <v>323</v>
      </c>
      <c r="F10" s="15" t="n">
        <v>6</v>
      </c>
      <c r="G10" s="13" t="s">
        <v>50</v>
      </c>
      <c r="H10" s="13" t="s">
        <v>59</v>
      </c>
      <c r="I10" s="16" t="n">
        <v>200</v>
      </c>
      <c r="J10" s="17" t="n">
        <f aca="false">F10*I10</f>
        <v>1200</v>
      </c>
      <c r="K10" s="18" t="s">
        <v>52</v>
      </c>
    </row>
    <row r="11" customFormat="false" ht="46.25" hidden="false" customHeight="false" outlineLevel="0" collapsed="false">
      <c r="A11" s="13" t="n">
        <v>7</v>
      </c>
      <c r="B11" s="14" t="s">
        <v>642</v>
      </c>
      <c r="C11" s="14" t="s">
        <v>656</v>
      </c>
      <c r="D11" s="14" t="s">
        <v>657</v>
      </c>
      <c r="E11" s="13" t="s">
        <v>323</v>
      </c>
      <c r="F11" s="15" t="n">
        <v>6</v>
      </c>
      <c r="G11" s="13" t="s">
        <v>76</v>
      </c>
      <c r="H11" s="13" t="s">
        <v>55</v>
      </c>
      <c r="I11" s="16" t="n">
        <v>250</v>
      </c>
      <c r="J11" s="17" t="n">
        <f aca="false">F11*I11</f>
        <v>1500</v>
      </c>
      <c r="K11" s="18" t="s">
        <v>52</v>
      </c>
    </row>
    <row r="12" customFormat="false" ht="23.85" hidden="false" customHeight="false" outlineLevel="0" collapsed="false">
      <c r="A12" s="13" t="n">
        <v>8</v>
      </c>
      <c r="B12" s="14" t="s">
        <v>642</v>
      </c>
      <c r="C12" s="14" t="s">
        <v>658</v>
      </c>
      <c r="D12" s="14" t="s">
        <v>659</v>
      </c>
      <c r="E12" s="13" t="s">
        <v>323</v>
      </c>
      <c r="F12" s="15" t="n">
        <v>6</v>
      </c>
      <c r="G12" s="13" t="s">
        <v>76</v>
      </c>
      <c r="H12" s="13" t="s">
        <v>55</v>
      </c>
      <c r="I12" s="16" t="n">
        <v>300</v>
      </c>
      <c r="J12" s="17" t="n">
        <f aca="false">F12*I12</f>
        <v>1800</v>
      </c>
      <c r="K12" s="18" t="s">
        <v>52</v>
      </c>
    </row>
    <row r="13" customFormat="false" ht="23.85" hidden="false" customHeight="false" outlineLevel="0" collapsed="false">
      <c r="A13" s="13" t="n">
        <v>9</v>
      </c>
      <c r="B13" s="14" t="s">
        <v>642</v>
      </c>
      <c r="C13" s="14" t="s">
        <v>660</v>
      </c>
      <c r="D13" s="14" t="s">
        <v>661</v>
      </c>
      <c r="E13" s="13" t="s">
        <v>662</v>
      </c>
      <c r="F13" s="15" t="n">
        <v>20</v>
      </c>
      <c r="G13" s="13" t="s">
        <v>50</v>
      </c>
      <c r="H13" s="13" t="s">
        <v>59</v>
      </c>
      <c r="I13" s="16" t="n">
        <v>60</v>
      </c>
      <c r="J13" s="17" t="n">
        <f aca="false">F13*I13</f>
        <v>1200</v>
      </c>
      <c r="K13" s="18" t="s">
        <v>52</v>
      </c>
    </row>
    <row r="14" customFormat="false" ht="23.85" hidden="false" customHeight="false" outlineLevel="0" collapsed="false">
      <c r="A14" s="13" t="n">
        <v>10</v>
      </c>
      <c r="B14" s="14" t="s">
        <v>642</v>
      </c>
      <c r="C14" s="14" t="s">
        <v>663</v>
      </c>
      <c r="D14" s="14" t="s">
        <v>664</v>
      </c>
      <c r="E14" s="13" t="s">
        <v>97</v>
      </c>
      <c r="F14" s="15" t="n">
        <v>10</v>
      </c>
      <c r="G14" s="13" t="s">
        <v>50</v>
      </c>
      <c r="H14" s="13" t="s">
        <v>59</v>
      </c>
      <c r="I14" s="16" t="n">
        <v>30</v>
      </c>
      <c r="J14" s="17" t="n">
        <f aca="false">F14*I14</f>
        <v>300</v>
      </c>
      <c r="K14" s="18" t="s">
        <v>52</v>
      </c>
    </row>
    <row r="15" customFormat="false" ht="23.85" hidden="false" customHeight="false" outlineLevel="0" collapsed="false">
      <c r="A15" s="13" t="n">
        <v>11</v>
      </c>
      <c r="B15" s="14" t="s">
        <v>642</v>
      </c>
      <c r="C15" s="14" t="s">
        <v>665</v>
      </c>
      <c r="D15" s="14" t="s">
        <v>666</v>
      </c>
      <c r="E15" s="13" t="s">
        <v>667</v>
      </c>
      <c r="F15" s="15" t="n">
        <v>80</v>
      </c>
      <c r="G15" s="13" t="s">
        <v>76</v>
      </c>
      <c r="H15" s="13" t="s">
        <v>59</v>
      </c>
      <c r="I15" s="16" t="n">
        <v>5</v>
      </c>
      <c r="J15" s="17" t="n">
        <f aca="false">F15*I15</f>
        <v>400</v>
      </c>
      <c r="K15" s="18" t="s">
        <v>52</v>
      </c>
    </row>
    <row r="16" customFormat="false" ht="23.85" hidden="false" customHeight="false" outlineLevel="0" collapsed="false">
      <c r="A16" s="13" t="n">
        <v>12</v>
      </c>
      <c r="B16" s="14" t="s">
        <v>642</v>
      </c>
      <c r="C16" s="14" t="s">
        <v>665</v>
      </c>
      <c r="D16" s="14" t="s">
        <v>668</v>
      </c>
      <c r="E16" s="13" t="s">
        <v>667</v>
      </c>
      <c r="F16" s="15" t="n">
        <v>80</v>
      </c>
      <c r="G16" s="13" t="s">
        <v>76</v>
      </c>
      <c r="H16" s="13" t="s">
        <v>59</v>
      </c>
      <c r="I16" s="16" t="n">
        <v>5</v>
      </c>
      <c r="J16" s="17" t="n">
        <f aca="false">F16*I16</f>
        <v>400</v>
      </c>
      <c r="K16" s="18" t="s">
        <v>52</v>
      </c>
    </row>
    <row r="17" customFormat="false" ht="23.85" hidden="false" customHeight="false" outlineLevel="0" collapsed="false">
      <c r="A17" s="13" t="n">
        <v>13</v>
      </c>
      <c r="B17" s="14" t="s">
        <v>642</v>
      </c>
      <c r="C17" s="14" t="s">
        <v>665</v>
      </c>
      <c r="D17" s="14" t="s">
        <v>669</v>
      </c>
      <c r="E17" s="13" t="s">
        <v>667</v>
      </c>
      <c r="F17" s="15" t="n">
        <v>80</v>
      </c>
      <c r="G17" s="13" t="s">
        <v>76</v>
      </c>
      <c r="H17" s="13" t="s">
        <v>59</v>
      </c>
      <c r="I17" s="16" t="n">
        <v>5</v>
      </c>
      <c r="J17" s="17" t="n">
        <f aca="false">F17*I17</f>
        <v>400</v>
      </c>
      <c r="K17" s="18" t="s">
        <v>52</v>
      </c>
    </row>
    <row r="18" customFormat="false" ht="23.85" hidden="false" customHeight="false" outlineLevel="0" collapsed="false">
      <c r="A18" s="13" t="n">
        <v>14</v>
      </c>
      <c r="B18" s="14" t="s">
        <v>642</v>
      </c>
      <c r="C18" s="14" t="s">
        <v>670</v>
      </c>
      <c r="D18" s="14" t="s">
        <v>671</v>
      </c>
      <c r="E18" s="13" t="s">
        <v>667</v>
      </c>
      <c r="F18" s="15" t="n">
        <v>80</v>
      </c>
      <c r="G18" s="13" t="s">
        <v>76</v>
      </c>
      <c r="H18" s="13" t="s">
        <v>59</v>
      </c>
      <c r="I18" s="16" t="n">
        <v>5</v>
      </c>
      <c r="J18" s="17" t="n">
        <f aca="false">F18*I18</f>
        <v>400</v>
      </c>
      <c r="K18" s="18" t="s">
        <v>52</v>
      </c>
    </row>
    <row r="19" customFormat="false" ht="23.85" hidden="false" customHeight="false" outlineLevel="0" collapsed="false">
      <c r="A19" s="13" t="n">
        <v>15</v>
      </c>
      <c r="B19" s="14" t="s">
        <v>642</v>
      </c>
      <c r="C19" s="14" t="s">
        <v>672</v>
      </c>
      <c r="D19" s="14" t="s">
        <v>671</v>
      </c>
      <c r="E19" s="13" t="s">
        <v>667</v>
      </c>
      <c r="F19" s="15" t="n">
        <v>80</v>
      </c>
      <c r="G19" s="13" t="s">
        <v>76</v>
      </c>
      <c r="H19" s="13" t="s">
        <v>59</v>
      </c>
      <c r="I19" s="16" t="n">
        <v>3</v>
      </c>
      <c r="J19" s="17" t="n">
        <f aca="false">F19*I19</f>
        <v>240</v>
      </c>
      <c r="K19" s="18" t="s">
        <v>52</v>
      </c>
    </row>
    <row r="20" customFormat="false" ht="23.85" hidden="false" customHeight="false" outlineLevel="0" collapsed="false">
      <c r="A20" s="13" t="n">
        <v>16</v>
      </c>
      <c r="B20" s="14" t="s">
        <v>642</v>
      </c>
      <c r="C20" s="14" t="s">
        <v>673</v>
      </c>
      <c r="D20" s="14" t="s">
        <v>674</v>
      </c>
      <c r="E20" s="13" t="s">
        <v>97</v>
      </c>
      <c r="F20" s="15" t="n">
        <v>10</v>
      </c>
      <c r="G20" s="13" t="s">
        <v>50</v>
      </c>
      <c r="H20" s="13" t="s">
        <v>59</v>
      </c>
      <c r="I20" s="16" t="n">
        <v>30</v>
      </c>
      <c r="J20" s="17" t="n">
        <f aca="false">F20*I20</f>
        <v>300</v>
      </c>
      <c r="K20" s="18" t="s">
        <v>52</v>
      </c>
    </row>
    <row r="21" customFormat="false" ht="23.85" hidden="false" customHeight="false" outlineLevel="0" collapsed="false">
      <c r="A21" s="13" t="n">
        <v>17</v>
      </c>
      <c r="B21" s="14" t="s">
        <v>642</v>
      </c>
      <c r="C21" s="14" t="s">
        <v>675</v>
      </c>
      <c r="D21" s="14" t="s">
        <v>676</v>
      </c>
      <c r="E21" s="13" t="s">
        <v>75</v>
      </c>
      <c r="F21" s="15" t="n">
        <v>2</v>
      </c>
      <c r="G21" s="13" t="s">
        <v>50</v>
      </c>
      <c r="H21" s="13" t="s">
        <v>59</v>
      </c>
      <c r="I21" s="16" t="n">
        <v>450</v>
      </c>
      <c r="J21" s="17" t="n">
        <f aca="false">F21*I21</f>
        <v>900</v>
      </c>
      <c r="K21" s="18" t="s">
        <v>52</v>
      </c>
    </row>
    <row r="22" customFormat="false" ht="23.85" hidden="false" customHeight="false" outlineLevel="0" collapsed="false">
      <c r="A22" s="13" t="n">
        <v>18</v>
      </c>
      <c r="B22" s="14" t="s">
        <v>642</v>
      </c>
      <c r="C22" s="14" t="s">
        <v>677</v>
      </c>
      <c r="D22" s="14" t="s">
        <v>678</v>
      </c>
      <c r="E22" s="13" t="s">
        <v>323</v>
      </c>
      <c r="F22" s="15" t="n">
        <v>6</v>
      </c>
      <c r="G22" s="13" t="s">
        <v>50</v>
      </c>
      <c r="H22" s="13" t="s">
        <v>51</v>
      </c>
      <c r="I22" s="16" t="n">
        <v>850</v>
      </c>
      <c r="J22" s="17" t="n">
        <f aca="false">F22*I22</f>
        <v>5100</v>
      </c>
      <c r="K22" s="18" t="s">
        <v>52</v>
      </c>
    </row>
    <row r="23" customFormat="false" ht="23.85" hidden="false" customHeight="false" outlineLevel="0" collapsed="false">
      <c r="A23" s="13" t="n">
        <v>19</v>
      </c>
      <c r="B23" s="14" t="s">
        <v>642</v>
      </c>
      <c r="C23" s="14" t="s">
        <v>679</v>
      </c>
      <c r="D23" s="14" t="s">
        <v>680</v>
      </c>
      <c r="E23" s="13" t="s">
        <v>140</v>
      </c>
      <c r="F23" s="15" t="n">
        <v>12</v>
      </c>
      <c r="G23" s="13" t="s">
        <v>76</v>
      </c>
      <c r="H23" s="13" t="s">
        <v>59</v>
      </c>
      <c r="I23" s="16" t="n">
        <v>10</v>
      </c>
      <c r="J23" s="17" t="n">
        <f aca="false">F23*I23</f>
        <v>120</v>
      </c>
      <c r="K23" s="18" t="s">
        <v>52</v>
      </c>
    </row>
    <row r="24" customFormat="false" ht="23.85" hidden="false" customHeight="false" outlineLevel="0" collapsed="false">
      <c r="A24" s="13" t="n">
        <v>20</v>
      </c>
      <c r="B24" s="14" t="s">
        <v>642</v>
      </c>
      <c r="C24" s="14" t="s">
        <v>681</v>
      </c>
      <c r="D24" s="14" t="s">
        <v>682</v>
      </c>
      <c r="E24" s="13" t="s">
        <v>683</v>
      </c>
      <c r="F24" s="15" t="n">
        <v>40</v>
      </c>
      <c r="G24" s="13" t="s">
        <v>76</v>
      </c>
      <c r="H24" s="13" t="s">
        <v>59</v>
      </c>
      <c r="I24" s="16" t="n">
        <v>30</v>
      </c>
      <c r="J24" s="17" t="n">
        <f aca="false">F24*I24</f>
        <v>1200</v>
      </c>
      <c r="K24" s="18" t="s">
        <v>52</v>
      </c>
    </row>
    <row r="25" customFormat="false" ht="23.85" hidden="false" customHeight="false" outlineLevel="0" collapsed="false">
      <c r="A25" s="13" t="n">
        <v>21</v>
      </c>
      <c r="B25" s="14" t="s">
        <v>642</v>
      </c>
      <c r="C25" s="14" t="s">
        <v>684</v>
      </c>
      <c r="D25" s="14" t="s">
        <v>685</v>
      </c>
      <c r="E25" s="13" t="s">
        <v>75</v>
      </c>
      <c r="F25" s="15" t="n">
        <v>2</v>
      </c>
      <c r="G25" s="13" t="s">
        <v>76</v>
      </c>
      <c r="H25" s="13" t="s">
        <v>59</v>
      </c>
      <c r="I25" s="16" t="n">
        <v>400</v>
      </c>
      <c r="J25" s="17" t="n">
        <f aca="false">F25*I25</f>
        <v>800</v>
      </c>
      <c r="K25" s="18" t="s">
        <v>52</v>
      </c>
    </row>
    <row r="26" customFormat="false" ht="23.85" hidden="false" customHeight="false" outlineLevel="0" collapsed="false">
      <c r="A26" s="13" t="n">
        <v>22</v>
      </c>
      <c r="B26" s="14" t="s">
        <v>642</v>
      </c>
      <c r="C26" s="14" t="s">
        <v>686</v>
      </c>
      <c r="D26" s="14" t="s">
        <v>687</v>
      </c>
      <c r="E26" s="13" t="s">
        <v>75</v>
      </c>
      <c r="F26" s="15" t="n">
        <v>2</v>
      </c>
      <c r="G26" s="13" t="s">
        <v>76</v>
      </c>
      <c r="H26" s="13" t="s">
        <v>72</v>
      </c>
      <c r="I26" s="16" t="n">
        <v>900</v>
      </c>
      <c r="J26" s="17" t="n">
        <f aca="false">F26*I26</f>
        <v>1800</v>
      </c>
      <c r="K26" s="18" t="s">
        <v>52</v>
      </c>
    </row>
    <row r="27" customFormat="false" ht="23.85" hidden="false" customHeight="false" outlineLevel="0" collapsed="false">
      <c r="A27" s="13" t="n">
        <v>23</v>
      </c>
      <c r="B27" s="14" t="s">
        <v>642</v>
      </c>
      <c r="C27" s="14" t="s">
        <v>688</v>
      </c>
      <c r="D27" s="14" t="s">
        <v>689</v>
      </c>
      <c r="E27" s="13" t="s">
        <v>323</v>
      </c>
      <c r="F27" s="15" t="n">
        <v>6</v>
      </c>
      <c r="G27" s="13" t="s">
        <v>50</v>
      </c>
      <c r="H27" s="13" t="s">
        <v>59</v>
      </c>
      <c r="I27" s="16" t="n">
        <v>20</v>
      </c>
      <c r="J27" s="17" t="n">
        <f aca="false">F27*I27</f>
        <v>120</v>
      </c>
      <c r="K27" s="18" t="s">
        <v>52</v>
      </c>
    </row>
    <row r="28" customFormat="false" ht="23.85" hidden="false" customHeight="false" outlineLevel="0" collapsed="false">
      <c r="A28" s="13" t="n">
        <v>24</v>
      </c>
      <c r="B28" s="14" t="s">
        <v>642</v>
      </c>
      <c r="C28" s="14" t="s">
        <v>690</v>
      </c>
      <c r="D28" s="14" t="s">
        <v>691</v>
      </c>
      <c r="E28" s="13" t="s">
        <v>323</v>
      </c>
      <c r="F28" s="15" t="n">
        <v>6</v>
      </c>
      <c r="G28" s="13" t="s">
        <v>50</v>
      </c>
      <c r="H28" s="13" t="s">
        <v>59</v>
      </c>
      <c r="I28" s="16" t="n">
        <v>90</v>
      </c>
      <c r="J28" s="17" t="n">
        <f aca="false">F28*I28</f>
        <v>540</v>
      </c>
      <c r="K28" s="18" t="s">
        <v>52</v>
      </c>
    </row>
    <row r="29" customFormat="false" ht="23.85" hidden="false" customHeight="false" outlineLevel="0" collapsed="false">
      <c r="A29" s="13" t="n">
        <v>25</v>
      </c>
      <c r="B29" s="14" t="s">
        <v>642</v>
      </c>
      <c r="C29" s="14" t="s">
        <v>692</v>
      </c>
      <c r="D29" s="14" t="s">
        <v>693</v>
      </c>
      <c r="E29" s="13" t="s">
        <v>323</v>
      </c>
      <c r="F29" s="15" t="n">
        <v>6</v>
      </c>
      <c r="G29" s="13" t="s">
        <v>50</v>
      </c>
      <c r="H29" s="13" t="s">
        <v>59</v>
      </c>
      <c r="I29" s="16" t="n">
        <v>250</v>
      </c>
      <c r="J29" s="17" t="n">
        <f aca="false">F29*I29</f>
        <v>1500</v>
      </c>
      <c r="K29" s="18" t="s">
        <v>52</v>
      </c>
    </row>
    <row r="30" customFormat="false" ht="46.25" hidden="false" customHeight="false" outlineLevel="0" collapsed="false">
      <c r="A30" s="13" t="n">
        <v>26</v>
      </c>
      <c r="B30" s="14" t="s">
        <v>642</v>
      </c>
      <c r="C30" s="14" t="s">
        <v>694</v>
      </c>
      <c r="D30" s="14" t="s">
        <v>695</v>
      </c>
      <c r="E30" s="13" t="s">
        <v>323</v>
      </c>
      <c r="F30" s="15" t="n">
        <v>6</v>
      </c>
      <c r="G30" s="13" t="s">
        <v>50</v>
      </c>
      <c r="H30" s="13" t="s">
        <v>59</v>
      </c>
      <c r="I30" s="16" t="n">
        <v>60</v>
      </c>
      <c r="J30" s="17" t="n">
        <f aca="false">F30*I30</f>
        <v>360</v>
      </c>
      <c r="K30" s="18" t="s">
        <v>52</v>
      </c>
    </row>
    <row r="31" customFormat="false" ht="35.05" hidden="false" customHeight="false" outlineLevel="0" collapsed="false">
      <c r="A31" s="13" t="n">
        <v>27</v>
      </c>
      <c r="B31" s="14" t="s">
        <v>642</v>
      </c>
      <c r="C31" s="14" t="s">
        <v>696</v>
      </c>
      <c r="D31" s="14" t="s">
        <v>697</v>
      </c>
      <c r="E31" s="13" t="s">
        <v>323</v>
      </c>
      <c r="F31" s="15" t="n">
        <v>6</v>
      </c>
      <c r="G31" s="13" t="s">
        <v>50</v>
      </c>
      <c r="H31" s="13" t="s">
        <v>59</v>
      </c>
      <c r="I31" s="16" t="n">
        <v>120</v>
      </c>
      <c r="J31" s="17" t="n">
        <f aca="false">F31*I31</f>
        <v>720</v>
      </c>
      <c r="K31" s="18" t="s">
        <v>52</v>
      </c>
    </row>
    <row r="32" customFormat="false" ht="23.85" hidden="false" customHeight="false" outlineLevel="0" collapsed="false">
      <c r="A32" s="13" t="n">
        <v>28</v>
      </c>
      <c r="B32" s="14" t="s">
        <v>642</v>
      </c>
      <c r="C32" s="14" t="s">
        <v>698</v>
      </c>
      <c r="D32" s="14" t="s">
        <v>699</v>
      </c>
      <c r="E32" s="13" t="s">
        <v>323</v>
      </c>
      <c r="F32" s="15" t="n">
        <v>6</v>
      </c>
      <c r="G32" s="13" t="s">
        <v>50</v>
      </c>
      <c r="H32" s="13" t="s">
        <v>59</v>
      </c>
      <c r="I32" s="16" t="n">
        <v>200</v>
      </c>
      <c r="J32" s="17" t="n">
        <f aca="false">F32*I32</f>
        <v>1200</v>
      </c>
      <c r="K32" s="18" t="s">
        <v>52</v>
      </c>
    </row>
    <row r="33" customFormat="false" ht="23.85" hidden="false" customHeight="false" outlineLevel="0" collapsed="false">
      <c r="A33" s="13" t="n">
        <v>29</v>
      </c>
      <c r="B33" s="14" t="s">
        <v>642</v>
      </c>
      <c r="C33" s="14" t="s">
        <v>700</v>
      </c>
      <c r="D33" s="14" t="s">
        <v>701</v>
      </c>
      <c r="E33" s="13" t="s">
        <v>323</v>
      </c>
      <c r="F33" s="15" t="n">
        <v>6</v>
      </c>
      <c r="G33" s="13" t="s">
        <v>50</v>
      </c>
      <c r="H33" s="13" t="s">
        <v>59</v>
      </c>
      <c r="I33" s="16" t="n">
        <v>90</v>
      </c>
      <c r="J33" s="17" t="n">
        <f aca="false">F33*I33</f>
        <v>540</v>
      </c>
      <c r="K33" s="18" t="s">
        <v>52</v>
      </c>
    </row>
    <row r="34" customFormat="false" ht="23.85" hidden="false" customHeight="false" outlineLevel="0" collapsed="false">
      <c r="A34" s="13" t="n">
        <v>30</v>
      </c>
      <c r="B34" s="14" t="s">
        <v>642</v>
      </c>
      <c r="C34" s="14" t="s">
        <v>702</v>
      </c>
      <c r="D34" s="14" t="s">
        <v>703</v>
      </c>
      <c r="E34" s="13" t="s">
        <v>323</v>
      </c>
      <c r="F34" s="15" t="n">
        <v>6</v>
      </c>
      <c r="G34" s="13" t="s">
        <v>50</v>
      </c>
      <c r="H34" s="13" t="s">
        <v>59</v>
      </c>
      <c r="I34" s="16" t="n">
        <v>90</v>
      </c>
      <c r="J34" s="17" t="n">
        <f aca="false">F34*I34</f>
        <v>540</v>
      </c>
      <c r="K34" s="18" t="s">
        <v>52</v>
      </c>
    </row>
    <row r="35" customFormat="false" ht="23.85" hidden="false" customHeight="false" outlineLevel="0" collapsed="false">
      <c r="A35" s="13" t="n">
        <v>31</v>
      </c>
      <c r="B35" s="14" t="s">
        <v>642</v>
      </c>
      <c r="C35" s="14" t="s">
        <v>704</v>
      </c>
      <c r="D35" s="14" t="s">
        <v>705</v>
      </c>
      <c r="E35" s="13" t="s">
        <v>323</v>
      </c>
      <c r="F35" s="15" t="n">
        <v>6</v>
      </c>
      <c r="G35" s="13" t="s">
        <v>50</v>
      </c>
      <c r="H35" s="13" t="s">
        <v>59</v>
      </c>
      <c r="I35" s="16" t="n">
        <v>90</v>
      </c>
      <c r="J35" s="17" t="n">
        <f aca="false">F35*I35</f>
        <v>540</v>
      </c>
      <c r="K35" s="18" t="s">
        <v>52</v>
      </c>
    </row>
    <row r="36" customFormat="false" ht="35.05" hidden="false" customHeight="false" outlineLevel="0" collapsed="false">
      <c r="A36" s="13" t="n">
        <v>32</v>
      </c>
      <c r="B36" s="14" t="s">
        <v>642</v>
      </c>
      <c r="C36" s="14" t="s">
        <v>706</v>
      </c>
      <c r="D36" s="14" t="s">
        <v>707</v>
      </c>
      <c r="E36" s="13" t="s">
        <v>323</v>
      </c>
      <c r="F36" s="15" t="n">
        <v>6</v>
      </c>
      <c r="G36" s="13" t="s">
        <v>50</v>
      </c>
      <c r="H36" s="13" t="s">
        <v>59</v>
      </c>
      <c r="I36" s="16" t="n">
        <v>80</v>
      </c>
      <c r="J36" s="17" t="n">
        <f aca="false">F36*I36</f>
        <v>480</v>
      </c>
      <c r="K36" s="18" t="s">
        <v>52</v>
      </c>
    </row>
    <row r="37" customFormat="false" ht="23.85" hidden="false" customHeight="false" outlineLevel="0" collapsed="false">
      <c r="A37" s="13" t="n">
        <v>33</v>
      </c>
      <c r="B37" s="14" t="s">
        <v>642</v>
      </c>
      <c r="C37" s="14" t="s">
        <v>708</v>
      </c>
      <c r="D37" s="14" t="s">
        <v>709</v>
      </c>
      <c r="E37" s="13" t="s">
        <v>323</v>
      </c>
      <c r="F37" s="15" t="n">
        <v>6</v>
      </c>
      <c r="G37" s="13" t="s">
        <v>50</v>
      </c>
      <c r="H37" s="13" t="s">
        <v>59</v>
      </c>
      <c r="I37" s="16" t="n">
        <v>90</v>
      </c>
      <c r="J37" s="17" t="n">
        <f aca="false">F37*I37</f>
        <v>540</v>
      </c>
      <c r="K37" s="18" t="s">
        <v>52</v>
      </c>
    </row>
    <row r="38" customFormat="false" ht="23.85" hidden="false" customHeight="false" outlineLevel="0" collapsed="false">
      <c r="A38" s="13" t="n">
        <v>34</v>
      </c>
      <c r="B38" s="14" t="s">
        <v>642</v>
      </c>
      <c r="C38" s="14" t="s">
        <v>710</v>
      </c>
      <c r="D38" s="14" t="s">
        <v>711</v>
      </c>
      <c r="E38" s="13" t="s">
        <v>323</v>
      </c>
      <c r="F38" s="15" t="n">
        <v>6</v>
      </c>
      <c r="G38" s="13" t="s">
        <v>50</v>
      </c>
      <c r="H38" s="13" t="s">
        <v>59</v>
      </c>
      <c r="I38" s="16" t="n">
        <v>150</v>
      </c>
      <c r="J38" s="17" t="n">
        <f aca="false">F38*I38</f>
        <v>900</v>
      </c>
      <c r="K38" s="18" t="s">
        <v>52</v>
      </c>
    </row>
    <row r="39" customFormat="false" ht="46.25" hidden="false" customHeight="false" outlineLevel="0" collapsed="false">
      <c r="A39" s="13" t="n">
        <v>35</v>
      </c>
      <c r="B39" s="14" t="s">
        <v>642</v>
      </c>
      <c r="C39" s="14" t="s">
        <v>712</v>
      </c>
      <c r="D39" s="14" t="s">
        <v>713</v>
      </c>
      <c r="E39" s="13" t="s">
        <v>323</v>
      </c>
      <c r="F39" s="15" t="n">
        <v>6</v>
      </c>
      <c r="G39" s="13" t="s">
        <v>50</v>
      </c>
      <c r="H39" s="13" t="s">
        <v>59</v>
      </c>
      <c r="I39" s="16" t="n">
        <v>750</v>
      </c>
      <c r="J39" s="17" t="n">
        <f aca="false">F39*I39</f>
        <v>4500</v>
      </c>
      <c r="K39" s="18" t="s">
        <v>52</v>
      </c>
    </row>
    <row r="40" customFormat="false" ht="23.85" hidden="false" customHeight="false" outlineLevel="0" collapsed="false">
      <c r="A40" s="13" t="n">
        <v>36</v>
      </c>
      <c r="B40" s="14" t="s">
        <v>642</v>
      </c>
      <c r="C40" s="14" t="s">
        <v>714</v>
      </c>
      <c r="D40" s="14" t="s">
        <v>715</v>
      </c>
      <c r="E40" s="13" t="s">
        <v>716</v>
      </c>
      <c r="F40" s="15" t="n">
        <v>1</v>
      </c>
      <c r="G40" s="13" t="s">
        <v>62</v>
      </c>
      <c r="H40" s="13" t="s">
        <v>649</v>
      </c>
      <c r="I40" s="16" t="n">
        <v>0</v>
      </c>
      <c r="J40" s="17" t="n">
        <f aca="false">F40*I40</f>
        <v>0</v>
      </c>
      <c r="K40" s="18" t="s">
        <v>52</v>
      </c>
    </row>
    <row r="41" customFormat="false" ht="23.85" hidden="false" customHeight="false" outlineLevel="0" collapsed="false">
      <c r="A41" s="13" t="n">
        <v>37</v>
      </c>
      <c r="B41" s="14" t="s">
        <v>642</v>
      </c>
      <c r="C41" s="14" t="s">
        <v>717</v>
      </c>
      <c r="D41" s="14" t="s">
        <v>718</v>
      </c>
      <c r="E41" s="13" t="s">
        <v>719</v>
      </c>
      <c r="F41" s="15" t="n">
        <v>1</v>
      </c>
      <c r="G41" s="13" t="s">
        <v>62</v>
      </c>
      <c r="H41" s="13" t="s">
        <v>649</v>
      </c>
      <c r="I41" s="16" t="n">
        <v>0</v>
      </c>
      <c r="J41" s="17" t="n">
        <f aca="false">F41*I41</f>
        <v>0</v>
      </c>
      <c r="K41" s="18" t="s">
        <v>52</v>
      </c>
    </row>
    <row r="42" customFormat="false" ht="23.85" hidden="false" customHeight="false" outlineLevel="0" collapsed="false">
      <c r="A42" s="13" t="n">
        <v>38</v>
      </c>
      <c r="B42" s="14" t="s">
        <v>642</v>
      </c>
      <c r="C42" s="14" t="s">
        <v>720</v>
      </c>
      <c r="D42" s="14" t="s">
        <v>721</v>
      </c>
      <c r="E42" s="13" t="s">
        <v>323</v>
      </c>
      <c r="F42" s="15" t="n">
        <v>6</v>
      </c>
      <c r="G42" s="13" t="s">
        <v>50</v>
      </c>
      <c r="H42" s="13" t="s">
        <v>59</v>
      </c>
      <c r="I42" s="16" t="n">
        <v>200</v>
      </c>
      <c r="J42" s="17" t="n">
        <f aca="false">F42*I42</f>
        <v>1200</v>
      </c>
      <c r="K42" s="18" t="s">
        <v>52</v>
      </c>
    </row>
    <row r="43" customFormat="false" ht="23.85" hidden="false" customHeight="false" outlineLevel="0" collapsed="false">
      <c r="A43" s="13" t="n">
        <v>39</v>
      </c>
      <c r="B43" s="14" t="s">
        <v>642</v>
      </c>
      <c r="C43" s="14" t="s">
        <v>722</v>
      </c>
      <c r="D43" s="14" t="s">
        <v>723</v>
      </c>
      <c r="E43" s="13" t="s">
        <v>323</v>
      </c>
      <c r="F43" s="15" t="n">
        <v>6</v>
      </c>
      <c r="G43" s="13" t="s">
        <v>50</v>
      </c>
      <c r="H43" s="13" t="s">
        <v>59</v>
      </c>
      <c r="I43" s="16" t="n">
        <v>250</v>
      </c>
      <c r="J43" s="17" t="n">
        <f aca="false">F43*I43</f>
        <v>1500</v>
      </c>
      <c r="K43" s="18" t="s">
        <v>52</v>
      </c>
    </row>
    <row r="44" customFormat="false" ht="23.85" hidden="false" customHeight="false" outlineLevel="0" collapsed="false">
      <c r="A44" s="13" t="n">
        <v>40</v>
      </c>
      <c r="B44" s="14" t="s">
        <v>642</v>
      </c>
      <c r="C44" s="14" t="s">
        <v>393</v>
      </c>
      <c r="D44" s="14" t="s">
        <v>724</v>
      </c>
      <c r="E44" s="13" t="s">
        <v>323</v>
      </c>
      <c r="F44" s="15" t="n">
        <v>6</v>
      </c>
      <c r="G44" s="13" t="s">
        <v>50</v>
      </c>
      <c r="H44" s="13" t="s">
        <v>59</v>
      </c>
      <c r="I44" s="16" t="n">
        <v>150</v>
      </c>
      <c r="J44" s="17" t="n">
        <f aca="false">F44*I44</f>
        <v>900</v>
      </c>
      <c r="K44" s="18" t="s">
        <v>52</v>
      </c>
    </row>
    <row r="45" customFormat="false" ht="23.85" hidden="false" customHeight="false" outlineLevel="0" collapsed="false">
      <c r="A45" s="13" t="n">
        <v>41</v>
      </c>
      <c r="B45" s="14" t="s">
        <v>642</v>
      </c>
      <c r="C45" s="14" t="s">
        <v>393</v>
      </c>
      <c r="D45" s="14" t="s">
        <v>725</v>
      </c>
      <c r="E45" s="13" t="s">
        <v>323</v>
      </c>
      <c r="F45" s="15" t="n">
        <v>6</v>
      </c>
      <c r="G45" s="13" t="s">
        <v>50</v>
      </c>
      <c r="H45" s="13" t="s">
        <v>59</v>
      </c>
      <c r="I45" s="16" t="n">
        <v>150</v>
      </c>
      <c r="J45" s="17" t="n">
        <f aca="false">F45*I45</f>
        <v>900</v>
      </c>
      <c r="K45" s="18" t="s">
        <v>52</v>
      </c>
    </row>
    <row r="46" customFormat="false" ht="23.85" hidden="false" customHeight="false" outlineLevel="0" collapsed="false">
      <c r="A46" s="13" t="n">
        <v>42</v>
      </c>
      <c r="B46" s="14" t="s">
        <v>642</v>
      </c>
      <c r="C46" s="14" t="s">
        <v>726</v>
      </c>
      <c r="D46" s="14" t="s">
        <v>727</v>
      </c>
      <c r="E46" s="13" t="s">
        <v>323</v>
      </c>
      <c r="F46" s="15" t="n">
        <v>6</v>
      </c>
      <c r="G46" s="13" t="s">
        <v>50</v>
      </c>
      <c r="H46" s="13" t="s">
        <v>59</v>
      </c>
      <c r="I46" s="16" t="n">
        <v>250</v>
      </c>
      <c r="J46" s="17" t="n">
        <f aca="false">F46*I46</f>
        <v>1500</v>
      </c>
      <c r="K46" s="18" t="s">
        <v>52</v>
      </c>
    </row>
    <row r="47" customFormat="false" ht="23.85" hidden="false" customHeight="false" outlineLevel="0" collapsed="false">
      <c r="A47" s="13" t="n">
        <v>43</v>
      </c>
      <c r="B47" s="14" t="s">
        <v>642</v>
      </c>
      <c r="C47" s="14" t="s">
        <v>728</v>
      </c>
      <c r="D47" s="14" t="s">
        <v>729</v>
      </c>
      <c r="E47" s="13" t="s">
        <v>323</v>
      </c>
      <c r="F47" s="15" t="n">
        <v>6</v>
      </c>
      <c r="G47" s="13" t="s">
        <v>50</v>
      </c>
      <c r="H47" s="13" t="s">
        <v>59</v>
      </c>
      <c r="I47" s="16" t="n">
        <v>300</v>
      </c>
      <c r="J47" s="17" t="n">
        <f aca="false">F47*I47</f>
        <v>1800</v>
      </c>
      <c r="K47" s="18" t="s">
        <v>52</v>
      </c>
    </row>
    <row r="48" customFormat="false" ht="23.85" hidden="false" customHeight="false" outlineLevel="0" collapsed="false">
      <c r="A48" s="13" t="n">
        <v>44</v>
      </c>
      <c r="B48" s="14" t="s">
        <v>642</v>
      </c>
      <c r="C48" s="14" t="s">
        <v>730</v>
      </c>
      <c r="D48" s="14" t="s">
        <v>731</v>
      </c>
      <c r="E48" s="13" t="s">
        <v>323</v>
      </c>
      <c r="F48" s="15" t="n">
        <v>6</v>
      </c>
      <c r="G48" s="13" t="s">
        <v>50</v>
      </c>
      <c r="H48" s="13" t="s">
        <v>59</v>
      </c>
      <c r="I48" s="16" t="n">
        <v>450</v>
      </c>
      <c r="J48" s="17" t="n">
        <f aca="false">F48*I48</f>
        <v>2700</v>
      </c>
      <c r="K48" s="18" t="s">
        <v>52</v>
      </c>
    </row>
    <row r="49" customFormat="false" ht="23.85" hidden="false" customHeight="false" outlineLevel="0" collapsed="false">
      <c r="A49" s="13" t="n">
        <v>45</v>
      </c>
      <c r="B49" s="14" t="s">
        <v>642</v>
      </c>
      <c r="C49" s="14" t="s">
        <v>732</v>
      </c>
      <c r="D49" s="14" t="s">
        <v>733</v>
      </c>
      <c r="E49" s="13" t="s">
        <v>323</v>
      </c>
      <c r="F49" s="15" t="n">
        <v>6</v>
      </c>
      <c r="G49" s="13" t="s">
        <v>50</v>
      </c>
      <c r="H49" s="13" t="s">
        <v>59</v>
      </c>
      <c r="I49" s="16" t="n">
        <v>550</v>
      </c>
      <c r="J49" s="17" t="n">
        <f aca="false">F49*I49</f>
        <v>3300</v>
      </c>
      <c r="K49" s="18" t="s">
        <v>52</v>
      </c>
    </row>
    <row r="50" customFormat="false" ht="23.85" hidden="false" customHeight="false" outlineLevel="0" collapsed="false">
      <c r="A50" s="13" t="n">
        <v>46</v>
      </c>
      <c r="B50" s="14" t="s">
        <v>642</v>
      </c>
      <c r="C50" s="14" t="s">
        <v>734</v>
      </c>
      <c r="D50" s="14" t="s">
        <v>735</v>
      </c>
      <c r="E50" s="13" t="s">
        <v>323</v>
      </c>
      <c r="F50" s="15" t="n">
        <v>6</v>
      </c>
      <c r="G50" s="13" t="s">
        <v>50</v>
      </c>
      <c r="H50" s="13" t="s">
        <v>59</v>
      </c>
      <c r="I50" s="16" t="n">
        <v>150</v>
      </c>
      <c r="J50" s="17" t="n">
        <f aca="false">F50*I50</f>
        <v>900</v>
      </c>
      <c r="K50" s="18" t="s">
        <v>52</v>
      </c>
    </row>
    <row r="51" customFormat="false" ht="23.85" hidden="false" customHeight="false" outlineLevel="0" collapsed="false">
      <c r="A51" s="13" t="n">
        <v>47</v>
      </c>
      <c r="B51" s="14" t="s">
        <v>642</v>
      </c>
      <c r="C51" s="14" t="s">
        <v>736</v>
      </c>
      <c r="D51" s="14" t="s">
        <v>737</v>
      </c>
      <c r="E51" s="13" t="s">
        <v>323</v>
      </c>
      <c r="F51" s="15" t="n">
        <v>6</v>
      </c>
      <c r="G51" s="13" t="s">
        <v>50</v>
      </c>
      <c r="H51" s="13" t="s">
        <v>59</v>
      </c>
      <c r="I51" s="16" t="n">
        <v>30</v>
      </c>
      <c r="J51" s="17" t="n">
        <f aca="false">F51*I51</f>
        <v>180</v>
      </c>
      <c r="K51" s="18" t="s">
        <v>52</v>
      </c>
    </row>
    <row r="52" customFormat="false" ht="23.85" hidden="false" customHeight="false" outlineLevel="0" collapsed="false">
      <c r="A52" s="13" t="n">
        <v>48</v>
      </c>
      <c r="B52" s="14" t="s">
        <v>148</v>
      </c>
      <c r="C52" s="14" t="s">
        <v>149</v>
      </c>
      <c r="D52" s="14" t="s">
        <v>150</v>
      </c>
      <c r="E52" s="13" t="s">
        <v>75</v>
      </c>
      <c r="F52" s="15" t="n">
        <v>2</v>
      </c>
      <c r="G52" s="13" t="s">
        <v>50</v>
      </c>
      <c r="H52" s="13" t="s">
        <v>72</v>
      </c>
      <c r="I52" s="16" t="n">
        <v>450</v>
      </c>
      <c r="J52" s="17" t="n">
        <f aca="false">F52*I52</f>
        <v>900</v>
      </c>
      <c r="K52" s="18" t="s">
        <v>52</v>
      </c>
    </row>
    <row r="53" customFormat="false" ht="23.85" hidden="false" customHeight="false" outlineLevel="0" collapsed="false">
      <c r="A53" s="13" t="n">
        <v>49</v>
      </c>
      <c r="B53" s="14" t="s">
        <v>148</v>
      </c>
      <c r="C53" s="14" t="s">
        <v>738</v>
      </c>
      <c r="D53" s="14" t="s">
        <v>739</v>
      </c>
      <c r="E53" s="13" t="s">
        <v>75</v>
      </c>
      <c r="F53" s="15" t="n">
        <v>2</v>
      </c>
      <c r="G53" s="13" t="s">
        <v>50</v>
      </c>
      <c r="H53" s="13" t="s">
        <v>72</v>
      </c>
      <c r="I53" s="16" t="n">
        <v>500</v>
      </c>
      <c r="J53" s="17" t="n">
        <f aca="false">F53*I53</f>
        <v>1000</v>
      </c>
      <c r="K53" s="18" t="s">
        <v>52</v>
      </c>
    </row>
    <row r="54" customFormat="false" ht="23.85" hidden="false" customHeight="false" outlineLevel="0" collapsed="false">
      <c r="A54" s="13" t="n">
        <v>50</v>
      </c>
      <c r="B54" s="14" t="s">
        <v>148</v>
      </c>
      <c r="C54" s="14" t="s">
        <v>153</v>
      </c>
      <c r="D54" s="14" t="s">
        <v>740</v>
      </c>
      <c r="E54" s="13" t="s">
        <v>58</v>
      </c>
      <c r="F54" s="15" t="n">
        <v>1</v>
      </c>
      <c r="G54" s="13" t="s">
        <v>50</v>
      </c>
      <c r="H54" s="13" t="s">
        <v>59</v>
      </c>
      <c r="I54" s="16" t="n">
        <v>350</v>
      </c>
      <c r="J54" s="17" t="n">
        <f aca="false">F54*I54</f>
        <v>350</v>
      </c>
      <c r="K54" s="18" t="s">
        <v>52</v>
      </c>
    </row>
    <row r="55" customFormat="false" ht="23.85" hidden="false" customHeight="false" outlineLevel="0" collapsed="false">
      <c r="A55" s="13" t="n">
        <v>51</v>
      </c>
      <c r="B55" s="14" t="s">
        <v>148</v>
      </c>
      <c r="C55" s="14" t="s">
        <v>155</v>
      </c>
      <c r="D55" s="14" t="s">
        <v>741</v>
      </c>
      <c r="E55" s="13" t="s">
        <v>58</v>
      </c>
      <c r="F55" s="15" t="n">
        <v>1</v>
      </c>
      <c r="G55" s="13" t="s">
        <v>50</v>
      </c>
      <c r="H55" s="13" t="s">
        <v>51</v>
      </c>
      <c r="I55" s="16" t="n">
        <v>1200</v>
      </c>
      <c r="J55" s="17" t="n">
        <f aca="false">F55*I55</f>
        <v>1200</v>
      </c>
      <c r="K55" s="18" t="s">
        <v>52</v>
      </c>
    </row>
    <row r="56" customFormat="false" ht="23.85" hidden="false" customHeight="false" outlineLevel="0" collapsed="false">
      <c r="A56" s="13" t="n">
        <v>52</v>
      </c>
      <c r="B56" s="14" t="s">
        <v>148</v>
      </c>
      <c r="C56" s="14" t="s">
        <v>157</v>
      </c>
      <c r="D56" s="14" t="s">
        <v>741</v>
      </c>
      <c r="E56" s="13" t="s">
        <v>58</v>
      </c>
      <c r="F56" s="15" t="n">
        <v>1</v>
      </c>
      <c r="G56" s="13" t="s">
        <v>50</v>
      </c>
      <c r="H56" s="13" t="s">
        <v>59</v>
      </c>
      <c r="I56" s="16" t="n">
        <v>2500</v>
      </c>
      <c r="J56" s="17" t="n">
        <f aca="false">F56*I56</f>
        <v>2500</v>
      </c>
      <c r="K56" s="18" t="s">
        <v>52</v>
      </c>
    </row>
    <row r="57" customFormat="false" ht="23.85" hidden="false" customHeight="false" outlineLevel="0" collapsed="false">
      <c r="A57" s="13" t="n">
        <v>53</v>
      </c>
      <c r="B57" s="14" t="s">
        <v>148</v>
      </c>
      <c r="C57" s="14" t="s">
        <v>159</v>
      </c>
      <c r="D57" s="14" t="s">
        <v>742</v>
      </c>
      <c r="E57" s="13" t="s">
        <v>75</v>
      </c>
      <c r="F57" s="15" t="n">
        <v>2</v>
      </c>
      <c r="G57" s="13" t="s">
        <v>50</v>
      </c>
      <c r="H57" s="13" t="s">
        <v>72</v>
      </c>
      <c r="I57" s="16" t="n">
        <v>600</v>
      </c>
      <c r="J57" s="17" t="n">
        <f aca="false">F57*I57</f>
        <v>1200</v>
      </c>
      <c r="K57" s="18" t="s">
        <v>52</v>
      </c>
    </row>
    <row r="58" customFormat="false" ht="23.85" hidden="false" customHeight="false" outlineLevel="0" collapsed="false">
      <c r="A58" s="13" t="n">
        <v>54</v>
      </c>
      <c r="B58" s="14" t="s">
        <v>148</v>
      </c>
      <c r="C58" s="14" t="s">
        <v>743</v>
      </c>
      <c r="D58" s="14" t="s">
        <v>744</v>
      </c>
      <c r="E58" s="13" t="s">
        <v>58</v>
      </c>
      <c r="F58" s="15" t="n">
        <v>1</v>
      </c>
      <c r="G58" s="13" t="s">
        <v>50</v>
      </c>
      <c r="H58" s="13" t="s">
        <v>59</v>
      </c>
      <c r="I58" s="16" t="n">
        <v>1800</v>
      </c>
      <c r="J58" s="17" t="n">
        <f aca="false">F58*I58</f>
        <v>1800</v>
      </c>
      <c r="K58" s="18" t="s">
        <v>52</v>
      </c>
    </row>
    <row r="59" customFormat="false" ht="23.85" hidden="false" customHeight="false" outlineLevel="0" collapsed="false">
      <c r="A59" s="13" t="n">
        <v>55</v>
      </c>
      <c r="B59" s="14" t="s">
        <v>148</v>
      </c>
      <c r="C59" s="14" t="s">
        <v>745</v>
      </c>
      <c r="D59" s="14" t="s">
        <v>744</v>
      </c>
      <c r="E59" s="13" t="s">
        <v>58</v>
      </c>
      <c r="F59" s="15" t="n">
        <v>1</v>
      </c>
      <c r="G59" s="13" t="s">
        <v>50</v>
      </c>
      <c r="H59" s="13" t="s">
        <v>59</v>
      </c>
      <c r="I59" s="16" t="n">
        <v>4500</v>
      </c>
      <c r="J59" s="17" t="n">
        <f aca="false">F59*I59</f>
        <v>4500</v>
      </c>
      <c r="K59" s="18" t="s">
        <v>52</v>
      </c>
    </row>
    <row r="60" customFormat="false" ht="23.85" hidden="false" customHeight="false" outlineLevel="0" collapsed="false">
      <c r="A60" s="13" t="n">
        <v>56</v>
      </c>
      <c r="B60" s="14" t="s">
        <v>148</v>
      </c>
      <c r="C60" s="14" t="s">
        <v>746</v>
      </c>
      <c r="D60" s="14" t="s">
        <v>165</v>
      </c>
      <c r="E60" s="13" t="s">
        <v>75</v>
      </c>
      <c r="F60" s="15" t="n">
        <v>2</v>
      </c>
      <c r="G60" s="13" t="s">
        <v>50</v>
      </c>
      <c r="H60" s="13" t="s">
        <v>59</v>
      </c>
      <c r="I60" s="16" t="n">
        <v>350</v>
      </c>
      <c r="J60" s="17" t="n">
        <f aca="false">F60*I60</f>
        <v>700</v>
      </c>
      <c r="K60" s="18" t="s">
        <v>52</v>
      </c>
    </row>
    <row r="61" customFormat="false" ht="23.85" hidden="false" customHeight="false" outlineLevel="0" collapsed="false">
      <c r="A61" s="13" t="n">
        <v>57</v>
      </c>
      <c r="B61" s="14" t="s">
        <v>148</v>
      </c>
      <c r="C61" s="14" t="s">
        <v>166</v>
      </c>
      <c r="D61" s="14" t="s">
        <v>167</v>
      </c>
      <c r="E61" s="13" t="s">
        <v>75</v>
      </c>
      <c r="F61" s="15" t="n">
        <v>2</v>
      </c>
      <c r="G61" s="13" t="s">
        <v>50</v>
      </c>
      <c r="H61" s="13" t="s">
        <v>59</v>
      </c>
      <c r="I61" s="16" t="n">
        <v>350</v>
      </c>
      <c r="J61" s="17" t="n">
        <f aca="false">F61*I61</f>
        <v>700</v>
      </c>
      <c r="K61" s="18" t="s">
        <v>52</v>
      </c>
    </row>
    <row r="62" customFormat="false" ht="23.85" hidden="false" customHeight="false" outlineLevel="0" collapsed="false">
      <c r="A62" s="13" t="n">
        <v>58</v>
      </c>
      <c r="B62" s="14" t="s">
        <v>148</v>
      </c>
      <c r="C62" s="14" t="s">
        <v>168</v>
      </c>
      <c r="D62" s="14" t="s">
        <v>165</v>
      </c>
      <c r="E62" s="13" t="s">
        <v>75</v>
      </c>
      <c r="F62" s="15" t="n">
        <v>2</v>
      </c>
      <c r="G62" s="13" t="s">
        <v>50</v>
      </c>
      <c r="H62" s="13" t="s">
        <v>72</v>
      </c>
      <c r="I62" s="16" t="n">
        <v>450</v>
      </c>
      <c r="J62" s="17" t="n">
        <f aca="false">F62*I62</f>
        <v>900</v>
      </c>
      <c r="K62" s="18" t="s">
        <v>52</v>
      </c>
    </row>
    <row r="63" customFormat="false" ht="23.85" hidden="false" customHeight="false" outlineLevel="0" collapsed="false">
      <c r="A63" s="13" t="n">
        <v>59</v>
      </c>
      <c r="B63" s="14" t="s">
        <v>148</v>
      </c>
      <c r="C63" s="14" t="s">
        <v>169</v>
      </c>
      <c r="D63" s="14" t="s">
        <v>747</v>
      </c>
      <c r="E63" s="13" t="s">
        <v>58</v>
      </c>
      <c r="F63" s="15" t="n">
        <v>1</v>
      </c>
      <c r="G63" s="13" t="s">
        <v>50</v>
      </c>
      <c r="H63" s="13" t="s">
        <v>59</v>
      </c>
      <c r="I63" s="16" t="n">
        <v>250</v>
      </c>
      <c r="J63" s="17" t="n">
        <f aca="false">F63*I63</f>
        <v>250</v>
      </c>
      <c r="K63" s="18" t="s">
        <v>52</v>
      </c>
    </row>
    <row r="64" customFormat="false" ht="23.85" hidden="false" customHeight="false" outlineLevel="0" collapsed="false">
      <c r="A64" s="13" t="n">
        <v>60</v>
      </c>
      <c r="B64" s="14" t="s">
        <v>148</v>
      </c>
      <c r="C64" s="14" t="s">
        <v>171</v>
      </c>
      <c r="D64" s="14" t="s">
        <v>748</v>
      </c>
      <c r="E64" s="13" t="s">
        <v>58</v>
      </c>
      <c r="F64" s="15" t="n">
        <v>1</v>
      </c>
      <c r="G64" s="13" t="s">
        <v>50</v>
      </c>
      <c r="H64" s="13" t="s">
        <v>59</v>
      </c>
      <c r="I64" s="16" t="n">
        <v>300</v>
      </c>
      <c r="J64" s="17" t="n">
        <f aca="false">F64*I64</f>
        <v>300</v>
      </c>
      <c r="K64" s="18" t="s">
        <v>52</v>
      </c>
    </row>
    <row r="65" customFormat="false" ht="23.85" hidden="false" customHeight="false" outlineLevel="0" collapsed="false">
      <c r="A65" s="13" t="n">
        <v>61</v>
      </c>
      <c r="B65" s="14" t="s">
        <v>148</v>
      </c>
      <c r="C65" s="14" t="s">
        <v>173</v>
      </c>
      <c r="D65" s="14" t="s">
        <v>174</v>
      </c>
      <c r="E65" s="13" t="s">
        <v>58</v>
      </c>
      <c r="F65" s="15" t="n">
        <v>1</v>
      </c>
      <c r="G65" s="13" t="s">
        <v>50</v>
      </c>
      <c r="H65" s="13" t="s">
        <v>59</v>
      </c>
      <c r="I65" s="16" t="n">
        <v>650</v>
      </c>
      <c r="J65" s="17" t="n">
        <f aca="false">F65*I65</f>
        <v>650</v>
      </c>
      <c r="K65" s="18" t="s">
        <v>52</v>
      </c>
    </row>
    <row r="66" customFormat="false" ht="23.85" hidden="false" customHeight="false" outlineLevel="0" collapsed="false">
      <c r="A66" s="13" t="n">
        <v>62</v>
      </c>
      <c r="B66" s="14" t="s">
        <v>148</v>
      </c>
      <c r="C66" s="14" t="s">
        <v>175</v>
      </c>
      <c r="D66" s="14" t="s">
        <v>176</v>
      </c>
      <c r="E66" s="13" t="s">
        <v>58</v>
      </c>
      <c r="F66" s="15" t="n">
        <v>1</v>
      </c>
      <c r="G66" s="13" t="s">
        <v>50</v>
      </c>
      <c r="H66" s="13" t="s">
        <v>59</v>
      </c>
      <c r="I66" s="16" t="n">
        <v>150</v>
      </c>
      <c r="J66" s="17" t="n">
        <f aca="false">F66*I66</f>
        <v>150</v>
      </c>
      <c r="K66" s="18" t="s">
        <v>52</v>
      </c>
    </row>
    <row r="67" customFormat="false" ht="23.85" hidden="false" customHeight="false" outlineLevel="0" collapsed="false">
      <c r="A67" s="13" t="n">
        <v>63</v>
      </c>
      <c r="B67" s="14" t="s">
        <v>148</v>
      </c>
      <c r="C67" s="14" t="s">
        <v>177</v>
      </c>
      <c r="D67" s="14" t="s">
        <v>749</v>
      </c>
      <c r="E67" s="13" t="s">
        <v>58</v>
      </c>
      <c r="F67" s="15" t="n">
        <v>1</v>
      </c>
      <c r="G67" s="13" t="s">
        <v>50</v>
      </c>
      <c r="H67" s="13" t="s">
        <v>59</v>
      </c>
      <c r="I67" s="16" t="n">
        <v>450</v>
      </c>
      <c r="J67" s="17" t="n">
        <f aca="false">F67*I67</f>
        <v>450</v>
      </c>
      <c r="K67" s="18" t="s">
        <v>52</v>
      </c>
    </row>
    <row r="68" customFormat="false" ht="23.85" hidden="false" customHeight="false" outlineLevel="0" collapsed="false">
      <c r="A68" s="13" t="n">
        <v>64</v>
      </c>
      <c r="B68" s="14" t="s">
        <v>148</v>
      </c>
      <c r="C68" s="14" t="s">
        <v>179</v>
      </c>
      <c r="D68" s="14" t="s">
        <v>750</v>
      </c>
      <c r="E68" s="13" t="s">
        <v>58</v>
      </c>
      <c r="F68" s="15" t="n">
        <v>1</v>
      </c>
      <c r="G68" s="13" t="s">
        <v>50</v>
      </c>
      <c r="H68" s="13" t="s">
        <v>59</v>
      </c>
      <c r="I68" s="16" t="n">
        <v>200</v>
      </c>
      <c r="J68" s="17" t="n">
        <f aca="false">F68*I68</f>
        <v>200</v>
      </c>
      <c r="K68" s="18" t="s">
        <v>52</v>
      </c>
    </row>
    <row r="69" customFormat="false" ht="23.85" hidden="false" customHeight="false" outlineLevel="0" collapsed="false">
      <c r="A69" s="13" t="n">
        <v>65</v>
      </c>
      <c r="B69" s="14" t="s">
        <v>148</v>
      </c>
      <c r="C69" s="14" t="s">
        <v>181</v>
      </c>
      <c r="D69" s="14" t="s">
        <v>322</v>
      </c>
      <c r="E69" s="13" t="s">
        <v>58</v>
      </c>
      <c r="F69" s="15" t="n">
        <v>1</v>
      </c>
      <c r="G69" s="13" t="s">
        <v>50</v>
      </c>
      <c r="H69" s="13" t="s">
        <v>59</v>
      </c>
      <c r="I69" s="16" t="n">
        <v>250</v>
      </c>
      <c r="J69" s="17" t="n">
        <f aca="false">F69*I69</f>
        <v>250</v>
      </c>
      <c r="K69" s="18" t="s">
        <v>52</v>
      </c>
    </row>
    <row r="70" customFormat="false" ht="23.85" hidden="false" customHeight="false" outlineLevel="0" collapsed="false">
      <c r="A70" s="13" t="n">
        <v>66</v>
      </c>
      <c r="B70" s="14" t="s">
        <v>148</v>
      </c>
      <c r="C70" s="14" t="s">
        <v>183</v>
      </c>
      <c r="D70" s="14" t="s">
        <v>184</v>
      </c>
      <c r="E70" s="13" t="s">
        <v>58</v>
      </c>
      <c r="F70" s="15" t="n">
        <v>1</v>
      </c>
      <c r="G70" s="13" t="s">
        <v>50</v>
      </c>
      <c r="H70" s="13" t="s">
        <v>59</v>
      </c>
      <c r="I70" s="16" t="n">
        <v>450</v>
      </c>
      <c r="J70" s="17" t="n">
        <f aca="false">F70*I70</f>
        <v>450</v>
      </c>
      <c r="K70" s="18" t="s">
        <v>52</v>
      </c>
    </row>
    <row r="71" customFormat="false" ht="23.85" hidden="false" customHeight="false" outlineLevel="0" collapsed="false">
      <c r="A71" s="13" t="n">
        <v>67</v>
      </c>
      <c r="B71" s="14" t="s">
        <v>148</v>
      </c>
      <c r="C71" s="14" t="s">
        <v>185</v>
      </c>
      <c r="D71" s="14" t="s">
        <v>186</v>
      </c>
      <c r="E71" s="13" t="s">
        <v>75</v>
      </c>
      <c r="F71" s="15" t="n">
        <v>2</v>
      </c>
      <c r="G71" s="13" t="s">
        <v>50</v>
      </c>
      <c r="H71" s="13" t="s">
        <v>59</v>
      </c>
      <c r="I71" s="16" t="n">
        <v>550</v>
      </c>
      <c r="J71" s="17" t="n">
        <f aca="false">F71*I71</f>
        <v>1100</v>
      </c>
      <c r="K71" s="18" t="s">
        <v>52</v>
      </c>
    </row>
    <row r="72" customFormat="false" ht="23.85" hidden="false" customHeight="false" outlineLevel="0" collapsed="false">
      <c r="A72" s="13" t="n">
        <v>68</v>
      </c>
      <c r="B72" s="14" t="s">
        <v>148</v>
      </c>
      <c r="C72" s="14" t="s">
        <v>187</v>
      </c>
      <c r="D72" s="14" t="s">
        <v>751</v>
      </c>
      <c r="E72" s="13" t="s">
        <v>58</v>
      </c>
      <c r="F72" s="15" t="n">
        <v>1</v>
      </c>
      <c r="G72" s="13" t="s">
        <v>50</v>
      </c>
      <c r="H72" s="13" t="s">
        <v>59</v>
      </c>
      <c r="I72" s="16" t="n">
        <v>5500</v>
      </c>
      <c r="J72" s="17" t="n">
        <f aca="false">F72*I72</f>
        <v>5500</v>
      </c>
      <c r="K72" s="18" t="s">
        <v>52</v>
      </c>
    </row>
    <row r="73" customFormat="false" ht="23.85" hidden="false" customHeight="false" outlineLevel="0" collapsed="false">
      <c r="A73" s="13" t="n">
        <v>69</v>
      </c>
      <c r="B73" s="14" t="s">
        <v>148</v>
      </c>
      <c r="C73" s="14" t="s">
        <v>189</v>
      </c>
      <c r="D73" s="14" t="s">
        <v>190</v>
      </c>
      <c r="E73" s="13" t="s">
        <v>75</v>
      </c>
      <c r="F73" s="15" t="n">
        <v>2</v>
      </c>
      <c r="G73" s="13" t="s">
        <v>50</v>
      </c>
      <c r="H73" s="13" t="s">
        <v>59</v>
      </c>
      <c r="I73" s="16" t="n">
        <v>350</v>
      </c>
      <c r="J73" s="17" t="n">
        <f aca="false">F73*I73</f>
        <v>700</v>
      </c>
      <c r="K73" s="18" t="s">
        <v>52</v>
      </c>
    </row>
    <row r="74" customFormat="false" ht="23.85" hidden="false" customHeight="false" outlineLevel="0" collapsed="false">
      <c r="A74" s="13" t="n">
        <v>70</v>
      </c>
      <c r="B74" s="14" t="s">
        <v>148</v>
      </c>
      <c r="C74" s="14" t="s">
        <v>191</v>
      </c>
      <c r="D74" s="14" t="s">
        <v>192</v>
      </c>
      <c r="E74" s="13" t="s">
        <v>58</v>
      </c>
      <c r="F74" s="15" t="n">
        <v>1</v>
      </c>
      <c r="G74" s="13" t="s">
        <v>50</v>
      </c>
      <c r="H74" s="13" t="s">
        <v>59</v>
      </c>
      <c r="I74" s="16" t="n">
        <v>350</v>
      </c>
      <c r="J74" s="17" t="n">
        <f aca="false">F74*I74</f>
        <v>350</v>
      </c>
      <c r="K74" s="18" t="s">
        <v>52</v>
      </c>
    </row>
    <row r="75" customFormat="false" ht="23.85" hidden="false" customHeight="false" outlineLevel="0" collapsed="false">
      <c r="A75" s="13" t="n">
        <v>71</v>
      </c>
      <c r="B75" s="14" t="s">
        <v>148</v>
      </c>
      <c r="C75" s="14" t="s">
        <v>193</v>
      </c>
      <c r="D75" s="14" t="s">
        <v>752</v>
      </c>
      <c r="E75" s="13" t="s">
        <v>58</v>
      </c>
      <c r="F75" s="15" t="n">
        <v>1</v>
      </c>
      <c r="G75" s="13" t="s">
        <v>50</v>
      </c>
      <c r="H75" s="13" t="s">
        <v>59</v>
      </c>
      <c r="I75" s="16" t="n">
        <v>350</v>
      </c>
      <c r="J75" s="17" t="n">
        <f aca="false">F75*I75</f>
        <v>350</v>
      </c>
      <c r="K75" s="18" t="s">
        <v>52</v>
      </c>
    </row>
    <row r="76" customFormat="false" ht="23.85" hidden="false" customHeight="false" outlineLevel="0" collapsed="false">
      <c r="A76" s="13" t="n">
        <v>72</v>
      </c>
      <c r="B76" s="14" t="s">
        <v>148</v>
      </c>
      <c r="C76" s="14" t="s">
        <v>753</v>
      </c>
      <c r="D76" s="14" t="s">
        <v>754</v>
      </c>
      <c r="E76" s="13" t="s">
        <v>58</v>
      </c>
      <c r="F76" s="15" t="n">
        <v>1</v>
      </c>
      <c r="G76" s="13" t="s">
        <v>50</v>
      </c>
      <c r="H76" s="13" t="s">
        <v>59</v>
      </c>
      <c r="I76" s="16" t="n">
        <v>450</v>
      </c>
      <c r="J76" s="17" t="n">
        <f aca="false">F76*I76</f>
        <v>450</v>
      </c>
      <c r="K76" s="18" t="s">
        <v>52</v>
      </c>
    </row>
    <row r="77" customFormat="false" ht="23.85" hidden="false" customHeight="false" outlineLevel="0" collapsed="false">
      <c r="A77" s="13" t="n">
        <v>73</v>
      </c>
      <c r="B77" s="14" t="s">
        <v>148</v>
      </c>
      <c r="C77" s="14" t="s">
        <v>755</v>
      </c>
      <c r="D77" s="14" t="s">
        <v>756</v>
      </c>
      <c r="E77" s="13" t="s">
        <v>58</v>
      </c>
      <c r="F77" s="15" t="n">
        <v>1</v>
      </c>
      <c r="G77" s="13" t="s">
        <v>50</v>
      </c>
      <c r="H77" s="13" t="s">
        <v>59</v>
      </c>
      <c r="I77" s="16" t="n">
        <v>350</v>
      </c>
      <c r="J77" s="17" t="n">
        <f aca="false">F77*I77</f>
        <v>350</v>
      </c>
      <c r="K77" s="18" t="s">
        <v>52</v>
      </c>
    </row>
    <row r="78" customFormat="false" ht="23.85" hidden="false" customHeight="false" outlineLevel="0" collapsed="false">
      <c r="A78" s="13" t="n">
        <v>74</v>
      </c>
      <c r="B78" s="14" t="s">
        <v>148</v>
      </c>
      <c r="C78" s="14" t="s">
        <v>757</v>
      </c>
      <c r="D78" s="14" t="s">
        <v>756</v>
      </c>
      <c r="E78" s="13" t="s">
        <v>58</v>
      </c>
      <c r="F78" s="15" t="n">
        <v>1</v>
      </c>
      <c r="G78" s="13" t="s">
        <v>50</v>
      </c>
      <c r="H78" s="13" t="s">
        <v>59</v>
      </c>
      <c r="I78" s="16" t="n">
        <v>350</v>
      </c>
      <c r="J78" s="17" t="n">
        <f aca="false">F78*I78</f>
        <v>350</v>
      </c>
      <c r="K78" s="18" t="s">
        <v>52</v>
      </c>
    </row>
    <row r="79" customFormat="false" ht="23.85" hidden="false" customHeight="false" outlineLevel="0" collapsed="false">
      <c r="A79" s="13" t="n">
        <v>75</v>
      </c>
      <c r="B79" s="14" t="s">
        <v>148</v>
      </c>
      <c r="C79" s="14" t="s">
        <v>758</v>
      </c>
      <c r="D79" s="14" t="s">
        <v>190</v>
      </c>
      <c r="E79" s="13" t="s">
        <v>58</v>
      </c>
      <c r="F79" s="15" t="n">
        <v>1</v>
      </c>
      <c r="G79" s="13" t="s">
        <v>50</v>
      </c>
      <c r="H79" s="13" t="s">
        <v>59</v>
      </c>
      <c r="I79" s="16" t="n">
        <v>450</v>
      </c>
      <c r="J79" s="17" t="n">
        <f aca="false">F79*I79</f>
        <v>450</v>
      </c>
      <c r="K79" s="18" t="s">
        <v>52</v>
      </c>
    </row>
    <row r="80" customFormat="false" ht="23.85" hidden="false" customHeight="false" outlineLevel="0" collapsed="false">
      <c r="A80" s="13" t="n">
        <v>76</v>
      </c>
      <c r="B80" s="14" t="s">
        <v>148</v>
      </c>
      <c r="C80" s="14" t="s">
        <v>202</v>
      </c>
      <c r="D80" s="14" t="s">
        <v>759</v>
      </c>
      <c r="E80" s="13" t="s">
        <v>58</v>
      </c>
      <c r="F80" s="15" t="n">
        <v>1</v>
      </c>
      <c r="G80" s="13" t="s">
        <v>50</v>
      </c>
      <c r="H80" s="13" t="s">
        <v>59</v>
      </c>
      <c r="I80" s="16" t="n">
        <v>250</v>
      </c>
      <c r="J80" s="17" t="n">
        <f aca="false">F80*I80</f>
        <v>250</v>
      </c>
      <c r="K80" s="18" t="s">
        <v>52</v>
      </c>
    </row>
    <row r="81" customFormat="false" ht="23.85" hidden="false" customHeight="false" outlineLevel="0" collapsed="false">
      <c r="A81" s="13" t="n">
        <v>77</v>
      </c>
      <c r="B81" s="14" t="s">
        <v>148</v>
      </c>
      <c r="C81" s="14" t="s">
        <v>204</v>
      </c>
      <c r="D81" s="14" t="s">
        <v>760</v>
      </c>
      <c r="E81" s="13" t="s">
        <v>75</v>
      </c>
      <c r="F81" s="15" t="n">
        <v>2</v>
      </c>
      <c r="G81" s="13" t="s">
        <v>50</v>
      </c>
      <c r="H81" s="13" t="s">
        <v>72</v>
      </c>
      <c r="I81" s="16" t="n">
        <v>1800</v>
      </c>
      <c r="J81" s="17" t="n">
        <f aca="false">F81*I81</f>
        <v>3600</v>
      </c>
      <c r="K81" s="18" t="s">
        <v>52</v>
      </c>
    </row>
    <row r="82" customFormat="false" ht="23.85" hidden="false" customHeight="false" outlineLevel="0" collapsed="false">
      <c r="A82" s="13" t="n">
        <v>78</v>
      </c>
      <c r="B82" s="14" t="s">
        <v>148</v>
      </c>
      <c r="C82" s="14" t="s">
        <v>204</v>
      </c>
      <c r="D82" s="14" t="s">
        <v>761</v>
      </c>
      <c r="E82" s="13" t="s">
        <v>75</v>
      </c>
      <c r="F82" s="15" t="n">
        <v>2</v>
      </c>
      <c r="G82" s="13" t="s">
        <v>50</v>
      </c>
      <c r="H82" s="13" t="s">
        <v>72</v>
      </c>
      <c r="I82" s="16" t="n">
        <v>1800</v>
      </c>
      <c r="J82" s="17" t="n">
        <f aca="false">F82*I82</f>
        <v>3600</v>
      </c>
      <c r="K82" s="18" t="s">
        <v>52</v>
      </c>
    </row>
    <row r="83" customFormat="false" ht="23.85" hidden="false" customHeight="false" outlineLevel="0" collapsed="false">
      <c r="A83" s="13" t="n">
        <v>79</v>
      </c>
      <c r="B83" s="14" t="s">
        <v>148</v>
      </c>
      <c r="C83" s="14" t="s">
        <v>206</v>
      </c>
      <c r="D83" s="14" t="s">
        <v>762</v>
      </c>
      <c r="E83" s="13" t="s">
        <v>58</v>
      </c>
      <c r="F83" s="15" t="n">
        <v>1</v>
      </c>
      <c r="G83" s="13" t="s">
        <v>50</v>
      </c>
      <c r="H83" s="13" t="s">
        <v>72</v>
      </c>
      <c r="I83" s="16" t="n">
        <v>450</v>
      </c>
      <c r="J83" s="17" t="n">
        <f aca="false">F83*I83</f>
        <v>450</v>
      </c>
      <c r="K83" s="18" t="s">
        <v>52</v>
      </c>
    </row>
    <row r="84" customFormat="false" ht="23.85" hidden="false" customHeight="false" outlineLevel="0" collapsed="false">
      <c r="A84" s="13" t="n">
        <v>80</v>
      </c>
      <c r="B84" s="14" t="s">
        <v>148</v>
      </c>
      <c r="C84" s="14" t="s">
        <v>206</v>
      </c>
      <c r="D84" s="14" t="s">
        <v>763</v>
      </c>
      <c r="E84" s="13" t="s">
        <v>58</v>
      </c>
      <c r="F84" s="15" t="n">
        <v>1</v>
      </c>
      <c r="G84" s="13" t="s">
        <v>50</v>
      </c>
      <c r="H84" s="13" t="s">
        <v>72</v>
      </c>
      <c r="I84" s="16" t="n">
        <v>450</v>
      </c>
      <c r="J84" s="17" t="n">
        <f aca="false">F84*I84</f>
        <v>450</v>
      </c>
      <c r="K84" s="18" t="s">
        <v>52</v>
      </c>
    </row>
    <row r="85" customFormat="false" ht="23.85" hidden="false" customHeight="false" outlineLevel="0" collapsed="false">
      <c r="A85" s="13" t="n">
        <v>81</v>
      </c>
      <c r="B85" s="14" t="s">
        <v>148</v>
      </c>
      <c r="C85" s="14" t="s">
        <v>764</v>
      </c>
      <c r="D85" s="14" t="s">
        <v>765</v>
      </c>
      <c r="E85" s="13" t="s">
        <v>58</v>
      </c>
      <c r="F85" s="15" t="n">
        <v>1</v>
      </c>
      <c r="G85" s="13" t="s">
        <v>50</v>
      </c>
      <c r="H85" s="13" t="s">
        <v>72</v>
      </c>
      <c r="I85" s="16" t="n">
        <v>450</v>
      </c>
      <c r="J85" s="17" t="n">
        <f aca="false">F85*I85</f>
        <v>450</v>
      </c>
      <c r="K85" s="18" t="s">
        <v>52</v>
      </c>
    </row>
    <row r="86" customFormat="false" ht="23.85" hidden="false" customHeight="false" outlineLevel="0" collapsed="false">
      <c r="A86" s="13" t="n">
        <v>82</v>
      </c>
      <c r="B86" s="14" t="s">
        <v>148</v>
      </c>
      <c r="C86" s="14" t="s">
        <v>764</v>
      </c>
      <c r="D86" s="14" t="s">
        <v>766</v>
      </c>
      <c r="E86" s="13" t="s">
        <v>58</v>
      </c>
      <c r="F86" s="15" t="n">
        <v>1</v>
      </c>
      <c r="G86" s="13" t="s">
        <v>50</v>
      </c>
      <c r="H86" s="13" t="s">
        <v>72</v>
      </c>
      <c r="I86" s="16" t="n">
        <v>450</v>
      </c>
      <c r="J86" s="17" t="n">
        <f aca="false">F86*I86</f>
        <v>450</v>
      </c>
      <c r="K86" s="18" t="s">
        <v>52</v>
      </c>
    </row>
    <row r="87" customFormat="false" ht="23.85" hidden="false" customHeight="false" outlineLevel="0" collapsed="false">
      <c r="A87" s="13" t="n">
        <v>83</v>
      </c>
      <c r="B87" s="14" t="s">
        <v>148</v>
      </c>
      <c r="C87" s="14" t="s">
        <v>767</v>
      </c>
      <c r="D87" s="14" t="s">
        <v>768</v>
      </c>
      <c r="E87" s="13" t="s">
        <v>58</v>
      </c>
      <c r="F87" s="15" t="n">
        <v>1</v>
      </c>
      <c r="G87" s="13" t="s">
        <v>50</v>
      </c>
      <c r="H87" s="13" t="s">
        <v>59</v>
      </c>
      <c r="I87" s="16" t="n">
        <v>300</v>
      </c>
      <c r="J87" s="17" t="n">
        <f aca="false">F87*I87</f>
        <v>300</v>
      </c>
      <c r="K87" s="18" t="s">
        <v>52</v>
      </c>
    </row>
    <row r="88" customFormat="false" ht="23.85" hidden="false" customHeight="false" outlineLevel="0" collapsed="false">
      <c r="A88" s="13" t="n">
        <v>84</v>
      </c>
      <c r="B88" s="14" t="s">
        <v>148</v>
      </c>
      <c r="C88" s="14" t="s">
        <v>212</v>
      </c>
      <c r="D88" s="14" t="s">
        <v>769</v>
      </c>
      <c r="E88" s="13" t="s">
        <v>58</v>
      </c>
      <c r="F88" s="15" t="n">
        <v>1</v>
      </c>
      <c r="G88" s="13" t="s">
        <v>50</v>
      </c>
      <c r="H88" s="13" t="s">
        <v>59</v>
      </c>
      <c r="I88" s="16" t="n">
        <v>650</v>
      </c>
      <c r="J88" s="17" t="n">
        <f aca="false">F88*I88</f>
        <v>650</v>
      </c>
      <c r="K88" s="18" t="s">
        <v>52</v>
      </c>
    </row>
    <row r="89" customFormat="false" ht="23.85" hidden="false" customHeight="false" outlineLevel="0" collapsed="false">
      <c r="A89" s="13" t="n">
        <v>85</v>
      </c>
      <c r="B89" s="14" t="s">
        <v>148</v>
      </c>
      <c r="C89" s="14" t="s">
        <v>770</v>
      </c>
      <c r="D89" s="14" t="s">
        <v>215</v>
      </c>
      <c r="E89" s="13" t="s">
        <v>58</v>
      </c>
      <c r="F89" s="15" t="n">
        <v>1</v>
      </c>
      <c r="G89" s="13" t="s">
        <v>50</v>
      </c>
      <c r="H89" s="13" t="s">
        <v>216</v>
      </c>
      <c r="I89" s="16" t="n">
        <v>80</v>
      </c>
      <c r="J89" s="17" t="n">
        <f aca="false">F89*I89</f>
        <v>80</v>
      </c>
      <c r="K89" s="18" t="s">
        <v>52</v>
      </c>
    </row>
    <row r="90" customFormat="false" ht="23.85" hidden="false" customHeight="false" outlineLevel="0" collapsed="false">
      <c r="A90" s="13" t="n">
        <v>86</v>
      </c>
      <c r="B90" s="14" t="s">
        <v>148</v>
      </c>
      <c r="C90" s="14" t="s">
        <v>217</v>
      </c>
      <c r="D90" s="14" t="s">
        <v>215</v>
      </c>
      <c r="E90" s="13" t="s">
        <v>58</v>
      </c>
      <c r="F90" s="15" t="n">
        <v>1</v>
      </c>
      <c r="G90" s="13" t="s">
        <v>50</v>
      </c>
      <c r="H90" s="13" t="s">
        <v>216</v>
      </c>
      <c r="I90" s="16" t="n">
        <v>120</v>
      </c>
      <c r="J90" s="17" t="n">
        <f aca="false">F90*I90</f>
        <v>120</v>
      </c>
      <c r="K90" s="18" t="s">
        <v>52</v>
      </c>
    </row>
    <row r="91" customFormat="false" ht="23.85" hidden="false" customHeight="false" outlineLevel="0" collapsed="false">
      <c r="A91" s="13" t="n">
        <v>87</v>
      </c>
      <c r="B91" s="14" t="s">
        <v>148</v>
      </c>
      <c r="C91" s="14" t="s">
        <v>218</v>
      </c>
      <c r="D91" s="14" t="s">
        <v>215</v>
      </c>
      <c r="E91" s="13" t="s">
        <v>58</v>
      </c>
      <c r="F91" s="15" t="n">
        <v>1</v>
      </c>
      <c r="G91" s="13" t="s">
        <v>50</v>
      </c>
      <c r="H91" s="13" t="s">
        <v>216</v>
      </c>
      <c r="I91" s="16" t="n">
        <v>90</v>
      </c>
      <c r="J91" s="17" t="n">
        <f aca="false">F91*I91</f>
        <v>90</v>
      </c>
      <c r="K91" s="18" t="s">
        <v>52</v>
      </c>
    </row>
    <row r="92" customFormat="false" ht="23.85" hidden="false" customHeight="false" outlineLevel="0" collapsed="false">
      <c r="A92" s="13" t="n">
        <v>88</v>
      </c>
      <c r="B92" s="14" t="s">
        <v>148</v>
      </c>
      <c r="C92" s="14" t="s">
        <v>771</v>
      </c>
      <c r="D92" s="14" t="s">
        <v>215</v>
      </c>
      <c r="E92" s="13" t="s">
        <v>58</v>
      </c>
      <c r="F92" s="15" t="n">
        <v>1</v>
      </c>
      <c r="G92" s="13" t="s">
        <v>50</v>
      </c>
      <c r="H92" s="13" t="s">
        <v>216</v>
      </c>
      <c r="I92" s="16" t="n">
        <v>120</v>
      </c>
      <c r="J92" s="17" t="n">
        <f aca="false">F92*I92</f>
        <v>120</v>
      </c>
      <c r="K92" s="18" t="s">
        <v>52</v>
      </c>
    </row>
    <row r="93" customFormat="false" ht="23.85" hidden="false" customHeight="false" outlineLevel="0" collapsed="false">
      <c r="A93" s="13" t="n">
        <v>89</v>
      </c>
      <c r="B93" s="14" t="s">
        <v>148</v>
      </c>
      <c r="C93" s="14" t="s">
        <v>220</v>
      </c>
      <c r="D93" s="14" t="s">
        <v>215</v>
      </c>
      <c r="E93" s="13" t="s">
        <v>58</v>
      </c>
      <c r="F93" s="15" t="n">
        <v>1</v>
      </c>
      <c r="G93" s="13" t="s">
        <v>50</v>
      </c>
      <c r="H93" s="13" t="s">
        <v>59</v>
      </c>
      <c r="I93" s="16" t="n">
        <v>250</v>
      </c>
      <c r="J93" s="17" t="n">
        <f aca="false">F93*I93</f>
        <v>250</v>
      </c>
      <c r="K93" s="18" t="s">
        <v>52</v>
      </c>
    </row>
    <row r="94" customFormat="false" ht="23.85" hidden="false" customHeight="false" outlineLevel="0" collapsed="false">
      <c r="A94" s="13" t="n">
        <v>90</v>
      </c>
      <c r="B94" s="14" t="s">
        <v>148</v>
      </c>
      <c r="C94" s="14" t="s">
        <v>221</v>
      </c>
      <c r="D94" s="14" t="s">
        <v>772</v>
      </c>
      <c r="E94" s="13" t="s">
        <v>58</v>
      </c>
      <c r="F94" s="15" t="n">
        <v>1</v>
      </c>
      <c r="G94" s="13" t="s">
        <v>50</v>
      </c>
      <c r="H94" s="13" t="s">
        <v>59</v>
      </c>
      <c r="I94" s="16" t="n">
        <v>150</v>
      </c>
      <c r="J94" s="17" t="n">
        <f aca="false">F94*I94</f>
        <v>150</v>
      </c>
      <c r="K94" s="18" t="s">
        <v>52</v>
      </c>
    </row>
    <row r="95" customFormat="false" ht="23.85" hidden="false" customHeight="false" outlineLevel="0" collapsed="false">
      <c r="A95" s="13" t="n">
        <v>91</v>
      </c>
      <c r="B95" s="14" t="s">
        <v>148</v>
      </c>
      <c r="C95" s="14" t="s">
        <v>773</v>
      </c>
      <c r="D95" s="14" t="s">
        <v>774</v>
      </c>
      <c r="E95" s="13" t="s">
        <v>58</v>
      </c>
      <c r="F95" s="15" t="n">
        <v>1</v>
      </c>
      <c r="G95" s="13" t="s">
        <v>50</v>
      </c>
      <c r="H95" s="13" t="s">
        <v>59</v>
      </c>
      <c r="I95" s="16" t="n">
        <v>250</v>
      </c>
      <c r="J95" s="17" t="n">
        <f aca="false">F95*I95</f>
        <v>250</v>
      </c>
      <c r="K95" s="18" t="s">
        <v>52</v>
      </c>
    </row>
    <row r="96" customFormat="false" ht="23.85" hidden="false" customHeight="false" outlineLevel="0" collapsed="false">
      <c r="A96" s="13" t="n">
        <v>92</v>
      </c>
      <c r="B96" s="14" t="s">
        <v>148</v>
      </c>
      <c r="C96" s="14" t="s">
        <v>225</v>
      </c>
      <c r="D96" s="14" t="s">
        <v>226</v>
      </c>
      <c r="E96" s="13" t="s">
        <v>58</v>
      </c>
      <c r="F96" s="15" t="n">
        <v>1</v>
      </c>
      <c r="G96" s="13" t="s">
        <v>50</v>
      </c>
      <c r="H96" s="13" t="s">
        <v>72</v>
      </c>
      <c r="I96" s="16" t="n">
        <v>450</v>
      </c>
      <c r="J96" s="17" t="n">
        <f aca="false">F96*I96</f>
        <v>450</v>
      </c>
      <c r="K96" s="18" t="s">
        <v>52</v>
      </c>
    </row>
    <row r="97" customFormat="false" ht="23.85" hidden="false" customHeight="false" outlineLevel="0" collapsed="false">
      <c r="A97" s="13" t="n">
        <v>93</v>
      </c>
      <c r="B97" s="14" t="s">
        <v>148</v>
      </c>
      <c r="C97" s="14" t="s">
        <v>227</v>
      </c>
      <c r="D97" s="14" t="s">
        <v>775</v>
      </c>
      <c r="E97" s="13" t="s">
        <v>75</v>
      </c>
      <c r="F97" s="15" t="n">
        <v>2</v>
      </c>
      <c r="G97" s="13" t="s">
        <v>50</v>
      </c>
      <c r="H97" s="13" t="s">
        <v>59</v>
      </c>
      <c r="I97" s="16" t="n">
        <v>450</v>
      </c>
      <c r="J97" s="17" t="n">
        <f aca="false">F97*I97</f>
        <v>900</v>
      </c>
      <c r="K97" s="18" t="s">
        <v>52</v>
      </c>
    </row>
    <row r="98" customFormat="false" ht="23.85" hidden="false" customHeight="false" outlineLevel="0" collapsed="false">
      <c r="A98" s="13" t="n">
        <v>94</v>
      </c>
      <c r="B98" s="14" t="s">
        <v>148</v>
      </c>
      <c r="C98" s="14" t="s">
        <v>229</v>
      </c>
      <c r="D98" s="14" t="s">
        <v>190</v>
      </c>
      <c r="E98" s="13" t="s">
        <v>75</v>
      </c>
      <c r="F98" s="15" t="n">
        <v>2</v>
      </c>
      <c r="G98" s="13" t="s">
        <v>50</v>
      </c>
      <c r="H98" s="13" t="s">
        <v>59</v>
      </c>
      <c r="I98" s="16" t="n">
        <v>400</v>
      </c>
      <c r="J98" s="17" t="n">
        <f aca="false">F98*I98</f>
        <v>800</v>
      </c>
      <c r="K98" s="18" t="s">
        <v>52</v>
      </c>
    </row>
    <row r="99" customFormat="false" ht="23.85" hidden="false" customHeight="false" outlineLevel="0" collapsed="false">
      <c r="A99" s="13" t="n">
        <v>95</v>
      </c>
      <c r="B99" s="14" t="s">
        <v>148</v>
      </c>
      <c r="C99" s="14" t="s">
        <v>233</v>
      </c>
      <c r="D99" s="14" t="s">
        <v>776</v>
      </c>
      <c r="E99" s="13" t="s">
        <v>58</v>
      </c>
      <c r="F99" s="15" t="n">
        <v>1</v>
      </c>
      <c r="G99" s="13" t="s">
        <v>50</v>
      </c>
      <c r="H99" s="13" t="s">
        <v>59</v>
      </c>
      <c r="I99" s="16" t="n">
        <v>350</v>
      </c>
      <c r="J99" s="17" t="n">
        <f aca="false">F99*I99</f>
        <v>350</v>
      </c>
      <c r="K99" s="18" t="s">
        <v>52</v>
      </c>
    </row>
    <row r="100" customFormat="false" ht="23.85" hidden="false" customHeight="false" outlineLevel="0" collapsed="false">
      <c r="A100" s="13" t="n">
        <v>96</v>
      </c>
      <c r="B100" s="14" t="s">
        <v>148</v>
      </c>
      <c r="C100" s="14" t="s">
        <v>235</v>
      </c>
      <c r="D100" s="14" t="s">
        <v>236</v>
      </c>
      <c r="E100" s="13" t="s">
        <v>58</v>
      </c>
      <c r="F100" s="15" t="n">
        <v>1</v>
      </c>
      <c r="G100" s="13" t="s">
        <v>50</v>
      </c>
      <c r="H100" s="13" t="s">
        <v>59</v>
      </c>
      <c r="I100" s="16" t="n">
        <v>14000</v>
      </c>
      <c r="J100" s="17" t="n">
        <f aca="false">F100*I100</f>
        <v>14000</v>
      </c>
      <c r="K100" s="18" t="s">
        <v>52</v>
      </c>
    </row>
    <row r="101" customFormat="false" ht="23.85" hidden="false" customHeight="false" outlineLevel="0" collapsed="false">
      <c r="A101" s="13" t="n">
        <v>97</v>
      </c>
      <c r="B101" s="14" t="s">
        <v>148</v>
      </c>
      <c r="C101" s="14" t="s">
        <v>237</v>
      </c>
      <c r="D101" s="14" t="s">
        <v>777</v>
      </c>
      <c r="E101" s="13" t="s">
        <v>58</v>
      </c>
      <c r="F101" s="15" t="n">
        <v>1</v>
      </c>
      <c r="G101" s="13" t="s">
        <v>50</v>
      </c>
      <c r="H101" s="13" t="s">
        <v>72</v>
      </c>
      <c r="I101" s="16" t="n">
        <v>1500</v>
      </c>
      <c r="J101" s="17" t="n">
        <f aca="false">F101*I101</f>
        <v>1500</v>
      </c>
      <c r="K101" s="18" t="s">
        <v>52</v>
      </c>
    </row>
    <row r="102" customFormat="false" ht="23.85" hidden="false" customHeight="false" outlineLevel="0" collapsed="false">
      <c r="A102" s="13" t="n">
        <v>98</v>
      </c>
      <c r="B102" s="14" t="s">
        <v>148</v>
      </c>
      <c r="C102" s="14" t="s">
        <v>239</v>
      </c>
      <c r="D102" s="14" t="s">
        <v>778</v>
      </c>
      <c r="E102" s="13" t="s">
        <v>58</v>
      </c>
      <c r="F102" s="15" t="n">
        <v>1</v>
      </c>
      <c r="G102" s="13" t="s">
        <v>50</v>
      </c>
      <c r="H102" s="13" t="s">
        <v>72</v>
      </c>
      <c r="I102" s="16" t="n">
        <v>450</v>
      </c>
      <c r="J102" s="17" t="n">
        <f aca="false">F102*I102</f>
        <v>450</v>
      </c>
      <c r="K102" s="18" t="s">
        <v>52</v>
      </c>
    </row>
    <row r="103" customFormat="false" ht="23.85" hidden="false" customHeight="false" outlineLevel="0" collapsed="false">
      <c r="A103" s="13" t="n">
        <v>99</v>
      </c>
      <c r="B103" s="14" t="s">
        <v>148</v>
      </c>
      <c r="C103" s="14" t="s">
        <v>241</v>
      </c>
      <c r="D103" s="14" t="s">
        <v>242</v>
      </c>
      <c r="E103" s="13" t="s">
        <v>58</v>
      </c>
      <c r="F103" s="15" t="n">
        <v>1</v>
      </c>
      <c r="G103" s="13" t="s">
        <v>50</v>
      </c>
      <c r="H103" s="13" t="s">
        <v>59</v>
      </c>
      <c r="I103" s="16" t="n">
        <v>350</v>
      </c>
      <c r="J103" s="17" t="n">
        <f aca="false">F103*I103</f>
        <v>350</v>
      </c>
      <c r="K103" s="18" t="s">
        <v>52</v>
      </c>
    </row>
    <row r="104" customFormat="false" ht="23.85" hidden="false" customHeight="false" outlineLevel="0" collapsed="false">
      <c r="A104" s="13" t="n">
        <v>100</v>
      </c>
      <c r="B104" s="14" t="s">
        <v>148</v>
      </c>
      <c r="C104" s="14" t="s">
        <v>243</v>
      </c>
      <c r="D104" s="14" t="s">
        <v>244</v>
      </c>
      <c r="E104" s="13" t="s">
        <v>58</v>
      </c>
      <c r="F104" s="15" t="n">
        <v>1</v>
      </c>
      <c r="G104" s="13" t="s">
        <v>50</v>
      </c>
      <c r="H104" s="13" t="s">
        <v>51</v>
      </c>
      <c r="I104" s="16" t="n">
        <v>180</v>
      </c>
      <c r="J104" s="17" t="n">
        <f aca="false">F104*I104</f>
        <v>180</v>
      </c>
      <c r="K104" s="18" t="s">
        <v>52</v>
      </c>
    </row>
    <row r="105" customFormat="false" ht="23.85" hidden="false" customHeight="false" outlineLevel="0" collapsed="false">
      <c r="A105" s="13" t="n">
        <v>101</v>
      </c>
      <c r="B105" s="14" t="s">
        <v>148</v>
      </c>
      <c r="C105" s="14" t="s">
        <v>245</v>
      </c>
      <c r="D105" s="14" t="s">
        <v>779</v>
      </c>
      <c r="E105" s="13" t="s">
        <v>58</v>
      </c>
      <c r="F105" s="15" t="n">
        <v>1</v>
      </c>
      <c r="G105" s="13" t="s">
        <v>50</v>
      </c>
      <c r="H105" s="13" t="s">
        <v>59</v>
      </c>
      <c r="I105" s="16" t="n">
        <v>1500</v>
      </c>
      <c r="J105" s="17" t="n">
        <f aca="false">F105*I105</f>
        <v>1500</v>
      </c>
      <c r="K105" s="18" t="s">
        <v>52</v>
      </c>
    </row>
    <row r="106" customFormat="false" ht="23.85" hidden="false" customHeight="false" outlineLevel="0" collapsed="false">
      <c r="A106" s="13" t="n">
        <v>102</v>
      </c>
      <c r="B106" s="14" t="s">
        <v>148</v>
      </c>
      <c r="C106" s="14" t="s">
        <v>247</v>
      </c>
      <c r="D106" s="14" t="s">
        <v>780</v>
      </c>
      <c r="E106" s="13" t="s">
        <v>58</v>
      </c>
      <c r="F106" s="15" t="n">
        <v>1</v>
      </c>
      <c r="G106" s="13" t="s">
        <v>50</v>
      </c>
      <c r="H106" s="13" t="s">
        <v>59</v>
      </c>
      <c r="I106" s="16" t="n">
        <v>450</v>
      </c>
      <c r="J106" s="17" t="n">
        <f aca="false">F106*I106</f>
        <v>450</v>
      </c>
      <c r="K106" s="18" t="s">
        <v>52</v>
      </c>
    </row>
    <row r="107" customFormat="false" ht="23.85" hidden="false" customHeight="false" outlineLevel="0" collapsed="false">
      <c r="A107" s="13" t="n">
        <v>103</v>
      </c>
      <c r="B107" s="14" t="s">
        <v>148</v>
      </c>
      <c r="C107" s="14" t="s">
        <v>249</v>
      </c>
      <c r="D107" s="14" t="s">
        <v>780</v>
      </c>
      <c r="E107" s="13" t="s">
        <v>58</v>
      </c>
      <c r="F107" s="15" t="n">
        <v>1</v>
      </c>
      <c r="G107" s="13" t="s">
        <v>50</v>
      </c>
      <c r="H107" s="13" t="s">
        <v>59</v>
      </c>
      <c r="I107" s="16" t="n">
        <v>450</v>
      </c>
      <c r="J107" s="17" t="n">
        <f aca="false">F107*I107</f>
        <v>450</v>
      </c>
      <c r="K107" s="18" t="s">
        <v>52</v>
      </c>
    </row>
    <row r="108" customFormat="false" ht="23.85" hidden="false" customHeight="false" outlineLevel="0" collapsed="false">
      <c r="A108" s="13" t="n">
        <v>104</v>
      </c>
      <c r="B108" s="14" t="s">
        <v>148</v>
      </c>
      <c r="C108" s="14" t="s">
        <v>250</v>
      </c>
      <c r="D108" s="14" t="s">
        <v>360</v>
      </c>
      <c r="E108" s="13" t="s">
        <v>58</v>
      </c>
      <c r="F108" s="15" t="n">
        <v>1</v>
      </c>
      <c r="G108" s="13" t="s">
        <v>50</v>
      </c>
      <c r="H108" s="13" t="s">
        <v>59</v>
      </c>
      <c r="I108" s="16" t="n">
        <v>180</v>
      </c>
      <c r="J108" s="17" t="n">
        <f aca="false">F108*I108</f>
        <v>180</v>
      </c>
      <c r="K108" s="18" t="s">
        <v>52</v>
      </c>
    </row>
    <row r="109" customFormat="false" ht="23.85" hidden="false" customHeight="false" outlineLevel="0" collapsed="false">
      <c r="A109" s="13" t="n">
        <v>105</v>
      </c>
      <c r="B109" s="14" t="s">
        <v>148</v>
      </c>
      <c r="C109" s="14" t="s">
        <v>781</v>
      </c>
      <c r="D109" s="14" t="s">
        <v>761</v>
      </c>
      <c r="E109" s="13" t="s">
        <v>49</v>
      </c>
      <c r="F109" s="15" t="n">
        <v>15</v>
      </c>
      <c r="G109" s="13" t="s">
        <v>50</v>
      </c>
      <c r="H109" s="13" t="s">
        <v>59</v>
      </c>
      <c r="I109" s="16" t="n">
        <v>30</v>
      </c>
      <c r="J109" s="17" t="n">
        <f aca="false">F109*I109</f>
        <v>450</v>
      </c>
      <c r="K109" s="18" t="s">
        <v>52</v>
      </c>
    </row>
    <row r="110" customFormat="false" ht="23.85" hidden="false" customHeight="false" outlineLevel="0" collapsed="false">
      <c r="A110" s="13" t="n">
        <v>106</v>
      </c>
      <c r="B110" s="14" t="s">
        <v>148</v>
      </c>
      <c r="C110" s="14" t="s">
        <v>254</v>
      </c>
      <c r="D110" s="14" t="s">
        <v>782</v>
      </c>
      <c r="E110" s="13" t="s">
        <v>58</v>
      </c>
      <c r="F110" s="15" t="n">
        <v>1</v>
      </c>
      <c r="G110" s="13" t="s">
        <v>50</v>
      </c>
      <c r="H110" s="13" t="s">
        <v>72</v>
      </c>
      <c r="I110" s="16" t="n">
        <v>900</v>
      </c>
      <c r="J110" s="17" t="n">
        <f aca="false">F110*I110</f>
        <v>900</v>
      </c>
      <c r="K110" s="18" t="s">
        <v>52</v>
      </c>
    </row>
    <row r="111" customFormat="false" ht="23.85" hidden="false" customHeight="false" outlineLevel="0" collapsed="false">
      <c r="A111" s="13" t="n">
        <v>107</v>
      </c>
      <c r="B111" s="14" t="s">
        <v>148</v>
      </c>
      <c r="C111" s="14" t="s">
        <v>256</v>
      </c>
      <c r="D111" s="14" t="s">
        <v>190</v>
      </c>
      <c r="E111" s="13" t="s">
        <v>58</v>
      </c>
      <c r="F111" s="15" t="n">
        <v>1</v>
      </c>
      <c r="G111" s="13" t="s">
        <v>50</v>
      </c>
      <c r="H111" s="13" t="s">
        <v>59</v>
      </c>
      <c r="I111" s="16" t="n">
        <v>450</v>
      </c>
      <c r="J111" s="17" t="n">
        <f aca="false">F111*I111</f>
        <v>450</v>
      </c>
      <c r="K111" s="18" t="s">
        <v>52</v>
      </c>
    </row>
    <row r="112" customFormat="false" ht="23.85" hidden="false" customHeight="false" outlineLevel="0" collapsed="false">
      <c r="A112" s="13" t="n">
        <v>108</v>
      </c>
      <c r="B112" s="14" t="s">
        <v>148</v>
      </c>
      <c r="C112" s="14" t="s">
        <v>258</v>
      </c>
      <c r="D112" s="14" t="s">
        <v>184</v>
      </c>
      <c r="E112" s="13" t="s">
        <v>58</v>
      </c>
      <c r="F112" s="15" t="n">
        <v>1</v>
      </c>
      <c r="G112" s="13" t="s">
        <v>50</v>
      </c>
      <c r="H112" s="13" t="s">
        <v>59</v>
      </c>
      <c r="I112" s="16" t="n">
        <v>300</v>
      </c>
      <c r="J112" s="17" t="n">
        <f aca="false">F112*I112</f>
        <v>300</v>
      </c>
      <c r="K112" s="18" t="s">
        <v>52</v>
      </c>
    </row>
    <row r="113" customFormat="false" ht="23.85" hidden="false" customHeight="false" outlineLevel="0" collapsed="false">
      <c r="A113" s="13" t="n">
        <v>109</v>
      </c>
      <c r="B113" s="14" t="s">
        <v>148</v>
      </c>
      <c r="C113" s="14" t="s">
        <v>260</v>
      </c>
      <c r="D113" s="14" t="s">
        <v>358</v>
      </c>
      <c r="E113" s="13" t="s">
        <v>58</v>
      </c>
      <c r="F113" s="15" t="n">
        <v>1</v>
      </c>
      <c r="G113" s="13" t="s">
        <v>50</v>
      </c>
      <c r="H113" s="13" t="s">
        <v>59</v>
      </c>
      <c r="I113" s="16" t="n">
        <v>300</v>
      </c>
      <c r="J113" s="17" t="n">
        <f aca="false">F113*I113</f>
        <v>300</v>
      </c>
      <c r="K113" s="18" t="s">
        <v>52</v>
      </c>
    </row>
    <row r="114" customFormat="false" ht="23.85" hidden="false" customHeight="false" outlineLevel="0" collapsed="false">
      <c r="A114" s="13" t="n">
        <v>110</v>
      </c>
      <c r="B114" s="14" t="s">
        <v>148</v>
      </c>
      <c r="C114" s="14" t="s">
        <v>262</v>
      </c>
      <c r="D114" s="14" t="s">
        <v>783</v>
      </c>
      <c r="E114" s="13" t="s">
        <v>58</v>
      </c>
      <c r="F114" s="15" t="n">
        <v>1</v>
      </c>
      <c r="G114" s="13" t="s">
        <v>50</v>
      </c>
      <c r="H114" s="13" t="s">
        <v>59</v>
      </c>
      <c r="I114" s="16" t="n">
        <v>4500</v>
      </c>
      <c r="J114" s="17" t="n">
        <f aca="false">F114*I114</f>
        <v>4500</v>
      </c>
      <c r="K114" s="18" t="s">
        <v>52</v>
      </c>
    </row>
    <row r="115" customFormat="false" ht="23.85" hidden="false" customHeight="false" outlineLevel="0" collapsed="false">
      <c r="A115" s="13" t="n">
        <v>111</v>
      </c>
      <c r="B115" s="14" t="s">
        <v>148</v>
      </c>
      <c r="C115" s="14" t="s">
        <v>784</v>
      </c>
      <c r="D115" s="14" t="s">
        <v>785</v>
      </c>
      <c r="E115" s="13" t="s">
        <v>58</v>
      </c>
      <c r="F115" s="15" t="n">
        <v>1</v>
      </c>
      <c r="G115" s="13" t="s">
        <v>50</v>
      </c>
      <c r="H115" s="13" t="s">
        <v>59</v>
      </c>
      <c r="I115" s="16" t="n">
        <v>3500</v>
      </c>
      <c r="J115" s="17" t="n">
        <f aca="false">F115*I115</f>
        <v>3500</v>
      </c>
      <c r="K115" s="18" t="s">
        <v>52</v>
      </c>
    </row>
    <row r="116" customFormat="false" ht="23.85" hidden="false" customHeight="false" outlineLevel="0" collapsed="false">
      <c r="A116" s="13" t="n">
        <v>112</v>
      </c>
      <c r="B116" s="14" t="s">
        <v>148</v>
      </c>
      <c r="C116" s="14" t="s">
        <v>786</v>
      </c>
      <c r="D116" s="14" t="s">
        <v>787</v>
      </c>
      <c r="E116" s="13" t="s">
        <v>75</v>
      </c>
      <c r="F116" s="15" t="n">
        <v>2</v>
      </c>
      <c r="G116" s="13" t="s">
        <v>50</v>
      </c>
      <c r="H116" s="13" t="s">
        <v>59</v>
      </c>
      <c r="I116" s="16" t="n">
        <v>2500</v>
      </c>
      <c r="J116" s="17" t="n">
        <f aca="false">F116*I116</f>
        <v>5000</v>
      </c>
      <c r="K116" s="18" t="s">
        <v>52</v>
      </c>
    </row>
    <row r="117" customFormat="false" ht="23.85" hidden="false" customHeight="false" outlineLevel="0" collapsed="false">
      <c r="A117" s="13" t="n">
        <v>113</v>
      </c>
      <c r="B117" s="14" t="s">
        <v>148</v>
      </c>
      <c r="C117" s="14" t="s">
        <v>268</v>
      </c>
      <c r="D117" s="14" t="s">
        <v>788</v>
      </c>
      <c r="E117" s="13" t="s">
        <v>58</v>
      </c>
      <c r="F117" s="15" t="n">
        <v>1</v>
      </c>
      <c r="G117" s="13" t="s">
        <v>50</v>
      </c>
      <c r="H117" s="13" t="s">
        <v>72</v>
      </c>
      <c r="I117" s="16" t="n">
        <v>1200</v>
      </c>
      <c r="J117" s="17" t="n">
        <f aca="false">F117*I117</f>
        <v>1200</v>
      </c>
      <c r="K117" s="18" t="s">
        <v>52</v>
      </c>
    </row>
    <row r="118" customFormat="false" ht="23.85" hidden="false" customHeight="false" outlineLevel="0" collapsed="false">
      <c r="A118" s="13" t="n">
        <v>114</v>
      </c>
      <c r="B118" s="14" t="s">
        <v>148</v>
      </c>
      <c r="C118" s="14" t="s">
        <v>270</v>
      </c>
      <c r="D118" s="14" t="s">
        <v>789</v>
      </c>
      <c r="E118" s="13" t="s">
        <v>58</v>
      </c>
      <c r="F118" s="15" t="n">
        <v>1</v>
      </c>
      <c r="G118" s="13" t="s">
        <v>50</v>
      </c>
      <c r="H118" s="13" t="s">
        <v>72</v>
      </c>
      <c r="I118" s="16" t="n">
        <v>1500</v>
      </c>
      <c r="J118" s="17" t="n">
        <f aca="false">F118*I118</f>
        <v>1500</v>
      </c>
      <c r="K118" s="18" t="s">
        <v>52</v>
      </c>
    </row>
    <row r="119" customFormat="false" ht="23.85" hidden="false" customHeight="false" outlineLevel="0" collapsed="false">
      <c r="A119" s="13" t="n">
        <v>115</v>
      </c>
      <c r="B119" s="14" t="s">
        <v>148</v>
      </c>
      <c r="C119" s="14" t="s">
        <v>272</v>
      </c>
      <c r="D119" s="14" t="s">
        <v>273</v>
      </c>
      <c r="E119" s="13" t="s">
        <v>58</v>
      </c>
      <c r="F119" s="15" t="n">
        <v>1</v>
      </c>
      <c r="G119" s="13" t="s">
        <v>50</v>
      </c>
      <c r="H119" s="13" t="s">
        <v>72</v>
      </c>
      <c r="I119" s="16" t="n">
        <v>2500</v>
      </c>
      <c r="J119" s="17" t="n">
        <f aca="false">F119*I119</f>
        <v>2500</v>
      </c>
      <c r="K119" s="18" t="s">
        <v>52</v>
      </c>
    </row>
    <row r="120" customFormat="false" ht="23.85" hidden="false" customHeight="false" outlineLevel="0" collapsed="false">
      <c r="A120" s="13" t="n">
        <v>116</v>
      </c>
      <c r="B120" s="14" t="s">
        <v>148</v>
      </c>
      <c r="C120" s="14" t="s">
        <v>274</v>
      </c>
      <c r="D120" s="14" t="s">
        <v>275</v>
      </c>
      <c r="E120" s="13" t="s">
        <v>58</v>
      </c>
      <c r="F120" s="15" t="n">
        <v>1</v>
      </c>
      <c r="G120" s="13" t="s">
        <v>50</v>
      </c>
      <c r="H120" s="13" t="s">
        <v>59</v>
      </c>
      <c r="I120" s="16" t="n">
        <v>450</v>
      </c>
      <c r="J120" s="17" t="n">
        <f aca="false">F120*I120</f>
        <v>450</v>
      </c>
      <c r="K120" s="18" t="s">
        <v>52</v>
      </c>
    </row>
    <row r="121" customFormat="false" ht="23.85" hidden="false" customHeight="false" outlineLevel="0" collapsed="false">
      <c r="A121" s="13" t="n">
        <v>117</v>
      </c>
      <c r="B121" s="14" t="s">
        <v>148</v>
      </c>
      <c r="C121" s="14" t="s">
        <v>790</v>
      </c>
      <c r="D121" s="14" t="s">
        <v>791</v>
      </c>
      <c r="E121" s="13" t="s">
        <v>58</v>
      </c>
      <c r="F121" s="15" t="n">
        <v>1</v>
      </c>
      <c r="G121" s="13" t="s">
        <v>50</v>
      </c>
      <c r="H121" s="13" t="s">
        <v>59</v>
      </c>
      <c r="I121" s="16" t="n">
        <v>12000</v>
      </c>
      <c r="J121" s="17" t="n">
        <f aca="false">F121*I121</f>
        <v>12000</v>
      </c>
      <c r="K121" s="18" t="s">
        <v>52</v>
      </c>
    </row>
    <row r="122" customFormat="false" ht="23.85" hidden="false" customHeight="false" outlineLevel="0" collapsed="false">
      <c r="A122" s="13" t="n">
        <v>118</v>
      </c>
      <c r="B122" s="14" t="s">
        <v>148</v>
      </c>
      <c r="C122" s="14" t="s">
        <v>278</v>
      </c>
      <c r="D122" s="14" t="s">
        <v>792</v>
      </c>
      <c r="E122" s="13" t="s">
        <v>58</v>
      </c>
      <c r="F122" s="15" t="n">
        <v>1</v>
      </c>
      <c r="G122" s="13" t="s">
        <v>50</v>
      </c>
      <c r="H122" s="13" t="s">
        <v>280</v>
      </c>
      <c r="I122" s="16" t="n">
        <v>250</v>
      </c>
      <c r="J122" s="17" t="n">
        <f aca="false">F122*I122</f>
        <v>250</v>
      </c>
      <c r="K122" s="18" t="s">
        <v>52</v>
      </c>
    </row>
    <row r="123" customFormat="false" ht="23.85" hidden="false" customHeight="false" outlineLevel="0" collapsed="false">
      <c r="A123" s="13" t="n">
        <v>119</v>
      </c>
      <c r="B123" s="14" t="s">
        <v>148</v>
      </c>
      <c r="C123" s="14" t="s">
        <v>281</v>
      </c>
      <c r="D123" s="14" t="s">
        <v>793</v>
      </c>
      <c r="E123" s="13" t="s">
        <v>58</v>
      </c>
      <c r="F123" s="15" t="n">
        <v>1</v>
      </c>
      <c r="G123" s="13" t="s">
        <v>50</v>
      </c>
      <c r="H123" s="13" t="s">
        <v>59</v>
      </c>
      <c r="I123" s="16" t="n">
        <v>350</v>
      </c>
      <c r="J123" s="17" t="n">
        <f aca="false">F123*I123</f>
        <v>350</v>
      </c>
      <c r="K123" s="18" t="s">
        <v>52</v>
      </c>
    </row>
    <row r="124" customFormat="false" ht="23.85" hidden="false" customHeight="false" outlineLevel="0" collapsed="false">
      <c r="A124" s="13" t="n">
        <v>120</v>
      </c>
      <c r="B124" s="14" t="s">
        <v>148</v>
      </c>
      <c r="C124" s="14" t="s">
        <v>283</v>
      </c>
      <c r="D124" s="14" t="s">
        <v>794</v>
      </c>
      <c r="E124" s="13" t="s">
        <v>75</v>
      </c>
      <c r="F124" s="15" t="n">
        <v>2</v>
      </c>
      <c r="G124" s="13" t="s">
        <v>50</v>
      </c>
      <c r="H124" s="13" t="s">
        <v>59</v>
      </c>
      <c r="I124" s="16" t="n">
        <v>100</v>
      </c>
      <c r="J124" s="17" t="n">
        <f aca="false">F124*I124</f>
        <v>200</v>
      </c>
      <c r="K124" s="18" t="s">
        <v>52</v>
      </c>
    </row>
    <row r="125" customFormat="false" ht="23.85" hidden="false" customHeight="false" outlineLevel="0" collapsed="false">
      <c r="A125" s="13" t="n">
        <v>121</v>
      </c>
      <c r="B125" s="14" t="s">
        <v>148</v>
      </c>
      <c r="C125" s="14" t="s">
        <v>795</v>
      </c>
      <c r="D125" s="14" t="s">
        <v>756</v>
      </c>
      <c r="E125" s="13" t="s">
        <v>75</v>
      </c>
      <c r="F125" s="15" t="n">
        <v>2</v>
      </c>
      <c r="G125" s="13" t="s">
        <v>50</v>
      </c>
      <c r="H125" s="13" t="s">
        <v>59</v>
      </c>
      <c r="I125" s="16" t="n">
        <v>450</v>
      </c>
      <c r="J125" s="17" t="n">
        <f aca="false">F125*I125</f>
        <v>900</v>
      </c>
      <c r="K125" s="18" t="s">
        <v>52</v>
      </c>
    </row>
    <row r="126" customFormat="false" ht="23.85" hidden="false" customHeight="false" outlineLevel="0" collapsed="false">
      <c r="A126" s="13" t="n">
        <v>122</v>
      </c>
      <c r="B126" s="14" t="s">
        <v>148</v>
      </c>
      <c r="C126" s="14" t="s">
        <v>796</v>
      </c>
      <c r="D126" s="14" t="s">
        <v>287</v>
      </c>
      <c r="E126" s="13" t="s">
        <v>58</v>
      </c>
      <c r="F126" s="15" t="n">
        <v>1</v>
      </c>
      <c r="G126" s="13" t="s">
        <v>50</v>
      </c>
      <c r="H126" s="13" t="s">
        <v>59</v>
      </c>
      <c r="I126" s="16" t="n">
        <v>250</v>
      </c>
      <c r="J126" s="17" t="n">
        <f aca="false">F126*I126</f>
        <v>250</v>
      </c>
      <c r="K126" s="18" t="s">
        <v>52</v>
      </c>
    </row>
    <row r="127" customFormat="false" ht="23.85" hidden="false" customHeight="false" outlineLevel="0" collapsed="false">
      <c r="A127" s="13" t="n">
        <v>123</v>
      </c>
      <c r="B127" s="14" t="s">
        <v>148</v>
      </c>
      <c r="C127" s="14" t="s">
        <v>288</v>
      </c>
      <c r="D127" s="14" t="s">
        <v>797</v>
      </c>
      <c r="E127" s="13" t="s">
        <v>58</v>
      </c>
      <c r="F127" s="15" t="n">
        <v>1</v>
      </c>
      <c r="G127" s="13" t="s">
        <v>50</v>
      </c>
      <c r="H127" s="13" t="s">
        <v>59</v>
      </c>
      <c r="I127" s="16" t="n">
        <v>450</v>
      </c>
      <c r="J127" s="17" t="n">
        <f aca="false">F127*I127</f>
        <v>450</v>
      </c>
      <c r="K127" s="18" t="s">
        <v>52</v>
      </c>
    </row>
    <row r="128" customFormat="false" ht="23.85" hidden="false" customHeight="false" outlineLevel="0" collapsed="false">
      <c r="A128" s="13" t="n">
        <v>124</v>
      </c>
      <c r="B128" s="14" t="s">
        <v>148</v>
      </c>
      <c r="C128" s="14" t="s">
        <v>290</v>
      </c>
      <c r="D128" s="14" t="s">
        <v>798</v>
      </c>
      <c r="E128" s="13" t="s">
        <v>58</v>
      </c>
      <c r="F128" s="15" t="n">
        <v>1</v>
      </c>
      <c r="G128" s="13" t="s">
        <v>50</v>
      </c>
      <c r="H128" s="13" t="s">
        <v>72</v>
      </c>
      <c r="I128" s="16" t="n">
        <v>900</v>
      </c>
      <c r="J128" s="17" t="n">
        <f aca="false">F128*I128</f>
        <v>900</v>
      </c>
      <c r="K128" s="18" t="s">
        <v>52</v>
      </c>
    </row>
    <row r="129" customFormat="false" ht="23.85" hidden="false" customHeight="false" outlineLevel="0" collapsed="false">
      <c r="A129" s="13" t="n">
        <v>125</v>
      </c>
      <c r="B129" s="14" t="s">
        <v>148</v>
      </c>
      <c r="C129" s="14" t="s">
        <v>799</v>
      </c>
      <c r="D129" s="14" t="s">
        <v>293</v>
      </c>
      <c r="E129" s="13" t="s">
        <v>58</v>
      </c>
      <c r="F129" s="15" t="n">
        <v>1</v>
      </c>
      <c r="G129" s="13" t="s">
        <v>50</v>
      </c>
      <c r="H129" s="13" t="s">
        <v>59</v>
      </c>
      <c r="I129" s="16" t="n">
        <v>300</v>
      </c>
      <c r="J129" s="17" t="n">
        <f aca="false">F129*I129</f>
        <v>300</v>
      </c>
      <c r="K129" s="18" t="s">
        <v>52</v>
      </c>
    </row>
    <row r="130" customFormat="false" ht="23.85" hidden="false" customHeight="false" outlineLevel="0" collapsed="false">
      <c r="A130" s="13" t="n">
        <v>126</v>
      </c>
      <c r="B130" s="14" t="s">
        <v>148</v>
      </c>
      <c r="C130" s="14" t="s">
        <v>294</v>
      </c>
      <c r="D130" s="14" t="s">
        <v>295</v>
      </c>
      <c r="E130" s="13" t="s">
        <v>58</v>
      </c>
      <c r="F130" s="15" t="n">
        <v>1</v>
      </c>
      <c r="G130" s="13" t="s">
        <v>50</v>
      </c>
      <c r="H130" s="13" t="s">
        <v>51</v>
      </c>
      <c r="I130" s="16" t="n">
        <v>350</v>
      </c>
      <c r="J130" s="17" t="n">
        <f aca="false">F130*I130</f>
        <v>350</v>
      </c>
      <c r="K130" s="18" t="s">
        <v>52</v>
      </c>
    </row>
    <row r="131" customFormat="false" ht="23.85" hidden="false" customHeight="false" outlineLevel="0" collapsed="false">
      <c r="A131" s="13" t="n">
        <v>127</v>
      </c>
      <c r="B131" s="14" t="s">
        <v>148</v>
      </c>
      <c r="C131" s="14" t="s">
        <v>296</v>
      </c>
      <c r="D131" s="14" t="s">
        <v>800</v>
      </c>
      <c r="E131" s="13" t="s">
        <v>58</v>
      </c>
      <c r="F131" s="15" t="n">
        <v>1</v>
      </c>
      <c r="G131" s="13" t="s">
        <v>50</v>
      </c>
      <c r="H131" s="13" t="s">
        <v>298</v>
      </c>
      <c r="I131" s="16" t="n">
        <v>150</v>
      </c>
      <c r="J131" s="17" t="n">
        <f aca="false">F131*I131</f>
        <v>150</v>
      </c>
      <c r="K131" s="18" t="s">
        <v>52</v>
      </c>
    </row>
    <row r="132" customFormat="false" ht="23.85" hidden="false" customHeight="false" outlineLevel="0" collapsed="false">
      <c r="A132" s="13" t="n">
        <v>128</v>
      </c>
      <c r="B132" s="14" t="s">
        <v>148</v>
      </c>
      <c r="C132" s="14" t="s">
        <v>299</v>
      </c>
      <c r="D132" s="14" t="s">
        <v>300</v>
      </c>
      <c r="E132" s="13" t="s">
        <v>58</v>
      </c>
      <c r="F132" s="15" t="n">
        <v>1</v>
      </c>
      <c r="G132" s="13" t="s">
        <v>50</v>
      </c>
      <c r="H132" s="13" t="s">
        <v>59</v>
      </c>
      <c r="I132" s="16" t="n">
        <v>450</v>
      </c>
      <c r="J132" s="17" t="n">
        <f aca="false">F132*I132</f>
        <v>450</v>
      </c>
      <c r="K132" s="18" t="s">
        <v>52</v>
      </c>
    </row>
    <row r="133" customFormat="false" ht="23.85" hidden="false" customHeight="false" outlineLevel="0" collapsed="false">
      <c r="A133" s="13" t="n">
        <v>129</v>
      </c>
      <c r="B133" s="14" t="s">
        <v>148</v>
      </c>
      <c r="C133" s="14" t="s">
        <v>801</v>
      </c>
      <c r="D133" s="14" t="s">
        <v>802</v>
      </c>
      <c r="E133" s="13" t="s">
        <v>58</v>
      </c>
      <c r="F133" s="15" t="n">
        <v>1</v>
      </c>
      <c r="G133" s="13" t="s">
        <v>50</v>
      </c>
      <c r="H133" s="13" t="s">
        <v>72</v>
      </c>
      <c r="I133" s="16" t="n">
        <v>600</v>
      </c>
      <c r="J133" s="17" t="n">
        <f aca="false">F133*I133</f>
        <v>600</v>
      </c>
      <c r="K133" s="18" t="s">
        <v>52</v>
      </c>
    </row>
    <row r="134" customFormat="false" ht="23.85" hidden="false" customHeight="false" outlineLevel="0" collapsed="false">
      <c r="A134" s="13" t="n">
        <v>130</v>
      </c>
      <c r="B134" s="14" t="s">
        <v>148</v>
      </c>
      <c r="C134" s="14" t="s">
        <v>803</v>
      </c>
      <c r="D134" s="14" t="s">
        <v>804</v>
      </c>
      <c r="E134" s="13" t="s">
        <v>75</v>
      </c>
      <c r="F134" s="15" t="n">
        <v>2</v>
      </c>
      <c r="G134" s="13" t="s">
        <v>50</v>
      </c>
      <c r="H134" s="13" t="s">
        <v>59</v>
      </c>
      <c r="I134" s="16" t="n">
        <v>450</v>
      </c>
      <c r="J134" s="17" t="n">
        <f aca="false">F134*I134</f>
        <v>900</v>
      </c>
      <c r="K134" s="18" t="s">
        <v>52</v>
      </c>
    </row>
    <row r="135" customFormat="false" ht="23.85" hidden="false" customHeight="false" outlineLevel="0" collapsed="false">
      <c r="A135" s="13" t="n">
        <v>131</v>
      </c>
      <c r="B135" s="14" t="s">
        <v>148</v>
      </c>
      <c r="C135" s="14" t="s">
        <v>305</v>
      </c>
      <c r="D135" s="14" t="s">
        <v>306</v>
      </c>
      <c r="E135" s="13" t="s">
        <v>307</v>
      </c>
      <c r="F135" s="15" t="n">
        <v>4</v>
      </c>
      <c r="G135" s="13" t="s">
        <v>50</v>
      </c>
      <c r="H135" s="13" t="s">
        <v>59</v>
      </c>
      <c r="I135" s="16" t="n">
        <v>300</v>
      </c>
      <c r="J135" s="17" t="n">
        <f aca="false">F135*I135</f>
        <v>1200</v>
      </c>
      <c r="K135" s="18" t="s">
        <v>52</v>
      </c>
    </row>
    <row r="136" customFormat="false" ht="23.85" hidden="false" customHeight="false" outlineLevel="0" collapsed="false">
      <c r="A136" s="13" t="n">
        <v>132</v>
      </c>
      <c r="B136" s="14" t="s">
        <v>148</v>
      </c>
      <c r="C136" s="14" t="s">
        <v>308</v>
      </c>
      <c r="D136" s="14" t="s">
        <v>309</v>
      </c>
      <c r="E136" s="13" t="s">
        <v>75</v>
      </c>
      <c r="F136" s="15" t="n">
        <v>2</v>
      </c>
      <c r="G136" s="13" t="s">
        <v>50</v>
      </c>
      <c r="H136" s="13" t="s">
        <v>59</v>
      </c>
      <c r="I136" s="16" t="n">
        <v>550</v>
      </c>
      <c r="J136" s="17" t="n">
        <f aca="false">F136*I136</f>
        <v>1100</v>
      </c>
      <c r="K136" s="18" t="s">
        <v>52</v>
      </c>
    </row>
    <row r="137" customFormat="false" ht="23.85" hidden="false" customHeight="false" outlineLevel="0" collapsed="false">
      <c r="A137" s="13" t="n">
        <v>133</v>
      </c>
      <c r="B137" s="14" t="s">
        <v>148</v>
      </c>
      <c r="C137" s="14" t="s">
        <v>805</v>
      </c>
      <c r="D137" s="14" t="s">
        <v>806</v>
      </c>
      <c r="E137" s="13" t="s">
        <v>58</v>
      </c>
      <c r="F137" s="15" t="n">
        <v>1</v>
      </c>
      <c r="G137" s="13" t="s">
        <v>50</v>
      </c>
      <c r="H137" s="13" t="s">
        <v>72</v>
      </c>
      <c r="I137" s="16" t="n">
        <v>3500</v>
      </c>
      <c r="J137" s="17" t="n">
        <f aca="false">F137*I137</f>
        <v>3500</v>
      </c>
      <c r="K137" s="18" t="s">
        <v>52</v>
      </c>
    </row>
    <row r="138" customFormat="false" ht="23.85" hidden="false" customHeight="false" outlineLevel="0" collapsed="false">
      <c r="A138" s="13" t="n">
        <v>134</v>
      </c>
      <c r="B138" s="14" t="s">
        <v>148</v>
      </c>
      <c r="C138" s="14" t="s">
        <v>312</v>
      </c>
      <c r="D138" s="14" t="s">
        <v>807</v>
      </c>
      <c r="E138" s="13" t="s">
        <v>58</v>
      </c>
      <c r="F138" s="15" t="n">
        <v>1</v>
      </c>
      <c r="G138" s="13" t="s">
        <v>50</v>
      </c>
      <c r="H138" s="13" t="s">
        <v>51</v>
      </c>
      <c r="I138" s="16" t="n">
        <v>3500</v>
      </c>
      <c r="J138" s="17" t="n">
        <f aca="false">F138*I138</f>
        <v>3500</v>
      </c>
      <c r="K138" s="18" t="s">
        <v>52</v>
      </c>
    </row>
    <row r="139" customFormat="false" ht="23.85" hidden="false" customHeight="false" outlineLevel="0" collapsed="false">
      <c r="A139" s="13" t="n">
        <v>135</v>
      </c>
      <c r="B139" s="14" t="s">
        <v>148</v>
      </c>
      <c r="C139" s="14" t="s">
        <v>808</v>
      </c>
      <c r="D139" s="14" t="s">
        <v>190</v>
      </c>
      <c r="E139" s="13" t="s">
        <v>58</v>
      </c>
      <c r="F139" s="15" t="n">
        <v>1</v>
      </c>
      <c r="G139" s="13" t="s">
        <v>50</v>
      </c>
      <c r="H139" s="13" t="s">
        <v>59</v>
      </c>
      <c r="I139" s="16" t="n">
        <v>650</v>
      </c>
      <c r="J139" s="17" t="n">
        <f aca="false">F139*I139</f>
        <v>650</v>
      </c>
      <c r="K139" s="18" t="s">
        <v>52</v>
      </c>
    </row>
    <row r="140" customFormat="false" ht="23.85" hidden="false" customHeight="false" outlineLevel="0" collapsed="false">
      <c r="A140" s="13" t="n">
        <v>136</v>
      </c>
      <c r="B140" s="14" t="s">
        <v>148</v>
      </c>
      <c r="C140" s="14" t="s">
        <v>315</v>
      </c>
      <c r="D140" s="14" t="s">
        <v>756</v>
      </c>
      <c r="E140" s="13" t="s">
        <v>58</v>
      </c>
      <c r="F140" s="15" t="n">
        <v>1</v>
      </c>
      <c r="G140" s="13" t="s">
        <v>50</v>
      </c>
      <c r="H140" s="13" t="s">
        <v>59</v>
      </c>
      <c r="I140" s="16" t="n">
        <v>400</v>
      </c>
      <c r="J140" s="17" t="n">
        <f aca="false">F140*I140</f>
        <v>400</v>
      </c>
      <c r="K140" s="18" t="s">
        <v>52</v>
      </c>
    </row>
    <row r="141" customFormat="false" ht="23.85" hidden="false" customHeight="false" outlineLevel="0" collapsed="false">
      <c r="A141" s="13" t="n">
        <v>137</v>
      </c>
      <c r="B141" s="14" t="s">
        <v>148</v>
      </c>
      <c r="C141" s="14" t="s">
        <v>317</v>
      </c>
      <c r="D141" s="14" t="s">
        <v>809</v>
      </c>
      <c r="E141" s="13" t="s">
        <v>142</v>
      </c>
      <c r="F141" s="15" t="n">
        <v>30</v>
      </c>
      <c r="G141" s="13" t="s">
        <v>76</v>
      </c>
      <c r="H141" s="13" t="s">
        <v>59</v>
      </c>
      <c r="I141" s="16" t="n">
        <v>40</v>
      </c>
      <c r="J141" s="17" t="n">
        <f aca="false">F141*I141</f>
        <v>1200</v>
      </c>
      <c r="K141" s="18" t="s">
        <v>52</v>
      </c>
    </row>
    <row r="142" customFormat="false" ht="23.85" hidden="false" customHeight="false" outlineLevel="0" collapsed="false">
      <c r="A142" s="13" t="n">
        <v>138</v>
      </c>
      <c r="B142" s="14" t="s">
        <v>148</v>
      </c>
      <c r="C142" s="14" t="s">
        <v>319</v>
      </c>
      <c r="D142" s="14" t="s">
        <v>320</v>
      </c>
      <c r="E142" s="13" t="s">
        <v>307</v>
      </c>
      <c r="F142" s="15" t="n">
        <v>4</v>
      </c>
      <c r="G142" s="13" t="s">
        <v>50</v>
      </c>
      <c r="H142" s="13" t="s">
        <v>51</v>
      </c>
      <c r="I142" s="16" t="n">
        <v>850</v>
      </c>
      <c r="J142" s="17" t="n">
        <f aca="false">F142*I142</f>
        <v>3400</v>
      </c>
      <c r="K142" s="18" t="s">
        <v>52</v>
      </c>
    </row>
    <row r="143" customFormat="false" ht="23.85" hidden="false" customHeight="false" outlineLevel="0" collapsed="false">
      <c r="A143" s="13" t="n">
        <v>139</v>
      </c>
      <c r="B143" s="14" t="s">
        <v>148</v>
      </c>
      <c r="C143" s="14" t="s">
        <v>321</v>
      </c>
      <c r="D143" s="14" t="s">
        <v>322</v>
      </c>
      <c r="E143" s="13" t="s">
        <v>323</v>
      </c>
      <c r="F143" s="15" t="n">
        <v>6</v>
      </c>
      <c r="G143" s="13" t="s">
        <v>50</v>
      </c>
      <c r="H143" s="13" t="s">
        <v>59</v>
      </c>
      <c r="I143" s="16" t="n">
        <v>150</v>
      </c>
      <c r="J143" s="17" t="n">
        <f aca="false">F143*I143</f>
        <v>900</v>
      </c>
      <c r="K143" s="18" t="s">
        <v>52</v>
      </c>
    </row>
    <row r="144" customFormat="false" ht="23.85" hidden="false" customHeight="false" outlineLevel="0" collapsed="false">
      <c r="A144" s="13" t="n">
        <v>140</v>
      </c>
      <c r="B144" s="14" t="s">
        <v>148</v>
      </c>
      <c r="C144" s="14" t="s">
        <v>324</v>
      </c>
      <c r="D144" s="14" t="s">
        <v>810</v>
      </c>
      <c r="E144" s="13" t="s">
        <v>97</v>
      </c>
      <c r="F144" s="15" t="n">
        <v>10</v>
      </c>
      <c r="G144" s="13" t="s">
        <v>50</v>
      </c>
      <c r="H144" s="13" t="s">
        <v>59</v>
      </c>
      <c r="I144" s="16" t="n">
        <v>200</v>
      </c>
      <c r="J144" s="17" t="n">
        <f aca="false">F144*I144</f>
        <v>2000</v>
      </c>
      <c r="K144" s="18" t="s">
        <v>52</v>
      </c>
    </row>
    <row r="145" customFormat="false" ht="23.85" hidden="false" customHeight="false" outlineLevel="0" collapsed="false">
      <c r="A145" s="13" t="n">
        <v>141</v>
      </c>
      <c r="B145" s="14" t="s">
        <v>148</v>
      </c>
      <c r="C145" s="14" t="s">
        <v>325</v>
      </c>
      <c r="D145" s="14" t="s">
        <v>811</v>
      </c>
      <c r="E145" s="13" t="s">
        <v>326</v>
      </c>
      <c r="F145" s="15" t="n">
        <v>3</v>
      </c>
      <c r="G145" s="13" t="s">
        <v>50</v>
      </c>
      <c r="H145" s="13" t="s">
        <v>59</v>
      </c>
      <c r="I145" s="16" t="n">
        <v>450</v>
      </c>
      <c r="J145" s="17" t="n">
        <f aca="false">F145*I145</f>
        <v>1350</v>
      </c>
      <c r="K145" s="18" t="s">
        <v>52</v>
      </c>
    </row>
    <row r="146" customFormat="false" ht="23.85" hidden="false" customHeight="false" outlineLevel="0" collapsed="false">
      <c r="A146" s="13" t="n">
        <v>142</v>
      </c>
      <c r="B146" s="14" t="s">
        <v>148</v>
      </c>
      <c r="C146" s="14" t="s">
        <v>812</v>
      </c>
      <c r="D146" s="14" t="s">
        <v>813</v>
      </c>
      <c r="E146" s="13" t="s">
        <v>49</v>
      </c>
      <c r="F146" s="15" t="n">
        <v>15</v>
      </c>
      <c r="G146" s="13" t="s">
        <v>50</v>
      </c>
      <c r="H146" s="13" t="s">
        <v>59</v>
      </c>
      <c r="I146" s="16" t="n">
        <v>450</v>
      </c>
      <c r="J146" s="17" t="n">
        <f aca="false">F146*I146</f>
        <v>6750</v>
      </c>
      <c r="K146" s="18" t="s">
        <v>52</v>
      </c>
    </row>
    <row r="147" customFormat="false" ht="23.85" hidden="false" customHeight="false" outlineLevel="0" collapsed="false">
      <c r="A147" s="13" t="n">
        <v>143</v>
      </c>
      <c r="B147" s="14" t="s">
        <v>148</v>
      </c>
      <c r="C147" s="14" t="s">
        <v>329</v>
      </c>
      <c r="D147" s="14" t="s">
        <v>814</v>
      </c>
      <c r="E147" s="13" t="s">
        <v>307</v>
      </c>
      <c r="F147" s="15" t="n">
        <v>4</v>
      </c>
      <c r="G147" s="13" t="s">
        <v>76</v>
      </c>
      <c r="H147" s="13" t="s">
        <v>216</v>
      </c>
      <c r="I147" s="16" t="n">
        <v>450</v>
      </c>
      <c r="J147" s="17" t="n">
        <f aca="false">F147*I147</f>
        <v>1800</v>
      </c>
      <c r="K147" s="18" t="s">
        <v>52</v>
      </c>
    </row>
    <row r="148" customFormat="false" ht="23.85" hidden="false" customHeight="false" outlineLevel="0" collapsed="false">
      <c r="A148" s="13" t="n">
        <v>144</v>
      </c>
      <c r="B148" s="14" t="s">
        <v>148</v>
      </c>
      <c r="C148" s="14" t="s">
        <v>331</v>
      </c>
      <c r="D148" s="14" t="s">
        <v>815</v>
      </c>
      <c r="E148" s="13" t="s">
        <v>307</v>
      </c>
      <c r="F148" s="15" t="n">
        <v>4</v>
      </c>
      <c r="G148" s="13" t="s">
        <v>76</v>
      </c>
      <c r="H148" s="13" t="s">
        <v>216</v>
      </c>
      <c r="I148" s="16" t="n">
        <v>80</v>
      </c>
      <c r="J148" s="17" t="n">
        <f aca="false">F148*I148</f>
        <v>320</v>
      </c>
      <c r="K148" s="18" t="s">
        <v>52</v>
      </c>
    </row>
    <row r="149" customFormat="false" ht="23.85" hidden="false" customHeight="false" outlineLevel="0" collapsed="false">
      <c r="A149" s="13" t="n">
        <v>145</v>
      </c>
      <c r="B149" s="14" t="s">
        <v>148</v>
      </c>
      <c r="C149" s="14" t="s">
        <v>816</v>
      </c>
      <c r="D149" s="14" t="s">
        <v>817</v>
      </c>
      <c r="E149" s="13" t="s">
        <v>75</v>
      </c>
      <c r="F149" s="15" t="n">
        <v>2</v>
      </c>
      <c r="G149" s="13" t="s">
        <v>76</v>
      </c>
      <c r="H149" s="13" t="s">
        <v>216</v>
      </c>
      <c r="I149" s="16" t="n">
        <v>120</v>
      </c>
      <c r="J149" s="17" t="n">
        <f aca="false">F149*I149</f>
        <v>240</v>
      </c>
      <c r="K149" s="18" t="s">
        <v>52</v>
      </c>
    </row>
    <row r="150" customFormat="false" ht="23.85" hidden="false" customHeight="false" outlineLevel="0" collapsed="false">
      <c r="A150" s="13" t="n">
        <v>146</v>
      </c>
      <c r="B150" s="14" t="s">
        <v>148</v>
      </c>
      <c r="C150" s="14" t="s">
        <v>335</v>
      </c>
      <c r="D150" s="14" t="s">
        <v>818</v>
      </c>
      <c r="E150" s="13" t="s">
        <v>307</v>
      </c>
      <c r="F150" s="15" t="n">
        <v>4</v>
      </c>
      <c r="G150" s="13" t="s">
        <v>50</v>
      </c>
      <c r="H150" s="13" t="s">
        <v>59</v>
      </c>
      <c r="I150" s="16" t="n">
        <v>500</v>
      </c>
      <c r="J150" s="17" t="n">
        <f aca="false">F150*I150</f>
        <v>2000</v>
      </c>
      <c r="K150" s="18" t="s">
        <v>52</v>
      </c>
    </row>
    <row r="151" customFormat="false" ht="23.85" hidden="false" customHeight="false" outlineLevel="0" collapsed="false">
      <c r="A151" s="13" t="n">
        <v>147</v>
      </c>
      <c r="B151" s="14" t="s">
        <v>148</v>
      </c>
      <c r="C151" s="14" t="s">
        <v>337</v>
      </c>
      <c r="D151" s="14" t="s">
        <v>819</v>
      </c>
      <c r="E151" s="13" t="s">
        <v>140</v>
      </c>
      <c r="F151" s="15" t="n">
        <v>12</v>
      </c>
      <c r="G151" s="13" t="s">
        <v>50</v>
      </c>
      <c r="H151" s="13" t="s">
        <v>216</v>
      </c>
      <c r="I151" s="16" t="n">
        <v>200</v>
      </c>
      <c r="J151" s="17" t="n">
        <f aca="false">F151*I151</f>
        <v>2400</v>
      </c>
      <c r="K151" s="18" t="s">
        <v>52</v>
      </c>
    </row>
    <row r="152" customFormat="false" ht="23.85" hidden="false" customHeight="false" outlineLevel="0" collapsed="false">
      <c r="A152" s="13" t="n">
        <v>148</v>
      </c>
      <c r="B152" s="14" t="s">
        <v>148</v>
      </c>
      <c r="C152" s="14" t="s">
        <v>339</v>
      </c>
      <c r="D152" s="14" t="s">
        <v>820</v>
      </c>
      <c r="E152" s="13" t="s">
        <v>58</v>
      </c>
      <c r="F152" s="15" t="n">
        <v>1</v>
      </c>
      <c r="G152" s="13" t="s">
        <v>62</v>
      </c>
      <c r="H152" s="13" t="s">
        <v>55</v>
      </c>
      <c r="I152" s="16" t="n">
        <v>450</v>
      </c>
      <c r="J152" s="17" t="n">
        <f aca="false">F152*I152</f>
        <v>450</v>
      </c>
      <c r="K152" s="18" t="s">
        <v>52</v>
      </c>
    </row>
    <row r="153" customFormat="false" ht="15" hidden="false" customHeight="false" outlineLevel="0" collapsed="false">
      <c r="A153" s="13" t="n">
        <v>149</v>
      </c>
      <c r="B153" s="14" t="s">
        <v>341</v>
      </c>
      <c r="C153" s="14" t="s">
        <v>342</v>
      </c>
      <c r="D153" s="14" t="s">
        <v>343</v>
      </c>
      <c r="E153" s="13" t="s">
        <v>58</v>
      </c>
      <c r="F153" s="15" t="n">
        <v>1</v>
      </c>
      <c r="G153" s="13" t="s">
        <v>50</v>
      </c>
      <c r="H153" s="13" t="s">
        <v>51</v>
      </c>
      <c r="I153" s="16" t="n">
        <v>650</v>
      </c>
      <c r="J153" s="17" t="n">
        <f aca="false">F153*I153</f>
        <v>650</v>
      </c>
      <c r="K153" s="18" t="s">
        <v>52</v>
      </c>
    </row>
    <row r="154" customFormat="false" ht="15" hidden="false" customHeight="false" outlineLevel="0" collapsed="false">
      <c r="A154" s="13" t="n">
        <v>150</v>
      </c>
      <c r="B154" s="14" t="s">
        <v>341</v>
      </c>
      <c r="C154" s="14" t="s">
        <v>344</v>
      </c>
      <c r="D154" s="14" t="s">
        <v>345</v>
      </c>
      <c r="E154" s="13" t="s">
        <v>58</v>
      </c>
      <c r="F154" s="15" t="n">
        <v>1</v>
      </c>
      <c r="G154" s="13" t="s">
        <v>50</v>
      </c>
      <c r="H154" s="13" t="s">
        <v>51</v>
      </c>
      <c r="I154" s="16" t="n">
        <v>1800</v>
      </c>
      <c r="J154" s="17" t="n">
        <f aca="false">F154*I154</f>
        <v>1800</v>
      </c>
      <c r="K154" s="18" t="s">
        <v>52</v>
      </c>
    </row>
    <row r="155" customFormat="false" ht="15" hidden="false" customHeight="false" outlineLevel="0" collapsed="false">
      <c r="A155" s="13" t="n">
        <v>151</v>
      </c>
      <c r="B155" s="14" t="s">
        <v>341</v>
      </c>
      <c r="C155" s="14" t="s">
        <v>346</v>
      </c>
      <c r="D155" s="14" t="s">
        <v>347</v>
      </c>
      <c r="E155" s="13" t="s">
        <v>58</v>
      </c>
      <c r="F155" s="15" t="n">
        <v>1</v>
      </c>
      <c r="G155" s="13" t="s">
        <v>50</v>
      </c>
      <c r="H155" s="13" t="s">
        <v>59</v>
      </c>
      <c r="I155" s="16" t="n">
        <v>2500</v>
      </c>
      <c r="J155" s="17" t="n">
        <f aca="false">F155*I155</f>
        <v>2500</v>
      </c>
      <c r="K155" s="18" t="s">
        <v>52</v>
      </c>
    </row>
    <row r="156" customFormat="false" ht="15" hidden="false" customHeight="false" outlineLevel="0" collapsed="false">
      <c r="A156" s="13" t="n">
        <v>152</v>
      </c>
      <c r="B156" s="14" t="s">
        <v>341</v>
      </c>
      <c r="C156" s="14" t="s">
        <v>348</v>
      </c>
      <c r="D156" s="14" t="s">
        <v>349</v>
      </c>
      <c r="E156" s="13" t="s">
        <v>58</v>
      </c>
      <c r="F156" s="15" t="n">
        <v>1</v>
      </c>
      <c r="G156" s="13" t="s">
        <v>50</v>
      </c>
      <c r="H156" s="13" t="s">
        <v>51</v>
      </c>
      <c r="I156" s="16" t="n">
        <v>1800</v>
      </c>
      <c r="J156" s="17" t="n">
        <f aca="false">F156*I156</f>
        <v>1800</v>
      </c>
      <c r="K156" s="18" t="s">
        <v>52</v>
      </c>
    </row>
    <row r="157" customFormat="false" ht="15" hidden="false" customHeight="false" outlineLevel="0" collapsed="false">
      <c r="A157" s="13" t="n">
        <v>153</v>
      </c>
      <c r="B157" s="14" t="s">
        <v>341</v>
      </c>
      <c r="C157" s="14" t="s">
        <v>350</v>
      </c>
      <c r="D157" s="14" t="s">
        <v>818</v>
      </c>
      <c r="E157" s="13" t="s">
        <v>58</v>
      </c>
      <c r="F157" s="15" t="n">
        <v>1</v>
      </c>
      <c r="G157" s="13" t="s">
        <v>50</v>
      </c>
      <c r="H157" s="13" t="s">
        <v>59</v>
      </c>
      <c r="I157" s="16" t="n">
        <v>1200</v>
      </c>
      <c r="J157" s="17" t="n">
        <f aca="false">F157*I157</f>
        <v>1200</v>
      </c>
      <c r="K157" s="18" t="s">
        <v>52</v>
      </c>
    </row>
    <row r="158" customFormat="false" ht="15" hidden="false" customHeight="false" outlineLevel="0" collapsed="false">
      <c r="A158" s="13" t="n">
        <v>154</v>
      </c>
      <c r="B158" s="14" t="s">
        <v>341</v>
      </c>
      <c r="C158" s="14" t="s">
        <v>351</v>
      </c>
      <c r="D158" s="14" t="s">
        <v>821</v>
      </c>
      <c r="E158" s="13" t="s">
        <v>58</v>
      </c>
      <c r="F158" s="15" t="n">
        <v>1</v>
      </c>
      <c r="G158" s="13" t="s">
        <v>50</v>
      </c>
      <c r="H158" s="13" t="s">
        <v>51</v>
      </c>
      <c r="I158" s="16" t="n">
        <v>650</v>
      </c>
      <c r="J158" s="17" t="n">
        <f aca="false">F158*I158</f>
        <v>650</v>
      </c>
      <c r="K158" s="18" t="s">
        <v>52</v>
      </c>
    </row>
    <row r="159" customFormat="false" ht="15" hidden="false" customHeight="false" outlineLevel="0" collapsed="false">
      <c r="A159" s="13" t="n">
        <v>155</v>
      </c>
      <c r="B159" s="14" t="s">
        <v>341</v>
      </c>
      <c r="C159" s="14" t="s">
        <v>352</v>
      </c>
      <c r="D159" s="14" t="s">
        <v>818</v>
      </c>
      <c r="E159" s="13" t="s">
        <v>75</v>
      </c>
      <c r="F159" s="15" t="n">
        <v>2</v>
      </c>
      <c r="G159" s="13" t="s">
        <v>50</v>
      </c>
      <c r="H159" s="13" t="s">
        <v>51</v>
      </c>
      <c r="I159" s="16" t="n">
        <v>650</v>
      </c>
      <c r="J159" s="17" t="n">
        <f aca="false">F159*I159</f>
        <v>1300</v>
      </c>
      <c r="K159" s="18" t="s">
        <v>52</v>
      </c>
    </row>
    <row r="160" customFormat="false" ht="15" hidden="false" customHeight="false" outlineLevel="0" collapsed="false">
      <c r="A160" s="13" t="n">
        <v>156</v>
      </c>
      <c r="B160" s="14" t="s">
        <v>341</v>
      </c>
      <c r="C160" s="14" t="s">
        <v>353</v>
      </c>
      <c r="D160" s="14" t="s">
        <v>354</v>
      </c>
      <c r="E160" s="13" t="s">
        <v>58</v>
      </c>
      <c r="F160" s="15" t="n">
        <v>1</v>
      </c>
      <c r="G160" s="13" t="s">
        <v>50</v>
      </c>
      <c r="H160" s="13" t="s">
        <v>51</v>
      </c>
      <c r="I160" s="16" t="n">
        <v>450</v>
      </c>
      <c r="J160" s="17" t="n">
        <f aca="false">F160*I160</f>
        <v>450</v>
      </c>
      <c r="K160" s="18" t="s">
        <v>52</v>
      </c>
    </row>
    <row r="161" customFormat="false" ht="15" hidden="false" customHeight="false" outlineLevel="0" collapsed="false">
      <c r="A161" s="13" t="n">
        <v>157</v>
      </c>
      <c r="B161" s="14" t="s">
        <v>341</v>
      </c>
      <c r="C161" s="14" t="s">
        <v>355</v>
      </c>
      <c r="D161" s="14" t="s">
        <v>822</v>
      </c>
      <c r="E161" s="13" t="s">
        <v>58</v>
      </c>
      <c r="F161" s="15" t="n">
        <v>1</v>
      </c>
      <c r="G161" s="13" t="s">
        <v>50</v>
      </c>
      <c r="H161" s="13" t="s">
        <v>59</v>
      </c>
      <c r="I161" s="16" t="n">
        <v>450</v>
      </c>
      <c r="J161" s="17" t="n">
        <f aca="false">F161*I161</f>
        <v>450</v>
      </c>
      <c r="K161" s="18" t="s">
        <v>52</v>
      </c>
    </row>
    <row r="162" customFormat="false" ht="15" hidden="false" customHeight="false" outlineLevel="0" collapsed="false">
      <c r="A162" s="13" t="n">
        <v>158</v>
      </c>
      <c r="B162" s="14" t="s">
        <v>341</v>
      </c>
      <c r="C162" s="14" t="s">
        <v>823</v>
      </c>
      <c r="D162" s="14" t="s">
        <v>358</v>
      </c>
      <c r="E162" s="13" t="s">
        <v>75</v>
      </c>
      <c r="F162" s="15" t="n">
        <v>2</v>
      </c>
      <c r="G162" s="13" t="s">
        <v>50</v>
      </c>
      <c r="H162" s="13" t="s">
        <v>59</v>
      </c>
      <c r="I162" s="16" t="n">
        <v>350</v>
      </c>
      <c r="J162" s="17" t="n">
        <f aca="false">F162*I162</f>
        <v>700</v>
      </c>
      <c r="K162" s="18" t="s">
        <v>52</v>
      </c>
    </row>
    <row r="163" customFormat="false" ht="15" hidden="false" customHeight="false" outlineLevel="0" collapsed="false">
      <c r="A163" s="13" t="n">
        <v>159</v>
      </c>
      <c r="B163" s="14" t="s">
        <v>341</v>
      </c>
      <c r="C163" s="14" t="s">
        <v>824</v>
      </c>
      <c r="D163" s="14" t="s">
        <v>360</v>
      </c>
      <c r="E163" s="13" t="s">
        <v>75</v>
      </c>
      <c r="F163" s="15" t="n">
        <v>2</v>
      </c>
      <c r="G163" s="13" t="s">
        <v>50</v>
      </c>
      <c r="H163" s="13" t="s">
        <v>59</v>
      </c>
      <c r="I163" s="16" t="n">
        <v>250</v>
      </c>
      <c r="J163" s="17" t="n">
        <f aca="false">F163*I163</f>
        <v>500</v>
      </c>
      <c r="K163" s="18" t="s">
        <v>52</v>
      </c>
    </row>
    <row r="164" customFormat="false" ht="15" hidden="false" customHeight="false" outlineLevel="0" collapsed="false">
      <c r="A164" s="13" t="n">
        <v>160</v>
      </c>
      <c r="B164" s="14" t="s">
        <v>341</v>
      </c>
      <c r="C164" s="14" t="s">
        <v>825</v>
      </c>
      <c r="D164" s="14" t="s">
        <v>360</v>
      </c>
      <c r="E164" s="13" t="s">
        <v>75</v>
      </c>
      <c r="F164" s="15" t="n">
        <v>2</v>
      </c>
      <c r="G164" s="13" t="s">
        <v>50</v>
      </c>
      <c r="H164" s="13" t="s">
        <v>59</v>
      </c>
      <c r="I164" s="16" t="n">
        <v>250</v>
      </c>
      <c r="J164" s="17" t="n">
        <f aca="false">F164*I164</f>
        <v>500</v>
      </c>
      <c r="K164" s="18" t="s">
        <v>52</v>
      </c>
    </row>
    <row r="165" customFormat="false" ht="15" hidden="false" customHeight="false" outlineLevel="0" collapsed="false">
      <c r="A165" s="13" t="n">
        <v>161</v>
      </c>
      <c r="B165" s="14" t="s">
        <v>341</v>
      </c>
      <c r="C165" s="14" t="s">
        <v>362</v>
      </c>
      <c r="D165" s="14" t="s">
        <v>826</v>
      </c>
      <c r="E165" s="13" t="s">
        <v>58</v>
      </c>
      <c r="F165" s="15" t="n">
        <v>1</v>
      </c>
      <c r="G165" s="13" t="s">
        <v>50</v>
      </c>
      <c r="H165" s="13" t="s">
        <v>72</v>
      </c>
      <c r="I165" s="16" t="n">
        <v>1200</v>
      </c>
      <c r="J165" s="17" t="n">
        <f aca="false">F165*I165</f>
        <v>1200</v>
      </c>
      <c r="K165" s="18" t="s">
        <v>52</v>
      </c>
    </row>
    <row r="166" customFormat="false" ht="23.85" hidden="false" customHeight="false" outlineLevel="0" collapsed="false">
      <c r="A166" s="13" t="n">
        <v>162</v>
      </c>
      <c r="B166" s="14" t="s">
        <v>341</v>
      </c>
      <c r="C166" s="14" t="s">
        <v>364</v>
      </c>
      <c r="D166" s="14" t="s">
        <v>827</v>
      </c>
      <c r="E166" s="13" t="s">
        <v>58</v>
      </c>
      <c r="F166" s="15" t="n">
        <v>1</v>
      </c>
      <c r="G166" s="13" t="s">
        <v>50</v>
      </c>
      <c r="H166" s="13" t="s">
        <v>72</v>
      </c>
      <c r="I166" s="16" t="n">
        <v>1500</v>
      </c>
      <c r="J166" s="17" t="n">
        <f aca="false">F166*I166</f>
        <v>1500</v>
      </c>
      <c r="K166" s="18" t="s">
        <v>52</v>
      </c>
    </row>
    <row r="167" customFormat="false" ht="15" hidden="false" customHeight="false" outlineLevel="0" collapsed="false">
      <c r="A167" s="13" t="n">
        <v>163</v>
      </c>
      <c r="B167" s="14" t="s">
        <v>341</v>
      </c>
      <c r="C167" s="14" t="s">
        <v>365</v>
      </c>
      <c r="D167" s="14" t="s">
        <v>828</v>
      </c>
      <c r="E167" s="13" t="s">
        <v>58</v>
      </c>
      <c r="F167" s="15" t="n">
        <v>1</v>
      </c>
      <c r="G167" s="13" t="s">
        <v>50</v>
      </c>
      <c r="H167" s="13" t="s">
        <v>59</v>
      </c>
      <c r="I167" s="16" t="n">
        <v>80</v>
      </c>
      <c r="J167" s="17" t="n">
        <f aca="false">F167*I167</f>
        <v>80</v>
      </c>
      <c r="K167" s="18" t="s">
        <v>52</v>
      </c>
    </row>
    <row r="168" customFormat="false" ht="15" hidden="false" customHeight="false" outlineLevel="0" collapsed="false">
      <c r="A168" s="13" t="n">
        <v>164</v>
      </c>
      <c r="B168" s="14" t="s">
        <v>341</v>
      </c>
      <c r="C168" s="14" t="s">
        <v>366</v>
      </c>
      <c r="D168" s="14" t="s">
        <v>829</v>
      </c>
      <c r="E168" s="13" t="s">
        <v>307</v>
      </c>
      <c r="F168" s="15" t="n">
        <v>4</v>
      </c>
      <c r="G168" s="13" t="s">
        <v>50</v>
      </c>
      <c r="H168" s="13" t="s">
        <v>51</v>
      </c>
      <c r="I168" s="16" t="n">
        <v>350</v>
      </c>
      <c r="J168" s="17" t="n">
        <f aca="false">F168*I168</f>
        <v>1400</v>
      </c>
      <c r="K168" s="18" t="s">
        <v>52</v>
      </c>
    </row>
    <row r="169" customFormat="false" ht="15" hidden="false" customHeight="false" outlineLevel="0" collapsed="false">
      <c r="A169" s="13" t="n">
        <v>165</v>
      </c>
      <c r="B169" s="14" t="s">
        <v>341</v>
      </c>
      <c r="C169" s="14" t="s">
        <v>368</v>
      </c>
      <c r="D169" s="14" t="s">
        <v>818</v>
      </c>
      <c r="E169" s="13" t="s">
        <v>75</v>
      </c>
      <c r="F169" s="15" t="n">
        <v>2</v>
      </c>
      <c r="G169" s="13" t="s">
        <v>50</v>
      </c>
      <c r="H169" s="13" t="s">
        <v>51</v>
      </c>
      <c r="I169" s="16" t="n">
        <v>450</v>
      </c>
      <c r="J169" s="17" t="n">
        <f aca="false">F169*I169</f>
        <v>900</v>
      </c>
      <c r="K169" s="18" t="s">
        <v>52</v>
      </c>
    </row>
    <row r="170" customFormat="false" ht="15" hidden="false" customHeight="false" outlineLevel="0" collapsed="false">
      <c r="A170" s="13" t="n">
        <v>166</v>
      </c>
      <c r="B170" s="14" t="s">
        <v>341</v>
      </c>
      <c r="C170" s="14" t="s">
        <v>369</v>
      </c>
      <c r="D170" s="14" t="s">
        <v>368</v>
      </c>
      <c r="E170" s="13" t="s">
        <v>75</v>
      </c>
      <c r="F170" s="15" t="n">
        <v>2</v>
      </c>
      <c r="G170" s="13" t="s">
        <v>50</v>
      </c>
      <c r="H170" s="13" t="s">
        <v>59</v>
      </c>
      <c r="I170" s="16" t="n">
        <v>900</v>
      </c>
      <c r="J170" s="17" t="n">
        <f aca="false">F170*I170</f>
        <v>1800</v>
      </c>
      <c r="K170" s="18" t="s">
        <v>52</v>
      </c>
    </row>
    <row r="171" customFormat="false" ht="15" hidden="false" customHeight="false" outlineLevel="0" collapsed="false">
      <c r="A171" s="13" t="n">
        <v>167</v>
      </c>
      <c r="B171" s="14" t="s">
        <v>341</v>
      </c>
      <c r="C171" s="14" t="s">
        <v>371</v>
      </c>
      <c r="D171" s="14" t="s">
        <v>818</v>
      </c>
      <c r="E171" s="13" t="s">
        <v>75</v>
      </c>
      <c r="F171" s="15" t="n">
        <v>2</v>
      </c>
      <c r="G171" s="13" t="s">
        <v>50</v>
      </c>
      <c r="H171" s="13" t="s">
        <v>59</v>
      </c>
      <c r="I171" s="16" t="n">
        <v>100</v>
      </c>
      <c r="J171" s="17" t="n">
        <f aca="false">F171*I171</f>
        <v>200</v>
      </c>
      <c r="K171" s="18" t="s">
        <v>52</v>
      </c>
    </row>
    <row r="172" customFormat="false" ht="15" hidden="false" customHeight="false" outlineLevel="0" collapsed="false">
      <c r="A172" s="13" t="n">
        <v>168</v>
      </c>
      <c r="B172" s="14" t="s">
        <v>341</v>
      </c>
      <c r="C172" s="14" t="s">
        <v>372</v>
      </c>
      <c r="D172" s="14" t="s">
        <v>818</v>
      </c>
      <c r="E172" s="13" t="s">
        <v>58</v>
      </c>
      <c r="F172" s="15" t="n">
        <v>1</v>
      </c>
      <c r="G172" s="13" t="s">
        <v>50</v>
      </c>
      <c r="H172" s="13" t="s">
        <v>51</v>
      </c>
      <c r="I172" s="16" t="n">
        <v>450</v>
      </c>
      <c r="J172" s="17" t="n">
        <f aca="false">F172*I172</f>
        <v>450</v>
      </c>
      <c r="K172" s="18" t="s">
        <v>52</v>
      </c>
    </row>
    <row r="173" customFormat="false" ht="23.85" hidden="false" customHeight="false" outlineLevel="0" collapsed="false">
      <c r="A173" s="13" t="n">
        <v>169</v>
      </c>
      <c r="B173" s="14" t="s">
        <v>341</v>
      </c>
      <c r="C173" s="14" t="s">
        <v>373</v>
      </c>
      <c r="D173" s="14" t="s">
        <v>374</v>
      </c>
      <c r="E173" s="13" t="s">
        <v>307</v>
      </c>
      <c r="F173" s="15" t="n">
        <v>4</v>
      </c>
      <c r="G173" s="13" t="s">
        <v>50</v>
      </c>
      <c r="H173" s="13" t="s">
        <v>280</v>
      </c>
      <c r="I173" s="16" t="n">
        <v>80</v>
      </c>
      <c r="J173" s="17" t="n">
        <f aca="false">F173*I173</f>
        <v>320</v>
      </c>
      <c r="K173" s="18" t="s">
        <v>52</v>
      </c>
    </row>
    <row r="174" customFormat="false" ht="15" hidden="false" customHeight="false" outlineLevel="0" collapsed="false">
      <c r="A174" s="13" t="n">
        <v>170</v>
      </c>
      <c r="B174" s="14" t="s">
        <v>341</v>
      </c>
      <c r="C174" s="14" t="s">
        <v>375</v>
      </c>
      <c r="D174" s="14" t="s">
        <v>376</v>
      </c>
      <c r="E174" s="13" t="s">
        <v>97</v>
      </c>
      <c r="F174" s="15" t="n">
        <v>10</v>
      </c>
      <c r="G174" s="13" t="s">
        <v>50</v>
      </c>
      <c r="H174" s="13" t="s">
        <v>59</v>
      </c>
      <c r="I174" s="16" t="n">
        <v>60</v>
      </c>
      <c r="J174" s="17" t="n">
        <f aca="false">F174*I174</f>
        <v>600</v>
      </c>
      <c r="K174" s="18" t="s">
        <v>52</v>
      </c>
    </row>
    <row r="175" customFormat="false" ht="15" hidden="false" customHeight="false" outlineLevel="0" collapsed="false">
      <c r="A175" s="13" t="n">
        <v>171</v>
      </c>
      <c r="B175" s="14" t="s">
        <v>341</v>
      </c>
      <c r="C175" s="14" t="s">
        <v>377</v>
      </c>
      <c r="D175" s="14" t="s">
        <v>378</v>
      </c>
      <c r="E175" s="13" t="s">
        <v>97</v>
      </c>
      <c r="F175" s="15" t="n">
        <v>10</v>
      </c>
      <c r="G175" s="13" t="s">
        <v>50</v>
      </c>
      <c r="H175" s="13" t="s">
        <v>59</v>
      </c>
      <c r="I175" s="16" t="n">
        <v>80</v>
      </c>
      <c r="J175" s="17" t="n">
        <f aca="false">F175*I175</f>
        <v>800</v>
      </c>
      <c r="K175" s="18" t="s">
        <v>52</v>
      </c>
    </row>
    <row r="176" customFormat="false" ht="15" hidden="false" customHeight="false" outlineLevel="0" collapsed="false">
      <c r="A176" s="13" t="n">
        <v>172</v>
      </c>
      <c r="B176" s="14" t="s">
        <v>341</v>
      </c>
      <c r="C176" s="14" t="s">
        <v>379</v>
      </c>
      <c r="D176" s="14" t="s">
        <v>376</v>
      </c>
      <c r="E176" s="13" t="s">
        <v>97</v>
      </c>
      <c r="F176" s="15" t="n">
        <v>10</v>
      </c>
      <c r="G176" s="13" t="s">
        <v>50</v>
      </c>
      <c r="H176" s="13" t="s">
        <v>59</v>
      </c>
      <c r="I176" s="16" t="n">
        <v>40</v>
      </c>
      <c r="J176" s="17" t="n">
        <f aca="false">F176*I176</f>
        <v>400</v>
      </c>
      <c r="K176" s="18" t="s">
        <v>52</v>
      </c>
    </row>
    <row r="177" customFormat="false" ht="15" hidden="false" customHeight="false" outlineLevel="0" collapsed="false">
      <c r="A177" s="13" t="n">
        <v>173</v>
      </c>
      <c r="B177" s="14" t="s">
        <v>341</v>
      </c>
      <c r="C177" s="14" t="s">
        <v>380</v>
      </c>
      <c r="D177" s="14" t="s">
        <v>378</v>
      </c>
      <c r="E177" s="13" t="s">
        <v>97</v>
      </c>
      <c r="F177" s="15" t="n">
        <v>10</v>
      </c>
      <c r="G177" s="13" t="s">
        <v>50</v>
      </c>
      <c r="H177" s="13" t="s">
        <v>59</v>
      </c>
      <c r="I177" s="16" t="n">
        <v>60</v>
      </c>
      <c r="J177" s="17" t="n">
        <f aca="false">F177*I177</f>
        <v>600</v>
      </c>
      <c r="K177" s="18" t="s">
        <v>52</v>
      </c>
    </row>
    <row r="178" customFormat="false" ht="15" hidden="false" customHeight="false" outlineLevel="0" collapsed="false">
      <c r="A178" s="13" t="n">
        <v>174</v>
      </c>
      <c r="B178" s="14" t="s">
        <v>341</v>
      </c>
      <c r="C178" s="14" t="s">
        <v>381</v>
      </c>
      <c r="D178" s="14" t="s">
        <v>830</v>
      </c>
      <c r="E178" s="13" t="s">
        <v>58</v>
      </c>
      <c r="F178" s="15" t="n">
        <v>1</v>
      </c>
      <c r="G178" s="13" t="s">
        <v>50</v>
      </c>
      <c r="H178" s="13" t="s">
        <v>51</v>
      </c>
      <c r="I178" s="16" t="n">
        <v>180</v>
      </c>
      <c r="J178" s="17" t="n">
        <f aca="false">F178*I178</f>
        <v>180</v>
      </c>
      <c r="K178" s="18" t="s">
        <v>52</v>
      </c>
    </row>
    <row r="179" customFormat="false" ht="15" hidden="false" customHeight="false" outlineLevel="0" collapsed="false">
      <c r="A179" s="13" t="n">
        <v>175</v>
      </c>
      <c r="B179" s="14" t="s">
        <v>341</v>
      </c>
      <c r="C179" s="14" t="s">
        <v>383</v>
      </c>
      <c r="D179" s="14" t="s">
        <v>830</v>
      </c>
      <c r="E179" s="13" t="s">
        <v>97</v>
      </c>
      <c r="F179" s="15" t="n">
        <v>10</v>
      </c>
      <c r="G179" s="13" t="s">
        <v>50</v>
      </c>
      <c r="H179" s="13" t="s">
        <v>59</v>
      </c>
      <c r="I179" s="16" t="n">
        <v>40</v>
      </c>
      <c r="J179" s="17" t="n">
        <f aca="false">F179*I179</f>
        <v>400</v>
      </c>
      <c r="K179" s="18" t="s">
        <v>52</v>
      </c>
    </row>
    <row r="180" customFormat="false" ht="15" hidden="false" customHeight="false" outlineLevel="0" collapsed="false">
      <c r="A180" s="13" t="n">
        <v>176</v>
      </c>
      <c r="B180" s="14" t="s">
        <v>341</v>
      </c>
      <c r="C180" s="14" t="s">
        <v>384</v>
      </c>
      <c r="D180" s="14" t="s">
        <v>830</v>
      </c>
      <c r="E180" s="13" t="s">
        <v>97</v>
      </c>
      <c r="F180" s="15" t="n">
        <v>10</v>
      </c>
      <c r="G180" s="13" t="s">
        <v>50</v>
      </c>
      <c r="H180" s="13" t="s">
        <v>59</v>
      </c>
      <c r="I180" s="16" t="n">
        <v>60</v>
      </c>
      <c r="J180" s="17" t="n">
        <f aca="false">F180*I180</f>
        <v>600</v>
      </c>
      <c r="K180" s="18" t="s">
        <v>52</v>
      </c>
    </row>
    <row r="181" customFormat="false" ht="15" hidden="false" customHeight="false" outlineLevel="0" collapsed="false">
      <c r="A181" s="13" t="n">
        <v>177</v>
      </c>
      <c r="B181" s="14" t="s">
        <v>341</v>
      </c>
      <c r="C181" s="14" t="s">
        <v>385</v>
      </c>
      <c r="D181" s="14" t="s">
        <v>830</v>
      </c>
      <c r="E181" s="13" t="s">
        <v>75</v>
      </c>
      <c r="F181" s="15" t="n">
        <v>2</v>
      </c>
      <c r="G181" s="13" t="s">
        <v>50</v>
      </c>
      <c r="H181" s="13" t="s">
        <v>59</v>
      </c>
      <c r="I181" s="16" t="n">
        <v>80</v>
      </c>
      <c r="J181" s="17" t="n">
        <f aca="false">F181*I181</f>
        <v>160</v>
      </c>
      <c r="K181" s="18" t="s">
        <v>52</v>
      </c>
    </row>
    <row r="182" customFormat="false" ht="15" hidden="false" customHeight="false" outlineLevel="0" collapsed="false">
      <c r="A182" s="13" t="n">
        <v>178</v>
      </c>
      <c r="B182" s="14" t="s">
        <v>341</v>
      </c>
      <c r="C182" s="14" t="s">
        <v>386</v>
      </c>
      <c r="D182" s="14" t="s">
        <v>830</v>
      </c>
      <c r="E182" s="13" t="s">
        <v>71</v>
      </c>
      <c r="F182" s="15" t="n">
        <v>5</v>
      </c>
      <c r="G182" s="13" t="s">
        <v>50</v>
      </c>
      <c r="H182" s="13" t="s">
        <v>59</v>
      </c>
      <c r="I182" s="16" t="n">
        <v>50</v>
      </c>
      <c r="J182" s="17" t="n">
        <f aca="false">F182*I182</f>
        <v>250</v>
      </c>
      <c r="K182" s="18" t="s">
        <v>52</v>
      </c>
    </row>
    <row r="183" customFormat="false" ht="15" hidden="false" customHeight="false" outlineLevel="0" collapsed="false">
      <c r="A183" s="13" t="n">
        <v>179</v>
      </c>
      <c r="B183" s="14" t="s">
        <v>341</v>
      </c>
      <c r="C183" s="14" t="s">
        <v>387</v>
      </c>
      <c r="D183" s="14" t="s">
        <v>830</v>
      </c>
      <c r="E183" s="13" t="s">
        <v>71</v>
      </c>
      <c r="F183" s="15" t="n">
        <v>5</v>
      </c>
      <c r="G183" s="13" t="s">
        <v>50</v>
      </c>
      <c r="H183" s="13" t="s">
        <v>59</v>
      </c>
      <c r="I183" s="16" t="n">
        <v>50</v>
      </c>
      <c r="J183" s="17" t="n">
        <f aca="false">F183*I183</f>
        <v>250</v>
      </c>
      <c r="K183" s="18" t="s">
        <v>52</v>
      </c>
    </row>
    <row r="184" customFormat="false" ht="15" hidden="false" customHeight="false" outlineLevel="0" collapsed="false">
      <c r="A184" s="13" t="n">
        <v>180</v>
      </c>
      <c r="B184" s="14" t="s">
        <v>341</v>
      </c>
      <c r="C184" s="14" t="s">
        <v>388</v>
      </c>
      <c r="D184" s="14" t="s">
        <v>830</v>
      </c>
      <c r="E184" s="13" t="s">
        <v>58</v>
      </c>
      <c r="F184" s="15" t="n">
        <v>1</v>
      </c>
      <c r="G184" s="13" t="s">
        <v>50</v>
      </c>
      <c r="H184" s="13" t="s">
        <v>389</v>
      </c>
      <c r="I184" s="16" t="n">
        <v>250</v>
      </c>
      <c r="J184" s="17" t="n">
        <f aca="false">F184*I184</f>
        <v>250</v>
      </c>
      <c r="K184" s="18" t="s">
        <v>52</v>
      </c>
    </row>
    <row r="185" customFormat="false" ht="15" hidden="false" customHeight="false" outlineLevel="0" collapsed="false">
      <c r="A185" s="13" t="n">
        <v>181</v>
      </c>
      <c r="B185" s="14" t="s">
        <v>341</v>
      </c>
      <c r="C185" s="14" t="s">
        <v>390</v>
      </c>
      <c r="D185" s="14" t="s">
        <v>830</v>
      </c>
      <c r="E185" s="13" t="s">
        <v>58</v>
      </c>
      <c r="F185" s="15" t="n">
        <v>1</v>
      </c>
      <c r="G185" s="13" t="s">
        <v>50</v>
      </c>
      <c r="H185" s="13" t="s">
        <v>59</v>
      </c>
      <c r="I185" s="16" t="n">
        <v>60</v>
      </c>
      <c r="J185" s="17" t="n">
        <f aca="false">F185*I185</f>
        <v>60</v>
      </c>
      <c r="K185" s="18" t="s">
        <v>52</v>
      </c>
    </row>
    <row r="186" customFormat="false" ht="15" hidden="false" customHeight="false" outlineLevel="0" collapsed="false">
      <c r="A186" s="13" t="n">
        <v>182</v>
      </c>
      <c r="B186" s="14" t="s">
        <v>341</v>
      </c>
      <c r="C186" s="14" t="s">
        <v>391</v>
      </c>
      <c r="D186" s="14" t="s">
        <v>392</v>
      </c>
      <c r="E186" s="13" t="s">
        <v>75</v>
      </c>
      <c r="F186" s="15" t="n">
        <v>2</v>
      </c>
      <c r="G186" s="13" t="s">
        <v>50</v>
      </c>
      <c r="H186" s="13" t="s">
        <v>59</v>
      </c>
      <c r="I186" s="16" t="n">
        <v>30</v>
      </c>
      <c r="J186" s="17" t="n">
        <f aca="false">F186*I186</f>
        <v>60</v>
      </c>
      <c r="K186" s="18" t="s">
        <v>52</v>
      </c>
    </row>
    <row r="187" customFormat="false" ht="15" hidden="false" customHeight="false" outlineLevel="0" collapsed="false">
      <c r="A187" s="13" t="n">
        <v>183</v>
      </c>
      <c r="B187" s="14" t="s">
        <v>341</v>
      </c>
      <c r="C187" s="14" t="s">
        <v>393</v>
      </c>
      <c r="D187" s="14" t="s">
        <v>830</v>
      </c>
      <c r="E187" s="13" t="s">
        <v>58</v>
      </c>
      <c r="F187" s="15" t="n">
        <v>1</v>
      </c>
      <c r="G187" s="13" t="s">
        <v>50</v>
      </c>
      <c r="H187" s="13" t="s">
        <v>59</v>
      </c>
      <c r="I187" s="16" t="n">
        <v>150</v>
      </c>
      <c r="J187" s="17" t="n">
        <f aca="false">F187*I187</f>
        <v>150</v>
      </c>
      <c r="K187" s="18" t="s">
        <v>52</v>
      </c>
    </row>
    <row r="188" customFormat="false" ht="15" hidden="false" customHeight="false" outlineLevel="0" collapsed="false">
      <c r="A188" s="13" t="n">
        <v>184</v>
      </c>
      <c r="B188" s="14" t="s">
        <v>341</v>
      </c>
      <c r="C188" s="14" t="s">
        <v>394</v>
      </c>
      <c r="D188" s="14" t="s">
        <v>395</v>
      </c>
      <c r="E188" s="13" t="s">
        <v>75</v>
      </c>
      <c r="F188" s="15" t="n">
        <v>2</v>
      </c>
      <c r="G188" s="13" t="s">
        <v>50</v>
      </c>
      <c r="H188" s="13" t="s">
        <v>59</v>
      </c>
      <c r="I188" s="16" t="n">
        <v>1800</v>
      </c>
      <c r="J188" s="17" t="n">
        <f aca="false">F188*I188</f>
        <v>3600</v>
      </c>
      <c r="K188" s="18" t="s">
        <v>52</v>
      </c>
    </row>
    <row r="189" customFormat="false" ht="15" hidden="false" customHeight="false" outlineLevel="0" collapsed="false">
      <c r="A189" s="13" t="n">
        <v>185</v>
      </c>
      <c r="B189" s="14" t="s">
        <v>341</v>
      </c>
      <c r="C189" s="14" t="s">
        <v>396</v>
      </c>
      <c r="D189" s="14" t="s">
        <v>831</v>
      </c>
      <c r="E189" s="13" t="s">
        <v>75</v>
      </c>
      <c r="F189" s="15" t="n">
        <v>2</v>
      </c>
      <c r="G189" s="13" t="s">
        <v>50</v>
      </c>
      <c r="H189" s="13" t="s">
        <v>51</v>
      </c>
      <c r="I189" s="16" t="n">
        <v>850</v>
      </c>
      <c r="J189" s="17" t="n">
        <f aca="false">F189*I189</f>
        <v>1700</v>
      </c>
      <c r="K189" s="18" t="s">
        <v>52</v>
      </c>
    </row>
    <row r="190" customFormat="false" ht="15" hidden="false" customHeight="false" outlineLevel="0" collapsed="false">
      <c r="A190" s="13" t="n">
        <v>186</v>
      </c>
      <c r="B190" s="14" t="s">
        <v>341</v>
      </c>
      <c r="C190" s="14" t="s">
        <v>398</v>
      </c>
      <c r="D190" s="14" t="s">
        <v>832</v>
      </c>
      <c r="E190" s="13" t="s">
        <v>75</v>
      </c>
      <c r="F190" s="15" t="n">
        <v>2</v>
      </c>
      <c r="G190" s="13" t="s">
        <v>50</v>
      </c>
      <c r="H190" s="13" t="s">
        <v>59</v>
      </c>
      <c r="I190" s="16" t="n">
        <v>450</v>
      </c>
      <c r="J190" s="17" t="n">
        <f aca="false">F190*I190</f>
        <v>900</v>
      </c>
      <c r="K190" s="18" t="s">
        <v>52</v>
      </c>
    </row>
    <row r="191" customFormat="false" ht="15" hidden="false" customHeight="false" outlineLevel="0" collapsed="false">
      <c r="A191" s="13" t="n">
        <v>187</v>
      </c>
      <c r="B191" s="14" t="s">
        <v>341</v>
      </c>
      <c r="C191" s="14" t="s">
        <v>400</v>
      </c>
      <c r="D191" s="14" t="s">
        <v>818</v>
      </c>
      <c r="E191" s="13" t="s">
        <v>58</v>
      </c>
      <c r="F191" s="15" t="n">
        <v>1</v>
      </c>
      <c r="G191" s="13" t="s">
        <v>50</v>
      </c>
      <c r="H191" s="13" t="s">
        <v>72</v>
      </c>
      <c r="I191" s="16" t="n">
        <v>500</v>
      </c>
      <c r="J191" s="17" t="n">
        <f aca="false">F191*I191</f>
        <v>500</v>
      </c>
      <c r="K191" s="18" t="s">
        <v>52</v>
      </c>
    </row>
    <row r="192" customFormat="false" ht="15" hidden="false" customHeight="false" outlineLevel="0" collapsed="false">
      <c r="A192" s="13" t="n">
        <v>188</v>
      </c>
      <c r="B192" s="14" t="s">
        <v>341</v>
      </c>
      <c r="C192" s="14" t="s">
        <v>401</v>
      </c>
      <c r="D192" s="14" t="s">
        <v>818</v>
      </c>
      <c r="E192" s="13" t="s">
        <v>75</v>
      </c>
      <c r="F192" s="15" t="n">
        <v>2</v>
      </c>
      <c r="G192" s="13" t="s">
        <v>50</v>
      </c>
      <c r="H192" s="13" t="s">
        <v>59</v>
      </c>
      <c r="I192" s="16" t="n">
        <v>250</v>
      </c>
      <c r="J192" s="17" t="n">
        <f aca="false">F192*I192</f>
        <v>500</v>
      </c>
      <c r="K192" s="18" t="s">
        <v>52</v>
      </c>
    </row>
    <row r="193" customFormat="false" ht="15" hidden="false" customHeight="false" outlineLevel="0" collapsed="false">
      <c r="A193" s="13" t="n">
        <v>189</v>
      </c>
      <c r="B193" s="14" t="s">
        <v>341</v>
      </c>
      <c r="C193" s="14" t="s">
        <v>402</v>
      </c>
      <c r="D193" s="14" t="s">
        <v>403</v>
      </c>
      <c r="E193" s="13" t="s">
        <v>75</v>
      </c>
      <c r="F193" s="15" t="n">
        <v>2</v>
      </c>
      <c r="G193" s="13" t="s">
        <v>50</v>
      </c>
      <c r="H193" s="13" t="s">
        <v>59</v>
      </c>
      <c r="I193" s="16" t="n">
        <v>350</v>
      </c>
      <c r="J193" s="17" t="n">
        <f aca="false">F193*I193</f>
        <v>700</v>
      </c>
      <c r="K193" s="18" t="s">
        <v>52</v>
      </c>
    </row>
    <row r="194" customFormat="false" ht="15" hidden="false" customHeight="false" outlineLevel="0" collapsed="false">
      <c r="A194" s="13" t="n">
        <v>190</v>
      </c>
      <c r="B194" s="14" t="s">
        <v>341</v>
      </c>
      <c r="C194" s="14" t="s">
        <v>404</v>
      </c>
      <c r="D194" s="14" t="s">
        <v>818</v>
      </c>
      <c r="E194" s="13" t="s">
        <v>58</v>
      </c>
      <c r="F194" s="15" t="n">
        <v>1</v>
      </c>
      <c r="G194" s="13" t="s">
        <v>50</v>
      </c>
      <c r="H194" s="13" t="s">
        <v>59</v>
      </c>
      <c r="I194" s="16" t="n">
        <v>300</v>
      </c>
      <c r="J194" s="17" t="n">
        <f aca="false">F194*I194</f>
        <v>300</v>
      </c>
      <c r="K194" s="18" t="s">
        <v>52</v>
      </c>
    </row>
    <row r="195" customFormat="false" ht="15" hidden="false" customHeight="false" outlineLevel="0" collapsed="false">
      <c r="A195" s="13" t="n">
        <v>191</v>
      </c>
      <c r="B195" s="14" t="s">
        <v>341</v>
      </c>
      <c r="C195" s="14" t="s">
        <v>833</v>
      </c>
      <c r="D195" s="14" t="s">
        <v>818</v>
      </c>
      <c r="E195" s="13" t="s">
        <v>58</v>
      </c>
      <c r="F195" s="15" t="n">
        <v>1</v>
      </c>
      <c r="G195" s="13" t="s">
        <v>50</v>
      </c>
      <c r="H195" s="13" t="s">
        <v>59</v>
      </c>
      <c r="I195" s="16" t="n">
        <v>200</v>
      </c>
      <c r="J195" s="17" t="n">
        <f aca="false">F195*I195</f>
        <v>200</v>
      </c>
      <c r="K195" s="18" t="s">
        <v>52</v>
      </c>
    </row>
    <row r="196" customFormat="false" ht="15" hidden="false" customHeight="false" outlineLevel="0" collapsed="false">
      <c r="A196" s="13" t="n">
        <v>192</v>
      </c>
      <c r="B196" s="14" t="s">
        <v>341</v>
      </c>
      <c r="C196" s="14" t="s">
        <v>406</v>
      </c>
      <c r="D196" s="14" t="s">
        <v>818</v>
      </c>
      <c r="E196" s="13" t="s">
        <v>58</v>
      </c>
      <c r="F196" s="15" t="n">
        <v>1</v>
      </c>
      <c r="G196" s="13" t="s">
        <v>50</v>
      </c>
      <c r="H196" s="13" t="s">
        <v>59</v>
      </c>
      <c r="I196" s="16" t="n">
        <v>900</v>
      </c>
      <c r="J196" s="17" t="n">
        <f aca="false">F196*I196</f>
        <v>900</v>
      </c>
      <c r="K196" s="18" t="s">
        <v>52</v>
      </c>
    </row>
    <row r="197" customFormat="false" ht="15" hidden="false" customHeight="false" outlineLevel="0" collapsed="false">
      <c r="A197" s="13" t="n">
        <v>193</v>
      </c>
      <c r="B197" s="14" t="s">
        <v>341</v>
      </c>
      <c r="C197" s="14" t="s">
        <v>408</v>
      </c>
      <c r="D197" s="14" t="s">
        <v>818</v>
      </c>
      <c r="E197" s="13" t="s">
        <v>58</v>
      </c>
      <c r="F197" s="15" t="n">
        <v>1</v>
      </c>
      <c r="G197" s="13" t="s">
        <v>50</v>
      </c>
      <c r="H197" s="13" t="s">
        <v>59</v>
      </c>
      <c r="I197" s="16" t="n">
        <v>1500</v>
      </c>
      <c r="J197" s="17" t="n">
        <f aca="false">F197*I197</f>
        <v>1500</v>
      </c>
      <c r="K197" s="18" t="s">
        <v>52</v>
      </c>
    </row>
    <row r="198" customFormat="false" ht="15" hidden="false" customHeight="false" outlineLevel="0" collapsed="false">
      <c r="A198" s="13" t="n">
        <v>194</v>
      </c>
      <c r="B198" s="14" t="s">
        <v>341</v>
      </c>
      <c r="C198" s="14" t="s">
        <v>410</v>
      </c>
      <c r="D198" s="14" t="s">
        <v>834</v>
      </c>
      <c r="E198" s="13" t="s">
        <v>58</v>
      </c>
      <c r="F198" s="15" t="n">
        <v>1</v>
      </c>
      <c r="G198" s="13" t="s">
        <v>50</v>
      </c>
      <c r="H198" s="13" t="s">
        <v>59</v>
      </c>
      <c r="I198" s="16" t="n">
        <v>2500</v>
      </c>
      <c r="J198" s="17" t="n">
        <f aca="false">F198*I198</f>
        <v>2500</v>
      </c>
      <c r="K198" s="18" t="s">
        <v>52</v>
      </c>
    </row>
    <row r="199" customFormat="false" ht="15" hidden="false" customHeight="false" outlineLevel="0" collapsed="false">
      <c r="A199" s="13" t="n">
        <v>195</v>
      </c>
      <c r="B199" s="14" t="s">
        <v>341</v>
      </c>
      <c r="C199" s="14" t="s">
        <v>835</v>
      </c>
      <c r="D199" s="14" t="s">
        <v>836</v>
      </c>
      <c r="E199" s="13" t="s">
        <v>58</v>
      </c>
      <c r="F199" s="15" t="n">
        <v>1</v>
      </c>
      <c r="G199" s="13" t="s">
        <v>50</v>
      </c>
      <c r="H199" s="13" t="s">
        <v>59</v>
      </c>
      <c r="I199" s="16" t="n">
        <v>5500</v>
      </c>
      <c r="J199" s="17" t="n">
        <f aca="false">F199*I199</f>
        <v>5500</v>
      </c>
      <c r="K199" s="18" t="s">
        <v>52</v>
      </c>
    </row>
    <row r="200" customFormat="false" ht="15" hidden="false" customHeight="false" outlineLevel="0" collapsed="false">
      <c r="A200" s="13" t="n">
        <v>196</v>
      </c>
      <c r="B200" s="14" t="s">
        <v>341</v>
      </c>
      <c r="C200" s="14" t="s">
        <v>837</v>
      </c>
      <c r="D200" s="14" t="s">
        <v>834</v>
      </c>
      <c r="E200" s="13" t="s">
        <v>58</v>
      </c>
      <c r="F200" s="15" t="n">
        <v>1</v>
      </c>
      <c r="G200" s="13" t="s">
        <v>50</v>
      </c>
      <c r="H200" s="13" t="s">
        <v>59</v>
      </c>
      <c r="I200" s="16" t="n">
        <v>4500</v>
      </c>
      <c r="J200" s="17" t="n">
        <f aca="false">F200*I200</f>
        <v>4500</v>
      </c>
      <c r="K200" s="18" t="s">
        <v>52</v>
      </c>
    </row>
    <row r="201" customFormat="false" ht="15" hidden="false" customHeight="false" outlineLevel="0" collapsed="false">
      <c r="A201" s="13" t="n">
        <v>197</v>
      </c>
      <c r="B201" s="14" t="s">
        <v>341</v>
      </c>
      <c r="C201" s="14" t="s">
        <v>416</v>
      </c>
      <c r="D201" s="14" t="s">
        <v>818</v>
      </c>
      <c r="E201" s="13" t="s">
        <v>58</v>
      </c>
      <c r="F201" s="15" t="n">
        <v>1</v>
      </c>
      <c r="G201" s="13" t="s">
        <v>50</v>
      </c>
      <c r="H201" s="13" t="s">
        <v>59</v>
      </c>
      <c r="I201" s="16" t="n">
        <v>250</v>
      </c>
      <c r="J201" s="17" t="n">
        <f aca="false">F201*I201</f>
        <v>250</v>
      </c>
      <c r="K201" s="18" t="s">
        <v>52</v>
      </c>
    </row>
    <row r="202" customFormat="false" ht="15" hidden="false" customHeight="false" outlineLevel="0" collapsed="false">
      <c r="A202" s="13" t="n">
        <v>198</v>
      </c>
      <c r="B202" s="14" t="s">
        <v>341</v>
      </c>
      <c r="C202" s="14" t="s">
        <v>417</v>
      </c>
      <c r="D202" s="14" t="s">
        <v>838</v>
      </c>
      <c r="E202" s="13" t="s">
        <v>71</v>
      </c>
      <c r="F202" s="15" t="n">
        <v>5</v>
      </c>
      <c r="G202" s="13" t="s">
        <v>76</v>
      </c>
      <c r="H202" s="13" t="s">
        <v>280</v>
      </c>
      <c r="I202" s="16" t="n">
        <v>60</v>
      </c>
      <c r="J202" s="17" t="n">
        <f aca="false">F202*I202</f>
        <v>300</v>
      </c>
      <c r="K202" s="18" t="s">
        <v>52</v>
      </c>
    </row>
    <row r="203" customFormat="false" ht="15" hidden="false" customHeight="false" outlineLevel="0" collapsed="false">
      <c r="A203" s="13" t="n">
        <v>199</v>
      </c>
      <c r="B203" s="14" t="s">
        <v>341</v>
      </c>
      <c r="C203" s="14" t="s">
        <v>419</v>
      </c>
      <c r="D203" s="14" t="s">
        <v>839</v>
      </c>
      <c r="E203" s="13" t="s">
        <v>421</v>
      </c>
      <c r="F203" s="15" t="n">
        <v>100</v>
      </c>
      <c r="G203" s="13" t="s">
        <v>76</v>
      </c>
      <c r="H203" s="13" t="s">
        <v>280</v>
      </c>
      <c r="I203" s="16" t="n">
        <v>20</v>
      </c>
      <c r="J203" s="17" t="n">
        <f aca="false">F203*I203</f>
        <v>2000</v>
      </c>
      <c r="K203" s="18" t="s">
        <v>52</v>
      </c>
    </row>
    <row r="204" customFormat="false" ht="15" hidden="false" customHeight="false" outlineLevel="0" collapsed="false">
      <c r="A204" s="13" t="n">
        <v>200</v>
      </c>
      <c r="B204" s="14" t="s">
        <v>341</v>
      </c>
      <c r="C204" s="14" t="s">
        <v>422</v>
      </c>
      <c r="D204" s="14" t="s">
        <v>840</v>
      </c>
      <c r="E204" s="13" t="s">
        <v>75</v>
      </c>
      <c r="F204" s="15" t="n">
        <v>2</v>
      </c>
      <c r="G204" s="13" t="s">
        <v>76</v>
      </c>
      <c r="H204" s="13" t="s">
        <v>216</v>
      </c>
      <c r="I204" s="16" t="n">
        <v>1200</v>
      </c>
      <c r="J204" s="17" t="n">
        <f aca="false">F204*I204</f>
        <v>2400</v>
      </c>
      <c r="K204" s="18" t="s">
        <v>52</v>
      </c>
    </row>
    <row r="205" customFormat="false" ht="15" hidden="false" customHeight="false" outlineLevel="0" collapsed="false">
      <c r="A205" s="13" t="n">
        <v>201</v>
      </c>
      <c r="B205" s="14" t="s">
        <v>341</v>
      </c>
      <c r="C205" s="14" t="s">
        <v>424</v>
      </c>
      <c r="D205" s="14" t="s">
        <v>841</v>
      </c>
      <c r="E205" s="13" t="s">
        <v>75</v>
      </c>
      <c r="F205" s="15" t="n">
        <v>2</v>
      </c>
      <c r="G205" s="13" t="s">
        <v>50</v>
      </c>
      <c r="H205" s="13" t="s">
        <v>59</v>
      </c>
      <c r="I205" s="16" t="n">
        <v>900</v>
      </c>
      <c r="J205" s="17" t="n">
        <f aca="false">F205*I205</f>
        <v>1800</v>
      </c>
      <c r="K205" s="18" t="s">
        <v>52</v>
      </c>
    </row>
    <row r="206" customFormat="false" ht="15" hidden="false" customHeight="false" outlineLevel="0" collapsed="false">
      <c r="A206" s="13" t="n">
        <v>202</v>
      </c>
      <c r="B206" s="14" t="s">
        <v>341</v>
      </c>
      <c r="C206" s="14" t="s">
        <v>426</v>
      </c>
      <c r="D206" s="14" t="s">
        <v>842</v>
      </c>
      <c r="E206" s="13" t="s">
        <v>75</v>
      </c>
      <c r="F206" s="15" t="n">
        <v>2</v>
      </c>
      <c r="G206" s="13" t="s">
        <v>50</v>
      </c>
      <c r="H206" s="13" t="s">
        <v>59</v>
      </c>
      <c r="I206" s="16" t="n">
        <v>450</v>
      </c>
      <c r="J206" s="17" t="n">
        <f aca="false">F206*I206</f>
        <v>900</v>
      </c>
      <c r="K206" s="18" t="s">
        <v>52</v>
      </c>
    </row>
    <row r="207" customFormat="false" ht="15" hidden="false" customHeight="false" outlineLevel="0" collapsed="false">
      <c r="A207" s="13" t="n">
        <v>203</v>
      </c>
      <c r="B207" s="14" t="s">
        <v>341</v>
      </c>
      <c r="C207" s="14" t="s">
        <v>428</v>
      </c>
      <c r="D207" s="14" t="s">
        <v>843</v>
      </c>
      <c r="E207" s="13" t="s">
        <v>58</v>
      </c>
      <c r="F207" s="15" t="n">
        <v>1</v>
      </c>
      <c r="G207" s="13" t="s">
        <v>62</v>
      </c>
      <c r="H207" s="13" t="s">
        <v>59</v>
      </c>
      <c r="I207" s="16" t="n">
        <v>2800</v>
      </c>
      <c r="J207" s="17" t="n">
        <f aca="false">F207*I207</f>
        <v>2800</v>
      </c>
      <c r="K207" s="18" t="s">
        <v>52</v>
      </c>
    </row>
    <row r="208" customFormat="false" ht="35.05" hidden="false" customHeight="false" outlineLevel="0" collapsed="false">
      <c r="A208" s="13" t="n">
        <v>204</v>
      </c>
      <c r="B208" s="14" t="s">
        <v>844</v>
      </c>
      <c r="C208" s="14" t="s">
        <v>431</v>
      </c>
      <c r="D208" s="14" t="s">
        <v>845</v>
      </c>
      <c r="E208" s="13" t="s">
        <v>75</v>
      </c>
      <c r="F208" s="15" t="n">
        <v>2</v>
      </c>
      <c r="G208" s="13" t="s">
        <v>50</v>
      </c>
      <c r="H208" s="13" t="s">
        <v>59</v>
      </c>
      <c r="I208" s="16" t="n">
        <v>150</v>
      </c>
      <c r="J208" s="17" t="n">
        <f aca="false">F208*I208</f>
        <v>300</v>
      </c>
      <c r="K208" s="18" t="s">
        <v>52</v>
      </c>
    </row>
    <row r="209" customFormat="false" ht="35.05" hidden="false" customHeight="false" outlineLevel="0" collapsed="false">
      <c r="A209" s="13" t="n">
        <v>205</v>
      </c>
      <c r="B209" s="14" t="s">
        <v>844</v>
      </c>
      <c r="C209" s="14" t="s">
        <v>846</v>
      </c>
      <c r="D209" s="14" t="s">
        <v>845</v>
      </c>
      <c r="E209" s="13" t="s">
        <v>58</v>
      </c>
      <c r="F209" s="15" t="n">
        <v>1</v>
      </c>
      <c r="G209" s="13" t="s">
        <v>50</v>
      </c>
      <c r="H209" s="13" t="s">
        <v>59</v>
      </c>
      <c r="I209" s="16" t="n">
        <v>250</v>
      </c>
      <c r="J209" s="17" t="n">
        <f aca="false">F209*I209</f>
        <v>250</v>
      </c>
      <c r="K209" s="18" t="s">
        <v>52</v>
      </c>
    </row>
    <row r="210" customFormat="false" ht="35.05" hidden="false" customHeight="false" outlineLevel="0" collapsed="false">
      <c r="A210" s="13" t="n">
        <v>206</v>
      </c>
      <c r="B210" s="14" t="s">
        <v>844</v>
      </c>
      <c r="C210" s="14" t="s">
        <v>435</v>
      </c>
      <c r="D210" s="14" t="s">
        <v>436</v>
      </c>
      <c r="E210" s="13" t="s">
        <v>58</v>
      </c>
      <c r="F210" s="15" t="n">
        <v>1</v>
      </c>
      <c r="G210" s="13" t="s">
        <v>50</v>
      </c>
      <c r="H210" s="13" t="s">
        <v>72</v>
      </c>
      <c r="I210" s="16" t="n">
        <v>450</v>
      </c>
      <c r="J210" s="17" t="n">
        <f aca="false">F210*I210</f>
        <v>450</v>
      </c>
      <c r="K210" s="18" t="s">
        <v>52</v>
      </c>
    </row>
    <row r="211" customFormat="false" ht="35.05" hidden="false" customHeight="false" outlineLevel="0" collapsed="false">
      <c r="A211" s="13" t="n">
        <v>207</v>
      </c>
      <c r="B211" s="14" t="s">
        <v>844</v>
      </c>
      <c r="C211" s="14" t="s">
        <v>437</v>
      </c>
      <c r="D211" s="14" t="s">
        <v>438</v>
      </c>
      <c r="E211" s="13" t="s">
        <v>58</v>
      </c>
      <c r="F211" s="15" t="n">
        <v>1</v>
      </c>
      <c r="G211" s="13" t="s">
        <v>50</v>
      </c>
      <c r="H211" s="13" t="s">
        <v>72</v>
      </c>
      <c r="I211" s="16" t="n">
        <v>900</v>
      </c>
      <c r="J211" s="17" t="n">
        <f aca="false">F211*I211</f>
        <v>900</v>
      </c>
      <c r="K211" s="18" t="s">
        <v>52</v>
      </c>
    </row>
    <row r="212" customFormat="false" ht="35.05" hidden="false" customHeight="false" outlineLevel="0" collapsed="false">
      <c r="A212" s="13" t="n">
        <v>208</v>
      </c>
      <c r="B212" s="14" t="s">
        <v>844</v>
      </c>
      <c r="C212" s="14" t="s">
        <v>439</v>
      </c>
      <c r="D212" s="14" t="s">
        <v>847</v>
      </c>
      <c r="E212" s="13" t="s">
        <v>75</v>
      </c>
      <c r="F212" s="15" t="n">
        <v>2</v>
      </c>
      <c r="G212" s="13" t="s">
        <v>50</v>
      </c>
      <c r="H212" s="13" t="s">
        <v>59</v>
      </c>
      <c r="I212" s="16" t="n">
        <v>80</v>
      </c>
      <c r="J212" s="17" t="n">
        <f aca="false">F212*I212</f>
        <v>160</v>
      </c>
      <c r="K212" s="18" t="s">
        <v>52</v>
      </c>
    </row>
    <row r="213" customFormat="false" ht="35.05" hidden="false" customHeight="false" outlineLevel="0" collapsed="false">
      <c r="A213" s="13" t="n">
        <v>209</v>
      </c>
      <c r="B213" s="14" t="s">
        <v>844</v>
      </c>
      <c r="C213" s="14" t="s">
        <v>441</v>
      </c>
      <c r="D213" s="14" t="s">
        <v>848</v>
      </c>
      <c r="E213" s="13" t="s">
        <v>58</v>
      </c>
      <c r="F213" s="15" t="n">
        <v>1</v>
      </c>
      <c r="G213" s="13" t="s">
        <v>50</v>
      </c>
      <c r="H213" s="13" t="s">
        <v>59</v>
      </c>
      <c r="I213" s="16" t="n">
        <v>900</v>
      </c>
      <c r="J213" s="17" t="n">
        <f aca="false">F213*I213</f>
        <v>900</v>
      </c>
      <c r="K213" s="18" t="s">
        <v>52</v>
      </c>
    </row>
    <row r="214" customFormat="false" ht="35.05" hidden="false" customHeight="false" outlineLevel="0" collapsed="false">
      <c r="A214" s="13" t="n">
        <v>210</v>
      </c>
      <c r="B214" s="14" t="s">
        <v>844</v>
      </c>
      <c r="C214" s="14" t="s">
        <v>443</v>
      </c>
      <c r="D214" s="14" t="s">
        <v>436</v>
      </c>
      <c r="E214" s="13" t="s">
        <v>58</v>
      </c>
      <c r="F214" s="15" t="n">
        <v>1</v>
      </c>
      <c r="G214" s="13" t="s">
        <v>50</v>
      </c>
      <c r="H214" s="13" t="s">
        <v>59</v>
      </c>
      <c r="I214" s="16" t="n">
        <v>350</v>
      </c>
      <c r="J214" s="17" t="n">
        <f aca="false">F214*I214</f>
        <v>350</v>
      </c>
      <c r="K214" s="18" t="s">
        <v>52</v>
      </c>
    </row>
    <row r="215" customFormat="false" ht="35.05" hidden="false" customHeight="false" outlineLevel="0" collapsed="false">
      <c r="A215" s="13" t="n">
        <v>211</v>
      </c>
      <c r="B215" s="14" t="s">
        <v>844</v>
      </c>
      <c r="C215" s="14" t="s">
        <v>445</v>
      </c>
      <c r="D215" s="14" t="s">
        <v>436</v>
      </c>
      <c r="E215" s="13" t="s">
        <v>58</v>
      </c>
      <c r="F215" s="15" t="n">
        <v>1</v>
      </c>
      <c r="G215" s="13" t="s">
        <v>50</v>
      </c>
      <c r="H215" s="13" t="s">
        <v>59</v>
      </c>
      <c r="I215" s="16" t="n">
        <v>1500</v>
      </c>
      <c r="J215" s="17" t="n">
        <f aca="false">F215*I215</f>
        <v>1500</v>
      </c>
      <c r="K215" s="18" t="s">
        <v>52</v>
      </c>
    </row>
    <row r="216" customFormat="false" ht="35.05" hidden="false" customHeight="false" outlineLevel="0" collapsed="false">
      <c r="A216" s="13" t="n">
        <v>212</v>
      </c>
      <c r="B216" s="14" t="s">
        <v>844</v>
      </c>
      <c r="C216" s="14" t="s">
        <v>447</v>
      </c>
      <c r="D216" s="14" t="s">
        <v>448</v>
      </c>
      <c r="E216" s="13" t="s">
        <v>75</v>
      </c>
      <c r="F216" s="15" t="n">
        <v>2</v>
      </c>
      <c r="G216" s="13" t="s">
        <v>50</v>
      </c>
      <c r="H216" s="13" t="s">
        <v>59</v>
      </c>
      <c r="I216" s="16" t="n">
        <v>150</v>
      </c>
      <c r="J216" s="17" t="n">
        <f aca="false">F216*I216</f>
        <v>300</v>
      </c>
      <c r="K216" s="18" t="s">
        <v>52</v>
      </c>
    </row>
    <row r="217" customFormat="false" ht="35.05" hidden="false" customHeight="false" outlineLevel="0" collapsed="false">
      <c r="A217" s="13" t="n">
        <v>213</v>
      </c>
      <c r="B217" s="14" t="s">
        <v>844</v>
      </c>
      <c r="C217" s="14" t="s">
        <v>449</v>
      </c>
      <c r="D217" s="14" t="s">
        <v>450</v>
      </c>
      <c r="E217" s="13" t="s">
        <v>58</v>
      </c>
      <c r="F217" s="15" t="n">
        <v>1</v>
      </c>
      <c r="G217" s="13" t="s">
        <v>50</v>
      </c>
      <c r="H217" s="13" t="s">
        <v>72</v>
      </c>
      <c r="I217" s="16" t="n">
        <v>350</v>
      </c>
      <c r="J217" s="17" t="n">
        <f aca="false">F217*I217</f>
        <v>350</v>
      </c>
      <c r="K217" s="18" t="s">
        <v>52</v>
      </c>
    </row>
    <row r="218" customFormat="false" ht="35.05" hidden="false" customHeight="false" outlineLevel="0" collapsed="false">
      <c r="A218" s="13" t="n">
        <v>214</v>
      </c>
      <c r="B218" s="14" t="s">
        <v>844</v>
      </c>
      <c r="C218" s="14" t="s">
        <v>451</v>
      </c>
      <c r="D218" s="14" t="s">
        <v>849</v>
      </c>
      <c r="E218" s="13" t="s">
        <v>58</v>
      </c>
      <c r="F218" s="15" t="n">
        <v>1</v>
      </c>
      <c r="G218" s="13" t="s">
        <v>50</v>
      </c>
      <c r="H218" s="13" t="s">
        <v>59</v>
      </c>
      <c r="I218" s="16" t="n">
        <v>150</v>
      </c>
      <c r="J218" s="17" t="n">
        <f aca="false">F218*I218</f>
        <v>150</v>
      </c>
      <c r="K218" s="18" t="s">
        <v>52</v>
      </c>
    </row>
    <row r="219" customFormat="false" ht="35.05" hidden="false" customHeight="false" outlineLevel="0" collapsed="false">
      <c r="A219" s="13" t="n">
        <v>215</v>
      </c>
      <c r="B219" s="14" t="s">
        <v>844</v>
      </c>
      <c r="C219" s="14" t="s">
        <v>453</v>
      </c>
      <c r="D219" s="14" t="s">
        <v>454</v>
      </c>
      <c r="E219" s="13" t="s">
        <v>58</v>
      </c>
      <c r="F219" s="15" t="n">
        <v>1</v>
      </c>
      <c r="G219" s="13" t="s">
        <v>50</v>
      </c>
      <c r="H219" s="13" t="s">
        <v>59</v>
      </c>
      <c r="I219" s="16" t="n">
        <v>150</v>
      </c>
      <c r="J219" s="17" t="n">
        <f aca="false">F219*I219</f>
        <v>150</v>
      </c>
      <c r="K219" s="18" t="s">
        <v>52</v>
      </c>
    </row>
    <row r="220" customFormat="false" ht="35.05" hidden="false" customHeight="false" outlineLevel="0" collapsed="false">
      <c r="A220" s="13" t="n">
        <v>216</v>
      </c>
      <c r="B220" s="14" t="s">
        <v>844</v>
      </c>
      <c r="C220" s="14" t="s">
        <v>455</v>
      </c>
      <c r="D220" s="14" t="s">
        <v>456</v>
      </c>
      <c r="E220" s="13" t="s">
        <v>58</v>
      </c>
      <c r="F220" s="15" t="n">
        <v>1</v>
      </c>
      <c r="G220" s="13" t="s">
        <v>50</v>
      </c>
      <c r="H220" s="13" t="s">
        <v>72</v>
      </c>
      <c r="I220" s="16" t="n">
        <v>150</v>
      </c>
      <c r="J220" s="17" t="n">
        <f aca="false">F220*I220</f>
        <v>150</v>
      </c>
      <c r="K220" s="18" t="s">
        <v>52</v>
      </c>
    </row>
    <row r="221" customFormat="false" ht="35.05" hidden="false" customHeight="false" outlineLevel="0" collapsed="false">
      <c r="A221" s="13" t="n">
        <v>217</v>
      </c>
      <c r="B221" s="14" t="s">
        <v>844</v>
      </c>
      <c r="C221" s="14" t="s">
        <v>457</v>
      </c>
      <c r="D221" s="14" t="s">
        <v>850</v>
      </c>
      <c r="E221" s="13" t="s">
        <v>58</v>
      </c>
      <c r="F221" s="15" t="n">
        <v>1</v>
      </c>
      <c r="G221" s="13" t="s">
        <v>50</v>
      </c>
      <c r="H221" s="13" t="s">
        <v>59</v>
      </c>
      <c r="I221" s="16" t="n">
        <v>3500</v>
      </c>
      <c r="J221" s="17" t="n">
        <f aca="false">F221*I221</f>
        <v>3500</v>
      </c>
      <c r="K221" s="18" t="s">
        <v>52</v>
      </c>
    </row>
    <row r="222" customFormat="false" ht="35.05" hidden="false" customHeight="false" outlineLevel="0" collapsed="false">
      <c r="A222" s="13" t="n">
        <v>218</v>
      </c>
      <c r="B222" s="14" t="s">
        <v>844</v>
      </c>
      <c r="C222" s="14" t="s">
        <v>851</v>
      </c>
      <c r="D222" s="14" t="s">
        <v>852</v>
      </c>
      <c r="E222" s="13" t="s">
        <v>58</v>
      </c>
      <c r="F222" s="15" t="n">
        <v>1</v>
      </c>
      <c r="G222" s="13" t="s">
        <v>50</v>
      </c>
      <c r="H222" s="13" t="s">
        <v>59</v>
      </c>
      <c r="I222" s="16" t="n">
        <v>1800</v>
      </c>
      <c r="J222" s="17" t="n">
        <f aca="false">F222*I222</f>
        <v>1800</v>
      </c>
      <c r="K222" s="18" t="s">
        <v>52</v>
      </c>
    </row>
    <row r="223" customFormat="false" ht="35.05" hidden="false" customHeight="false" outlineLevel="0" collapsed="false">
      <c r="A223" s="13" t="n">
        <v>219</v>
      </c>
      <c r="B223" s="14" t="s">
        <v>844</v>
      </c>
      <c r="C223" s="14" t="s">
        <v>461</v>
      </c>
      <c r="D223" s="14" t="s">
        <v>853</v>
      </c>
      <c r="E223" s="13" t="s">
        <v>58</v>
      </c>
      <c r="F223" s="15" t="n">
        <v>1</v>
      </c>
      <c r="G223" s="13" t="s">
        <v>50</v>
      </c>
      <c r="H223" s="13" t="s">
        <v>72</v>
      </c>
      <c r="I223" s="16" t="n">
        <v>850</v>
      </c>
      <c r="J223" s="17" t="n">
        <f aca="false">F223*I223</f>
        <v>850</v>
      </c>
      <c r="K223" s="18" t="s">
        <v>52</v>
      </c>
    </row>
    <row r="224" customFormat="false" ht="35.05" hidden="false" customHeight="false" outlineLevel="0" collapsed="false">
      <c r="A224" s="13" t="n">
        <v>220</v>
      </c>
      <c r="B224" s="14" t="s">
        <v>844</v>
      </c>
      <c r="C224" s="14" t="s">
        <v>463</v>
      </c>
      <c r="D224" s="14" t="s">
        <v>436</v>
      </c>
      <c r="E224" s="13" t="s">
        <v>323</v>
      </c>
      <c r="F224" s="15" t="n">
        <v>6</v>
      </c>
      <c r="G224" s="13" t="s">
        <v>50</v>
      </c>
      <c r="H224" s="13" t="s">
        <v>59</v>
      </c>
      <c r="I224" s="16" t="n">
        <v>40</v>
      </c>
      <c r="J224" s="17" t="n">
        <f aca="false">F224*I224</f>
        <v>240</v>
      </c>
      <c r="K224" s="18" t="s">
        <v>52</v>
      </c>
    </row>
    <row r="225" customFormat="false" ht="35.05" hidden="false" customHeight="false" outlineLevel="0" collapsed="false">
      <c r="A225" s="13" t="n">
        <v>221</v>
      </c>
      <c r="B225" s="14" t="s">
        <v>844</v>
      </c>
      <c r="C225" s="14" t="s">
        <v>464</v>
      </c>
      <c r="D225" s="14" t="s">
        <v>854</v>
      </c>
      <c r="E225" s="13" t="s">
        <v>58</v>
      </c>
      <c r="F225" s="15" t="n">
        <v>1</v>
      </c>
      <c r="G225" s="13" t="s">
        <v>50</v>
      </c>
      <c r="H225" s="13" t="s">
        <v>59</v>
      </c>
      <c r="I225" s="16" t="n">
        <v>1500</v>
      </c>
      <c r="J225" s="17" t="n">
        <f aca="false">F225*I225</f>
        <v>1500</v>
      </c>
      <c r="K225" s="18" t="s">
        <v>52</v>
      </c>
    </row>
    <row r="226" customFormat="false" ht="35.05" hidden="false" customHeight="false" outlineLevel="0" collapsed="false">
      <c r="A226" s="13" t="n">
        <v>222</v>
      </c>
      <c r="B226" s="14" t="s">
        <v>844</v>
      </c>
      <c r="C226" s="14" t="s">
        <v>855</v>
      </c>
      <c r="D226" s="14" t="s">
        <v>856</v>
      </c>
      <c r="E226" s="13" t="s">
        <v>58</v>
      </c>
      <c r="F226" s="15" t="n">
        <v>1</v>
      </c>
      <c r="G226" s="13" t="s">
        <v>50</v>
      </c>
      <c r="H226" s="13" t="s">
        <v>59</v>
      </c>
      <c r="I226" s="16" t="n">
        <v>150</v>
      </c>
      <c r="J226" s="17" t="n">
        <f aca="false">F226*I226</f>
        <v>150</v>
      </c>
      <c r="K226" s="18" t="s">
        <v>52</v>
      </c>
    </row>
    <row r="227" customFormat="false" ht="35.05" hidden="false" customHeight="false" outlineLevel="0" collapsed="false">
      <c r="A227" s="13" t="n">
        <v>223</v>
      </c>
      <c r="B227" s="14" t="s">
        <v>844</v>
      </c>
      <c r="C227" s="14" t="s">
        <v>468</v>
      </c>
      <c r="D227" s="14" t="s">
        <v>857</v>
      </c>
      <c r="E227" s="13" t="s">
        <v>75</v>
      </c>
      <c r="F227" s="15" t="n">
        <v>2</v>
      </c>
      <c r="G227" s="13" t="s">
        <v>50</v>
      </c>
      <c r="H227" s="13" t="s">
        <v>59</v>
      </c>
      <c r="I227" s="16" t="n">
        <v>60</v>
      </c>
      <c r="J227" s="17" t="n">
        <f aca="false">F227*I227</f>
        <v>120</v>
      </c>
      <c r="K227" s="18" t="s">
        <v>52</v>
      </c>
    </row>
    <row r="228" customFormat="false" ht="35.05" hidden="false" customHeight="false" outlineLevel="0" collapsed="false">
      <c r="A228" s="13" t="n">
        <v>224</v>
      </c>
      <c r="B228" s="14" t="s">
        <v>844</v>
      </c>
      <c r="C228" s="14" t="s">
        <v>470</v>
      </c>
      <c r="D228" s="14" t="s">
        <v>471</v>
      </c>
      <c r="E228" s="13" t="s">
        <v>58</v>
      </c>
      <c r="F228" s="15" t="n">
        <v>1</v>
      </c>
      <c r="G228" s="13" t="s">
        <v>50</v>
      </c>
      <c r="H228" s="13" t="s">
        <v>59</v>
      </c>
      <c r="I228" s="16" t="n">
        <v>350</v>
      </c>
      <c r="J228" s="17" t="n">
        <f aca="false">F228*I228</f>
        <v>350</v>
      </c>
      <c r="K228" s="18" t="s">
        <v>52</v>
      </c>
    </row>
    <row r="229" customFormat="false" ht="35.05" hidden="false" customHeight="false" outlineLevel="0" collapsed="false">
      <c r="A229" s="13" t="n">
        <v>225</v>
      </c>
      <c r="B229" s="14" t="s">
        <v>844</v>
      </c>
      <c r="C229" s="14" t="s">
        <v>858</v>
      </c>
      <c r="D229" s="14" t="s">
        <v>473</v>
      </c>
      <c r="E229" s="13" t="s">
        <v>58</v>
      </c>
      <c r="F229" s="15" t="n">
        <v>1</v>
      </c>
      <c r="G229" s="13" t="s">
        <v>50</v>
      </c>
      <c r="H229" s="13" t="s">
        <v>59</v>
      </c>
      <c r="I229" s="16" t="n">
        <v>500</v>
      </c>
      <c r="J229" s="17" t="n">
        <f aca="false">F229*I229</f>
        <v>500</v>
      </c>
      <c r="K229" s="18" t="s">
        <v>52</v>
      </c>
    </row>
    <row r="230" customFormat="false" ht="35.05" hidden="false" customHeight="false" outlineLevel="0" collapsed="false">
      <c r="A230" s="13" t="n">
        <v>226</v>
      </c>
      <c r="B230" s="14" t="s">
        <v>844</v>
      </c>
      <c r="C230" s="14" t="s">
        <v>474</v>
      </c>
      <c r="D230" s="14" t="s">
        <v>475</v>
      </c>
      <c r="E230" s="13" t="s">
        <v>58</v>
      </c>
      <c r="F230" s="15" t="n">
        <v>1</v>
      </c>
      <c r="G230" s="13" t="s">
        <v>50</v>
      </c>
      <c r="H230" s="13" t="s">
        <v>51</v>
      </c>
      <c r="I230" s="16" t="n">
        <v>120</v>
      </c>
      <c r="J230" s="17" t="n">
        <f aca="false">F230*I230</f>
        <v>120</v>
      </c>
      <c r="K230" s="18" t="s">
        <v>52</v>
      </c>
    </row>
    <row r="231" customFormat="false" ht="35.05" hidden="false" customHeight="false" outlineLevel="0" collapsed="false">
      <c r="A231" s="13" t="n">
        <v>227</v>
      </c>
      <c r="B231" s="14" t="s">
        <v>844</v>
      </c>
      <c r="C231" s="14" t="s">
        <v>846</v>
      </c>
      <c r="D231" s="14" t="s">
        <v>859</v>
      </c>
      <c r="E231" s="13" t="s">
        <v>58</v>
      </c>
      <c r="F231" s="15" t="n">
        <v>1</v>
      </c>
      <c r="G231" s="13" t="s">
        <v>50</v>
      </c>
      <c r="H231" s="13" t="s">
        <v>59</v>
      </c>
      <c r="I231" s="16" t="n">
        <v>250</v>
      </c>
      <c r="J231" s="17" t="n">
        <f aca="false">F231*I231</f>
        <v>250</v>
      </c>
      <c r="K231" s="18" t="s">
        <v>52</v>
      </c>
    </row>
    <row r="232" customFormat="false" ht="35.05" hidden="false" customHeight="false" outlineLevel="0" collapsed="false">
      <c r="A232" s="13" t="n">
        <v>228</v>
      </c>
      <c r="B232" s="14" t="s">
        <v>844</v>
      </c>
      <c r="C232" s="14" t="s">
        <v>860</v>
      </c>
      <c r="D232" s="14" t="s">
        <v>861</v>
      </c>
      <c r="E232" s="13" t="s">
        <v>307</v>
      </c>
      <c r="F232" s="15" t="n">
        <v>4</v>
      </c>
      <c r="G232" s="13" t="s">
        <v>50</v>
      </c>
      <c r="H232" s="13" t="s">
        <v>59</v>
      </c>
      <c r="I232" s="16" t="n">
        <v>150</v>
      </c>
      <c r="J232" s="17" t="n">
        <f aca="false">F232*I232</f>
        <v>600</v>
      </c>
      <c r="K232" s="18" t="s">
        <v>52</v>
      </c>
    </row>
    <row r="233" customFormat="false" ht="35.05" hidden="false" customHeight="false" outlineLevel="0" collapsed="false">
      <c r="A233" s="13" t="n">
        <v>229</v>
      </c>
      <c r="B233" s="14" t="s">
        <v>844</v>
      </c>
      <c r="C233" s="14" t="s">
        <v>862</v>
      </c>
      <c r="D233" s="14" t="s">
        <v>481</v>
      </c>
      <c r="E233" s="13" t="s">
        <v>75</v>
      </c>
      <c r="F233" s="15" t="n">
        <v>2</v>
      </c>
      <c r="G233" s="13" t="s">
        <v>50</v>
      </c>
      <c r="H233" s="13" t="s">
        <v>59</v>
      </c>
      <c r="I233" s="16" t="n">
        <v>200</v>
      </c>
      <c r="J233" s="17" t="n">
        <f aca="false">F233*I233</f>
        <v>400</v>
      </c>
      <c r="K233" s="18" t="s">
        <v>52</v>
      </c>
    </row>
    <row r="234" customFormat="false" ht="35.05" hidden="false" customHeight="false" outlineLevel="0" collapsed="false">
      <c r="A234" s="13" t="n">
        <v>230</v>
      </c>
      <c r="B234" s="14" t="s">
        <v>844</v>
      </c>
      <c r="C234" s="14" t="s">
        <v>482</v>
      </c>
      <c r="D234" s="14" t="s">
        <v>863</v>
      </c>
      <c r="E234" s="13" t="s">
        <v>58</v>
      </c>
      <c r="F234" s="15" t="n">
        <v>1</v>
      </c>
      <c r="G234" s="13" t="s">
        <v>50</v>
      </c>
      <c r="H234" s="13" t="s">
        <v>59</v>
      </c>
      <c r="I234" s="16" t="n">
        <v>1200</v>
      </c>
      <c r="J234" s="17" t="n">
        <f aca="false">F234*I234</f>
        <v>1200</v>
      </c>
      <c r="K234" s="18" t="s">
        <v>52</v>
      </c>
    </row>
    <row r="235" customFormat="false" ht="35.05" hidden="false" customHeight="false" outlineLevel="0" collapsed="false">
      <c r="A235" s="13" t="n">
        <v>231</v>
      </c>
      <c r="B235" s="14" t="s">
        <v>844</v>
      </c>
      <c r="C235" s="14" t="s">
        <v>484</v>
      </c>
      <c r="D235" s="14" t="s">
        <v>485</v>
      </c>
      <c r="E235" s="13" t="s">
        <v>58</v>
      </c>
      <c r="F235" s="15" t="n">
        <v>1</v>
      </c>
      <c r="G235" s="13" t="s">
        <v>50</v>
      </c>
      <c r="H235" s="13" t="s">
        <v>59</v>
      </c>
      <c r="I235" s="16" t="n">
        <v>250</v>
      </c>
      <c r="J235" s="17" t="n">
        <f aca="false">F235*I235</f>
        <v>250</v>
      </c>
      <c r="K235" s="18" t="s">
        <v>52</v>
      </c>
    </row>
    <row r="236" customFormat="false" ht="35.05" hidden="false" customHeight="false" outlineLevel="0" collapsed="false">
      <c r="A236" s="13" t="n">
        <v>232</v>
      </c>
      <c r="B236" s="14" t="s">
        <v>844</v>
      </c>
      <c r="C236" s="14" t="s">
        <v>486</v>
      </c>
      <c r="D236" s="14" t="s">
        <v>456</v>
      </c>
      <c r="E236" s="13" t="s">
        <v>58</v>
      </c>
      <c r="F236" s="15" t="n">
        <v>1</v>
      </c>
      <c r="G236" s="13" t="s">
        <v>62</v>
      </c>
      <c r="H236" s="13" t="s">
        <v>59</v>
      </c>
      <c r="I236" s="16" t="n">
        <v>300</v>
      </c>
      <c r="J236" s="17" t="n">
        <f aca="false">F236*I236</f>
        <v>300</v>
      </c>
      <c r="K236" s="18" t="s">
        <v>52</v>
      </c>
    </row>
    <row r="237" customFormat="false" ht="35.05" hidden="false" customHeight="false" outlineLevel="0" collapsed="false">
      <c r="A237" s="13" t="n">
        <v>233</v>
      </c>
      <c r="B237" s="14" t="s">
        <v>844</v>
      </c>
      <c r="C237" s="14" t="s">
        <v>489</v>
      </c>
      <c r="D237" s="14" t="s">
        <v>490</v>
      </c>
      <c r="E237" s="13" t="s">
        <v>58</v>
      </c>
      <c r="F237" s="15" t="n">
        <v>1</v>
      </c>
      <c r="G237" s="13" t="s">
        <v>50</v>
      </c>
      <c r="H237" s="13" t="s">
        <v>51</v>
      </c>
      <c r="I237" s="16" t="n">
        <v>1200</v>
      </c>
      <c r="J237" s="17" t="n">
        <f aca="false">F237*I237</f>
        <v>1200</v>
      </c>
      <c r="K237" s="18" t="s">
        <v>52</v>
      </c>
    </row>
    <row r="238" customFormat="false" ht="35.05" hidden="false" customHeight="false" outlineLevel="0" collapsed="false">
      <c r="A238" s="13" t="n">
        <v>234</v>
      </c>
      <c r="B238" s="14" t="s">
        <v>844</v>
      </c>
      <c r="C238" s="14" t="s">
        <v>864</v>
      </c>
      <c r="D238" s="14" t="s">
        <v>865</v>
      </c>
      <c r="E238" s="13" t="s">
        <v>58</v>
      </c>
      <c r="F238" s="15" t="n">
        <v>1</v>
      </c>
      <c r="G238" s="13" t="s">
        <v>50</v>
      </c>
      <c r="H238" s="13" t="s">
        <v>51</v>
      </c>
      <c r="I238" s="16" t="n">
        <v>250</v>
      </c>
      <c r="J238" s="17" t="n">
        <f aca="false">F238*I238</f>
        <v>250</v>
      </c>
      <c r="K238" s="18" t="s">
        <v>52</v>
      </c>
    </row>
    <row r="239" customFormat="false" ht="35.05" hidden="false" customHeight="false" outlineLevel="0" collapsed="false">
      <c r="A239" s="13" t="n">
        <v>235</v>
      </c>
      <c r="B239" s="14" t="s">
        <v>844</v>
      </c>
      <c r="C239" s="14" t="s">
        <v>866</v>
      </c>
      <c r="D239" s="14" t="s">
        <v>867</v>
      </c>
      <c r="E239" s="13" t="s">
        <v>58</v>
      </c>
      <c r="F239" s="15" t="n">
        <v>1</v>
      </c>
      <c r="G239" s="13" t="s">
        <v>50</v>
      </c>
      <c r="H239" s="13" t="s">
        <v>51</v>
      </c>
      <c r="I239" s="16" t="n">
        <v>2500</v>
      </c>
      <c r="J239" s="17" t="n">
        <f aca="false">F239*I239</f>
        <v>2500</v>
      </c>
      <c r="K239" s="18" t="s">
        <v>52</v>
      </c>
    </row>
    <row r="240" customFormat="false" ht="35.05" hidden="false" customHeight="false" outlineLevel="0" collapsed="false">
      <c r="A240" s="13" t="n">
        <v>236</v>
      </c>
      <c r="B240" s="14" t="s">
        <v>844</v>
      </c>
      <c r="C240" s="14" t="s">
        <v>495</v>
      </c>
      <c r="D240" s="14" t="s">
        <v>818</v>
      </c>
      <c r="E240" s="13" t="s">
        <v>58</v>
      </c>
      <c r="F240" s="15" t="n">
        <v>1</v>
      </c>
      <c r="G240" s="13" t="s">
        <v>50</v>
      </c>
      <c r="H240" s="13" t="s">
        <v>55</v>
      </c>
      <c r="I240" s="16" t="n">
        <v>450</v>
      </c>
      <c r="J240" s="17" t="n">
        <f aca="false">F240*I240</f>
        <v>450</v>
      </c>
      <c r="K240" s="18" t="s">
        <v>52</v>
      </c>
    </row>
    <row r="241" customFormat="false" ht="35.05" hidden="false" customHeight="false" outlineLevel="0" collapsed="false">
      <c r="A241" s="13" t="n">
        <v>237</v>
      </c>
      <c r="B241" s="14" t="s">
        <v>844</v>
      </c>
      <c r="C241" s="14" t="s">
        <v>496</v>
      </c>
      <c r="D241" s="14" t="s">
        <v>865</v>
      </c>
      <c r="E241" s="13" t="s">
        <v>58</v>
      </c>
      <c r="F241" s="15" t="n">
        <v>1</v>
      </c>
      <c r="G241" s="13" t="s">
        <v>50</v>
      </c>
      <c r="H241" s="13" t="s">
        <v>59</v>
      </c>
      <c r="I241" s="16" t="n">
        <v>120</v>
      </c>
      <c r="J241" s="17" t="n">
        <f aca="false">F241*I241</f>
        <v>120</v>
      </c>
      <c r="K241" s="18" t="s">
        <v>52</v>
      </c>
    </row>
    <row r="242" customFormat="false" ht="35.05" hidden="false" customHeight="false" outlineLevel="0" collapsed="false">
      <c r="A242" s="13" t="n">
        <v>238</v>
      </c>
      <c r="B242" s="14" t="s">
        <v>844</v>
      </c>
      <c r="C242" s="14" t="s">
        <v>498</v>
      </c>
      <c r="D242" s="14" t="s">
        <v>867</v>
      </c>
      <c r="E242" s="13" t="s">
        <v>58</v>
      </c>
      <c r="F242" s="15" t="n">
        <v>1</v>
      </c>
      <c r="G242" s="13" t="s">
        <v>50</v>
      </c>
      <c r="H242" s="13" t="s">
        <v>59</v>
      </c>
      <c r="I242" s="16" t="n">
        <v>1800</v>
      </c>
      <c r="J242" s="17" t="n">
        <f aca="false">F242*I242</f>
        <v>1800</v>
      </c>
      <c r="K242" s="18" t="s">
        <v>52</v>
      </c>
    </row>
    <row r="243" customFormat="false" ht="35.05" hidden="false" customHeight="false" outlineLevel="0" collapsed="false">
      <c r="A243" s="13" t="n">
        <v>239</v>
      </c>
      <c r="B243" s="14" t="s">
        <v>844</v>
      </c>
      <c r="C243" s="14" t="s">
        <v>499</v>
      </c>
      <c r="D243" s="14" t="s">
        <v>490</v>
      </c>
      <c r="E243" s="13" t="s">
        <v>58</v>
      </c>
      <c r="F243" s="15" t="n">
        <v>1</v>
      </c>
      <c r="G243" s="13" t="s">
        <v>50</v>
      </c>
      <c r="H243" s="13" t="s">
        <v>59</v>
      </c>
      <c r="I243" s="16" t="n">
        <v>350</v>
      </c>
      <c r="J243" s="17" t="n">
        <f aca="false">F243*I243</f>
        <v>350</v>
      </c>
      <c r="K243" s="18" t="s">
        <v>52</v>
      </c>
    </row>
    <row r="244" customFormat="false" ht="35.05" hidden="false" customHeight="false" outlineLevel="0" collapsed="false">
      <c r="A244" s="13" t="n">
        <v>240</v>
      </c>
      <c r="B244" s="14" t="s">
        <v>844</v>
      </c>
      <c r="C244" s="14" t="s">
        <v>500</v>
      </c>
      <c r="D244" s="14" t="s">
        <v>868</v>
      </c>
      <c r="E244" s="13" t="s">
        <v>58</v>
      </c>
      <c r="F244" s="15" t="n">
        <v>1</v>
      </c>
      <c r="G244" s="13" t="s">
        <v>50</v>
      </c>
      <c r="H244" s="13" t="s">
        <v>59</v>
      </c>
      <c r="I244" s="16" t="n">
        <v>500</v>
      </c>
      <c r="J244" s="17" t="n">
        <f aca="false">F244*I244</f>
        <v>500</v>
      </c>
      <c r="K244" s="18" t="s">
        <v>52</v>
      </c>
    </row>
    <row r="245" customFormat="false" ht="35.05" hidden="false" customHeight="false" outlineLevel="0" collapsed="false">
      <c r="A245" s="13" t="n">
        <v>241</v>
      </c>
      <c r="B245" s="14" t="s">
        <v>844</v>
      </c>
      <c r="C245" s="14" t="s">
        <v>428</v>
      </c>
      <c r="D245" s="14" t="s">
        <v>869</v>
      </c>
      <c r="E245" s="13" t="s">
        <v>58</v>
      </c>
      <c r="F245" s="15" t="n">
        <v>1</v>
      </c>
      <c r="G245" s="13" t="s">
        <v>62</v>
      </c>
      <c r="H245" s="13" t="s">
        <v>59</v>
      </c>
      <c r="I245" s="16" t="n">
        <v>2800</v>
      </c>
      <c r="J245" s="17" t="n">
        <f aca="false">F245*I245</f>
        <v>2800</v>
      </c>
      <c r="K245" s="18" t="s">
        <v>52</v>
      </c>
    </row>
    <row r="246" customFormat="false" ht="35.05" hidden="false" customHeight="false" outlineLevel="0" collapsed="false">
      <c r="A246" s="13" t="n">
        <v>242</v>
      </c>
      <c r="B246" s="14" t="s">
        <v>844</v>
      </c>
      <c r="C246" s="14" t="s">
        <v>505</v>
      </c>
      <c r="D246" s="14" t="s">
        <v>870</v>
      </c>
      <c r="E246" s="13" t="s">
        <v>71</v>
      </c>
      <c r="F246" s="15" t="n">
        <v>5</v>
      </c>
      <c r="G246" s="13" t="s">
        <v>50</v>
      </c>
      <c r="H246" s="13" t="s">
        <v>59</v>
      </c>
      <c r="I246" s="16" t="n">
        <v>250</v>
      </c>
      <c r="J246" s="17" t="n">
        <f aca="false">F246*I246</f>
        <v>1250</v>
      </c>
      <c r="K246" s="18" t="s">
        <v>52</v>
      </c>
    </row>
    <row r="247" customFormat="false" ht="35.05" hidden="false" customHeight="false" outlineLevel="0" collapsed="false">
      <c r="A247" s="13" t="n">
        <v>243</v>
      </c>
      <c r="B247" s="14" t="s">
        <v>844</v>
      </c>
      <c r="C247" s="14" t="s">
        <v>507</v>
      </c>
      <c r="D247" s="14" t="s">
        <v>871</v>
      </c>
      <c r="E247" s="13" t="s">
        <v>326</v>
      </c>
      <c r="F247" s="15" t="n">
        <v>3</v>
      </c>
      <c r="G247" s="13" t="s">
        <v>50</v>
      </c>
      <c r="H247" s="13" t="s">
        <v>59</v>
      </c>
      <c r="I247" s="16" t="n">
        <v>80</v>
      </c>
      <c r="J247" s="17" t="n">
        <f aca="false">F247*I247</f>
        <v>240</v>
      </c>
      <c r="K247" s="18" t="s">
        <v>52</v>
      </c>
    </row>
    <row r="248" customFormat="false" ht="35.05" hidden="false" customHeight="false" outlineLevel="0" collapsed="false">
      <c r="A248" s="13" t="n">
        <v>244</v>
      </c>
      <c r="B248" s="14" t="s">
        <v>844</v>
      </c>
      <c r="C248" s="14" t="s">
        <v>509</v>
      </c>
      <c r="D248" s="14" t="s">
        <v>872</v>
      </c>
      <c r="E248" s="13" t="s">
        <v>307</v>
      </c>
      <c r="F248" s="15" t="n">
        <v>4</v>
      </c>
      <c r="G248" s="13" t="s">
        <v>76</v>
      </c>
      <c r="H248" s="13" t="s">
        <v>216</v>
      </c>
      <c r="I248" s="16" t="n">
        <v>180</v>
      </c>
      <c r="J248" s="17" t="n">
        <f aca="false">F248*I248</f>
        <v>720</v>
      </c>
      <c r="K248" s="18" t="s">
        <v>52</v>
      </c>
    </row>
    <row r="249" customFormat="false" ht="35.05" hidden="false" customHeight="false" outlineLevel="0" collapsed="false">
      <c r="A249" s="13" t="n">
        <v>245</v>
      </c>
      <c r="B249" s="14" t="s">
        <v>844</v>
      </c>
      <c r="C249" s="14" t="s">
        <v>511</v>
      </c>
      <c r="D249" s="14" t="s">
        <v>873</v>
      </c>
      <c r="E249" s="13" t="s">
        <v>58</v>
      </c>
      <c r="F249" s="15" t="n">
        <v>1</v>
      </c>
      <c r="G249" s="13" t="s">
        <v>76</v>
      </c>
      <c r="H249" s="13" t="s">
        <v>513</v>
      </c>
      <c r="I249" s="16" t="n">
        <v>150</v>
      </c>
      <c r="J249" s="17" t="n">
        <f aca="false">F249*I249</f>
        <v>150</v>
      </c>
      <c r="K249" s="18" t="s">
        <v>52</v>
      </c>
    </row>
    <row r="250" customFormat="false" ht="35.05" hidden="false" customHeight="false" outlineLevel="0" collapsed="false">
      <c r="A250" s="13" t="n">
        <v>246</v>
      </c>
      <c r="B250" s="14" t="s">
        <v>844</v>
      </c>
      <c r="C250" s="14" t="s">
        <v>514</v>
      </c>
      <c r="D250" s="14" t="s">
        <v>874</v>
      </c>
      <c r="E250" s="13" t="s">
        <v>49</v>
      </c>
      <c r="F250" s="15" t="n">
        <v>15</v>
      </c>
      <c r="G250" s="13" t="s">
        <v>76</v>
      </c>
      <c r="H250" s="13" t="s">
        <v>59</v>
      </c>
      <c r="I250" s="16" t="n">
        <v>10</v>
      </c>
      <c r="J250" s="17" t="n">
        <f aca="false">F250*I250</f>
        <v>150</v>
      </c>
      <c r="K250" s="18" t="s">
        <v>52</v>
      </c>
    </row>
    <row r="251" customFormat="false" ht="35.05" hidden="false" customHeight="false" outlineLevel="0" collapsed="false">
      <c r="A251" s="13" t="n">
        <v>247</v>
      </c>
      <c r="B251" s="14" t="s">
        <v>844</v>
      </c>
      <c r="C251" s="14" t="s">
        <v>875</v>
      </c>
      <c r="D251" s="14" t="s">
        <v>876</v>
      </c>
      <c r="E251" s="13" t="s">
        <v>58</v>
      </c>
      <c r="F251" s="15" t="n">
        <v>1</v>
      </c>
      <c r="G251" s="13" t="s">
        <v>76</v>
      </c>
      <c r="H251" s="13" t="s">
        <v>520</v>
      </c>
      <c r="I251" s="16" t="n">
        <v>180</v>
      </c>
      <c r="J251" s="17" t="n">
        <f aca="false">F251*I251</f>
        <v>180</v>
      </c>
      <c r="K251" s="18" t="s">
        <v>52</v>
      </c>
    </row>
    <row r="252" customFormat="false" ht="35.05" hidden="false" customHeight="false" outlineLevel="0" collapsed="false">
      <c r="A252" s="13" t="n">
        <v>248</v>
      </c>
      <c r="B252" s="14" t="s">
        <v>844</v>
      </c>
      <c r="C252" s="14" t="s">
        <v>521</v>
      </c>
      <c r="D252" s="14" t="s">
        <v>877</v>
      </c>
      <c r="E252" s="13" t="s">
        <v>58</v>
      </c>
      <c r="F252" s="15" t="n">
        <v>1</v>
      </c>
      <c r="G252" s="13" t="s">
        <v>62</v>
      </c>
      <c r="H252" s="13" t="s">
        <v>59</v>
      </c>
      <c r="I252" s="16" t="n">
        <v>250</v>
      </c>
      <c r="J252" s="17" t="n">
        <f aca="false">F252*I252</f>
        <v>250</v>
      </c>
      <c r="K252" s="18" t="s">
        <v>52</v>
      </c>
    </row>
    <row r="253" customFormat="false" ht="35.05" hidden="false" customHeight="false" outlineLevel="0" collapsed="false">
      <c r="A253" s="13" t="n">
        <v>249</v>
      </c>
      <c r="B253" s="14" t="s">
        <v>844</v>
      </c>
      <c r="C253" s="14" t="s">
        <v>522</v>
      </c>
      <c r="D253" s="14" t="s">
        <v>877</v>
      </c>
      <c r="E253" s="13" t="s">
        <v>58</v>
      </c>
      <c r="F253" s="15" t="n">
        <v>1</v>
      </c>
      <c r="G253" s="13" t="s">
        <v>62</v>
      </c>
      <c r="H253" s="13" t="s">
        <v>59</v>
      </c>
      <c r="I253" s="16" t="n">
        <v>250</v>
      </c>
      <c r="J253" s="17" t="n">
        <f aca="false">F253*I253</f>
        <v>250</v>
      </c>
      <c r="K253" s="18" t="s">
        <v>52</v>
      </c>
    </row>
    <row r="254" customFormat="false" ht="35.05" hidden="false" customHeight="false" outlineLevel="0" collapsed="false">
      <c r="A254" s="13" t="n">
        <v>250</v>
      </c>
      <c r="B254" s="14" t="s">
        <v>844</v>
      </c>
      <c r="C254" s="14" t="s">
        <v>523</v>
      </c>
      <c r="D254" s="14" t="s">
        <v>878</v>
      </c>
      <c r="E254" s="13" t="s">
        <v>58</v>
      </c>
      <c r="F254" s="15" t="n">
        <v>1</v>
      </c>
      <c r="G254" s="13" t="s">
        <v>62</v>
      </c>
      <c r="H254" s="13" t="s">
        <v>59</v>
      </c>
      <c r="I254" s="16" t="n">
        <v>250</v>
      </c>
      <c r="J254" s="17" t="n">
        <f aca="false">F254*I254</f>
        <v>250</v>
      </c>
      <c r="K254" s="18" t="s">
        <v>52</v>
      </c>
    </row>
    <row r="255" customFormat="false" ht="23.85" hidden="false" customHeight="false" outlineLevel="0" collapsed="false">
      <c r="A255" s="13" t="n">
        <v>251</v>
      </c>
      <c r="B255" s="14" t="s">
        <v>524</v>
      </c>
      <c r="C255" s="14" t="s">
        <v>879</v>
      </c>
      <c r="D255" s="14" t="s">
        <v>880</v>
      </c>
      <c r="E255" s="13" t="s">
        <v>307</v>
      </c>
      <c r="F255" s="15" t="n">
        <v>4</v>
      </c>
      <c r="G255" s="13" t="s">
        <v>50</v>
      </c>
      <c r="H255" s="13" t="s">
        <v>51</v>
      </c>
      <c r="I255" s="16" t="n">
        <v>650</v>
      </c>
      <c r="J255" s="17" t="n">
        <f aca="false">F255*I255</f>
        <v>2600</v>
      </c>
      <c r="K255" s="18" t="s">
        <v>52</v>
      </c>
    </row>
    <row r="256" customFormat="false" ht="23.85" hidden="false" customHeight="false" outlineLevel="0" collapsed="false">
      <c r="A256" s="13" t="n">
        <v>252</v>
      </c>
      <c r="B256" s="14" t="s">
        <v>524</v>
      </c>
      <c r="C256" s="14" t="s">
        <v>527</v>
      </c>
      <c r="D256" s="14" t="s">
        <v>881</v>
      </c>
      <c r="E256" s="13" t="s">
        <v>307</v>
      </c>
      <c r="F256" s="15" t="n">
        <v>4</v>
      </c>
      <c r="G256" s="13" t="s">
        <v>50</v>
      </c>
      <c r="H256" s="13" t="s">
        <v>51</v>
      </c>
      <c r="I256" s="16" t="n">
        <v>350</v>
      </c>
      <c r="J256" s="17" t="n">
        <f aca="false">F256*I256</f>
        <v>1400</v>
      </c>
      <c r="K256" s="18" t="s">
        <v>52</v>
      </c>
    </row>
    <row r="257" customFormat="false" ht="23.85" hidden="false" customHeight="false" outlineLevel="0" collapsed="false">
      <c r="A257" s="13" t="n">
        <v>253</v>
      </c>
      <c r="B257" s="14" t="s">
        <v>524</v>
      </c>
      <c r="C257" s="14" t="s">
        <v>529</v>
      </c>
      <c r="D257" s="14" t="s">
        <v>882</v>
      </c>
      <c r="E257" s="13" t="s">
        <v>307</v>
      </c>
      <c r="F257" s="15" t="n">
        <v>4</v>
      </c>
      <c r="G257" s="13" t="s">
        <v>50</v>
      </c>
      <c r="H257" s="13" t="s">
        <v>51</v>
      </c>
      <c r="I257" s="16" t="n">
        <v>450</v>
      </c>
      <c r="J257" s="17" t="n">
        <f aca="false">F257*I257</f>
        <v>1800</v>
      </c>
      <c r="K257" s="18" t="s">
        <v>52</v>
      </c>
    </row>
    <row r="258" customFormat="false" ht="23.85" hidden="false" customHeight="false" outlineLevel="0" collapsed="false">
      <c r="A258" s="13" t="n">
        <v>254</v>
      </c>
      <c r="B258" s="14" t="s">
        <v>524</v>
      </c>
      <c r="C258" s="14" t="s">
        <v>531</v>
      </c>
      <c r="D258" s="14" t="s">
        <v>883</v>
      </c>
      <c r="E258" s="13" t="s">
        <v>75</v>
      </c>
      <c r="F258" s="15" t="n">
        <v>2</v>
      </c>
      <c r="G258" s="13" t="s">
        <v>50</v>
      </c>
      <c r="H258" s="13" t="s">
        <v>59</v>
      </c>
      <c r="I258" s="16" t="n">
        <v>900</v>
      </c>
      <c r="J258" s="17" t="n">
        <f aca="false">F258*I258</f>
        <v>1800</v>
      </c>
      <c r="K258" s="18" t="s">
        <v>52</v>
      </c>
    </row>
    <row r="259" customFormat="false" ht="23.85" hidden="false" customHeight="false" outlineLevel="0" collapsed="false">
      <c r="A259" s="13" t="n">
        <v>255</v>
      </c>
      <c r="B259" s="14" t="s">
        <v>524</v>
      </c>
      <c r="C259" s="14" t="s">
        <v>533</v>
      </c>
      <c r="D259" s="14" t="s">
        <v>884</v>
      </c>
      <c r="E259" s="13" t="s">
        <v>58</v>
      </c>
      <c r="F259" s="15" t="n">
        <v>1</v>
      </c>
      <c r="G259" s="13" t="s">
        <v>50</v>
      </c>
      <c r="H259" s="13" t="s">
        <v>59</v>
      </c>
      <c r="I259" s="16" t="n">
        <v>700</v>
      </c>
      <c r="J259" s="17" t="n">
        <f aca="false">F259*I259</f>
        <v>700</v>
      </c>
      <c r="K259" s="18" t="s">
        <v>52</v>
      </c>
    </row>
    <row r="260" customFormat="false" ht="23.85" hidden="false" customHeight="false" outlineLevel="0" collapsed="false">
      <c r="A260" s="13" t="n">
        <v>256</v>
      </c>
      <c r="B260" s="14" t="s">
        <v>524</v>
      </c>
      <c r="C260" s="14" t="s">
        <v>535</v>
      </c>
      <c r="D260" s="14" t="s">
        <v>885</v>
      </c>
      <c r="E260" s="13" t="s">
        <v>58</v>
      </c>
      <c r="F260" s="15" t="n">
        <v>1</v>
      </c>
      <c r="G260" s="13" t="s">
        <v>50</v>
      </c>
      <c r="H260" s="13" t="s">
        <v>59</v>
      </c>
      <c r="I260" s="16" t="n">
        <v>450</v>
      </c>
      <c r="J260" s="17" t="n">
        <f aca="false">F260*I260</f>
        <v>450</v>
      </c>
      <c r="K260" s="18" t="s">
        <v>52</v>
      </c>
    </row>
    <row r="261" customFormat="false" ht="23.85" hidden="false" customHeight="false" outlineLevel="0" collapsed="false">
      <c r="A261" s="13" t="n">
        <v>257</v>
      </c>
      <c r="B261" s="14" t="s">
        <v>524</v>
      </c>
      <c r="C261" s="14" t="s">
        <v>537</v>
      </c>
      <c r="D261" s="14" t="s">
        <v>886</v>
      </c>
      <c r="E261" s="13" t="s">
        <v>75</v>
      </c>
      <c r="F261" s="15" t="n">
        <v>2</v>
      </c>
      <c r="G261" s="13" t="s">
        <v>50</v>
      </c>
      <c r="H261" s="13" t="s">
        <v>51</v>
      </c>
      <c r="I261" s="16" t="n">
        <v>250</v>
      </c>
      <c r="J261" s="17" t="n">
        <f aca="false">F261*I261</f>
        <v>500</v>
      </c>
      <c r="K261" s="18" t="s">
        <v>52</v>
      </c>
    </row>
    <row r="262" customFormat="false" ht="23.85" hidden="false" customHeight="false" outlineLevel="0" collapsed="false">
      <c r="A262" s="13" t="n">
        <v>258</v>
      </c>
      <c r="B262" s="14" t="s">
        <v>524</v>
      </c>
      <c r="C262" s="14" t="s">
        <v>539</v>
      </c>
      <c r="D262" s="14" t="s">
        <v>887</v>
      </c>
      <c r="E262" s="13" t="s">
        <v>75</v>
      </c>
      <c r="F262" s="15" t="n">
        <v>2</v>
      </c>
      <c r="G262" s="13" t="s">
        <v>50</v>
      </c>
      <c r="H262" s="13" t="s">
        <v>51</v>
      </c>
      <c r="I262" s="16" t="n">
        <v>250</v>
      </c>
      <c r="J262" s="17" t="n">
        <f aca="false">F262*I262</f>
        <v>500</v>
      </c>
      <c r="K262" s="18" t="s">
        <v>52</v>
      </c>
    </row>
    <row r="263" customFormat="false" ht="23.85" hidden="false" customHeight="false" outlineLevel="0" collapsed="false">
      <c r="A263" s="13" t="n">
        <v>259</v>
      </c>
      <c r="B263" s="14" t="s">
        <v>524</v>
      </c>
      <c r="C263" s="14" t="s">
        <v>541</v>
      </c>
      <c r="D263" s="14" t="s">
        <v>542</v>
      </c>
      <c r="E263" s="13" t="s">
        <v>75</v>
      </c>
      <c r="F263" s="15" t="n">
        <v>2</v>
      </c>
      <c r="G263" s="13" t="s">
        <v>50</v>
      </c>
      <c r="H263" s="13" t="s">
        <v>59</v>
      </c>
      <c r="I263" s="16" t="n">
        <v>550</v>
      </c>
      <c r="J263" s="17" t="n">
        <f aca="false">F263*I263</f>
        <v>1100</v>
      </c>
      <c r="K263" s="18" t="s">
        <v>52</v>
      </c>
    </row>
    <row r="264" customFormat="false" ht="23.85" hidden="false" customHeight="false" outlineLevel="0" collapsed="false">
      <c r="A264" s="13" t="n">
        <v>260</v>
      </c>
      <c r="B264" s="14" t="s">
        <v>524</v>
      </c>
      <c r="C264" s="14" t="s">
        <v>543</v>
      </c>
      <c r="D264" s="14" t="s">
        <v>544</v>
      </c>
      <c r="E264" s="13" t="s">
        <v>58</v>
      </c>
      <c r="F264" s="15" t="n">
        <v>1</v>
      </c>
      <c r="G264" s="13" t="s">
        <v>50</v>
      </c>
      <c r="H264" s="13" t="s">
        <v>59</v>
      </c>
      <c r="I264" s="16" t="n">
        <v>600</v>
      </c>
      <c r="J264" s="17" t="n">
        <f aca="false">F264*I264</f>
        <v>600</v>
      </c>
      <c r="K264" s="18" t="s">
        <v>52</v>
      </c>
    </row>
    <row r="265" customFormat="false" ht="23.85" hidden="false" customHeight="false" outlineLevel="0" collapsed="false">
      <c r="A265" s="13" t="n">
        <v>261</v>
      </c>
      <c r="B265" s="14" t="s">
        <v>524</v>
      </c>
      <c r="C265" s="14" t="s">
        <v>545</v>
      </c>
      <c r="D265" s="14" t="s">
        <v>546</v>
      </c>
      <c r="E265" s="13" t="s">
        <v>58</v>
      </c>
      <c r="F265" s="15" t="n">
        <v>1</v>
      </c>
      <c r="G265" s="13" t="s">
        <v>50</v>
      </c>
      <c r="H265" s="13" t="s">
        <v>59</v>
      </c>
      <c r="I265" s="16" t="n">
        <v>650</v>
      </c>
      <c r="J265" s="17" t="n">
        <f aca="false">F265*I265</f>
        <v>650</v>
      </c>
      <c r="K265" s="18" t="s">
        <v>52</v>
      </c>
    </row>
    <row r="266" customFormat="false" ht="23.85" hidden="false" customHeight="false" outlineLevel="0" collapsed="false">
      <c r="A266" s="13" t="n">
        <v>262</v>
      </c>
      <c r="B266" s="14" t="s">
        <v>524</v>
      </c>
      <c r="C266" s="14" t="s">
        <v>547</v>
      </c>
      <c r="D266" s="14" t="s">
        <v>548</v>
      </c>
      <c r="E266" s="13" t="s">
        <v>307</v>
      </c>
      <c r="F266" s="15" t="n">
        <v>4</v>
      </c>
      <c r="G266" s="13" t="s">
        <v>50</v>
      </c>
      <c r="H266" s="13" t="s">
        <v>51</v>
      </c>
      <c r="I266" s="16" t="n">
        <v>180</v>
      </c>
      <c r="J266" s="17" t="n">
        <f aca="false">F266*I266</f>
        <v>720</v>
      </c>
      <c r="K266" s="18" t="s">
        <v>52</v>
      </c>
    </row>
    <row r="267" customFormat="false" ht="23.85" hidden="false" customHeight="false" outlineLevel="0" collapsed="false">
      <c r="A267" s="13" t="n">
        <v>263</v>
      </c>
      <c r="B267" s="14" t="s">
        <v>524</v>
      </c>
      <c r="C267" s="14" t="s">
        <v>549</v>
      </c>
      <c r="D267" s="14" t="s">
        <v>550</v>
      </c>
      <c r="E267" s="13" t="s">
        <v>75</v>
      </c>
      <c r="F267" s="15" t="n">
        <v>2</v>
      </c>
      <c r="G267" s="13" t="s">
        <v>50</v>
      </c>
      <c r="H267" s="13" t="s">
        <v>51</v>
      </c>
      <c r="I267" s="16" t="n">
        <v>180</v>
      </c>
      <c r="J267" s="17" t="n">
        <f aca="false">F267*I267</f>
        <v>360</v>
      </c>
      <c r="K267" s="18" t="s">
        <v>52</v>
      </c>
    </row>
    <row r="268" customFormat="false" ht="23.85" hidden="false" customHeight="false" outlineLevel="0" collapsed="false">
      <c r="A268" s="13" t="n">
        <v>264</v>
      </c>
      <c r="B268" s="14" t="s">
        <v>524</v>
      </c>
      <c r="C268" s="14" t="s">
        <v>551</v>
      </c>
      <c r="D268" s="14" t="s">
        <v>888</v>
      </c>
      <c r="E268" s="13" t="s">
        <v>75</v>
      </c>
      <c r="F268" s="15" t="n">
        <v>2</v>
      </c>
      <c r="G268" s="13" t="s">
        <v>50</v>
      </c>
      <c r="H268" s="13" t="s">
        <v>59</v>
      </c>
      <c r="I268" s="16" t="n">
        <v>450</v>
      </c>
      <c r="J268" s="17" t="n">
        <f aca="false">F268*I268</f>
        <v>900</v>
      </c>
      <c r="K268" s="18" t="s">
        <v>52</v>
      </c>
    </row>
    <row r="269" customFormat="false" ht="23.85" hidden="false" customHeight="false" outlineLevel="0" collapsed="false">
      <c r="A269" s="13" t="n">
        <v>265</v>
      </c>
      <c r="B269" s="14" t="s">
        <v>524</v>
      </c>
      <c r="C269" s="14" t="s">
        <v>553</v>
      </c>
      <c r="D269" s="14" t="s">
        <v>554</v>
      </c>
      <c r="E269" s="13" t="s">
        <v>58</v>
      </c>
      <c r="F269" s="15" t="n">
        <v>1</v>
      </c>
      <c r="G269" s="13" t="s">
        <v>50</v>
      </c>
      <c r="H269" s="13" t="s">
        <v>51</v>
      </c>
      <c r="I269" s="16" t="n">
        <v>250</v>
      </c>
      <c r="J269" s="17" t="n">
        <f aca="false">F269*I269</f>
        <v>250</v>
      </c>
      <c r="K269" s="18" t="s">
        <v>52</v>
      </c>
    </row>
    <row r="270" customFormat="false" ht="23.85" hidden="false" customHeight="false" outlineLevel="0" collapsed="false">
      <c r="A270" s="13" t="n">
        <v>266</v>
      </c>
      <c r="B270" s="14" t="s">
        <v>524</v>
      </c>
      <c r="C270" s="14" t="s">
        <v>555</v>
      </c>
      <c r="D270" s="14" t="s">
        <v>556</v>
      </c>
      <c r="E270" s="13" t="s">
        <v>75</v>
      </c>
      <c r="F270" s="15" t="n">
        <v>2</v>
      </c>
      <c r="G270" s="13" t="s">
        <v>50</v>
      </c>
      <c r="H270" s="13" t="s">
        <v>59</v>
      </c>
      <c r="I270" s="16" t="n">
        <v>350</v>
      </c>
      <c r="J270" s="17" t="n">
        <f aca="false">F270*I270</f>
        <v>700</v>
      </c>
      <c r="K270" s="18" t="s">
        <v>52</v>
      </c>
    </row>
    <row r="271" customFormat="false" ht="23.85" hidden="false" customHeight="false" outlineLevel="0" collapsed="false">
      <c r="A271" s="13" t="n">
        <v>267</v>
      </c>
      <c r="B271" s="14" t="s">
        <v>524</v>
      </c>
      <c r="C271" s="14" t="s">
        <v>557</v>
      </c>
      <c r="D271" s="14" t="s">
        <v>558</v>
      </c>
      <c r="E271" s="13" t="s">
        <v>307</v>
      </c>
      <c r="F271" s="15" t="n">
        <v>4</v>
      </c>
      <c r="G271" s="13" t="s">
        <v>50</v>
      </c>
      <c r="H271" s="13" t="s">
        <v>59</v>
      </c>
      <c r="I271" s="16" t="n">
        <v>200</v>
      </c>
      <c r="J271" s="17" t="n">
        <f aca="false">F271*I271</f>
        <v>800</v>
      </c>
      <c r="K271" s="18" t="s">
        <v>52</v>
      </c>
    </row>
    <row r="272" customFormat="false" ht="23.85" hidden="false" customHeight="false" outlineLevel="0" collapsed="false">
      <c r="A272" s="13" t="n">
        <v>268</v>
      </c>
      <c r="B272" s="14" t="s">
        <v>524</v>
      </c>
      <c r="C272" s="14" t="s">
        <v>559</v>
      </c>
      <c r="D272" s="14" t="s">
        <v>560</v>
      </c>
      <c r="E272" s="13" t="s">
        <v>75</v>
      </c>
      <c r="F272" s="15" t="n">
        <v>2</v>
      </c>
      <c r="G272" s="13" t="s">
        <v>50</v>
      </c>
      <c r="H272" s="13" t="s">
        <v>59</v>
      </c>
      <c r="I272" s="16" t="n">
        <v>450</v>
      </c>
      <c r="J272" s="17" t="n">
        <f aca="false">F272*I272</f>
        <v>900</v>
      </c>
      <c r="K272" s="18" t="s">
        <v>52</v>
      </c>
    </row>
    <row r="273" customFormat="false" ht="23.85" hidden="false" customHeight="false" outlineLevel="0" collapsed="false">
      <c r="A273" s="13" t="n">
        <v>269</v>
      </c>
      <c r="B273" s="14" t="s">
        <v>524</v>
      </c>
      <c r="C273" s="14" t="s">
        <v>561</v>
      </c>
      <c r="D273" s="14" t="s">
        <v>889</v>
      </c>
      <c r="E273" s="13" t="s">
        <v>58</v>
      </c>
      <c r="F273" s="15" t="n">
        <v>1</v>
      </c>
      <c r="G273" s="13" t="s">
        <v>50</v>
      </c>
      <c r="H273" s="13" t="s">
        <v>59</v>
      </c>
      <c r="I273" s="16" t="n">
        <v>80</v>
      </c>
      <c r="J273" s="17" t="n">
        <f aca="false">F273*I273</f>
        <v>80</v>
      </c>
      <c r="K273" s="18" t="s">
        <v>52</v>
      </c>
    </row>
    <row r="274" customFormat="false" ht="23.85" hidden="false" customHeight="false" outlineLevel="0" collapsed="false">
      <c r="A274" s="13" t="n">
        <v>270</v>
      </c>
      <c r="B274" s="14" t="s">
        <v>524</v>
      </c>
      <c r="C274" s="14" t="s">
        <v>563</v>
      </c>
      <c r="D274" s="14" t="s">
        <v>889</v>
      </c>
      <c r="E274" s="13" t="s">
        <v>75</v>
      </c>
      <c r="F274" s="15" t="n">
        <v>2</v>
      </c>
      <c r="G274" s="13" t="s">
        <v>50</v>
      </c>
      <c r="H274" s="13" t="s">
        <v>59</v>
      </c>
      <c r="I274" s="16" t="n">
        <v>250</v>
      </c>
      <c r="J274" s="17" t="n">
        <f aca="false">F274*I274</f>
        <v>500</v>
      </c>
      <c r="K274" s="18" t="s">
        <v>52</v>
      </c>
    </row>
    <row r="275" customFormat="false" ht="23.85" hidden="false" customHeight="false" outlineLevel="0" collapsed="false">
      <c r="A275" s="13" t="n">
        <v>271</v>
      </c>
      <c r="B275" s="14" t="s">
        <v>524</v>
      </c>
      <c r="C275" s="14" t="s">
        <v>890</v>
      </c>
      <c r="D275" s="14" t="s">
        <v>565</v>
      </c>
      <c r="E275" s="13" t="s">
        <v>75</v>
      </c>
      <c r="F275" s="15" t="n">
        <v>2</v>
      </c>
      <c r="G275" s="13" t="s">
        <v>50</v>
      </c>
      <c r="H275" s="13" t="s">
        <v>59</v>
      </c>
      <c r="I275" s="16" t="n">
        <v>600</v>
      </c>
      <c r="J275" s="17" t="n">
        <f aca="false">F275*I275</f>
        <v>1200</v>
      </c>
      <c r="K275" s="18" t="s">
        <v>52</v>
      </c>
    </row>
    <row r="276" customFormat="false" ht="23.85" hidden="false" customHeight="false" outlineLevel="0" collapsed="false">
      <c r="A276" s="13" t="n">
        <v>272</v>
      </c>
      <c r="B276" s="14" t="s">
        <v>524</v>
      </c>
      <c r="C276" s="14" t="s">
        <v>151</v>
      </c>
      <c r="D276" s="14" t="s">
        <v>567</v>
      </c>
      <c r="E276" s="13" t="s">
        <v>58</v>
      </c>
      <c r="F276" s="15" t="n">
        <v>1</v>
      </c>
      <c r="G276" s="13" t="s">
        <v>50</v>
      </c>
      <c r="H276" s="13" t="s">
        <v>51</v>
      </c>
      <c r="I276" s="16" t="n">
        <v>250</v>
      </c>
      <c r="J276" s="17" t="n">
        <f aca="false">F276*I276</f>
        <v>250</v>
      </c>
      <c r="K276" s="18" t="s">
        <v>52</v>
      </c>
    </row>
    <row r="277" customFormat="false" ht="23.85" hidden="false" customHeight="false" outlineLevel="0" collapsed="false">
      <c r="A277" s="13" t="n">
        <v>273</v>
      </c>
      <c r="B277" s="14" t="s">
        <v>524</v>
      </c>
      <c r="C277" s="14" t="s">
        <v>891</v>
      </c>
      <c r="D277" s="14" t="s">
        <v>892</v>
      </c>
      <c r="E277" s="13" t="s">
        <v>58</v>
      </c>
      <c r="F277" s="15" t="n">
        <v>1</v>
      </c>
      <c r="G277" s="13" t="s">
        <v>50</v>
      </c>
      <c r="H277" s="13" t="s">
        <v>51</v>
      </c>
      <c r="I277" s="16" t="n">
        <v>1500</v>
      </c>
      <c r="J277" s="17" t="n">
        <f aca="false">F277*I277</f>
        <v>1500</v>
      </c>
      <c r="K277" s="18" t="s">
        <v>52</v>
      </c>
    </row>
    <row r="278" customFormat="false" ht="23.85" hidden="false" customHeight="false" outlineLevel="0" collapsed="false">
      <c r="A278" s="13" t="n">
        <v>274</v>
      </c>
      <c r="B278" s="14" t="s">
        <v>524</v>
      </c>
      <c r="C278" s="14" t="s">
        <v>570</v>
      </c>
      <c r="D278" s="14" t="s">
        <v>571</v>
      </c>
      <c r="E278" s="13" t="s">
        <v>58</v>
      </c>
      <c r="F278" s="15" t="n">
        <v>1</v>
      </c>
      <c r="G278" s="13" t="s">
        <v>50</v>
      </c>
      <c r="H278" s="13" t="s">
        <v>59</v>
      </c>
      <c r="I278" s="16" t="n">
        <v>450</v>
      </c>
      <c r="J278" s="17" t="n">
        <f aca="false">F278*I278</f>
        <v>450</v>
      </c>
      <c r="K278" s="18" t="s">
        <v>52</v>
      </c>
    </row>
    <row r="279" customFormat="false" ht="23.85" hidden="false" customHeight="false" outlineLevel="0" collapsed="false">
      <c r="A279" s="13" t="n">
        <v>275</v>
      </c>
      <c r="B279" s="14" t="s">
        <v>524</v>
      </c>
      <c r="C279" s="14" t="s">
        <v>572</v>
      </c>
      <c r="D279" s="14" t="s">
        <v>573</v>
      </c>
      <c r="E279" s="13" t="s">
        <v>307</v>
      </c>
      <c r="F279" s="15" t="n">
        <v>4</v>
      </c>
      <c r="G279" s="13" t="s">
        <v>50</v>
      </c>
      <c r="H279" s="13" t="s">
        <v>59</v>
      </c>
      <c r="I279" s="16" t="n">
        <v>250</v>
      </c>
      <c r="J279" s="17" t="n">
        <f aca="false">F279*I279</f>
        <v>1000</v>
      </c>
      <c r="K279" s="18" t="s">
        <v>52</v>
      </c>
    </row>
    <row r="280" customFormat="false" ht="23.85" hidden="false" customHeight="false" outlineLevel="0" collapsed="false">
      <c r="A280" s="13" t="n">
        <v>276</v>
      </c>
      <c r="B280" s="14" t="s">
        <v>524</v>
      </c>
      <c r="C280" s="14" t="s">
        <v>574</v>
      </c>
      <c r="D280" s="14" t="s">
        <v>575</v>
      </c>
      <c r="E280" s="13" t="s">
        <v>323</v>
      </c>
      <c r="F280" s="15" t="n">
        <v>6</v>
      </c>
      <c r="G280" s="13" t="s">
        <v>76</v>
      </c>
      <c r="H280" s="13" t="s">
        <v>59</v>
      </c>
      <c r="I280" s="16" t="n">
        <v>60</v>
      </c>
      <c r="J280" s="17" t="n">
        <f aca="false">F280*I280</f>
        <v>360</v>
      </c>
      <c r="K280" s="18" t="s">
        <v>52</v>
      </c>
    </row>
    <row r="281" customFormat="false" ht="35.05" hidden="false" customHeight="false" outlineLevel="0" collapsed="false">
      <c r="A281" s="13" t="n">
        <v>277</v>
      </c>
      <c r="B281" s="14" t="s">
        <v>524</v>
      </c>
      <c r="C281" s="14" t="s">
        <v>893</v>
      </c>
      <c r="D281" s="14" t="s">
        <v>577</v>
      </c>
      <c r="E281" s="13" t="s">
        <v>58</v>
      </c>
      <c r="F281" s="15" t="n">
        <v>1</v>
      </c>
      <c r="G281" s="13" t="s">
        <v>50</v>
      </c>
      <c r="H281" s="13" t="s">
        <v>72</v>
      </c>
      <c r="I281" s="16" t="n">
        <v>4500</v>
      </c>
      <c r="J281" s="17" t="n">
        <f aca="false">F281*I281</f>
        <v>4500</v>
      </c>
      <c r="K281" s="18" t="s">
        <v>52</v>
      </c>
    </row>
    <row r="282" customFormat="false" ht="68.65" hidden="false" customHeight="false" outlineLevel="0" collapsed="false">
      <c r="A282" s="13" t="n">
        <v>278</v>
      </c>
      <c r="B282" s="14" t="s">
        <v>524</v>
      </c>
      <c r="C282" s="14" t="s">
        <v>894</v>
      </c>
      <c r="D282" s="14" t="s">
        <v>579</v>
      </c>
      <c r="E282" s="13" t="s">
        <v>58</v>
      </c>
      <c r="F282" s="15" t="n">
        <v>1</v>
      </c>
      <c r="G282" s="13" t="s">
        <v>50</v>
      </c>
      <c r="H282" s="13" t="s">
        <v>72</v>
      </c>
      <c r="I282" s="16" t="n">
        <v>4500</v>
      </c>
      <c r="J282" s="17" t="n">
        <f aca="false">F282*I282</f>
        <v>4500</v>
      </c>
      <c r="K282" s="18" t="s">
        <v>52</v>
      </c>
    </row>
    <row r="283" customFormat="false" ht="23.85" hidden="false" customHeight="false" outlineLevel="0" collapsed="false">
      <c r="A283" s="13" t="n">
        <v>279</v>
      </c>
      <c r="B283" s="14" t="s">
        <v>524</v>
      </c>
      <c r="C283" s="14" t="s">
        <v>580</v>
      </c>
      <c r="D283" s="14" t="s">
        <v>581</v>
      </c>
      <c r="E283" s="13" t="s">
        <v>582</v>
      </c>
      <c r="F283" s="15" t="n">
        <v>25</v>
      </c>
      <c r="G283" s="13" t="s">
        <v>76</v>
      </c>
      <c r="H283" s="13" t="s">
        <v>59</v>
      </c>
      <c r="I283" s="16" t="n">
        <v>15</v>
      </c>
      <c r="J283" s="17" t="n">
        <f aca="false">F283*I283</f>
        <v>375</v>
      </c>
      <c r="K283" s="18" t="s">
        <v>52</v>
      </c>
    </row>
    <row r="284" customFormat="false" ht="23.85" hidden="false" customHeight="false" outlineLevel="0" collapsed="false">
      <c r="A284" s="13" t="n">
        <v>280</v>
      </c>
      <c r="B284" s="14" t="s">
        <v>524</v>
      </c>
      <c r="C284" s="14" t="s">
        <v>583</v>
      </c>
      <c r="D284" s="14" t="s">
        <v>818</v>
      </c>
      <c r="E284" s="13" t="s">
        <v>58</v>
      </c>
      <c r="F284" s="15" t="n">
        <v>1</v>
      </c>
      <c r="G284" s="13" t="s">
        <v>50</v>
      </c>
      <c r="H284" s="13" t="s">
        <v>51</v>
      </c>
      <c r="I284" s="16" t="n">
        <v>250</v>
      </c>
      <c r="J284" s="17" t="n">
        <f aca="false">F284*I284</f>
        <v>250</v>
      </c>
      <c r="K284" s="18" t="s">
        <v>52</v>
      </c>
    </row>
    <row r="285" customFormat="false" ht="23.85" hidden="false" customHeight="false" outlineLevel="0" collapsed="false">
      <c r="A285" s="13" t="n">
        <v>281</v>
      </c>
      <c r="B285" s="14" t="s">
        <v>524</v>
      </c>
      <c r="C285" s="14" t="s">
        <v>895</v>
      </c>
      <c r="D285" s="14" t="s">
        <v>896</v>
      </c>
      <c r="E285" s="13" t="s">
        <v>58</v>
      </c>
      <c r="F285" s="15" t="n">
        <v>1</v>
      </c>
      <c r="G285" s="13" t="s">
        <v>50</v>
      </c>
      <c r="H285" s="13" t="s">
        <v>51</v>
      </c>
      <c r="I285" s="16" t="n">
        <v>350</v>
      </c>
      <c r="J285" s="17" t="n">
        <f aca="false">F285*I285</f>
        <v>350</v>
      </c>
      <c r="K285" s="18" t="s">
        <v>52</v>
      </c>
    </row>
    <row r="286" customFormat="false" ht="23.85" hidden="false" customHeight="false" outlineLevel="0" collapsed="false">
      <c r="A286" s="13" t="n">
        <v>282</v>
      </c>
      <c r="B286" s="14" t="s">
        <v>524</v>
      </c>
      <c r="C286" s="14" t="s">
        <v>496</v>
      </c>
      <c r="D286" s="14" t="s">
        <v>896</v>
      </c>
      <c r="E286" s="13" t="s">
        <v>58</v>
      </c>
      <c r="F286" s="15" t="n">
        <v>1</v>
      </c>
      <c r="G286" s="13" t="s">
        <v>50</v>
      </c>
      <c r="H286" s="13" t="s">
        <v>59</v>
      </c>
      <c r="I286" s="16" t="n">
        <v>120</v>
      </c>
      <c r="J286" s="17" t="n">
        <f aca="false">F286*I286</f>
        <v>120</v>
      </c>
      <c r="K286" s="18" t="s">
        <v>52</v>
      </c>
    </row>
    <row r="287" customFormat="false" ht="23.85" hidden="false" customHeight="false" outlineLevel="0" collapsed="false">
      <c r="A287" s="13" t="n">
        <v>283</v>
      </c>
      <c r="B287" s="14" t="s">
        <v>524</v>
      </c>
      <c r="C287" s="14" t="s">
        <v>588</v>
      </c>
      <c r="D287" s="14" t="s">
        <v>509</v>
      </c>
      <c r="E287" s="13" t="s">
        <v>58</v>
      </c>
      <c r="F287" s="15" t="n">
        <v>1</v>
      </c>
      <c r="G287" s="13" t="s">
        <v>76</v>
      </c>
      <c r="H287" s="13" t="s">
        <v>216</v>
      </c>
      <c r="I287" s="16" t="n">
        <v>150</v>
      </c>
      <c r="J287" s="17" t="n">
        <f aca="false">F287*I287</f>
        <v>150</v>
      </c>
      <c r="K287" s="18" t="s">
        <v>52</v>
      </c>
    </row>
    <row r="288" customFormat="false" ht="23.85" hidden="false" customHeight="false" outlineLevel="0" collapsed="false">
      <c r="A288" s="13" t="n">
        <v>284</v>
      </c>
      <c r="B288" s="14" t="s">
        <v>524</v>
      </c>
      <c r="C288" s="14" t="s">
        <v>897</v>
      </c>
      <c r="D288" s="14" t="s">
        <v>898</v>
      </c>
      <c r="E288" s="13" t="s">
        <v>75</v>
      </c>
      <c r="F288" s="15" t="n">
        <v>2</v>
      </c>
      <c r="G288" s="13" t="s">
        <v>50</v>
      </c>
      <c r="H288" s="13" t="s">
        <v>59</v>
      </c>
      <c r="I288" s="16" t="n">
        <v>50</v>
      </c>
      <c r="J288" s="17" t="n">
        <f aca="false">F288*I288</f>
        <v>100</v>
      </c>
      <c r="K288" s="18" t="s">
        <v>52</v>
      </c>
    </row>
    <row r="289" customFormat="false" ht="23.85" hidden="false" customHeight="false" outlineLevel="0" collapsed="false">
      <c r="A289" s="13" t="n">
        <v>285</v>
      </c>
      <c r="B289" s="14" t="s">
        <v>524</v>
      </c>
      <c r="C289" s="14" t="s">
        <v>592</v>
      </c>
      <c r="D289" s="14" t="s">
        <v>592</v>
      </c>
      <c r="E289" s="13" t="s">
        <v>58</v>
      </c>
      <c r="F289" s="15" t="n">
        <v>1</v>
      </c>
      <c r="G289" s="13" t="s">
        <v>62</v>
      </c>
      <c r="H289" s="13" t="s">
        <v>59</v>
      </c>
      <c r="I289" s="16" t="n">
        <v>250</v>
      </c>
      <c r="J289" s="17" t="n">
        <f aca="false">F289*I289</f>
        <v>250</v>
      </c>
      <c r="K289" s="18" t="s">
        <v>52</v>
      </c>
    </row>
    <row r="290" customFormat="false" ht="23.85" hidden="false" customHeight="false" outlineLevel="0" collapsed="false">
      <c r="A290" s="13" t="n">
        <v>286</v>
      </c>
      <c r="B290" s="14" t="s">
        <v>524</v>
      </c>
      <c r="C290" s="14" t="s">
        <v>593</v>
      </c>
      <c r="D290" s="14" t="s">
        <v>593</v>
      </c>
      <c r="E290" s="13" t="s">
        <v>58</v>
      </c>
      <c r="F290" s="15" t="n">
        <v>1</v>
      </c>
      <c r="G290" s="13" t="s">
        <v>62</v>
      </c>
      <c r="H290" s="13" t="s">
        <v>59</v>
      </c>
      <c r="I290" s="16" t="n">
        <v>250</v>
      </c>
      <c r="J290" s="17" t="n">
        <f aca="false">F290*I290</f>
        <v>250</v>
      </c>
      <c r="K290" s="18" t="s">
        <v>52</v>
      </c>
    </row>
    <row r="291" customFormat="false" ht="23.85" hidden="false" customHeight="false" outlineLevel="0" collapsed="false">
      <c r="A291" s="13" t="n">
        <v>287</v>
      </c>
      <c r="B291" s="14" t="s">
        <v>524</v>
      </c>
      <c r="C291" s="14" t="s">
        <v>899</v>
      </c>
      <c r="D291" s="14" t="s">
        <v>899</v>
      </c>
      <c r="E291" s="13" t="s">
        <v>58</v>
      </c>
      <c r="F291" s="15" t="n">
        <v>1</v>
      </c>
      <c r="G291" s="13" t="s">
        <v>62</v>
      </c>
      <c r="H291" s="13" t="s">
        <v>59</v>
      </c>
      <c r="I291" s="16" t="n">
        <v>250</v>
      </c>
      <c r="J291" s="17" t="n">
        <f aca="false">F291*I291</f>
        <v>250</v>
      </c>
      <c r="K291" s="18" t="s">
        <v>52</v>
      </c>
    </row>
    <row r="292" customFormat="false" ht="23.85" hidden="false" customHeight="false" outlineLevel="0" collapsed="false">
      <c r="A292" s="13" t="n">
        <v>288</v>
      </c>
      <c r="B292" s="14" t="s">
        <v>900</v>
      </c>
      <c r="C292" s="14" t="s">
        <v>596</v>
      </c>
      <c r="D292" s="14" t="s">
        <v>901</v>
      </c>
      <c r="E292" s="13" t="s">
        <v>326</v>
      </c>
      <c r="F292" s="15" t="n">
        <v>3</v>
      </c>
      <c r="G292" s="13" t="s">
        <v>62</v>
      </c>
      <c r="H292" s="13" t="s">
        <v>59</v>
      </c>
      <c r="I292" s="16" t="n">
        <v>3500</v>
      </c>
      <c r="J292" s="17" t="n">
        <f aca="false">F292*I292</f>
        <v>10500</v>
      </c>
      <c r="K292" s="18" t="s">
        <v>52</v>
      </c>
    </row>
    <row r="293" customFormat="false" ht="23.85" hidden="false" customHeight="false" outlineLevel="0" collapsed="false">
      <c r="A293" s="13" t="n">
        <v>289</v>
      </c>
      <c r="B293" s="14" t="s">
        <v>900</v>
      </c>
      <c r="C293" s="14" t="s">
        <v>596</v>
      </c>
      <c r="D293" s="14" t="s">
        <v>902</v>
      </c>
      <c r="E293" s="13" t="s">
        <v>75</v>
      </c>
      <c r="F293" s="15" t="n">
        <v>2</v>
      </c>
      <c r="G293" s="13" t="s">
        <v>62</v>
      </c>
      <c r="H293" s="13" t="s">
        <v>59</v>
      </c>
      <c r="I293" s="16" t="n">
        <v>3500</v>
      </c>
      <c r="J293" s="17" t="n">
        <f aca="false">F293*I293</f>
        <v>7000</v>
      </c>
      <c r="K293" s="18" t="s">
        <v>52</v>
      </c>
    </row>
    <row r="294" customFormat="false" ht="23.85" hidden="false" customHeight="false" outlineLevel="0" collapsed="false">
      <c r="A294" s="13" t="n">
        <v>290</v>
      </c>
      <c r="B294" s="14" t="s">
        <v>900</v>
      </c>
      <c r="C294" s="14" t="s">
        <v>903</v>
      </c>
      <c r="D294" s="14" t="s">
        <v>904</v>
      </c>
      <c r="E294" s="13" t="s">
        <v>58</v>
      </c>
      <c r="F294" s="15" t="n">
        <v>1</v>
      </c>
      <c r="G294" s="13" t="s">
        <v>62</v>
      </c>
      <c r="H294" s="13" t="s">
        <v>59</v>
      </c>
      <c r="I294" s="16" t="n">
        <v>12000</v>
      </c>
      <c r="J294" s="17" t="n">
        <f aca="false">F294*I294</f>
        <v>12000</v>
      </c>
      <c r="K294" s="18" t="s">
        <v>52</v>
      </c>
    </row>
    <row r="295" customFormat="false" ht="23.85" hidden="false" customHeight="false" outlineLevel="0" collapsed="false">
      <c r="A295" s="13" t="n">
        <v>291</v>
      </c>
      <c r="B295" s="14" t="s">
        <v>900</v>
      </c>
      <c r="C295" s="14" t="s">
        <v>601</v>
      </c>
      <c r="D295" s="14" t="s">
        <v>905</v>
      </c>
      <c r="E295" s="13" t="s">
        <v>58</v>
      </c>
      <c r="F295" s="15" t="n">
        <v>1</v>
      </c>
      <c r="G295" s="13" t="s">
        <v>62</v>
      </c>
      <c r="H295" s="13" t="s">
        <v>59</v>
      </c>
      <c r="I295" s="16" t="n">
        <v>8000</v>
      </c>
      <c r="J295" s="17" t="n">
        <f aca="false">F295*I295</f>
        <v>8000</v>
      </c>
      <c r="K295" s="18" t="s">
        <v>52</v>
      </c>
    </row>
    <row r="296" customFormat="false" ht="23.85" hidden="false" customHeight="false" outlineLevel="0" collapsed="false">
      <c r="A296" s="13" t="n">
        <v>292</v>
      </c>
      <c r="B296" s="14" t="s">
        <v>900</v>
      </c>
      <c r="C296" s="14" t="s">
        <v>603</v>
      </c>
      <c r="D296" s="14" t="s">
        <v>906</v>
      </c>
      <c r="E296" s="13" t="s">
        <v>58</v>
      </c>
      <c r="F296" s="15" t="n">
        <v>1</v>
      </c>
      <c r="G296" s="13" t="s">
        <v>62</v>
      </c>
      <c r="H296" s="13" t="s">
        <v>59</v>
      </c>
      <c r="I296" s="16" t="n">
        <v>15000</v>
      </c>
      <c r="J296" s="17" t="n">
        <f aca="false">F296*I296</f>
        <v>15000</v>
      </c>
      <c r="K296" s="18" t="s">
        <v>52</v>
      </c>
    </row>
    <row r="297" customFormat="false" ht="23.85" hidden="false" customHeight="false" outlineLevel="0" collapsed="false">
      <c r="A297" s="13" t="n">
        <v>293</v>
      </c>
      <c r="B297" s="14" t="s">
        <v>900</v>
      </c>
      <c r="C297" s="14" t="s">
        <v>605</v>
      </c>
      <c r="D297" s="14" t="s">
        <v>46</v>
      </c>
      <c r="E297" s="13" t="s">
        <v>142</v>
      </c>
      <c r="F297" s="15" t="n">
        <v>30</v>
      </c>
      <c r="G297" s="13" t="s">
        <v>62</v>
      </c>
      <c r="H297" s="13" t="s">
        <v>59</v>
      </c>
      <c r="I297" s="16" t="n">
        <v>900</v>
      </c>
      <c r="J297" s="17" t="n">
        <f aca="false">F297*I297</f>
        <v>27000</v>
      </c>
      <c r="K297" s="18" t="s">
        <v>52</v>
      </c>
    </row>
    <row r="298" customFormat="false" ht="23.85" hidden="false" customHeight="false" outlineLevel="0" collapsed="false">
      <c r="A298" s="13" t="n">
        <v>294</v>
      </c>
      <c r="B298" s="14" t="s">
        <v>900</v>
      </c>
      <c r="C298" s="14" t="s">
        <v>607</v>
      </c>
      <c r="D298" s="14" t="s">
        <v>907</v>
      </c>
      <c r="E298" s="13" t="s">
        <v>58</v>
      </c>
      <c r="F298" s="15" t="n">
        <v>1</v>
      </c>
      <c r="G298" s="13" t="s">
        <v>62</v>
      </c>
      <c r="H298" s="13" t="s">
        <v>59</v>
      </c>
      <c r="I298" s="16" t="n">
        <v>12000</v>
      </c>
      <c r="J298" s="17" t="n">
        <f aca="false">F298*I298</f>
        <v>12000</v>
      </c>
      <c r="K298" s="18" t="s">
        <v>52</v>
      </c>
    </row>
    <row r="299" customFormat="false" ht="23.85" hidden="false" customHeight="false" outlineLevel="0" collapsed="false">
      <c r="A299" s="13" t="n">
        <v>295</v>
      </c>
      <c r="B299" s="14" t="s">
        <v>900</v>
      </c>
      <c r="C299" s="14" t="s">
        <v>609</v>
      </c>
      <c r="D299" s="14" t="s">
        <v>610</v>
      </c>
      <c r="E299" s="13" t="s">
        <v>58</v>
      </c>
      <c r="F299" s="15" t="n">
        <v>1</v>
      </c>
      <c r="G299" s="13" t="s">
        <v>62</v>
      </c>
      <c r="H299" s="13" t="s">
        <v>59</v>
      </c>
      <c r="I299" s="16" t="n">
        <v>3500</v>
      </c>
      <c r="J299" s="17" t="n">
        <f aca="false">F299*I299</f>
        <v>3500</v>
      </c>
      <c r="K299" s="18" t="s">
        <v>52</v>
      </c>
    </row>
    <row r="300" customFormat="false" ht="15" hidden="false" customHeight="false" outlineLevel="0" collapsed="false">
      <c r="A300" s="19"/>
      <c r="B300" s="19"/>
      <c r="C300" s="19" t="s">
        <v>93</v>
      </c>
      <c r="D300" s="19"/>
      <c r="E300" s="19"/>
      <c r="F300" s="19"/>
      <c r="G300" s="19"/>
      <c r="H300" s="19"/>
      <c r="I300" s="19"/>
      <c r="J300" s="20" t="n">
        <f aca="false">SUM(J5:J299)</f>
        <v>448925</v>
      </c>
      <c r="K300" s="19"/>
    </row>
    <row r="302" customFormat="false" ht="15" hidden="false" customHeight="false" outlineLevel="0" collapsed="false">
      <c r="A302" s="2" t="s">
        <v>33</v>
      </c>
    </row>
  </sheetData>
  <autoFilter ref="A4:K299"/>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 ref="K17" r:id="rId13" display="Click here"/>
    <hyperlink ref="K18" r:id="rId14" display="Click here"/>
    <hyperlink ref="K19" r:id="rId15" display="Click here"/>
    <hyperlink ref="K20" r:id="rId16" display="Click here"/>
    <hyperlink ref="K21" r:id="rId17" display="Click here"/>
    <hyperlink ref="K22" r:id="rId18" display="Click here"/>
    <hyperlink ref="K23" r:id="rId19" display="Click here"/>
    <hyperlink ref="K24" r:id="rId20" display="Click here"/>
    <hyperlink ref="K25" r:id="rId21" display="Click here"/>
    <hyperlink ref="K26" r:id="rId22" display="Click here"/>
    <hyperlink ref="K27" r:id="rId23" display="Click here"/>
    <hyperlink ref="K28" r:id="rId24" display="Click here"/>
    <hyperlink ref="K29" r:id="rId25" display="Click here"/>
    <hyperlink ref="K30" r:id="rId26" display="Click here"/>
    <hyperlink ref="K31" r:id="rId27" display="Click here"/>
    <hyperlink ref="K32" r:id="rId28" display="Click here"/>
    <hyperlink ref="K33" r:id="rId29" display="Click here"/>
    <hyperlink ref="K34" r:id="rId30" display="Click here"/>
    <hyperlink ref="K35" r:id="rId31" display="Click here"/>
    <hyperlink ref="K36" r:id="rId32" display="Click here"/>
    <hyperlink ref="K37" r:id="rId33" display="Click here"/>
    <hyperlink ref="K38" r:id="rId34" display="Click here"/>
    <hyperlink ref="K39" r:id="rId35" display="Click here"/>
    <hyperlink ref="K40" r:id="rId36" display="Click here"/>
    <hyperlink ref="K41" r:id="rId37" display="Click here"/>
    <hyperlink ref="K42" r:id="rId38" display="Click here"/>
    <hyperlink ref="K43" r:id="rId39" display="Click here"/>
    <hyperlink ref="K44" r:id="rId40" display="Click here"/>
    <hyperlink ref="K45" r:id="rId41" display="Click here"/>
    <hyperlink ref="K46" r:id="rId42" display="Click here"/>
    <hyperlink ref="K47" r:id="rId43" display="Click here"/>
    <hyperlink ref="K48" r:id="rId44" display="Click here"/>
    <hyperlink ref="K49" r:id="rId45" display="Click here"/>
    <hyperlink ref="K50" r:id="rId46" display="Click here"/>
    <hyperlink ref="K51" r:id="rId47" display="Click here"/>
    <hyperlink ref="K52" r:id="rId48" display="Click here"/>
    <hyperlink ref="K53" r:id="rId49" display="Click here"/>
    <hyperlink ref="K54" r:id="rId50" display="Click here"/>
    <hyperlink ref="K55" r:id="rId51" display="Click here"/>
    <hyperlink ref="K56" r:id="rId52" display="Click here"/>
    <hyperlink ref="K57" r:id="rId53" display="Click here"/>
    <hyperlink ref="K58" r:id="rId54" display="Click here"/>
    <hyperlink ref="K59" r:id="rId55" display="Click here"/>
    <hyperlink ref="K60" r:id="rId56" display="Click here"/>
    <hyperlink ref="K61" r:id="rId57" display="Click here"/>
    <hyperlink ref="K62" r:id="rId58" display="Click here"/>
    <hyperlink ref="K63" r:id="rId59" display="Click here"/>
    <hyperlink ref="K64" r:id="rId60" display="Click here"/>
    <hyperlink ref="K65" r:id="rId61" display="Click here"/>
    <hyperlink ref="K66" r:id="rId62" display="Click here"/>
    <hyperlink ref="K67" r:id="rId63" display="Click here"/>
    <hyperlink ref="K68" r:id="rId64" display="Click here"/>
    <hyperlink ref="K69" r:id="rId65" display="Click here"/>
    <hyperlink ref="K70" r:id="rId66" display="Click here"/>
    <hyperlink ref="K71" r:id="rId67" display="Click here"/>
    <hyperlink ref="K72" r:id="rId68" display="Click here"/>
    <hyperlink ref="K73" r:id="rId69" display="Click here"/>
    <hyperlink ref="K74" r:id="rId70" display="Click here"/>
    <hyperlink ref="K75" r:id="rId71" display="Click here"/>
    <hyperlink ref="K76" r:id="rId72" display="Click here"/>
    <hyperlink ref="K77" r:id="rId73" display="Click here"/>
    <hyperlink ref="K78" r:id="rId74" display="Click here"/>
    <hyperlink ref="K79" r:id="rId75" display="Click here"/>
    <hyperlink ref="K80" r:id="rId76" display="Click here"/>
    <hyperlink ref="K81" r:id="rId77" display="Click here"/>
    <hyperlink ref="K82" r:id="rId78" display="Click here"/>
    <hyperlink ref="K83" r:id="rId79" display="Click here"/>
    <hyperlink ref="K84" r:id="rId80" display="Click here"/>
    <hyperlink ref="K85" r:id="rId81" display="Click here"/>
    <hyperlink ref="K86" r:id="rId82" display="Click here"/>
    <hyperlink ref="K87" r:id="rId83" display="Click here"/>
    <hyperlink ref="K88" r:id="rId84" display="Click here"/>
    <hyperlink ref="K89" r:id="rId85" display="Click here"/>
    <hyperlink ref="K90" r:id="rId86" display="Click here"/>
    <hyperlink ref="K91" r:id="rId87" display="Click here"/>
    <hyperlink ref="K92" r:id="rId88" display="Click here"/>
    <hyperlink ref="K93" r:id="rId89" display="Click here"/>
    <hyperlink ref="K94" r:id="rId90" display="Click here"/>
    <hyperlink ref="K95" r:id="rId91" display="Click here"/>
    <hyperlink ref="K96" r:id="rId92" display="Click here"/>
    <hyperlink ref="K97" r:id="rId93" display="Click here"/>
    <hyperlink ref="K98" r:id="rId94" display="Click here"/>
    <hyperlink ref="K99" r:id="rId95" display="Click here"/>
    <hyperlink ref="K100" r:id="rId96" display="Click here"/>
    <hyperlink ref="K101" r:id="rId97" display="Click here"/>
    <hyperlink ref="K102" r:id="rId98" display="Click here"/>
    <hyperlink ref="K103" r:id="rId99" display="Click here"/>
    <hyperlink ref="K104" r:id="rId100" display="Click here"/>
    <hyperlink ref="K105" r:id="rId101" display="Click here"/>
    <hyperlink ref="K106" r:id="rId102" display="Click here"/>
    <hyperlink ref="K107" r:id="rId103" display="Click here"/>
    <hyperlink ref="K108" r:id="rId104" display="Click here"/>
    <hyperlink ref="K109" r:id="rId105" display="Click here"/>
    <hyperlink ref="K110" r:id="rId106" display="Click here"/>
    <hyperlink ref="K111" r:id="rId107" display="Click here"/>
    <hyperlink ref="K112" r:id="rId108" display="Click here"/>
    <hyperlink ref="K113" r:id="rId109" display="Click here"/>
    <hyperlink ref="K114" r:id="rId110" display="Click here"/>
    <hyperlink ref="K115" r:id="rId111" display="Click here"/>
    <hyperlink ref="K116" r:id="rId112" display="Click here"/>
    <hyperlink ref="K117" r:id="rId113" display="Click here"/>
    <hyperlink ref="K118" r:id="rId114" display="Click here"/>
    <hyperlink ref="K119" r:id="rId115" display="Click here"/>
    <hyperlink ref="K120" r:id="rId116" display="Click here"/>
    <hyperlink ref="K121" r:id="rId117" display="Click here"/>
    <hyperlink ref="K122" r:id="rId118" display="Click here"/>
    <hyperlink ref="K123" r:id="rId119" display="Click here"/>
    <hyperlink ref="K124" r:id="rId120" display="Click here"/>
    <hyperlink ref="K125" r:id="rId121" display="Click here"/>
    <hyperlink ref="K126" r:id="rId122" display="Click here"/>
    <hyperlink ref="K127" r:id="rId123" display="Click here"/>
    <hyperlink ref="K128" r:id="rId124" display="Click here"/>
    <hyperlink ref="K129" r:id="rId125" display="Click here"/>
    <hyperlink ref="K130" r:id="rId126" display="Click here"/>
    <hyperlink ref="K131" r:id="rId127" display="Click here"/>
    <hyperlink ref="K132" r:id="rId128" display="Click here"/>
    <hyperlink ref="K133" r:id="rId129" display="Click here"/>
    <hyperlink ref="K134" r:id="rId130" display="Click here"/>
    <hyperlink ref="K135" r:id="rId131" display="Click here"/>
    <hyperlink ref="K136" r:id="rId132" display="Click here"/>
    <hyperlink ref="K137" r:id="rId133" display="Click here"/>
    <hyperlink ref="K138" r:id="rId134" display="Click here"/>
    <hyperlink ref="K139" r:id="rId135" display="Click here"/>
    <hyperlink ref="K140" r:id="rId136" display="Click here"/>
    <hyperlink ref="K141" r:id="rId137" display="Click here"/>
    <hyperlink ref="K142" r:id="rId138" display="Click here"/>
    <hyperlink ref="K143" r:id="rId139" display="Click here"/>
    <hyperlink ref="K144" r:id="rId140" display="Click here"/>
    <hyperlink ref="K145" r:id="rId141" display="Click here"/>
    <hyperlink ref="K146" r:id="rId142" display="Click here"/>
    <hyperlink ref="K147" r:id="rId143" display="Click here"/>
    <hyperlink ref="K148" r:id="rId144" display="Click here"/>
    <hyperlink ref="K149" r:id="rId145" display="Click here"/>
    <hyperlink ref="K150" r:id="rId146" display="Click here"/>
    <hyperlink ref="K151" r:id="rId147" display="Click here"/>
    <hyperlink ref="K152" r:id="rId148" display="Click here"/>
    <hyperlink ref="K153" r:id="rId149" display="Click here"/>
    <hyperlink ref="K154" r:id="rId150" display="Click here"/>
    <hyperlink ref="K155" r:id="rId151" display="Click here"/>
    <hyperlink ref="K156" r:id="rId152" display="Click here"/>
    <hyperlink ref="K157" r:id="rId153" display="Click here"/>
    <hyperlink ref="K158" r:id="rId154" display="Click here"/>
    <hyperlink ref="K159" r:id="rId155" display="Click here"/>
    <hyperlink ref="K160" r:id="rId156" display="Click here"/>
    <hyperlink ref="K161" r:id="rId157" display="Click here"/>
    <hyperlink ref="K162" r:id="rId158" display="Click here"/>
    <hyperlink ref="K163" r:id="rId159" display="Click here"/>
    <hyperlink ref="K164" r:id="rId160" display="Click here"/>
    <hyperlink ref="K165" r:id="rId161" display="Click here"/>
    <hyperlink ref="K166" r:id="rId162" display="Click here"/>
    <hyperlink ref="K167" r:id="rId163" display="Click here"/>
    <hyperlink ref="K168" r:id="rId164" display="Click here"/>
    <hyperlink ref="K169" r:id="rId165" display="Click here"/>
    <hyperlink ref="K170" r:id="rId166" display="Click here"/>
    <hyperlink ref="K171" r:id="rId167" display="Click here"/>
    <hyperlink ref="K172" r:id="rId168" display="Click here"/>
    <hyperlink ref="K173" r:id="rId169" display="Click here"/>
    <hyperlink ref="K174" r:id="rId170" display="Click here"/>
    <hyperlink ref="K175" r:id="rId171" display="Click here"/>
    <hyperlink ref="K176" r:id="rId172" display="Click here"/>
    <hyperlink ref="K177" r:id="rId173" display="Click here"/>
    <hyperlink ref="K178" r:id="rId174" display="Click here"/>
    <hyperlink ref="K179" r:id="rId175" display="Click here"/>
    <hyperlink ref="K180" r:id="rId176" display="Click here"/>
    <hyperlink ref="K181" r:id="rId177" display="Click here"/>
    <hyperlink ref="K182" r:id="rId178" display="Click here"/>
    <hyperlink ref="K183" r:id="rId179" display="Click here"/>
    <hyperlink ref="K184" r:id="rId180" display="Click here"/>
    <hyperlink ref="K185" r:id="rId181" display="Click here"/>
    <hyperlink ref="K186" r:id="rId182" display="Click here"/>
    <hyperlink ref="K187" r:id="rId183" display="Click here"/>
    <hyperlink ref="K188" r:id="rId184" display="Click here"/>
    <hyperlink ref="K189" r:id="rId185" display="Click here"/>
    <hyperlink ref="K190" r:id="rId186" display="Click here"/>
    <hyperlink ref="K191" r:id="rId187" display="Click here"/>
    <hyperlink ref="K192" r:id="rId188" display="Click here"/>
    <hyperlink ref="K193" r:id="rId189" display="Click here"/>
    <hyperlink ref="K194" r:id="rId190" display="Click here"/>
    <hyperlink ref="K195" r:id="rId191" display="Click here"/>
    <hyperlink ref="K196" r:id="rId192" display="Click here"/>
    <hyperlink ref="K197" r:id="rId193" display="Click here"/>
    <hyperlink ref="K198" r:id="rId194" display="Click here"/>
    <hyperlink ref="K199" r:id="rId195" display="Click here"/>
    <hyperlink ref="K200" r:id="rId196" display="Click here"/>
    <hyperlink ref="K201" r:id="rId197" display="Click here"/>
    <hyperlink ref="K202" r:id="rId198" display="Click here"/>
    <hyperlink ref="K203" r:id="rId199" display="Click here"/>
    <hyperlink ref="K204" r:id="rId200" display="Click here"/>
    <hyperlink ref="K205" r:id="rId201" display="Click here"/>
    <hyperlink ref="K206" r:id="rId202" display="Click here"/>
    <hyperlink ref="K207" r:id="rId203" display="Click here"/>
    <hyperlink ref="K208" r:id="rId204" display="Click here"/>
    <hyperlink ref="K209" r:id="rId205" display="Click here"/>
    <hyperlink ref="K210" r:id="rId206" display="Click here"/>
    <hyperlink ref="K211" r:id="rId207" display="Click here"/>
    <hyperlink ref="K212" r:id="rId208" display="Click here"/>
    <hyperlink ref="K213" r:id="rId209" display="Click here"/>
    <hyperlink ref="K214" r:id="rId210" display="Click here"/>
    <hyperlink ref="K215" r:id="rId211" display="Click here"/>
    <hyperlink ref="K216" r:id="rId212" display="Click here"/>
    <hyperlink ref="K217" r:id="rId213" display="Click here"/>
    <hyperlink ref="K218" r:id="rId214" display="Click here"/>
    <hyperlink ref="K219" r:id="rId215" display="Click here"/>
    <hyperlink ref="K220" r:id="rId216" display="Click here"/>
    <hyperlink ref="K221" r:id="rId217" display="Click here"/>
    <hyperlink ref="K222" r:id="rId218" display="Click here"/>
    <hyperlink ref="K223" r:id="rId219" display="Click here"/>
    <hyperlink ref="K224" r:id="rId220" display="Click here"/>
    <hyperlink ref="K225" r:id="rId221" display="Click here"/>
    <hyperlink ref="K226" r:id="rId222" display="Click here"/>
    <hyperlink ref="K227" r:id="rId223" display="Click here"/>
    <hyperlink ref="K228" r:id="rId224" display="Click here"/>
    <hyperlink ref="K229" r:id="rId225" display="Click here"/>
    <hyperlink ref="K230" r:id="rId226" display="Click here"/>
    <hyperlink ref="K231" r:id="rId227" display="Click here"/>
    <hyperlink ref="K232" r:id="rId228" display="Click here"/>
    <hyperlink ref="K233" r:id="rId229" display="Click here"/>
    <hyperlink ref="K234" r:id="rId230" display="Click here"/>
    <hyperlink ref="K235" r:id="rId231" display="Click here"/>
    <hyperlink ref="K236" r:id="rId232" display="Click here"/>
    <hyperlink ref="K237" r:id="rId233" display="Click here"/>
    <hyperlink ref="K238" r:id="rId234" display="Click here"/>
    <hyperlink ref="K239" r:id="rId235" display="Click here"/>
    <hyperlink ref="K240" r:id="rId236" display="Click here"/>
    <hyperlink ref="K241" r:id="rId237" display="Click here"/>
    <hyperlink ref="K242" r:id="rId238" display="Click here"/>
    <hyperlink ref="K243" r:id="rId239" display="Click here"/>
    <hyperlink ref="K244" r:id="rId240" display="Click here"/>
    <hyperlink ref="K245" r:id="rId241" display="Click here"/>
    <hyperlink ref="K246" r:id="rId242" display="Click here"/>
    <hyperlink ref="K247" r:id="rId243" display="Click here"/>
    <hyperlink ref="K248" r:id="rId244" display="Click here"/>
    <hyperlink ref="K249" r:id="rId245" display="Click here"/>
    <hyperlink ref="K250" r:id="rId246" display="Click here"/>
    <hyperlink ref="K251" r:id="rId247" display="Click here"/>
    <hyperlink ref="K252" r:id="rId248" display="Click here"/>
    <hyperlink ref="K253" r:id="rId249" display="Click here"/>
    <hyperlink ref="K254" r:id="rId250" display="Click here"/>
    <hyperlink ref="K255" r:id="rId251" display="Click here"/>
    <hyperlink ref="K256" r:id="rId252" display="Click here"/>
    <hyperlink ref="K257" r:id="rId253" display="Click here"/>
    <hyperlink ref="K258" r:id="rId254" display="Click here"/>
    <hyperlink ref="K259" r:id="rId255" display="Click here"/>
    <hyperlink ref="K260" r:id="rId256" display="Click here"/>
    <hyperlink ref="K261" r:id="rId257" display="Click here"/>
    <hyperlink ref="K262" r:id="rId258" display="Click here"/>
    <hyperlink ref="K263" r:id="rId259" display="Click here"/>
    <hyperlink ref="K264" r:id="rId260" display="Click here"/>
    <hyperlink ref="K265" r:id="rId261" display="Click here"/>
    <hyperlink ref="K266" r:id="rId262" display="Click here"/>
    <hyperlink ref="K267" r:id="rId263" display="Click here"/>
    <hyperlink ref="K268" r:id="rId264" display="Click here"/>
    <hyperlink ref="K269" r:id="rId265" display="Click here"/>
    <hyperlink ref="K270" r:id="rId266" display="Click here"/>
    <hyperlink ref="K271" r:id="rId267" display="Click here"/>
    <hyperlink ref="K272" r:id="rId268" display="Click here"/>
    <hyperlink ref="K273" r:id="rId269" display="Click here"/>
    <hyperlink ref="K274" r:id="rId270" display="Click here"/>
    <hyperlink ref="K275" r:id="rId271" display="Click here"/>
    <hyperlink ref="K276" r:id="rId272" display="Click here"/>
    <hyperlink ref="K277" r:id="rId273" display="Click here"/>
    <hyperlink ref="K278" r:id="rId274" display="Click here"/>
    <hyperlink ref="K279" r:id="rId275" display="Click here"/>
    <hyperlink ref="K280" r:id="rId276" display="Click here"/>
    <hyperlink ref="K281" r:id="rId277" display="Click here"/>
    <hyperlink ref="K282" r:id="rId278" display="Click here"/>
    <hyperlink ref="K283" r:id="rId279" display="Click here"/>
    <hyperlink ref="K284" r:id="rId280" display="Click here"/>
    <hyperlink ref="K285" r:id="rId281" display="Click here"/>
    <hyperlink ref="K286" r:id="rId282" display="Click here"/>
    <hyperlink ref="K287" r:id="rId283" display="Click here"/>
    <hyperlink ref="K288" r:id="rId284" display="Click here"/>
    <hyperlink ref="K289" r:id="rId285" display="Click here"/>
    <hyperlink ref="K290" r:id="rId286" display="Click here"/>
    <hyperlink ref="K291" r:id="rId287" display="Click here"/>
    <hyperlink ref="K292" r:id="rId288" display="Click here"/>
    <hyperlink ref="K293" r:id="rId289" display="Click here"/>
    <hyperlink ref="K294" r:id="rId290" display="Click here"/>
    <hyperlink ref="K295" r:id="rId291" display="Click here"/>
    <hyperlink ref="K296" r:id="rId292" display="Click here"/>
    <hyperlink ref="K297" r:id="rId293" display="Click here"/>
    <hyperlink ref="K298" r:id="rId294" display="Click here"/>
    <hyperlink ref="K299" r:id="rId295"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9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908</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135.8" hidden="false" customHeight="false" outlineLevel="0" collapsed="false">
      <c r="A5" s="13" t="n">
        <v>1</v>
      </c>
      <c r="B5" s="14" t="s">
        <v>46</v>
      </c>
      <c r="C5" s="14" t="s">
        <v>909</v>
      </c>
      <c r="D5" s="14" t="s">
        <v>910</v>
      </c>
      <c r="E5" s="13" t="s">
        <v>307</v>
      </c>
      <c r="F5" s="15" t="n">
        <v>4</v>
      </c>
      <c r="G5" s="13" t="s">
        <v>50</v>
      </c>
      <c r="H5" s="13" t="s">
        <v>51</v>
      </c>
      <c r="I5" s="16" t="n">
        <v>45000</v>
      </c>
      <c r="J5" s="17" t="n">
        <f aca="false">F5*I5</f>
        <v>180000</v>
      </c>
      <c r="K5" s="18" t="s">
        <v>52</v>
      </c>
    </row>
    <row r="6" customFormat="false" ht="158.2" hidden="false" customHeight="false" outlineLevel="0" collapsed="false">
      <c r="A6" s="13" t="n">
        <v>2</v>
      </c>
      <c r="B6" s="14" t="s">
        <v>46</v>
      </c>
      <c r="C6" s="14" t="s">
        <v>911</v>
      </c>
      <c r="D6" s="14" t="s">
        <v>912</v>
      </c>
      <c r="E6" s="13" t="s">
        <v>307</v>
      </c>
      <c r="F6" s="15" t="n">
        <v>4</v>
      </c>
      <c r="G6" s="13" t="s">
        <v>50</v>
      </c>
      <c r="H6" s="13" t="s">
        <v>88</v>
      </c>
      <c r="I6" s="16" t="n">
        <v>800</v>
      </c>
      <c r="J6" s="17" t="n">
        <f aca="false">F6*I6</f>
        <v>3200</v>
      </c>
      <c r="K6" s="18" t="s">
        <v>52</v>
      </c>
    </row>
    <row r="7" customFormat="false" ht="46.25" hidden="false" customHeight="false" outlineLevel="0" collapsed="false">
      <c r="A7" s="13" t="n">
        <v>3</v>
      </c>
      <c r="B7" s="14" t="s">
        <v>46</v>
      </c>
      <c r="C7" s="14" t="s">
        <v>913</v>
      </c>
      <c r="D7" s="14" t="s">
        <v>914</v>
      </c>
      <c r="E7" s="13" t="s">
        <v>58</v>
      </c>
      <c r="F7" s="15" t="n">
        <v>1</v>
      </c>
      <c r="G7" s="13" t="s">
        <v>50</v>
      </c>
      <c r="H7" s="13" t="s">
        <v>51</v>
      </c>
      <c r="I7" s="16" t="n">
        <v>12000</v>
      </c>
      <c r="J7" s="17" t="n">
        <f aca="false">F7*I7</f>
        <v>12000</v>
      </c>
      <c r="K7" s="18" t="s">
        <v>52</v>
      </c>
    </row>
    <row r="8" customFormat="false" ht="35.05" hidden="false" customHeight="false" outlineLevel="0" collapsed="false">
      <c r="A8" s="13" t="n">
        <v>4</v>
      </c>
      <c r="B8" s="14" t="s">
        <v>46</v>
      </c>
      <c r="C8" s="14" t="s">
        <v>915</v>
      </c>
      <c r="D8" s="14" t="s">
        <v>916</v>
      </c>
      <c r="E8" s="13" t="s">
        <v>307</v>
      </c>
      <c r="F8" s="15" t="n">
        <v>4</v>
      </c>
      <c r="G8" s="13" t="s">
        <v>50</v>
      </c>
      <c r="H8" s="13" t="s">
        <v>51</v>
      </c>
      <c r="I8" s="16" t="n">
        <v>3500</v>
      </c>
      <c r="J8" s="17" t="n">
        <f aca="false">F8*I8</f>
        <v>14000</v>
      </c>
      <c r="K8" s="18" t="s">
        <v>52</v>
      </c>
    </row>
    <row r="9" customFormat="false" ht="23.85" hidden="false" customHeight="false" outlineLevel="0" collapsed="false">
      <c r="A9" s="13" t="n">
        <v>5</v>
      </c>
      <c r="B9" s="14" t="s">
        <v>46</v>
      </c>
      <c r="C9" s="14" t="s">
        <v>917</v>
      </c>
      <c r="D9" s="14" t="s">
        <v>918</v>
      </c>
      <c r="E9" s="13" t="s">
        <v>58</v>
      </c>
      <c r="F9" s="15" t="n">
        <v>1</v>
      </c>
      <c r="G9" s="13" t="s">
        <v>62</v>
      </c>
      <c r="H9" s="13" t="s">
        <v>59</v>
      </c>
      <c r="I9" s="16" t="n">
        <v>3500</v>
      </c>
      <c r="J9" s="17" t="n">
        <f aca="false">F9*I9</f>
        <v>3500</v>
      </c>
      <c r="K9" s="18" t="s">
        <v>52</v>
      </c>
    </row>
    <row r="10" customFormat="false" ht="23.85" hidden="false" customHeight="false" outlineLevel="0" collapsed="false">
      <c r="A10" s="13" t="n">
        <v>6</v>
      </c>
      <c r="B10" s="14" t="s">
        <v>46</v>
      </c>
      <c r="C10" s="14" t="s">
        <v>919</v>
      </c>
      <c r="D10" s="14" t="s">
        <v>920</v>
      </c>
      <c r="E10" s="13" t="s">
        <v>71</v>
      </c>
      <c r="F10" s="15" t="n">
        <v>5</v>
      </c>
      <c r="G10" s="13" t="s">
        <v>62</v>
      </c>
      <c r="H10" s="13" t="s">
        <v>72</v>
      </c>
      <c r="I10" s="16" t="n">
        <v>1500</v>
      </c>
      <c r="J10" s="17" t="n">
        <f aca="false">F10*I10</f>
        <v>7500</v>
      </c>
      <c r="K10" s="18" t="s">
        <v>52</v>
      </c>
    </row>
    <row r="11" customFormat="false" ht="15" hidden="false" customHeight="false" outlineLevel="0" collapsed="false">
      <c r="A11" s="13" t="n">
        <v>7</v>
      </c>
      <c r="B11" s="14" t="s">
        <v>46</v>
      </c>
      <c r="C11" s="14" t="s">
        <v>921</v>
      </c>
      <c r="D11" s="14" t="s">
        <v>922</v>
      </c>
      <c r="E11" s="13" t="s">
        <v>582</v>
      </c>
      <c r="F11" s="15" t="n">
        <v>25</v>
      </c>
      <c r="G11" s="13" t="s">
        <v>62</v>
      </c>
      <c r="H11" s="13" t="s">
        <v>59</v>
      </c>
      <c r="I11" s="16" t="n">
        <v>700</v>
      </c>
      <c r="J11" s="17" t="n">
        <f aca="false">F11*I11</f>
        <v>17500</v>
      </c>
      <c r="K11" s="18" t="s">
        <v>52</v>
      </c>
    </row>
    <row r="12" customFormat="false" ht="35.05" hidden="false" customHeight="false" outlineLevel="0" collapsed="false">
      <c r="A12" s="13" t="n">
        <v>8</v>
      </c>
      <c r="B12" s="14" t="s">
        <v>46</v>
      </c>
      <c r="C12" s="14" t="s">
        <v>65</v>
      </c>
      <c r="D12" s="14" t="s">
        <v>923</v>
      </c>
      <c r="E12" s="13" t="s">
        <v>307</v>
      </c>
      <c r="F12" s="15" t="n">
        <v>4</v>
      </c>
      <c r="G12" s="13" t="s">
        <v>62</v>
      </c>
      <c r="H12" s="13" t="s">
        <v>51</v>
      </c>
      <c r="I12" s="16" t="n">
        <v>8500</v>
      </c>
      <c r="J12" s="17" t="n">
        <f aca="false">F12*I12</f>
        <v>34000</v>
      </c>
      <c r="K12" s="18" t="s">
        <v>52</v>
      </c>
    </row>
    <row r="13" customFormat="false" ht="15" hidden="false" customHeight="false" outlineLevel="0" collapsed="false">
      <c r="A13" s="19"/>
      <c r="B13" s="19"/>
      <c r="C13" s="19" t="s">
        <v>93</v>
      </c>
      <c r="D13" s="19"/>
      <c r="E13" s="19"/>
      <c r="F13" s="19"/>
      <c r="G13" s="19"/>
      <c r="H13" s="19"/>
      <c r="I13" s="19"/>
      <c r="J13" s="20" t="n">
        <f aca="false">SUM(J5:J12)</f>
        <v>271700</v>
      </c>
      <c r="K13" s="19"/>
    </row>
    <row r="15" customFormat="false" ht="15" hidden="false" customHeight="false" outlineLevel="0" collapsed="false">
      <c r="A15" s="2" t="s">
        <v>33</v>
      </c>
    </row>
  </sheetData>
  <autoFilter ref="A4:K12"/>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924</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135.8" hidden="false" customHeight="false" outlineLevel="0" collapsed="false">
      <c r="A5" s="13" t="n">
        <v>1</v>
      </c>
      <c r="B5" s="14" t="s">
        <v>46</v>
      </c>
      <c r="C5" s="14" t="s">
        <v>925</v>
      </c>
      <c r="D5" s="14" t="s">
        <v>910</v>
      </c>
      <c r="E5" s="13" t="s">
        <v>307</v>
      </c>
      <c r="F5" s="15" t="n">
        <v>4</v>
      </c>
      <c r="G5" s="13" t="s">
        <v>50</v>
      </c>
      <c r="H5" s="13" t="s">
        <v>59</v>
      </c>
      <c r="I5" s="16" t="n">
        <v>50000</v>
      </c>
      <c r="J5" s="17" t="n">
        <f aca="false">F5*I5</f>
        <v>200000</v>
      </c>
      <c r="K5" s="18" t="s">
        <v>52</v>
      </c>
    </row>
    <row r="6" customFormat="false" ht="158.2" hidden="false" customHeight="false" outlineLevel="0" collapsed="false">
      <c r="A6" s="13" t="n">
        <v>2</v>
      </c>
      <c r="B6" s="14" t="s">
        <v>46</v>
      </c>
      <c r="C6" s="14" t="s">
        <v>911</v>
      </c>
      <c r="D6" s="14" t="s">
        <v>926</v>
      </c>
      <c r="E6" s="13" t="s">
        <v>307</v>
      </c>
      <c r="F6" s="15" t="n">
        <v>4</v>
      </c>
      <c r="G6" s="13" t="s">
        <v>50</v>
      </c>
      <c r="H6" s="13" t="s">
        <v>88</v>
      </c>
      <c r="I6" s="16" t="n">
        <v>800</v>
      </c>
      <c r="J6" s="17" t="n">
        <f aca="false">F6*I6</f>
        <v>3200</v>
      </c>
      <c r="K6" s="18" t="s">
        <v>52</v>
      </c>
    </row>
    <row r="7" customFormat="false" ht="35.05" hidden="false" customHeight="false" outlineLevel="0" collapsed="false">
      <c r="A7" s="13" t="n">
        <v>3</v>
      </c>
      <c r="B7" s="14" t="s">
        <v>46</v>
      </c>
      <c r="C7" s="14" t="s">
        <v>915</v>
      </c>
      <c r="D7" s="14" t="s">
        <v>916</v>
      </c>
      <c r="E7" s="13" t="s">
        <v>307</v>
      </c>
      <c r="F7" s="15" t="n">
        <v>4</v>
      </c>
      <c r="G7" s="13" t="s">
        <v>50</v>
      </c>
      <c r="H7" s="13" t="s">
        <v>51</v>
      </c>
      <c r="I7" s="16" t="n">
        <v>3500</v>
      </c>
      <c r="J7" s="17" t="n">
        <f aca="false">F7*I7</f>
        <v>14000</v>
      </c>
      <c r="K7" s="18" t="s">
        <v>52</v>
      </c>
    </row>
    <row r="8" customFormat="false" ht="46.25" hidden="false" customHeight="false" outlineLevel="0" collapsed="false">
      <c r="A8" s="13" t="n">
        <v>4</v>
      </c>
      <c r="B8" s="14" t="s">
        <v>46</v>
      </c>
      <c r="C8" s="14" t="s">
        <v>913</v>
      </c>
      <c r="D8" s="14" t="s">
        <v>914</v>
      </c>
      <c r="E8" s="13" t="s">
        <v>58</v>
      </c>
      <c r="F8" s="15" t="n">
        <v>1</v>
      </c>
      <c r="G8" s="13" t="s">
        <v>50</v>
      </c>
      <c r="H8" s="13" t="s">
        <v>51</v>
      </c>
      <c r="I8" s="16" t="n">
        <v>12000</v>
      </c>
      <c r="J8" s="17" t="n">
        <f aca="false">F8*I8</f>
        <v>12000</v>
      </c>
      <c r="K8" s="18" t="s">
        <v>52</v>
      </c>
    </row>
    <row r="9" customFormat="false" ht="23.85" hidden="false" customHeight="false" outlineLevel="0" collapsed="false">
      <c r="A9" s="13" t="n">
        <v>5</v>
      </c>
      <c r="B9" s="14" t="s">
        <v>46</v>
      </c>
      <c r="C9" s="14" t="s">
        <v>917</v>
      </c>
      <c r="D9" s="14" t="s">
        <v>918</v>
      </c>
      <c r="E9" s="13" t="s">
        <v>58</v>
      </c>
      <c r="F9" s="15" t="n">
        <v>1</v>
      </c>
      <c r="G9" s="13" t="s">
        <v>62</v>
      </c>
      <c r="H9" s="13" t="s">
        <v>59</v>
      </c>
      <c r="I9" s="16" t="n">
        <v>3500</v>
      </c>
      <c r="J9" s="17" t="n">
        <f aca="false">F9*I9</f>
        <v>3500</v>
      </c>
      <c r="K9" s="18" t="s">
        <v>52</v>
      </c>
    </row>
    <row r="10" customFormat="false" ht="15" hidden="false" customHeight="false" outlineLevel="0" collapsed="false">
      <c r="A10" s="13" t="n">
        <v>6</v>
      </c>
      <c r="B10" s="14" t="s">
        <v>46</v>
      </c>
      <c r="C10" s="14" t="s">
        <v>927</v>
      </c>
      <c r="D10" s="14" t="s">
        <v>928</v>
      </c>
      <c r="E10" s="13" t="s">
        <v>71</v>
      </c>
      <c r="F10" s="15" t="n">
        <v>5</v>
      </c>
      <c r="G10" s="13" t="s">
        <v>62</v>
      </c>
      <c r="H10" s="13" t="s">
        <v>72</v>
      </c>
      <c r="I10" s="16" t="n">
        <v>1500</v>
      </c>
      <c r="J10" s="17" t="n">
        <f aca="false">F10*I10</f>
        <v>7500</v>
      </c>
      <c r="K10" s="18" t="s">
        <v>52</v>
      </c>
    </row>
    <row r="11" customFormat="false" ht="15" hidden="false" customHeight="false" outlineLevel="0" collapsed="false">
      <c r="A11" s="13" t="n">
        <v>7</v>
      </c>
      <c r="B11" s="14" t="s">
        <v>46</v>
      </c>
      <c r="C11" s="14" t="s">
        <v>921</v>
      </c>
      <c r="D11" s="14" t="s">
        <v>922</v>
      </c>
      <c r="E11" s="13" t="s">
        <v>929</v>
      </c>
      <c r="F11" s="15" t="n">
        <v>24</v>
      </c>
      <c r="G11" s="13" t="s">
        <v>62</v>
      </c>
      <c r="H11" s="13" t="s">
        <v>59</v>
      </c>
      <c r="I11" s="16" t="n">
        <v>700</v>
      </c>
      <c r="J11" s="17" t="n">
        <f aca="false">F11*I11</f>
        <v>16800</v>
      </c>
      <c r="K11" s="18" t="s">
        <v>52</v>
      </c>
    </row>
    <row r="12" customFormat="false" ht="35.05" hidden="false" customHeight="false" outlineLevel="0" collapsed="false">
      <c r="A12" s="13" t="n">
        <v>8</v>
      </c>
      <c r="B12" s="14" t="s">
        <v>46</v>
      </c>
      <c r="C12" s="14" t="s">
        <v>930</v>
      </c>
      <c r="D12" s="14" t="s">
        <v>923</v>
      </c>
      <c r="E12" s="13" t="s">
        <v>307</v>
      </c>
      <c r="F12" s="15" t="n">
        <v>4</v>
      </c>
      <c r="G12" s="13" t="s">
        <v>62</v>
      </c>
      <c r="H12" s="13" t="s">
        <v>51</v>
      </c>
      <c r="I12" s="16" t="n">
        <v>8500</v>
      </c>
      <c r="J12" s="17" t="n">
        <f aca="false">F12*I12</f>
        <v>34000</v>
      </c>
      <c r="K12" s="18" t="s">
        <v>52</v>
      </c>
    </row>
    <row r="13" customFormat="false" ht="15" hidden="false" customHeight="false" outlineLevel="0" collapsed="false">
      <c r="A13" s="19"/>
      <c r="B13" s="19"/>
      <c r="C13" s="19" t="s">
        <v>93</v>
      </c>
      <c r="D13" s="19"/>
      <c r="E13" s="19"/>
      <c r="F13" s="19"/>
      <c r="G13" s="19"/>
      <c r="H13" s="19"/>
      <c r="I13" s="19"/>
      <c r="J13" s="20" t="n">
        <f aca="false">SUM(J5:J12)</f>
        <v>291000</v>
      </c>
      <c r="K13" s="19"/>
    </row>
    <row r="15" customFormat="false" ht="15" hidden="false" customHeight="false" outlineLevel="0" collapsed="false">
      <c r="A15" s="2" t="s">
        <v>33</v>
      </c>
    </row>
  </sheetData>
  <autoFilter ref="A4:K12"/>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931</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135.8" hidden="false" customHeight="false" outlineLevel="0" collapsed="false">
      <c r="A5" s="13" t="n">
        <v>1</v>
      </c>
      <c r="B5" s="14" t="s">
        <v>46</v>
      </c>
      <c r="C5" s="14" t="s">
        <v>932</v>
      </c>
      <c r="D5" s="14" t="s">
        <v>910</v>
      </c>
      <c r="E5" s="13" t="s">
        <v>307</v>
      </c>
      <c r="F5" s="15" t="n">
        <v>4</v>
      </c>
      <c r="G5" s="13" t="s">
        <v>50</v>
      </c>
      <c r="H5" s="13" t="s">
        <v>51</v>
      </c>
      <c r="I5" s="16" t="n">
        <v>45000</v>
      </c>
      <c r="J5" s="17" t="n">
        <f aca="false">F5*I5</f>
        <v>180000</v>
      </c>
      <c r="K5" s="18" t="s">
        <v>52</v>
      </c>
    </row>
    <row r="6" customFormat="false" ht="158.2" hidden="false" customHeight="false" outlineLevel="0" collapsed="false">
      <c r="A6" s="13" t="n">
        <v>2</v>
      </c>
      <c r="B6" s="14" t="s">
        <v>46</v>
      </c>
      <c r="C6" s="14" t="s">
        <v>911</v>
      </c>
      <c r="D6" s="14" t="s">
        <v>926</v>
      </c>
      <c r="E6" s="13" t="s">
        <v>307</v>
      </c>
      <c r="F6" s="15" t="n">
        <v>4</v>
      </c>
      <c r="G6" s="13" t="s">
        <v>50</v>
      </c>
      <c r="H6" s="13" t="s">
        <v>88</v>
      </c>
      <c r="I6" s="16" t="n">
        <v>800</v>
      </c>
      <c r="J6" s="17" t="n">
        <f aca="false">F6*I6</f>
        <v>3200</v>
      </c>
      <c r="K6" s="18" t="s">
        <v>52</v>
      </c>
    </row>
    <row r="7" customFormat="false" ht="23.85" hidden="false" customHeight="false" outlineLevel="0" collapsed="false">
      <c r="A7" s="13" t="n">
        <v>3</v>
      </c>
      <c r="B7" s="14" t="s">
        <v>46</v>
      </c>
      <c r="C7" s="14" t="s">
        <v>917</v>
      </c>
      <c r="D7" s="14" t="s">
        <v>933</v>
      </c>
      <c r="E7" s="13" t="s">
        <v>58</v>
      </c>
      <c r="F7" s="15" t="n">
        <v>1</v>
      </c>
      <c r="G7" s="13" t="s">
        <v>62</v>
      </c>
      <c r="H7" s="13" t="s">
        <v>59</v>
      </c>
      <c r="I7" s="16" t="n">
        <v>3500</v>
      </c>
      <c r="J7" s="17" t="n">
        <f aca="false">F7*I7</f>
        <v>3500</v>
      </c>
      <c r="K7" s="18" t="s">
        <v>52</v>
      </c>
    </row>
    <row r="8" customFormat="false" ht="46.25" hidden="false" customHeight="false" outlineLevel="0" collapsed="false">
      <c r="A8" s="13" t="n">
        <v>4</v>
      </c>
      <c r="B8" s="14" t="s">
        <v>46</v>
      </c>
      <c r="C8" s="14" t="s">
        <v>913</v>
      </c>
      <c r="D8" s="14" t="s">
        <v>914</v>
      </c>
      <c r="E8" s="13" t="s">
        <v>58</v>
      </c>
      <c r="F8" s="15" t="n">
        <v>1</v>
      </c>
      <c r="G8" s="13" t="s">
        <v>50</v>
      </c>
      <c r="H8" s="13" t="s">
        <v>51</v>
      </c>
      <c r="I8" s="16" t="n">
        <v>12000</v>
      </c>
      <c r="J8" s="17" t="n">
        <f aca="false">F8*I8</f>
        <v>12000</v>
      </c>
      <c r="K8" s="18" t="s">
        <v>52</v>
      </c>
    </row>
    <row r="9" customFormat="false" ht="15" hidden="false" customHeight="false" outlineLevel="0" collapsed="false">
      <c r="A9" s="13" t="n">
        <v>5</v>
      </c>
      <c r="B9" s="14" t="s">
        <v>46</v>
      </c>
      <c r="C9" s="14" t="s">
        <v>67</v>
      </c>
      <c r="D9" s="14" t="s">
        <v>934</v>
      </c>
      <c r="E9" s="13" t="s">
        <v>58</v>
      </c>
      <c r="F9" s="15" t="n">
        <v>1</v>
      </c>
      <c r="G9" s="13" t="s">
        <v>62</v>
      </c>
      <c r="H9" s="13" t="s">
        <v>51</v>
      </c>
      <c r="I9" s="16" t="n">
        <v>3500</v>
      </c>
      <c r="J9" s="17" t="n">
        <f aca="false">F9*I9</f>
        <v>3500</v>
      </c>
      <c r="K9" s="18" t="s">
        <v>52</v>
      </c>
    </row>
    <row r="10" customFormat="false" ht="57.45" hidden="false" customHeight="false" outlineLevel="0" collapsed="false">
      <c r="A10" s="13" t="n">
        <v>6</v>
      </c>
      <c r="B10" s="14" t="s">
        <v>46</v>
      </c>
      <c r="C10" s="14" t="s">
        <v>108</v>
      </c>
      <c r="D10" s="14" t="s">
        <v>935</v>
      </c>
      <c r="E10" s="13" t="s">
        <v>58</v>
      </c>
      <c r="F10" s="15" t="n">
        <v>1</v>
      </c>
      <c r="G10" s="13" t="s">
        <v>62</v>
      </c>
      <c r="H10" s="13" t="s">
        <v>51</v>
      </c>
      <c r="I10" s="16" t="n">
        <v>45000</v>
      </c>
      <c r="J10" s="17" t="n">
        <f aca="false">F10*I10</f>
        <v>45000</v>
      </c>
      <c r="K10" s="18" t="s">
        <v>52</v>
      </c>
    </row>
    <row r="11" customFormat="false" ht="35.05" hidden="false" customHeight="false" outlineLevel="0" collapsed="false">
      <c r="A11" s="13" t="n">
        <v>7</v>
      </c>
      <c r="B11" s="14" t="s">
        <v>46</v>
      </c>
      <c r="C11" s="14" t="s">
        <v>915</v>
      </c>
      <c r="D11" s="14" t="s">
        <v>916</v>
      </c>
      <c r="E11" s="13" t="s">
        <v>307</v>
      </c>
      <c r="F11" s="15" t="n">
        <v>4</v>
      </c>
      <c r="G11" s="13" t="s">
        <v>50</v>
      </c>
      <c r="H11" s="13" t="s">
        <v>51</v>
      </c>
      <c r="I11" s="16" t="n">
        <v>3500</v>
      </c>
      <c r="J11" s="17" t="n">
        <f aca="false">F11*I11</f>
        <v>14000</v>
      </c>
      <c r="K11" s="18" t="s">
        <v>52</v>
      </c>
    </row>
    <row r="12" customFormat="false" ht="15" hidden="false" customHeight="false" outlineLevel="0" collapsed="false">
      <c r="A12" s="13" t="n">
        <v>8</v>
      </c>
      <c r="B12" s="14" t="s">
        <v>46</v>
      </c>
      <c r="C12" s="14" t="s">
        <v>936</v>
      </c>
      <c r="D12" s="14" t="s">
        <v>937</v>
      </c>
      <c r="E12" s="13" t="s">
        <v>58</v>
      </c>
      <c r="F12" s="15" t="n">
        <v>1</v>
      </c>
      <c r="G12" s="13" t="s">
        <v>62</v>
      </c>
      <c r="H12" s="13" t="s">
        <v>59</v>
      </c>
      <c r="I12" s="16" t="n">
        <v>18000</v>
      </c>
      <c r="J12" s="17" t="n">
        <f aca="false">F12*I12</f>
        <v>18000</v>
      </c>
      <c r="K12" s="18" t="s">
        <v>52</v>
      </c>
    </row>
    <row r="13" customFormat="false" ht="15" hidden="false" customHeight="false" outlineLevel="0" collapsed="false">
      <c r="A13" s="13" t="n">
        <v>9</v>
      </c>
      <c r="B13" s="14" t="s">
        <v>46</v>
      </c>
      <c r="C13" s="14" t="s">
        <v>938</v>
      </c>
      <c r="D13" s="14" t="s">
        <v>46</v>
      </c>
      <c r="E13" s="13" t="s">
        <v>71</v>
      </c>
      <c r="F13" s="15" t="n">
        <v>5</v>
      </c>
      <c r="G13" s="13" t="s">
        <v>62</v>
      </c>
      <c r="H13" s="13" t="s">
        <v>59</v>
      </c>
      <c r="I13" s="16" t="n">
        <v>300</v>
      </c>
      <c r="J13" s="17" t="n">
        <f aca="false">F13*I13</f>
        <v>1500</v>
      </c>
      <c r="K13" s="18" t="s">
        <v>52</v>
      </c>
    </row>
    <row r="14" customFormat="false" ht="15" hidden="false" customHeight="false" outlineLevel="0" collapsed="false">
      <c r="A14" s="13" t="n">
        <v>10</v>
      </c>
      <c r="B14" s="14" t="s">
        <v>46</v>
      </c>
      <c r="C14" s="14" t="s">
        <v>939</v>
      </c>
      <c r="D14" s="14" t="s">
        <v>46</v>
      </c>
      <c r="E14" s="13" t="s">
        <v>71</v>
      </c>
      <c r="F14" s="15" t="n">
        <v>5</v>
      </c>
      <c r="G14" s="13" t="s">
        <v>76</v>
      </c>
      <c r="H14" s="13" t="s">
        <v>55</v>
      </c>
      <c r="I14" s="16" t="n">
        <v>1500</v>
      </c>
      <c r="J14" s="17" t="n">
        <f aca="false">F14*I14</f>
        <v>7500</v>
      </c>
      <c r="K14" s="18" t="s">
        <v>52</v>
      </c>
    </row>
    <row r="15" customFormat="false" ht="15" hidden="false" customHeight="false" outlineLevel="0" collapsed="false">
      <c r="A15" s="13" t="n">
        <v>11</v>
      </c>
      <c r="B15" s="14" t="s">
        <v>46</v>
      </c>
      <c r="C15" s="14" t="s">
        <v>921</v>
      </c>
      <c r="D15" s="14" t="s">
        <v>922</v>
      </c>
      <c r="E15" s="13" t="s">
        <v>582</v>
      </c>
      <c r="F15" s="15" t="n">
        <v>25</v>
      </c>
      <c r="G15" s="13" t="s">
        <v>62</v>
      </c>
      <c r="H15" s="13" t="s">
        <v>59</v>
      </c>
      <c r="I15" s="16" t="n">
        <v>700</v>
      </c>
      <c r="J15" s="17" t="n">
        <f aca="false">F15*I15</f>
        <v>17500</v>
      </c>
      <c r="K15" s="18" t="s">
        <v>52</v>
      </c>
    </row>
    <row r="16" customFormat="false" ht="35.05" hidden="false" customHeight="false" outlineLevel="0" collapsed="false">
      <c r="A16" s="13" t="n">
        <v>12</v>
      </c>
      <c r="B16" s="14" t="s">
        <v>46</v>
      </c>
      <c r="C16" s="14" t="s">
        <v>65</v>
      </c>
      <c r="D16" s="14" t="s">
        <v>923</v>
      </c>
      <c r="E16" s="13" t="s">
        <v>307</v>
      </c>
      <c r="F16" s="15" t="n">
        <v>4</v>
      </c>
      <c r="G16" s="13" t="s">
        <v>62</v>
      </c>
      <c r="H16" s="13" t="s">
        <v>51</v>
      </c>
      <c r="I16" s="16" t="n">
        <v>8500</v>
      </c>
      <c r="J16" s="17" t="n">
        <f aca="false">F16*I16</f>
        <v>34000</v>
      </c>
      <c r="K16" s="18" t="s">
        <v>52</v>
      </c>
    </row>
    <row r="17" customFormat="false" ht="15" hidden="false" customHeight="false" outlineLevel="0" collapsed="false">
      <c r="A17" s="19"/>
      <c r="B17" s="19"/>
      <c r="C17" s="19" t="s">
        <v>93</v>
      </c>
      <c r="D17" s="19"/>
      <c r="E17" s="19"/>
      <c r="F17" s="19"/>
      <c r="G17" s="19"/>
      <c r="H17" s="19"/>
      <c r="I17" s="19"/>
      <c r="J17" s="20" t="n">
        <f aca="false">SUM(J5:J16)</f>
        <v>339700</v>
      </c>
      <c r="K17" s="19"/>
    </row>
    <row r="19" customFormat="false" ht="15" hidden="false" customHeight="false" outlineLevel="0" collapsed="false">
      <c r="A19" s="2" t="s">
        <v>33</v>
      </c>
    </row>
  </sheetData>
  <autoFilter ref="A4:K16"/>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34"/>
    <col collapsed="false" customWidth="true" hidden="false" outlineLevel="0" max="4" min="4" style="0" width="60"/>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9"/>
    <col collapsed="false" customWidth="true" hidden="false" outlineLevel="0" max="9" min="9" style="0" width="13"/>
    <col collapsed="false" customWidth="true" hidden="false" outlineLevel="0" max="10" min="10" style="0" width="14"/>
    <col collapsed="false" customWidth="true" hidden="false" outlineLevel="0" max="11" min="11" style="0" width="11"/>
  </cols>
  <sheetData>
    <row r="1" customFormat="false" ht="17.35" hidden="false" customHeight="false" outlineLevel="0" collapsed="false">
      <c r="A1" s="12" t="s">
        <v>940</v>
      </c>
    </row>
    <row r="2" customFormat="false" ht="15" hidden="false" customHeight="false" outlineLevel="0" collapsed="false">
      <c r="A2" s="2" t="s">
        <v>1</v>
      </c>
    </row>
    <row r="4" customFormat="false" ht="30" hidden="false" customHeight="true" outlineLevel="0" collapsed="false">
      <c r="A4" s="3" t="s">
        <v>35</v>
      </c>
      <c r="B4" s="3" t="s">
        <v>36</v>
      </c>
      <c r="C4" s="3" t="s">
        <v>37</v>
      </c>
      <c r="D4" s="3" t="s">
        <v>38</v>
      </c>
      <c r="E4" s="3" t="s">
        <v>39</v>
      </c>
      <c r="F4" s="3" t="s">
        <v>40</v>
      </c>
      <c r="G4" s="3" t="s">
        <v>41</v>
      </c>
      <c r="H4" s="3" t="s">
        <v>42</v>
      </c>
      <c r="I4" s="3" t="s">
        <v>43</v>
      </c>
      <c r="J4" s="3" t="s">
        <v>44</v>
      </c>
      <c r="K4" s="3" t="s">
        <v>45</v>
      </c>
    </row>
    <row r="5" customFormat="false" ht="91" hidden="false" customHeight="false" outlineLevel="0" collapsed="false">
      <c r="A5" s="13" t="n">
        <v>1</v>
      </c>
      <c r="B5" s="14" t="s">
        <v>46</v>
      </c>
      <c r="C5" s="14" t="s">
        <v>941</v>
      </c>
      <c r="D5" s="14" t="s">
        <v>942</v>
      </c>
      <c r="E5" s="13" t="s">
        <v>71</v>
      </c>
      <c r="F5" s="15" t="n">
        <v>5</v>
      </c>
      <c r="G5" s="13" t="s">
        <v>62</v>
      </c>
      <c r="H5" s="13" t="s">
        <v>59</v>
      </c>
      <c r="I5" s="16" t="n">
        <v>350</v>
      </c>
      <c r="J5" s="17" t="n">
        <f aca="false">F5*I5</f>
        <v>1750</v>
      </c>
      <c r="K5" s="18" t="s">
        <v>52</v>
      </c>
    </row>
    <row r="6" customFormat="false" ht="68.65" hidden="false" customHeight="false" outlineLevel="0" collapsed="false">
      <c r="A6" s="13" t="n">
        <v>2</v>
      </c>
      <c r="B6" s="14" t="s">
        <v>46</v>
      </c>
      <c r="C6" s="14" t="s">
        <v>943</v>
      </c>
      <c r="D6" s="14" t="s">
        <v>944</v>
      </c>
      <c r="E6" s="13" t="s">
        <v>71</v>
      </c>
      <c r="F6" s="15" t="n">
        <v>5</v>
      </c>
      <c r="G6" s="13" t="s">
        <v>76</v>
      </c>
      <c r="H6" s="13" t="s">
        <v>945</v>
      </c>
      <c r="I6" s="16" t="n">
        <v>300</v>
      </c>
      <c r="J6" s="17" t="n">
        <f aca="false">F6*I6</f>
        <v>1500</v>
      </c>
      <c r="K6" s="18" t="s">
        <v>52</v>
      </c>
    </row>
    <row r="7" customFormat="false" ht="68.65" hidden="false" customHeight="false" outlineLevel="0" collapsed="false">
      <c r="A7" s="13" t="n">
        <v>3</v>
      </c>
      <c r="B7" s="14" t="s">
        <v>46</v>
      </c>
      <c r="C7" s="14" t="s">
        <v>946</v>
      </c>
      <c r="D7" s="14" t="s">
        <v>947</v>
      </c>
      <c r="E7" s="13" t="s">
        <v>71</v>
      </c>
      <c r="F7" s="15" t="n">
        <v>5</v>
      </c>
      <c r="G7" s="13" t="s">
        <v>76</v>
      </c>
      <c r="H7" s="13" t="s">
        <v>72</v>
      </c>
      <c r="I7" s="16" t="n">
        <v>1200</v>
      </c>
      <c r="J7" s="17" t="n">
        <f aca="false">F7*I7</f>
        <v>6000</v>
      </c>
      <c r="K7" s="18" t="s">
        <v>52</v>
      </c>
    </row>
    <row r="8" customFormat="false" ht="57.45" hidden="false" customHeight="false" outlineLevel="0" collapsed="false">
      <c r="A8" s="13" t="n">
        <v>4</v>
      </c>
      <c r="B8" s="14" t="s">
        <v>46</v>
      </c>
      <c r="C8" s="14" t="s">
        <v>948</v>
      </c>
      <c r="D8" s="14" t="s">
        <v>949</v>
      </c>
      <c r="E8" s="13" t="s">
        <v>58</v>
      </c>
      <c r="F8" s="15" t="n">
        <v>1</v>
      </c>
      <c r="G8" s="13" t="s">
        <v>76</v>
      </c>
      <c r="H8" s="13" t="s">
        <v>950</v>
      </c>
      <c r="I8" s="16" t="n">
        <v>350</v>
      </c>
      <c r="J8" s="17" t="n">
        <f aca="false">F8*I8</f>
        <v>350</v>
      </c>
      <c r="K8" s="18" t="s">
        <v>52</v>
      </c>
    </row>
    <row r="9" customFormat="false" ht="57.45" hidden="false" customHeight="false" outlineLevel="0" collapsed="false">
      <c r="A9" s="13" t="n">
        <v>5</v>
      </c>
      <c r="B9" s="14" t="s">
        <v>46</v>
      </c>
      <c r="C9" s="14" t="s">
        <v>951</v>
      </c>
      <c r="D9" s="14" t="s">
        <v>952</v>
      </c>
      <c r="E9" s="13" t="s">
        <v>142</v>
      </c>
      <c r="F9" s="15" t="n">
        <v>30</v>
      </c>
      <c r="G9" s="13" t="s">
        <v>76</v>
      </c>
      <c r="H9" s="13" t="s">
        <v>59</v>
      </c>
      <c r="I9" s="16" t="n">
        <v>250</v>
      </c>
      <c r="J9" s="17" t="n">
        <f aca="false">F9*I9</f>
        <v>7500</v>
      </c>
      <c r="K9" s="18" t="s">
        <v>52</v>
      </c>
    </row>
    <row r="10" customFormat="false" ht="57.45" hidden="false" customHeight="false" outlineLevel="0" collapsed="false">
      <c r="A10" s="13" t="n">
        <v>6</v>
      </c>
      <c r="B10" s="14" t="s">
        <v>46</v>
      </c>
      <c r="C10" s="14" t="s">
        <v>953</v>
      </c>
      <c r="D10" s="14" t="s">
        <v>954</v>
      </c>
      <c r="E10" s="13" t="s">
        <v>142</v>
      </c>
      <c r="F10" s="15" t="n">
        <v>30</v>
      </c>
      <c r="G10" s="13" t="s">
        <v>76</v>
      </c>
      <c r="H10" s="13" t="s">
        <v>59</v>
      </c>
      <c r="I10" s="16" t="n">
        <v>250</v>
      </c>
      <c r="J10" s="17" t="n">
        <f aca="false">F10*I10</f>
        <v>7500</v>
      </c>
      <c r="K10" s="18" t="s">
        <v>52</v>
      </c>
    </row>
    <row r="11" customFormat="false" ht="68.65" hidden="false" customHeight="false" outlineLevel="0" collapsed="false">
      <c r="A11" s="13" t="n">
        <v>7</v>
      </c>
      <c r="B11" s="14" t="s">
        <v>46</v>
      </c>
      <c r="C11" s="14" t="s">
        <v>955</v>
      </c>
      <c r="D11" s="14" t="s">
        <v>956</v>
      </c>
      <c r="E11" s="13" t="s">
        <v>97</v>
      </c>
      <c r="F11" s="15" t="n">
        <v>10</v>
      </c>
      <c r="G11" s="13" t="s">
        <v>76</v>
      </c>
      <c r="H11" s="13" t="s">
        <v>957</v>
      </c>
      <c r="I11" s="16" t="n">
        <v>5</v>
      </c>
      <c r="J11" s="17" t="n">
        <f aca="false">F11*I11</f>
        <v>50</v>
      </c>
      <c r="K11" s="18" t="s">
        <v>52</v>
      </c>
    </row>
    <row r="12" customFormat="false" ht="68.65" hidden="false" customHeight="false" outlineLevel="0" collapsed="false">
      <c r="A12" s="13" t="n">
        <v>8</v>
      </c>
      <c r="B12" s="14" t="s">
        <v>46</v>
      </c>
      <c r="C12" s="14" t="s">
        <v>958</v>
      </c>
      <c r="D12" s="14" t="s">
        <v>959</v>
      </c>
      <c r="E12" s="13" t="s">
        <v>71</v>
      </c>
      <c r="F12" s="15" t="n">
        <v>5</v>
      </c>
      <c r="G12" s="13" t="s">
        <v>76</v>
      </c>
      <c r="H12" s="13" t="s">
        <v>72</v>
      </c>
      <c r="I12" s="16" t="n">
        <v>900</v>
      </c>
      <c r="J12" s="17" t="n">
        <f aca="false">F12*I12</f>
        <v>4500</v>
      </c>
      <c r="K12" s="18" t="s">
        <v>52</v>
      </c>
    </row>
    <row r="13" customFormat="false" ht="57.45" hidden="false" customHeight="false" outlineLevel="0" collapsed="false">
      <c r="A13" s="13" t="n">
        <v>9</v>
      </c>
      <c r="B13" s="14" t="s">
        <v>46</v>
      </c>
      <c r="C13" s="14" t="s">
        <v>960</v>
      </c>
      <c r="D13" s="14" t="s">
        <v>961</v>
      </c>
      <c r="E13" s="13" t="s">
        <v>49</v>
      </c>
      <c r="F13" s="15" t="n">
        <v>15</v>
      </c>
      <c r="G13" s="13" t="s">
        <v>50</v>
      </c>
      <c r="H13" s="13" t="s">
        <v>51</v>
      </c>
      <c r="I13" s="16" t="n">
        <v>80</v>
      </c>
      <c r="J13" s="17" t="n">
        <f aca="false">F13*I13</f>
        <v>1200</v>
      </c>
      <c r="K13" s="18" t="s">
        <v>52</v>
      </c>
    </row>
    <row r="14" customFormat="false" ht="68.65" hidden="false" customHeight="false" outlineLevel="0" collapsed="false">
      <c r="A14" s="13" t="n">
        <v>10</v>
      </c>
      <c r="B14" s="14" t="s">
        <v>46</v>
      </c>
      <c r="C14" s="14" t="s">
        <v>962</v>
      </c>
      <c r="D14" s="14" t="s">
        <v>963</v>
      </c>
      <c r="E14" s="13" t="s">
        <v>142</v>
      </c>
      <c r="F14" s="15" t="n">
        <v>30</v>
      </c>
      <c r="G14" s="13" t="s">
        <v>76</v>
      </c>
      <c r="H14" s="13" t="s">
        <v>964</v>
      </c>
      <c r="I14" s="16" t="n">
        <v>15</v>
      </c>
      <c r="J14" s="17" t="n">
        <f aca="false">F14*I14</f>
        <v>450</v>
      </c>
      <c r="K14" s="18" t="s">
        <v>52</v>
      </c>
    </row>
    <row r="15" customFormat="false" ht="79.85" hidden="false" customHeight="false" outlineLevel="0" collapsed="false">
      <c r="A15" s="13" t="n">
        <v>11</v>
      </c>
      <c r="B15" s="14" t="s">
        <v>46</v>
      </c>
      <c r="C15" s="14" t="s">
        <v>965</v>
      </c>
      <c r="D15" s="14" t="s">
        <v>966</v>
      </c>
      <c r="E15" s="13" t="s">
        <v>142</v>
      </c>
      <c r="F15" s="15" t="n">
        <v>30</v>
      </c>
      <c r="G15" s="13" t="s">
        <v>76</v>
      </c>
      <c r="H15" s="13" t="s">
        <v>967</v>
      </c>
      <c r="I15" s="16" t="n">
        <v>60</v>
      </c>
      <c r="J15" s="17" t="n">
        <f aca="false">F15*I15</f>
        <v>1800</v>
      </c>
      <c r="K15" s="18" t="s">
        <v>52</v>
      </c>
    </row>
    <row r="16" customFormat="false" ht="68.65" hidden="false" customHeight="false" outlineLevel="0" collapsed="false">
      <c r="A16" s="13" t="n">
        <v>12</v>
      </c>
      <c r="B16" s="14" t="s">
        <v>46</v>
      </c>
      <c r="C16" s="14" t="s">
        <v>968</v>
      </c>
      <c r="D16" s="14" t="s">
        <v>969</v>
      </c>
      <c r="E16" s="13" t="s">
        <v>71</v>
      </c>
      <c r="F16" s="15" t="n">
        <v>5</v>
      </c>
      <c r="G16" s="13" t="s">
        <v>76</v>
      </c>
      <c r="H16" s="13" t="s">
        <v>72</v>
      </c>
      <c r="I16" s="16" t="n">
        <v>1500</v>
      </c>
      <c r="J16" s="17" t="n">
        <f aca="false">F16*I16</f>
        <v>7500</v>
      </c>
      <c r="K16" s="18" t="s">
        <v>52</v>
      </c>
    </row>
    <row r="17" customFormat="false" ht="57.45" hidden="false" customHeight="false" outlineLevel="0" collapsed="false">
      <c r="A17" s="13" t="n">
        <v>13</v>
      </c>
      <c r="B17" s="14" t="s">
        <v>46</v>
      </c>
      <c r="C17" s="14" t="s">
        <v>970</v>
      </c>
      <c r="D17" s="14" t="s">
        <v>971</v>
      </c>
      <c r="E17" s="13" t="s">
        <v>71</v>
      </c>
      <c r="F17" s="15" t="n">
        <v>5</v>
      </c>
      <c r="G17" s="13" t="s">
        <v>50</v>
      </c>
      <c r="H17" s="13" t="s">
        <v>59</v>
      </c>
      <c r="I17" s="16" t="n">
        <v>350</v>
      </c>
      <c r="J17" s="17" t="n">
        <f aca="false">F17*I17</f>
        <v>1750</v>
      </c>
      <c r="K17" s="18" t="s">
        <v>52</v>
      </c>
    </row>
    <row r="18" customFormat="false" ht="57.45" hidden="false" customHeight="false" outlineLevel="0" collapsed="false">
      <c r="A18" s="13" t="n">
        <v>14</v>
      </c>
      <c r="B18" s="14" t="s">
        <v>46</v>
      </c>
      <c r="C18" s="14" t="s">
        <v>972</v>
      </c>
      <c r="D18" s="14" t="s">
        <v>973</v>
      </c>
      <c r="E18" s="13" t="s">
        <v>662</v>
      </c>
      <c r="F18" s="15" t="n">
        <v>20</v>
      </c>
      <c r="G18" s="13" t="s">
        <v>76</v>
      </c>
      <c r="H18" s="13" t="s">
        <v>513</v>
      </c>
      <c r="I18" s="16" t="n">
        <v>300</v>
      </c>
      <c r="J18" s="17" t="n">
        <f aca="false">F18*I18</f>
        <v>6000</v>
      </c>
      <c r="K18" s="18" t="s">
        <v>52</v>
      </c>
    </row>
    <row r="19" customFormat="false" ht="57.45" hidden="false" customHeight="false" outlineLevel="0" collapsed="false">
      <c r="A19" s="13" t="n">
        <v>15</v>
      </c>
      <c r="B19" s="14" t="s">
        <v>46</v>
      </c>
      <c r="C19" s="14" t="s">
        <v>974</v>
      </c>
      <c r="D19" s="14" t="s">
        <v>975</v>
      </c>
      <c r="E19" s="13" t="s">
        <v>75</v>
      </c>
      <c r="F19" s="15" t="n">
        <v>2</v>
      </c>
      <c r="G19" s="13" t="s">
        <v>76</v>
      </c>
      <c r="H19" s="13" t="s">
        <v>950</v>
      </c>
      <c r="I19" s="16" t="n">
        <v>350</v>
      </c>
      <c r="J19" s="17" t="n">
        <f aca="false">F19*I19</f>
        <v>700</v>
      </c>
      <c r="K19" s="18" t="s">
        <v>52</v>
      </c>
    </row>
    <row r="20" customFormat="false" ht="57.45" hidden="false" customHeight="false" outlineLevel="0" collapsed="false">
      <c r="A20" s="13" t="n">
        <v>16</v>
      </c>
      <c r="B20" s="14" t="s">
        <v>46</v>
      </c>
      <c r="C20" s="14" t="s">
        <v>976</v>
      </c>
      <c r="D20" s="14" t="s">
        <v>977</v>
      </c>
      <c r="E20" s="13" t="s">
        <v>142</v>
      </c>
      <c r="F20" s="15" t="n">
        <v>30</v>
      </c>
      <c r="G20" s="13" t="s">
        <v>76</v>
      </c>
      <c r="H20" s="13" t="s">
        <v>978</v>
      </c>
      <c r="I20" s="16" t="n">
        <v>5</v>
      </c>
      <c r="J20" s="17" t="n">
        <f aca="false">F20*I20</f>
        <v>150</v>
      </c>
      <c r="K20" s="18" t="s">
        <v>52</v>
      </c>
    </row>
    <row r="21" customFormat="false" ht="46.25" hidden="false" customHeight="false" outlineLevel="0" collapsed="false">
      <c r="A21" s="13" t="n">
        <v>17</v>
      </c>
      <c r="B21" s="14" t="s">
        <v>46</v>
      </c>
      <c r="C21" s="14" t="s">
        <v>979</v>
      </c>
      <c r="D21" s="14" t="s">
        <v>980</v>
      </c>
      <c r="E21" s="13" t="s">
        <v>97</v>
      </c>
      <c r="F21" s="15" t="n">
        <v>10</v>
      </c>
      <c r="G21" s="13" t="s">
        <v>76</v>
      </c>
      <c r="H21" s="13" t="s">
        <v>79</v>
      </c>
      <c r="I21" s="16" t="n">
        <v>200</v>
      </c>
      <c r="J21" s="17" t="n">
        <f aca="false">F21*I21</f>
        <v>2000</v>
      </c>
      <c r="K21" s="18" t="s">
        <v>52</v>
      </c>
    </row>
    <row r="22" customFormat="false" ht="68.65" hidden="false" customHeight="false" outlineLevel="0" collapsed="false">
      <c r="A22" s="13" t="n">
        <v>18</v>
      </c>
      <c r="B22" s="14" t="s">
        <v>46</v>
      </c>
      <c r="C22" s="14" t="s">
        <v>981</v>
      </c>
      <c r="D22" s="14" t="s">
        <v>982</v>
      </c>
      <c r="E22" s="13" t="s">
        <v>142</v>
      </c>
      <c r="F22" s="15" t="n">
        <v>30</v>
      </c>
      <c r="G22" s="13" t="s">
        <v>76</v>
      </c>
      <c r="H22" s="13" t="s">
        <v>983</v>
      </c>
      <c r="I22" s="16" t="n">
        <v>150</v>
      </c>
      <c r="J22" s="17" t="n">
        <f aca="false">F22*I22</f>
        <v>4500</v>
      </c>
      <c r="K22" s="18" t="s">
        <v>52</v>
      </c>
    </row>
    <row r="23" customFormat="false" ht="68.65" hidden="false" customHeight="false" outlineLevel="0" collapsed="false">
      <c r="A23" s="13" t="n">
        <v>19</v>
      </c>
      <c r="B23" s="14" t="s">
        <v>46</v>
      </c>
      <c r="C23" s="14" t="s">
        <v>984</v>
      </c>
      <c r="D23" s="14" t="s">
        <v>985</v>
      </c>
      <c r="E23" s="13" t="s">
        <v>71</v>
      </c>
      <c r="F23" s="15" t="n">
        <v>5</v>
      </c>
      <c r="G23" s="13" t="s">
        <v>50</v>
      </c>
      <c r="H23" s="13" t="s">
        <v>59</v>
      </c>
      <c r="I23" s="16" t="n">
        <v>1500</v>
      </c>
      <c r="J23" s="17" t="n">
        <f aca="false">F23*I23</f>
        <v>7500</v>
      </c>
      <c r="K23" s="18" t="s">
        <v>52</v>
      </c>
    </row>
    <row r="24" customFormat="false" ht="68.65" hidden="false" customHeight="false" outlineLevel="0" collapsed="false">
      <c r="A24" s="13" t="n">
        <v>20</v>
      </c>
      <c r="B24" s="14" t="s">
        <v>46</v>
      </c>
      <c r="C24" s="14" t="s">
        <v>986</v>
      </c>
      <c r="D24" s="14" t="s">
        <v>987</v>
      </c>
      <c r="E24" s="13" t="s">
        <v>75</v>
      </c>
      <c r="F24" s="15" t="n">
        <v>2</v>
      </c>
      <c r="G24" s="13" t="s">
        <v>50</v>
      </c>
      <c r="H24" s="13" t="s">
        <v>59</v>
      </c>
      <c r="I24" s="16" t="n">
        <v>4500</v>
      </c>
      <c r="J24" s="17" t="n">
        <f aca="false">F24*I24</f>
        <v>9000</v>
      </c>
      <c r="K24" s="18" t="s">
        <v>52</v>
      </c>
    </row>
    <row r="25" customFormat="false" ht="79.85" hidden="false" customHeight="false" outlineLevel="0" collapsed="false">
      <c r="A25" s="13" t="n">
        <v>21</v>
      </c>
      <c r="B25" s="14" t="s">
        <v>46</v>
      </c>
      <c r="C25" s="14" t="s">
        <v>988</v>
      </c>
      <c r="D25" s="14" t="s">
        <v>989</v>
      </c>
      <c r="E25" s="13" t="s">
        <v>71</v>
      </c>
      <c r="F25" s="15" t="n">
        <v>5</v>
      </c>
      <c r="G25" s="13" t="s">
        <v>76</v>
      </c>
      <c r="H25" s="13" t="s">
        <v>72</v>
      </c>
      <c r="I25" s="16" t="n">
        <v>2500</v>
      </c>
      <c r="J25" s="17" t="n">
        <f aca="false">F25*I25</f>
        <v>12500</v>
      </c>
      <c r="K25" s="18" t="s">
        <v>52</v>
      </c>
    </row>
    <row r="26" customFormat="false" ht="79.85" hidden="false" customHeight="false" outlineLevel="0" collapsed="false">
      <c r="A26" s="13" t="n">
        <v>22</v>
      </c>
      <c r="B26" s="14" t="s">
        <v>46</v>
      </c>
      <c r="C26" s="14" t="s">
        <v>990</v>
      </c>
      <c r="D26" s="14" t="s">
        <v>991</v>
      </c>
      <c r="E26" s="13" t="s">
        <v>97</v>
      </c>
      <c r="F26" s="15" t="n">
        <v>10</v>
      </c>
      <c r="G26" s="13" t="s">
        <v>76</v>
      </c>
      <c r="H26" s="13" t="s">
        <v>72</v>
      </c>
      <c r="I26" s="16" t="n">
        <v>1500</v>
      </c>
      <c r="J26" s="17" t="n">
        <f aca="false">F26*I26</f>
        <v>15000</v>
      </c>
      <c r="K26" s="18" t="s">
        <v>52</v>
      </c>
    </row>
    <row r="27" customFormat="false" ht="57.45" hidden="false" customHeight="false" outlineLevel="0" collapsed="false">
      <c r="A27" s="13" t="n">
        <v>23</v>
      </c>
      <c r="B27" s="14" t="s">
        <v>46</v>
      </c>
      <c r="C27" s="14" t="s">
        <v>992</v>
      </c>
      <c r="D27" s="14" t="s">
        <v>993</v>
      </c>
      <c r="E27" s="13" t="s">
        <v>58</v>
      </c>
      <c r="F27" s="15" t="n">
        <v>1</v>
      </c>
      <c r="G27" s="13" t="s">
        <v>76</v>
      </c>
      <c r="H27" s="13" t="s">
        <v>513</v>
      </c>
      <c r="I27" s="16" t="n">
        <v>500</v>
      </c>
      <c r="J27" s="17" t="n">
        <f aca="false">F27*I27</f>
        <v>500</v>
      </c>
      <c r="K27" s="18" t="s">
        <v>52</v>
      </c>
    </row>
    <row r="28" customFormat="false" ht="57.45" hidden="false" customHeight="false" outlineLevel="0" collapsed="false">
      <c r="A28" s="13" t="n">
        <v>24</v>
      </c>
      <c r="B28" s="14" t="s">
        <v>46</v>
      </c>
      <c r="C28" s="14" t="s">
        <v>994</v>
      </c>
      <c r="D28" s="14" t="s">
        <v>995</v>
      </c>
      <c r="E28" s="13" t="s">
        <v>97</v>
      </c>
      <c r="F28" s="15" t="n">
        <v>10</v>
      </c>
      <c r="G28" s="13" t="s">
        <v>76</v>
      </c>
      <c r="H28" s="13" t="s">
        <v>51</v>
      </c>
      <c r="I28" s="16" t="n">
        <v>120</v>
      </c>
      <c r="J28" s="17" t="n">
        <f aca="false">F28*I28</f>
        <v>1200</v>
      </c>
      <c r="K28" s="18" t="s">
        <v>52</v>
      </c>
    </row>
    <row r="29" customFormat="false" ht="68.65" hidden="false" customHeight="false" outlineLevel="0" collapsed="false">
      <c r="A29" s="13" t="n">
        <v>25</v>
      </c>
      <c r="B29" s="14" t="s">
        <v>46</v>
      </c>
      <c r="C29" s="14" t="s">
        <v>996</v>
      </c>
      <c r="D29" s="14" t="s">
        <v>997</v>
      </c>
      <c r="E29" s="13" t="s">
        <v>97</v>
      </c>
      <c r="F29" s="15" t="n">
        <v>10</v>
      </c>
      <c r="G29" s="13" t="s">
        <v>76</v>
      </c>
      <c r="H29" s="13" t="s">
        <v>998</v>
      </c>
      <c r="I29" s="16" t="n">
        <v>400</v>
      </c>
      <c r="J29" s="17" t="n">
        <f aca="false">F29*I29</f>
        <v>4000</v>
      </c>
      <c r="K29" s="18" t="s">
        <v>52</v>
      </c>
    </row>
    <row r="30" customFormat="false" ht="79.85" hidden="false" customHeight="false" outlineLevel="0" collapsed="false">
      <c r="A30" s="13" t="n">
        <v>26</v>
      </c>
      <c r="B30" s="14" t="s">
        <v>46</v>
      </c>
      <c r="C30" s="14" t="s">
        <v>999</v>
      </c>
      <c r="D30" s="14" t="s">
        <v>1000</v>
      </c>
      <c r="E30" s="13" t="s">
        <v>97</v>
      </c>
      <c r="F30" s="15" t="n">
        <v>10</v>
      </c>
      <c r="G30" s="13" t="s">
        <v>76</v>
      </c>
      <c r="H30" s="13" t="s">
        <v>513</v>
      </c>
      <c r="I30" s="16" t="n">
        <v>800</v>
      </c>
      <c r="J30" s="17" t="n">
        <f aca="false">F30*I30</f>
        <v>8000</v>
      </c>
      <c r="K30" s="18" t="s">
        <v>52</v>
      </c>
    </row>
    <row r="31" customFormat="false" ht="79.85" hidden="false" customHeight="false" outlineLevel="0" collapsed="false">
      <c r="A31" s="13" t="n">
        <v>27</v>
      </c>
      <c r="B31" s="14" t="s">
        <v>46</v>
      </c>
      <c r="C31" s="14" t="s">
        <v>1001</v>
      </c>
      <c r="D31" s="14" t="s">
        <v>1002</v>
      </c>
      <c r="E31" s="13" t="s">
        <v>58</v>
      </c>
      <c r="F31" s="15" t="n">
        <v>1</v>
      </c>
      <c r="G31" s="13" t="s">
        <v>76</v>
      </c>
      <c r="H31" s="13" t="s">
        <v>72</v>
      </c>
      <c r="I31" s="16" t="n">
        <v>6000</v>
      </c>
      <c r="J31" s="17" t="n">
        <f aca="false">F31*I31</f>
        <v>6000</v>
      </c>
      <c r="K31" s="18" t="s">
        <v>52</v>
      </c>
    </row>
    <row r="32" customFormat="false" ht="91" hidden="false" customHeight="false" outlineLevel="0" collapsed="false">
      <c r="A32" s="13" t="n">
        <v>28</v>
      </c>
      <c r="B32" s="14" t="s">
        <v>46</v>
      </c>
      <c r="C32" s="14" t="s">
        <v>1003</v>
      </c>
      <c r="D32" s="14" t="s">
        <v>1004</v>
      </c>
      <c r="E32" s="13" t="s">
        <v>58</v>
      </c>
      <c r="F32" s="15" t="n">
        <v>1</v>
      </c>
      <c r="G32" s="13" t="s">
        <v>50</v>
      </c>
      <c r="H32" s="13" t="s">
        <v>59</v>
      </c>
      <c r="I32" s="16" t="n">
        <v>85000</v>
      </c>
      <c r="J32" s="17" t="n">
        <f aca="false">F32*I32</f>
        <v>85000</v>
      </c>
      <c r="K32" s="18" t="s">
        <v>52</v>
      </c>
    </row>
    <row r="33" customFormat="false" ht="91" hidden="false" customHeight="false" outlineLevel="0" collapsed="false">
      <c r="A33" s="13" t="n">
        <v>29</v>
      </c>
      <c r="B33" s="14" t="s">
        <v>46</v>
      </c>
      <c r="C33" s="14" t="s">
        <v>1005</v>
      </c>
      <c r="D33" s="14" t="s">
        <v>1006</v>
      </c>
      <c r="E33" s="13" t="s">
        <v>58</v>
      </c>
      <c r="F33" s="15" t="n">
        <v>1</v>
      </c>
      <c r="G33" s="13" t="s">
        <v>50</v>
      </c>
      <c r="H33" s="13" t="s">
        <v>59</v>
      </c>
      <c r="I33" s="16" t="n">
        <v>45000</v>
      </c>
      <c r="J33" s="17" t="n">
        <f aca="false">F33*I33</f>
        <v>45000</v>
      </c>
      <c r="K33" s="18" t="s">
        <v>52</v>
      </c>
    </row>
    <row r="34" customFormat="false" ht="46.25" hidden="false" customHeight="false" outlineLevel="0" collapsed="false">
      <c r="A34" s="13" t="n">
        <v>30</v>
      </c>
      <c r="B34" s="14" t="s">
        <v>46</v>
      </c>
      <c r="C34" s="14" t="s">
        <v>1007</v>
      </c>
      <c r="D34" s="14" t="s">
        <v>1008</v>
      </c>
      <c r="E34" s="13" t="s">
        <v>75</v>
      </c>
      <c r="F34" s="15" t="n">
        <v>2</v>
      </c>
      <c r="G34" s="13" t="s">
        <v>50</v>
      </c>
      <c r="H34" s="13" t="s">
        <v>51</v>
      </c>
      <c r="I34" s="16" t="n">
        <v>650</v>
      </c>
      <c r="J34" s="17" t="n">
        <f aca="false">F34*I34</f>
        <v>1300</v>
      </c>
      <c r="K34" s="18" t="s">
        <v>52</v>
      </c>
    </row>
    <row r="35" customFormat="false" ht="57.45" hidden="false" customHeight="false" outlineLevel="0" collapsed="false">
      <c r="A35" s="13" t="n">
        <v>31</v>
      </c>
      <c r="B35" s="14" t="s">
        <v>46</v>
      </c>
      <c r="C35" s="14" t="s">
        <v>1009</v>
      </c>
      <c r="D35" s="14" t="s">
        <v>1010</v>
      </c>
      <c r="E35" s="13" t="s">
        <v>97</v>
      </c>
      <c r="F35" s="15" t="n">
        <v>10</v>
      </c>
      <c r="G35" s="13" t="s">
        <v>76</v>
      </c>
      <c r="H35" s="13" t="s">
        <v>950</v>
      </c>
      <c r="I35" s="16" t="n">
        <v>60</v>
      </c>
      <c r="J35" s="17" t="n">
        <f aca="false">F35*I35</f>
        <v>600</v>
      </c>
      <c r="K35" s="18" t="s">
        <v>52</v>
      </c>
    </row>
    <row r="36" customFormat="false" ht="68.65" hidden="false" customHeight="false" outlineLevel="0" collapsed="false">
      <c r="A36" s="13" t="n">
        <v>32</v>
      </c>
      <c r="B36" s="14" t="s">
        <v>46</v>
      </c>
      <c r="C36" s="14" t="s">
        <v>1011</v>
      </c>
      <c r="D36" s="14" t="s">
        <v>1012</v>
      </c>
      <c r="E36" s="13" t="s">
        <v>71</v>
      </c>
      <c r="F36" s="15" t="n">
        <v>5</v>
      </c>
      <c r="G36" s="13" t="s">
        <v>76</v>
      </c>
      <c r="H36" s="13" t="s">
        <v>72</v>
      </c>
      <c r="I36" s="16" t="n">
        <v>900</v>
      </c>
      <c r="J36" s="17" t="n">
        <f aca="false">F36*I36</f>
        <v>4500</v>
      </c>
      <c r="K36" s="18" t="s">
        <v>52</v>
      </c>
    </row>
    <row r="37" customFormat="false" ht="79.85" hidden="false" customHeight="false" outlineLevel="0" collapsed="false">
      <c r="A37" s="13" t="n">
        <v>33</v>
      </c>
      <c r="B37" s="14" t="s">
        <v>46</v>
      </c>
      <c r="C37" s="14" t="s">
        <v>1013</v>
      </c>
      <c r="D37" s="14" t="s">
        <v>1014</v>
      </c>
      <c r="E37" s="13" t="s">
        <v>142</v>
      </c>
      <c r="F37" s="15" t="n">
        <v>30</v>
      </c>
      <c r="G37" s="13" t="s">
        <v>76</v>
      </c>
      <c r="H37" s="13" t="s">
        <v>216</v>
      </c>
      <c r="I37" s="16" t="n">
        <v>20</v>
      </c>
      <c r="J37" s="17" t="n">
        <f aca="false">F37*I37</f>
        <v>600</v>
      </c>
      <c r="K37" s="18" t="s">
        <v>52</v>
      </c>
    </row>
    <row r="38" customFormat="false" ht="68.65" hidden="false" customHeight="false" outlineLevel="0" collapsed="false">
      <c r="A38" s="13" t="n">
        <v>34</v>
      </c>
      <c r="B38" s="14" t="s">
        <v>46</v>
      </c>
      <c r="C38" s="14" t="s">
        <v>1015</v>
      </c>
      <c r="D38" s="14" t="s">
        <v>1016</v>
      </c>
      <c r="E38" s="13" t="s">
        <v>71</v>
      </c>
      <c r="F38" s="15" t="n">
        <v>5</v>
      </c>
      <c r="G38" s="13" t="s">
        <v>50</v>
      </c>
      <c r="H38" s="13" t="s">
        <v>72</v>
      </c>
      <c r="I38" s="16" t="n">
        <v>2500</v>
      </c>
      <c r="J38" s="17" t="n">
        <f aca="false">F38*I38</f>
        <v>12500</v>
      </c>
      <c r="K38" s="18" t="s">
        <v>52</v>
      </c>
    </row>
    <row r="39" customFormat="false" ht="57.45" hidden="false" customHeight="false" outlineLevel="0" collapsed="false">
      <c r="A39" s="13" t="n">
        <v>35</v>
      </c>
      <c r="B39" s="14" t="s">
        <v>46</v>
      </c>
      <c r="C39" s="14" t="s">
        <v>1017</v>
      </c>
      <c r="D39" s="14" t="s">
        <v>1018</v>
      </c>
      <c r="E39" s="13" t="s">
        <v>71</v>
      </c>
      <c r="F39" s="15" t="n">
        <v>5</v>
      </c>
      <c r="G39" s="13" t="s">
        <v>76</v>
      </c>
      <c r="H39" s="13" t="s">
        <v>1019</v>
      </c>
      <c r="I39" s="16" t="n">
        <v>250</v>
      </c>
      <c r="J39" s="17" t="n">
        <f aca="false">F39*I39</f>
        <v>1250</v>
      </c>
      <c r="K39" s="18" t="s">
        <v>52</v>
      </c>
    </row>
    <row r="40" customFormat="false" ht="57.45" hidden="false" customHeight="false" outlineLevel="0" collapsed="false">
      <c r="A40" s="13" t="n">
        <v>36</v>
      </c>
      <c r="B40" s="14" t="s">
        <v>46</v>
      </c>
      <c r="C40" s="14" t="s">
        <v>1020</v>
      </c>
      <c r="D40" s="14" t="s">
        <v>1021</v>
      </c>
      <c r="E40" s="13" t="s">
        <v>97</v>
      </c>
      <c r="F40" s="15" t="n">
        <v>10</v>
      </c>
      <c r="G40" s="13" t="s">
        <v>76</v>
      </c>
      <c r="H40" s="13" t="s">
        <v>1022</v>
      </c>
      <c r="I40" s="16" t="n">
        <v>300</v>
      </c>
      <c r="J40" s="17" t="n">
        <f aca="false">F40*I40</f>
        <v>3000</v>
      </c>
      <c r="K40" s="18" t="s">
        <v>52</v>
      </c>
    </row>
    <row r="41" customFormat="false" ht="102.2" hidden="false" customHeight="false" outlineLevel="0" collapsed="false">
      <c r="A41" s="13" t="n">
        <v>37</v>
      </c>
      <c r="B41" s="14" t="s">
        <v>46</v>
      </c>
      <c r="C41" s="14" t="s">
        <v>1023</v>
      </c>
      <c r="D41" s="14" t="s">
        <v>1024</v>
      </c>
      <c r="E41" s="13" t="s">
        <v>75</v>
      </c>
      <c r="F41" s="15" t="n">
        <v>2</v>
      </c>
      <c r="G41" s="13" t="s">
        <v>50</v>
      </c>
      <c r="H41" s="13" t="s">
        <v>51</v>
      </c>
      <c r="I41" s="16" t="n">
        <v>25000</v>
      </c>
      <c r="J41" s="17" t="n">
        <f aca="false">F41*I41</f>
        <v>50000</v>
      </c>
      <c r="K41" s="18" t="s">
        <v>52</v>
      </c>
    </row>
    <row r="42" customFormat="false" ht="79.85" hidden="false" customHeight="false" outlineLevel="0" collapsed="false">
      <c r="A42" s="13" t="n">
        <v>38</v>
      </c>
      <c r="B42" s="14" t="s">
        <v>46</v>
      </c>
      <c r="C42" s="14" t="s">
        <v>1025</v>
      </c>
      <c r="D42" s="14" t="s">
        <v>1026</v>
      </c>
      <c r="E42" s="13" t="s">
        <v>75</v>
      </c>
      <c r="F42" s="15" t="n">
        <v>2</v>
      </c>
      <c r="G42" s="13" t="s">
        <v>50</v>
      </c>
      <c r="H42" s="13" t="s">
        <v>51</v>
      </c>
      <c r="I42" s="16" t="n">
        <v>18000</v>
      </c>
      <c r="J42" s="17" t="n">
        <f aca="false">F42*I42</f>
        <v>36000</v>
      </c>
      <c r="K42" s="18" t="s">
        <v>52</v>
      </c>
    </row>
    <row r="43" customFormat="false" ht="79.85" hidden="false" customHeight="false" outlineLevel="0" collapsed="false">
      <c r="A43" s="13" t="n">
        <v>39</v>
      </c>
      <c r="B43" s="14" t="s">
        <v>46</v>
      </c>
      <c r="C43" s="14" t="s">
        <v>1027</v>
      </c>
      <c r="D43" s="14" t="s">
        <v>1028</v>
      </c>
      <c r="E43" s="13" t="s">
        <v>75</v>
      </c>
      <c r="F43" s="15" t="n">
        <v>2</v>
      </c>
      <c r="G43" s="13" t="s">
        <v>50</v>
      </c>
      <c r="H43" s="13" t="s">
        <v>51</v>
      </c>
      <c r="I43" s="16" t="n">
        <v>18000</v>
      </c>
      <c r="J43" s="17" t="n">
        <f aca="false">F43*I43</f>
        <v>36000</v>
      </c>
      <c r="K43" s="18" t="s">
        <v>52</v>
      </c>
    </row>
    <row r="44" customFormat="false" ht="68.65" hidden="false" customHeight="false" outlineLevel="0" collapsed="false">
      <c r="A44" s="13" t="n">
        <v>40</v>
      </c>
      <c r="B44" s="14" t="s">
        <v>46</v>
      </c>
      <c r="C44" s="14" t="s">
        <v>1029</v>
      </c>
      <c r="D44" s="14" t="s">
        <v>1030</v>
      </c>
      <c r="E44" s="13" t="s">
        <v>326</v>
      </c>
      <c r="F44" s="15" t="n">
        <v>3</v>
      </c>
      <c r="G44" s="13" t="s">
        <v>62</v>
      </c>
      <c r="H44" s="13" t="s">
        <v>72</v>
      </c>
      <c r="I44" s="16" t="n">
        <v>1200</v>
      </c>
      <c r="J44" s="17" t="n">
        <f aca="false">F44*I44</f>
        <v>3600</v>
      </c>
      <c r="K44" s="18" t="s">
        <v>52</v>
      </c>
    </row>
    <row r="45" customFormat="false" ht="15" hidden="false" customHeight="false" outlineLevel="0" collapsed="false">
      <c r="A45" s="19"/>
      <c r="B45" s="19"/>
      <c r="C45" s="19" t="s">
        <v>93</v>
      </c>
      <c r="D45" s="19"/>
      <c r="E45" s="19"/>
      <c r="F45" s="19"/>
      <c r="G45" s="19"/>
      <c r="H45" s="19"/>
      <c r="I45" s="19"/>
      <c r="J45" s="20" t="n">
        <f aca="false">SUM(J5:J44)</f>
        <v>398250</v>
      </c>
      <c r="K45" s="19"/>
    </row>
    <row r="47" customFormat="false" ht="15" hidden="false" customHeight="false" outlineLevel="0" collapsed="false">
      <c r="A47" s="2" t="s">
        <v>33</v>
      </c>
    </row>
  </sheetData>
  <autoFilter ref="A4:K44"/>
  <hyperlinks>
    <hyperlink ref="K5" r:id="rId1" display="Click here"/>
    <hyperlink ref="K6" r:id="rId2" display="Click here"/>
    <hyperlink ref="K7" r:id="rId3" display="Click here"/>
    <hyperlink ref="K8" r:id="rId4" display="Click here"/>
    <hyperlink ref="K9" r:id="rId5" display="Click here"/>
    <hyperlink ref="K10" r:id="rId6" display="Click here"/>
    <hyperlink ref="K11" r:id="rId7" display="Click here"/>
    <hyperlink ref="K12" r:id="rId8" display="Click here"/>
    <hyperlink ref="K13" r:id="rId9" display="Click here"/>
    <hyperlink ref="K14" r:id="rId10" display="Click here"/>
    <hyperlink ref="K15" r:id="rId11" display="Click here"/>
    <hyperlink ref="K16" r:id="rId12" display="Click here"/>
    <hyperlink ref="K17" r:id="rId13" display="Click here"/>
    <hyperlink ref="K18" r:id="rId14" display="Click here"/>
    <hyperlink ref="K19" r:id="rId15" display="Click here"/>
    <hyperlink ref="K20" r:id="rId16" display="Click here"/>
    <hyperlink ref="K21" r:id="rId17" display="Click here"/>
    <hyperlink ref="K22" r:id="rId18" display="Click here"/>
    <hyperlink ref="K23" r:id="rId19" display="Click here"/>
    <hyperlink ref="K24" r:id="rId20" display="Click here"/>
    <hyperlink ref="K25" r:id="rId21" display="Click here"/>
    <hyperlink ref="K26" r:id="rId22" display="Click here"/>
    <hyperlink ref="K27" r:id="rId23" display="Click here"/>
    <hyperlink ref="K28" r:id="rId24" display="Click here"/>
    <hyperlink ref="K29" r:id="rId25" display="Click here"/>
    <hyperlink ref="K30" r:id="rId26" display="Click here"/>
    <hyperlink ref="K31" r:id="rId27" display="Click here"/>
    <hyperlink ref="K32" r:id="rId28" display="Click here"/>
    <hyperlink ref="K33" r:id="rId29" display="Click here"/>
    <hyperlink ref="K34" r:id="rId30" display="Click here"/>
    <hyperlink ref="K35" r:id="rId31" display="Click here"/>
    <hyperlink ref="K36" r:id="rId32" display="Click here"/>
    <hyperlink ref="K37" r:id="rId33" display="Click here"/>
    <hyperlink ref="K38" r:id="rId34" display="Click here"/>
    <hyperlink ref="K39" r:id="rId35" display="Click here"/>
    <hyperlink ref="K40" r:id="rId36" display="Click here"/>
    <hyperlink ref="K41" r:id="rId37" display="Click here"/>
    <hyperlink ref="K42" r:id="rId38" display="Click here"/>
    <hyperlink ref="K43" r:id="rId39" display="Click here"/>
    <hyperlink ref="K44" r:id="rId40" display="Click he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2026-10-16T12:08:14Z</dcterms:created>
  <dc:creator>openpyxl</dc:creator>
  <dc:description/>
  <dc:language>en-US</dc:language>
  <cp:lastModifiedBy/>
  <dcterms:modified xsi:type="dcterms:W3CDTF">2026-10-16T12:08:14Z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